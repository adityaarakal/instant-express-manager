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ime Table" sheetId="1" r:id="rId4"/>
    <sheet state="hidden" name="Copy of Time Table" sheetId="2" r:id="rId5"/>
    <sheet state="visible" name="Planned Expenses" sheetId="3" r:id="rId6"/>
    <sheet state="hidden" name="Trading" sheetId="4" r:id="rId7"/>
    <sheet state="hidden" name="CC Outstanding" sheetId="5" r:id="rId8"/>
    <sheet state="hidden" name="EMI Sheet" sheetId="6" r:id="rId9"/>
    <sheet state="visible" name="Bills - CC EMIs" sheetId="7" r:id="rId10"/>
    <sheet state="visible" name="Projections" sheetId="8" r:id="rId11"/>
    <sheet state="visible" name="Bills - Loans" sheetId="9" r:id="rId12"/>
    <sheet state="hidden" name="EMIs" sheetId="10" r:id="rId13"/>
    <sheet state="visible" name="Bills - STR Residency" sheetId="11" r:id="rId14"/>
    <sheet state="visible" name="Bills - Responsibilities" sheetId="12" r:id="rId15"/>
    <sheet state="visible" name="Bills - Utilities" sheetId="13" r:id="rId16"/>
    <sheet state="visible" name="Bills - Returns" sheetId="14" r:id="rId17"/>
    <sheet state="visible" name="Bills - Investments" sheetId="15" r:id="rId18"/>
    <sheet state="hidden" name="Project" sheetId="16" r:id="rId19"/>
    <sheet state="hidden" name="Lendings" sheetId="17" r:id="rId20"/>
    <sheet state="hidden" name="Salary Division" sheetId="18" r:id="rId21"/>
    <sheet state="hidden" name="Explanations" sheetId="19" r:id="rId22"/>
    <sheet state="hidden" name="Jaycee (Freelancing)" sheetId="20" r:id="rId23"/>
    <sheet state="visible" name="Ishika (Freelancing)" sheetId="21" r:id="rId24"/>
    <sheet state="visible" name="MITS (Freelancing)" sheetId="22" r:id="rId25"/>
    <sheet state="hidden" name="Tutoring" sheetId="23" r:id="rId26"/>
    <sheet state="visible" name="Birthdays" sheetId="24" r:id="rId27"/>
    <sheet state="hidden" name="Unplanned Expenses" sheetId="25" r:id="rId28"/>
    <sheet state="hidden" name="Automation" sheetId="26" r:id="rId29"/>
    <sheet state="hidden" name="Business" sheetId="27" r:id="rId30"/>
  </sheets>
  <definedNames>
    <definedName hidden="1" localSheetId="5" name="_xlnm._FilterDatabase">'EMI Sheet'!$A$1:$Z$998</definedName>
  </definedNames>
  <calcPr/>
</workbook>
</file>

<file path=xl/sharedStrings.xml><?xml version="1.0" encoding="utf-8"?>
<sst xmlns="http://schemas.openxmlformats.org/spreadsheetml/2006/main" count="14227" uniqueCount="1360">
  <si>
    <t>fitness</t>
  </si>
  <si>
    <t>hygene</t>
  </si>
  <si>
    <t>wealth</t>
  </si>
  <si>
    <t>rest</t>
  </si>
  <si>
    <t>Available Time / Week</t>
  </si>
  <si>
    <t>Monthly Income</t>
  </si>
  <si>
    <t>Weekly Income</t>
  </si>
  <si>
    <t>Column 1</t>
  </si>
  <si>
    <t>Column 2</t>
  </si>
  <si>
    <t>Monday</t>
  </si>
  <si>
    <t>Column 12</t>
  </si>
  <si>
    <t>Column 13</t>
  </si>
  <si>
    <t>Tuesday</t>
  </si>
  <si>
    <t>Wednesday</t>
  </si>
  <si>
    <t>Thursday</t>
  </si>
  <si>
    <t>Friday</t>
  </si>
  <si>
    <t>Saturday</t>
  </si>
  <si>
    <t>Sunday</t>
  </si>
  <si>
    <t>HRS</t>
  </si>
  <si>
    <t>COUNT</t>
  </si>
  <si>
    <t>wakeup and pranayama</t>
  </si>
  <si>
    <t>BRUSH &amp; BATH</t>
  </si>
  <si>
    <t>Daily</t>
  </si>
  <si>
    <t>Repeats/Week</t>
  </si>
  <si>
    <t>Weekly</t>
  </si>
  <si>
    <t>walking</t>
  </si>
  <si>
    <t>TRIP TO STADIUM</t>
  </si>
  <si>
    <t>Badminton, Brush, Bath, Temple, Breakfast</t>
  </si>
  <si>
    <t>brush and bath</t>
  </si>
  <si>
    <t>BADMINTON</t>
  </si>
  <si>
    <t>Freelancing - Ishika</t>
  </si>
  <si>
    <t>ishika freelance support</t>
  </si>
  <si>
    <t>TRIP TO TEMPLE</t>
  </si>
  <si>
    <t>Trading - Akshay</t>
  </si>
  <si>
    <t>suryanamaskar and breakfast with medicine</t>
  </si>
  <si>
    <t>BREAKFAST</t>
  </si>
  <si>
    <t>Youtube - Intellect Reef</t>
  </si>
  <si>
    <t>office work 3 hrs</t>
  </si>
  <si>
    <t>FREELANCING - ISHIKA</t>
  </si>
  <si>
    <t>Youtube - Coding Reef</t>
  </si>
  <si>
    <t>suryanamaskar and lunch</t>
  </si>
  <si>
    <t>OFFICE</t>
  </si>
  <si>
    <t>Book Publishing</t>
  </si>
  <si>
    <t>TRADING - AKSHAY</t>
  </si>
  <si>
    <t>Sleep</t>
  </si>
  <si>
    <t>suryanamaskar and dinner with medicine</t>
  </si>
  <si>
    <t>SLEEP</t>
  </si>
  <si>
    <t>Freelancing - Soujanya</t>
  </si>
  <si>
    <t>FREELANCING - SOUJANYA</t>
  </si>
  <si>
    <t>Job Apptware Solutiona</t>
  </si>
  <si>
    <t>mits soujanya freelance support</t>
  </si>
  <si>
    <t>YOUTUBE - INTELLECT REEF</t>
  </si>
  <si>
    <t>office work 2 hrs</t>
  </si>
  <si>
    <t>YOUTUBE - CODING REEF</t>
  </si>
  <si>
    <t>App Development</t>
  </si>
  <si>
    <t>evening rituals and sleep</t>
  </si>
  <si>
    <t>Professional Development</t>
  </si>
  <si>
    <t>LAUNDARY</t>
  </si>
  <si>
    <t>health</t>
  </si>
  <si>
    <t>ishika freelance support 2 hrs office</t>
  </si>
  <si>
    <t>mits soujanya freelance support 1.5 hrs office</t>
  </si>
  <si>
    <t>suryanamaskar and dinner</t>
  </si>
  <si>
    <t>office work 2.5 hrs</t>
  </si>
  <si>
    <t>sleep</t>
  </si>
  <si>
    <t>Balance</t>
  </si>
  <si>
    <t>Investment</t>
  </si>
  <si>
    <t>Expense</t>
  </si>
  <si>
    <t>Pending</t>
  </si>
  <si>
    <t>Paid</t>
  </si>
  <si>
    <t>Fixed Factor</t>
  </si>
  <si>
    <t>Due Date</t>
  </si>
  <si>
    <t>Axis 2009</t>
  </si>
  <si>
    <t>Remaining</t>
  </si>
  <si>
    <t>Savings</t>
  </si>
  <si>
    <t>Mutual Funds</t>
  </si>
  <si>
    <t>CC Bill</t>
  </si>
  <si>
    <t>ICICI 3945</t>
  </si>
  <si>
    <t>Axis 0370</t>
  </si>
  <si>
    <t>Axis 7503</t>
  </si>
  <si>
    <t>HSBC 9006</t>
  </si>
  <si>
    <t>Paytm 4366</t>
  </si>
  <si>
    <t>SBI 5825</t>
  </si>
  <si>
    <t>Paytm Wallet</t>
  </si>
  <si>
    <t>Phonepe Wallet</t>
  </si>
  <si>
    <t>Fixed Balance</t>
  </si>
  <si>
    <t>Splitwise</t>
  </si>
  <si>
    <t>ICICI 7018</t>
  </si>
  <si>
    <t>ICICI 3002</t>
  </si>
  <si>
    <t>Miyapur</t>
  </si>
  <si>
    <t>Maintenance</t>
  </si>
  <si>
    <t xml:space="preserve"> </t>
  </si>
  <si>
    <t>Cash</t>
  </si>
  <si>
    <t>11th</t>
  </si>
  <si>
    <t>30th</t>
  </si>
  <si>
    <t>PhonePe</t>
  </si>
  <si>
    <t>Salary</t>
  </si>
  <si>
    <t>N/A</t>
  </si>
  <si>
    <t>Credit Expense</t>
  </si>
  <si>
    <t>Paytm 9422</t>
  </si>
  <si>
    <t>DD 7 APR 24</t>
  </si>
  <si>
    <t>New Accumulation</t>
  </si>
  <si>
    <t>DD 8 May 24</t>
  </si>
  <si>
    <t>DD 7 Jun</t>
  </si>
  <si>
    <t>Invest/Clear</t>
  </si>
  <si>
    <t>10th</t>
  </si>
  <si>
    <t>Phone Pe</t>
  </si>
  <si>
    <t>7th</t>
  </si>
  <si>
    <t>EMIs</t>
  </si>
  <si>
    <t>New</t>
  </si>
  <si>
    <t>CC EMIs</t>
  </si>
  <si>
    <t>Loan EMIs</t>
  </si>
  <si>
    <t>STR Residency</t>
  </si>
  <si>
    <t>Responsibilities</t>
  </si>
  <si>
    <t>Utilities</t>
  </si>
  <si>
    <t>Returns</t>
  </si>
  <si>
    <t>Initial Bal</t>
  </si>
  <si>
    <t>Daily Budget</t>
  </si>
  <si>
    <t>8th</t>
  </si>
  <si>
    <t>5th</t>
  </si>
  <si>
    <t>Variable</t>
  </si>
  <si>
    <t>CC BILLS</t>
  </si>
  <si>
    <t>LOANS</t>
  </si>
  <si>
    <t>Investments</t>
  </si>
  <si>
    <t>Partnership Start</t>
  </si>
  <si>
    <t>Ratio</t>
  </si>
  <si>
    <t>Aditya</t>
  </si>
  <si>
    <t>Laxmi Narayana</t>
  </si>
  <si>
    <t>P&amp;L Balance</t>
  </si>
  <si>
    <t>Commission</t>
  </si>
  <si>
    <t>Date</t>
  </si>
  <si>
    <t>Trade</t>
  </si>
  <si>
    <t>Traded</t>
  </si>
  <si>
    <t>P&amp;L</t>
  </si>
  <si>
    <t>Charges</t>
  </si>
  <si>
    <t>Brokerage</t>
  </si>
  <si>
    <t>Net Realised Profit</t>
  </si>
  <si>
    <t>Jindal Stainless
Cochin Shipyard</t>
  </si>
  <si>
    <t>Inventurus Knowledge Solutions</t>
  </si>
  <si>
    <t>PB FinTech</t>
  </si>
  <si>
    <t>Godrej Properties
Macrotek Developers</t>
  </si>
  <si>
    <t>Muthoot Finance</t>
  </si>
  <si>
    <t>₹ 97.15</t>
  </si>
  <si>
    <t>₹ 292.68</t>
  </si>
  <si>
    <t>₹ 360.95</t>
  </si>
  <si>
    <t>₹ 368.34</t>
  </si>
  <si>
    <t>Without Car</t>
  </si>
  <si>
    <t>Credit Card Details</t>
  </si>
  <si>
    <t>Total Credit Limit</t>
  </si>
  <si>
    <t>Available Credit Limit</t>
  </si>
  <si>
    <t>Credit Card Outstanding</t>
  </si>
  <si>
    <t>MF</t>
  </si>
  <si>
    <t>Income</t>
  </si>
  <si>
    <t>Loans</t>
  </si>
  <si>
    <t>ICICI 7018
ICICI 3003
ICICI 20010</t>
  </si>
  <si>
    <t>ICICI 4003</t>
  </si>
  <si>
    <t>Money View</t>
  </si>
  <si>
    <t>AXIS 2009
AXIS 7221</t>
  </si>
  <si>
    <t>Bajaj</t>
  </si>
  <si>
    <t>Car</t>
  </si>
  <si>
    <t>ICICI CC</t>
  </si>
  <si>
    <t>Per Day</t>
  </si>
  <si>
    <t>Axis CC</t>
  </si>
  <si>
    <t>Soujanya</t>
  </si>
  <si>
    <t>Axis Personal Loan</t>
  </si>
  <si>
    <t>Hafiz</t>
  </si>
  <si>
    <t>Utility</t>
  </si>
  <si>
    <t>Add Income Transaction</t>
  </si>
  <si>
    <t>Add Expense Transaction</t>
  </si>
  <si>
    <t>Update Balance Transaction</t>
  </si>
  <si>
    <t>sometimes, expense transaction may be missed, so need update balance</t>
  </si>
  <si>
    <t>Set EMIs</t>
  </si>
  <si>
    <t>for credit card, loans etc.</t>
  </si>
  <si>
    <t>Update Credit Card Bills</t>
  </si>
  <si>
    <t>Reminder for interest payments</t>
  </si>
  <si>
    <t>Card</t>
  </si>
  <si>
    <t>Merchant Name</t>
  </si>
  <si>
    <t>Original Amount</t>
  </si>
  <si>
    <t>Tenure</t>
  </si>
  <si>
    <t>EMI Amt With Interest</t>
  </si>
  <si>
    <t>Pending EMI</t>
  </si>
  <si>
    <t>EMI Creation Date</t>
  </si>
  <si>
    <t>End Date</t>
  </si>
  <si>
    <t>Status Of EMI Transaction</t>
  </si>
  <si>
    <t>Rank</t>
  </si>
  <si>
    <t>Total Loan</t>
  </si>
  <si>
    <t>EMI Interest</t>
  </si>
  <si>
    <r>
      <rPr>
        <rFont val="Arial, Mulish, sans-serif"/>
        <color rgb="FF1155CC"/>
        <sz val="9.0"/>
        <u/>
      </rPr>
      <t>PLCC</t>
    </r>
  </si>
  <si>
    <t>Active</t>
  </si>
  <si>
    <t>done</t>
  </si>
  <si>
    <r>
      <rPr>
        <rFont val="Arial, Mulish, sans-serif"/>
        <color rgb="FF1155CC"/>
        <sz val="9.0"/>
        <u/>
      </rPr>
      <t>Merchant EMI</t>
    </r>
  </si>
  <si>
    <t>13-06-2024</t>
  </si>
  <si>
    <t>13-05-2026</t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</si>
  <si>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</si>
  <si>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Merchant EMI</t>
    </r>
  </si>
  <si>
    <r>
      <rPr>
        <rFont val="Arial, Mulish, sans-serif"/>
        <color rgb="FF1155CC"/>
        <sz val="9.0"/>
        <u/>
      </rPr>
      <t>IND*AMAZON PGSI</t>
    </r>
  </si>
  <si>
    <t>30-04-2025</t>
  </si>
  <si>
    <t>30-12-2025</t>
  </si>
  <si>
    <r>
      <rPr>
        <rFont val="Arial, Mulish, sans-serif"/>
        <color rgb="FF1155CC"/>
        <sz val="9.0"/>
        <u/>
      </rPr>
      <t>APPLE INDIA PRIVATE LI</t>
    </r>
  </si>
  <si>
    <r>
      <rPr>
        <rFont val="Arial, Mulish, sans-serif"/>
        <color rgb="FF1155CC"/>
        <sz val="9.0"/>
        <u/>
      </rPr>
      <t>IND*AMAZON PGSI</t>
    </r>
  </si>
  <si>
    <t>29-10-2024</t>
  </si>
  <si>
    <t>29-09-2026</t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</si>
  <si>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</si>
  <si>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IND*AMAZON</t>
    </r>
  </si>
  <si>
    <r>
      <rPr>
        <rFont val="Arial, Mulish, sans-serif"/>
        <color rgb="FF1155CC"/>
        <sz val="9.0"/>
        <u/>
      </rPr>
      <t>BALAJI XTENSION</t>
    </r>
  </si>
  <si>
    <r>
      <rPr>
        <rFont val="Arial, Mulish, sans-serif"/>
        <color rgb="FF1155CC"/>
        <sz val="9.0"/>
        <u/>
      </rPr>
      <t>IND*AMAZON PGSI</t>
    </r>
  </si>
  <si>
    <t>18-03-2025</t>
  </si>
  <si>
    <t>18-02-2027</t>
  </si>
  <si>
    <r>
      <rPr>
        <rFont val="Arial, Mulish, sans-serif"/>
        <color rgb="FF1155CC"/>
        <sz val="9.0"/>
        <u/>
      </rPr>
      <t>CENTRO</t>
    </r>
  </si>
  <si>
    <t>24-01-2024</t>
  </si>
  <si>
    <t>24-12-2025</t>
  </si>
  <si>
    <r>
      <rPr>
        <rFont val="Arial, Mulish, sans-serif"/>
        <color rgb="FF1155CC"/>
        <sz val="9.0"/>
        <u/>
      </rPr>
      <t>IBRAHIM BROS EXTENSION</t>
    </r>
  </si>
  <si>
    <t>20-12-2024</t>
  </si>
  <si>
    <t>20-11-2026</t>
  </si>
  <si>
    <r>
      <rPr>
        <rFont val="Arial, Mulish, sans-serif"/>
        <color rgb="FF1155CC"/>
        <sz val="9.0"/>
        <u/>
      </rPr>
      <t>UPI-776178736984-JS WINES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</si>
  <si>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</si>
  <si>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MANISHA GULATI</t>
    </r>
  </si>
  <si>
    <r>
      <rPr>
        <rFont val="Arial, Mulish, sans-serif"/>
        <color rgb="FF1155CC"/>
        <sz val="9.0"/>
        <u/>
      </rPr>
      <t>IND*AMAZON PGSI</t>
    </r>
  </si>
  <si>
    <t>15-10-2024</t>
  </si>
  <si>
    <t>15-09-2026</t>
  </si>
  <si>
    <r>
      <rPr>
        <rFont val="Arial, Mulish, sans-serif"/>
        <color rgb="FF1155CC"/>
        <sz val="9.0"/>
        <u/>
      </rPr>
      <t>VOYLLA 11</t>
    </r>
  </si>
  <si>
    <r>
      <rPr>
        <rFont val="Arial, Mulish, sans-serif"/>
        <color rgb="FF1155CC"/>
        <sz val="9.0"/>
        <u/>
      </rPr>
      <t>IND*AMAZON PGSI</t>
    </r>
  </si>
  <si>
    <t>30-05-2025</t>
  </si>
  <si>
    <t>30-10-2025</t>
  </si>
  <si>
    <t>Subject</t>
  </si>
  <si>
    <t>SR 1015104860</t>
  </si>
  <si>
    <r>
      <rPr>
        <rFont val="Arial, Mulish, sans-serif"/>
        <color rgb="FF1155CC"/>
        <sz val="9.0"/>
        <u/>
      </rPr>
      <t>PLCC</t>
    </r>
  </si>
  <si>
    <r>
      <rPr>
        <rFont val="Arial, Mulish, sans-serif"/>
        <color rgb="FF1155CC"/>
        <sz val="9.0"/>
        <u/>
      </rPr>
      <t>Merchant EMI</t>
    </r>
  </si>
  <si>
    <t>Personal loan</t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</si>
  <si>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</si>
  <si>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Merchant EMI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</si>
  <si>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</si>
  <si>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APPLE INDIA PRIVATE LI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</si>
  <si>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</si>
  <si>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</si>
  <si>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IND*AMAZON</t>
    </r>
  </si>
  <si>
    <r>
      <rPr>
        <rFont val="Arial, Mulish, sans-serif"/>
        <color rgb="FF1155CC"/>
        <sz val="9.0"/>
        <u/>
      </rPr>
      <t>BALAJI XTENSION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</si>
  <si>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</si>
  <si>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CENTRO</t>
    </r>
  </si>
  <si>
    <r>
      <rPr>
        <rFont val="Arial, Mulish, sans-serif"/>
        <color rgb="FF1155CC"/>
        <sz val="9.0"/>
        <u/>
      </rPr>
      <t>IBRAHIM BROS EXTENSION</t>
    </r>
  </si>
  <si>
    <r>
      <rPr>
        <rFont val="Arial, Mulish, sans-serif"/>
        <color rgb="FF1155CC"/>
        <sz val="9.0"/>
        <u/>
      </rPr>
      <t>UPI-776178736984-JS WINES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</si>
  <si>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</si>
  <si>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MANISHA GULATI</t>
    </r>
  </si>
  <si>
    <r>
      <rPr>
        <rFont val="Arial, Mulish, sans-serif"/>
        <color rgb="FF1155CC"/>
        <sz val="9.0"/>
        <u/>
      </rPr>
      <t>IND*AMAZON PGSI</t>
    </r>
  </si>
  <si>
    <r>
      <rPr>
        <rFont val="Arial, Mulish, sans-serif"/>
        <color rgb="FF1155CC"/>
        <sz val="9.0"/>
        <u/>
      </rPr>
      <t>VOYLLA 11</t>
    </r>
  </si>
  <si>
    <r>
      <rPr>
        <rFont val="Arial, Mulish, sans-serif"/>
        <color rgb="FF1155CC"/>
        <sz val="9.0"/>
        <u/>
      </rPr>
      <t>IND*AMAZON PGSI</t>
    </r>
  </si>
  <si>
    <t>1st EMI</t>
  </si>
  <si>
    <t>Last EMI</t>
  </si>
  <si>
    <t>Monthly Interest</t>
  </si>
  <si>
    <t>Start of Today</t>
  </si>
  <si>
    <t>Remaining Amount</t>
  </si>
  <si>
    <t>Remaining EMIs</t>
  </si>
  <si>
    <t>Today</t>
  </si>
  <si>
    <t>Principal</t>
  </si>
  <si>
    <t>Interest</t>
  </si>
  <si>
    <t>GST 18%</t>
  </si>
  <si>
    <t>Total EMI</t>
  </si>
  <si>
    <t>Remaining Loan Amount</t>
  </si>
  <si>
    <t>Total EMIs</t>
  </si>
  <si>
    <t>ICICI CC 4003</t>
  </si>
  <si>
    <t>ICICI CC 7018</t>
  </si>
  <si>
    <t>ICICI CC 3002</t>
  </si>
  <si>
    <t>AXIS 7221</t>
  </si>
  <si>
    <t>Increment %</t>
  </si>
  <si>
    <t>Package</t>
  </si>
  <si>
    <t>Monthly Before Tax</t>
  </si>
  <si>
    <t>Tax Deductions</t>
  </si>
  <si>
    <t>Carry Forward (Previous Month)</t>
  </si>
  <si>
    <t>Salary Credit</t>
  </si>
  <si>
    <t>Laxminarayan FD Amount
External</t>
  </si>
  <si>
    <t>Srikant Medical Friends
Loans External</t>
  </si>
  <si>
    <t>Tutoring</t>
  </si>
  <si>
    <t>MITS Solutions
Freelance - Variable</t>
  </si>
  <si>
    <t>Ishika Freelance Private
Freelance - Variable - 45KPM</t>
  </si>
  <si>
    <t>Starting Balance</t>
  </si>
  <si>
    <t>Total Salary Credit</t>
  </si>
  <si>
    <t>Start Date</t>
  </si>
  <si>
    <t>Remaining Days</t>
  </si>
  <si>
    <t>Remaining Total Usable Balance</t>
  </si>
  <si>
    <t>Unused Expense Balance Carryforward</t>
  </si>
  <si>
    <t>Planned Fixed Balances</t>
  </si>
  <si>
    <t>Final Carry Forward</t>
  </si>
  <si>
    <t>Car Loan</t>
  </si>
  <si>
    <t>MoneyView Loan</t>
  </si>
  <si>
    <t>Cred</t>
  </si>
  <si>
    <t>Bajaj Salaried Loan</t>
  </si>
  <si>
    <t>Fibe</t>
  </si>
  <si>
    <t>Ruppek Gold Loan</t>
  </si>
  <si>
    <t>Citroen</t>
  </si>
  <si>
    <t>Axis</t>
  </si>
  <si>
    <t>Axis A/C 0370</t>
  </si>
  <si>
    <t>ICICI A/C 3945</t>
  </si>
  <si>
    <t>AUTO DEBITED</t>
  </si>
  <si>
    <t>Loan Amount</t>
  </si>
  <si>
    <t>Completed EMIs</t>
  </si>
  <si>
    <t>EMI</t>
  </si>
  <si>
    <t>Pending EMIs</t>
  </si>
  <si>
    <t>CAR LOAN</t>
  </si>
  <si>
    <t>BAJAJ LOAN</t>
  </si>
  <si>
    <t>MONEY VIEW</t>
  </si>
  <si>
    <t>AXIS</t>
  </si>
  <si>
    <t>FIBE</t>
  </si>
  <si>
    <t>Total</t>
  </si>
  <si>
    <t>Water Charges</t>
  </si>
  <si>
    <t>Current Bill</t>
  </si>
  <si>
    <t>Specials</t>
  </si>
  <si>
    <t>Yuga</t>
  </si>
  <si>
    <t>Bathroom</t>
  </si>
  <si>
    <t>Water Can</t>
  </si>
  <si>
    <t>Clothes Iron</t>
  </si>
  <si>
    <t>Extra Work</t>
  </si>
  <si>
    <t>House</t>
  </si>
  <si>
    <t>Utensils</t>
  </si>
  <si>
    <t>House Tax</t>
  </si>
  <si>
    <t>Building Renovations</t>
  </si>
  <si>
    <t>Muneendra</t>
  </si>
  <si>
    <t>Durga</t>
  </si>
  <si>
    <t>Government</t>
  </si>
  <si>
    <t>PAID</t>
  </si>
  <si>
    <t>Buggal Rents</t>
  </si>
  <si>
    <t>Amma Pocket Money</t>
  </si>
  <si>
    <t>Buggal Rent</t>
  </si>
  <si>
    <t>Buggal Expenses</t>
  </si>
  <si>
    <t>Buggal Utilities</t>
  </si>
  <si>
    <t>Buggal Chit Funds</t>
  </si>
  <si>
    <t>Netflix</t>
  </si>
  <si>
    <t>Hotstar</t>
  </si>
  <si>
    <t>Jio Fiber</t>
  </si>
  <si>
    <t>Youtube</t>
  </si>
  <si>
    <t>Chat GPT</t>
  </si>
  <si>
    <t>Gas Cylinder</t>
  </si>
  <si>
    <t>Amazon Prime</t>
  </si>
  <si>
    <t>Amazon Kindle</t>
  </si>
  <si>
    <t>Google Photos</t>
  </si>
  <si>
    <t>Water Purifier</t>
  </si>
  <si>
    <t>Phone &amp; Tab Recharge</t>
  </si>
  <si>
    <t>Car Insurance</t>
  </si>
  <si>
    <t>AXIS A/C 0370</t>
  </si>
  <si>
    <t>Srikant</t>
  </si>
  <si>
    <t>Srinitha Financing</t>
  </si>
  <si>
    <t>RECEIVED</t>
  </si>
  <si>
    <t>Not Received</t>
  </si>
  <si>
    <t>1L DEDUCTION</t>
  </si>
  <si>
    <t>PENDING 1K</t>
  </si>
  <si>
    <t>PENDING 50</t>
  </si>
  <si>
    <t>PPF</t>
  </si>
  <si>
    <t>RD</t>
  </si>
  <si>
    <t>ICICI Bank</t>
  </si>
  <si>
    <t>Axis Bank</t>
  </si>
  <si>
    <t>*</t>
  </si>
  <si>
    <t>I should be able to add my daily expense transactions</t>
  </si>
  <si>
    <t>there are 2 types of expenses</t>
  </si>
  <si>
    <t>planned</t>
  </si>
  <si>
    <t>planned expenses are EMIs, Subscriptions</t>
  </si>
  <si>
    <t>unplanned</t>
  </si>
  <si>
    <t>unplanned expenses are ones that do not have fixed date or amount spent</t>
  </si>
  <si>
    <t>unplanned expenses need following information
account identifier
purpose
item bought
quantity of items bought
measuring unit for the quantity
date of transaction
amount spent</t>
  </si>
  <si>
    <t>I have received my Salary of 143373 from Apptware on 1st of July 2024 at 8 pm</t>
  </si>
  <si>
    <t>I have received freelancing income of 45000 from Jaycee on 18th of July 2024 at 10 pm</t>
  </si>
  <si>
    <t>start time</t>
  </si>
  <si>
    <t>end time</t>
  </si>
  <si>
    <t>Actual Month end to end time gap</t>
  </si>
  <si>
    <t>current time</t>
  </si>
  <si>
    <t>Elapsed Time</t>
  </si>
  <si>
    <t>Remaining time</t>
  </si>
  <si>
    <t>Utilized Budget</t>
  </si>
  <si>
    <t>Spends Remaining</t>
  </si>
  <si>
    <t>Lending</t>
  </si>
  <si>
    <t>Given</t>
  </si>
  <si>
    <t>Taken</t>
  </si>
  <si>
    <t>Against</t>
  </si>
  <si>
    <t>Reason</t>
  </si>
  <si>
    <t>TO/FROM</t>
  </si>
  <si>
    <t>Type</t>
  </si>
  <si>
    <t>Srikant Friend (Medical License)</t>
  </si>
  <si>
    <t>Loan</t>
  </si>
  <si>
    <t>Planned</t>
  </si>
  <si>
    <t>Status</t>
  </si>
  <si>
    <t>Dream Yuga Sold to Lakshmi Narayana</t>
  </si>
  <si>
    <t>Lakshmi Narayana</t>
  </si>
  <si>
    <t>Kiansh Admitted to Hospital</t>
  </si>
  <si>
    <t>Rohit</t>
  </si>
  <si>
    <t>Job Change Interval</t>
  </si>
  <si>
    <t>Shekharanna</t>
  </si>
  <si>
    <t>Amma Pocket money</t>
  </si>
  <si>
    <t>Rohit has shortage of funds</t>
  </si>
  <si>
    <t>Fore Closure</t>
  </si>
  <si>
    <t>Rohan</t>
  </si>
  <si>
    <t>Vayni Birthday Cake</t>
  </si>
  <si>
    <t>Billed</t>
  </si>
  <si>
    <t>Sonography Test</t>
  </si>
  <si>
    <t>Pedbaba Hostpitalization</t>
  </si>
  <si>
    <t>Shekharanna has shortage of funds</t>
  </si>
  <si>
    <t>Not Billed</t>
  </si>
  <si>
    <t>Whirlpool 7KG Washing Machine</t>
  </si>
  <si>
    <t>Pedbaba Astika Visarjan Trip</t>
  </si>
  <si>
    <t>Delivery Hospital</t>
  </si>
  <si>
    <t>Srikant Gave</t>
  </si>
  <si>
    <t>Business</t>
  </si>
  <si>
    <t>Rohit Personal Work</t>
  </si>
  <si>
    <t>Old</t>
  </si>
  <si>
    <t>Job Change Interval, 21 Day function</t>
  </si>
  <si>
    <t>I Gave</t>
  </si>
  <si>
    <t>Hospitalization</t>
  </si>
  <si>
    <t>Rohit Lendings</t>
  </si>
  <si>
    <t>Rohit has ample funds</t>
  </si>
  <si>
    <t>I Deducted EMIs</t>
  </si>
  <si>
    <t>Arakal Industries Worker Hospitalization</t>
  </si>
  <si>
    <t>Rohan has Shortage of Money</t>
  </si>
  <si>
    <t>I owe</t>
  </si>
  <si>
    <t>Cash Transfer</t>
  </si>
  <si>
    <t>Balaji Arkal needs online money against Cash</t>
  </si>
  <si>
    <t>Kiansh Fees</t>
  </si>
  <si>
    <t>Paid for function</t>
  </si>
  <si>
    <t>Petrol on runing</t>
  </si>
  <si>
    <t>Baba Medicines</t>
  </si>
  <si>
    <t>Mutton for Home</t>
  </si>
  <si>
    <t>ROI</t>
  </si>
  <si>
    <t>Paid for emergency</t>
  </si>
  <si>
    <t>Personal</t>
  </si>
  <si>
    <t>Person</t>
  </si>
  <si>
    <t>Srinivas (Srikant)</t>
  </si>
  <si>
    <t>NA</t>
  </si>
  <si>
    <t>Month</t>
  </si>
  <si>
    <t>Remaining Principal</t>
  </si>
  <si>
    <t>Interest Component</t>
  </si>
  <si>
    <t>Principal Component</t>
  </si>
  <si>
    <t>Rohan has ample money</t>
  </si>
  <si>
    <t>Bagal Mother Antim Expenses</t>
  </si>
  <si>
    <t>Investment IPO</t>
  </si>
  <si>
    <t>Returned</t>
  </si>
  <si>
    <t>To Srikant</t>
  </si>
  <si>
    <t>Srikant preganancy hospital fees</t>
  </si>
  <si>
    <t>Emergency Hospital Bill for srikant daughter</t>
  </si>
  <si>
    <t>2024-25</t>
  </si>
  <si>
    <t>Annual Income (₹)</t>
  </si>
  <si>
    <t>Taxable Income</t>
  </si>
  <si>
    <t>Lower Limit</t>
  </si>
  <si>
    <t>Upper Limit</t>
  </si>
  <si>
    <t>Tax Deduction</t>
  </si>
  <si>
    <t>Balance Salary</t>
  </si>
  <si>
    <t>Yearly</t>
  </si>
  <si>
    <t>Monthly</t>
  </si>
  <si>
    <t>Standard Deduction</t>
  </si>
  <si>
    <t>Up to ₹3,00,000</t>
  </si>
  <si>
    <t>Plus</t>
  </si>
  <si>
    <t>₹3,00,001 – ₹6,00,000</t>
  </si>
  <si>
    <t>Minus</t>
  </si>
  <si>
    <t>Tax Deducted</t>
  </si>
  <si>
    <t>₹6,00,001 – ₹9,00,000</t>
  </si>
  <si>
    <t>PF</t>
  </si>
  <si>
    <t>₹9,00,001 – ₹12,00,000</t>
  </si>
  <si>
    <t>Professional Tax</t>
  </si>
  <si>
    <t>₹12,00,001 – ₹15,00,000</t>
  </si>
  <si>
    <t>In Hand</t>
  </si>
  <si>
    <t>Above ₹15,00,000</t>
  </si>
  <si>
    <t>2025-26</t>
  </si>
  <si>
    <t>Tax Rate</t>
  </si>
  <si>
    <t>Up to ₹4,00,000</t>
  </si>
  <si>
    <t>₹4,00,001 – ₹8,00,000</t>
  </si>
  <si>
    <t>₹8,00,001 – ₹12,00,000</t>
  </si>
  <si>
    <t>₹12,00,001 – ₹16,00,000</t>
  </si>
  <si>
    <t>₹16,00,001 – ₹20,00,000</t>
  </si>
  <si>
    <t>₹20,00,001 – ₹24,00,000</t>
  </si>
  <si>
    <t>Above ₹24,00,000</t>
  </si>
  <si>
    <t>Hike</t>
  </si>
  <si>
    <t>Split</t>
  </si>
  <si>
    <t>This is the Fixed Balance to be maintained in a Bank Account</t>
  </si>
  <si>
    <t>Current Package (Yearly)</t>
  </si>
  <si>
    <t>Share</t>
  </si>
  <si>
    <t>This amount is calculated as 1000 per month from January 2023 onwards</t>
  </si>
  <si>
    <t>Running</t>
  </si>
  <si>
    <t>If I am in Jul 2023, then it will. be 7000</t>
  </si>
  <si>
    <t>Cash Available</t>
  </si>
  <si>
    <t>If I am in Jan 2024, then it will be 13000</t>
  </si>
  <si>
    <t>Work hours per day</t>
  </si>
  <si>
    <t>Amount Credited From Ishika</t>
  </si>
  <si>
    <t>Ishika Package (Monthly)</t>
  </si>
  <si>
    <t>Per Hour</t>
  </si>
  <si>
    <t>Months Passed</t>
  </si>
  <si>
    <t>Days in a month</t>
  </si>
  <si>
    <t>No of Kids</t>
  </si>
  <si>
    <t>Curd, Mint, Ginger Garlic Paste, Lemons</t>
  </si>
  <si>
    <t>RULE</t>
  </si>
  <si>
    <t>Bring everything to same number and add equally every month</t>
  </si>
  <si>
    <t>Per Month Running</t>
  </si>
  <si>
    <t>Per Session Salary</t>
  </si>
  <si>
    <t>EPF</t>
  </si>
  <si>
    <t>Employee Share</t>
  </si>
  <si>
    <t>Employer Share</t>
  </si>
  <si>
    <t>Pension Share</t>
  </si>
  <si>
    <t>Max Age among Kids</t>
  </si>
  <si>
    <t>Gold</t>
  </si>
  <si>
    <t>Chicken</t>
  </si>
  <si>
    <t>Mutual Funds, Emergency Funds, PPF should have same investment</t>
  </si>
  <si>
    <t>Ishika Monthly</t>
  </si>
  <si>
    <t>Days Passed</t>
  </si>
  <si>
    <t>Mins Spent With Ishika</t>
  </si>
  <si>
    <t>Mins Per Session</t>
  </si>
  <si>
    <t>Concentrix Daksha</t>
  </si>
  <si>
    <t>EF</t>
  </si>
  <si>
    <t>Max Budget Per Kid, Per Gift Per Birthday</t>
  </si>
  <si>
    <t>Balaji Sweet House</t>
  </si>
  <si>
    <t>Keep adding equally in all of them each month</t>
  </si>
  <si>
    <t>Ishika Yearly</t>
  </si>
  <si>
    <t>Per Day Running</t>
  </si>
  <si>
    <t>Amma</t>
  </si>
  <si>
    <t>No of Days</t>
  </si>
  <si>
    <t>Numer of Sessions Per Day</t>
  </si>
  <si>
    <t>Divami Deign Labs</t>
  </si>
  <si>
    <t>Number of Gifts Per Birthday</t>
  </si>
  <si>
    <t>Unused Balance</t>
  </si>
  <si>
    <t>Bourbon</t>
  </si>
  <si>
    <t>I need 6 such investment options</t>
  </si>
  <si>
    <t>Current Status</t>
  </si>
  <si>
    <t>Ishika Daily</t>
  </si>
  <si>
    <t>Mins Spend Per Day</t>
  </si>
  <si>
    <t>Per Day Salary</t>
  </si>
  <si>
    <t>Apptware Solutions LLP</t>
  </si>
  <si>
    <t>Budget Per Kid Per Birhtday</t>
  </si>
  <si>
    <t>Carry Bag</t>
  </si>
  <si>
    <t>1. Mutual Fund SIPs</t>
  </si>
  <si>
    <t>Final Paid Date</t>
  </si>
  <si>
    <t>Total number of Birthday Events</t>
  </si>
  <si>
    <t>2. Emergency Funds</t>
  </si>
  <si>
    <t>Number of days</t>
  </si>
  <si>
    <t>Per Birthday Budget</t>
  </si>
  <si>
    <t>3. Public Provident Funds</t>
  </si>
  <si>
    <t>Mins Spent With Ishika (Projected)</t>
  </si>
  <si>
    <t>Yearly Budget For All Kids All Gifts</t>
  </si>
  <si>
    <t>4. Gold</t>
  </si>
  <si>
    <t>Job Per Hour</t>
  </si>
  <si>
    <t>Hours Spent WIth Ishika</t>
  </si>
  <si>
    <t>5. EPFO</t>
  </si>
  <si>
    <t>Ishika Per Hour</t>
  </si>
  <si>
    <t>Total Days of Work Covered (8 hrs/day)</t>
  </si>
  <si>
    <t>6. RDs</t>
  </si>
  <si>
    <t>Job Hours Total</t>
  </si>
  <si>
    <t>Per day salary</t>
  </si>
  <si>
    <t>RD Amount</t>
  </si>
  <si>
    <t>Ishika Total Hours</t>
  </si>
  <si>
    <t>Job Daily</t>
  </si>
  <si>
    <t>Main Job Package (Annual)</t>
  </si>
  <si>
    <t>Main Job Package (Monthly)</t>
  </si>
  <si>
    <t>MITS</t>
  </si>
  <si>
    <t>Daily Income</t>
  </si>
  <si>
    <t>I am taking 90 mins sessions per day</t>
  </si>
  <si>
    <t>For each 90 mins session, I earn 850 rupees</t>
  </si>
  <si>
    <t>As a weekly target I am taking at least 5 sessions in a week</t>
  </si>
  <si>
    <t>Apptware</t>
  </si>
  <si>
    <t>So, I am earning at least 4200 rupees per week</t>
  </si>
  <si>
    <t>MITS S</t>
  </si>
  <si>
    <t>I am utilizing this money to reduce dependecy on Credit Card</t>
  </si>
  <si>
    <t>MITS D</t>
  </si>
  <si>
    <t>Goal is to use liquid cash for expenses which is earned from MITS</t>
  </si>
  <si>
    <t>Ishika</t>
  </si>
  <si>
    <t>I should use credit card only in case of emergencies</t>
  </si>
  <si>
    <t>Salry Net</t>
  </si>
  <si>
    <t>Jaycee</t>
  </si>
  <si>
    <t>Salary Gross</t>
  </si>
  <si>
    <t>MFs</t>
  </si>
  <si>
    <t>I am taking 90 mins sessions per workday</t>
  </si>
  <si>
    <t>water can</t>
  </si>
  <si>
    <t>Taxes Deducted</t>
  </si>
  <si>
    <t>For a month, I earn 45000 from this client</t>
  </si>
  <si>
    <t>Apptware Deductions</t>
  </si>
  <si>
    <t>I will add this money to emergency/fixed balance</t>
  </si>
  <si>
    <t>iron</t>
  </si>
  <si>
    <t>More Tax</t>
  </si>
  <si>
    <t>Extra Tax Payable</t>
  </si>
  <si>
    <t>Extra Income Gross</t>
  </si>
  <si>
    <t>Extra Income Net</t>
  </si>
  <si>
    <t>Extra Income Gross (Monthly)</t>
  </si>
  <si>
    <t>Apptware Salary</t>
  </si>
  <si>
    <t>Ishika MITS</t>
  </si>
  <si>
    <t>Stock Trading</t>
  </si>
  <si>
    <t>Total Spend</t>
  </si>
  <si>
    <t>Earning</t>
  </si>
  <si>
    <t>JAYCEE</t>
  </si>
  <si>
    <t>Payment Status</t>
  </si>
  <si>
    <t>Received Payment</t>
  </si>
  <si>
    <t>Day</t>
  </si>
  <si>
    <t>Billable Duration (mins)</t>
  </si>
  <si>
    <t>Billable Amount</t>
  </si>
  <si>
    <t>Days Covered</t>
  </si>
  <si>
    <t>Average Spend Per Day</t>
  </si>
  <si>
    <t>Invoice Rate</t>
  </si>
  <si>
    <t>Invoice Duration (mins)</t>
  </si>
  <si>
    <t>Client</t>
  </si>
  <si>
    <t>Start Time</t>
  </si>
  <si>
    <t>End Time</t>
  </si>
  <si>
    <t>Duration (mins)</t>
  </si>
  <si>
    <t>Invoice Amount</t>
  </si>
  <si>
    <t>Description</t>
  </si>
  <si>
    <t>Amount</t>
  </si>
  <si>
    <t>Mode</t>
  </si>
  <si>
    <t>GPay</t>
  </si>
  <si>
    <t>WorkDays</t>
  </si>
  <si>
    <t>Tax Payable EOY</t>
  </si>
  <si>
    <t>yearly</t>
  </si>
  <si>
    <t>monthly</t>
  </si>
  <si>
    <t>Ishika Friend</t>
  </si>
  <si>
    <t>CSRF Token Research - Personal Research as per Ishika Request</t>
  </si>
  <si>
    <t>CSRF Token Implementation - Failed attempt, but provided notes for further work prerequisites to Ishika</t>
  </si>
  <si>
    <t>added CSRF token to GET/POST/PUT calls in api package in all files</t>
  </si>
  <si>
    <t>yarn prepare all modules in app/lib and deployed to qa working fine, need to write common function for getcsrffromlocalstorage</t>
  </si>
  <si>
    <t>removed resusable getcsrf token and deployed prev version to 5.0.1204</t>
  </si>
  <si>
    <t>rebased CE-66 with develop branch</t>
  </si>
  <si>
    <t>CE-1141 developed welcome page and added env vars for redirection and client id</t>
  </si>
  <si>
    <t>CE-1141 updated payload to url string rather than JSON and moved env variables to docker and other correct files as informed</t>
  </si>
  <si>
    <t>CE-1141 coverted to formdata, Ishika to geet inputs on how to post data after redirecting to ohid login</t>
  </si>
  <si>
    <t>CE-1141 converted to formdata using content type but getting 400 bad request, for formdata, it is throwing error on redirection error.html api is called</t>
  </si>
  <si>
    <t>upgraded body-parser and path-to-regexp versions to remove high vulnerability issues by dependabot</t>
  </si>
  <si>
    <t>upgraded versions for high and moderate issues by dependabot</t>
  </si>
  <si>
    <t>sonar was unable to run all tests, unit tests were failing locally, fixed them, upgraded path-to-regexp verion to 1.7.0 and created separate test-sonar script to be used in sonar test runs and removed --runInBand from sonar test runs script</t>
  </si>
  <si>
    <t>removed resolutions from packages and kept only in root packages.json</t>
  </si>
  <si>
    <t>Working on the sonar unit tests broken tests to several groups to resolve heap memory issue</t>
  </si>
  <si>
    <t>Fixed unit tests for sonar</t>
  </si>
  <si>
    <t>Budget</t>
  </si>
  <si>
    <t>Remaining Budget</t>
  </si>
  <si>
    <t>Sessions Time Remaining</t>
  </si>
  <si>
    <t>Till Jul 2025</t>
  </si>
  <si>
    <t>Recieved Amount</t>
  </si>
  <si>
    <t>Time Spent</t>
  </si>
  <si>
    <t>ISHIKA</t>
  </si>
  <si>
    <t>Time Spent (Hrs)</t>
  </si>
  <si>
    <t>Amount Received</t>
  </si>
  <si>
    <t>Latest Date</t>
  </si>
  <si>
    <t>Duration Per Session (Hrs)</t>
  </si>
  <si>
    <t>Amount Per Min</t>
  </si>
  <si>
    <t>Sessions</t>
  </si>
  <si>
    <t>Amount Per 2 Hrs Session</t>
  </si>
  <si>
    <t>Amount Earned Per Session</t>
  </si>
  <si>
    <t>Time Per Session</t>
  </si>
  <si>
    <t>Bank Transfer</t>
  </si>
  <si>
    <t>31 sep 2025</t>
  </si>
  <si>
    <t>Num of Sessions</t>
  </si>
  <si>
    <t>Spend</t>
  </si>
  <si>
    <t>Deepak</t>
  </si>
  <si>
    <t>Average Spend Per Month</t>
  </si>
  <si>
    <t>Prev Week Pay</t>
  </si>
  <si>
    <t>Transaction Type</t>
  </si>
  <si>
    <t>Week Start</t>
  </si>
  <si>
    <t>Week End</t>
  </si>
  <si>
    <t>Payment</t>
  </si>
  <si>
    <t>Client failed to Join, But still payable to me as I was waiting</t>
  </si>
  <si>
    <t>Buggal</t>
  </si>
  <si>
    <t>Agreement filler, no session</t>
  </si>
  <si>
    <t>Client Absent</t>
  </si>
  <si>
    <t>Client not available</t>
  </si>
  <si>
    <t>Monthly ETA</t>
  </si>
  <si>
    <t>Total Amount Recieved</t>
  </si>
  <si>
    <t>Payment Received</t>
  </si>
  <si>
    <t>Hafiz Ahmed</t>
  </si>
  <si>
    <t>Days Left
to 16th</t>
  </si>
  <si>
    <t>1 lakh divider</t>
  </si>
  <si>
    <t>100 per day 
divider</t>
  </si>
  <si>
    <t>Years</t>
  </si>
  <si>
    <t>Age</t>
  </si>
  <si>
    <t>Anshuman</t>
  </si>
  <si>
    <t>Ninad</t>
  </si>
  <si>
    <t>Pruthviraj</t>
  </si>
  <si>
    <t>Harshavardhan</t>
  </si>
  <si>
    <t>Sarayu</t>
  </si>
  <si>
    <t>Baba</t>
  </si>
  <si>
    <t>Vayni</t>
  </si>
  <si>
    <t>Siri Vennela</t>
  </si>
  <si>
    <t>Anna</t>
  </si>
  <si>
    <t>Veronica</t>
  </si>
  <si>
    <t>Jahnvi</t>
  </si>
  <si>
    <t>Swati</t>
  </si>
  <si>
    <t>Sneha</t>
  </si>
  <si>
    <t>Car &amp; Petrol</t>
  </si>
  <si>
    <t>Days Driven</t>
  </si>
  <si>
    <t>Kms Run</t>
  </si>
  <si>
    <t>Kms / day</t>
  </si>
  <si>
    <t>Ltrs / day</t>
  </si>
  <si>
    <t>Amt / day</t>
  </si>
  <si>
    <t>Overall</t>
  </si>
  <si>
    <t>No. of Days</t>
  </si>
  <si>
    <t>Average</t>
  </si>
  <si>
    <t>Purpose</t>
  </si>
  <si>
    <t>SPENDS</t>
  </si>
  <si>
    <t>DAILY</t>
  </si>
  <si>
    <t>MONTHLY</t>
  </si>
  <si>
    <t>YEARLY</t>
  </si>
  <si>
    <t>Spends</t>
  </si>
  <si>
    <t>Food</t>
  </si>
  <si>
    <t>Axis 7221</t>
  </si>
  <si>
    <t>Alcohol</t>
  </si>
  <si>
    <t>Today (End Date)</t>
  </si>
  <si>
    <t>Cigarette</t>
  </si>
  <si>
    <t>Daily Spends</t>
  </si>
  <si>
    <t>Travel</t>
  </si>
  <si>
    <t>Clothes</t>
  </si>
  <si>
    <t>Last 31 Days</t>
  </si>
  <si>
    <t>Entertainment</t>
  </si>
  <si>
    <t>Shelter</t>
  </si>
  <si>
    <t>Profession</t>
  </si>
  <si>
    <t>Well Being</t>
  </si>
  <si>
    <t>Social Connect</t>
  </si>
  <si>
    <t>Responsibility</t>
  </si>
  <si>
    <t>Category</t>
  </si>
  <si>
    <t>Specification</t>
  </si>
  <si>
    <t>Quantity</t>
  </si>
  <si>
    <t>Place</t>
  </si>
  <si>
    <t>Pay Mode</t>
  </si>
  <si>
    <t>Payer</t>
  </si>
  <si>
    <t>Settled Status</t>
  </si>
  <si>
    <t>Daily Expense</t>
  </si>
  <si>
    <t>Settled</t>
  </si>
  <si>
    <t>Unsettled</t>
  </si>
  <si>
    <t>Mansion House</t>
  </si>
  <si>
    <t>Millilitres</t>
  </si>
  <si>
    <t>Self, Madanna</t>
  </si>
  <si>
    <t>Nizampet Wines</t>
  </si>
  <si>
    <t>Meals</t>
  </si>
  <si>
    <t>Units</t>
  </si>
  <si>
    <t>Self</t>
  </si>
  <si>
    <t>VRT Ruchulu</t>
  </si>
  <si>
    <t>Dayanna</t>
  </si>
  <si>
    <t>Chicken Biryani</t>
  </si>
  <si>
    <t>Madanna</t>
  </si>
  <si>
    <t>Rushi</t>
  </si>
  <si>
    <t>Edition - Active Mint</t>
  </si>
  <si>
    <t>Saraswait Behera</t>
  </si>
  <si>
    <t>Saada Pan</t>
  </si>
  <si>
    <t>Movie Tickets - Kalki</t>
  </si>
  <si>
    <t>Self, Buggal</t>
  </si>
  <si>
    <t>CineTown, Miyapur</t>
  </si>
  <si>
    <t>Kellogs Chocos Variety Pack</t>
  </si>
  <si>
    <t>Swiggy Instamart</t>
  </si>
  <si>
    <t>Eggs</t>
  </si>
  <si>
    <t>Sanwich Bread</t>
  </si>
  <si>
    <t>Salt</t>
  </si>
  <si>
    <t>Kilograms</t>
  </si>
  <si>
    <t>Milk</t>
  </si>
  <si>
    <t>Swiggy Food Handling Fee</t>
  </si>
  <si>
    <t>Coffee</t>
  </si>
  <si>
    <t>Tea Time, Kousalya Kaman</t>
  </si>
  <si>
    <t>Robo Somp</t>
  </si>
  <si>
    <t>Tea Time, SLG</t>
  </si>
  <si>
    <t>R4++</t>
  </si>
  <si>
    <t>Maggi</t>
  </si>
  <si>
    <t>Front Kirana</t>
  </si>
  <si>
    <t>Murmure</t>
  </si>
  <si>
    <t>Grams</t>
  </si>
  <si>
    <t>Dream Yuga</t>
  </si>
  <si>
    <t>Litre</t>
  </si>
  <si>
    <t>Near Taaza Tiffins</t>
  </si>
  <si>
    <t>Bread</t>
  </si>
  <si>
    <t>Vijetha Super Market</t>
  </si>
  <si>
    <t>Yippie</t>
  </si>
  <si>
    <t>Poha</t>
  </si>
  <si>
    <t>Carrybag</t>
  </si>
  <si>
    <t>Onion</t>
  </si>
  <si>
    <t>Tomato</t>
  </si>
  <si>
    <t>Mirchi</t>
  </si>
  <si>
    <t>Besta Karnakar</t>
  </si>
  <si>
    <t>Car Parking</t>
  </si>
  <si>
    <t>Miraj Cinemas, Cinetown - Miyapur</t>
  </si>
  <si>
    <t>Fries Combo</t>
  </si>
  <si>
    <t>Samosa</t>
  </si>
  <si>
    <t>Clogs</t>
  </si>
  <si>
    <t>Myntra</t>
  </si>
  <si>
    <t>Live Chicken</t>
  </si>
  <si>
    <t>Self, Rushi, Buggal</t>
  </si>
  <si>
    <t>Below Apartment</t>
  </si>
  <si>
    <t>Ice Cream - Feast</t>
  </si>
  <si>
    <t>Ramdev Super Market</t>
  </si>
  <si>
    <t>Dhaniya Powder</t>
  </si>
  <si>
    <t>Lemon</t>
  </si>
  <si>
    <t>Self, Rushi</t>
  </si>
  <si>
    <t>Tea Time - Kousalya Kaman</t>
  </si>
  <si>
    <t>Biscuit</t>
  </si>
  <si>
    <t>Onions</t>
  </si>
  <si>
    <t>Curd</t>
  </si>
  <si>
    <t>Juice</t>
  </si>
  <si>
    <t>Ghee Karam Dosa</t>
  </si>
  <si>
    <t>Taaza Tiffins</t>
  </si>
  <si>
    <t>Upma Dosa</t>
  </si>
  <si>
    <t>Bike Servicing</t>
  </si>
  <si>
    <t>Aprilia, Miyapur</t>
  </si>
  <si>
    <t>Edition</t>
  </si>
  <si>
    <t>Somp</t>
  </si>
  <si>
    <t>Bike Number Plate</t>
  </si>
  <si>
    <t>Miyapur, beside King's Bakery</t>
  </si>
  <si>
    <t>Bike Petrol</t>
  </si>
  <si>
    <t>Kousalya Kaman Petrol Pump</t>
  </si>
  <si>
    <t>Car Petrol</t>
  </si>
  <si>
    <t>Dog</t>
  </si>
  <si>
    <t>Edition - Sparkle Mint</t>
  </si>
  <si>
    <t>Kousalya Kaman Kirana</t>
  </si>
  <si>
    <t>SBI, Nizampet</t>
  </si>
  <si>
    <t>Tea</t>
  </si>
  <si>
    <t>Chai Time, Dmart, Nizampet</t>
  </si>
  <si>
    <t>Conditioner - Comfort</t>
  </si>
  <si>
    <t>DMart Nizampet</t>
  </si>
  <si>
    <t>Detergent - Wipro Safe Wash</t>
  </si>
  <si>
    <t>Dish Wash - Vim Soaps</t>
  </si>
  <si>
    <t>Floor Cleaner - Sparkle Floral</t>
  </si>
  <si>
    <t>Toilet Cleaner - Force 10</t>
  </si>
  <si>
    <t>Tea Time - SLG</t>
  </si>
  <si>
    <t>Harldiram's Tasty Nuts</t>
  </si>
  <si>
    <t>Toffee</t>
  </si>
  <si>
    <t>American Club Clove</t>
  </si>
  <si>
    <t>Maggi Noodles</t>
  </si>
  <si>
    <t>Handling Charges</t>
  </si>
  <si>
    <t>Loose Tandur Toordal</t>
  </si>
  <si>
    <t>Loose Jeera</t>
  </si>
  <si>
    <t>Rai Small</t>
  </si>
  <si>
    <t>Loose Fryums</t>
  </si>
  <si>
    <t>Loose SM Karnool Rice</t>
  </si>
  <si>
    <t>Kurmura Vijay</t>
  </si>
  <si>
    <t>Car Servicing</t>
  </si>
  <si>
    <t>Pickup/Drop Driver Fee</t>
  </si>
  <si>
    <t>Sizzlers</t>
  </si>
  <si>
    <t>Mojo Sizzlers - Sharath Capital Mall</t>
  </si>
  <si>
    <t>Cold Drinks</t>
  </si>
  <si>
    <t>Attapur</t>
  </si>
  <si>
    <t>T Shirts</t>
  </si>
  <si>
    <t>Van Heusen - Attapur</t>
  </si>
  <si>
    <t>Paneer Chilly</t>
  </si>
  <si>
    <t>Aditya, Rushi, Bawa, Nayana</t>
  </si>
  <si>
    <t>Swiggy Food</t>
  </si>
  <si>
    <t>Gin - Blue Sapphire</t>
  </si>
  <si>
    <t>Rushi, Bawa, Nayana</t>
  </si>
  <si>
    <t>Lucky Wines - Attapur</t>
  </si>
  <si>
    <t>Beer - Carlsberg Elephant</t>
  </si>
  <si>
    <t>Snacks</t>
  </si>
  <si>
    <t>Wriddhiman Arjun, Ramika Raghavi</t>
  </si>
  <si>
    <t>Karachi Bakery - Attapur</t>
  </si>
  <si>
    <t>Tfiins</t>
  </si>
  <si>
    <t>Aditya Rushi Nayana Bawa Kids</t>
  </si>
  <si>
    <t>Ram Bharose Bhattad Idli - Attapur</t>
  </si>
  <si>
    <t>Batteries</t>
  </si>
  <si>
    <t>Prawns Biryani</t>
  </si>
  <si>
    <t>Aditya, Rushi</t>
  </si>
  <si>
    <t>Shah Ghouse</t>
  </si>
  <si>
    <t>Lighter</t>
  </si>
  <si>
    <t>Chicken Manchurian</t>
  </si>
  <si>
    <t>Srikant, Aditya</t>
  </si>
  <si>
    <t>Bestha Karnakar</t>
  </si>
  <si>
    <t>Editions</t>
  </si>
  <si>
    <t>Fryums</t>
  </si>
  <si>
    <t>Amul Milk</t>
  </si>
  <si>
    <t>OPD</t>
  </si>
  <si>
    <t>Sriram Hospital, Manikonda</t>
  </si>
  <si>
    <t>X Ray</t>
  </si>
  <si>
    <t>Near Rushi Room</t>
  </si>
  <si>
    <t>Rushi, Buggal</t>
  </si>
  <si>
    <t>American Club Fruity</t>
  </si>
  <si>
    <t>Material - Light &amp; Swithc Board</t>
  </si>
  <si>
    <t>Urban Company</t>
  </si>
  <si>
    <t>Electrician Fees</t>
  </si>
  <si>
    <t>Behind Home</t>
  </si>
  <si>
    <t>Baba, Rohit</t>
  </si>
  <si>
    <t>Yashoda Hospital</t>
  </si>
  <si>
    <t>Gold Flake Lights</t>
  </si>
  <si>
    <t>Ayyappa Society Kirana</t>
  </si>
  <si>
    <t>Happydent White</t>
  </si>
  <si>
    <t>Movie Tickets - Bharateeyudu 2</t>
  </si>
  <si>
    <t>Rohit, Self</t>
  </si>
  <si>
    <t>Talluri Cinemas</t>
  </si>
  <si>
    <t>Editions - Active Mint</t>
  </si>
  <si>
    <t>Self, Chinnanna</t>
  </si>
  <si>
    <t>Sweet Pan</t>
  </si>
  <si>
    <t>Self, Rohit, Bharatanna, Chinnanna</t>
  </si>
  <si>
    <t>Self, Bharatanna</t>
  </si>
  <si>
    <t>Royal Stag</t>
  </si>
  <si>
    <t>Shekharanaa, Rohit</t>
  </si>
  <si>
    <t>Old City Wines</t>
  </si>
  <si>
    <t>Self, Rohit</t>
  </si>
  <si>
    <t>Teachers, Dewars</t>
  </si>
  <si>
    <t>Self, Baba, Rohit</t>
  </si>
  <si>
    <t>Ice Creams</t>
  </si>
  <si>
    <t>Self, Buggal, Rohit</t>
  </si>
  <si>
    <t>Baskin Robins</t>
  </si>
  <si>
    <t>Lucky Food Court</t>
  </si>
  <si>
    <t>Saraswati Behera</t>
  </si>
  <si>
    <t>Multiple</t>
  </si>
  <si>
    <t>Egg Puff</t>
  </si>
  <si>
    <t>Lucky Restaurant</t>
  </si>
  <si>
    <t>Kalai Prawn Pulav</t>
  </si>
  <si>
    <t>Match Box</t>
  </si>
  <si>
    <t>Jamun</t>
  </si>
  <si>
    <t>5 Star</t>
  </si>
  <si>
    <t>Munch</t>
  </si>
  <si>
    <t>Rum - Old Monk</t>
  </si>
  <si>
    <t>Cold Drink</t>
  </si>
  <si>
    <t>Sri Matha</t>
  </si>
  <si>
    <t>Movie Tickets - Kalki 2898 AD</t>
  </si>
  <si>
    <t>Prasad's</t>
  </si>
  <si>
    <t>Vegetables</t>
  </si>
  <si>
    <t>Active Mint</t>
  </si>
  <si>
    <t>Shah Ghouse, Lakdikapool</t>
  </si>
  <si>
    <t>Biryani</t>
  </si>
  <si>
    <t>Nayana Home</t>
  </si>
  <si>
    <t>Rushi Room</t>
  </si>
  <si>
    <t>Petrol - Car</t>
  </si>
  <si>
    <t>Samosa, Finger Chips</t>
  </si>
  <si>
    <t>Prasad's Multiples</t>
  </si>
  <si>
    <t>Pop Corn</t>
  </si>
  <si>
    <t>Curry Leaves</t>
  </si>
  <si>
    <t>Four Square</t>
  </si>
  <si>
    <t>Wills Flake</t>
  </si>
  <si>
    <t>Kellogs</t>
  </si>
  <si>
    <t>Udemy Course - Mern vs Next</t>
  </si>
  <si>
    <t>Udemy</t>
  </si>
  <si>
    <t>Indie Mint</t>
  </si>
  <si>
    <t>Ribbon Pakida</t>
  </si>
  <si>
    <t>Banana Chips</t>
  </si>
  <si>
    <t>Coke</t>
  </si>
  <si>
    <t>American</t>
  </si>
  <si>
    <t>Old Monk Rum</t>
  </si>
  <si>
    <t>Self, Lakshmi Narayana</t>
  </si>
  <si>
    <t>Lunch</t>
  </si>
  <si>
    <t>Buggal, Self, Lakshmi Narayana</t>
  </si>
  <si>
    <t>Bike Taxi</t>
  </si>
  <si>
    <t>Home =&gt; Citroen Service</t>
  </si>
  <si>
    <t>Rapido</t>
  </si>
  <si>
    <t>Gold Flake Indie Mint</t>
  </si>
  <si>
    <t>Gold Flake Neo Smart</t>
  </si>
  <si>
    <t>Handling Fees</t>
  </si>
  <si>
    <t>Free Coke</t>
  </si>
  <si>
    <t>Bachupally</t>
  </si>
  <si>
    <t>Dammaiguda</t>
  </si>
  <si>
    <t>Chocolates</t>
  </si>
  <si>
    <t>Kids, Dammaiguda</t>
  </si>
  <si>
    <t>Chips</t>
  </si>
  <si>
    <t>Jio Premium Subscription</t>
  </si>
  <si>
    <t>My Jio App</t>
  </si>
  <si>
    <t>Freedom Refined Sunflower Oil</t>
  </si>
  <si>
    <t>Zepto App</t>
  </si>
  <si>
    <t>A1 Biodegradable Garbage Dustbin Bags (19*21)</t>
  </si>
  <si>
    <t>Aashirvad Iodised Salt</t>
  </si>
  <si>
    <t>Gold Flake Indie Mint Cigarette</t>
  </si>
  <si>
    <t>Potato</t>
  </si>
  <si>
    <t>Curry Leaves - Cleaned, without roots</t>
  </si>
  <si>
    <t>Lemos</t>
  </si>
  <si>
    <t>Fresh White Eggs</t>
  </si>
  <si>
    <t>Tomato Local</t>
  </si>
  <si>
    <t>Daily Good Sugar M30</t>
  </si>
  <si>
    <t>Relish Chicken Curry Cut Without Skin</t>
  </si>
  <si>
    <t>Green Chilli</t>
  </si>
  <si>
    <t>Self, Buggal, Rushi</t>
  </si>
  <si>
    <t>Zepto</t>
  </si>
  <si>
    <t>Cold Drink, Vafors</t>
  </si>
  <si>
    <t>Delhi Mithai Bhandar</t>
  </si>
  <si>
    <t>Nalli Mamsam Pulav</t>
  </si>
  <si>
    <t>Palle Vindu</t>
  </si>
  <si>
    <t>Chicken Vepudu</t>
  </si>
  <si>
    <t>Flat Booking Agent</t>
  </si>
  <si>
    <t>Kondapur</t>
  </si>
  <si>
    <t>Linner</t>
  </si>
  <si>
    <t>Chennapatnam</t>
  </si>
  <si>
    <t>DLF</t>
  </si>
  <si>
    <t>Chicken Shawarma</t>
  </si>
  <si>
    <t>Vegetables - Palak</t>
  </si>
  <si>
    <t>Nizampet</t>
  </si>
  <si>
    <t>Movie Tickets - Deadpool v Wolverine</t>
  </si>
  <si>
    <t>SLN Terminus</t>
  </si>
  <si>
    <t>Waffy</t>
  </si>
  <si>
    <t>Ginger Garlic Paste</t>
  </si>
  <si>
    <t>Thumbs Up</t>
  </si>
  <si>
    <t>Moong Dal</t>
  </si>
  <si>
    <t>Tiffins</t>
  </si>
  <si>
    <t>Chicken Triple Rice</t>
  </si>
  <si>
    <t>Double Egg Noodles</t>
  </si>
  <si>
    <t>Veg Biryani</t>
  </si>
  <si>
    <t>Madhapur</t>
  </si>
  <si>
    <t>Water</t>
  </si>
  <si>
    <t>Allwyn Cross Road</t>
  </si>
  <si>
    <t>Chicken Dum Biryani</t>
  </si>
  <si>
    <t>Swiggy</t>
  </si>
  <si>
    <t>Amma Material From Shobha Peddamma</t>
  </si>
  <si>
    <t>Dunzo</t>
  </si>
  <si>
    <t>Egg Chilly</t>
  </si>
  <si>
    <t>Fast Tag recharge</t>
  </si>
  <si>
    <t>Mallampet</t>
  </si>
  <si>
    <t>Cash Transfer to Buggal</t>
  </si>
  <si>
    <t>Self -&gt; Buggal</t>
  </si>
  <si>
    <t>STR Flat 103</t>
  </si>
  <si>
    <t>Toll Plaaza</t>
  </si>
  <si>
    <t>Patancheru</t>
  </si>
  <si>
    <t>Omerga</t>
  </si>
  <si>
    <t>COC Game Pass</t>
  </si>
  <si>
    <t>COC</t>
  </si>
  <si>
    <t>Kachha Mango</t>
  </si>
  <si>
    <t>70-Foot Road</t>
  </si>
  <si>
    <t>Carlsberg Elephant Strong</t>
  </si>
  <si>
    <t>Dayanand College</t>
  </si>
  <si>
    <t>Vodka Green Apple Magic Moment</t>
  </si>
  <si>
    <t>Self, Rohan</t>
  </si>
  <si>
    <t>Gold Flake Lightd</t>
  </si>
  <si>
    <t>Padma Nagar</t>
  </si>
  <si>
    <t>Marlboro Advance</t>
  </si>
  <si>
    <t>Akshay</t>
  </si>
  <si>
    <t>Chewing Gums</t>
  </si>
  <si>
    <t>Self, Akshay, Rohit</t>
  </si>
  <si>
    <t>5G Data Voucher</t>
  </si>
  <si>
    <t>GB</t>
  </si>
  <si>
    <t>KLE School</t>
  </si>
  <si>
    <t>Classic Ice Burst</t>
  </si>
  <si>
    <t>Self, Srikant, Rohan</t>
  </si>
  <si>
    <t>ISKON</t>
  </si>
  <si>
    <t>Self, Rohan, Kids</t>
  </si>
  <si>
    <t>Ice Burst</t>
  </si>
  <si>
    <t>Tickets - Stree 2</t>
  </si>
  <si>
    <t>E Square Oasis, Solapur</t>
  </si>
  <si>
    <t>Samosa &amp; Cold Drinks</t>
  </si>
  <si>
    <t>Kids</t>
  </si>
  <si>
    <t>Upahar</t>
  </si>
  <si>
    <t>Cutting and Shaving</t>
  </si>
  <si>
    <t>Trinethra</t>
  </si>
  <si>
    <t>Self, Akshay</t>
  </si>
  <si>
    <t>Five Star</t>
  </si>
  <si>
    <t>Water Bottle</t>
  </si>
  <si>
    <t>Petrol</t>
  </si>
  <si>
    <t>ISKCON</t>
  </si>
  <si>
    <t>Self, Kids, Rohan</t>
  </si>
  <si>
    <t>Self, Rohan, Akshay, Srikant</t>
  </si>
  <si>
    <t>Self, Akshay, Srikant</t>
  </si>
  <si>
    <t>Market Yard</t>
  </si>
  <si>
    <t>Chocolates, Chips, Cold Drinks, Ice Creams</t>
  </si>
  <si>
    <t>Arakal General Store</t>
  </si>
  <si>
    <t>Transfer to Rohit</t>
  </si>
  <si>
    <t>Solapur</t>
  </si>
  <si>
    <t>Amma, Self</t>
  </si>
  <si>
    <t>Food Pyramid, Zaheerabad</t>
  </si>
  <si>
    <t>SLN Hospital</t>
  </si>
  <si>
    <t>Happydent</t>
  </si>
  <si>
    <t>Palleturi Dosa</t>
  </si>
  <si>
    <t>Frymes</t>
  </si>
  <si>
    <t>Sweets</t>
  </si>
  <si>
    <t>Pooja Materials</t>
  </si>
  <si>
    <t>Sri Sai Mini Market</t>
  </si>
  <si>
    <t>Pizza, Burger, Sandwich, Water</t>
  </si>
  <si>
    <t>Self, Buggal, Amma</t>
  </si>
  <si>
    <t>Nexus Mall</t>
  </si>
  <si>
    <t>Cold Coffee, Coffee, Water</t>
  </si>
  <si>
    <t>SLG Hospital</t>
  </si>
  <si>
    <t>Medicines</t>
  </si>
  <si>
    <t>Medplus STR Residency</t>
  </si>
  <si>
    <t>Khel Khel Mein - Movie Tickets</t>
  </si>
  <si>
    <t>Oil, Murmure</t>
  </si>
  <si>
    <t>Self, Amma</t>
  </si>
  <si>
    <t>Self, Amma, Mama &amp; family</t>
  </si>
  <si>
    <t>Sitting</t>
  </si>
  <si>
    <t>Beer - Kingfisher Lights</t>
  </si>
  <si>
    <t>Raju Mama, Chinna Mama, Suresh, Dayanna, Self</t>
  </si>
  <si>
    <t>Medchal</t>
  </si>
  <si>
    <t>Self, Amma, Chinnamama, Chinnatta, Dayanna, Raju Mama &amp; Family</t>
  </si>
  <si>
    <t>Glasses</t>
  </si>
  <si>
    <t>Gold Flake - Indie Mint</t>
  </si>
  <si>
    <t>Me ViIshikanna</t>
  </si>
  <si>
    <t>Ameerpet</t>
  </si>
  <si>
    <t>Veg Pizza</t>
  </si>
  <si>
    <t>Me, Buggal</t>
  </si>
  <si>
    <t>AMB Cinemas</t>
  </si>
  <si>
    <t>Me Amma Buggal</t>
  </si>
  <si>
    <t>Filter Coffee</t>
  </si>
  <si>
    <t>Shobakka Family, Amma, Buggal, Me</t>
  </si>
  <si>
    <t>Sweet Basket - Ameerpet</t>
  </si>
  <si>
    <t>Movie Tickets</t>
  </si>
  <si>
    <t>Kothimeera</t>
  </si>
  <si>
    <t>Sabudana Mixture</t>
  </si>
  <si>
    <t>Turmeric Powder</t>
  </si>
  <si>
    <t>Pomogranate</t>
  </si>
  <si>
    <t>Ice Creams &amp; Ration</t>
  </si>
  <si>
    <t>Me, Amma</t>
  </si>
  <si>
    <t>Groceries</t>
  </si>
  <si>
    <t>Me</t>
  </si>
  <si>
    <t>Anjayya Colony</t>
  </si>
  <si>
    <t>Smokes</t>
  </si>
  <si>
    <t>Nampally Care Hospital</t>
  </si>
  <si>
    <t>Center Fresh</t>
  </si>
  <si>
    <t>Masks</t>
  </si>
  <si>
    <t>Me, Amma, Buggal</t>
  </si>
  <si>
    <t>Roti, Water, Juice</t>
  </si>
  <si>
    <t>Vanekka, Amma</t>
  </si>
  <si>
    <t>Ice Cream, Curd</t>
  </si>
  <si>
    <t>Sev Murmure</t>
  </si>
  <si>
    <t>Kirana</t>
  </si>
  <si>
    <t>Jubilee Hills</t>
  </si>
  <si>
    <t>Chicken Fried Rice, Chilly Chicken, Mutton Soup</t>
  </si>
  <si>
    <t>4 Seasons - Mehdipatnam</t>
  </si>
  <si>
    <t>Biscuits for Kids</t>
  </si>
  <si>
    <t>Nayana Family, Buggal, Rushi, Me</t>
  </si>
  <si>
    <t>Karachi Bakery</t>
  </si>
  <si>
    <t>Akshay, Me</t>
  </si>
  <si>
    <t>2 Beer, Deewar's White Label</t>
  </si>
  <si>
    <t>Bawa, Me</t>
  </si>
  <si>
    <t>Dashing Car</t>
  </si>
  <si>
    <t>Akshay, Buggal, Priya, Rushi</t>
  </si>
  <si>
    <t>Asian - Attapur</t>
  </si>
  <si>
    <t>Veg</t>
  </si>
  <si>
    <t>Akshay Family, Me, Rushi, Nayana Family</t>
  </si>
  <si>
    <t>Amma, Buggal, Rushi, Me</t>
  </si>
  <si>
    <t>Sri Vishnu Priya</t>
  </si>
  <si>
    <t>Rakhi &amp; Sweets</t>
  </si>
  <si>
    <t>Buggal - Rakhi Katnam</t>
  </si>
  <si>
    <t>Home</t>
  </si>
  <si>
    <t>Movie Tickets - Maruthi Nagar Subramanyam</t>
  </si>
  <si>
    <t>INOX Ashok One Mall</t>
  </si>
  <si>
    <t>Coffee, Pop Corn</t>
  </si>
  <si>
    <t>Narsing - Hyderguda</t>
  </si>
  <si>
    <t>Vijetha</t>
  </si>
  <si>
    <t>Amma, Buggal, Me</t>
  </si>
  <si>
    <t>Mandi</t>
  </si>
  <si>
    <t>Tea, Coffee, Water Bottle</t>
  </si>
  <si>
    <t>Amma, Nayana, Akshay, Priya, Me</t>
  </si>
  <si>
    <t>Akshay, me</t>
  </si>
  <si>
    <t>Pulse Candy</t>
  </si>
  <si>
    <t>Tandoori Chicken, Chicken Tikka</t>
  </si>
  <si>
    <t>Train Tickets</t>
  </si>
  <si>
    <t>Amma, Rushi</t>
  </si>
  <si>
    <t>Shatabdi Superfast Express</t>
  </si>
  <si>
    <t>Chicken &amp; Necessary Grocery</t>
  </si>
  <si>
    <t>Ice Creams &amp; Cookies</t>
  </si>
  <si>
    <t>Game Pass - Clash of Clans</t>
  </si>
  <si>
    <t>Google Play Store</t>
  </si>
  <si>
    <t>Cold Drink, Soda</t>
  </si>
  <si>
    <t>Amma, Buggal, Dayanna, Me</t>
  </si>
  <si>
    <t>Lucky Tea Point</t>
  </si>
  <si>
    <t>Chicken 65, Chicken Majestic</t>
  </si>
  <si>
    <t>Dyanna, Buggal, Me</t>
  </si>
  <si>
    <t>Manshion House</t>
  </si>
  <si>
    <t>Dayanna, Me</t>
  </si>
  <si>
    <t>Masala Dosa, Idli, Idli Wada</t>
  </si>
  <si>
    <t>Mutton Biryani, Chicken Kebab</t>
  </si>
  <si>
    <t>Buggal, Me</t>
  </si>
  <si>
    <t>Paradise</t>
  </si>
  <si>
    <t>Parking</t>
  </si>
  <si>
    <t>Amma, Dayanna, Buggal, Me</t>
  </si>
  <si>
    <t>Secunderabad Railway Station</t>
  </si>
  <si>
    <t>Maggi and Cheese</t>
  </si>
  <si>
    <t>Cheese and Soup</t>
  </si>
  <si>
    <t>Chicken Biryani, Chicken Tikka Kebab</t>
  </si>
  <si>
    <t>Lakshmi Narayana, Buggal, Me</t>
  </si>
  <si>
    <t>Parottas and Rotis</t>
  </si>
  <si>
    <t>Masala Dosa, Idli</t>
  </si>
  <si>
    <t>Lucky Tiffins</t>
  </si>
  <si>
    <t>Snacks, Vegetables and Groceries</t>
  </si>
  <si>
    <t>Movie Tickets - GOAT</t>
  </si>
  <si>
    <t>Miraj Cinemas, Miyapur</t>
  </si>
  <si>
    <t>Cheese Pizza</t>
  </si>
  <si>
    <t>Lizol, Harpic, Milk</t>
  </si>
  <si>
    <t>Rum</t>
  </si>
  <si>
    <t>Laxmi Narayana, Me</t>
  </si>
  <si>
    <t>Chicken Tikka, Mini Chicken Biryani</t>
  </si>
  <si>
    <t>Chicken Mandi</t>
  </si>
  <si>
    <t>Poori (3 Pcs)</t>
  </si>
  <si>
    <t>Idly Dosa 4 You</t>
  </si>
  <si>
    <t>2 Idli + 1 Vada</t>
  </si>
  <si>
    <t>Taxes</t>
  </si>
  <si>
    <t>Makka Chiwda</t>
  </si>
  <si>
    <t>HNizampet Hot Chips</t>
  </si>
  <si>
    <t>Plain Rice Papad</t>
  </si>
  <si>
    <t>Wheels</t>
  </si>
  <si>
    <t>Me, Chinnanna</t>
  </si>
  <si>
    <t>Orange Sugar Balls</t>
  </si>
  <si>
    <t>Mixture</t>
  </si>
  <si>
    <t>Chilli Egg</t>
  </si>
  <si>
    <t>Sri Matha Food Court</t>
  </si>
  <si>
    <t>Dragon Chicken</t>
  </si>
  <si>
    <t>Rumali Roti</t>
  </si>
  <si>
    <t>Old Monk Old Rum</t>
  </si>
  <si>
    <t>RC Lite Beer</t>
  </si>
  <si>
    <t>Chinnanna</t>
  </si>
  <si>
    <t>Veg Hakka Noodales</t>
  </si>
  <si>
    <t>Frost Chill Bistro</t>
  </si>
  <si>
    <t>Gobi Manchurian</t>
  </si>
  <si>
    <t>Atukula Poha</t>
  </si>
  <si>
    <t>Me, Shinkaka</t>
  </si>
  <si>
    <t>MS Cravings</t>
  </si>
  <si>
    <t>Humnabad</t>
  </si>
  <si>
    <t>Ice Cream</t>
  </si>
  <si>
    <t>Poornima</t>
  </si>
  <si>
    <t>Gold Flake Lites</t>
  </si>
  <si>
    <t>Suruchi</t>
  </si>
  <si>
    <t>Recharge</t>
  </si>
  <si>
    <t>Days</t>
  </si>
  <si>
    <t>Namaskar Somp</t>
  </si>
  <si>
    <t>Me, Rohan</t>
  </si>
  <si>
    <t>Ashok Chowk</t>
  </si>
  <si>
    <t>Jio Fibre Relocation</t>
  </si>
  <si>
    <t>Me, Rohit, Rohan</t>
  </si>
  <si>
    <t>Pyramid Food Court, Zaheerabad</t>
  </si>
  <si>
    <t>CNG</t>
  </si>
  <si>
    <t>Me, Amma, Baba</t>
  </si>
  <si>
    <t>Sadashivpet</t>
  </si>
  <si>
    <t>Face Masks</t>
  </si>
  <si>
    <t>Edition Active Mint</t>
  </si>
  <si>
    <t>Ration</t>
  </si>
  <si>
    <t>Note Books</t>
  </si>
  <si>
    <t>Me, Kids</t>
  </si>
  <si>
    <t>Elephant Strong</t>
  </si>
  <si>
    <t>Janata Bar</t>
  </si>
  <si>
    <t>Me, Srikant</t>
  </si>
  <si>
    <t>Paan</t>
  </si>
  <si>
    <t>Gas Regulator and Lighter</t>
  </si>
  <si>
    <t>Geyser Fitting Kit</t>
  </si>
  <si>
    <t>Damage Recovery for Time</t>
  </si>
  <si>
    <t>Gas Second Connection</t>
  </si>
  <si>
    <t>Gulab Jamun</t>
  </si>
  <si>
    <t>Family</t>
  </si>
  <si>
    <t>Biscuits</t>
  </si>
  <si>
    <t>Bowrampet</t>
  </si>
  <si>
    <t>Idli, Wada, Bonda, Puri</t>
  </si>
  <si>
    <t>Party</t>
  </si>
  <si>
    <t>Me, Lakshmi Narayana</t>
  </si>
  <si>
    <t>Cold Drinks &amp; Water</t>
  </si>
  <si>
    <t>Me, Buggal, Lakshmi Narayana</t>
  </si>
  <si>
    <t>House Shifting Transport</t>
  </si>
  <si>
    <t>Gachibowli to Kondapur</t>
  </si>
  <si>
    <t>Kids Books and Pen</t>
  </si>
  <si>
    <t>5G Data Pack</t>
  </si>
  <si>
    <t>Movie Tickets - Saripoda Sanivaram</t>
  </si>
  <si>
    <t>MIDC</t>
  </si>
  <si>
    <t>Mirchi Bhajji</t>
  </si>
  <si>
    <t>TV Wall Mount</t>
  </si>
  <si>
    <t>Rahul Wireman</t>
  </si>
  <si>
    <t>Me, Rohit</t>
  </si>
  <si>
    <t>Salon - Hair Cut and Shave</t>
  </si>
  <si>
    <t>Home Salon</t>
  </si>
  <si>
    <t>Candy</t>
  </si>
  <si>
    <t>Monopoly Cricket</t>
  </si>
  <si>
    <t>Amazon</t>
  </si>
  <si>
    <t>Mens Sports Tights</t>
  </si>
  <si>
    <t>Underwear</t>
  </si>
  <si>
    <t>Jockey</t>
  </si>
  <si>
    <t>Royal Stag, Magic Moments</t>
  </si>
  <si>
    <t>Rubber Ball</t>
  </si>
  <si>
    <t>Kachori</t>
  </si>
  <si>
    <t>Lokpriya</t>
  </si>
  <si>
    <t>Old Monk Run</t>
  </si>
  <si>
    <t>Chicken 65 Oil Fry</t>
  </si>
  <si>
    <t>Hutatma Express</t>
  </si>
  <si>
    <t>IRCTC</t>
  </si>
  <si>
    <t>Petrol Car</t>
  </si>
  <si>
    <t>Me, Appa</t>
  </si>
  <si>
    <t>Mohol</t>
  </si>
  <si>
    <t>Toll Mohol</t>
  </si>
  <si>
    <t>Cough Syrup</t>
  </si>
  <si>
    <t>Create a form that collects every transaction</t>
  </si>
  <si>
    <t>whether it be income as salary, income from freelancing, income from tutoring or any other income</t>
  </si>
  <si>
    <t>whether it be expense for savings, daily needs, responsibilities, bills, loan emis, etc</t>
  </si>
  <si>
    <t>every single transaction should be handled by this single form</t>
  </si>
  <si>
    <t xml:space="preserve">user lands on a page with a list of buttons and keeps clicking until the transaction is complete </t>
  </si>
  <si>
    <t>Banks</t>
  </si>
  <si>
    <t>Create a desktop application with responsive design</t>
  </si>
  <si>
    <t>Page 1</t>
  </si>
  <si>
    <t>Page 2</t>
  </si>
  <si>
    <t>Page 3</t>
  </si>
  <si>
    <t>Page 4</t>
  </si>
  <si>
    <t>Page 5</t>
  </si>
  <si>
    <t>launch the app on hostinger domain with proper secutiry and google credentials</t>
  </si>
  <si>
    <t>Money IN</t>
  </si>
  <si>
    <t>allow dynamic creation of items on the pages</t>
  </si>
  <si>
    <t>Job Salary</t>
  </si>
  <si>
    <t>page 1 is fixed with money IN and money OUT</t>
  </si>
  <si>
    <t>Freelancing</t>
  </si>
  <si>
    <t>page 2 to page n-r will have mutliple categories as need be</t>
  </si>
  <si>
    <t>ICICI</t>
  </si>
  <si>
    <t>final r-1 pages will have linking bank account, emi creation and service utilized with delayed payment</t>
  </si>
  <si>
    <t>final 1 page will have summary of the complete all pages with editable items and submit button</t>
  </si>
  <si>
    <t>Hafizullah Ahmad</t>
  </si>
  <si>
    <t>Consider following transaction types in the last page before adding amount</t>
  </si>
  <si>
    <t>Service Utilized, Payment Pending</t>
  </si>
  <si>
    <t>EMIs or pending payments like water cans, etc</t>
  </si>
  <si>
    <t>Money OUT</t>
  </si>
  <si>
    <t>Service Utilized and Payment Done</t>
  </si>
  <si>
    <t>Should connect a bank account to every transaction type by default</t>
  </si>
  <si>
    <t>This bank account can be changed when actually logging the transaction</t>
  </si>
  <si>
    <t>service utilized and payment done is a one time transaction</t>
  </si>
  <si>
    <t>Credit Card Payments</t>
  </si>
  <si>
    <t xml:space="preserve">service utilized and payment pending is a one time transaction, </t>
  </si>
  <si>
    <t>but it can create EMI or later date one time payment pending entry</t>
  </si>
  <si>
    <t>AXIS 2009</t>
  </si>
  <si>
    <t>Maid</t>
  </si>
  <si>
    <t>Car Maintenance</t>
  </si>
  <si>
    <t>Create a transactions form</t>
  </si>
  <si>
    <t>Home Renovation</t>
  </si>
  <si>
    <t>I can enter the transaction amount</t>
  </si>
  <si>
    <t>Loan Payments</t>
  </si>
  <si>
    <t>I can enter the transaction date</t>
  </si>
  <si>
    <t>Utility Loans</t>
  </si>
  <si>
    <t>I can enter money in or out</t>
  </si>
  <si>
    <t>BOB Car Loan</t>
  </si>
  <si>
    <t>select bank account for the transaction</t>
  </si>
  <si>
    <t>Personal Loans</t>
  </si>
  <si>
    <t>select whether automated transfer or manual payment</t>
  </si>
  <si>
    <t>Axis Personal Loan 1.34 L</t>
  </si>
  <si>
    <t>then i can enter n number of tags to this transaction</t>
  </si>
  <si>
    <t>Baba ICICI 20L Loan</t>
  </si>
  <si>
    <t>the tags will be like loan payment, personal loan, bajaj</t>
  </si>
  <si>
    <t>or the tags can be buggal time, eat out</t>
  </si>
  <si>
    <t>or the tags can be responsibilities, buggal, gifts, worlds best daughter idol</t>
  </si>
  <si>
    <t>or kids, home, gifts, anshuman birthday, all boys, all girls, painting kit</t>
  </si>
  <si>
    <t>or salary, apptware solutions llp, march 2025</t>
  </si>
  <si>
    <t>or cc payments, icici 7018</t>
  </si>
  <si>
    <t>suggestions will be populated from previous tags, each tag = string.spli(',') each item</t>
  </si>
  <si>
    <t>Gold Loan</t>
  </si>
  <si>
    <t>Daily Expenses</t>
  </si>
  <si>
    <t>develop a search box with filter chips and dropdown menu for creating the tags</t>
  </si>
  <si>
    <t>Buggal Time</t>
  </si>
  <si>
    <t>display tags above the search box</t>
  </si>
  <si>
    <t>display suggestions as user types into search</t>
  </si>
  <si>
    <t>Eat Out</t>
  </si>
  <si>
    <t>Friends &amp; Party</t>
  </si>
  <si>
    <t>Home Maintenance</t>
  </si>
  <si>
    <t>Kitchen Items</t>
  </si>
  <si>
    <t>FD</t>
  </si>
  <si>
    <t>Paytm Money</t>
  </si>
  <si>
    <t xml:space="preserve">Axis </t>
  </si>
  <si>
    <t>Dhan App</t>
  </si>
  <si>
    <t>Transferred TO</t>
  </si>
  <si>
    <t>Received From</t>
  </si>
  <si>
    <t>Source</t>
  </si>
  <si>
    <t>Loom Ishara</t>
  </si>
  <si>
    <t>Machine Deposit</t>
  </si>
  <si>
    <t>Axis IMPS</t>
  </si>
  <si>
    <t>Machine Deposit will be released after Business is closed and machines are returned</t>
  </si>
  <si>
    <t>Actual Investment</t>
  </si>
  <si>
    <t>Bogus</t>
  </si>
  <si>
    <t>Share Percentage</t>
  </si>
  <si>
    <t>Working Share</t>
  </si>
  <si>
    <t>Total Share</t>
  </si>
  <si>
    <t>Equal Share</t>
  </si>
  <si>
    <t>Rohan 50% Share</t>
  </si>
  <si>
    <t>Loom Deposit</t>
  </si>
  <si>
    <t>Balaji Arkal</t>
  </si>
  <si>
    <t>Verifying Newly Added Benefiriciary works</t>
  </si>
  <si>
    <t>Loom Deposit Transfer to Balaji Arkal</t>
  </si>
  <si>
    <t>Planned Investment</t>
  </si>
  <si>
    <t>Middle Man Commision 15K/35K</t>
  </si>
  <si>
    <t>Invested Amount</t>
  </si>
  <si>
    <t>Machine Start Budget</t>
  </si>
  <si>
    <t>Working Partner</t>
  </si>
  <si>
    <t>Investor</t>
  </si>
  <si>
    <t>Remaining Investment</t>
  </si>
  <si>
    <t>Starting Work</t>
  </si>
  <si>
    <t>Balance Refund</t>
  </si>
  <si>
    <t>From Rohan</t>
  </si>
  <si>
    <t>Available Unused Balance</t>
  </si>
  <si>
    <t>Profit Share</t>
  </si>
  <si>
    <t>Gap In Investment Amount</t>
  </si>
  <si>
    <t>Business Rules</t>
  </si>
  <si>
    <t>Aditya invests financially</t>
  </si>
  <si>
    <t>Deposit</t>
  </si>
  <si>
    <t>Rohan invests time and efforts</t>
  </si>
  <si>
    <t>Initial Investment</t>
  </si>
  <si>
    <t>Both, Aditya and Rohan share profits equally forever</t>
  </si>
  <si>
    <t>Backup Investment</t>
  </si>
  <si>
    <t>Aditya to close all loans on his own profit, Rohan is not responsible for it</t>
  </si>
  <si>
    <t>The 2 machines deposit can never be returned to Aditya before closing of business</t>
  </si>
  <si>
    <t>As long as the machine deposit is by Aditya, Aditya can get 50% shares in profit</t>
  </si>
  <si>
    <t>The business may profit or loss, in that case atleast machine deposit should be returned back to Aditya</t>
  </si>
  <si>
    <t>During business closing Rohan return 2L deposit back to Aditya</t>
  </si>
  <si>
    <t>During business closing Rohan return whatever remains of the material upto max of initial and backup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</si>
</sst>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h:mm am/pm"/>
    <numFmt numFmtId="165" formatCode="mmmm yyyy"/>
    <numFmt numFmtId="166" formatCode="d mmm yyyy"/>
    <numFmt numFmtId="167" formatCode="d&quot; &quot;mmm&quot; &quot;yyyy"/>
    <numFmt numFmtId="168" formatCode="mmm yyyy"/>
    <numFmt numFmtId="169" formatCode="mmm d, yyyy"/>
    <numFmt numFmtId="170" formatCode="d mmmm"/>
    <numFmt numFmtId="171" formatCode="mm-dd-yyyy"/>
    <numFmt numFmtId="172" formatCode="d&quot;-&quot;mmm&quot;-&quot;yyyy"/>
    <numFmt numFmtId="173" formatCode="M/d/yyyy H:mm:ss"/>
    <numFmt numFmtId="174" formatCode="d mmmm yyyy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Lexend"/>
    </font>
    <font>
      <sz val="11.0"/>
      <color theme="1"/>
      <name val="Lexend"/>
    </font>
    <font>
      <sz val="11.0"/>
      <color rgb="FFFF0000"/>
      <name val="Lexend"/>
    </font>
    <font>
      <sz val="11.0"/>
      <color rgb="FFFFFFFF"/>
      <name val="Lexend"/>
    </font>
    <font>
      <color rgb="FF434343"/>
      <name val="Arial"/>
      <scheme val="minor"/>
    </font>
    <font>
      <b/>
      <color theme="1"/>
      <name val="Arial"/>
      <scheme val="minor"/>
    </font>
    <font>
      <color rgb="FF434343"/>
      <name val="Arial"/>
    </font>
    <font>
      <sz val="11.0"/>
      <color rgb="FF4F4F4F"/>
      <name val="CircularXXWeb-Regular"/>
    </font>
    <font>
      <sz val="11.0"/>
      <color rgb="FF666666"/>
      <name val="CircularXXWeb-Regular"/>
    </font>
    <font>
      <sz val="11.0"/>
      <color rgb="FF666666"/>
      <name val="Arial"/>
    </font>
    <font>
      <sz val="9.0"/>
      <color rgb="FF817E7E"/>
      <name val="CircularXXWeb-Book"/>
    </font>
    <font>
      <sz val="11.0"/>
      <color rgb="FF666666"/>
      <name val="CircularXXWeb-Light"/>
    </font>
    <font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u/>
      <sz val="9.0"/>
      <color rgb="FF0000FF"/>
      <name val="Arial"/>
    </font>
    <font>
      <sz val="9.0"/>
      <color rgb="FF000000"/>
      <name val="Arial"/>
    </font>
    <font>
      <b/>
      <sz val="9.0"/>
      <color theme="1"/>
      <name val="Arial"/>
    </font>
    <font>
      <b/>
      <color theme="1"/>
      <name val="Arial"/>
    </font>
    <font>
      <color rgb="FFFFFFFF"/>
      <name val="Arial"/>
      <scheme val="minor"/>
    </font>
    <font>
      <sz val="9.0"/>
      <color rgb="FF000000"/>
      <name val="&quot;Google Sans Mono&quot;"/>
    </font>
  </fonts>
  <fills count="2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BF8"/>
        <bgColor rgb="FFFFFBF8"/>
      </patternFill>
    </fill>
    <fill>
      <patternFill patternType="solid">
        <fgColor rgb="FFFDFDFD"/>
        <bgColor rgb="FFFDFDFD"/>
      </patternFill>
    </fill>
    <fill>
      <patternFill patternType="solid">
        <fgColor rgb="FFFFFFFF"/>
        <bgColor rgb="FFFFFFFF"/>
      </patternFill>
    </fill>
    <fill>
      <patternFill patternType="solid">
        <fgColor rgb="FFD4D4D4"/>
        <bgColor rgb="FFD4D4D4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1F1F1"/>
      </left>
      <bottom style="thin">
        <color rgb="FF000000"/>
      </bottom>
    </border>
    <border>
      <right style="thin">
        <color rgb="FFF1F1F1"/>
      </right>
      <bottom style="thin">
        <color rgb="FF000000"/>
      </bottom>
    </border>
    <border>
      <left style="thin">
        <color rgb="FFF1F1F1"/>
      </left>
      <bottom style="thin">
        <color rgb="FFF1F1F1"/>
      </bottom>
    </border>
    <border>
      <bottom style="thin">
        <color rgb="FFF1F1F1"/>
      </bottom>
    </border>
    <border>
      <right style="thin">
        <color rgb="FFF1F1F1"/>
      </right>
      <bottom style="thin">
        <color rgb="FFF1F1F1"/>
      </bottom>
    </border>
    <border>
      <right style="thin">
        <color rgb="FFE7E7E7"/>
      </right>
      <top style="thin">
        <color rgb="FFE7E7E7"/>
      </top>
    </border>
    <border>
      <right style="thin">
        <color rgb="FFE0E1E2"/>
      </right>
      <top style="thin">
        <color rgb="FFE0E1E2"/>
      </top>
      <bottom style="thin">
        <color rgb="FFE0E1E2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4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166" xfId="0" applyAlignment="1" applyFont="1" applyNumberFormat="1">
      <alignment readingOrder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2" fillId="0" fontId="2" numFmtId="167" xfId="0" applyBorder="1" applyFont="1" applyNumberFormat="1"/>
    <xf borderId="4" fillId="2" fontId="3" numFmtId="0" xfId="0" applyAlignment="1" applyBorder="1" applyFont="1">
      <alignment readingOrder="0"/>
    </xf>
    <xf borderId="5" fillId="2" fontId="3" numFmtId="0" xfId="0" applyAlignment="1" applyBorder="1" applyFont="1">
      <alignment readingOrder="0"/>
    </xf>
    <xf borderId="5" fillId="2" fontId="4" numFmtId="0" xfId="0" applyAlignment="1" applyBorder="1" applyFont="1">
      <alignment readingOrder="0"/>
    </xf>
    <xf borderId="1" fillId="2" fontId="3" numFmtId="0" xfId="0" applyBorder="1" applyFont="1"/>
    <xf borderId="0" fillId="0" fontId="4" numFmtId="0" xfId="0" applyFont="1"/>
    <xf borderId="0" fillId="0" fontId="2" numFmtId="165" xfId="0" applyFont="1" applyNumberForma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0" fillId="0" fontId="2" numFmtId="0" xfId="0" applyFont="1"/>
    <xf borderId="0" fillId="0" fontId="3" numFmtId="166" xfId="0" applyFont="1" applyNumberFormat="1"/>
    <xf borderId="0" fillId="0" fontId="4" numFmtId="166" xfId="0" applyFont="1" applyNumberFormat="1"/>
    <xf borderId="2" fillId="0" fontId="3" numFmtId="0" xfId="0" applyBorder="1" applyFont="1"/>
    <xf borderId="1" fillId="2" fontId="2" numFmtId="0" xfId="0" applyBorder="1" applyFont="1"/>
    <xf borderId="4" fillId="2" fontId="3" numFmtId="0" xfId="0" applyBorder="1" applyFont="1"/>
    <xf borderId="5" fillId="2" fontId="3" numFmtId="0" xfId="0" applyBorder="1" applyFont="1"/>
    <xf borderId="5" fillId="2" fontId="4" numFmtId="0" xfId="0" applyBorder="1" applyFont="1"/>
    <xf borderId="1" fillId="2" fontId="3" numFmtId="4" xfId="0" applyBorder="1" applyFont="1" applyNumberFormat="1"/>
    <xf borderId="1" fillId="0" fontId="3" numFmtId="4" xfId="0" applyBorder="1" applyFont="1" applyNumberFormat="1"/>
    <xf borderId="1" fillId="2" fontId="3" numFmtId="0" xfId="0" applyBorder="1" applyFont="1"/>
    <xf borderId="0" fillId="0" fontId="3" numFmtId="0" xfId="0" applyAlignment="1" applyFont="1">
      <alignment horizontal="right" readingOrder="0"/>
    </xf>
    <xf borderId="0" fillId="0" fontId="2" numFmtId="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2" fillId="0" fontId="3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borderId="5" fillId="2" fontId="4" numFmtId="0" xfId="0" applyAlignment="1" applyBorder="1" applyFont="1">
      <alignment readingOrder="0" vertical="bottom"/>
    </xf>
    <xf borderId="1" fillId="0" fontId="3" numFmtId="4" xfId="0" applyAlignment="1" applyBorder="1" applyFont="1" applyNumberFormat="1">
      <alignment readingOrder="0"/>
    </xf>
    <xf borderId="3" fillId="0" fontId="3" numFmtId="4" xfId="0" applyBorder="1" applyFont="1" applyNumberFormat="1"/>
    <xf borderId="1" fillId="2" fontId="3" numFmtId="4" xfId="0" applyAlignment="1" applyBorder="1" applyFont="1" applyNumberFormat="1">
      <alignment horizontal="right" vertical="bottom"/>
    </xf>
    <xf borderId="6" fillId="0" fontId="3" numFmtId="4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readingOrder="0" vertical="bottom"/>
    </xf>
    <xf borderId="4" fillId="2" fontId="3" numFmtId="4" xfId="0" applyAlignment="1" applyBorder="1" applyFont="1" applyNumberFormat="1">
      <alignment horizontal="right" vertical="bottom"/>
    </xf>
    <xf borderId="7" fillId="0" fontId="3" numFmtId="4" xfId="0" applyAlignment="1" applyBorder="1" applyFont="1" applyNumberFormat="1">
      <alignment horizontal="right" vertical="bottom"/>
    </xf>
    <xf borderId="4" fillId="0" fontId="3" numFmtId="4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horizontal="right" readingOrder="0" vertical="bottom"/>
    </xf>
    <xf borderId="0" fillId="0" fontId="2" numFmtId="168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4" numFmtId="4" xfId="0" applyFont="1" applyNumberFormat="1"/>
    <xf borderId="0" fillId="0" fontId="4" numFmtId="4" xfId="0" applyAlignment="1" applyFont="1" applyNumberFormat="1">
      <alignment readingOrder="0"/>
    </xf>
    <xf borderId="0" fillId="2" fontId="3" numFmtId="4" xfId="0" applyAlignment="1" applyFont="1" applyNumberFormat="1">
      <alignment readingOrder="0"/>
    </xf>
    <xf borderId="0" fillId="2" fontId="3" numFmtId="0" xfId="0" applyAlignment="1" applyFont="1">
      <alignment horizontal="right" vertical="bottom"/>
    </xf>
    <xf borderId="8" fillId="0" fontId="3" numFmtId="0" xfId="0" applyAlignment="1" applyBorder="1" applyFont="1">
      <alignment readingOrder="0"/>
    </xf>
    <xf borderId="0" fillId="0" fontId="3" numFmtId="10" xfId="0" applyAlignment="1" applyFont="1" applyNumberFormat="1">
      <alignment readingOrder="0"/>
    </xf>
    <xf borderId="0" fillId="2" fontId="3" numFmtId="4" xfId="0" applyFont="1" applyNumberFormat="1"/>
    <xf borderId="0" fillId="2" fontId="3" numFmtId="0" xfId="0" applyAlignment="1" applyFont="1">
      <alignment readingOrder="0"/>
    </xf>
    <xf borderId="8" fillId="0" fontId="3" numFmtId="4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9" fillId="0" fontId="2" numFmtId="4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7" fillId="0" fontId="3" numFmtId="4" xfId="0" applyAlignment="1" applyBorder="1" applyFont="1" applyNumberFormat="1">
      <alignment readingOrder="0"/>
    </xf>
    <xf borderId="2" fillId="0" fontId="3" numFmtId="4" xfId="0" applyAlignment="1" applyBorder="1" applyFont="1" applyNumberFormat="1">
      <alignment readingOrder="0"/>
    </xf>
    <xf borderId="3" fillId="2" fontId="3" numFmtId="0" xfId="0" applyAlignment="1" applyBorder="1" applyFont="1">
      <alignment readingOrder="0"/>
    </xf>
    <xf borderId="4" fillId="0" fontId="3" numFmtId="4" xfId="0" applyAlignment="1" applyBorder="1" applyFont="1" applyNumberFormat="1">
      <alignment horizontal="right" vertical="bottom"/>
    </xf>
    <xf borderId="0" fillId="0" fontId="3" numFmtId="9" xfId="0" applyFont="1" applyNumberFormat="1"/>
    <xf borderId="0" fillId="0" fontId="3" numFmtId="167" xfId="0" applyFont="1" applyNumberFormat="1"/>
    <xf borderId="8" fillId="2" fontId="3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0" fillId="3" fontId="5" numFmtId="0" xfId="0" applyAlignment="1" applyFill="1" applyFont="1">
      <alignment readingOrder="0"/>
    </xf>
    <xf borderId="0" fillId="3" fontId="5" numFmtId="0" xfId="0" applyAlignment="1" applyFont="1">
      <alignment readingOrder="0" vertical="bottom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2" numFmtId="168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10" fillId="6" fontId="3" numFmtId="0" xfId="0" applyAlignment="1" applyBorder="1" applyFill="1" applyFont="1">
      <alignment vertical="bottom"/>
    </xf>
    <xf borderId="11" fillId="6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0" fillId="7" fontId="3" numFmtId="0" xfId="0" applyAlignment="1" applyFill="1" applyFont="1">
      <alignment readingOrder="0"/>
    </xf>
    <xf borderId="12" fillId="0" fontId="3" numFmtId="0" xfId="0" applyAlignment="1" applyBorder="1" applyFont="1">
      <alignment readingOrder="0"/>
    </xf>
    <xf borderId="0" fillId="7" fontId="3" numFmtId="4" xfId="0" applyAlignment="1" applyFont="1" applyNumberFormat="1">
      <alignment readingOrder="0"/>
    </xf>
    <xf borderId="0" fillId="7" fontId="3" numFmtId="4" xfId="0" applyFont="1" applyNumberFormat="1"/>
    <xf borderId="12" fillId="6" fontId="3" numFmtId="0" xfId="0" applyAlignment="1" applyBorder="1" applyFont="1">
      <alignment horizontal="right" readingOrder="0" vertical="bottom"/>
    </xf>
    <xf borderId="0" fillId="6" fontId="3" numFmtId="0" xfId="0" applyAlignment="1" applyFont="1">
      <alignment readingOrder="0"/>
    </xf>
    <xf borderId="12" fillId="0" fontId="3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8" fillId="7" fontId="3" numFmtId="0" xfId="0" applyAlignment="1" applyBorder="1" applyFont="1">
      <alignment readingOrder="0"/>
    </xf>
    <xf borderId="8" fillId="7" fontId="3" numFmtId="4" xfId="0" applyAlignment="1" applyBorder="1" applyFont="1" applyNumberFormat="1">
      <alignment readingOrder="0"/>
    </xf>
    <xf borderId="2" fillId="6" fontId="3" numFmtId="0" xfId="0" applyAlignment="1" applyBorder="1" applyFont="1">
      <alignment vertical="bottom"/>
    </xf>
    <xf borderId="1" fillId="7" fontId="3" numFmtId="0" xfId="0" applyAlignment="1" applyBorder="1" applyFont="1">
      <alignment readingOrder="0"/>
    </xf>
    <xf borderId="1" fillId="7" fontId="3" numFmtId="4" xfId="0" applyAlignment="1" applyBorder="1" applyFont="1" applyNumberFormat="1">
      <alignment readingOrder="0"/>
    </xf>
    <xf borderId="12" fillId="0" fontId="3" numFmtId="4" xfId="0" applyAlignment="1" applyBorder="1" applyFont="1" applyNumberFormat="1">
      <alignment readingOrder="0"/>
    </xf>
    <xf borderId="12" fillId="6" fontId="5" numFmtId="0" xfId="0" applyAlignment="1" applyBorder="1" applyFont="1">
      <alignment readingOrder="0" vertical="bottom"/>
    </xf>
    <xf borderId="7" fillId="0" fontId="3" numFmtId="0" xfId="0" applyAlignment="1" applyBorder="1" applyFont="1">
      <alignment horizontal="right" readingOrder="0" vertical="bottom"/>
    </xf>
    <xf borderId="12" fillId="0" fontId="3" numFmtId="167" xfId="0" applyBorder="1" applyFont="1" applyNumberFormat="1"/>
    <xf borderId="2" fillId="7" fontId="3" numFmtId="0" xfId="0" applyAlignment="1" applyBorder="1" applyFont="1">
      <alignment readingOrder="0"/>
    </xf>
    <xf borderId="4" fillId="2" fontId="3" numFmtId="0" xfId="0" applyAlignment="1" applyBorder="1" applyFont="1">
      <alignment vertical="bottom"/>
    </xf>
    <xf borderId="4" fillId="7" fontId="3" numFmtId="0" xfId="0" applyAlignment="1" applyBorder="1" applyFont="1">
      <alignment readingOrder="0"/>
    </xf>
    <xf borderId="2" fillId="2" fontId="3" numFmtId="0" xfId="0" applyAlignment="1" applyBorder="1" applyFont="1">
      <alignment readingOrder="0" vertical="bottom"/>
    </xf>
    <xf borderId="4" fillId="7" fontId="3" numFmtId="4" xfId="0" applyAlignment="1" applyBorder="1" applyFont="1" applyNumberFormat="1">
      <alignment readingOrder="0"/>
    </xf>
    <xf borderId="12" fillId="0" fontId="3" numFmtId="4" xfId="0" applyAlignment="1" applyBorder="1" applyFont="1" applyNumberFormat="1">
      <alignment horizontal="right" readingOrder="0" vertical="bottom"/>
    </xf>
    <xf borderId="12" fillId="0" fontId="3" numFmtId="4" xfId="0" applyAlignment="1" applyBorder="1" applyFont="1" applyNumberFormat="1">
      <alignment horizontal="right" vertical="bottom"/>
    </xf>
    <xf borderId="2" fillId="0" fontId="3" numFmtId="4" xfId="0" applyAlignment="1" applyBorder="1" applyFont="1" applyNumberFormat="1">
      <alignment horizontal="right" vertical="bottom"/>
    </xf>
    <xf borderId="3" fillId="0" fontId="3" numFmtId="4" xfId="0" applyAlignment="1" applyBorder="1" applyFont="1" applyNumberFormat="1">
      <alignment readingOrder="0"/>
    </xf>
    <xf borderId="0" fillId="3" fontId="5" numFmtId="0" xfId="0" applyAlignment="1" applyFont="1">
      <alignment vertical="bottom"/>
    </xf>
    <xf borderId="13" fillId="3" fontId="5" numFmtId="0" xfId="0" applyAlignment="1" applyBorder="1" applyFont="1">
      <alignment vertical="bottom"/>
    </xf>
    <xf borderId="3" fillId="7" fontId="3" numFmtId="4" xfId="0" applyAlignment="1" applyBorder="1" applyFont="1" applyNumberFormat="1">
      <alignment vertical="bottom"/>
    </xf>
    <xf borderId="7" fillId="7" fontId="3" numFmtId="4" xfId="0" applyAlignment="1" applyBorder="1" applyFont="1" applyNumberFormat="1">
      <alignment horizontal="right" vertical="bottom"/>
    </xf>
    <xf borderId="7" fillId="7" fontId="3" numFmtId="0" xfId="0" applyAlignment="1" applyBorder="1" applyFont="1">
      <alignment vertical="bottom"/>
    </xf>
    <xf borderId="0" fillId="0" fontId="3" numFmtId="0" xfId="0" applyAlignment="1" applyFont="1">
      <alignment horizontal="right"/>
    </xf>
    <xf borderId="1" fillId="8" fontId="3" numFmtId="0" xfId="0" applyAlignment="1" applyBorder="1" applyFill="1" applyFont="1">
      <alignment readingOrder="0" vertical="bottom"/>
    </xf>
    <xf borderId="1" fillId="8" fontId="3" numFmtId="0" xfId="0" applyAlignment="1" applyBorder="1" applyFont="1">
      <alignment readingOrder="0"/>
    </xf>
    <xf borderId="1" fillId="2" fontId="3" numFmtId="166" xfId="0" applyAlignment="1" applyBorder="1" applyFont="1" applyNumberFormat="1">
      <alignment readingOrder="0"/>
    </xf>
    <xf borderId="1" fillId="8" fontId="5" numFmtId="0" xfId="0" applyAlignment="1" applyBorder="1" applyFont="1">
      <alignment readingOrder="0" vertical="bottom"/>
    </xf>
    <xf borderId="1" fillId="8" fontId="3" numFmtId="0" xfId="0" applyAlignment="1" applyBorder="1" applyFont="1">
      <alignment horizontal="right" readingOrder="0" vertical="bottom"/>
    </xf>
    <xf borderId="7" fillId="7" fontId="3" numFmtId="4" xfId="0" applyAlignment="1" applyBorder="1" applyFont="1" applyNumberFormat="1">
      <alignment horizontal="right" readingOrder="0" vertical="bottom"/>
    </xf>
    <xf borderId="6" fillId="7" fontId="3" numFmtId="4" xfId="0" applyAlignment="1" applyBorder="1" applyFont="1" applyNumberFormat="1">
      <alignment horizontal="right" vertical="bottom"/>
    </xf>
    <xf borderId="7" fillId="9" fontId="3" numFmtId="0" xfId="0" applyAlignment="1" applyBorder="1" applyFill="1" applyFont="1">
      <alignment readingOrder="0" vertical="bottom"/>
    </xf>
    <xf borderId="1" fillId="10" fontId="5" numFmtId="0" xfId="0" applyAlignment="1" applyBorder="1" applyFill="1" applyFont="1">
      <alignment readingOrder="0" vertical="bottom"/>
    </xf>
    <xf borderId="1" fillId="10" fontId="5" numFmtId="0" xfId="0" applyAlignment="1" applyBorder="1" applyFont="1">
      <alignment readingOrder="0"/>
    </xf>
    <xf borderId="1" fillId="8" fontId="3" numFmtId="4" xfId="0" applyAlignment="1" applyBorder="1" applyFont="1" applyNumberFormat="1">
      <alignment horizontal="right" readingOrder="0" vertical="bottom"/>
    </xf>
    <xf borderId="1" fillId="8" fontId="3" numFmtId="4" xfId="0" applyAlignment="1" applyBorder="1" applyFont="1" applyNumberFormat="1">
      <alignment readingOrder="0"/>
    </xf>
    <xf borderId="1" fillId="8" fontId="3" numFmtId="4" xfId="0" applyAlignment="1" applyBorder="1" applyFont="1" applyNumberFormat="1">
      <alignment horizontal="right" vertical="bottom"/>
    </xf>
    <xf borderId="2" fillId="0" fontId="3" numFmtId="167" xfId="0" applyBorder="1" applyFont="1" applyNumberFormat="1"/>
    <xf borderId="1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11" fontId="6" numFmtId="0" xfId="0" applyFill="1" applyFont="1"/>
    <xf borderId="0" fillId="8" fontId="1" numFmtId="0" xfId="0" applyFont="1"/>
    <xf borderId="0" fillId="12" fontId="1" numFmtId="0" xfId="0" applyFill="1" applyFont="1"/>
    <xf borderId="0" fillId="13" fontId="1" numFmtId="0" xfId="0" applyFill="1" applyFont="1"/>
    <xf borderId="0" fillId="13" fontId="1" numFmtId="0" xfId="0" applyAlignment="1" applyFont="1">
      <alignment readingOrder="0"/>
    </xf>
    <xf borderId="0" fillId="13" fontId="1" numFmtId="166" xfId="0" applyAlignment="1" applyFont="1" applyNumberFormat="1">
      <alignment readingOrder="0"/>
    </xf>
    <xf borderId="0" fillId="13" fontId="7" numFmtId="0" xfId="0" applyFont="1"/>
    <xf borderId="0" fillId="11" fontId="6" numFmtId="0" xfId="0" applyAlignment="1" applyFont="1">
      <alignment readingOrder="0"/>
    </xf>
    <xf borderId="0" fillId="8" fontId="1" numFmtId="0" xfId="0" applyAlignment="1" applyFont="1">
      <alignment readingOrder="0"/>
    </xf>
    <xf borderId="0" fillId="12" fontId="1" numFmtId="0" xfId="0" applyAlignment="1" applyFont="1">
      <alignment readingOrder="0"/>
    </xf>
    <xf borderId="0" fillId="11" fontId="8" numFmtId="0" xfId="0" applyAlignment="1" applyFont="1">
      <alignment horizontal="right" vertical="bottom"/>
    </xf>
    <xf borderId="0" fillId="12" fontId="1" numFmtId="169" xfId="0" applyAlignment="1" applyFont="1" applyNumberFormat="1">
      <alignment readingOrder="0"/>
    </xf>
    <xf borderId="14" fillId="0" fontId="9" numFmtId="169" xfId="0" applyAlignment="1" applyBorder="1" applyFont="1" applyNumberFormat="1">
      <alignment horizontal="left" readingOrder="0"/>
    </xf>
    <xf borderId="3" fillId="14" fontId="10" numFmtId="0" xfId="0" applyAlignment="1" applyBorder="1" applyFill="1" applyFont="1">
      <alignment horizontal="right" readingOrder="0"/>
    </xf>
    <xf borderId="3" fillId="14" fontId="11" numFmtId="4" xfId="0" applyAlignment="1" applyBorder="1" applyFont="1" applyNumberFormat="1">
      <alignment horizontal="right" readingOrder="0"/>
    </xf>
    <xf borderId="15" fillId="14" fontId="11" numFmtId="0" xfId="0" applyAlignment="1" applyBorder="1" applyFont="1">
      <alignment horizontal="right" readingOrder="0"/>
    </xf>
    <xf borderId="0" fillId="15" fontId="12" numFmtId="0" xfId="0" applyAlignment="1" applyFill="1" applyFont="1">
      <alignment horizontal="left" readingOrder="0"/>
    </xf>
    <xf borderId="3" fillId="16" fontId="10" numFmtId="0" xfId="0" applyAlignment="1" applyBorder="1" applyFill="1" applyFont="1">
      <alignment horizontal="right" readingOrder="0"/>
    </xf>
    <xf borderId="3" fillId="16" fontId="11" numFmtId="4" xfId="0" applyAlignment="1" applyBorder="1" applyFont="1" applyNumberFormat="1">
      <alignment horizontal="right" readingOrder="0"/>
    </xf>
    <xf borderId="15" fillId="16" fontId="11" numFmtId="0" xfId="0" applyAlignment="1" applyBorder="1" applyFont="1">
      <alignment horizontal="right" readingOrder="0"/>
    </xf>
    <xf borderId="3" fillId="16" fontId="11" numFmtId="0" xfId="0" applyAlignment="1" applyBorder="1" applyFont="1">
      <alignment horizontal="right" readingOrder="0"/>
    </xf>
    <xf borderId="15" fillId="16" fontId="13" numFmtId="0" xfId="0" applyAlignment="1" applyBorder="1" applyFont="1">
      <alignment horizontal="right" readingOrder="0"/>
    </xf>
    <xf borderId="0" fillId="8" fontId="14" numFmtId="0" xfId="0" applyAlignment="1" applyFont="1">
      <alignment horizontal="right" vertical="bottom"/>
    </xf>
    <xf borderId="0" fillId="12" fontId="14" numFmtId="169" xfId="0" applyAlignment="1" applyFont="1" applyNumberFormat="1">
      <alignment readingOrder="0" vertical="bottom"/>
    </xf>
    <xf borderId="0" fillId="12" fontId="14" numFmtId="0" xfId="0" applyAlignment="1" applyFont="1">
      <alignment vertical="bottom"/>
    </xf>
    <xf borderId="0" fillId="13" fontId="14" numFmtId="0" xfId="0" applyAlignment="1" applyFont="1">
      <alignment vertical="bottom"/>
    </xf>
    <xf borderId="0" fillId="13" fontId="14" numFmtId="0" xfId="0" applyAlignment="1" applyFont="1">
      <alignment readingOrder="0" vertical="bottom"/>
    </xf>
    <xf borderId="0" fillId="13" fontId="14" numFmtId="0" xfId="0" applyAlignment="1" applyFont="1">
      <alignment horizontal="right" readingOrder="0" vertical="bottom"/>
    </xf>
    <xf borderId="0" fillId="13" fontId="14" numFmtId="0" xfId="0" applyAlignment="1" applyFont="1">
      <alignment horizontal="right" vertical="bottom"/>
    </xf>
    <xf borderId="16" fillId="0" fontId="9" numFmtId="169" xfId="0" applyAlignment="1" applyBorder="1" applyFont="1" applyNumberFormat="1">
      <alignment horizontal="left" readingOrder="0"/>
    </xf>
    <xf borderId="17" fillId="16" fontId="10" numFmtId="0" xfId="0" applyAlignment="1" applyBorder="1" applyFont="1">
      <alignment horizontal="right" readingOrder="0"/>
    </xf>
    <xf borderId="17" fillId="16" fontId="11" numFmtId="4" xfId="0" applyAlignment="1" applyBorder="1" applyFont="1" applyNumberFormat="1">
      <alignment horizontal="right" readingOrder="0"/>
    </xf>
    <xf borderId="18" fillId="16" fontId="13" numFmtId="0" xfId="0" applyAlignment="1" applyBorder="1" applyFont="1">
      <alignment horizontal="right" readingOrder="0"/>
    </xf>
    <xf borderId="0" fillId="12" fontId="14" numFmtId="166" xfId="0" applyAlignment="1" applyFont="1" applyNumberFormat="1">
      <alignment vertical="bottom"/>
    </xf>
    <xf borderId="0" fillId="12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5" numFmtId="4" xfId="0" applyAlignment="1" applyFont="1" applyNumberFormat="1">
      <alignment horizontal="center" readingOrder="0" shrinkToFit="0" wrapText="1"/>
    </xf>
    <xf borderId="10" fillId="0" fontId="1" numFmtId="0" xfId="0" applyBorder="1" applyFont="1"/>
    <xf borderId="9" fillId="0" fontId="1" numFmtId="0" xfId="0" applyBorder="1" applyFont="1"/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0" fillId="0" fontId="1" numFmtId="170" xfId="0" applyAlignment="1" applyFont="1" applyNumberFormat="1">
      <alignment readingOrder="0"/>
    </xf>
    <xf borderId="2" fillId="0" fontId="1" numFmtId="0" xfId="0" applyBorder="1" applyFont="1"/>
    <xf borderId="7" fillId="0" fontId="1" numFmtId="0" xfId="0" applyBorder="1" applyFont="1"/>
    <xf borderId="19" fillId="17" fontId="16" numFmtId="0" xfId="0" applyAlignment="1" applyBorder="1" applyFill="1" applyFont="1">
      <alignment horizontal="center" readingOrder="0" vertical="top"/>
    </xf>
    <xf borderId="20" fillId="0" fontId="17" numFmtId="0" xfId="0" applyAlignment="1" applyBorder="1" applyFont="1">
      <alignment horizontal="center" readingOrder="0"/>
    </xf>
    <xf borderId="20" fillId="16" fontId="18" numFmtId="0" xfId="0" applyAlignment="1" applyBorder="1" applyFont="1">
      <alignment horizontal="center" readingOrder="0"/>
    </xf>
    <xf borderId="20" fillId="16" fontId="18" numFmtId="171" xfId="0" applyAlignment="1" applyBorder="1" applyFont="1" applyNumberFormat="1">
      <alignment horizontal="center" readingOrder="0"/>
    </xf>
    <xf borderId="0" fillId="0" fontId="15" numFmtId="0" xfId="0" applyAlignment="1" applyFont="1">
      <alignment horizontal="center" readingOrder="0" shrinkToFit="0" wrapText="1"/>
    </xf>
    <xf borderId="0" fillId="8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20" fillId="0" fontId="18" numFmtId="0" xfId="0" applyAlignment="1" applyBorder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5" numFmtId="166" xfId="0" applyAlignment="1" applyFont="1" applyNumberFormat="1">
      <alignment horizontal="center" readingOrder="0" shrinkToFit="0" wrapText="1"/>
    </xf>
    <xf borderId="0" fillId="0" fontId="15" numFmtId="168" xfId="0" applyAlignment="1" applyFont="1" applyNumberFormat="1">
      <alignment horizontal="center" readingOrder="0" shrinkToFit="0" wrapText="1"/>
    </xf>
    <xf borderId="0" fillId="0" fontId="1" numFmtId="14" xfId="0" applyFont="1" applyNumberFormat="1"/>
    <xf borderId="0" fillId="0" fontId="15" numFmtId="172" xfId="0" applyAlignment="1" applyFont="1" applyNumberFormat="1">
      <alignment horizontal="center" readingOrder="0" shrinkToFit="0" wrapText="1"/>
    </xf>
    <xf borderId="0" fillId="8" fontId="19" numFmtId="14" xfId="0" applyAlignment="1" applyFont="1" applyNumberFormat="1">
      <alignment horizontal="center" readingOrder="0" shrinkToFit="0" wrapText="1"/>
    </xf>
    <xf borderId="0" fillId="0" fontId="19" numFmtId="4" xfId="0" applyAlignment="1" applyFont="1" applyNumberFormat="1">
      <alignment horizontal="center" readingOrder="0" shrinkToFit="0" wrapText="1"/>
    </xf>
    <xf borderId="0" fillId="0" fontId="19" numFmtId="172" xfId="0" applyAlignment="1" applyFont="1" applyNumberFormat="1">
      <alignment horizontal="center" readingOrder="0" shrinkToFit="0" wrapText="1"/>
    </xf>
    <xf borderId="0" fillId="0" fontId="19" numFmtId="4" xfId="0" applyAlignment="1" applyFont="1" applyNumberFormat="1">
      <alignment horizontal="center" readingOrder="0"/>
    </xf>
    <xf borderId="0" fillId="0" fontId="19" numFmtId="167" xfId="0" applyAlignment="1" applyFont="1" applyNumberFormat="1">
      <alignment horizontal="center" readingOrder="0" shrinkToFit="0" wrapText="1"/>
    </xf>
    <xf borderId="0" fillId="8" fontId="15" numFmtId="0" xfId="0" applyAlignment="1" applyFont="1">
      <alignment horizontal="center" readingOrder="0" shrinkToFit="0" wrapText="1"/>
    </xf>
    <xf borderId="0" fillId="18" fontId="15" numFmtId="0" xfId="0" applyAlignment="1" applyFill="1" applyFont="1">
      <alignment horizontal="center" readingOrder="0" shrinkToFit="0" wrapText="1"/>
    </xf>
    <xf borderId="0" fillId="3" fontId="15" numFmtId="4" xfId="0" applyAlignment="1" applyFont="1" applyNumberFormat="1">
      <alignment horizontal="center" readingOrder="0" shrinkToFit="0" wrapText="1"/>
    </xf>
    <xf borderId="1" fillId="0" fontId="7" numFmtId="4" xfId="0" applyAlignment="1" applyBorder="1" applyFont="1" applyNumberFormat="1">
      <alignment horizontal="right" readingOrder="0" shrinkToFit="0" wrapText="1"/>
    </xf>
    <xf borderId="1" fillId="2" fontId="7" numFmtId="165" xfId="0" applyAlignment="1" applyBorder="1" applyFont="1" applyNumberFormat="1">
      <alignment horizontal="right" readingOrder="0" shrinkToFit="0" wrapText="1"/>
    </xf>
    <xf borderId="1" fillId="2" fontId="20" numFmtId="165" xfId="0" applyAlignment="1" applyBorder="1" applyFont="1" applyNumberFormat="1">
      <alignment horizontal="right" shrinkToFit="0" vertical="bottom" wrapText="1"/>
    </xf>
    <xf borderId="1" fillId="0" fontId="7" numFmtId="165" xfId="0" applyAlignment="1" applyBorder="1" applyFont="1" applyNumberFormat="1">
      <alignment horizontal="right" readingOrder="0" shrinkToFit="0" wrapText="1"/>
    </xf>
    <xf borderId="21" fillId="2" fontId="1" numFmtId="0" xfId="0" applyAlignment="1" applyBorder="1" applyFont="1">
      <alignment horizontal="right" readingOrder="0" shrinkToFit="0" wrapText="1"/>
    </xf>
    <xf borderId="13" fillId="19" fontId="1" numFmtId="9" xfId="0" applyAlignment="1" applyBorder="1" applyFill="1" applyFont="1" applyNumberFormat="1">
      <alignment horizontal="right" readingOrder="0" shrinkToFit="0" wrapText="1"/>
    </xf>
    <xf borderId="13" fillId="0" fontId="1" numFmtId="10" xfId="0" applyAlignment="1" applyBorder="1" applyFont="1" applyNumberFormat="1">
      <alignment horizontal="right" shrinkToFit="0" wrapText="1"/>
    </xf>
    <xf borderId="13" fillId="19" fontId="1" numFmtId="4" xfId="0" applyAlignment="1" applyBorder="1" applyFont="1" applyNumberFormat="1">
      <alignment horizontal="right" shrinkToFit="0" wrapText="1"/>
    </xf>
    <xf borderId="13" fillId="19" fontId="1" numFmtId="4" xfId="0" applyAlignment="1" applyBorder="1" applyFont="1" applyNumberFormat="1">
      <alignment horizontal="right" readingOrder="0" shrinkToFit="0" wrapText="1"/>
    </xf>
    <xf borderId="13" fillId="8" fontId="1" numFmtId="10" xfId="0" applyAlignment="1" applyBorder="1" applyFont="1" applyNumberFormat="1">
      <alignment horizontal="right" readingOrder="0" shrinkToFit="0" wrapText="1"/>
    </xf>
    <xf borderId="13" fillId="0" fontId="1" numFmtId="10" xfId="0" applyAlignment="1" applyBorder="1" applyFont="1" applyNumberFormat="1">
      <alignment horizontal="right" readingOrder="0" shrinkToFit="0" wrapText="1"/>
    </xf>
    <xf borderId="13" fillId="8" fontId="1" numFmtId="4" xfId="0" applyAlignment="1" applyBorder="1" applyFont="1" applyNumberFormat="1">
      <alignment horizontal="right" shrinkToFit="0" wrapText="1"/>
    </xf>
    <xf borderId="13" fillId="16" fontId="1" numFmtId="4" xfId="0" applyAlignment="1" applyBorder="1" applyFont="1" applyNumberFormat="1">
      <alignment horizontal="right" shrinkToFit="0" wrapText="1"/>
    </xf>
    <xf borderId="13" fillId="0" fontId="1" numFmtId="4" xfId="0" applyAlignment="1" applyBorder="1" applyFont="1" applyNumberFormat="1">
      <alignment horizontal="right" shrinkToFit="0" wrapText="1"/>
    </xf>
    <xf borderId="13" fillId="8" fontId="1" numFmtId="4" xfId="0" applyAlignment="1" applyBorder="1" applyFont="1" applyNumberFormat="1">
      <alignment horizontal="right" readingOrder="0" shrinkToFit="0" wrapText="1"/>
    </xf>
    <xf borderId="13" fillId="0" fontId="1" numFmtId="4" xfId="0" applyAlignment="1" applyBorder="1" applyFont="1" applyNumberFormat="1">
      <alignment horizontal="right" readingOrder="0" shrinkToFit="0" wrapText="1"/>
    </xf>
    <xf borderId="13" fillId="8" fontId="1" numFmtId="9" xfId="0" applyAlignment="1" applyBorder="1" applyFont="1" applyNumberFormat="1">
      <alignment horizontal="right" readingOrder="0" shrinkToFit="0" wrapText="1"/>
    </xf>
    <xf borderId="13" fillId="0" fontId="1" numFmtId="9" xfId="0" applyAlignment="1" applyBorder="1" applyFont="1" applyNumberFormat="1">
      <alignment horizontal="right" readingOrder="0" shrinkToFit="0" wrapText="1"/>
    </xf>
    <xf borderId="13" fillId="16" fontId="1" numFmtId="4" xfId="0" applyAlignment="1" applyBorder="1" applyFont="1" applyNumberFormat="1">
      <alignment horizontal="right" readingOrder="0" shrinkToFit="0" wrapText="1"/>
    </xf>
    <xf borderId="1" fillId="2" fontId="7" numFmtId="0" xfId="0" applyAlignment="1" applyBorder="1" applyFont="1">
      <alignment horizontal="right" readingOrder="0" shrinkToFit="0" wrapText="1"/>
    </xf>
    <xf borderId="6" fillId="19" fontId="7" numFmtId="4" xfId="0" applyAlignment="1" applyBorder="1" applyFont="1" applyNumberFormat="1">
      <alignment horizontal="right" shrinkToFit="0" wrapText="1"/>
    </xf>
    <xf borderId="6" fillId="13" fontId="7" numFmtId="4" xfId="0" applyAlignment="1" applyBorder="1" applyFont="1" applyNumberFormat="1">
      <alignment horizontal="right" shrinkToFit="0" wrapText="1"/>
    </xf>
    <xf borderId="21" fillId="2" fontId="7" numFmtId="0" xfId="0" applyAlignment="1" applyBorder="1" applyFont="1">
      <alignment horizontal="right" readingOrder="0" shrinkToFit="0" wrapText="1"/>
    </xf>
    <xf borderId="21" fillId="19" fontId="20" numFmtId="4" xfId="0" applyAlignment="1" applyBorder="1" applyFont="1" applyNumberFormat="1">
      <alignment horizontal="right" shrinkToFit="0" vertical="bottom" wrapText="1"/>
    </xf>
    <xf borderId="13" fillId="19" fontId="1" numFmtId="167" xfId="0" applyAlignment="1" applyBorder="1" applyFont="1" applyNumberFormat="1">
      <alignment horizontal="right" readingOrder="0" shrinkToFit="0" wrapText="1"/>
    </xf>
    <xf borderId="13" fillId="0" fontId="1" numFmtId="167" xfId="0" applyAlignment="1" applyBorder="1" applyFont="1" applyNumberFormat="1">
      <alignment horizontal="right" readingOrder="0" shrinkToFit="0" wrapText="1"/>
    </xf>
    <xf borderId="13" fillId="16" fontId="1" numFmtId="167" xfId="0" applyAlignment="1" applyBorder="1" applyFont="1" applyNumberFormat="1">
      <alignment horizontal="right" readingOrder="0" shrinkToFit="0" wrapText="1"/>
    </xf>
    <xf borderId="6" fillId="0" fontId="7" numFmtId="4" xfId="0" applyAlignment="1" applyBorder="1" applyFont="1" applyNumberFormat="1">
      <alignment horizontal="right" shrinkToFit="0" wrapText="1"/>
    </xf>
    <xf borderId="21" fillId="11" fontId="21" numFmtId="0" xfId="0" applyAlignment="1" applyBorder="1" applyFont="1">
      <alignment horizontal="right" readingOrder="0" shrinkToFit="0" wrapText="1"/>
    </xf>
    <xf borderId="13" fillId="11" fontId="21" numFmtId="4" xfId="0" applyAlignment="1" applyBorder="1" applyFont="1" applyNumberFormat="1">
      <alignment horizontal="right" readingOrder="0" shrinkToFit="0" wrapText="1"/>
    </xf>
    <xf borderId="13" fillId="11" fontId="21" numFmtId="4" xfId="0" applyAlignment="1" applyBorder="1" applyFont="1" applyNumberFormat="1">
      <alignment horizontal="right" shrinkToFit="0" wrapText="1"/>
    </xf>
    <xf borderId="13" fillId="19" fontId="1" numFmtId="4" xfId="0" applyAlignment="1" applyBorder="1" applyFont="1" applyNumberFormat="1">
      <alignment shrinkToFit="0" wrapText="1"/>
    </xf>
    <xf borderId="13" fillId="19" fontId="1" numFmtId="4" xfId="0" applyAlignment="1" applyBorder="1" applyFont="1" applyNumberFormat="1">
      <alignment readingOrder="0" shrinkToFit="0" wrapText="1"/>
    </xf>
    <xf borderId="13" fillId="0" fontId="1" numFmtId="4" xfId="0" applyAlignment="1" applyBorder="1" applyFont="1" applyNumberFormat="1">
      <alignment readingOrder="0" shrinkToFit="0" wrapText="1"/>
    </xf>
    <xf borderId="0" fillId="12" fontId="15" numFmtId="4" xfId="0" applyAlignment="1" applyFont="1" applyNumberFormat="1">
      <alignment horizontal="center" readingOrder="0" shrinkToFit="0" wrapText="1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1" fillId="0" fontId="1" numFmtId="0" xfId="0" applyBorder="1" applyFont="1"/>
    <xf borderId="3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168" xfId="0" applyAlignment="1" applyFont="1" applyNumberFormat="1">
      <alignment readingOrder="0"/>
    </xf>
    <xf borderId="0" fillId="0" fontId="19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15" numFmtId="4" xfId="0" applyAlignment="1" applyFont="1" applyNumberFormat="1">
      <alignment horizontal="center" shrinkToFit="0" wrapText="1"/>
    </xf>
    <xf borderId="0" fillId="12" fontId="15" numFmtId="4" xfId="0" applyAlignment="1" applyFont="1" applyNumberFormat="1">
      <alignment horizontal="center" shrinkToFit="0" wrapText="1"/>
    </xf>
    <xf borderId="0" fillId="20" fontId="15" numFmtId="4" xfId="0" applyAlignment="1" applyFill="1" applyFont="1" applyNumberFormat="1">
      <alignment horizontal="center" shrinkToFit="0" wrapText="1"/>
    </xf>
    <xf borderId="0" fillId="20" fontId="15" numFmtId="4" xfId="0" applyAlignment="1" applyFont="1" applyNumberFormat="1">
      <alignment horizontal="center" readingOrder="0" shrinkToFit="0" wrapText="1"/>
    </xf>
    <xf borderId="0" fillId="0" fontId="15" numFmtId="4" xfId="0" applyAlignment="1" applyFont="1" applyNumberFormat="1">
      <alignment horizontal="center" shrinkToFit="0" vertical="bottom" wrapText="1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5" fillId="2" fontId="3" numFmtId="0" xfId="0" applyAlignment="1" applyBorder="1" applyFont="1">
      <alignment vertical="bottom"/>
    </xf>
    <xf borderId="0" fillId="21" fontId="5" numFmtId="4" xfId="0" applyAlignment="1" applyFill="1" applyFont="1" applyNumberFormat="1">
      <alignment horizontal="right" vertical="bottom"/>
    </xf>
    <xf borderId="0" fillId="0" fontId="15" numFmtId="168" xfId="0" applyAlignment="1" applyFont="1" applyNumberFormat="1">
      <alignment horizontal="center" shrinkToFit="0" vertical="bottom" wrapText="1"/>
    </xf>
    <xf borderId="0" fillId="0" fontId="15" numFmtId="172" xfId="0" applyAlignment="1" applyFont="1" applyNumberFormat="1">
      <alignment horizontal="center" shrinkToFit="0" vertical="bottom" wrapText="1"/>
    </xf>
    <xf borderId="0" fillId="0" fontId="14" numFmtId="4" xfId="0" applyAlignment="1" applyFont="1" applyNumberFormat="1">
      <alignment vertical="bottom"/>
    </xf>
    <xf borderId="0" fillId="0" fontId="19" numFmtId="4" xfId="0" applyAlignment="1" applyFont="1" applyNumberFormat="1">
      <alignment horizontal="center" shrinkToFit="0" vertical="bottom" wrapText="1"/>
    </xf>
    <xf borderId="0" fillId="0" fontId="14" numFmtId="172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9" numFmtId="167" xfId="0" applyAlignment="1" applyFont="1" applyNumberFormat="1">
      <alignment horizontal="center" shrinkToFit="0" vertical="bottom" wrapText="1"/>
    </xf>
    <xf borderId="0" fillId="22" fontId="19" numFmtId="167" xfId="0" applyAlignment="1" applyFill="1" applyFont="1" applyNumberFormat="1">
      <alignment horizontal="center" shrinkToFit="0" vertical="bottom" wrapText="1"/>
    </xf>
    <xf borderId="0" fillId="22" fontId="15" numFmtId="0" xfId="0" applyAlignment="1" applyFont="1">
      <alignment horizontal="center" shrinkToFit="0" vertical="bottom" wrapText="1"/>
    </xf>
    <xf borderId="0" fillId="23" fontId="5" numFmtId="4" xfId="0" applyAlignment="1" applyFill="1" applyFont="1" applyNumberFormat="1">
      <alignment horizontal="right" readingOrder="0" vertical="bottom"/>
    </xf>
    <xf borderId="0" fillId="0" fontId="15" numFmtId="0" xfId="0" applyAlignment="1" applyFont="1">
      <alignment horizontal="center" readingOrder="0" shrinkToFit="0" vertical="bottom" wrapText="1"/>
    </xf>
    <xf borderId="0" fillId="0" fontId="14" numFmtId="168" xfId="0" applyAlignment="1" applyFont="1" applyNumberFormat="1">
      <alignment readingOrder="0" vertical="bottom"/>
    </xf>
    <xf borderId="0" fillId="0" fontId="19" numFmtId="0" xfId="0" applyAlignment="1" applyFont="1">
      <alignment horizontal="center" readingOrder="0" shrinkToFit="0" vertical="bottom" wrapText="1"/>
    </xf>
    <xf borderId="0" fillId="0" fontId="15" numFmtId="4" xfId="0" applyAlignment="1" applyFont="1" applyNumberFormat="1">
      <alignment horizontal="center" readingOrder="0" shrinkToFit="0" vertical="bottom" wrapText="1"/>
    </xf>
    <xf borderId="0" fillId="0" fontId="19" numFmtId="4" xfId="0" applyAlignment="1" applyFont="1" applyNumberFormat="1">
      <alignment horizontal="center" readingOrder="0" shrinkToFit="0" vertical="bottom" wrapText="1"/>
    </xf>
    <xf borderId="0" fillId="0" fontId="14" numFmtId="4" xfId="0" applyAlignment="1" applyFont="1" applyNumberFormat="1">
      <alignment readingOrder="0" vertical="bottom"/>
    </xf>
    <xf borderId="0" fillId="12" fontId="14" numFmtId="4" xfId="0" applyAlignment="1" applyFont="1" applyNumberFormat="1">
      <alignment readingOrder="0" vertical="bottom"/>
    </xf>
    <xf borderId="0" fillId="0" fontId="1" numFmtId="173" xfId="0" applyAlignment="1" applyFont="1" applyNumberFormat="1">
      <alignment readingOrder="0"/>
    </xf>
    <xf borderId="0" fillId="0" fontId="1" numFmtId="173" xfId="0" applyAlignment="1" applyFont="1" applyNumberFormat="1">
      <alignment horizontal="right" readingOrder="0"/>
    </xf>
    <xf borderId="22" fillId="11" fontId="21" numFmtId="0" xfId="0" applyAlignment="1" applyBorder="1" applyFont="1">
      <alignment readingOrder="0"/>
    </xf>
    <xf borderId="1" fillId="0" fontId="7" numFmtId="0" xfId="0" applyBorder="1" applyFont="1"/>
    <xf borderId="4" fillId="24" fontId="7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2" fillId="0" fontId="1" numFmtId="166" xfId="0" applyAlignment="1" applyBorder="1" applyFont="1" applyNumberFormat="1">
      <alignment readingOrder="0"/>
    </xf>
    <xf borderId="12" fillId="11" fontId="21" numFmtId="166" xfId="0" applyAlignment="1" applyBorder="1" applyFont="1" applyNumberFormat="1">
      <alignment readingOrder="0"/>
    </xf>
    <xf borderId="1" fillId="0" fontId="1" numFmtId="0" xfId="0" applyBorder="1" applyFont="1"/>
    <xf borderId="21" fillId="0" fontId="1" numFmtId="0" xfId="0" applyAlignment="1" applyBorder="1" applyFont="1">
      <alignment readingOrder="0"/>
    </xf>
    <xf borderId="21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1" fillId="0" fontId="7" numFmtId="0" xfId="0" applyAlignment="1" applyBorder="1" applyFont="1">
      <alignment readingOrder="0"/>
    </xf>
    <xf borderId="1" fillId="0" fontId="1" numFmtId="168" xfId="0" applyAlignment="1" applyBorder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9" xfId="0" applyAlignment="1" applyFont="1" applyNumberFormat="1">
      <alignment horizontal="center"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0" fillId="2" fontId="1" numFmtId="0" xfId="0" applyBorder="1" applyFont="1"/>
    <xf borderId="11" fillId="2" fontId="1" numFmtId="0" xfId="0" applyBorder="1" applyFont="1"/>
    <xf borderId="9" fillId="2" fontId="1" numFmtId="0" xfId="0" applyBorder="1" applyFont="1"/>
    <xf borderId="12" fillId="2" fontId="1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13" fillId="2" fontId="1" numFmtId="0" xfId="0" applyBorder="1" applyFont="1"/>
    <xf borderId="0" fillId="2" fontId="1" numFmtId="166" xfId="0" applyFont="1" applyNumberFormat="1"/>
    <xf borderId="0" fillId="2" fontId="1" numFmtId="167" xfId="0" applyAlignment="1" applyFont="1" applyNumberFormat="1">
      <alignment readingOrder="0"/>
    </xf>
    <xf borderId="0" fillId="2" fontId="1" numFmtId="14" xfId="0" applyFont="1" applyNumberFormat="1"/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2" fontId="1" numFmtId="4" xfId="0" applyFont="1" applyNumberFormat="1"/>
    <xf borderId="0" fillId="2" fontId="1" numFmtId="166" xfId="0" applyAlignment="1" applyFont="1" applyNumberFormat="1">
      <alignment readingOrder="0"/>
    </xf>
    <xf borderId="2" fillId="2" fontId="1" numFmtId="0" xfId="0" applyBorder="1" applyFont="1"/>
    <xf borderId="3" fillId="2" fontId="1" numFmtId="0" xfId="0" applyBorder="1" applyFont="1"/>
    <xf borderId="7" fillId="2" fontId="1" numFmtId="0" xfId="0" applyBorder="1" applyFont="1"/>
    <xf borderId="10" fillId="2" fontId="1" numFmtId="166" xfId="0" applyAlignment="1" applyBorder="1" applyFont="1" applyNumberFormat="1">
      <alignment readingOrder="0"/>
    </xf>
    <xf borderId="22" fillId="0" fontId="1" numFmtId="0" xfId="0" applyAlignment="1" applyBorder="1" applyFont="1">
      <alignment readingOrder="0"/>
    </xf>
    <xf borderId="0" fillId="0" fontId="1" numFmtId="166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4" fillId="0" fontId="14" numFmtId="0" xfId="0" applyAlignment="1" applyBorder="1" applyFont="1">
      <alignment horizontal="right" shrinkToFit="0" vertical="bottom" wrapText="1"/>
    </xf>
    <xf borderId="7" fillId="0" fontId="14" numFmtId="0" xfId="0" applyAlignment="1" applyBorder="1" applyFont="1">
      <alignment horizontal="right" shrinkToFit="0" vertical="bottom" wrapText="1"/>
    </xf>
    <xf borderId="3" fillId="0" fontId="14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7" fillId="13" fontId="20" numFmtId="0" xfId="0" applyAlignment="1" applyBorder="1" applyFont="1">
      <alignment horizontal="right" shrinkToFit="0" vertical="bottom" wrapText="1"/>
    </xf>
    <xf borderId="0" fillId="0" fontId="7" numFmtId="0" xfId="0" applyAlignment="1" applyFont="1">
      <alignment shrinkToFit="0" wrapText="1"/>
    </xf>
    <xf borderId="0" fillId="11" fontId="21" numFmtId="0" xfId="0" applyAlignment="1" applyFont="1">
      <alignment readingOrder="0" shrinkToFit="0" wrapText="1"/>
    </xf>
    <xf borderId="1" fillId="0" fontId="1" numFmtId="166" xfId="0" applyAlignment="1" applyBorder="1" applyFont="1" applyNumberFormat="1">
      <alignment readingOrder="0" shrinkToFit="0" wrapText="1"/>
    </xf>
    <xf borderId="1" fillId="13" fontId="7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4" xfId="0" applyAlignment="1" applyBorder="1" applyFont="1" applyNumberFormat="1">
      <alignment readingOrder="0" shrinkToFit="0" wrapText="1"/>
    </xf>
    <xf borderId="1" fillId="0" fontId="7" numFmtId="0" xfId="0" applyAlignment="1" applyBorder="1" applyFont="1">
      <alignment shrinkToFit="0" wrapText="1"/>
    </xf>
    <xf borderId="0" fillId="0" fontId="1" numFmtId="10" xfId="0" applyFont="1" applyNumberFormat="1"/>
    <xf borderId="12" fillId="0" fontId="1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shrinkToFit="0" wrapText="1"/>
    </xf>
    <xf borderId="0" fillId="0" fontId="1" numFmtId="4" xfId="0" applyAlignment="1" applyFont="1" applyNumberFormat="1">
      <alignment shrinkToFit="0" wrapText="1"/>
    </xf>
    <xf borderId="7" fillId="13" fontId="20" numFmtId="4" xfId="0" applyAlignment="1" applyBorder="1" applyFont="1" applyNumberFormat="1">
      <alignment horizontal="right" shrinkToFit="0" vertical="bottom" wrapText="1"/>
    </xf>
    <xf borderId="0" fillId="16" fontId="22" numFmtId="0" xfId="0" applyAlignment="1" applyFont="1">
      <alignment horizontal="left" readingOrder="0"/>
    </xf>
    <xf borderId="1" fillId="24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25" fontId="1" numFmtId="166" xfId="0" applyAlignment="1" applyBorder="1" applyFill="1" applyFont="1" applyNumberForma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7" fillId="0" fontId="14" numFmtId="4" xfId="0" applyAlignment="1" applyBorder="1" applyFont="1" applyNumberFormat="1">
      <alignment vertical="bottom"/>
    </xf>
    <xf borderId="1" fillId="13" fontId="1" numFmtId="166" xfId="0" applyAlignment="1" applyBorder="1" applyFont="1" applyNumberFormat="1">
      <alignment readingOrder="0" shrinkToFit="0" wrapText="1"/>
    </xf>
    <xf borderId="1" fillId="13" fontId="1" numFmtId="0" xfId="0" applyAlignment="1" applyBorder="1" applyFont="1">
      <alignment readingOrder="0" shrinkToFit="0" wrapText="1"/>
    </xf>
    <xf borderId="0" fillId="0" fontId="1" numFmtId="166" xfId="0" applyFont="1" applyNumberFormat="1"/>
    <xf borderId="1" fillId="19" fontId="1" numFmtId="166" xfId="0" applyAlignment="1" applyBorder="1" applyFont="1" applyNumberFormat="1">
      <alignment readingOrder="0" shrinkToFit="0" wrapText="1"/>
    </xf>
    <xf borderId="0" fillId="13" fontId="1" numFmtId="0" xfId="0" applyAlignment="1" applyFont="1">
      <alignment shrinkToFit="0" wrapText="1"/>
    </xf>
    <xf borderId="0" fillId="0" fontId="1" numFmtId="174" xfId="0" applyFont="1" applyNumberFormat="1"/>
    <xf borderId="1" fillId="19" fontId="1" numFmtId="174" xfId="0" applyAlignment="1" applyBorder="1" applyFont="1" applyNumberFormat="1">
      <alignment readingOrder="0" shrinkToFit="0" wrapText="1"/>
    </xf>
    <xf borderId="6" fillId="19" fontId="14" numFmtId="166" xfId="0" applyAlignment="1" applyBorder="1" applyFont="1" applyNumberFormat="1">
      <alignment readingOrder="0" vertical="bottom"/>
    </xf>
    <xf borderId="6" fillId="0" fontId="14" numFmtId="164" xfId="0" applyAlignment="1" applyBorder="1" applyFont="1" applyNumberFormat="1">
      <alignment readingOrder="0" vertical="bottom"/>
    </xf>
    <xf borderId="7" fillId="0" fontId="14" numFmtId="164" xfId="0" applyAlignment="1" applyBorder="1" applyFont="1" applyNumberFormat="1">
      <alignment readingOrder="0" vertical="bottom"/>
    </xf>
    <xf borderId="7" fillId="19" fontId="14" numFmtId="166" xfId="0" applyAlignment="1" applyBorder="1" applyFont="1" applyNumberFormat="1">
      <alignment readingOrder="0" vertical="bottom"/>
    </xf>
    <xf borderId="7" fillId="19" fontId="14" numFmtId="166" xfId="0" applyAlignment="1" applyBorder="1" applyFont="1" applyNumberFormat="1">
      <alignment vertical="bottom"/>
    </xf>
    <xf borderId="7" fillId="0" fontId="14" numFmtId="164" xfId="0" applyAlignment="1" applyBorder="1" applyFont="1" applyNumberFormat="1">
      <alignment vertical="bottom"/>
    </xf>
    <xf borderId="2" fillId="0" fontId="14" numFmtId="0" xfId="0" applyAlignment="1" applyBorder="1" applyFont="1">
      <alignment horizontal="right" shrinkToFit="0" vertical="bottom" wrapText="1"/>
    </xf>
    <xf borderId="0" fillId="0" fontId="14" numFmtId="0" xfId="0" applyAlignment="1" applyFont="1">
      <alignment horizontal="right" shrinkToFit="0" vertical="bottom" wrapText="1"/>
    </xf>
    <xf borderId="4" fillId="0" fontId="1" numFmtId="166" xfId="0" applyAlignment="1" applyBorder="1" applyFont="1" applyNumberFormat="1">
      <alignment readingOrder="0" shrinkToFit="0" wrapText="1"/>
    </xf>
    <xf borderId="0" fillId="0" fontId="1" numFmtId="0" xfId="0" applyAlignment="1" applyFont="1">
      <alignment shrinkToFit="0" wrapText="0"/>
    </xf>
    <xf borderId="22" fillId="0" fontId="7" numFmtId="0" xfId="0" applyAlignment="1" applyBorder="1" applyFont="1">
      <alignment readingOrder="0" shrinkToFit="0" wrapText="1"/>
    </xf>
    <xf borderId="22" fillId="0" fontId="1" numFmtId="0" xfId="0" applyAlignment="1" applyBorder="1" applyFont="1">
      <alignment shrinkToFit="0" wrapText="0"/>
    </xf>
    <xf borderId="21" fillId="0" fontId="7" numFmtId="0" xfId="0" applyAlignment="1" applyBorder="1" applyFont="1">
      <alignment readingOrder="0" shrinkToFit="0" wrapText="1"/>
    </xf>
    <xf borderId="21" fillId="0" fontId="1" numFmtId="0" xfId="0" applyAlignment="1" applyBorder="1" applyFont="1">
      <alignment shrinkToFit="0" wrapText="0"/>
    </xf>
    <xf borderId="8" fillId="13" fontId="7" numFmtId="0" xfId="0" applyAlignment="1" applyBorder="1" applyFont="1">
      <alignment readingOrder="0"/>
    </xf>
    <xf borderId="6" fillId="13" fontId="7" numFmtId="0" xfId="0" applyAlignment="1" applyBorder="1" applyFont="1">
      <alignment readingOrder="0" shrinkToFit="0" wrapText="0"/>
    </xf>
    <xf borderId="3" fillId="0" fontId="14" numFmtId="0" xfId="0" applyAlignment="1" applyBorder="1" applyFont="1">
      <alignment shrinkToFit="0" vertical="bottom" wrapText="0"/>
    </xf>
    <xf borderId="0" fillId="13" fontId="20" numFmtId="0" xfId="0" applyAlignment="1" applyFont="1">
      <alignment horizontal="right" shrinkToFit="0" vertical="bottom" wrapText="1"/>
    </xf>
    <xf borderId="0" fillId="0" fontId="1" numFmtId="166" xfId="0" applyAlignment="1" applyFont="1" applyNumberFormat="1">
      <alignment readingOrder="0" shrinkToFit="0" wrapText="0"/>
    </xf>
    <xf borderId="1" fillId="13" fontId="7" numFmtId="0" xfId="0" applyAlignment="1" applyBorder="1" applyFont="1">
      <alignment readingOrder="0" shrinkToFit="0" wrapText="0"/>
    </xf>
    <xf borderId="0" fillId="13" fontId="7" numFmtId="0" xfId="0" applyAlignment="1" applyFont="1">
      <alignment readingOrder="0" shrinkToFit="0" wrapText="1"/>
    </xf>
    <xf borderId="1" fillId="0" fontId="1" numFmtId="166" xfId="0" applyAlignment="1" applyBorder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1" fillId="24" fontId="7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0" fillId="20" fontId="1" numFmtId="166" xfId="0" applyAlignment="1" applyFont="1" applyNumberFormat="1">
      <alignment readingOrder="0"/>
    </xf>
    <xf borderId="0" fillId="20" fontId="1" numFmtId="166" xfId="0" applyFont="1" applyNumberFormat="1"/>
    <xf borderId="0" fillId="20" fontId="1" numFmtId="0" xfId="0" applyFont="1"/>
    <xf borderId="1" fillId="12" fontId="1" numFmtId="166" xfId="0" applyAlignment="1" applyBorder="1" applyFont="1" applyNumberFormat="1">
      <alignment readingOrder="0" shrinkToFit="0" wrapText="1"/>
    </xf>
    <xf borderId="1" fillId="12" fontId="1" numFmtId="174" xfId="0" applyAlignment="1" applyBorder="1" applyFont="1" applyNumberFormat="1">
      <alignment readingOrder="0" shrinkToFit="0" wrapText="1"/>
    </xf>
    <xf borderId="7" fillId="0" fontId="14" numFmtId="4" xfId="0" applyAlignment="1" applyBorder="1" applyFont="1" applyNumberFormat="1">
      <alignment readingOrder="0" vertical="bottom"/>
    </xf>
    <xf borderId="1" fillId="12" fontId="14" numFmtId="166" xfId="0" applyAlignment="1" applyBorder="1" applyFont="1" applyNumberFormat="1">
      <alignment horizontal="right" shrinkToFit="0" vertical="bottom" wrapText="1"/>
    </xf>
    <xf borderId="1" fillId="0" fontId="14" numFmtId="164" xfId="0" applyAlignment="1" applyBorder="1" applyFont="1" applyNumberFormat="1">
      <alignment horizontal="right" shrinkToFit="0" vertical="bottom" wrapText="1"/>
    </xf>
    <xf borderId="6" fillId="0" fontId="14" numFmtId="164" xfId="0" applyAlignment="1" applyBorder="1" applyFont="1" applyNumberFormat="1">
      <alignment horizontal="right" shrinkToFit="0" vertical="bottom" wrapText="1"/>
    </xf>
    <xf borderId="6" fillId="0" fontId="14" numFmtId="4" xfId="0" applyAlignment="1" applyBorder="1" applyFont="1" applyNumberFormat="1">
      <alignment horizontal="right" shrinkToFit="0" vertical="bottom" wrapText="1"/>
    </xf>
    <xf borderId="4" fillId="12" fontId="14" numFmtId="166" xfId="0" applyAlignment="1" applyBorder="1" applyFont="1" applyNumberFormat="1">
      <alignment horizontal="right" shrinkToFit="0" vertical="bottom" wrapText="1"/>
    </xf>
    <xf borderId="4" fillId="0" fontId="14" numFmtId="164" xfId="0" applyAlignment="1" applyBorder="1" applyFont="1" applyNumberFormat="1">
      <alignment horizontal="right" shrinkToFit="0" vertical="bottom" wrapText="1"/>
    </xf>
    <xf borderId="7" fillId="0" fontId="14" numFmtId="164" xfId="0" applyAlignment="1" applyBorder="1" applyFont="1" applyNumberFormat="1">
      <alignment horizontal="right" shrinkToFit="0" vertical="bottom" wrapText="1"/>
    </xf>
    <xf borderId="7" fillId="0" fontId="14" numFmtId="4" xfId="0" applyAlignment="1" applyBorder="1" applyFont="1" applyNumberFormat="1">
      <alignment horizontal="right" shrinkToFit="0" vertical="bottom" wrapText="1"/>
    </xf>
    <xf borderId="4" fillId="12" fontId="14" numFmtId="166" xfId="0" applyAlignment="1" applyBorder="1" applyFont="1" applyNumberFormat="1">
      <alignment horizontal="right" readingOrder="0" shrinkToFit="0" vertical="bottom" wrapText="1"/>
    </xf>
    <xf borderId="7" fillId="0" fontId="14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1" fillId="13" fontId="20" numFmtId="0" xfId="0" applyAlignment="1" applyBorder="1" applyFont="1">
      <alignment horizontal="right" shrinkToFit="0" vertical="bottom" wrapText="1"/>
    </xf>
    <xf borderId="0" fillId="0" fontId="1" numFmtId="167" xfId="0" applyFont="1" applyNumberFormat="1"/>
    <xf borderId="0" fillId="11" fontId="21" numFmtId="0" xfId="0" applyAlignment="1" applyFont="1">
      <alignment readingOrder="0"/>
    </xf>
    <xf borderId="11" fillId="0" fontId="7" numFmtId="0" xfId="0" applyBorder="1" applyFont="1"/>
    <xf borderId="2" fillId="0" fontId="1" numFmtId="0" xfId="0" applyAlignment="1" applyBorder="1" applyFont="1">
      <alignment readingOrder="0"/>
    </xf>
    <xf borderId="8" fillId="13" fontId="1" numFmtId="0" xfId="0" applyAlignment="1" applyBorder="1" applyFont="1">
      <alignment readingOrder="0"/>
    </xf>
    <xf borderId="5" fillId="13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8" fillId="0" fontId="1" numFmtId="0" xfId="0" applyBorder="1" applyFont="1"/>
    <xf borderId="22" fillId="0" fontId="1" numFmtId="0" xfId="0" applyBorder="1" applyFont="1"/>
    <xf borderId="0" fillId="0" fontId="1" numFmtId="167" xfId="0" applyAlignment="1" applyFont="1" applyNumberFormat="1">
      <alignment readingOrder="0"/>
    </xf>
    <xf borderId="8" fillId="0" fontId="1" numFmtId="166" xfId="0" applyBorder="1" applyFont="1" applyNumberFormat="1"/>
    <xf borderId="8" fillId="0" fontId="1" numFmtId="167" xfId="0" applyBorder="1" applyFont="1" applyNumberFormat="1"/>
    <xf borderId="0" fillId="0" fontId="1" numFmtId="0" xfId="0" applyAlignment="1" applyFont="1">
      <alignment shrinkToFit="0" vertical="center" wrapText="1"/>
    </xf>
    <xf borderId="8" fillId="0" fontId="1" numFmtId="166" xfId="0" applyAlignment="1" applyBorder="1" applyFont="1" applyNumberFormat="1">
      <alignment readingOrder="0"/>
    </xf>
    <xf borderId="1" fillId="13" fontId="7" numFmtId="0" xfId="0" applyAlignment="1" applyBorder="1" applyFont="1">
      <alignment readingOrder="0"/>
    </xf>
    <xf borderId="1" fillId="13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22" fillId="0" fontId="1" numFmtId="166" xfId="0" applyAlignment="1" applyBorder="1" applyFont="1" applyNumberFormat="1">
      <alignment readingOrder="0"/>
    </xf>
    <xf borderId="22" fillId="0" fontId="1" numFmtId="0" xfId="0" applyAlignment="1" applyBorder="1" applyFont="1">
      <alignment readingOrder="0" shrinkToFit="0" vertical="center" wrapText="1"/>
    </xf>
    <xf borderId="21" fillId="0" fontId="1" numFmtId="166" xfId="0" applyAlignment="1" applyBorder="1" applyFont="1" applyNumberFormat="1">
      <alignment readingOrder="0"/>
    </xf>
    <xf borderId="21" fillId="0" fontId="1" numFmtId="0" xfId="0" applyAlignment="1" applyBorder="1" applyFont="1">
      <alignment readingOrder="0" shrinkToFit="0" vertical="center" wrapText="1"/>
    </xf>
    <xf borderId="21" fillId="0" fontId="1" numFmtId="0" xfId="0" applyAlignment="1" applyBorder="1" applyFont="1">
      <alignment shrinkToFit="0" vertical="center" wrapText="1"/>
    </xf>
    <xf borderId="4" fillId="0" fontId="1" numFmtId="166" xfId="0" applyAlignment="1" applyBorder="1" applyFont="1" applyNumberFormat="1">
      <alignment readingOrder="0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/>
    </xf>
    <xf borderId="21" fillId="0" fontId="14" numFmtId="0" xfId="0" applyAlignment="1" applyBorder="1" applyFont="1">
      <alignment vertical="bottom"/>
    </xf>
    <xf borderId="21" fillId="0" fontId="14" numFmtId="0" xfId="0" applyAlignment="1" applyBorder="1" applyFont="1">
      <alignment readingOrder="0" vertical="bottom"/>
    </xf>
    <xf borderId="21" fillId="0" fontId="14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vertical="bottom"/>
    </xf>
    <xf borderId="13" fillId="0" fontId="1" numFmtId="166" xfId="0" applyAlignment="1" applyBorder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24" fontId="1" numFmtId="0" xfId="0" applyFont="1"/>
    <xf borderId="0" fillId="24" fontId="1" numFmtId="0" xfId="0" applyAlignment="1" applyFont="1">
      <alignment readingOrder="0"/>
    </xf>
  </cellXfs>
  <cellStyles count="1">
    <cellStyle xfId="0" name="Normal" builtinId="0"/>
  </cellStyles>
  <dxfs count="33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>
        <color rgb="FF000000"/>
      </font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>
        <color rgb="FF000000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</dxfs>
  <tableStyles count="2">
    <tableStyle count="4" pivot="0" name="Time Table-style">
      <tableStyleElement dxfId="8" type="headerRow"/>
      <tableStyleElement dxfId="9" type="firstRowStripe"/>
      <tableStyleElement dxfId="10" type="secondRowStripe"/>
      <tableStyleElement dxfId="11" size="0" type="wholeTable"/>
    </tableStyle>
    <tableStyle count="4" pivot="0" name="Copy of Time Table-style">
      <tableStyleElement dxfId="8" type="headerRow"/>
      <tableStyleElement dxfId="9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Expense Division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'Unplanned Expenses'!$C$3:$C$14</c:f>
            </c:strRef>
          </c:cat>
          <c:val>
            <c:numRef>
              <c:f>'Unplanned Expenses'!$B$3:$B$14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16</xdr:row>
      <xdr:rowOff>0</xdr:rowOff>
    </xdr:from>
    <xdr:ext cx="53721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M58" displayName="Table2" name="Table2" id="1">
  <tableColumns count="13">
    <tableColumn name="Monthly Income" id="1"/>
    <tableColumn name="Weekly Income" id="2"/>
    <tableColumn name="Column 1" id="3"/>
    <tableColumn name="Column 2" id="4"/>
    <tableColumn name="Monday" id="5"/>
    <tableColumn name="Column 12" id="6"/>
    <tableColumn name="Column 13" id="7"/>
    <tableColumn name="Tuesday" id="8"/>
    <tableColumn name="Wednesday" id="9"/>
    <tableColumn name="Thursday" id="10"/>
    <tableColumn name="Friday" id="11"/>
    <tableColumn name="Saturday" id="12"/>
    <tableColumn name="Sunday" id="13"/>
  </tableColumns>
  <tableStyleInfo name="Time Table-style" showColumnStripes="0" showFirstColumn="1" showLastColumn="1" showRowStripes="1"/>
</table>
</file>

<file path=xl/tables/table2.xml><?xml version="1.0" encoding="utf-8"?>
<table xmlns="http://schemas.openxmlformats.org/spreadsheetml/2006/main" ref="A9:K57" displayName="Table2_2" name="Table2_2" id="2">
  <tableColumns count="11">
    <tableColumn name="Monthly Income" id="1"/>
    <tableColumn name="Weekly Income" id="2"/>
    <tableColumn name="Column 1" id="3"/>
    <tableColumn name="Column 2" id="4"/>
    <tableColumn name="Monday" id="5"/>
    <tableColumn name="Tuesday" id="6"/>
    <tableColumn name="Wednesday" id="7"/>
    <tableColumn name="Thursday" id="8"/>
    <tableColumn name="Friday" id="9"/>
    <tableColumn name="Saturday" id="10"/>
    <tableColumn name="Sunday" id="11"/>
  </tableColumns>
  <tableStyleInfo name="Copy of Time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.xml"/><Relationship Id="rId11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RYtb4DlFlFrTgPctk08y0yQbLLSv%0D%0AOO3v23u0PUNqXvA%3D" TargetMode="External"/><Relationship Id="rId10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b04F5fDa79ywrPmz2rVG7CeS6RMa%0D%0A3H1qct4ZYdIFcnE%3D" TargetMode="External"/><Relationship Id="rId13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o293yLIS4fgebRP18jL81iQbLLSv%0D%0AOO3v23u0PUNqXvA%3D" TargetMode="External"/><Relationship Id="rId12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o293yLIS4fgebRP18jL81ieS6RMa%0D%0A3H1qct4ZYdIFcnE%3D" TargetMode="External"/><Relationship Id="rId1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6q6GUM7%2BJ0KkrgFzDKjECyeS6RMa%0D%0A3H1qct4ZYdIFcnE%3D" TargetMode="External"/><Relationship Id="rId2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RYtb4DlFlFrTgPctk08y0yeS6RMa%0D%0A3H1qct4ZYdIFcnE%3D" TargetMode="External"/><Relationship Id="rId3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1aODolwye2Ge%2BQ%2FwiTal2yQbLLSv%0D%0AOO3v23u0PUNqXvA%3D" TargetMode="External"/><Relationship Id="rId4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xrqu9gsy9MECxj%2BnepShgq%2Fa03I1%0D%0AUdsIgprCSOfXWgA%3D" TargetMode="External"/><Relationship Id="rId9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b04F5fDa79ywrPmz2rVG7CQbLLSv%0D%0AOO3v23u0PUNqXvA%3D" TargetMode="External"/><Relationship Id="rId15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wqrKRS4vfuIWaO0GG7TUqCQbLLSv%0D%0AOO3v23u0PUNqXvA%3D" TargetMode="External"/><Relationship Id="rId14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6q6GUM7%2BJ0KkrgFzDKjEC6%2Fa03I1%0D%0AUdsIgprCSOfXWgA%3D" TargetMode="External"/><Relationship Id="rId17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f5oSWatQ4GLSWW7eOOrhqy%2FimF8X%0D%0AAw7wV0Rj7DWACqQ%3D" TargetMode="External"/><Relationship Id="rId16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qIJhGfvSvgDt9OtT1FjrbSQbLLSv%0D%0AOO3v23u0PUNqXvA%3D" TargetMode="External"/><Relationship Id="rId5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xrqu9gsy9MECxj%2BnepShgiQbLLSv%0D%0AOO3v23u0PUNqXvA%3D" TargetMode="External"/><Relationship Id="rId19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iB24fva%2FWm%2BSaEf6UX%2F8IS%2FimF8X%0D%0AAw7wV0Rj7DWACqQ%3D" TargetMode="External"/><Relationship Id="rId6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xrqu9gsy9MECxj%2BnepShgieS6RMa%0D%0A3H1qct4ZYdIFcnE%3D" TargetMode="External"/><Relationship Id="rId18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1TAUrQrnk3wK9X0%2BmNXfTiQbLLSv%0D%0AOO3v23u0PUNqXvA%3D" TargetMode="External"/><Relationship Id="rId7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Qt%2BobxtqDNvukwOolRG1ZsIjT7wo%0D%0AuI%2FopMOpCYBQI9E%3D" TargetMode="External"/><Relationship Id="rId8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6q6GUM7%2BJ0KkrgFzDKjECyQbLLSv%0D%0AOO3v23u0PUNqXvA%3D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7.xml"/><Relationship Id="rId11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RYtb4DlFlFrTgPctk08y0yQbLLSv%0D%0AOO3v23u0PUNqXvA%3D" TargetMode="External"/><Relationship Id="rId10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b04F5fDa79ywrPmz2rVG7CeS6RMa%0D%0A3H1qct4ZYdIFcnE%3D" TargetMode="External"/><Relationship Id="rId13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o293yLIS4fgebRP18jL81iQbLLSv%0D%0AOO3v23u0PUNqXvA%3D" TargetMode="External"/><Relationship Id="rId12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o293yLIS4fgebRP18jL81ieS6RMa%0D%0A3H1qct4ZYdIFcnE%3D" TargetMode="External"/><Relationship Id="rId1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6q6GUM7%2BJ0KkrgFzDKjECyeS6RMa%0D%0A3H1qct4ZYdIFcnE%3D" TargetMode="External"/><Relationship Id="rId2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RYtb4DlFlFrTgPctk08y0yeS6RMa%0D%0A3H1qct4ZYdIFcnE%3D" TargetMode="External"/><Relationship Id="rId3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1aODolwye2Ge%2BQ%2FwiTal2yQbLLSv%0D%0AOO3v23u0PUNqXvA%3D" TargetMode="External"/><Relationship Id="rId4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xrqu9gsy9MECxj%2BnepShgq%2Fa03I1%0D%0AUdsIgprCSOfXWgA%3D" TargetMode="External"/><Relationship Id="rId9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b04F5fDa79ywrPmz2rVG7CQbLLSv%0D%0AOO3v23u0PUNqXvA%3D" TargetMode="External"/><Relationship Id="rId15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wqrKRS4vfuIWaO0GG7TUqCQbLLSv%0D%0AOO3v23u0PUNqXvA%3D" TargetMode="External"/><Relationship Id="rId14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6q6GUM7%2BJ0KkrgFzDKjEC6%2Fa03I1%0D%0AUdsIgprCSOfXWgA%3D" TargetMode="External"/><Relationship Id="rId17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f5oSWatQ4GLSWW7eOOrhqy%2FimF8X%0D%0AAw7wV0Rj7DWACqQ%3D" TargetMode="External"/><Relationship Id="rId16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qIJhGfvSvgDt9OtT1FjrbSQbLLSv%0D%0AOO3v23u0PUNqXvA%3D" TargetMode="External"/><Relationship Id="rId5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xrqu9gsy9MECxj%2BnepShgiQbLLSv%0D%0AOO3v23u0PUNqXvA%3D" TargetMode="External"/><Relationship Id="rId19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iB24fva%2FWm%2BSaEf6UX%2F8IS%2FimF8X%0D%0AAw7wV0Rj7DWACqQ%3D" TargetMode="External"/><Relationship Id="rId6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xrqu9gsy9MECxj%2BnepShgieS6RMa%0D%0A3H1qct4ZYdIFcnE%3D" TargetMode="External"/><Relationship Id="rId18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1TAUrQrnk3wK9X0%2BmNXfTiQbLLSv%0D%0AOO3v23u0PUNqXvA%3D" TargetMode="External"/><Relationship Id="rId7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Qt%2BobxtqDNvukwOolRG1ZsIjT7wo%0D%0AuI%2FopMOpCYBQI9E%3D" TargetMode="External"/><Relationship Id="rId8" Type="http://schemas.openxmlformats.org/officeDocument/2006/relationships/hyperlink" Target="https://infinity.icicibank.com/corp/Finacle;jsessionid=0000E0NAYWoKH0dsD6D3pxXOyg9:CR29n43wmv?bwayparam=NxO%2FTAcGwtBo40nyzC%2BhRKG9ZSBsja0OH4xpWiw%2F8iHTy%2FdY1WWyNiRMPWo%2Ft%2Fi7DVN5SEfeTPHM%0D%0AhMi6B1UIbBmG8C0bOt1lEmycKaPT8Aihlpw3EfLugiXMLLA2Pm4N6q6GUM7%2BJ0KkrgFzDKjECyQbLLSv%0D%0AOO3v23u0PUNqXvA%3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2.63" defaultRowHeight="15.75"/>
  <cols>
    <col customWidth="1" min="1" max="1" width="20.63"/>
    <col customWidth="1" min="2" max="2" width="20.0"/>
    <col customWidth="1" min="3" max="4" width="15.88"/>
    <col customWidth="1" min="5" max="11" width="36.0"/>
    <col customWidth="1" min="12" max="13" width="38.63"/>
    <col customWidth="1" min="14" max="17" width="5.25"/>
    <col customWidth="1" min="18" max="18" width="4.5"/>
    <col customWidth="1" min="19" max="19" width="6.88"/>
    <col customWidth="1" min="20" max="20" width="25.38"/>
    <col customWidth="1" min="21" max="21" width="23.25"/>
    <col customWidth="1" min="22" max="23" width="8.13"/>
    <col customWidth="1" min="24" max="24" width="32.88"/>
    <col customWidth="1" min="25" max="25" width="4.75"/>
    <col customWidth="1" min="26" max="26" width="17.5"/>
    <col customWidth="1" min="27" max="27" width="6.38"/>
    <col customWidth="1" min="28" max="39" width="6.25"/>
    <col customWidth="1" min="40" max="40" width="5.63"/>
    <col customWidth="1" min="41" max="41" width="10.75"/>
    <col customWidth="1" min="42" max="55" width="6.25"/>
  </cols>
  <sheetData>
    <row r="1">
      <c r="A1" s="1"/>
      <c r="B1" s="1"/>
      <c r="C1" s="2"/>
      <c r="D1" s="2"/>
      <c r="E1" s="2"/>
      <c r="F1" s="2"/>
      <c r="G1" s="2">
        <f t="shared" ref="G1:G7" si="1">sumif($F$26:$F$40,F1,$B$26:$B$40)</f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>
      <c r="A2" s="1"/>
      <c r="B2" s="1"/>
      <c r="C2" s="2"/>
      <c r="D2" s="2"/>
      <c r="E2" s="2"/>
      <c r="F2" s="2" t="str">
        <f t="array" ref="F2:F6">UNIQUE(F26:F40)</f>
        <v>health</v>
      </c>
      <c r="G2" s="2">
        <f t="shared" si="1"/>
        <v>10.5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>
      <c r="A3" s="1"/>
      <c r="B3" s="1"/>
      <c r="C3" s="2"/>
      <c r="D3" s="2"/>
      <c r="E3" s="2"/>
      <c r="F3" s="2" t="s">
        <v>0</v>
      </c>
      <c r="G3" s="2">
        <f t="shared" si="1"/>
        <v>1.5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>
      <c r="A4" s="1"/>
      <c r="B4" s="1"/>
      <c r="C4" s="2"/>
      <c r="D4" s="2"/>
      <c r="E4" s="2"/>
      <c r="F4" s="2" t="s">
        <v>1</v>
      </c>
      <c r="G4" s="2">
        <f t="shared" si="1"/>
        <v>1.5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>
      <c r="A5" s="1">
        <f t="shared" ref="A5:B5" si="2">sum(A8:A936)</f>
        <v>0</v>
      </c>
      <c r="B5" s="1">
        <f t="shared" si="2"/>
        <v>26</v>
      </c>
      <c r="C5" s="2"/>
      <c r="D5" s="2"/>
      <c r="E5" s="2"/>
      <c r="F5" s="2" t="s">
        <v>2</v>
      </c>
      <c r="G5" s="2">
        <f t="shared" si="1"/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>
      <c r="A6" s="3"/>
      <c r="B6" s="3"/>
      <c r="C6" s="4"/>
      <c r="D6" s="5"/>
      <c r="E6" s="6"/>
      <c r="F6" s="6" t="s">
        <v>3</v>
      </c>
      <c r="G6" s="2">
        <f t="shared" si="1"/>
        <v>1.5</v>
      </c>
      <c r="H6" s="6"/>
      <c r="I6" s="6"/>
      <c r="J6" s="6"/>
      <c r="K6" s="6"/>
      <c r="L6" s="6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>
      <c r="A7" s="7"/>
      <c r="B7" s="7"/>
      <c r="C7" s="7"/>
      <c r="D7" s="7"/>
      <c r="E7" s="7"/>
      <c r="F7" s="7"/>
      <c r="G7" s="2">
        <f t="shared" si="1"/>
        <v>0</v>
      </c>
      <c r="H7" s="7"/>
      <c r="I7" s="7"/>
      <c r="J7" s="7"/>
      <c r="K7" s="7"/>
      <c r="L7" s="7"/>
      <c r="M7" s="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>
      <c r="A8" s="1"/>
      <c r="B8" s="1"/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f>SUM(R10:R936)</f>
        <v>3.5</v>
      </c>
      <c r="S8" s="2"/>
      <c r="T8" s="2"/>
      <c r="U8" s="2"/>
      <c r="V8" s="5"/>
      <c r="W8" s="5"/>
      <c r="X8" s="2"/>
      <c r="Y8" s="2"/>
      <c r="Z8" s="6" t="s">
        <v>4</v>
      </c>
      <c r="AA8" s="2">
        <f>7*24</f>
        <v>168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ht="22.5" customHeight="1">
      <c r="A9" s="8" t="s">
        <v>5</v>
      </c>
      <c r="B9" s="8" t="s">
        <v>6</v>
      </c>
      <c r="C9" s="9" t="s">
        <v>7</v>
      </c>
      <c r="D9" s="10" t="s">
        <v>8</v>
      </c>
      <c r="E9" s="11" t="s">
        <v>9</v>
      </c>
      <c r="F9" s="12" t="s">
        <v>10</v>
      </c>
      <c r="G9" s="12" t="s">
        <v>11</v>
      </c>
      <c r="H9" s="11" t="s">
        <v>12</v>
      </c>
      <c r="I9" s="11" t="s">
        <v>13</v>
      </c>
      <c r="J9" s="11" t="s">
        <v>14</v>
      </c>
      <c r="K9" s="11" t="s">
        <v>15</v>
      </c>
      <c r="L9" s="11" t="s">
        <v>16</v>
      </c>
      <c r="M9" s="11" t="s">
        <v>17</v>
      </c>
      <c r="N9" s="2"/>
      <c r="O9" s="2"/>
      <c r="P9" s="2"/>
      <c r="Q9" s="2"/>
      <c r="R9" s="6" t="s">
        <v>18</v>
      </c>
      <c r="S9" s="6" t="s">
        <v>19</v>
      </c>
      <c r="T9" s="2"/>
      <c r="U9" s="2"/>
      <c r="V9" s="5"/>
      <c r="W9" s="5"/>
      <c r="X9" s="2"/>
      <c r="Y9" s="2"/>
      <c r="Z9" s="2"/>
      <c r="AA9" s="2">
        <f>sum(J8:J936)</f>
        <v>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>
        <f>sum(AN10:AN18)</f>
        <v>13787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2.5" customHeight="1">
      <c r="A10" s="13"/>
      <c r="B10" s="13"/>
      <c r="C10" s="14">
        <v>0.20833333333333334</v>
      </c>
      <c r="D10" s="14">
        <v>0.25</v>
      </c>
      <c r="E10" s="15" t="s">
        <v>20</v>
      </c>
      <c r="F10" s="15"/>
      <c r="G10" s="15"/>
      <c r="H10" s="15" t="s">
        <v>20</v>
      </c>
      <c r="I10" s="15" t="s">
        <v>20</v>
      </c>
      <c r="J10" s="15" t="s">
        <v>20</v>
      </c>
      <c r="K10" s="15" t="s">
        <v>20</v>
      </c>
      <c r="L10" s="16" t="s">
        <v>20</v>
      </c>
      <c r="M10" s="16" t="s">
        <v>20</v>
      </c>
      <c r="N10" s="2"/>
      <c r="O10" s="2"/>
      <c r="P10" s="2"/>
      <c r="Q10" s="2"/>
      <c r="R10" s="2">
        <f t="shared" ref="R10:R25" si="3">S10/2</f>
        <v>0</v>
      </c>
      <c r="S10" s="2">
        <f>COUNTIF(Table2[[Monday]:[Sunday]],T10)</f>
        <v>0</v>
      </c>
      <c r="T10" s="2" t="s">
        <v>21</v>
      </c>
      <c r="U10" s="2"/>
      <c r="V10" s="5"/>
      <c r="W10" s="5"/>
      <c r="X10" s="2"/>
      <c r="Y10" s="6" t="s">
        <v>22</v>
      </c>
      <c r="Z10" s="6" t="s">
        <v>23</v>
      </c>
      <c r="AA10" s="6" t="s">
        <v>24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6">
        <v>5.0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2.5" customHeight="1">
      <c r="A11" s="13"/>
      <c r="B11" s="13"/>
      <c r="C11" s="14">
        <v>0.25</v>
      </c>
      <c r="D11" s="14">
        <v>0.2916666666666667</v>
      </c>
      <c r="E11" s="15" t="s">
        <v>25</v>
      </c>
      <c r="F11" s="15"/>
      <c r="G11" s="15"/>
      <c r="H11" s="15" t="s">
        <v>25</v>
      </c>
      <c r="I11" s="15" t="s">
        <v>25</v>
      </c>
      <c r="J11" s="15" t="s">
        <v>25</v>
      </c>
      <c r="K11" s="15" t="s">
        <v>25</v>
      </c>
      <c r="L11" s="16" t="s">
        <v>25</v>
      </c>
      <c r="M11" s="16" t="s">
        <v>25</v>
      </c>
      <c r="N11" s="2"/>
      <c r="O11" s="2"/>
      <c r="P11" s="2"/>
      <c r="Q11" s="2"/>
      <c r="R11" s="2">
        <f t="shared" si="3"/>
        <v>0</v>
      </c>
      <c r="S11" s="2">
        <f>COUNTIF(Table2[[Monday]:[Sunday]],T11)</f>
        <v>0</v>
      </c>
      <c r="T11" s="2" t="s">
        <v>26</v>
      </c>
      <c r="U11" s="2"/>
      <c r="V11" s="5">
        <v>0.22916666666666666</v>
      </c>
      <c r="W11" s="5">
        <v>0.3333333333333333</v>
      </c>
      <c r="X11" s="6" t="s">
        <v>27</v>
      </c>
      <c r="Y11" s="6">
        <v>2.5</v>
      </c>
      <c r="Z11" s="6">
        <v>7.0</v>
      </c>
      <c r="AA11" s="2">
        <f t="shared" ref="AA11:AA22" si="4">Y11*Z11</f>
        <v>17.5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6">
        <v>801.0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2.5" customHeight="1">
      <c r="A12" s="13"/>
      <c r="B12" s="13"/>
      <c r="C12" s="14">
        <v>0.2916666666666667</v>
      </c>
      <c r="D12" s="14">
        <v>0.3125</v>
      </c>
      <c r="E12" s="15" t="s">
        <v>28</v>
      </c>
      <c r="F12" s="15"/>
      <c r="G12" s="15"/>
      <c r="H12" s="15" t="s">
        <v>28</v>
      </c>
      <c r="I12" s="15" t="s">
        <v>28</v>
      </c>
      <c r="J12" s="15" t="s">
        <v>28</v>
      </c>
      <c r="K12" s="15" t="s">
        <v>28</v>
      </c>
      <c r="L12" s="16" t="s">
        <v>28</v>
      </c>
      <c r="M12" s="16" t="s">
        <v>28</v>
      </c>
      <c r="N12" s="2"/>
      <c r="O12" s="2"/>
      <c r="P12" s="2"/>
      <c r="Q12" s="2"/>
      <c r="R12" s="2">
        <f t="shared" si="3"/>
        <v>0</v>
      </c>
      <c r="S12" s="2">
        <f>COUNTIF(Table2[[Monday]:[Sunday]],T12)</f>
        <v>0</v>
      </c>
      <c r="T12" s="2" t="s">
        <v>29</v>
      </c>
      <c r="U12" s="2"/>
      <c r="V12" s="5">
        <v>0.3333333333333333</v>
      </c>
      <c r="W12" s="5">
        <v>0.4166666666666667</v>
      </c>
      <c r="X12" s="6" t="s">
        <v>30</v>
      </c>
      <c r="Y12" s="6">
        <v>2.0</v>
      </c>
      <c r="Z12" s="6">
        <v>5.0</v>
      </c>
      <c r="AA12" s="2">
        <f t="shared" si="4"/>
        <v>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6">
        <v>1588.0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2.5" customHeight="1">
      <c r="A13" s="13"/>
      <c r="B13" s="13"/>
      <c r="C13" s="14">
        <v>0.3125</v>
      </c>
      <c r="D13" s="14">
        <v>0.3958333333333333</v>
      </c>
      <c r="E13" s="15" t="s">
        <v>31</v>
      </c>
      <c r="F13" s="15"/>
      <c r="G13" s="15"/>
      <c r="H13" s="15" t="s">
        <v>31</v>
      </c>
      <c r="I13" s="15" t="s">
        <v>31</v>
      </c>
      <c r="J13" s="15" t="s">
        <v>31</v>
      </c>
      <c r="K13" s="15" t="s">
        <v>31</v>
      </c>
      <c r="L13" s="16"/>
      <c r="M13" s="16"/>
      <c r="N13" s="2"/>
      <c r="O13" s="2"/>
      <c r="P13" s="2"/>
      <c r="Q13" s="2"/>
      <c r="R13" s="2">
        <f t="shared" si="3"/>
        <v>0</v>
      </c>
      <c r="S13" s="2">
        <f>COUNTIF(Table2[[Monday]:[Sunday]],T13)</f>
        <v>0</v>
      </c>
      <c r="T13" s="2" t="s">
        <v>32</v>
      </c>
      <c r="U13" s="2"/>
      <c r="V13" s="5">
        <v>0.4166666666666667</v>
      </c>
      <c r="W13" s="5">
        <v>0.625</v>
      </c>
      <c r="X13" s="6" t="s">
        <v>33</v>
      </c>
      <c r="Y13" s="6">
        <v>3.0</v>
      </c>
      <c r="Z13" s="6">
        <v>5.0</v>
      </c>
      <c r="AA13" s="2">
        <f t="shared" si="4"/>
        <v>15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6">
        <v>1612.0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2.5" customHeight="1">
      <c r="A14" s="13"/>
      <c r="B14" s="13"/>
      <c r="C14" s="14">
        <v>0.3958333333333333</v>
      </c>
      <c r="D14" s="14">
        <v>0.4375</v>
      </c>
      <c r="E14" s="15" t="s">
        <v>34</v>
      </c>
      <c r="F14" s="15"/>
      <c r="G14" s="15"/>
      <c r="H14" s="15" t="s">
        <v>34</v>
      </c>
      <c r="I14" s="15" t="s">
        <v>34</v>
      </c>
      <c r="J14" s="15" t="s">
        <v>34</v>
      </c>
      <c r="K14" s="15" t="s">
        <v>34</v>
      </c>
      <c r="L14" s="16" t="s">
        <v>34</v>
      </c>
      <c r="M14" s="16" t="s">
        <v>34</v>
      </c>
      <c r="N14" s="2"/>
      <c r="O14" s="2"/>
      <c r="P14" s="2"/>
      <c r="Q14" s="2"/>
      <c r="R14" s="2">
        <f t="shared" si="3"/>
        <v>0</v>
      </c>
      <c r="S14" s="2">
        <f>COUNTIF(Table2[[Monday]:[Sunday]],T14)</f>
        <v>0</v>
      </c>
      <c r="T14" s="2" t="s">
        <v>35</v>
      </c>
      <c r="U14" s="2"/>
      <c r="V14" s="5">
        <v>0.4166666666666667</v>
      </c>
      <c r="W14" s="5">
        <v>0.625</v>
      </c>
      <c r="X14" s="6" t="s">
        <v>36</v>
      </c>
      <c r="Y14" s="6">
        <v>3.0</v>
      </c>
      <c r="Z14" s="6">
        <v>1.0</v>
      </c>
      <c r="AA14" s="2">
        <f t="shared" si="4"/>
        <v>3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6">
        <v>18.0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2.5" customHeight="1">
      <c r="A15" s="13"/>
      <c r="B15" s="13"/>
      <c r="C15" s="14">
        <v>0.4375</v>
      </c>
      <c r="D15" s="14">
        <v>0.5625</v>
      </c>
      <c r="E15" s="15" t="s">
        <v>37</v>
      </c>
      <c r="F15" s="15"/>
      <c r="G15" s="15"/>
      <c r="H15" s="15" t="s">
        <v>37</v>
      </c>
      <c r="I15" s="15" t="s">
        <v>37</v>
      </c>
      <c r="J15" s="15" t="s">
        <v>37</v>
      </c>
      <c r="K15" s="15" t="s">
        <v>37</v>
      </c>
      <c r="L15" s="16"/>
      <c r="M15" s="16"/>
      <c r="N15" s="2"/>
      <c r="O15" s="2"/>
      <c r="P15" s="2"/>
      <c r="Q15" s="2"/>
      <c r="R15" s="2">
        <f t="shared" si="3"/>
        <v>0</v>
      </c>
      <c r="S15" s="2">
        <f>COUNTIF(Table2[[Monday]:[Sunday]],T15)</f>
        <v>0</v>
      </c>
      <c r="T15" s="2" t="s">
        <v>38</v>
      </c>
      <c r="U15" s="2"/>
      <c r="V15" s="5">
        <v>0.4166666666666667</v>
      </c>
      <c r="W15" s="5">
        <v>0.625</v>
      </c>
      <c r="X15" s="6" t="s">
        <v>39</v>
      </c>
      <c r="Y15" s="6">
        <v>3.0</v>
      </c>
      <c r="Z15" s="6">
        <v>1.0</v>
      </c>
      <c r="AA15" s="2">
        <f t="shared" si="4"/>
        <v>3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6">
        <v>1712.0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2.5" customHeight="1">
      <c r="A16" s="13"/>
      <c r="B16" s="13"/>
      <c r="C16" s="14">
        <v>0.5625</v>
      </c>
      <c r="D16" s="14">
        <v>0.6041666666666666</v>
      </c>
      <c r="E16" s="15" t="s">
        <v>40</v>
      </c>
      <c r="F16" s="15"/>
      <c r="G16" s="15"/>
      <c r="H16" s="15" t="s">
        <v>40</v>
      </c>
      <c r="I16" s="15" t="s">
        <v>40</v>
      </c>
      <c r="J16" s="15" t="s">
        <v>40</v>
      </c>
      <c r="K16" s="15" t="s">
        <v>40</v>
      </c>
      <c r="L16" s="16" t="s">
        <v>40</v>
      </c>
      <c r="M16" s="16" t="s">
        <v>40</v>
      </c>
      <c r="N16" s="2"/>
      <c r="O16" s="2"/>
      <c r="P16" s="2"/>
      <c r="Q16" s="2"/>
      <c r="R16" s="2">
        <f t="shared" si="3"/>
        <v>0</v>
      </c>
      <c r="S16" s="2">
        <f>COUNTIF(Table2[[Monday]:[Sunday]],T16)</f>
        <v>0</v>
      </c>
      <c r="T16" s="2" t="s">
        <v>41</v>
      </c>
      <c r="U16" s="2"/>
      <c r="V16" s="5">
        <v>0.4166666666666667</v>
      </c>
      <c r="W16" s="5">
        <v>0.625</v>
      </c>
      <c r="X16" s="6" t="s">
        <v>42</v>
      </c>
      <c r="Y16" s="6">
        <v>4.0</v>
      </c>
      <c r="Z16" s="6">
        <v>1.0</v>
      </c>
      <c r="AA16" s="2">
        <f t="shared" si="4"/>
        <v>4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6">
        <v>1674.0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2.5" customHeight="1">
      <c r="A17" s="13"/>
      <c r="B17" s="13"/>
      <c r="C17" s="14">
        <v>0.6041666666666666</v>
      </c>
      <c r="D17" s="14">
        <v>0.7291666666666666</v>
      </c>
      <c r="E17" s="15" t="s">
        <v>37</v>
      </c>
      <c r="F17" s="15"/>
      <c r="G17" s="15"/>
      <c r="H17" s="15" t="s">
        <v>37</v>
      </c>
      <c r="I17" s="15" t="s">
        <v>37</v>
      </c>
      <c r="J17" s="15" t="s">
        <v>37</v>
      </c>
      <c r="K17" s="15" t="s">
        <v>37</v>
      </c>
      <c r="L17" s="16"/>
      <c r="M17" s="16"/>
      <c r="N17" s="2"/>
      <c r="O17" s="2"/>
      <c r="P17" s="2"/>
      <c r="Q17" s="2"/>
      <c r="R17" s="2">
        <f t="shared" si="3"/>
        <v>0</v>
      </c>
      <c r="S17" s="2">
        <f>COUNTIF(Table2[[Monday]:[Sunday]],T17)</f>
        <v>0</v>
      </c>
      <c r="T17" s="2" t="s">
        <v>43</v>
      </c>
      <c r="U17" s="2"/>
      <c r="V17" s="5">
        <v>0.625</v>
      </c>
      <c r="W17" s="5">
        <v>0.7083333333333334</v>
      </c>
      <c r="X17" s="6" t="s">
        <v>44</v>
      </c>
      <c r="Y17" s="6">
        <v>2.0</v>
      </c>
      <c r="Z17" s="6">
        <v>7.0</v>
      </c>
      <c r="AA17" s="2">
        <f t="shared" si="4"/>
        <v>14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6">
        <v>3372.0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2.5" customHeight="1">
      <c r="A18" s="13"/>
      <c r="B18" s="13"/>
      <c r="C18" s="14">
        <v>0.7291666666666666</v>
      </c>
      <c r="D18" s="14">
        <v>0.7708333333333334</v>
      </c>
      <c r="E18" s="15" t="s">
        <v>45</v>
      </c>
      <c r="F18" s="15"/>
      <c r="G18" s="15"/>
      <c r="H18" s="15" t="s">
        <v>45</v>
      </c>
      <c r="I18" s="15" t="s">
        <v>45</v>
      </c>
      <c r="J18" s="15" t="s">
        <v>45</v>
      </c>
      <c r="K18" s="15" t="s">
        <v>45</v>
      </c>
      <c r="L18" s="16" t="s">
        <v>45</v>
      </c>
      <c r="M18" s="16" t="s">
        <v>45</v>
      </c>
      <c r="N18" s="2"/>
      <c r="O18" s="2"/>
      <c r="P18" s="2"/>
      <c r="Q18" s="2"/>
      <c r="R18" s="2">
        <f t="shared" si="3"/>
        <v>3.5</v>
      </c>
      <c r="S18" s="2">
        <f>COUNTIF(Table2[[Monday]:[Sunday]],T18)</f>
        <v>7</v>
      </c>
      <c r="T18" s="2" t="s">
        <v>46</v>
      </c>
      <c r="U18" s="2"/>
      <c r="V18" s="5">
        <v>0.7083333333333334</v>
      </c>
      <c r="W18" s="5">
        <v>0.7708333333333334</v>
      </c>
      <c r="X18" s="6" t="s">
        <v>47</v>
      </c>
      <c r="Y18" s="6">
        <v>1.5</v>
      </c>
      <c r="Z18" s="6">
        <v>5.0</v>
      </c>
      <c r="AA18" s="2">
        <f t="shared" si="4"/>
        <v>7.5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6">
        <v>3005.0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2.5" customHeight="1">
      <c r="A19" s="13"/>
      <c r="B19" s="13"/>
      <c r="C19" s="14">
        <v>0.7708333333333334</v>
      </c>
      <c r="D19" s="14">
        <v>0.7916666666666666</v>
      </c>
      <c r="E19" s="15" t="s">
        <v>25</v>
      </c>
      <c r="F19" s="15"/>
      <c r="G19" s="15"/>
      <c r="H19" s="15" t="s">
        <v>25</v>
      </c>
      <c r="I19" s="15" t="s">
        <v>25</v>
      </c>
      <c r="J19" s="15" t="s">
        <v>25</v>
      </c>
      <c r="K19" s="15" t="s">
        <v>25</v>
      </c>
      <c r="L19" s="16" t="s">
        <v>25</v>
      </c>
      <c r="M19" s="16" t="s">
        <v>25</v>
      </c>
      <c r="N19" s="2"/>
      <c r="O19" s="2"/>
      <c r="P19" s="2"/>
      <c r="Q19" s="2"/>
      <c r="R19" s="2">
        <f t="shared" si="3"/>
        <v>0</v>
      </c>
      <c r="S19" s="2">
        <f>COUNTIF(Table2[[Monday]:[Sunday]],T19)</f>
        <v>0</v>
      </c>
      <c r="T19" s="2" t="s">
        <v>48</v>
      </c>
      <c r="U19" s="2"/>
      <c r="V19" s="5">
        <v>0.7708333333333334</v>
      </c>
      <c r="W19" s="5">
        <v>0.0</v>
      </c>
      <c r="X19" s="6" t="s">
        <v>49</v>
      </c>
      <c r="Y19" s="6">
        <v>5.5</v>
      </c>
      <c r="Z19" s="6">
        <v>5.0</v>
      </c>
      <c r="AA19" s="2">
        <f t="shared" si="4"/>
        <v>27.5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2.5" customHeight="1">
      <c r="A20" s="13"/>
      <c r="B20" s="13"/>
      <c r="C20" s="14">
        <v>0.7916666666666666</v>
      </c>
      <c r="D20" s="14">
        <v>0.8541666666666666</v>
      </c>
      <c r="E20" s="15" t="s">
        <v>50</v>
      </c>
      <c r="F20" s="15"/>
      <c r="G20" s="15"/>
      <c r="H20" s="15" t="s">
        <v>50</v>
      </c>
      <c r="I20" s="15" t="s">
        <v>50</v>
      </c>
      <c r="J20" s="15" t="s">
        <v>50</v>
      </c>
      <c r="K20" s="15" t="s">
        <v>50</v>
      </c>
      <c r="L20" s="16"/>
      <c r="M20" s="16"/>
      <c r="N20" s="2"/>
      <c r="O20" s="2"/>
      <c r="P20" s="2"/>
      <c r="Q20" s="2"/>
      <c r="R20" s="2">
        <f t="shared" si="3"/>
        <v>0</v>
      </c>
      <c r="S20" s="2">
        <f>COUNTIF(Table2[[Monday]:[Sunday]],T20)</f>
        <v>0</v>
      </c>
      <c r="T20" s="6" t="s">
        <v>51</v>
      </c>
      <c r="U20" s="2"/>
      <c r="V20" s="5">
        <v>0.0</v>
      </c>
      <c r="W20" s="5">
        <v>0.20833333333333334</v>
      </c>
      <c r="X20" s="6" t="s">
        <v>44</v>
      </c>
      <c r="Y20" s="6">
        <v>5.0</v>
      </c>
      <c r="Z20" s="6">
        <v>7.0</v>
      </c>
      <c r="AA20" s="2">
        <f t="shared" si="4"/>
        <v>35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2.5" customHeight="1">
      <c r="A21" s="13"/>
      <c r="B21" s="13"/>
      <c r="C21" s="14">
        <v>0.8541666666666666</v>
      </c>
      <c r="D21" s="14">
        <v>0.9375</v>
      </c>
      <c r="E21" s="15" t="s">
        <v>52</v>
      </c>
      <c r="F21" s="15"/>
      <c r="G21" s="15"/>
      <c r="H21" s="15" t="s">
        <v>52</v>
      </c>
      <c r="I21" s="15" t="s">
        <v>52</v>
      </c>
      <c r="J21" s="15" t="s">
        <v>52</v>
      </c>
      <c r="K21" s="15" t="s">
        <v>52</v>
      </c>
      <c r="L21" s="16"/>
      <c r="M21" s="16"/>
      <c r="N21" s="2"/>
      <c r="O21" s="2"/>
      <c r="P21" s="2"/>
      <c r="Q21" s="2"/>
      <c r="R21" s="2">
        <f t="shared" si="3"/>
        <v>0</v>
      </c>
      <c r="S21" s="2">
        <f>COUNTIF(Table2[[Monday]:[Sunday]],T21)</f>
        <v>0</v>
      </c>
      <c r="T21" s="6" t="s">
        <v>53</v>
      </c>
      <c r="U21" s="2"/>
      <c r="V21" s="5"/>
      <c r="W21" s="5"/>
      <c r="X21" s="6" t="s">
        <v>54</v>
      </c>
      <c r="Y21" s="6">
        <v>8.0</v>
      </c>
      <c r="Z21" s="6">
        <v>1.0</v>
      </c>
      <c r="AA21" s="2">
        <f t="shared" si="4"/>
        <v>8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2.5" customHeight="1">
      <c r="A22" s="13"/>
      <c r="B22" s="13"/>
      <c r="C22" s="14">
        <v>0.9375</v>
      </c>
      <c r="D22" s="14">
        <v>0.9583333333333334</v>
      </c>
      <c r="E22" s="15" t="s">
        <v>55</v>
      </c>
      <c r="F22" s="15"/>
      <c r="G22" s="15"/>
      <c r="H22" s="15" t="s">
        <v>55</v>
      </c>
      <c r="I22" s="15" t="s">
        <v>55</v>
      </c>
      <c r="J22" s="15" t="s">
        <v>55</v>
      </c>
      <c r="K22" s="15" t="s">
        <v>55</v>
      </c>
      <c r="L22" s="16" t="s">
        <v>55</v>
      </c>
      <c r="M22" s="16" t="s">
        <v>55</v>
      </c>
      <c r="N22" s="2"/>
      <c r="O22" s="2"/>
      <c r="P22" s="2"/>
      <c r="Q22" s="2"/>
      <c r="R22" s="2">
        <f t="shared" si="3"/>
        <v>0</v>
      </c>
      <c r="S22" s="2">
        <f>COUNTIF(Table2[[Monday]:[Sunday]],T22)</f>
        <v>0</v>
      </c>
      <c r="T22" s="6" t="s">
        <v>54</v>
      </c>
      <c r="U22" s="2"/>
      <c r="V22" s="5"/>
      <c r="W22" s="5"/>
      <c r="X22" s="6" t="s">
        <v>56</v>
      </c>
      <c r="Y22" s="6">
        <v>8.0</v>
      </c>
      <c r="Z22" s="6">
        <v>1.0</v>
      </c>
      <c r="AA22" s="2">
        <f t="shared" si="4"/>
        <v>8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2.5" customHeight="1">
      <c r="A23" s="13"/>
      <c r="B23" s="13"/>
      <c r="C23" s="14"/>
      <c r="D23" s="14"/>
      <c r="E23" s="15"/>
      <c r="F23" s="15"/>
      <c r="G23" s="15"/>
      <c r="H23" s="15"/>
      <c r="I23" s="15"/>
      <c r="J23" s="15"/>
      <c r="K23" s="15"/>
      <c r="L23" s="17"/>
      <c r="M23" s="16"/>
      <c r="N23" s="2"/>
      <c r="O23" s="2"/>
      <c r="P23" s="2"/>
      <c r="Q23" s="2"/>
      <c r="R23" s="2">
        <f t="shared" si="3"/>
        <v>0</v>
      </c>
      <c r="S23" s="2">
        <f>COUNTIF(Table2[[Monday]:[Sunday]],T23)</f>
        <v>0</v>
      </c>
      <c r="T23" s="18" t="s">
        <v>57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2.5" customHeight="1">
      <c r="A24" s="13"/>
      <c r="B24" s="13"/>
      <c r="C24" s="14"/>
      <c r="D24" s="14"/>
      <c r="E24" s="15"/>
      <c r="F24" s="15"/>
      <c r="G24" s="15"/>
      <c r="H24" s="15"/>
      <c r="I24" s="15"/>
      <c r="J24" s="15"/>
      <c r="K24" s="15"/>
      <c r="L24" s="17"/>
      <c r="M24" s="16"/>
      <c r="N24" s="2"/>
      <c r="O24" s="2"/>
      <c r="P24" s="2"/>
      <c r="Q24" s="2"/>
      <c r="R24" s="2">
        <f t="shared" si="3"/>
        <v>0</v>
      </c>
      <c r="S24" s="2">
        <f>COUNTIF(Table2[[Monday]:[Sunday]],T24)</f>
        <v>0</v>
      </c>
      <c r="T24" s="6" t="s">
        <v>56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2.5" customHeight="1">
      <c r="A25" s="13"/>
      <c r="B25" s="13"/>
      <c r="C25" s="14"/>
      <c r="D25" s="14"/>
      <c r="E25" s="15"/>
      <c r="F25" s="15"/>
      <c r="G25" s="15"/>
      <c r="H25" s="15"/>
      <c r="I25" s="15"/>
      <c r="J25" s="15"/>
      <c r="K25" s="15"/>
      <c r="L25" s="16"/>
      <c r="M25" s="16"/>
      <c r="N25" s="2"/>
      <c r="O25" s="2"/>
      <c r="P25" s="2"/>
      <c r="Q25" s="2"/>
      <c r="R25" s="2">
        <f t="shared" si="3"/>
        <v>0</v>
      </c>
      <c r="S25" s="2">
        <f>COUNTIF(Table2[[Monday]:[Sunday]],T25)</f>
        <v>0</v>
      </c>
      <c r="T25" s="6" t="s">
        <v>42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2.5" customHeight="1">
      <c r="A26" s="13"/>
      <c r="B26" s="19">
        <v>1.0</v>
      </c>
      <c r="C26" s="14">
        <v>0.20833333333333334</v>
      </c>
      <c r="D26" s="14">
        <v>0.25</v>
      </c>
      <c r="E26" s="15" t="s">
        <v>20</v>
      </c>
      <c r="F26" s="15" t="s">
        <v>58</v>
      </c>
      <c r="G26" s="15"/>
      <c r="H26" s="15" t="s">
        <v>20</v>
      </c>
      <c r="I26" s="15" t="s">
        <v>20</v>
      </c>
      <c r="J26" s="15" t="s">
        <v>20</v>
      </c>
      <c r="K26" s="15" t="s">
        <v>20</v>
      </c>
      <c r="L26" s="16" t="s">
        <v>20</v>
      </c>
      <c r="M26" s="16" t="s">
        <v>20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2.5" customHeight="1">
      <c r="A27" s="13"/>
      <c r="B27" s="19">
        <v>1.0</v>
      </c>
      <c r="C27" s="14">
        <v>0.25</v>
      </c>
      <c r="D27" s="14">
        <v>0.2916666666666667</v>
      </c>
      <c r="E27" s="15" t="s">
        <v>25</v>
      </c>
      <c r="F27" s="15" t="s">
        <v>0</v>
      </c>
      <c r="G27" s="15"/>
      <c r="H27" s="15" t="s">
        <v>25</v>
      </c>
      <c r="I27" s="15" t="s">
        <v>25</v>
      </c>
      <c r="J27" s="15" t="s">
        <v>25</v>
      </c>
      <c r="K27" s="15" t="s">
        <v>25</v>
      </c>
      <c r="L27" s="16" t="s">
        <v>25</v>
      </c>
      <c r="M27" s="16" t="s">
        <v>25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2.5" customHeight="1">
      <c r="A28" s="13"/>
      <c r="B28" s="19">
        <v>1.5</v>
      </c>
      <c r="C28" s="14">
        <v>0.2916666666666667</v>
      </c>
      <c r="D28" s="14">
        <v>0.3125</v>
      </c>
      <c r="E28" s="15" t="s">
        <v>28</v>
      </c>
      <c r="F28" s="15" t="s">
        <v>1</v>
      </c>
      <c r="G28" s="15"/>
      <c r="H28" s="15" t="s">
        <v>28</v>
      </c>
      <c r="I28" s="15" t="s">
        <v>28</v>
      </c>
      <c r="J28" s="15" t="s">
        <v>28</v>
      </c>
      <c r="K28" s="15" t="s">
        <v>28</v>
      </c>
      <c r="L28" s="16" t="s">
        <v>28</v>
      </c>
      <c r="M28" s="16" t="s">
        <v>28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2.5" customHeight="1">
      <c r="A29" s="13"/>
      <c r="B29" s="19">
        <v>2.0</v>
      </c>
      <c r="C29" s="14">
        <v>0.3125</v>
      </c>
      <c r="D29" s="14">
        <v>0.3958333333333333</v>
      </c>
      <c r="E29" s="15" t="s">
        <v>59</v>
      </c>
      <c r="F29" s="15" t="s">
        <v>2</v>
      </c>
      <c r="G29" s="15"/>
      <c r="H29" s="15" t="s">
        <v>59</v>
      </c>
      <c r="I29" s="15" t="s">
        <v>59</v>
      </c>
      <c r="J29" s="15" t="s">
        <v>59</v>
      </c>
      <c r="K29" s="15" t="s">
        <v>59</v>
      </c>
      <c r="L29" s="20"/>
      <c r="M29" s="2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2.5" customHeight="1">
      <c r="A30" s="13"/>
      <c r="B30" s="19">
        <v>1.0</v>
      </c>
      <c r="C30" s="14">
        <v>0.3958333333333333</v>
      </c>
      <c r="D30" s="14">
        <v>0.4375</v>
      </c>
      <c r="E30" s="15" t="s">
        <v>34</v>
      </c>
      <c r="F30" s="15" t="s">
        <v>58</v>
      </c>
      <c r="G30" s="15"/>
      <c r="H30" s="15" t="s">
        <v>34</v>
      </c>
      <c r="I30" s="15" t="s">
        <v>34</v>
      </c>
      <c r="J30" s="15" t="s">
        <v>34</v>
      </c>
      <c r="K30" s="15" t="s">
        <v>34</v>
      </c>
      <c r="L30" s="16" t="s">
        <v>34</v>
      </c>
      <c r="M30" s="16" t="s">
        <v>34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2.5" customHeight="1">
      <c r="A31" s="13"/>
      <c r="B31" s="19">
        <v>3.0</v>
      </c>
      <c r="C31" s="14">
        <v>0.4375</v>
      </c>
      <c r="D31" s="14">
        <v>0.5625</v>
      </c>
      <c r="E31" s="15" t="s">
        <v>37</v>
      </c>
      <c r="F31" s="15" t="s">
        <v>2</v>
      </c>
      <c r="G31" s="15"/>
      <c r="H31" s="15" t="s">
        <v>37</v>
      </c>
      <c r="I31" s="15" t="s">
        <v>37</v>
      </c>
      <c r="J31" s="15" t="s">
        <v>37</v>
      </c>
      <c r="K31" s="15" t="s">
        <v>37</v>
      </c>
      <c r="L31" s="20"/>
      <c r="M31" s="2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2.5" customHeight="1">
      <c r="A32" s="13"/>
      <c r="B32" s="19">
        <v>1.0</v>
      </c>
      <c r="C32" s="14">
        <v>0.5625</v>
      </c>
      <c r="D32" s="14">
        <v>0.6041666666666666</v>
      </c>
      <c r="E32" s="15" t="s">
        <v>40</v>
      </c>
      <c r="F32" s="15" t="s">
        <v>58</v>
      </c>
      <c r="G32" s="15"/>
      <c r="H32" s="15" t="s">
        <v>40</v>
      </c>
      <c r="I32" s="15" t="s">
        <v>40</v>
      </c>
      <c r="J32" s="15" t="s">
        <v>40</v>
      </c>
      <c r="K32" s="15" t="s">
        <v>40</v>
      </c>
      <c r="L32" s="16" t="s">
        <v>40</v>
      </c>
      <c r="M32" s="16" t="s">
        <v>40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2.5" customHeight="1">
      <c r="A33" s="13"/>
      <c r="B33" s="19">
        <v>2.0</v>
      </c>
      <c r="C33" s="14">
        <v>0.6041666666666666</v>
      </c>
      <c r="D33" s="14">
        <v>0.6875</v>
      </c>
      <c r="E33" s="15" t="s">
        <v>52</v>
      </c>
      <c r="F33" s="15" t="s">
        <v>2</v>
      </c>
      <c r="G33" s="15"/>
      <c r="H33" s="15" t="s">
        <v>52</v>
      </c>
      <c r="I33" s="15" t="s">
        <v>52</v>
      </c>
      <c r="J33" s="15" t="s">
        <v>52</v>
      </c>
      <c r="K33" s="15" t="s">
        <v>52</v>
      </c>
      <c r="L33" s="20"/>
      <c r="M33" s="20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2.5" customHeight="1">
      <c r="A34" s="13"/>
      <c r="B34" s="19">
        <v>1.5</v>
      </c>
      <c r="C34" s="14">
        <v>0.6875</v>
      </c>
      <c r="D34" s="14">
        <v>0.7083333333333334</v>
      </c>
      <c r="E34" s="15" t="s">
        <v>3</v>
      </c>
      <c r="F34" s="15" t="s">
        <v>3</v>
      </c>
      <c r="G34" s="15"/>
      <c r="H34" s="15" t="s">
        <v>3</v>
      </c>
      <c r="I34" s="15" t="s">
        <v>3</v>
      </c>
      <c r="J34" s="15" t="s">
        <v>3</v>
      </c>
      <c r="K34" s="15" t="s">
        <v>3</v>
      </c>
      <c r="L34" s="16" t="s">
        <v>3</v>
      </c>
      <c r="M34" s="16" t="s">
        <v>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2.5" customHeight="1">
      <c r="A35" s="13"/>
      <c r="B35" s="19">
        <v>1.5</v>
      </c>
      <c r="C35" s="14">
        <v>0.7083333333333334</v>
      </c>
      <c r="D35" s="14">
        <v>0.7708333333333334</v>
      </c>
      <c r="E35" s="15" t="s">
        <v>60</v>
      </c>
      <c r="F35" s="15" t="s">
        <v>2</v>
      </c>
      <c r="G35" s="15"/>
      <c r="H35" s="15" t="s">
        <v>60</v>
      </c>
      <c r="I35" s="15" t="s">
        <v>60</v>
      </c>
      <c r="J35" s="15" t="s">
        <v>60</v>
      </c>
      <c r="K35" s="15" t="s">
        <v>60</v>
      </c>
      <c r="L35" s="16"/>
      <c r="M35" s="1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2.5" customHeight="1">
      <c r="A36" s="13"/>
      <c r="B36" s="19">
        <v>1.0</v>
      </c>
      <c r="C36" s="14">
        <v>0.7708333333333334</v>
      </c>
      <c r="D36" s="14">
        <v>0.8125</v>
      </c>
      <c r="E36" s="15" t="s">
        <v>61</v>
      </c>
      <c r="F36" s="15" t="s">
        <v>58</v>
      </c>
      <c r="G36" s="15"/>
      <c r="H36" s="15" t="s">
        <v>61</v>
      </c>
      <c r="I36" s="15" t="s">
        <v>61</v>
      </c>
      <c r="J36" s="15" t="s">
        <v>61</v>
      </c>
      <c r="K36" s="15" t="s">
        <v>61</v>
      </c>
      <c r="L36" s="16" t="s">
        <v>61</v>
      </c>
      <c r="M36" s="16" t="s">
        <v>61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2.5" customHeight="1">
      <c r="A37" s="13"/>
      <c r="B37" s="19">
        <v>0.5</v>
      </c>
      <c r="C37" s="14">
        <v>0.8125</v>
      </c>
      <c r="D37" s="14">
        <v>0.8333333333333334</v>
      </c>
      <c r="E37" s="15" t="s">
        <v>25</v>
      </c>
      <c r="F37" s="15" t="s">
        <v>0</v>
      </c>
      <c r="G37" s="15"/>
      <c r="H37" s="15" t="s">
        <v>25</v>
      </c>
      <c r="I37" s="15" t="s">
        <v>25</v>
      </c>
      <c r="J37" s="15" t="s">
        <v>25</v>
      </c>
      <c r="K37" s="15" t="s">
        <v>25</v>
      </c>
      <c r="L37" s="16" t="s">
        <v>25</v>
      </c>
      <c r="M37" s="16" t="s">
        <v>25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2.5" customHeight="1">
      <c r="A38" s="13"/>
      <c r="B38" s="19">
        <v>2.5</v>
      </c>
      <c r="C38" s="14">
        <v>0.8333333333333334</v>
      </c>
      <c r="D38" s="14">
        <v>0.9375</v>
      </c>
      <c r="E38" s="15" t="s">
        <v>62</v>
      </c>
      <c r="F38" s="15" t="s">
        <v>2</v>
      </c>
      <c r="G38" s="15"/>
      <c r="H38" s="15" t="s">
        <v>62</v>
      </c>
      <c r="I38" s="15" t="s">
        <v>62</v>
      </c>
      <c r="J38" s="15" t="s">
        <v>62</v>
      </c>
      <c r="K38" s="15" t="s">
        <v>62</v>
      </c>
      <c r="L38" s="20"/>
      <c r="M38" s="20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2.5" customHeight="1">
      <c r="A39" s="13"/>
      <c r="B39" s="19">
        <v>0.5</v>
      </c>
      <c r="C39" s="14">
        <v>0.9375</v>
      </c>
      <c r="D39" s="14">
        <v>0.9583333333333334</v>
      </c>
      <c r="E39" s="15" t="s">
        <v>55</v>
      </c>
      <c r="F39" s="15" t="s">
        <v>58</v>
      </c>
      <c r="G39" s="15"/>
      <c r="H39" s="15" t="s">
        <v>55</v>
      </c>
      <c r="I39" s="15" t="s">
        <v>55</v>
      </c>
      <c r="J39" s="15" t="s">
        <v>55</v>
      </c>
      <c r="K39" s="15" t="s">
        <v>55</v>
      </c>
      <c r="L39" s="16" t="s">
        <v>55</v>
      </c>
      <c r="M39" s="16" t="s">
        <v>55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2.5" customHeight="1">
      <c r="A40" s="13"/>
      <c r="B40" s="19">
        <v>6.0</v>
      </c>
      <c r="C40" s="14">
        <v>0.9583333333333334</v>
      </c>
      <c r="D40" s="14">
        <v>0.20833333333333334</v>
      </c>
      <c r="E40" s="15" t="s">
        <v>63</v>
      </c>
      <c r="F40" s="15" t="s">
        <v>58</v>
      </c>
      <c r="G40" s="15"/>
      <c r="H40" s="15" t="s">
        <v>63</v>
      </c>
      <c r="I40" s="15" t="s">
        <v>63</v>
      </c>
      <c r="J40" s="15" t="s">
        <v>63</v>
      </c>
      <c r="K40" s="15" t="s">
        <v>63</v>
      </c>
      <c r="L40" s="16" t="s">
        <v>63</v>
      </c>
      <c r="M40" s="16" t="s">
        <v>63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2.5" customHeight="1">
      <c r="A41" s="13"/>
      <c r="B41" s="13"/>
      <c r="C41" s="14"/>
      <c r="D41" s="14"/>
      <c r="E41" s="15"/>
      <c r="F41" s="15"/>
      <c r="G41" s="15"/>
      <c r="H41" s="15"/>
      <c r="I41" s="15"/>
      <c r="J41" s="15"/>
      <c r="K41" s="15"/>
      <c r="L41" s="17"/>
      <c r="M41" s="1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2.5" customHeight="1">
      <c r="A42" s="13"/>
      <c r="B42" s="13"/>
      <c r="C42" s="14"/>
      <c r="D42" s="14"/>
      <c r="E42" s="15"/>
      <c r="F42" s="15"/>
      <c r="G42" s="15"/>
      <c r="H42" s="15"/>
      <c r="I42" s="15"/>
      <c r="J42" s="15"/>
      <c r="K42" s="15"/>
      <c r="L42" s="17"/>
      <c r="M42" s="1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2.5" customHeight="1">
      <c r="A43" s="13"/>
      <c r="B43" s="13"/>
      <c r="C43" s="14"/>
      <c r="D43" s="14"/>
      <c r="E43" s="15"/>
      <c r="F43" s="15"/>
      <c r="G43" s="15"/>
      <c r="H43" s="15"/>
      <c r="I43" s="15"/>
      <c r="J43" s="15"/>
      <c r="K43" s="15"/>
      <c r="L43" s="17"/>
      <c r="M43" s="1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2.5" customHeight="1">
      <c r="A44" s="13"/>
      <c r="B44" s="13"/>
      <c r="C44" s="14"/>
      <c r="D44" s="14"/>
      <c r="E44" s="15"/>
      <c r="F44" s="15"/>
      <c r="G44" s="15"/>
      <c r="H44" s="15"/>
      <c r="I44" s="15"/>
      <c r="J44" s="15"/>
      <c r="K44" s="15"/>
      <c r="L44" s="17"/>
      <c r="M44" s="1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2.5" customHeight="1">
      <c r="A45" s="13"/>
      <c r="B45" s="13"/>
      <c r="C45" s="14"/>
      <c r="D45" s="14"/>
      <c r="E45" s="15"/>
      <c r="F45" s="15"/>
      <c r="G45" s="15"/>
      <c r="H45" s="15"/>
      <c r="I45" s="15"/>
      <c r="J45" s="15"/>
      <c r="K45" s="15"/>
      <c r="L45" s="17"/>
      <c r="M45" s="1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2.5" customHeight="1">
      <c r="A46" s="13"/>
      <c r="B46" s="13"/>
      <c r="C46" s="14"/>
      <c r="D46" s="14"/>
      <c r="E46" s="15"/>
      <c r="F46" s="15"/>
      <c r="G46" s="15"/>
      <c r="H46" s="15"/>
      <c r="I46" s="15"/>
      <c r="J46" s="15"/>
      <c r="K46" s="15"/>
      <c r="L46" s="17"/>
      <c r="M46" s="1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2.5" customHeight="1">
      <c r="A47" s="13"/>
      <c r="B47" s="13"/>
      <c r="C47" s="14"/>
      <c r="D47" s="14"/>
      <c r="E47" s="15"/>
      <c r="F47" s="15"/>
      <c r="G47" s="15"/>
      <c r="H47" s="15"/>
      <c r="I47" s="15"/>
      <c r="J47" s="15"/>
      <c r="K47" s="15"/>
      <c r="L47" s="17"/>
      <c r="M47" s="1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2.5" customHeight="1">
      <c r="A48" s="13"/>
      <c r="B48" s="13"/>
      <c r="C48" s="14"/>
      <c r="D48" s="14"/>
      <c r="E48" s="15"/>
      <c r="F48" s="15"/>
      <c r="G48" s="15"/>
      <c r="H48" s="15"/>
      <c r="I48" s="15"/>
      <c r="J48" s="15"/>
      <c r="K48" s="15"/>
      <c r="L48" s="17"/>
      <c r="M48" s="1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2.5" customHeight="1">
      <c r="A49" s="13"/>
      <c r="B49" s="13"/>
      <c r="C49" s="14"/>
      <c r="D49" s="14"/>
      <c r="E49" s="15"/>
      <c r="F49" s="15"/>
      <c r="G49" s="15"/>
      <c r="H49" s="15"/>
      <c r="I49" s="15"/>
      <c r="J49" s="15"/>
      <c r="K49" s="15"/>
      <c r="L49" s="17"/>
      <c r="M49" s="1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2.5" customHeight="1">
      <c r="A50" s="13"/>
      <c r="B50" s="13"/>
      <c r="C50" s="14"/>
      <c r="D50" s="14"/>
      <c r="E50" s="15"/>
      <c r="F50" s="15"/>
      <c r="G50" s="15"/>
      <c r="H50" s="15"/>
      <c r="I50" s="15"/>
      <c r="J50" s="15"/>
      <c r="K50" s="15"/>
      <c r="L50" s="16"/>
      <c r="M50" s="1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2.5" customHeight="1">
      <c r="A51" s="13"/>
      <c r="B51" s="13"/>
      <c r="C51" s="14"/>
      <c r="D51" s="14"/>
      <c r="E51" s="15"/>
      <c r="F51" s="15"/>
      <c r="G51" s="15"/>
      <c r="H51" s="15"/>
      <c r="I51" s="15"/>
      <c r="J51" s="15"/>
      <c r="K51" s="15"/>
      <c r="L51" s="16"/>
      <c r="M51" s="1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2.5" customHeight="1">
      <c r="A52" s="13"/>
      <c r="B52" s="13"/>
      <c r="C52" s="14"/>
      <c r="D52" s="14"/>
      <c r="E52" s="15"/>
      <c r="F52" s="15"/>
      <c r="G52" s="15"/>
      <c r="H52" s="15"/>
      <c r="I52" s="15"/>
      <c r="J52" s="15"/>
      <c r="K52" s="15"/>
      <c r="L52" s="16"/>
      <c r="M52" s="1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2.5" customHeight="1">
      <c r="A53" s="13"/>
      <c r="B53" s="13"/>
      <c r="C53" s="14"/>
      <c r="D53" s="14"/>
      <c r="E53" s="15"/>
      <c r="F53" s="15"/>
      <c r="G53" s="15"/>
      <c r="H53" s="15"/>
      <c r="I53" s="15"/>
      <c r="J53" s="15"/>
      <c r="K53" s="15"/>
      <c r="L53" s="16"/>
      <c r="M53" s="1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2.5" customHeight="1">
      <c r="A54" s="13"/>
      <c r="B54" s="13"/>
      <c r="C54" s="14"/>
      <c r="D54" s="14"/>
      <c r="E54" s="15"/>
      <c r="F54" s="15"/>
      <c r="G54" s="15"/>
      <c r="H54" s="15"/>
      <c r="I54" s="15"/>
      <c r="J54" s="15"/>
      <c r="K54" s="15"/>
      <c r="L54" s="16"/>
      <c r="M54" s="1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2.5" customHeight="1">
      <c r="A55" s="13"/>
      <c r="B55" s="13"/>
      <c r="C55" s="14"/>
      <c r="D55" s="14"/>
      <c r="E55" s="15"/>
      <c r="F55" s="15"/>
      <c r="G55" s="15"/>
      <c r="H55" s="15"/>
      <c r="I55" s="15"/>
      <c r="J55" s="15"/>
      <c r="K55" s="15"/>
      <c r="L55" s="16"/>
      <c r="M55" s="1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2.5" customHeight="1">
      <c r="A56" s="13"/>
      <c r="B56" s="13"/>
      <c r="C56" s="14"/>
      <c r="D56" s="14"/>
      <c r="E56" s="15"/>
      <c r="F56" s="15"/>
      <c r="G56" s="15"/>
      <c r="H56" s="15"/>
      <c r="I56" s="15"/>
      <c r="J56" s="15"/>
      <c r="K56" s="15"/>
      <c r="L56" s="16"/>
      <c r="M56" s="1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2.5" customHeight="1">
      <c r="A57" s="13"/>
      <c r="B57" s="13"/>
      <c r="C57" s="14"/>
      <c r="D57" s="14"/>
      <c r="E57" s="15"/>
      <c r="F57" s="15"/>
      <c r="G57" s="15"/>
      <c r="H57" s="15"/>
      <c r="I57" s="15"/>
      <c r="J57" s="15"/>
      <c r="K57" s="15"/>
      <c r="L57" s="16"/>
      <c r="M57" s="1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2.5" customHeight="1">
      <c r="A58" s="13"/>
      <c r="B58" s="13"/>
      <c r="C58" s="14"/>
      <c r="D58" s="14"/>
      <c r="E58" s="15"/>
      <c r="F58" s="15"/>
      <c r="G58" s="15"/>
      <c r="H58" s="15"/>
      <c r="I58" s="15"/>
      <c r="J58" s="15"/>
      <c r="K58" s="15"/>
      <c r="L58" s="16"/>
      <c r="M58" s="1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</sheetData>
  <conditionalFormatting sqref="A1:F6 G1:G936 H1:M6 N1:BC936 A8:F936 H8:M936">
    <cfRule type="containsBlanks" dxfId="0" priority="1">
      <formula>LEN(TRIM(A1))=0</formula>
    </cfRule>
  </conditionalFormatting>
  <conditionalFormatting sqref="A1:F6 G1:G936 H1:M6 N1:BC936 A8:F936 H8:M936">
    <cfRule type="cellIs" dxfId="1" priority="2" operator="equal">
      <formula>"Sleep"</formula>
    </cfRule>
  </conditionalFormatting>
  <conditionalFormatting sqref="A1:F6 G1:G936 H1:M6 N1:BC936 A8:F936 H8:M936">
    <cfRule type="containsText" dxfId="2" priority="3" operator="containsText" text="Trading">
      <formula>NOT(ISERROR(SEARCH(("Trading"),(A1))))</formula>
    </cfRule>
  </conditionalFormatting>
  <conditionalFormatting sqref="A1:F6 G1:G936 H1:M6 N1:BC936 A8:F936 H8:M936">
    <cfRule type="containsText" dxfId="3" priority="4" operator="containsText" text="Freelancing">
      <formula>NOT(ISERROR(SEARCH(("Freelancing"),(A1))))</formula>
    </cfRule>
  </conditionalFormatting>
  <conditionalFormatting sqref="A1:F6 G1:G936 H1:M6 N1:BC936 A8:F936 H8:M936">
    <cfRule type="containsText" dxfId="4" priority="5" operator="containsText" text="Office">
      <formula>NOT(ISERROR(SEARCH(("Office"),(A1))))</formula>
    </cfRule>
  </conditionalFormatting>
  <conditionalFormatting sqref="A1:F6 G1:G936 H1:M6 N1:BC936 A8:F936 H8:M936">
    <cfRule type="containsText" dxfId="5" priority="6" operator="containsText" text="Buggal">
      <formula>NOT(ISERROR(SEARCH(("Buggal"),(A1))))</formula>
    </cfRule>
  </conditionalFormatting>
  <conditionalFormatting sqref="A1:F6 G1:G936 H1:M6 N1:BC936 A8:F936 H8:M936">
    <cfRule type="containsText" dxfId="6" priority="7" operator="containsText" text="Youtube">
      <formula>NOT(ISERROR(SEARCH(("Youtube"),(A1))))</formula>
    </cfRule>
  </conditionalFormatting>
  <dataValidations>
    <dataValidation type="custom" allowBlank="1" showDropDown="1" sqref="C10:D58">
      <formula1>OR(TIMEVALUE(TEXT(C10, "hh:mm:ss"))=C10, AND(ISNUMBER(C10), LEFT(CELL("format", C10))="D"))</formula1>
    </dataValidation>
    <dataValidation type="list" allowBlank="1" showDropDown="1" showErrorMessage="1" sqref="L10:L58">
      <formula1>"Sleep,Youtube Video,Buggal Time"</formula1>
    </dataValidation>
    <dataValidation type="list" allowBlank="1" showDropDown="1" showErrorMessage="1" sqref="T22:T23">
      <formula1>"Sleep,Youtube Video,Buggal Time"</formula1>
    </dataValidation>
    <dataValidation type="list" allowBlank="1" showDropDown="1" showErrorMessage="1" sqref="T24">
      <formula1>"Sleep,Youtube Video,Buggal Time"</formula1>
    </dataValidation>
    <dataValidation type="custom" allowBlank="1" showDropDown="1" sqref="A10:B58">
      <formula1>AND(ISNUMBER(A10),(NOT(OR(NOT(ISERROR(DATEVALUE(A10))), AND(ISNUMBER(A10), LEFT(CELL("format", A10))="D")))))</formula1>
    </dataValidation>
    <dataValidation type="list" allowBlank="1" showDropDown="1" showErrorMessage="1" sqref="M10:M58">
      <formula1>"Sleep,Youtube Video,Buggal Time"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2.63" defaultRowHeight="15.75"/>
  <cols>
    <col customWidth="1" min="1" max="1" width="20.63"/>
    <col customWidth="1" min="2" max="2" width="20.0"/>
    <col customWidth="1" min="3" max="4" width="15.88"/>
    <col customWidth="1" min="5" max="5" width="32.88"/>
    <col customWidth="1" min="6" max="9" width="22.75"/>
    <col customWidth="1" min="10" max="10" width="27.0"/>
    <col customWidth="1" min="11" max="11" width="24.75"/>
    <col customWidth="1" min="12" max="15" width="5.25"/>
    <col customWidth="1" min="16" max="16" width="4.5"/>
    <col customWidth="1" min="17" max="17" width="6.88"/>
    <col customWidth="1" min="18" max="18" width="24.38"/>
    <col customWidth="1" min="19" max="22" width="23.25"/>
    <col customWidth="1" min="23" max="23" width="24.38"/>
    <col customWidth="1" min="24" max="24" width="22.13"/>
    <col customWidth="1" min="25" max="37" width="6.25"/>
    <col customWidth="1" min="38" max="39" width="10.75"/>
    <col customWidth="1" min="40" max="53" width="6.2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>
      <c r="A5" s="1">
        <f t="shared" ref="A5:B5" si="1">sum(A8:A935)</f>
        <v>0</v>
      </c>
      <c r="B5" s="1">
        <f t="shared" si="1"/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>
      <c r="A6" s="3"/>
      <c r="B6" s="3"/>
      <c r="C6" s="4"/>
      <c r="D6" s="5"/>
      <c r="E6" s="6"/>
      <c r="F6" s="6"/>
      <c r="G6" s="6"/>
      <c r="H6" s="6"/>
      <c r="I6" s="6"/>
      <c r="J6" s="6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>
      <c r="A8" s="1"/>
      <c r="B8" s="1"/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f>SUM(P10:P935)</f>
        <v>165</v>
      </c>
      <c r="Q8" s="2"/>
      <c r="R8" s="2"/>
      <c r="S8" s="2"/>
      <c r="T8" s="5"/>
      <c r="U8" s="5"/>
      <c r="V8" s="2"/>
      <c r="W8" s="2"/>
      <c r="X8" s="6" t="s">
        <v>4</v>
      </c>
      <c r="Y8" s="2">
        <f>7*24</f>
        <v>168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ht="22.5" customHeight="1">
      <c r="A9" s="8" t="s">
        <v>5</v>
      </c>
      <c r="B9" s="8" t="s">
        <v>6</v>
      </c>
      <c r="C9" s="9" t="s">
        <v>7</v>
      </c>
      <c r="D9" s="10" t="s">
        <v>8</v>
      </c>
      <c r="E9" s="11" t="s">
        <v>9</v>
      </c>
      <c r="F9" s="11" t="s">
        <v>12</v>
      </c>
      <c r="G9" s="11" t="s">
        <v>13</v>
      </c>
      <c r="H9" s="11" t="s">
        <v>14</v>
      </c>
      <c r="I9" s="11" t="s">
        <v>15</v>
      </c>
      <c r="J9" s="11" t="s">
        <v>16</v>
      </c>
      <c r="K9" s="11" t="s">
        <v>17</v>
      </c>
      <c r="L9" s="2"/>
      <c r="M9" s="2"/>
      <c r="N9" s="2"/>
      <c r="O9" s="2"/>
      <c r="P9" s="6" t="s">
        <v>18</v>
      </c>
      <c r="Q9" s="6" t="s">
        <v>19</v>
      </c>
      <c r="R9" s="2"/>
      <c r="S9" s="2"/>
      <c r="T9" s="5"/>
      <c r="U9" s="5"/>
      <c r="V9" s="2"/>
      <c r="W9" s="2"/>
      <c r="X9" s="2"/>
      <c r="Y9" s="2">
        <f>sum(H8:H935)</f>
        <v>0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>
        <f>sum(AL10:AL18)</f>
        <v>13787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ht="22.5" customHeight="1">
      <c r="A10" s="13"/>
      <c r="B10" s="13"/>
      <c r="C10" s="14">
        <v>1.2083333333333333</v>
      </c>
      <c r="D10" s="14">
        <v>1.2291666666666667</v>
      </c>
      <c r="E10" s="15" t="s">
        <v>21</v>
      </c>
      <c r="F10" s="15" t="s">
        <v>21</v>
      </c>
      <c r="G10" s="15" t="s">
        <v>21</v>
      </c>
      <c r="H10" s="15" t="s">
        <v>21</v>
      </c>
      <c r="I10" s="15" t="s">
        <v>21</v>
      </c>
      <c r="J10" s="16" t="s">
        <v>21</v>
      </c>
      <c r="K10" s="16" t="s">
        <v>21</v>
      </c>
      <c r="L10" s="2"/>
      <c r="M10" s="2"/>
      <c r="N10" s="2"/>
      <c r="O10" s="2"/>
      <c r="P10" s="2">
        <f t="shared" ref="P10:P25" si="2">Q10/2</f>
        <v>3.5</v>
      </c>
      <c r="Q10" s="2">
        <f>COUNTIF(Table2_2[[Monday]:[Sunday]],R10)</f>
        <v>7</v>
      </c>
      <c r="R10" s="2" t="s">
        <v>21</v>
      </c>
      <c r="S10" s="2"/>
      <c r="T10" s="5"/>
      <c r="U10" s="5"/>
      <c r="V10" s="2"/>
      <c r="W10" s="6" t="s">
        <v>22</v>
      </c>
      <c r="X10" s="6" t="s">
        <v>23</v>
      </c>
      <c r="Y10" s="6" t="s">
        <v>24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6">
        <v>5.0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ht="22.5" customHeight="1">
      <c r="A11" s="13"/>
      <c r="B11" s="13"/>
      <c r="C11" s="14">
        <v>1.2291666666666667</v>
      </c>
      <c r="D11" s="14">
        <v>1.25</v>
      </c>
      <c r="E11" s="15" t="s">
        <v>26</v>
      </c>
      <c r="F11" s="15" t="s">
        <v>26</v>
      </c>
      <c r="G11" s="15" t="s">
        <v>26</v>
      </c>
      <c r="H11" s="15" t="s">
        <v>26</v>
      </c>
      <c r="I11" s="15" t="s">
        <v>26</v>
      </c>
      <c r="J11" s="16" t="s">
        <v>26</v>
      </c>
      <c r="K11" s="16" t="s">
        <v>26</v>
      </c>
      <c r="L11" s="2"/>
      <c r="M11" s="2"/>
      <c r="N11" s="2"/>
      <c r="O11" s="2"/>
      <c r="P11" s="2">
        <f t="shared" si="2"/>
        <v>3.5</v>
      </c>
      <c r="Q11" s="2">
        <f>COUNTIF(Table2_2[[Monday]:[Sunday]],R11)</f>
        <v>7</v>
      </c>
      <c r="R11" s="2" t="s">
        <v>26</v>
      </c>
      <c r="S11" s="2"/>
      <c r="T11" s="5">
        <v>0.22916666666666666</v>
      </c>
      <c r="U11" s="5">
        <v>0.3333333333333333</v>
      </c>
      <c r="V11" s="6" t="s">
        <v>27</v>
      </c>
      <c r="W11" s="6">
        <v>2.5</v>
      </c>
      <c r="X11" s="6">
        <v>7.0</v>
      </c>
      <c r="Y11" s="2">
        <f t="shared" ref="Y11:Y22" si="3">W11*X11</f>
        <v>17.5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6">
        <v>801.0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ht="22.5" customHeight="1">
      <c r="A12" s="13"/>
      <c r="B12" s="13"/>
      <c r="C12" s="14">
        <v>0.25</v>
      </c>
      <c r="D12" s="14">
        <v>0.2708333333333333</v>
      </c>
      <c r="E12" s="15" t="s">
        <v>29</v>
      </c>
      <c r="F12" s="15" t="s">
        <v>29</v>
      </c>
      <c r="G12" s="15" t="s">
        <v>29</v>
      </c>
      <c r="H12" s="15" t="s">
        <v>29</v>
      </c>
      <c r="I12" s="15" t="s">
        <v>29</v>
      </c>
      <c r="J12" s="16" t="s">
        <v>29</v>
      </c>
      <c r="K12" s="16" t="s">
        <v>29</v>
      </c>
      <c r="L12" s="2"/>
      <c r="M12" s="2"/>
      <c r="N12" s="2"/>
      <c r="O12" s="2"/>
      <c r="P12" s="2">
        <f t="shared" si="2"/>
        <v>7</v>
      </c>
      <c r="Q12" s="2">
        <f>COUNTIF(Table2_2[[Monday]:[Sunday]],R12)</f>
        <v>14</v>
      </c>
      <c r="R12" s="2" t="s">
        <v>29</v>
      </c>
      <c r="S12" s="2"/>
      <c r="T12" s="5">
        <v>0.3333333333333333</v>
      </c>
      <c r="U12" s="5">
        <v>0.4166666666666667</v>
      </c>
      <c r="V12" s="6" t="s">
        <v>30</v>
      </c>
      <c r="W12" s="6">
        <v>2.0</v>
      </c>
      <c r="X12" s="6">
        <v>5.0</v>
      </c>
      <c r="Y12" s="2">
        <f t="shared" si="3"/>
        <v>10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6">
        <v>1588.0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ht="22.5" customHeight="1">
      <c r="A13" s="13"/>
      <c r="B13" s="13"/>
      <c r="C13" s="14">
        <v>0.2708333333333333</v>
      </c>
      <c r="D13" s="14">
        <v>0.2916666666666667</v>
      </c>
      <c r="E13" s="15" t="s">
        <v>29</v>
      </c>
      <c r="F13" s="15" t="s">
        <v>29</v>
      </c>
      <c r="G13" s="15" t="s">
        <v>29</v>
      </c>
      <c r="H13" s="15" t="s">
        <v>29</v>
      </c>
      <c r="I13" s="15" t="s">
        <v>29</v>
      </c>
      <c r="J13" s="16" t="s">
        <v>29</v>
      </c>
      <c r="K13" s="16" t="s">
        <v>29</v>
      </c>
      <c r="L13" s="2"/>
      <c r="M13" s="2"/>
      <c r="N13" s="2"/>
      <c r="O13" s="2"/>
      <c r="P13" s="2">
        <f t="shared" si="2"/>
        <v>3.5</v>
      </c>
      <c r="Q13" s="2">
        <f>COUNTIF(Table2_2[[Monday]:[Sunday]],R13)</f>
        <v>7</v>
      </c>
      <c r="R13" s="2" t="s">
        <v>32</v>
      </c>
      <c r="S13" s="2"/>
      <c r="T13" s="5">
        <v>0.4166666666666667</v>
      </c>
      <c r="U13" s="5">
        <v>0.625</v>
      </c>
      <c r="V13" s="6" t="s">
        <v>33</v>
      </c>
      <c r="W13" s="6">
        <v>3.0</v>
      </c>
      <c r="X13" s="6">
        <v>5.0</v>
      </c>
      <c r="Y13" s="2">
        <f t="shared" si="3"/>
        <v>15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6">
        <v>1612.0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ht="22.5" customHeight="1">
      <c r="A14" s="13"/>
      <c r="B14" s="13"/>
      <c r="C14" s="14">
        <v>0.2916666666666667</v>
      </c>
      <c r="D14" s="14">
        <v>0.3125</v>
      </c>
      <c r="E14" s="15" t="s">
        <v>32</v>
      </c>
      <c r="F14" s="15" t="s">
        <v>32</v>
      </c>
      <c r="G14" s="15" t="s">
        <v>32</v>
      </c>
      <c r="H14" s="15" t="s">
        <v>32</v>
      </c>
      <c r="I14" s="15" t="s">
        <v>32</v>
      </c>
      <c r="J14" s="16" t="s">
        <v>32</v>
      </c>
      <c r="K14" s="16" t="s">
        <v>32</v>
      </c>
      <c r="L14" s="2"/>
      <c r="M14" s="2"/>
      <c r="N14" s="2"/>
      <c r="O14" s="2"/>
      <c r="P14" s="2">
        <f t="shared" si="2"/>
        <v>3.5</v>
      </c>
      <c r="Q14" s="2">
        <f>COUNTIF(Table2_2[[Monday]:[Sunday]],R14)</f>
        <v>7</v>
      </c>
      <c r="R14" s="2" t="s">
        <v>35</v>
      </c>
      <c r="S14" s="2"/>
      <c r="T14" s="5">
        <v>0.4166666666666667</v>
      </c>
      <c r="U14" s="5">
        <v>0.625</v>
      </c>
      <c r="V14" s="6" t="s">
        <v>36</v>
      </c>
      <c r="W14" s="6">
        <v>3.0</v>
      </c>
      <c r="X14" s="6">
        <v>1.0</v>
      </c>
      <c r="Y14" s="2">
        <f t="shared" si="3"/>
        <v>3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6">
        <v>18.0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ht="22.5" customHeight="1">
      <c r="A15" s="13"/>
      <c r="B15" s="13"/>
      <c r="C15" s="14">
        <v>0.3125</v>
      </c>
      <c r="D15" s="14">
        <v>0.3333333333333333</v>
      </c>
      <c r="E15" s="15" t="s">
        <v>35</v>
      </c>
      <c r="F15" s="15" t="s">
        <v>35</v>
      </c>
      <c r="G15" s="15" t="s">
        <v>35</v>
      </c>
      <c r="H15" s="15" t="s">
        <v>35</v>
      </c>
      <c r="I15" s="15" t="s">
        <v>35</v>
      </c>
      <c r="J15" s="16" t="s">
        <v>35</v>
      </c>
      <c r="K15" s="16" t="s">
        <v>35</v>
      </c>
      <c r="L15" s="2"/>
      <c r="M15" s="2"/>
      <c r="N15" s="2"/>
      <c r="O15" s="2"/>
      <c r="P15" s="2">
        <f t="shared" si="2"/>
        <v>10</v>
      </c>
      <c r="Q15" s="2">
        <f>COUNTIF(Table2_2[[Monday]:[Sunday]],R15)</f>
        <v>20</v>
      </c>
      <c r="R15" s="2" t="s">
        <v>38</v>
      </c>
      <c r="S15" s="2"/>
      <c r="T15" s="5">
        <v>0.4166666666666667</v>
      </c>
      <c r="U15" s="5">
        <v>0.625</v>
      </c>
      <c r="V15" s="6" t="s">
        <v>39</v>
      </c>
      <c r="W15" s="6">
        <v>3.0</v>
      </c>
      <c r="X15" s="6">
        <v>1.0</v>
      </c>
      <c r="Y15" s="2">
        <f t="shared" si="3"/>
        <v>3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6">
        <v>1712.0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ht="22.5" customHeight="1">
      <c r="A16" s="13"/>
      <c r="B16" s="13"/>
      <c r="C16" s="14">
        <v>0.3333333333333333</v>
      </c>
      <c r="D16" s="14">
        <v>0.3541666666666667</v>
      </c>
      <c r="E16" s="15" t="s">
        <v>38</v>
      </c>
      <c r="F16" s="15" t="s">
        <v>38</v>
      </c>
      <c r="G16" s="15" t="s">
        <v>38</v>
      </c>
      <c r="H16" s="15" t="s">
        <v>38</v>
      </c>
      <c r="I16" s="15" t="s">
        <v>38</v>
      </c>
      <c r="J16" s="16" t="s">
        <v>51</v>
      </c>
      <c r="K16" s="16" t="s">
        <v>53</v>
      </c>
      <c r="L16" s="2"/>
      <c r="M16" s="2"/>
      <c r="N16" s="2"/>
      <c r="O16" s="2"/>
      <c r="P16" s="2">
        <f t="shared" si="2"/>
        <v>40</v>
      </c>
      <c r="Q16" s="2">
        <f>COUNTIF(Table2_2[[Monday]:[Sunday]],R16)</f>
        <v>80</v>
      </c>
      <c r="R16" s="2" t="s">
        <v>41</v>
      </c>
      <c r="S16" s="2"/>
      <c r="T16" s="5">
        <v>0.4166666666666667</v>
      </c>
      <c r="U16" s="5">
        <v>0.625</v>
      </c>
      <c r="V16" s="6" t="s">
        <v>42</v>
      </c>
      <c r="W16" s="6">
        <v>4.0</v>
      </c>
      <c r="X16" s="6">
        <v>1.0</v>
      </c>
      <c r="Y16" s="2">
        <f t="shared" si="3"/>
        <v>4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6">
        <v>1674.0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22.5" customHeight="1">
      <c r="A17" s="13"/>
      <c r="B17" s="13"/>
      <c r="C17" s="14">
        <v>0.3541666666666667</v>
      </c>
      <c r="D17" s="14">
        <v>0.375</v>
      </c>
      <c r="E17" s="15" t="s">
        <v>38</v>
      </c>
      <c r="F17" s="15" t="s">
        <v>38</v>
      </c>
      <c r="G17" s="15" t="s">
        <v>38</v>
      </c>
      <c r="H17" s="15" t="s">
        <v>38</v>
      </c>
      <c r="I17" s="15" t="s">
        <v>38</v>
      </c>
      <c r="J17" s="16" t="s">
        <v>51</v>
      </c>
      <c r="K17" s="16" t="s">
        <v>53</v>
      </c>
      <c r="L17" s="2"/>
      <c r="M17" s="2"/>
      <c r="N17" s="2"/>
      <c r="O17" s="2"/>
      <c r="P17" s="2">
        <f t="shared" si="2"/>
        <v>17.5</v>
      </c>
      <c r="Q17" s="2">
        <f>COUNTIF(Table2_2[[Monday]:[Sunday]],R17)</f>
        <v>35</v>
      </c>
      <c r="R17" s="2" t="s">
        <v>43</v>
      </c>
      <c r="S17" s="2"/>
      <c r="T17" s="5">
        <v>0.625</v>
      </c>
      <c r="U17" s="5">
        <v>0.7083333333333334</v>
      </c>
      <c r="V17" s="6" t="s">
        <v>44</v>
      </c>
      <c r="W17" s="6">
        <v>2.0</v>
      </c>
      <c r="X17" s="6">
        <v>7.0</v>
      </c>
      <c r="Y17" s="2">
        <f t="shared" si="3"/>
        <v>14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6">
        <v>3372.0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ht="22.5" customHeight="1">
      <c r="A18" s="13"/>
      <c r="B18" s="13"/>
      <c r="C18" s="14">
        <v>0.375</v>
      </c>
      <c r="D18" s="14">
        <v>0.3958333333333333</v>
      </c>
      <c r="E18" s="15" t="s">
        <v>38</v>
      </c>
      <c r="F18" s="15" t="s">
        <v>38</v>
      </c>
      <c r="G18" s="15" t="s">
        <v>38</v>
      </c>
      <c r="H18" s="15" t="s">
        <v>38</v>
      </c>
      <c r="I18" s="15" t="s">
        <v>38</v>
      </c>
      <c r="J18" s="16" t="s">
        <v>51</v>
      </c>
      <c r="K18" s="16" t="s">
        <v>53</v>
      </c>
      <c r="L18" s="2"/>
      <c r="M18" s="2"/>
      <c r="N18" s="2"/>
      <c r="O18" s="2"/>
      <c r="P18" s="2">
        <f t="shared" si="2"/>
        <v>42</v>
      </c>
      <c r="Q18" s="2">
        <f>COUNTIF(Table2_2[[Monday]:[Sunday]],R18)</f>
        <v>84</v>
      </c>
      <c r="R18" s="2" t="s">
        <v>46</v>
      </c>
      <c r="S18" s="2"/>
      <c r="T18" s="5">
        <v>0.7083333333333334</v>
      </c>
      <c r="U18" s="5">
        <v>0.7708333333333334</v>
      </c>
      <c r="V18" s="6" t="s">
        <v>47</v>
      </c>
      <c r="W18" s="6">
        <v>1.5</v>
      </c>
      <c r="X18" s="6">
        <v>5.0</v>
      </c>
      <c r="Y18" s="2">
        <f t="shared" si="3"/>
        <v>7.5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6">
        <v>3005.0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ht="22.5" customHeight="1">
      <c r="A19" s="13"/>
      <c r="B19" s="13"/>
      <c r="C19" s="14">
        <v>0.3958333333333333</v>
      </c>
      <c r="D19" s="14">
        <v>0.4166666666666667</v>
      </c>
      <c r="E19" s="15" t="s">
        <v>38</v>
      </c>
      <c r="F19" s="15" t="s">
        <v>38</v>
      </c>
      <c r="G19" s="15" t="s">
        <v>38</v>
      </c>
      <c r="H19" s="15" t="s">
        <v>38</v>
      </c>
      <c r="I19" s="15" t="s">
        <v>38</v>
      </c>
      <c r="J19" s="16" t="s">
        <v>51</v>
      </c>
      <c r="K19" s="16" t="s">
        <v>53</v>
      </c>
      <c r="L19" s="2"/>
      <c r="M19" s="2"/>
      <c r="N19" s="2"/>
      <c r="O19" s="2"/>
      <c r="P19" s="2">
        <f t="shared" si="2"/>
        <v>7.5</v>
      </c>
      <c r="Q19" s="2">
        <f>COUNTIF(Table2_2[[Monday]:[Sunday]],R19)</f>
        <v>15</v>
      </c>
      <c r="R19" s="2" t="s">
        <v>48</v>
      </c>
      <c r="S19" s="2"/>
      <c r="T19" s="5">
        <v>0.7708333333333334</v>
      </c>
      <c r="U19" s="5">
        <v>0.0</v>
      </c>
      <c r="V19" s="6" t="s">
        <v>49</v>
      </c>
      <c r="W19" s="6">
        <v>5.5</v>
      </c>
      <c r="X19" s="6">
        <v>5.0</v>
      </c>
      <c r="Y19" s="2">
        <f t="shared" si="3"/>
        <v>27.5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ht="22.5" customHeight="1">
      <c r="A20" s="13"/>
      <c r="B20" s="13"/>
      <c r="C20" s="14">
        <v>0.4166666666666667</v>
      </c>
      <c r="D20" s="14">
        <v>0.4375</v>
      </c>
      <c r="E20" s="15" t="s">
        <v>41</v>
      </c>
      <c r="F20" s="15" t="s">
        <v>41</v>
      </c>
      <c r="G20" s="15" t="s">
        <v>41</v>
      </c>
      <c r="H20" s="15" t="s">
        <v>41</v>
      </c>
      <c r="I20" s="15" t="s">
        <v>41</v>
      </c>
      <c r="J20" s="16" t="s">
        <v>57</v>
      </c>
      <c r="K20" s="16" t="s">
        <v>57</v>
      </c>
      <c r="L20" s="2"/>
      <c r="M20" s="2"/>
      <c r="N20" s="2"/>
      <c r="O20" s="2"/>
      <c r="P20" s="2">
        <f t="shared" si="2"/>
        <v>3</v>
      </c>
      <c r="Q20" s="2">
        <f>COUNTIF(Table2_2[[Monday]:[Sunday]],R20)</f>
        <v>6</v>
      </c>
      <c r="R20" s="6" t="s">
        <v>51</v>
      </c>
      <c r="S20" s="2"/>
      <c r="T20" s="5">
        <v>0.0</v>
      </c>
      <c r="U20" s="5">
        <v>0.20833333333333334</v>
      </c>
      <c r="V20" s="6" t="s">
        <v>44</v>
      </c>
      <c r="W20" s="6">
        <v>5.0</v>
      </c>
      <c r="X20" s="6">
        <v>7.0</v>
      </c>
      <c r="Y20" s="2">
        <f t="shared" si="3"/>
        <v>35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ht="22.5" customHeight="1">
      <c r="A21" s="13"/>
      <c r="B21" s="13"/>
      <c r="C21" s="14">
        <v>0.4375</v>
      </c>
      <c r="D21" s="14">
        <v>0.4583333333333333</v>
      </c>
      <c r="E21" s="15" t="s">
        <v>43</v>
      </c>
      <c r="F21" s="15" t="s">
        <v>43</v>
      </c>
      <c r="G21" s="15" t="s">
        <v>43</v>
      </c>
      <c r="H21" s="15" t="s">
        <v>43</v>
      </c>
      <c r="I21" s="15" t="s">
        <v>43</v>
      </c>
      <c r="J21" s="16" t="s">
        <v>51</v>
      </c>
      <c r="K21" s="16" t="s">
        <v>53</v>
      </c>
      <c r="L21" s="2"/>
      <c r="M21" s="2"/>
      <c r="N21" s="2"/>
      <c r="O21" s="2"/>
      <c r="P21" s="2">
        <f t="shared" si="2"/>
        <v>4</v>
      </c>
      <c r="Q21" s="2">
        <f>COUNTIF(Table2_2[[Monday]:[Sunday]],R21)</f>
        <v>8</v>
      </c>
      <c r="R21" s="6" t="s">
        <v>53</v>
      </c>
      <c r="S21" s="2"/>
      <c r="T21" s="5"/>
      <c r="U21" s="5"/>
      <c r="V21" s="6" t="s">
        <v>54</v>
      </c>
      <c r="W21" s="6">
        <v>8.0</v>
      </c>
      <c r="X21" s="6">
        <v>1.0</v>
      </c>
      <c r="Y21" s="2">
        <f t="shared" si="3"/>
        <v>8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ht="22.5" customHeight="1">
      <c r="A22" s="13"/>
      <c r="B22" s="13"/>
      <c r="C22" s="14">
        <v>0.4583333333333333</v>
      </c>
      <c r="D22" s="14">
        <v>0.4791666666666667</v>
      </c>
      <c r="E22" s="15" t="s">
        <v>43</v>
      </c>
      <c r="F22" s="15" t="s">
        <v>43</v>
      </c>
      <c r="G22" s="15" t="s">
        <v>43</v>
      </c>
      <c r="H22" s="15" t="s">
        <v>43</v>
      </c>
      <c r="I22" s="15" t="s">
        <v>43</v>
      </c>
      <c r="J22" s="16" t="s">
        <v>51</v>
      </c>
      <c r="K22" s="16" t="s">
        <v>53</v>
      </c>
      <c r="L22" s="2"/>
      <c r="M22" s="2"/>
      <c r="N22" s="2"/>
      <c r="O22" s="2"/>
      <c r="P22" s="2">
        <f t="shared" si="2"/>
        <v>5</v>
      </c>
      <c r="Q22" s="2">
        <f>COUNTIF(Table2_2[[Monday]:[Sunday]],R22)</f>
        <v>10</v>
      </c>
      <c r="R22" s="6" t="s">
        <v>54</v>
      </c>
      <c r="S22" s="2"/>
      <c r="T22" s="5"/>
      <c r="U22" s="5"/>
      <c r="V22" s="6" t="s">
        <v>56</v>
      </c>
      <c r="W22" s="6">
        <v>8.0</v>
      </c>
      <c r="X22" s="6">
        <v>1.0</v>
      </c>
      <c r="Y22" s="2">
        <f t="shared" si="3"/>
        <v>8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ht="22.5" customHeight="1">
      <c r="A23" s="13"/>
      <c r="B23" s="13"/>
      <c r="C23" s="14">
        <v>0.4791666666666667</v>
      </c>
      <c r="D23" s="14">
        <v>0.5</v>
      </c>
      <c r="E23" s="15" t="s">
        <v>43</v>
      </c>
      <c r="F23" s="15" t="s">
        <v>43</v>
      </c>
      <c r="G23" s="15" t="s">
        <v>43</v>
      </c>
      <c r="H23" s="15" t="s">
        <v>43</v>
      </c>
      <c r="I23" s="15" t="s">
        <v>43</v>
      </c>
      <c r="J23" s="21" t="s">
        <v>54</v>
      </c>
      <c r="K23" s="16" t="s">
        <v>53</v>
      </c>
      <c r="L23" s="2"/>
      <c r="M23" s="2"/>
      <c r="N23" s="2"/>
      <c r="O23" s="2"/>
      <c r="P23" s="2">
        <f t="shared" si="2"/>
        <v>3</v>
      </c>
      <c r="Q23" s="2">
        <f>COUNTIF(Table2_2[[Monday]:[Sunday]],R23)</f>
        <v>6</v>
      </c>
      <c r="R23" s="18" t="s">
        <v>57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ht="22.5" customHeight="1">
      <c r="A24" s="13"/>
      <c r="B24" s="13"/>
      <c r="C24" s="14">
        <v>0.5</v>
      </c>
      <c r="D24" s="14">
        <v>0.5208333333333334</v>
      </c>
      <c r="E24" s="15" t="s">
        <v>43</v>
      </c>
      <c r="F24" s="15" t="s">
        <v>43</v>
      </c>
      <c r="G24" s="15" t="s">
        <v>43</v>
      </c>
      <c r="H24" s="15" t="s">
        <v>43</v>
      </c>
      <c r="I24" s="15" t="s">
        <v>43</v>
      </c>
      <c r="J24" s="21" t="s">
        <v>54</v>
      </c>
      <c r="K24" s="16" t="s">
        <v>53</v>
      </c>
      <c r="L24" s="2"/>
      <c r="M24" s="2"/>
      <c r="N24" s="2"/>
      <c r="O24" s="2"/>
      <c r="P24" s="2">
        <f t="shared" si="2"/>
        <v>6</v>
      </c>
      <c r="Q24" s="2">
        <f>COUNTIF(Table2_2[[Monday]:[Sunday]],R24)</f>
        <v>12</v>
      </c>
      <c r="R24" s="6" t="s">
        <v>56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ht="22.5" customHeight="1">
      <c r="A25" s="13"/>
      <c r="B25" s="13"/>
      <c r="C25" s="14">
        <v>0.5208333333333334</v>
      </c>
      <c r="D25" s="14">
        <v>0.5416666666666666</v>
      </c>
      <c r="E25" s="15" t="s">
        <v>41</v>
      </c>
      <c r="F25" s="15" t="s">
        <v>41</v>
      </c>
      <c r="G25" s="15" t="s">
        <v>41</v>
      </c>
      <c r="H25" s="15" t="s">
        <v>41</v>
      </c>
      <c r="I25" s="15" t="s">
        <v>41</v>
      </c>
      <c r="J25" s="16" t="s">
        <v>57</v>
      </c>
      <c r="K25" s="16" t="s">
        <v>57</v>
      </c>
      <c r="L25" s="2"/>
      <c r="M25" s="2"/>
      <c r="N25" s="2"/>
      <c r="O25" s="2"/>
      <c r="P25" s="2">
        <f t="shared" si="2"/>
        <v>6</v>
      </c>
      <c r="Q25" s="2">
        <f>COUNTIF(Table2_2[[Monday]:[Sunday]],R25)</f>
        <v>12</v>
      </c>
      <c r="R25" s="6" t="s">
        <v>42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ht="22.5" customHeight="1">
      <c r="A26" s="13"/>
      <c r="B26" s="13"/>
      <c r="C26" s="14">
        <v>0.5416666666666666</v>
      </c>
      <c r="D26" s="14">
        <v>0.5625</v>
      </c>
      <c r="E26" s="15" t="s">
        <v>41</v>
      </c>
      <c r="F26" s="15" t="s">
        <v>41</v>
      </c>
      <c r="G26" s="15" t="s">
        <v>41</v>
      </c>
      <c r="H26" s="15" t="s">
        <v>41</v>
      </c>
      <c r="I26" s="15" t="s">
        <v>41</v>
      </c>
      <c r="J26" s="21" t="s">
        <v>54</v>
      </c>
      <c r="K26" s="21" t="s">
        <v>54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ht="22.5" customHeight="1">
      <c r="A27" s="13"/>
      <c r="B27" s="13"/>
      <c r="C27" s="14">
        <v>0.5625</v>
      </c>
      <c r="D27" s="14">
        <v>0.5833333333333334</v>
      </c>
      <c r="E27" s="15" t="s">
        <v>43</v>
      </c>
      <c r="F27" s="15" t="s">
        <v>43</v>
      </c>
      <c r="G27" s="15" t="s">
        <v>43</v>
      </c>
      <c r="H27" s="15" t="s">
        <v>43</v>
      </c>
      <c r="I27" s="15" t="s">
        <v>43</v>
      </c>
      <c r="J27" s="21" t="s">
        <v>54</v>
      </c>
      <c r="K27" s="21" t="s">
        <v>54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ht="22.5" customHeight="1">
      <c r="A28" s="13"/>
      <c r="B28" s="13"/>
      <c r="C28" s="14">
        <v>0.5833333333333334</v>
      </c>
      <c r="D28" s="14">
        <v>0.6041666666666666</v>
      </c>
      <c r="E28" s="15" t="s">
        <v>43</v>
      </c>
      <c r="F28" s="15" t="s">
        <v>43</v>
      </c>
      <c r="G28" s="15" t="s">
        <v>43</v>
      </c>
      <c r="H28" s="15" t="s">
        <v>43</v>
      </c>
      <c r="I28" s="15" t="s">
        <v>43</v>
      </c>
      <c r="J28" s="21" t="s">
        <v>54</v>
      </c>
      <c r="K28" s="21" t="s">
        <v>54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ht="22.5" customHeight="1">
      <c r="A29" s="13"/>
      <c r="B29" s="13"/>
      <c r="C29" s="14">
        <v>0.6041666666666666</v>
      </c>
      <c r="D29" s="14">
        <v>0.625</v>
      </c>
      <c r="E29" s="15" t="s">
        <v>43</v>
      </c>
      <c r="F29" s="15" t="s">
        <v>43</v>
      </c>
      <c r="G29" s="15" t="s">
        <v>43</v>
      </c>
      <c r="H29" s="15" t="s">
        <v>43</v>
      </c>
      <c r="I29" s="15" t="s">
        <v>43</v>
      </c>
      <c r="J29" s="21" t="s">
        <v>54</v>
      </c>
      <c r="K29" s="21" t="s">
        <v>54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ht="22.5" customHeight="1">
      <c r="A30" s="13"/>
      <c r="B30" s="13"/>
      <c r="C30" s="14">
        <v>0.625</v>
      </c>
      <c r="D30" s="14">
        <v>0.6458333333333334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6" t="s">
        <v>46</v>
      </c>
      <c r="K30" s="16" t="s">
        <v>46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22.5" customHeight="1">
      <c r="A31" s="13"/>
      <c r="B31" s="13"/>
      <c r="C31" s="14">
        <v>0.6458333333333334</v>
      </c>
      <c r="D31" s="14">
        <v>0.6666666666666666</v>
      </c>
      <c r="E31" s="15" t="s">
        <v>46</v>
      </c>
      <c r="F31" s="15" t="s">
        <v>46</v>
      </c>
      <c r="G31" s="15" t="s">
        <v>46</v>
      </c>
      <c r="H31" s="15" t="s">
        <v>46</v>
      </c>
      <c r="I31" s="15" t="s">
        <v>46</v>
      </c>
      <c r="J31" s="16" t="s">
        <v>46</v>
      </c>
      <c r="K31" s="16" t="s">
        <v>46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ht="22.5" customHeight="1">
      <c r="A32" s="13"/>
      <c r="B32" s="13"/>
      <c r="C32" s="14">
        <v>0.6666666666666666</v>
      </c>
      <c r="D32" s="14">
        <v>0.6875</v>
      </c>
      <c r="E32" s="15" t="s">
        <v>46</v>
      </c>
      <c r="F32" s="15" t="s">
        <v>46</v>
      </c>
      <c r="G32" s="15" t="s">
        <v>46</v>
      </c>
      <c r="H32" s="15" t="s">
        <v>46</v>
      </c>
      <c r="I32" s="15" t="s">
        <v>46</v>
      </c>
      <c r="J32" s="16" t="s">
        <v>46</v>
      </c>
      <c r="K32" s="16" t="s">
        <v>46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ht="22.5" customHeight="1">
      <c r="A33" s="13"/>
      <c r="B33" s="13"/>
      <c r="C33" s="14">
        <v>0.6875</v>
      </c>
      <c r="D33" s="14">
        <v>0.7083333333333334</v>
      </c>
      <c r="E33" s="15" t="s">
        <v>46</v>
      </c>
      <c r="F33" s="15" t="s">
        <v>46</v>
      </c>
      <c r="G33" s="15" t="s">
        <v>46</v>
      </c>
      <c r="H33" s="15" t="s">
        <v>46</v>
      </c>
      <c r="I33" s="15" t="s">
        <v>46</v>
      </c>
      <c r="J33" s="16" t="s">
        <v>46</v>
      </c>
      <c r="K33" s="16" t="s">
        <v>46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ht="22.5" customHeight="1">
      <c r="A34" s="13"/>
      <c r="B34" s="13"/>
      <c r="C34" s="14">
        <v>0.7083333333333334</v>
      </c>
      <c r="D34" s="14">
        <v>0.7291666666666666</v>
      </c>
      <c r="E34" s="15" t="s">
        <v>48</v>
      </c>
      <c r="F34" s="15" t="s">
        <v>48</v>
      </c>
      <c r="G34" s="15" t="s">
        <v>48</v>
      </c>
      <c r="H34" s="15" t="s">
        <v>48</v>
      </c>
      <c r="I34" s="15" t="s">
        <v>48</v>
      </c>
      <c r="J34" s="21" t="s">
        <v>56</v>
      </c>
      <c r="K34" s="21" t="s">
        <v>56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ht="22.5" customHeight="1">
      <c r="A35" s="13"/>
      <c r="B35" s="13"/>
      <c r="C35" s="14">
        <v>0.7291666666666666</v>
      </c>
      <c r="D35" s="14">
        <v>0.75</v>
      </c>
      <c r="E35" s="15" t="s">
        <v>48</v>
      </c>
      <c r="F35" s="15" t="s">
        <v>48</v>
      </c>
      <c r="G35" s="15" t="s">
        <v>48</v>
      </c>
      <c r="H35" s="15" t="s">
        <v>48</v>
      </c>
      <c r="I35" s="15" t="s">
        <v>48</v>
      </c>
      <c r="J35" s="21" t="s">
        <v>56</v>
      </c>
      <c r="K35" s="21" t="s">
        <v>56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ht="22.5" customHeight="1">
      <c r="A36" s="13"/>
      <c r="B36" s="13"/>
      <c r="C36" s="14">
        <v>0.75</v>
      </c>
      <c r="D36" s="14">
        <v>0.7708333333333334</v>
      </c>
      <c r="E36" s="15" t="s">
        <v>48</v>
      </c>
      <c r="F36" s="15" t="s">
        <v>48</v>
      </c>
      <c r="G36" s="15" t="s">
        <v>48</v>
      </c>
      <c r="H36" s="15" t="s">
        <v>48</v>
      </c>
      <c r="I36" s="15" t="s">
        <v>48</v>
      </c>
      <c r="J36" s="21" t="s">
        <v>56</v>
      </c>
      <c r="K36" s="21" t="s">
        <v>56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22.5" customHeight="1">
      <c r="A37" s="13"/>
      <c r="B37" s="13"/>
      <c r="C37" s="14">
        <v>0.7708333333333334</v>
      </c>
      <c r="D37" s="14">
        <v>0.7916666666666666</v>
      </c>
      <c r="E37" s="15" t="s">
        <v>41</v>
      </c>
      <c r="F37" s="15" t="s">
        <v>41</v>
      </c>
      <c r="G37" s="15" t="s">
        <v>41</v>
      </c>
      <c r="H37" s="15" t="s">
        <v>41</v>
      </c>
      <c r="I37" s="15" t="s">
        <v>41</v>
      </c>
      <c r="J37" s="21" t="s">
        <v>56</v>
      </c>
      <c r="K37" s="21" t="s">
        <v>56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ht="22.5" customHeight="1">
      <c r="A38" s="13"/>
      <c r="B38" s="13"/>
      <c r="C38" s="14">
        <v>0.7916666666666666</v>
      </c>
      <c r="D38" s="14">
        <v>0.8125</v>
      </c>
      <c r="E38" s="15" t="s">
        <v>41</v>
      </c>
      <c r="F38" s="15" t="s">
        <v>41</v>
      </c>
      <c r="G38" s="15" t="s">
        <v>41</v>
      </c>
      <c r="H38" s="15" t="s">
        <v>41</v>
      </c>
      <c r="I38" s="15" t="s">
        <v>41</v>
      </c>
      <c r="J38" s="22"/>
      <c r="K38" s="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ht="22.5" customHeight="1">
      <c r="A39" s="13"/>
      <c r="B39" s="13"/>
      <c r="C39" s="14">
        <v>0.8125</v>
      </c>
      <c r="D39" s="14">
        <v>0.8333333333333334</v>
      </c>
      <c r="E39" s="15" t="s">
        <v>41</v>
      </c>
      <c r="F39" s="15" t="s">
        <v>41</v>
      </c>
      <c r="G39" s="15" t="s">
        <v>41</v>
      </c>
      <c r="H39" s="15" t="s">
        <v>41</v>
      </c>
      <c r="I39" s="15" t="s">
        <v>41</v>
      </c>
      <c r="J39" s="21" t="s">
        <v>56</v>
      </c>
      <c r="K39" s="21" t="s">
        <v>56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ht="22.5" customHeight="1">
      <c r="A40" s="13"/>
      <c r="B40" s="13"/>
      <c r="C40" s="14">
        <v>0.8333333333333334</v>
      </c>
      <c r="D40" s="14">
        <v>0.8541666666666666</v>
      </c>
      <c r="E40" s="15" t="s">
        <v>41</v>
      </c>
      <c r="F40" s="15" t="s">
        <v>41</v>
      </c>
      <c r="G40" s="15" t="s">
        <v>41</v>
      </c>
      <c r="H40" s="15" t="s">
        <v>41</v>
      </c>
      <c r="I40" s="15" t="s">
        <v>41</v>
      </c>
      <c r="J40" s="21" t="s">
        <v>56</v>
      </c>
      <c r="K40" s="21" t="s">
        <v>56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ht="22.5" customHeight="1">
      <c r="A41" s="13"/>
      <c r="B41" s="13"/>
      <c r="C41" s="14">
        <v>0.8541666666666666</v>
      </c>
      <c r="D41" s="14">
        <v>0.875</v>
      </c>
      <c r="E41" s="15" t="s">
        <v>41</v>
      </c>
      <c r="F41" s="15" t="s">
        <v>41</v>
      </c>
      <c r="G41" s="15" t="s">
        <v>41</v>
      </c>
      <c r="H41" s="15" t="s">
        <v>41</v>
      </c>
      <c r="I41" s="15" t="s">
        <v>41</v>
      </c>
      <c r="J41" s="17"/>
      <c r="K41" s="1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ht="22.5" customHeight="1">
      <c r="A42" s="13"/>
      <c r="B42" s="13"/>
      <c r="C42" s="14">
        <v>0.875</v>
      </c>
      <c r="D42" s="14">
        <v>0.8958333333333334</v>
      </c>
      <c r="E42" s="15" t="s">
        <v>41</v>
      </c>
      <c r="F42" s="15" t="s">
        <v>41</v>
      </c>
      <c r="G42" s="15" t="s">
        <v>41</v>
      </c>
      <c r="H42" s="15" t="s">
        <v>41</v>
      </c>
      <c r="I42" s="15" t="s">
        <v>41</v>
      </c>
      <c r="J42" s="21" t="s">
        <v>42</v>
      </c>
      <c r="K42" s="21" t="s">
        <v>42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ht="22.5" customHeight="1">
      <c r="A43" s="13"/>
      <c r="B43" s="13"/>
      <c r="C43" s="14">
        <v>0.8958333333333334</v>
      </c>
      <c r="D43" s="14">
        <v>0.9166666666666666</v>
      </c>
      <c r="E43" s="15" t="s">
        <v>41</v>
      </c>
      <c r="F43" s="15" t="s">
        <v>41</v>
      </c>
      <c r="G43" s="15" t="s">
        <v>41</v>
      </c>
      <c r="H43" s="15" t="s">
        <v>41</v>
      </c>
      <c r="I43" s="15" t="s">
        <v>41</v>
      </c>
      <c r="J43" s="21" t="s">
        <v>42</v>
      </c>
      <c r="K43" s="21" t="s">
        <v>42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ht="22.5" customHeight="1">
      <c r="A44" s="13"/>
      <c r="B44" s="13"/>
      <c r="C44" s="14">
        <v>0.9166666666666666</v>
      </c>
      <c r="D44" s="14">
        <v>0.9375</v>
      </c>
      <c r="E44" s="15" t="s">
        <v>41</v>
      </c>
      <c r="F44" s="15" t="s">
        <v>41</v>
      </c>
      <c r="G44" s="15" t="s">
        <v>41</v>
      </c>
      <c r="H44" s="15" t="s">
        <v>41</v>
      </c>
      <c r="I44" s="15" t="s">
        <v>41</v>
      </c>
      <c r="J44" s="21" t="s">
        <v>42</v>
      </c>
      <c r="K44" s="21" t="s">
        <v>42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ht="22.5" customHeight="1">
      <c r="A45" s="13"/>
      <c r="B45" s="13"/>
      <c r="C45" s="14">
        <v>0.9375</v>
      </c>
      <c r="D45" s="14">
        <v>0.9583333333333334</v>
      </c>
      <c r="E45" s="15" t="s">
        <v>41</v>
      </c>
      <c r="F45" s="15" t="s">
        <v>41</v>
      </c>
      <c r="G45" s="15" t="s">
        <v>41</v>
      </c>
      <c r="H45" s="15" t="s">
        <v>41</v>
      </c>
      <c r="I45" s="15" t="s">
        <v>41</v>
      </c>
      <c r="J45" s="21" t="s">
        <v>42</v>
      </c>
      <c r="K45" s="21" t="s">
        <v>42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ht="22.5" customHeight="1">
      <c r="A46" s="13"/>
      <c r="B46" s="13"/>
      <c r="C46" s="14">
        <v>0.9583333333333334</v>
      </c>
      <c r="D46" s="14">
        <v>0.9791666666666666</v>
      </c>
      <c r="E46" s="15" t="s">
        <v>41</v>
      </c>
      <c r="F46" s="15" t="s">
        <v>41</v>
      </c>
      <c r="G46" s="15" t="s">
        <v>41</v>
      </c>
      <c r="H46" s="15" t="s">
        <v>41</v>
      </c>
      <c r="I46" s="15" t="s">
        <v>41</v>
      </c>
      <c r="J46" s="21" t="s">
        <v>42</v>
      </c>
      <c r="K46" s="21" t="s">
        <v>42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ht="22.5" customHeight="1">
      <c r="A47" s="13"/>
      <c r="B47" s="13"/>
      <c r="C47" s="14">
        <v>0.9791666666666666</v>
      </c>
      <c r="D47" s="14">
        <v>1.0</v>
      </c>
      <c r="E47" s="15" t="s">
        <v>41</v>
      </c>
      <c r="F47" s="15" t="s">
        <v>41</v>
      </c>
      <c r="G47" s="15" t="s">
        <v>41</v>
      </c>
      <c r="H47" s="15" t="s">
        <v>41</v>
      </c>
      <c r="I47" s="15" t="s">
        <v>41</v>
      </c>
      <c r="J47" s="21" t="s">
        <v>42</v>
      </c>
      <c r="K47" s="21" t="s">
        <v>42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ht="22.5" customHeight="1">
      <c r="A48" s="13"/>
      <c r="B48" s="13"/>
      <c r="C48" s="14">
        <v>1.0</v>
      </c>
      <c r="D48" s="14">
        <v>1.0208333333333333</v>
      </c>
      <c r="E48" s="15" t="s">
        <v>41</v>
      </c>
      <c r="F48" s="15" t="s">
        <v>41</v>
      </c>
      <c r="G48" s="15" t="s">
        <v>41</v>
      </c>
      <c r="H48" s="15" t="s">
        <v>41</v>
      </c>
      <c r="I48" s="15" t="s">
        <v>41</v>
      </c>
      <c r="J48" s="17"/>
      <c r="K48" s="1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ht="22.5" customHeight="1">
      <c r="A49" s="13"/>
      <c r="B49" s="13"/>
      <c r="C49" s="14">
        <v>1.0208333333333333</v>
      </c>
      <c r="D49" s="14">
        <v>1.0416666666666667</v>
      </c>
      <c r="E49" s="15" t="s">
        <v>41</v>
      </c>
      <c r="F49" s="15" t="s">
        <v>41</v>
      </c>
      <c r="G49" s="15" t="s">
        <v>41</v>
      </c>
      <c r="H49" s="15" t="s">
        <v>41</v>
      </c>
      <c r="I49" s="15" t="s">
        <v>41</v>
      </c>
      <c r="J49" s="16" t="s">
        <v>57</v>
      </c>
      <c r="K49" s="16" t="s">
        <v>57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ht="22.5" customHeight="1">
      <c r="A50" s="13"/>
      <c r="B50" s="13"/>
      <c r="C50" s="14">
        <v>1.0416666666666667</v>
      </c>
      <c r="D50" s="14">
        <v>1.0625</v>
      </c>
      <c r="E50" s="15" t="s">
        <v>46</v>
      </c>
      <c r="F50" s="15" t="s">
        <v>46</v>
      </c>
      <c r="G50" s="15" t="s">
        <v>46</v>
      </c>
      <c r="H50" s="15" t="s">
        <v>46</v>
      </c>
      <c r="I50" s="15" t="s">
        <v>46</v>
      </c>
      <c r="J50" s="16" t="s">
        <v>46</v>
      </c>
      <c r="K50" s="16" t="s">
        <v>46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ht="22.5" customHeight="1">
      <c r="A51" s="13"/>
      <c r="B51" s="13"/>
      <c r="C51" s="14">
        <v>1.0625</v>
      </c>
      <c r="D51" s="14">
        <v>1.0833333333333333</v>
      </c>
      <c r="E51" s="15" t="s">
        <v>46</v>
      </c>
      <c r="F51" s="15" t="s">
        <v>46</v>
      </c>
      <c r="G51" s="15" t="s">
        <v>46</v>
      </c>
      <c r="H51" s="15" t="s">
        <v>46</v>
      </c>
      <c r="I51" s="15" t="s">
        <v>46</v>
      </c>
      <c r="J51" s="16" t="s">
        <v>46</v>
      </c>
      <c r="K51" s="16" t="s">
        <v>46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ht="22.5" customHeight="1">
      <c r="A52" s="13"/>
      <c r="B52" s="13"/>
      <c r="C52" s="14">
        <v>1.0833333333333333</v>
      </c>
      <c r="D52" s="14">
        <v>1.1041666666666667</v>
      </c>
      <c r="E52" s="15" t="s">
        <v>46</v>
      </c>
      <c r="F52" s="15" t="s">
        <v>46</v>
      </c>
      <c r="G52" s="15" t="s">
        <v>46</v>
      </c>
      <c r="H52" s="15" t="s">
        <v>46</v>
      </c>
      <c r="I52" s="15" t="s">
        <v>46</v>
      </c>
      <c r="J52" s="16" t="s">
        <v>46</v>
      </c>
      <c r="K52" s="16" t="s">
        <v>46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ht="22.5" customHeight="1">
      <c r="A53" s="13"/>
      <c r="B53" s="13"/>
      <c r="C53" s="14">
        <v>1.1041666666666667</v>
      </c>
      <c r="D53" s="14">
        <v>1.125</v>
      </c>
      <c r="E53" s="15" t="s">
        <v>46</v>
      </c>
      <c r="F53" s="15" t="s">
        <v>46</v>
      </c>
      <c r="G53" s="15" t="s">
        <v>46</v>
      </c>
      <c r="H53" s="15" t="s">
        <v>46</v>
      </c>
      <c r="I53" s="15" t="s">
        <v>46</v>
      </c>
      <c r="J53" s="16" t="s">
        <v>46</v>
      </c>
      <c r="K53" s="16" t="s">
        <v>46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ht="22.5" customHeight="1">
      <c r="A54" s="13"/>
      <c r="B54" s="13"/>
      <c r="C54" s="14">
        <v>1.125</v>
      </c>
      <c r="D54" s="14">
        <v>1.1458333333333333</v>
      </c>
      <c r="E54" s="15" t="s">
        <v>46</v>
      </c>
      <c r="F54" s="15" t="s">
        <v>46</v>
      </c>
      <c r="G54" s="15" t="s">
        <v>46</v>
      </c>
      <c r="H54" s="15" t="s">
        <v>46</v>
      </c>
      <c r="I54" s="15" t="s">
        <v>46</v>
      </c>
      <c r="J54" s="16" t="s">
        <v>46</v>
      </c>
      <c r="K54" s="16" t="s">
        <v>46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ht="22.5" customHeight="1">
      <c r="A55" s="13"/>
      <c r="B55" s="13"/>
      <c r="C55" s="14">
        <v>1.1458333333333333</v>
      </c>
      <c r="D55" s="14">
        <v>1.1666666666666667</v>
      </c>
      <c r="E55" s="15" t="s">
        <v>46</v>
      </c>
      <c r="F55" s="15" t="s">
        <v>46</v>
      </c>
      <c r="G55" s="15" t="s">
        <v>46</v>
      </c>
      <c r="H55" s="15" t="s">
        <v>46</v>
      </c>
      <c r="I55" s="15" t="s">
        <v>46</v>
      </c>
      <c r="J55" s="16" t="s">
        <v>46</v>
      </c>
      <c r="K55" s="16" t="s">
        <v>46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ht="22.5" customHeight="1">
      <c r="A56" s="13"/>
      <c r="B56" s="13"/>
      <c r="C56" s="14">
        <v>1.1666666666666667</v>
      </c>
      <c r="D56" s="14">
        <v>1.1875</v>
      </c>
      <c r="E56" s="15" t="s">
        <v>46</v>
      </c>
      <c r="F56" s="15" t="s">
        <v>46</v>
      </c>
      <c r="G56" s="15" t="s">
        <v>46</v>
      </c>
      <c r="H56" s="15" t="s">
        <v>46</v>
      </c>
      <c r="I56" s="15" t="s">
        <v>46</v>
      </c>
      <c r="J56" s="16" t="s">
        <v>46</v>
      </c>
      <c r="K56" s="16" t="s">
        <v>46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ht="22.5" customHeight="1">
      <c r="A57" s="13"/>
      <c r="B57" s="13"/>
      <c r="C57" s="14">
        <v>1.1875</v>
      </c>
      <c r="D57" s="14">
        <v>1.2083333333333333</v>
      </c>
      <c r="E57" s="15" t="s">
        <v>46</v>
      </c>
      <c r="F57" s="15" t="s">
        <v>46</v>
      </c>
      <c r="G57" s="15" t="s">
        <v>46</v>
      </c>
      <c r="H57" s="15" t="s">
        <v>46</v>
      </c>
      <c r="I57" s="15" t="s">
        <v>46</v>
      </c>
      <c r="J57" s="16" t="s">
        <v>46</v>
      </c>
      <c r="K57" s="16" t="s">
        <v>46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</row>
  </sheetData>
  <conditionalFormatting sqref="A1:K6 L1:BA935 A8:K935">
    <cfRule type="containsBlanks" dxfId="0" priority="1">
      <formula>LEN(TRIM(A1))=0</formula>
    </cfRule>
  </conditionalFormatting>
  <conditionalFormatting sqref="A1:K6 L1:BA935 A8:K935">
    <cfRule type="cellIs" dxfId="1" priority="2" operator="equal">
      <formula>"Sleep"</formula>
    </cfRule>
  </conditionalFormatting>
  <conditionalFormatting sqref="A1:K6 L1:BA935 A8:K935">
    <cfRule type="containsText" dxfId="2" priority="3" operator="containsText" text="Trading">
      <formula>NOT(ISERROR(SEARCH(("Trading"),(A1))))</formula>
    </cfRule>
  </conditionalFormatting>
  <conditionalFormatting sqref="A1:K6 L1:BA935 A8:K935">
    <cfRule type="containsText" dxfId="3" priority="4" operator="containsText" text="Freelancing">
      <formula>NOT(ISERROR(SEARCH(("Freelancing"),(A1))))</formula>
    </cfRule>
  </conditionalFormatting>
  <conditionalFormatting sqref="A1:K6 L1:BA935 A8:K935">
    <cfRule type="containsText" dxfId="4" priority="5" operator="containsText" text="Office">
      <formula>NOT(ISERROR(SEARCH(("Office"),(A1))))</formula>
    </cfRule>
  </conditionalFormatting>
  <conditionalFormatting sqref="A1:K6 L1:BA935 A8:K935">
    <cfRule type="containsText" dxfId="5" priority="6" operator="containsText" text="Buggal">
      <formula>NOT(ISERROR(SEARCH(("Buggal"),(A1))))</formula>
    </cfRule>
  </conditionalFormatting>
  <conditionalFormatting sqref="A1:K6 L1:BA935 A8:K935">
    <cfRule type="containsText" dxfId="6" priority="7" operator="containsText" text="Youtube">
      <formula>NOT(ISERROR(SEARCH(("Youtube"),(A1))))</formula>
    </cfRule>
  </conditionalFormatting>
  <dataValidations>
    <dataValidation type="custom" allowBlank="1" showDropDown="1" sqref="C10:D57">
      <formula1>OR(TIMEVALUE(TEXT(C10, "hh:mm:ss"))=C10, AND(ISNUMBER(C10), LEFT(CELL("format", C10))="D"))</formula1>
    </dataValidation>
    <dataValidation type="list" allowBlank="1" showDropDown="1" showErrorMessage="1" sqref="J10:J57">
      <formula1>"Sleep,Youtube Video,Buggal Time"</formula1>
    </dataValidation>
    <dataValidation type="list" allowBlank="1" showDropDown="1" showErrorMessage="1" sqref="R22:R23">
      <formula1>"Sleep,Youtube Video,Buggal Time"</formula1>
    </dataValidation>
    <dataValidation type="list" allowBlank="1" showDropDown="1" showErrorMessage="1" sqref="R24">
      <formula1>"Sleep,Youtube Video,Buggal Time"</formula1>
    </dataValidation>
    <dataValidation type="custom" allowBlank="1" showDropDown="1" sqref="A10:B57">
      <formula1>AND(ISNUMBER(A10),(NOT(OR(NOT(ISERROR(DATEVALUE(A10))), AND(ISNUMBER(A10), LEFT(CELL("format", A10))="D")))))</formula1>
    </dataValidation>
    <dataValidation type="list" allowBlank="1" showDropDown="1" showErrorMessage="1" sqref="K10:K57">
      <formula1>"Sleep,Youtube Video,Buggal Time"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2.88"/>
    <col customWidth="1" min="2" max="2" width="13.5"/>
    <col customWidth="1" min="3" max="3" width="11.88"/>
    <col customWidth="1" min="4" max="4" width="12.5"/>
    <col customWidth="1" min="5" max="5" width="13.75"/>
    <col customWidth="1" min="6" max="6" width="12.75"/>
    <col customWidth="1" min="7" max="7" width="9.5"/>
    <col customWidth="1" min="8" max="8" width="10.38"/>
    <col customWidth="1" min="9" max="9" width="14.0"/>
    <col customWidth="1" min="10" max="10" width="14.75"/>
    <col customWidth="1" min="11" max="11" width="9.5"/>
    <col customWidth="1" min="12" max="12" width="9.13"/>
    <col customWidth="1" min="13" max="13" width="11.25"/>
  </cols>
  <sheetData>
    <row r="1" hidden="1">
      <c r="A1" s="23">
        <v>44927.0</v>
      </c>
      <c r="B1" s="24"/>
      <c r="C1" s="24"/>
      <c r="D1" s="24"/>
      <c r="E1" s="24"/>
      <c r="F1" s="25" t="s">
        <v>64</v>
      </c>
      <c r="G1" s="25" t="s">
        <v>65</v>
      </c>
      <c r="H1" s="25" t="s">
        <v>65</v>
      </c>
      <c r="I1" s="25" t="s">
        <v>66</v>
      </c>
      <c r="J1" s="25"/>
      <c r="K1" s="25"/>
      <c r="L1" s="25"/>
      <c r="M1" s="26"/>
    </row>
    <row r="2" hidden="1">
      <c r="A2" s="24"/>
      <c r="B2" s="24"/>
      <c r="C2" s="25"/>
      <c r="D2" s="27" t="s">
        <v>67</v>
      </c>
      <c r="E2" s="23"/>
      <c r="F2" s="25"/>
      <c r="G2" s="25" t="s">
        <v>68</v>
      </c>
      <c r="H2" s="25" t="s">
        <v>68</v>
      </c>
      <c r="I2" s="25" t="s">
        <v>68</v>
      </c>
      <c r="J2" s="25"/>
      <c r="K2" s="25"/>
      <c r="L2" s="25"/>
      <c r="M2" s="26"/>
    </row>
    <row r="3" hidden="1">
      <c r="A3" s="25" t="s">
        <v>69</v>
      </c>
      <c r="B3" s="25">
        <v>1000.0</v>
      </c>
      <c r="C3" s="24"/>
      <c r="D3" s="28"/>
      <c r="E3" s="24"/>
      <c r="F3" s="25" t="s">
        <v>70</v>
      </c>
      <c r="G3" s="29">
        <v>44580.0</v>
      </c>
      <c r="H3" s="29">
        <v>44583.0</v>
      </c>
      <c r="I3" s="29">
        <v>44928.0</v>
      </c>
      <c r="J3" s="29"/>
      <c r="K3" s="29"/>
      <c r="L3" s="29"/>
      <c r="M3" s="26"/>
    </row>
    <row r="4" hidden="1">
      <c r="A4" s="28">
        <v>17263.21</v>
      </c>
      <c r="B4" s="28"/>
      <c r="C4" s="28"/>
      <c r="D4" s="28">
        <v>0.0</v>
      </c>
      <c r="E4" s="30"/>
      <c r="F4" s="31"/>
      <c r="G4" s="24"/>
      <c r="H4" s="24"/>
      <c r="I4" s="25" t="s">
        <v>71</v>
      </c>
      <c r="J4" s="25"/>
      <c r="K4" s="25"/>
      <c r="L4" s="25"/>
      <c r="M4" s="26"/>
    </row>
    <row r="5" hidden="1">
      <c r="A5" s="32" t="s">
        <v>72</v>
      </c>
      <c r="B5" s="33"/>
      <c r="C5" s="33"/>
      <c r="D5" s="33" t="s">
        <v>73</v>
      </c>
      <c r="E5" s="34">
        <v>45032.0</v>
      </c>
      <c r="F5" s="35" t="s">
        <v>64</v>
      </c>
      <c r="G5" s="36" t="s">
        <v>74</v>
      </c>
      <c r="H5" s="36" t="s">
        <v>74</v>
      </c>
      <c r="I5" s="36" t="s">
        <v>75</v>
      </c>
      <c r="J5" s="36"/>
      <c r="K5" s="36"/>
      <c r="L5" s="36"/>
      <c r="M5" s="37"/>
    </row>
    <row r="6" hidden="1">
      <c r="A6" s="38">
        <v>3647.26</v>
      </c>
      <c r="B6" s="27"/>
      <c r="C6" s="27"/>
      <c r="D6" s="27">
        <v>0.0</v>
      </c>
      <c r="E6" s="33" t="s">
        <v>76</v>
      </c>
      <c r="F6" s="27">
        <v>3647.26</v>
      </c>
      <c r="G6" s="24"/>
      <c r="H6" s="24"/>
      <c r="I6" s="24"/>
      <c r="J6" s="24"/>
      <c r="K6" s="24"/>
      <c r="L6" s="24"/>
      <c r="M6" s="26"/>
    </row>
    <row r="7" hidden="1">
      <c r="A7" s="38">
        <v>10000.62</v>
      </c>
      <c r="B7" s="27"/>
      <c r="C7" s="27"/>
      <c r="D7" s="27">
        <v>0.0</v>
      </c>
      <c r="E7" s="33" t="s">
        <v>77</v>
      </c>
      <c r="F7" s="27">
        <v>10000.62</v>
      </c>
      <c r="G7" s="25">
        <v>500.0</v>
      </c>
      <c r="H7" s="25">
        <v>3000.0</v>
      </c>
      <c r="I7" s="25">
        <v>4526.4</v>
      </c>
      <c r="J7" s="25"/>
      <c r="K7" s="25"/>
      <c r="L7" s="25"/>
      <c r="M7" s="39"/>
    </row>
    <row r="8" hidden="1">
      <c r="A8" s="38">
        <v>500.98</v>
      </c>
      <c r="B8" s="27"/>
      <c r="C8" s="27"/>
      <c r="D8" s="27">
        <v>0.0</v>
      </c>
      <c r="E8" s="33" t="s">
        <v>78</v>
      </c>
      <c r="F8" s="27">
        <v>500.98</v>
      </c>
      <c r="G8" s="24"/>
      <c r="H8" s="24"/>
      <c r="I8" s="24"/>
      <c r="J8" s="24"/>
      <c r="K8" s="24"/>
      <c r="L8" s="24"/>
      <c r="M8" s="39"/>
    </row>
    <row r="9" hidden="1">
      <c r="A9" s="38">
        <v>513.57</v>
      </c>
      <c r="B9" s="27"/>
      <c r="C9" s="27"/>
      <c r="D9" s="27">
        <v>0.0</v>
      </c>
      <c r="E9" s="33" t="s">
        <v>79</v>
      </c>
      <c r="F9" s="27">
        <v>513.57</v>
      </c>
      <c r="G9" s="24"/>
      <c r="H9" s="24"/>
      <c r="I9" s="24"/>
      <c r="J9" s="24"/>
      <c r="K9" s="24"/>
      <c r="L9" s="24"/>
      <c r="M9" s="39"/>
    </row>
    <row r="10" hidden="1">
      <c r="A10" s="38">
        <v>2100.0</v>
      </c>
      <c r="B10" s="27"/>
      <c r="C10" s="27"/>
      <c r="D10" s="27">
        <v>0.0</v>
      </c>
      <c r="E10" s="33" t="s">
        <v>80</v>
      </c>
      <c r="F10" s="27">
        <v>2100.0</v>
      </c>
      <c r="G10" s="24"/>
      <c r="H10" s="24"/>
      <c r="I10" s="24"/>
      <c r="J10" s="24"/>
      <c r="K10" s="24"/>
      <c r="L10" s="24"/>
      <c r="M10" s="39"/>
    </row>
    <row r="11" hidden="1">
      <c r="A11" s="38">
        <v>500.78</v>
      </c>
      <c r="B11" s="27"/>
      <c r="C11" s="27"/>
      <c r="D11" s="27">
        <v>0.0</v>
      </c>
      <c r="E11" s="33" t="s">
        <v>81</v>
      </c>
      <c r="F11" s="27">
        <v>500.78</v>
      </c>
      <c r="G11" s="24"/>
      <c r="H11" s="24"/>
      <c r="I11" s="24"/>
      <c r="J11" s="24"/>
      <c r="K11" s="24"/>
      <c r="L11" s="24"/>
      <c r="M11" s="39"/>
    </row>
    <row r="12" hidden="1">
      <c r="A12" s="38">
        <v>0.0</v>
      </c>
      <c r="B12" s="27"/>
      <c r="C12" s="27"/>
      <c r="D12" s="27">
        <v>0.0</v>
      </c>
      <c r="E12" s="33" t="s">
        <v>82</v>
      </c>
      <c r="F12" s="27">
        <v>0.0</v>
      </c>
      <c r="G12" s="24"/>
      <c r="H12" s="24"/>
      <c r="I12" s="24"/>
      <c r="J12" s="24"/>
      <c r="K12" s="24"/>
      <c r="L12" s="24"/>
      <c r="M12" s="39"/>
    </row>
    <row r="13" hidden="1">
      <c r="A13" s="38">
        <v>0.0</v>
      </c>
      <c r="B13" s="27"/>
      <c r="C13" s="27"/>
      <c r="D13" s="27">
        <v>0.0</v>
      </c>
      <c r="E13" s="33" t="s">
        <v>83</v>
      </c>
      <c r="F13" s="27">
        <v>0.0</v>
      </c>
      <c r="G13" s="24"/>
      <c r="H13" s="24"/>
      <c r="I13" s="24"/>
      <c r="J13" s="24"/>
      <c r="K13" s="24"/>
      <c r="L13" s="24"/>
      <c r="M13" s="39"/>
    </row>
    <row r="14" hidden="1">
      <c r="A14" s="24"/>
      <c r="B14" s="24"/>
      <c r="C14" s="24"/>
      <c r="D14" s="24"/>
      <c r="E14" s="24"/>
      <c r="F14" s="25"/>
      <c r="G14" s="25"/>
      <c r="H14" s="25"/>
      <c r="I14" s="25"/>
      <c r="J14" s="25"/>
      <c r="K14" s="25"/>
      <c r="L14" s="25"/>
      <c r="M14" s="26"/>
    </row>
    <row r="15" hidden="1">
      <c r="A15" s="23">
        <v>44958.0</v>
      </c>
      <c r="B15" s="24"/>
      <c r="C15" s="24"/>
      <c r="D15" s="24"/>
      <c r="E15" s="24"/>
      <c r="F15" s="25" t="s">
        <v>64</v>
      </c>
      <c r="G15" s="25" t="s">
        <v>65</v>
      </c>
      <c r="H15" s="25" t="s">
        <v>65</v>
      </c>
      <c r="I15" s="25" t="s">
        <v>66</v>
      </c>
      <c r="J15" s="25"/>
      <c r="K15" s="25"/>
      <c r="L15" s="25"/>
      <c r="M15" s="26"/>
    </row>
    <row r="16" hidden="1">
      <c r="A16" s="24"/>
      <c r="B16" s="24"/>
      <c r="C16" s="25"/>
      <c r="D16" s="27" t="s">
        <v>67</v>
      </c>
      <c r="E16" s="23"/>
      <c r="F16" s="25"/>
      <c r="G16" s="25" t="s">
        <v>68</v>
      </c>
      <c r="H16" s="25" t="s">
        <v>68</v>
      </c>
      <c r="I16" s="25" t="s">
        <v>68</v>
      </c>
      <c r="J16" s="25"/>
      <c r="K16" s="25"/>
      <c r="L16" s="25"/>
      <c r="M16" s="26"/>
    </row>
    <row r="17" hidden="1">
      <c r="A17" s="25" t="s">
        <v>69</v>
      </c>
      <c r="B17" s="25">
        <v>1000.0</v>
      </c>
      <c r="C17" s="24"/>
      <c r="D17" s="28"/>
      <c r="E17" s="24"/>
      <c r="F17" s="25" t="s">
        <v>70</v>
      </c>
      <c r="G17" s="29">
        <v>44945.0</v>
      </c>
      <c r="H17" s="29">
        <v>44950.0</v>
      </c>
      <c r="I17" s="29">
        <v>44928.0</v>
      </c>
      <c r="J17" s="29"/>
      <c r="K17" s="29"/>
      <c r="L17" s="29"/>
      <c r="M17" s="26"/>
    </row>
    <row r="18" hidden="1">
      <c r="A18" s="28">
        <v>3552.8100000000004</v>
      </c>
      <c r="B18" s="28"/>
      <c r="C18" s="28"/>
      <c r="D18" s="28">
        <v>0.0</v>
      </c>
      <c r="E18" s="30"/>
      <c r="F18" s="31"/>
      <c r="G18" s="24"/>
      <c r="H18" s="24"/>
      <c r="I18" s="25" t="s">
        <v>71</v>
      </c>
      <c r="J18" s="25"/>
      <c r="K18" s="25"/>
      <c r="L18" s="25"/>
      <c r="M18" s="26"/>
    </row>
    <row r="19" hidden="1">
      <c r="A19" s="32" t="s">
        <v>72</v>
      </c>
      <c r="B19" s="33"/>
      <c r="C19" s="33"/>
      <c r="D19" s="33" t="s">
        <v>73</v>
      </c>
      <c r="E19" s="34">
        <v>45032.0</v>
      </c>
      <c r="F19" s="35" t="s">
        <v>64</v>
      </c>
      <c r="G19" s="36" t="s">
        <v>74</v>
      </c>
      <c r="H19" s="36" t="s">
        <v>74</v>
      </c>
      <c r="I19" s="36" t="s">
        <v>75</v>
      </c>
      <c r="J19" s="36"/>
      <c r="K19" s="36"/>
      <c r="L19" s="36"/>
      <c r="M19" s="37"/>
    </row>
    <row r="20" hidden="1">
      <c r="A20" s="38">
        <v>210.47</v>
      </c>
      <c r="B20" s="27"/>
      <c r="C20" s="27"/>
      <c r="D20" s="27">
        <v>0.0</v>
      </c>
      <c r="E20" s="33" t="s">
        <v>76</v>
      </c>
      <c r="F20" s="27">
        <v>210.47</v>
      </c>
      <c r="G20" s="24"/>
      <c r="H20" s="24"/>
      <c r="I20" s="24"/>
      <c r="J20" s="24"/>
      <c r="K20" s="24"/>
      <c r="L20" s="24"/>
      <c r="M20" s="26"/>
    </row>
    <row r="21" hidden="1">
      <c r="A21" s="38">
        <v>1018.5</v>
      </c>
      <c r="B21" s="27"/>
      <c r="C21" s="27"/>
      <c r="D21" s="27">
        <v>0.0</v>
      </c>
      <c r="E21" s="33" t="s">
        <v>77</v>
      </c>
      <c r="F21" s="27">
        <v>1018.5</v>
      </c>
      <c r="G21" s="25">
        <v>500.0</v>
      </c>
      <c r="H21" s="25">
        <v>3000.0</v>
      </c>
      <c r="I21" s="25">
        <v>1642.56</v>
      </c>
      <c r="J21" s="25"/>
      <c r="K21" s="25"/>
      <c r="L21" s="25"/>
      <c r="M21" s="39"/>
    </row>
    <row r="22" hidden="1">
      <c r="A22" s="38">
        <v>52.98</v>
      </c>
      <c r="B22" s="27"/>
      <c r="C22" s="27"/>
      <c r="D22" s="27">
        <v>0.0</v>
      </c>
      <c r="E22" s="33" t="s">
        <v>78</v>
      </c>
      <c r="F22" s="27">
        <v>52.98</v>
      </c>
      <c r="G22" s="24"/>
      <c r="H22" s="24"/>
      <c r="I22" s="24"/>
      <c r="J22" s="24"/>
      <c r="K22" s="24"/>
      <c r="L22" s="24"/>
      <c r="M22" s="39"/>
    </row>
    <row r="23" hidden="1">
      <c r="A23" s="38">
        <v>1024.57</v>
      </c>
      <c r="B23" s="27"/>
      <c r="C23" s="27"/>
      <c r="D23" s="27">
        <v>0.0</v>
      </c>
      <c r="E23" s="33" t="s">
        <v>79</v>
      </c>
      <c r="F23" s="27">
        <v>1024.57</v>
      </c>
      <c r="G23" s="24"/>
      <c r="H23" s="24"/>
      <c r="I23" s="24"/>
      <c r="J23" s="24"/>
      <c r="K23" s="24"/>
      <c r="L23" s="24"/>
      <c r="M23" s="39"/>
    </row>
    <row r="24" hidden="1">
      <c r="A24" s="38">
        <v>83.0</v>
      </c>
      <c r="B24" s="27"/>
      <c r="C24" s="27"/>
      <c r="D24" s="27">
        <v>0.0</v>
      </c>
      <c r="E24" s="33" t="s">
        <v>80</v>
      </c>
      <c r="F24" s="27">
        <v>83.0</v>
      </c>
      <c r="G24" s="24"/>
      <c r="H24" s="24"/>
      <c r="I24" s="24"/>
      <c r="J24" s="24"/>
      <c r="K24" s="24"/>
      <c r="L24" s="24"/>
      <c r="M24" s="39"/>
    </row>
    <row r="25" hidden="1">
      <c r="A25" s="38">
        <v>9.28</v>
      </c>
      <c r="B25" s="27"/>
      <c r="C25" s="27"/>
      <c r="D25" s="27">
        <v>0.0</v>
      </c>
      <c r="E25" s="33" t="s">
        <v>81</v>
      </c>
      <c r="F25" s="27">
        <v>9.28</v>
      </c>
      <c r="G25" s="24"/>
      <c r="H25" s="24"/>
      <c r="I25" s="24"/>
      <c r="J25" s="24"/>
      <c r="K25" s="24"/>
      <c r="L25" s="24"/>
      <c r="M25" s="39"/>
    </row>
    <row r="26" hidden="1">
      <c r="A26" s="38">
        <v>154.01</v>
      </c>
      <c r="B26" s="27"/>
      <c r="C26" s="27"/>
      <c r="D26" s="27">
        <v>0.0</v>
      </c>
      <c r="E26" s="33" t="s">
        <v>82</v>
      </c>
      <c r="F26" s="27">
        <v>154.01</v>
      </c>
      <c r="G26" s="24"/>
      <c r="H26" s="24"/>
      <c r="I26" s="24"/>
      <c r="J26" s="24"/>
      <c r="K26" s="24"/>
      <c r="L26" s="24"/>
      <c r="M26" s="39"/>
    </row>
    <row r="27" hidden="1">
      <c r="A27" s="38">
        <v>1000.0</v>
      </c>
      <c r="B27" s="27"/>
      <c r="C27" s="27"/>
      <c r="D27" s="27">
        <v>0.0</v>
      </c>
      <c r="E27" s="33" t="s">
        <v>83</v>
      </c>
      <c r="F27" s="27">
        <v>1000.0</v>
      </c>
      <c r="G27" s="24"/>
      <c r="H27" s="24"/>
      <c r="I27" s="24"/>
      <c r="J27" s="24"/>
      <c r="K27" s="24"/>
      <c r="L27" s="24"/>
      <c r="M27" s="39"/>
    </row>
    <row r="28" hidden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39"/>
    </row>
    <row r="29" hidden="1">
      <c r="A29" s="40">
        <v>44986.0</v>
      </c>
      <c r="B29" s="24"/>
      <c r="C29" s="24"/>
      <c r="D29" s="24"/>
      <c r="E29" s="24"/>
      <c r="F29" s="41" t="s">
        <v>64</v>
      </c>
      <c r="G29" s="41" t="s">
        <v>65</v>
      </c>
      <c r="H29" s="41" t="s">
        <v>65</v>
      </c>
      <c r="I29" s="41" t="s">
        <v>66</v>
      </c>
      <c r="J29" s="41"/>
      <c r="K29" s="41"/>
      <c r="L29" s="41"/>
      <c r="M29" s="42"/>
    </row>
    <row r="30" hidden="1">
      <c r="A30" s="24"/>
      <c r="B30" s="43"/>
      <c r="C30" s="41"/>
      <c r="D30" s="44" t="s">
        <v>67</v>
      </c>
      <c r="E30" s="45">
        <v>128596.81</v>
      </c>
      <c r="F30" s="41"/>
      <c r="G30" s="41" t="s">
        <v>68</v>
      </c>
      <c r="H30" s="41" t="s">
        <v>68</v>
      </c>
      <c r="I30" s="41" t="s">
        <v>68</v>
      </c>
      <c r="J30" s="41"/>
      <c r="K30" s="41"/>
      <c r="L30" s="41"/>
      <c r="M30" s="42"/>
    </row>
    <row r="31" hidden="1">
      <c r="A31" s="41" t="s">
        <v>69</v>
      </c>
      <c r="B31" s="41">
        <v>1000.0</v>
      </c>
      <c r="C31" s="24"/>
      <c r="D31" s="28"/>
      <c r="E31" s="24"/>
      <c r="F31" s="41" t="s">
        <v>70</v>
      </c>
      <c r="G31" s="46">
        <v>45004.0</v>
      </c>
      <c r="H31" s="46">
        <v>45007.0</v>
      </c>
      <c r="I31" s="46">
        <v>44928.0</v>
      </c>
      <c r="J31" s="46"/>
      <c r="K31" s="46"/>
      <c r="L31" s="46"/>
      <c r="M31" s="47"/>
    </row>
    <row r="32" hidden="1">
      <c r="A32" s="28">
        <v>4283.830000000002</v>
      </c>
      <c r="B32" s="28">
        <v>18000.0</v>
      </c>
      <c r="C32" s="28"/>
      <c r="D32" s="28">
        <v>0.0</v>
      </c>
      <c r="E32" s="48">
        <v>44986.0</v>
      </c>
      <c r="F32" s="31">
        <v>30734.83</v>
      </c>
      <c r="G32" s="24"/>
      <c r="H32" s="24"/>
      <c r="I32" s="41" t="s">
        <v>71</v>
      </c>
      <c r="J32" s="41"/>
      <c r="K32" s="41"/>
      <c r="L32" s="41"/>
      <c r="M32" s="42"/>
    </row>
    <row r="33" hidden="1">
      <c r="A33" s="49" t="s">
        <v>72</v>
      </c>
      <c r="B33" s="49" t="s">
        <v>84</v>
      </c>
      <c r="C33" s="49"/>
      <c r="D33" s="49" t="s">
        <v>73</v>
      </c>
      <c r="E33" s="34">
        <v>45032.0</v>
      </c>
      <c r="F33" s="50" t="s">
        <v>64</v>
      </c>
      <c r="G33" s="51" t="s">
        <v>74</v>
      </c>
      <c r="H33" s="51" t="s">
        <v>74</v>
      </c>
      <c r="I33" s="51" t="s">
        <v>75</v>
      </c>
      <c r="J33" s="51"/>
      <c r="K33" s="51"/>
      <c r="L33" s="51"/>
      <c r="M33" s="52"/>
    </row>
    <row r="34" hidden="1">
      <c r="A34" s="53">
        <v>169.1500000000001</v>
      </c>
      <c r="B34" s="54">
        <v>3000.0</v>
      </c>
      <c r="C34" s="54"/>
      <c r="D34" s="54">
        <v>0.0</v>
      </c>
      <c r="E34" s="55" t="s">
        <v>76</v>
      </c>
      <c r="F34" s="44">
        <v>3213.15</v>
      </c>
      <c r="G34" s="24"/>
      <c r="H34" s="24"/>
      <c r="I34" s="24"/>
      <c r="J34" s="24"/>
      <c r="K34" s="24"/>
      <c r="L34" s="24"/>
      <c r="M34" s="39"/>
    </row>
    <row r="35" hidden="1">
      <c r="A35" s="53">
        <v>561.4799999999996</v>
      </c>
      <c r="B35" s="54">
        <v>3000.0</v>
      </c>
      <c r="C35" s="54"/>
      <c r="D35" s="54">
        <v>0.0</v>
      </c>
      <c r="E35" s="55" t="s">
        <v>77</v>
      </c>
      <c r="F35" s="44">
        <v>11968.48</v>
      </c>
      <c r="G35" s="41">
        <v>500.0</v>
      </c>
      <c r="H35" s="41">
        <v>3000.0</v>
      </c>
      <c r="I35" s="41">
        <v>0.0</v>
      </c>
      <c r="J35" s="41"/>
      <c r="K35" s="41"/>
      <c r="L35" s="41"/>
      <c r="M35" s="42"/>
    </row>
    <row r="36" hidden="1">
      <c r="A36" s="53">
        <v>72.90999999999985</v>
      </c>
      <c r="B36" s="54">
        <v>3000.0</v>
      </c>
      <c r="C36" s="54"/>
      <c r="D36" s="54">
        <v>0.0</v>
      </c>
      <c r="E36" s="55" t="s">
        <v>78</v>
      </c>
      <c r="F36" s="44">
        <v>3072.91</v>
      </c>
      <c r="G36" s="24"/>
      <c r="H36" s="24"/>
      <c r="I36" s="24"/>
      <c r="J36" s="24"/>
      <c r="K36" s="24"/>
      <c r="L36" s="24"/>
      <c r="M36" s="39"/>
    </row>
    <row r="37" hidden="1">
      <c r="A37" s="53">
        <v>1109.75</v>
      </c>
      <c r="B37" s="54">
        <v>3000.0</v>
      </c>
      <c r="C37" s="54"/>
      <c r="D37" s="54">
        <v>0.0</v>
      </c>
      <c r="E37" s="55" t="s">
        <v>79</v>
      </c>
      <c r="F37" s="44">
        <v>4109.75</v>
      </c>
      <c r="G37" s="24"/>
      <c r="H37" s="24"/>
      <c r="I37" s="24"/>
      <c r="J37" s="24"/>
      <c r="K37" s="24"/>
      <c r="L37" s="24"/>
      <c r="M37" s="39"/>
    </row>
    <row r="38" hidden="1">
      <c r="A38" s="53">
        <v>100.0</v>
      </c>
      <c r="B38" s="54">
        <v>3000.0</v>
      </c>
      <c r="C38" s="54"/>
      <c r="D38" s="54">
        <v>0.0</v>
      </c>
      <c r="E38" s="55" t="s">
        <v>80</v>
      </c>
      <c r="F38" s="44">
        <v>3100.0</v>
      </c>
      <c r="G38" s="24"/>
      <c r="H38" s="24"/>
      <c r="I38" s="24"/>
      <c r="J38" s="24"/>
      <c r="K38" s="24"/>
      <c r="L38" s="24"/>
      <c r="M38" s="39"/>
    </row>
    <row r="39" hidden="1">
      <c r="A39" s="53">
        <v>17.2800000000002</v>
      </c>
      <c r="B39" s="54">
        <v>3000.0</v>
      </c>
      <c r="C39" s="54"/>
      <c r="D39" s="54">
        <v>0.0</v>
      </c>
      <c r="E39" s="55" t="s">
        <v>81</v>
      </c>
      <c r="F39" s="44">
        <v>3017.28</v>
      </c>
      <c r="G39" s="24"/>
      <c r="H39" s="24"/>
      <c r="I39" s="24"/>
      <c r="J39" s="24"/>
      <c r="K39" s="24"/>
      <c r="L39" s="24"/>
      <c r="M39" s="39"/>
    </row>
    <row r="40" hidden="1">
      <c r="A40" s="53">
        <v>963.83</v>
      </c>
      <c r="B40" s="54">
        <v>0.0</v>
      </c>
      <c r="C40" s="54"/>
      <c r="D40" s="54">
        <v>0.0</v>
      </c>
      <c r="E40" s="55" t="s">
        <v>82</v>
      </c>
      <c r="F40" s="44">
        <v>963.83</v>
      </c>
      <c r="G40" s="24"/>
      <c r="H40" s="24"/>
      <c r="I40" s="24"/>
      <c r="J40" s="24"/>
      <c r="K40" s="24"/>
      <c r="L40" s="24"/>
      <c r="M40" s="39"/>
    </row>
    <row r="41" hidden="1">
      <c r="A41" s="53">
        <v>1108.8</v>
      </c>
      <c r="B41" s="54">
        <v>0.0</v>
      </c>
      <c r="C41" s="54"/>
      <c r="D41" s="54">
        <v>0.0</v>
      </c>
      <c r="E41" s="55" t="s">
        <v>83</v>
      </c>
      <c r="F41" s="44">
        <v>1108.8</v>
      </c>
      <c r="G41" s="24"/>
      <c r="H41" s="24"/>
      <c r="I41" s="24"/>
      <c r="J41" s="24"/>
      <c r="K41" s="24"/>
      <c r="L41" s="24"/>
      <c r="M41" s="39"/>
    </row>
    <row r="42" hidden="1">
      <c r="A42" s="53">
        <v>180.63</v>
      </c>
      <c r="B42" s="54">
        <v>0.0</v>
      </c>
      <c r="C42" s="54"/>
      <c r="D42" s="54">
        <v>0.0</v>
      </c>
      <c r="E42" s="55" t="s">
        <v>85</v>
      </c>
      <c r="F42" s="44">
        <v>180.63</v>
      </c>
      <c r="G42" s="24"/>
      <c r="H42" s="24"/>
      <c r="I42" s="24"/>
      <c r="J42" s="24"/>
      <c r="K42" s="24"/>
      <c r="L42" s="24"/>
      <c r="M42" s="39"/>
    </row>
    <row r="43" hidden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39"/>
    </row>
    <row r="44" hidden="1">
      <c r="A44" s="23">
        <v>45017.0</v>
      </c>
      <c r="B44" s="24"/>
      <c r="C44" s="24"/>
      <c r="D44" s="24"/>
      <c r="E44" s="24"/>
      <c r="F44" s="25" t="s">
        <v>64</v>
      </c>
      <c r="G44" s="25" t="s">
        <v>66</v>
      </c>
      <c r="H44" s="25" t="s">
        <v>66</v>
      </c>
      <c r="I44" s="25" t="s">
        <v>66</v>
      </c>
      <c r="J44" s="25"/>
      <c r="K44" s="25"/>
      <c r="L44" s="25"/>
      <c r="M44" s="26"/>
    </row>
    <row r="45" hidden="1">
      <c r="A45" s="24"/>
      <c r="B45" s="56"/>
      <c r="C45" s="25"/>
      <c r="D45" s="27" t="s">
        <v>67</v>
      </c>
      <c r="E45" s="57">
        <f>Projections!C14</f>
        <v>116633.1705</v>
      </c>
      <c r="F45" s="25"/>
      <c r="G45" s="25" t="s">
        <v>68</v>
      </c>
      <c r="H45" s="25" t="s">
        <v>68</v>
      </c>
      <c r="I45" s="25" t="s">
        <v>68</v>
      </c>
      <c r="J45" s="25"/>
      <c r="K45" s="25"/>
      <c r="L45" s="25"/>
      <c r="M45" s="26"/>
    </row>
    <row r="46" hidden="1">
      <c r="A46" s="25" t="s">
        <v>69</v>
      </c>
      <c r="B46" s="25">
        <v>1000.0</v>
      </c>
      <c r="C46" s="24"/>
      <c r="D46" s="28"/>
      <c r="E46" s="25">
        <v>820.0</v>
      </c>
      <c r="F46" s="25" t="s">
        <v>70</v>
      </c>
      <c r="G46" s="29">
        <v>44936.0</v>
      </c>
      <c r="H46" s="29">
        <v>45015.0</v>
      </c>
      <c r="I46" s="25"/>
      <c r="J46" s="25"/>
      <c r="K46" s="25"/>
      <c r="L46" s="25"/>
      <c r="M46" s="58"/>
    </row>
    <row r="47" hidden="1">
      <c r="A47" s="28" t="str">
        <f>#REF!-sum(D47)-B47</f>
        <v>#REF!</v>
      </c>
      <c r="B47" s="54">
        <f>sum(B49:B57)</f>
        <v>24000</v>
      </c>
      <c r="C47" s="28"/>
      <c r="D47" s="54">
        <f>sum(D49:D57)</f>
        <v>0</v>
      </c>
      <c r="E47" s="59" t="str">
        <f>if(today()&gt;#REF!,0,E46*(#REF!-#REF!+1))</f>
        <v>#REF!</v>
      </c>
      <c r="F47" s="31">
        <f>sum(F49:F57)</f>
        <v>33134.91</v>
      </c>
      <c r="G47" s="25" t="s">
        <v>86</v>
      </c>
      <c r="H47" s="25" t="s">
        <v>87</v>
      </c>
      <c r="I47" s="25" t="s">
        <v>88</v>
      </c>
      <c r="J47" s="25"/>
      <c r="K47" s="25"/>
      <c r="L47" s="25"/>
      <c r="M47" s="58"/>
    </row>
    <row r="48" hidden="1">
      <c r="A48" s="32" t="s">
        <v>72</v>
      </c>
      <c r="B48" s="33" t="s">
        <v>84</v>
      </c>
      <c r="C48" s="33"/>
      <c r="D48" s="33" t="s">
        <v>73</v>
      </c>
      <c r="E48" s="34">
        <f>today()</f>
        <v>45969</v>
      </c>
      <c r="F48" s="60" t="s">
        <v>64</v>
      </c>
      <c r="G48" s="36" t="s">
        <v>75</v>
      </c>
      <c r="H48" s="36" t="s">
        <v>75</v>
      </c>
      <c r="I48" s="36" t="s">
        <v>89</v>
      </c>
      <c r="J48" s="36"/>
      <c r="K48" s="36"/>
      <c r="L48" s="36"/>
      <c r="M48" s="61"/>
    </row>
    <row r="49" hidden="1">
      <c r="A49" s="53" t="str">
        <f t="shared" ref="A49:A57" si="1">#REF!-sum(D49)-B49</f>
        <v>#REF!</v>
      </c>
      <c r="B49" s="62">
        <f>B34+B46</f>
        <v>4000</v>
      </c>
      <c r="C49" s="62"/>
      <c r="D49" s="62">
        <f t="shared" ref="D49:D57" si="2">sumifs($F49:$L49,$F$44:$L$44,D$19,$F$45:$L$45,"Pending")</f>
        <v>0</v>
      </c>
      <c r="E49" s="33" t="s">
        <v>76</v>
      </c>
      <c r="F49" s="27">
        <v>4100.15</v>
      </c>
      <c r="G49" s="25">
        <v>12637.63</v>
      </c>
      <c r="H49" s="25">
        <v>1494.51</v>
      </c>
      <c r="I49" s="24"/>
      <c r="J49" s="24"/>
      <c r="K49" s="24"/>
      <c r="L49" s="24"/>
      <c r="M49" s="39"/>
    </row>
    <row r="50" hidden="1">
      <c r="A50" s="53" t="str">
        <f t="shared" si="1"/>
        <v>#REF!</v>
      </c>
      <c r="B50" s="62">
        <f>B35+B46</f>
        <v>4000</v>
      </c>
      <c r="C50" s="62"/>
      <c r="D50" s="62">
        <f t="shared" si="2"/>
        <v>0</v>
      </c>
      <c r="E50" s="33" t="s">
        <v>77</v>
      </c>
      <c r="F50" s="27">
        <f>4100.48</f>
        <v>4100.48</v>
      </c>
      <c r="G50" s="24"/>
      <c r="H50" s="24"/>
      <c r="I50" s="24"/>
      <c r="J50" s="24"/>
      <c r="K50" s="24"/>
      <c r="L50" s="24"/>
      <c r="M50" s="39"/>
    </row>
    <row r="51" hidden="1">
      <c r="A51" s="53" t="str">
        <f t="shared" si="1"/>
        <v>#REF!</v>
      </c>
      <c r="B51" s="62">
        <f>B36+B46</f>
        <v>4000</v>
      </c>
      <c r="C51" s="62"/>
      <c r="D51" s="62">
        <f t="shared" si="2"/>
        <v>0</v>
      </c>
      <c r="E51" s="33" t="s">
        <v>78</v>
      </c>
      <c r="F51" s="27">
        <v>4096.48</v>
      </c>
      <c r="G51" s="24"/>
      <c r="H51" s="24"/>
      <c r="I51" s="24"/>
      <c r="J51" s="24"/>
      <c r="K51" s="24"/>
      <c r="L51" s="24"/>
      <c r="M51" s="39"/>
    </row>
    <row r="52" hidden="1">
      <c r="A52" s="53" t="str">
        <f t="shared" si="1"/>
        <v>#REF!</v>
      </c>
      <c r="B52" s="62">
        <f>B37+B46</f>
        <v>4000</v>
      </c>
      <c r="C52" s="62"/>
      <c r="D52" s="62">
        <f t="shared" si="2"/>
        <v>0</v>
      </c>
      <c r="E52" s="33" t="s">
        <v>79</v>
      </c>
      <c r="F52" s="27">
        <v>11366.57</v>
      </c>
      <c r="G52" s="24"/>
      <c r="H52" s="24"/>
      <c r="I52" s="24"/>
      <c r="J52" s="24"/>
      <c r="K52" s="24"/>
      <c r="L52" s="24"/>
      <c r="M52" s="39"/>
    </row>
    <row r="53" hidden="1">
      <c r="A53" s="53" t="str">
        <f t="shared" si="1"/>
        <v>#REF!</v>
      </c>
      <c r="B53" s="62">
        <f>B38+B46</f>
        <v>4000</v>
      </c>
      <c r="C53" s="62"/>
      <c r="D53" s="62">
        <f t="shared" si="2"/>
        <v>0</v>
      </c>
      <c r="E53" s="33" t="s">
        <v>80</v>
      </c>
      <c r="F53" s="27">
        <v>3965.15</v>
      </c>
      <c r="G53" s="24"/>
      <c r="H53" s="24"/>
      <c r="I53" s="25">
        <v>800.0</v>
      </c>
      <c r="J53" s="25"/>
      <c r="K53" s="25"/>
      <c r="L53" s="25"/>
      <c r="M53" s="26"/>
    </row>
    <row r="54" hidden="1">
      <c r="A54" s="53" t="str">
        <f t="shared" si="1"/>
        <v>#REF!</v>
      </c>
      <c r="B54" s="62">
        <f>B39+B46</f>
        <v>4000</v>
      </c>
      <c r="C54" s="62"/>
      <c r="D54" s="62">
        <f t="shared" si="2"/>
        <v>0</v>
      </c>
      <c r="E54" s="33" t="s">
        <v>81</v>
      </c>
      <c r="F54" s="27">
        <v>4100.28</v>
      </c>
      <c r="G54" s="24"/>
      <c r="H54" s="24"/>
      <c r="I54" s="24"/>
      <c r="J54" s="24"/>
      <c r="K54" s="24"/>
      <c r="L54" s="24"/>
      <c r="M54" s="39"/>
    </row>
    <row r="55" hidden="1">
      <c r="A55" s="53" t="str">
        <f t="shared" si="1"/>
        <v>#REF!</v>
      </c>
      <c r="B55" s="62">
        <v>0.0</v>
      </c>
      <c r="C55" s="62"/>
      <c r="D55" s="62">
        <f t="shared" si="2"/>
        <v>0</v>
      </c>
      <c r="E55" s="33" t="s">
        <v>82</v>
      </c>
      <c r="F55" s="27">
        <v>21.8</v>
      </c>
      <c r="G55" s="24"/>
      <c r="H55" s="24"/>
      <c r="I55" s="24"/>
      <c r="J55" s="24"/>
      <c r="K55" s="24"/>
      <c r="L55" s="24"/>
      <c r="M55" s="39"/>
    </row>
    <row r="56" hidden="1">
      <c r="A56" s="53" t="str">
        <f t="shared" si="1"/>
        <v>#REF!</v>
      </c>
      <c r="B56" s="62">
        <v>0.0</v>
      </c>
      <c r="C56" s="62"/>
      <c r="D56" s="62">
        <f t="shared" si="2"/>
        <v>0</v>
      </c>
      <c r="E56" s="33" t="s">
        <v>83</v>
      </c>
      <c r="F56" s="27">
        <v>1384.0</v>
      </c>
      <c r="G56" s="24"/>
      <c r="H56" s="24"/>
      <c r="I56" s="24"/>
      <c r="J56" s="24"/>
      <c r="K56" s="24"/>
      <c r="L56" s="24"/>
      <c r="M56" s="39"/>
    </row>
    <row r="57" hidden="1">
      <c r="A57" s="53" t="str">
        <f t="shared" si="1"/>
        <v>#REF!</v>
      </c>
      <c r="B57" s="62">
        <v>0.0</v>
      </c>
      <c r="C57" s="62"/>
      <c r="D57" s="62">
        <f t="shared" si="2"/>
        <v>0</v>
      </c>
      <c r="E57" s="33" t="s">
        <v>85</v>
      </c>
      <c r="F57" s="27">
        <v>0.0</v>
      </c>
      <c r="G57" s="24"/>
      <c r="H57" s="24"/>
      <c r="I57" s="24"/>
      <c r="J57" s="24"/>
      <c r="K57" s="24"/>
      <c r="L57" s="24"/>
      <c r="M57" s="39"/>
    </row>
    <row r="58" hidden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39"/>
    </row>
    <row r="59" hidden="1">
      <c r="A59" s="23">
        <v>45047.0</v>
      </c>
      <c r="B59" s="24"/>
      <c r="C59" s="24"/>
      <c r="D59" s="24"/>
      <c r="E59" s="24"/>
      <c r="F59" s="25" t="s">
        <v>64</v>
      </c>
      <c r="G59" s="25" t="s">
        <v>66</v>
      </c>
      <c r="H59" s="25" t="s">
        <v>66</v>
      </c>
      <c r="I59" s="25" t="s">
        <v>66</v>
      </c>
      <c r="J59" s="25"/>
      <c r="K59" s="25"/>
      <c r="L59" s="25"/>
      <c r="M59" s="26"/>
    </row>
    <row r="60" hidden="1">
      <c r="A60" s="24"/>
      <c r="B60" s="56"/>
      <c r="C60" s="25"/>
      <c r="D60" s="27" t="s">
        <v>67</v>
      </c>
      <c r="E60" s="57">
        <f>Projections!D14</f>
        <v>154155.8922</v>
      </c>
      <c r="F60" s="25"/>
      <c r="G60" s="25" t="s">
        <v>68</v>
      </c>
      <c r="H60" s="25" t="s">
        <v>68</v>
      </c>
      <c r="I60" s="25" t="s">
        <v>68</v>
      </c>
      <c r="J60" s="25"/>
      <c r="K60" s="25"/>
      <c r="L60" s="25"/>
      <c r="M60" s="26"/>
    </row>
    <row r="61" hidden="1">
      <c r="A61" s="25" t="s">
        <v>69</v>
      </c>
      <c r="B61" s="25">
        <v>1000.0</v>
      </c>
      <c r="C61" s="24"/>
      <c r="D61" s="28"/>
      <c r="E61" s="25">
        <v>820.0</v>
      </c>
      <c r="F61" s="25" t="s">
        <v>70</v>
      </c>
      <c r="G61" s="29">
        <v>44936.0</v>
      </c>
      <c r="H61" s="29">
        <v>44925.0</v>
      </c>
      <c r="I61" s="25"/>
      <c r="J61" s="25"/>
      <c r="K61" s="25"/>
      <c r="L61" s="25"/>
      <c r="M61" s="58"/>
    </row>
    <row r="62" hidden="1">
      <c r="A62" s="28" t="str">
        <f>#REF!-sum(D62)-B62</f>
        <v>#REF!</v>
      </c>
      <c r="B62" s="54">
        <f>sum(B64:B73)</f>
        <v>30000</v>
      </c>
      <c r="C62" s="28"/>
      <c r="D62" s="54">
        <f>sum(D64:D73)</f>
        <v>0</v>
      </c>
      <c r="E62" s="59" t="str">
        <f>if(today()&gt;#REF!,0,E61*(#REF!-#REF!+1))</f>
        <v>#REF!</v>
      </c>
      <c r="F62" s="63">
        <f>sum(F64:F73)</f>
        <v>27146.53</v>
      </c>
      <c r="G62" s="25" t="s">
        <v>86</v>
      </c>
      <c r="H62" s="25" t="s">
        <v>87</v>
      </c>
      <c r="I62" s="25" t="s">
        <v>88</v>
      </c>
      <c r="J62" s="25"/>
      <c r="K62" s="25"/>
      <c r="L62" s="25"/>
      <c r="M62" s="58"/>
    </row>
    <row r="63" hidden="1">
      <c r="A63" s="32" t="s">
        <v>72</v>
      </c>
      <c r="B63" s="33" t="s">
        <v>84</v>
      </c>
      <c r="C63" s="33"/>
      <c r="D63" s="33" t="s">
        <v>73</v>
      </c>
      <c r="E63" s="34">
        <f>today()</f>
        <v>45969</v>
      </c>
      <c r="F63" s="35" t="s">
        <v>64</v>
      </c>
      <c r="G63" s="36" t="s">
        <v>75</v>
      </c>
      <c r="H63" s="36" t="s">
        <v>75</v>
      </c>
      <c r="I63" s="36" t="s">
        <v>89</v>
      </c>
      <c r="J63" s="36"/>
      <c r="K63" s="36"/>
      <c r="L63" s="36"/>
      <c r="M63" s="61"/>
    </row>
    <row r="64" hidden="1">
      <c r="A64" s="64" t="str">
        <f t="shared" ref="A64:A73" si="3">#REF!-sum(D64)-B64</f>
        <v>#REF!</v>
      </c>
      <c r="B64" s="62">
        <f>B49+B61</f>
        <v>5000</v>
      </c>
      <c r="C64" s="65"/>
      <c r="D64" s="65">
        <f>sumifs($F64:$M64,$F59:$M59,D63,$F60:$M60,"Pending")</f>
        <v>0</v>
      </c>
      <c r="E64" s="33" t="s">
        <v>76</v>
      </c>
      <c r="F64" s="66">
        <v>995.77</v>
      </c>
      <c r="G64" s="25">
        <v>818.0</v>
      </c>
      <c r="H64" s="25">
        <v>8900.76</v>
      </c>
      <c r="I64" s="24"/>
      <c r="J64" s="24"/>
      <c r="K64" s="24"/>
      <c r="L64" s="24"/>
      <c r="M64" s="39"/>
    </row>
    <row r="65" hidden="1">
      <c r="A65" s="67" t="str">
        <f t="shared" si="3"/>
        <v>#REF!</v>
      </c>
      <c r="B65" s="62">
        <f>B50+B61</f>
        <v>5000</v>
      </c>
      <c r="C65" s="68"/>
      <c r="D65" s="68">
        <f>sumifs($F65:$M65,$F59:$M59,D63,$F60:$M60,"Pending")</f>
        <v>0</v>
      </c>
      <c r="E65" s="33" t="s">
        <v>77</v>
      </c>
      <c r="F65" s="69">
        <f>6545.48-173-500-272</f>
        <v>5600.48</v>
      </c>
      <c r="G65" s="25" t="s">
        <v>90</v>
      </c>
      <c r="H65" s="24"/>
      <c r="I65" s="24"/>
      <c r="J65" s="24"/>
      <c r="K65" s="24"/>
      <c r="L65" s="24"/>
      <c r="M65" s="39"/>
    </row>
    <row r="66" hidden="1">
      <c r="A66" s="67" t="str">
        <f t="shared" si="3"/>
        <v>#REF!</v>
      </c>
      <c r="B66" s="62">
        <f>B51+B61</f>
        <v>5000</v>
      </c>
      <c r="C66" s="68"/>
      <c r="D66" s="68">
        <f>sumifs($F66:$M66,$F59:$M59,D63,$F60:$M60,"Pending")</f>
        <v>0</v>
      </c>
      <c r="E66" s="33" t="s">
        <v>78</v>
      </c>
      <c r="F66" s="69">
        <v>5470.48</v>
      </c>
      <c r="G66" s="24"/>
      <c r="H66" s="24"/>
      <c r="I66" s="24"/>
      <c r="J66" s="24"/>
      <c r="K66" s="24"/>
      <c r="L66" s="24"/>
      <c r="M66" s="39"/>
    </row>
    <row r="67" hidden="1">
      <c r="A67" s="67" t="str">
        <f t="shared" si="3"/>
        <v>#REF!</v>
      </c>
      <c r="B67" s="62">
        <f>B52+B61</f>
        <v>5000</v>
      </c>
      <c r="C67" s="68"/>
      <c r="D67" s="68">
        <f>sumifs($F67:$M67,$F59:$M59,D63,$F60:$M60,"Pending")</f>
        <v>0</v>
      </c>
      <c r="E67" s="33" t="s">
        <v>79</v>
      </c>
      <c r="F67" s="69">
        <v>3387.5</v>
      </c>
      <c r="G67" s="24"/>
      <c r="H67" s="24"/>
      <c r="I67" s="24"/>
      <c r="J67" s="24"/>
      <c r="K67" s="24"/>
      <c r="L67" s="24"/>
      <c r="M67" s="39"/>
    </row>
    <row r="68" hidden="1">
      <c r="A68" s="67" t="str">
        <f t="shared" si="3"/>
        <v>#REF!</v>
      </c>
      <c r="B68" s="62">
        <f>B53+B61</f>
        <v>5000</v>
      </c>
      <c r="C68" s="68"/>
      <c r="D68" s="68">
        <f>sumifs($F68:$M68,$F59:$M59,D63,$F60:$M60,"Pending")</f>
        <v>0</v>
      </c>
      <c r="E68" s="33" t="s">
        <v>80</v>
      </c>
      <c r="F68" s="69">
        <v>3641.15</v>
      </c>
      <c r="G68" s="24"/>
      <c r="H68" s="24"/>
      <c r="I68" s="25">
        <v>800.0</v>
      </c>
      <c r="J68" s="25"/>
      <c r="K68" s="25"/>
      <c r="L68" s="25"/>
      <c r="M68" s="26"/>
    </row>
    <row r="69" hidden="1">
      <c r="A69" s="67" t="str">
        <f t="shared" si="3"/>
        <v>#REF!</v>
      </c>
      <c r="B69" s="62">
        <f>B54+B61</f>
        <v>5000</v>
      </c>
      <c r="C69" s="68"/>
      <c r="D69" s="68">
        <f>sumifs($F69:$M69,$F59:$M59,D63,$F60:$M60,"Pending")</f>
        <v>0</v>
      </c>
      <c r="E69" s="33" t="s">
        <v>81</v>
      </c>
      <c r="F69" s="69">
        <v>5600.28</v>
      </c>
      <c r="G69" s="24"/>
      <c r="H69" s="24"/>
      <c r="I69" s="24"/>
      <c r="J69" s="24"/>
      <c r="K69" s="24"/>
      <c r="L69" s="24"/>
      <c r="M69" s="39"/>
    </row>
    <row r="70" hidden="1">
      <c r="A70" s="67" t="str">
        <f t="shared" si="3"/>
        <v>#REF!</v>
      </c>
      <c r="B70" s="62">
        <v>0.0</v>
      </c>
      <c r="C70" s="68"/>
      <c r="D70" s="68">
        <f>sumifs($F70:$M70,$F59:$M59,D63,$F60:$M60,"Pending")</f>
        <v>0</v>
      </c>
      <c r="E70" s="33" t="s">
        <v>82</v>
      </c>
      <c r="F70" s="70">
        <v>1064.47</v>
      </c>
      <c r="G70" s="24"/>
      <c r="H70" s="24"/>
      <c r="I70" s="24"/>
      <c r="J70" s="24"/>
      <c r="K70" s="24"/>
      <c r="L70" s="24"/>
      <c r="M70" s="39"/>
    </row>
    <row r="71" hidden="1">
      <c r="A71" s="67" t="str">
        <f t="shared" si="3"/>
        <v>#REF!</v>
      </c>
      <c r="B71" s="62">
        <v>0.0</v>
      </c>
      <c r="C71" s="68"/>
      <c r="D71" s="68">
        <f>sumifs($F71:$M71,$F59:$M59,D63,$F60:$M60,"Pending")</f>
        <v>0</v>
      </c>
      <c r="E71" s="33" t="s">
        <v>83</v>
      </c>
      <c r="F71" s="70">
        <v>618.0</v>
      </c>
      <c r="G71" s="24"/>
      <c r="H71" s="24"/>
      <c r="I71" s="24"/>
      <c r="J71" s="24"/>
      <c r="K71" s="24"/>
      <c r="L71" s="24"/>
      <c r="M71" s="39"/>
    </row>
    <row r="72" hidden="1">
      <c r="A72" s="67" t="str">
        <f t="shared" si="3"/>
        <v>#REF!</v>
      </c>
      <c r="B72" s="62">
        <v>0.0</v>
      </c>
      <c r="C72" s="62"/>
      <c r="D72" s="62">
        <f>sumifs($F72:$M72,$F59:$M59,D63,$F60:$M60,"Pending")</f>
        <v>0</v>
      </c>
      <c r="E72" s="33" t="s">
        <v>85</v>
      </c>
      <c r="F72" s="69">
        <v>208.4</v>
      </c>
      <c r="G72" s="24"/>
      <c r="H72" s="24"/>
      <c r="I72" s="24"/>
      <c r="J72" s="24"/>
      <c r="K72" s="24"/>
      <c r="L72" s="24"/>
      <c r="M72" s="39"/>
    </row>
    <row r="73" hidden="1">
      <c r="A73" s="67" t="str">
        <f t="shared" si="3"/>
        <v>#REF!</v>
      </c>
      <c r="B73" s="62">
        <v>0.0</v>
      </c>
      <c r="C73" s="62"/>
      <c r="D73" s="62">
        <f>sumifs($F73:$M73,$F59:$M59,D63,$F60:$M60,"Pending")</f>
        <v>0</v>
      </c>
      <c r="E73" s="33" t="s">
        <v>91</v>
      </c>
      <c r="F73" s="69">
        <v>560.0</v>
      </c>
      <c r="G73" s="24"/>
      <c r="H73" s="24"/>
      <c r="I73" s="24"/>
      <c r="J73" s="24"/>
      <c r="K73" s="24"/>
      <c r="L73" s="24"/>
      <c r="M73" s="39"/>
    </row>
    <row r="74" hidden="1">
      <c r="A74" s="24"/>
      <c r="B74" s="24"/>
      <c r="C74" s="24"/>
      <c r="D74" s="24"/>
      <c r="E74" s="24"/>
      <c r="F74" s="25"/>
      <c r="G74" s="25"/>
      <c r="H74" s="25"/>
      <c r="I74" s="25"/>
      <c r="J74" s="25"/>
      <c r="K74" s="25"/>
      <c r="L74" s="25"/>
      <c r="M74" s="26"/>
    </row>
    <row r="75" hidden="1">
      <c r="A75" s="71">
        <v>45078.0</v>
      </c>
      <c r="B75" s="24"/>
      <c r="C75" s="24"/>
      <c r="D75" s="24"/>
      <c r="E75" s="57">
        <f>Projections!E14</f>
        <v>160132</v>
      </c>
      <c r="F75" s="25" t="s">
        <v>64</v>
      </c>
      <c r="G75" s="25" t="s">
        <v>66</v>
      </c>
      <c r="H75" s="25" t="s">
        <v>66</v>
      </c>
      <c r="I75" s="25" t="s">
        <v>66</v>
      </c>
      <c r="J75" s="25"/>
      <c r="K75" s="25"/>
      <c r="L75" s="25"/>
      <c r="M75" s="26"/>
    </row>
    <row r="76" hidden="1">
      <c r="A76" s="24"/>
      <c r="B76" s="56"/>
      <c r="C76" s="25"/>
      <c r="D76" s="27" t="s">
        <v>67</v>
      </c>
      <c r="E76" s="25">
        <v>1000.0</v>
      </c>
      <c r="F76" s="25"/>
      <c r="G76" s="25" t="s">
        <v>68</v>
      </c>
      <c r="H76" s="25" t="s">
        <v>68</v>
      </c>
      <c r="I76" s="25" t="s">
        <v>68</v>
      </c>
      <c r="J76" s="25"/>
      <c r="K76" s="25"/>
      <c r="L76" s="25"/>
      <c r="M76" s="26"/>
    </row>
    <row r="77" hidden="1">
      <c r="A77" s="25" t="s">
        <v>69</v>
      </c>
      <c r="B77" s="25">
        <v>0.0</v>
      </c>
      <c r="C77" s="24"/>
      <c r="D77" s="28"/>
      <c r="E77" s="59" t="str">
        <f>if(today()&gt;#REF!,0,E76*(#REF!-#REF!+1))</f>
        <v>#REF!</v>
      </c>
      <c r="F77" s="25" t="s">
        <v>70</v>
      </c>
      <c r="G77" s="25" t="s">
        <v>92</v>
      </c>
      <c r="H77" s="25" t="s">
        <v>93</v>
      </c>
      <c r="I77" s="25"/>
      <c r="J77" s="25"/>
      <c r="K77" s="25"/>
      <c r="L77" s="25"/>
      <c r="M77" s="58"/>
    </row>
    <row r="78" hidden="1">
      <c r="A78" s="28" t="str">
        <f>#REF!-sum(D78)-B78</f>
        <v>#REF!</v>
      </c>
      <c r="B78" s="54">
        <f>sum(B80:B88)</f>
        <v>0</v>
      </c>
      <c r="C78" s="28"/>
      <c r="D78" s="28">
        <f>sum(D80:D88)</f>
        <v>0</v>
      </c>
      <c r="E78" s="24"/>
      <c r="F78" s="63">
        <f>sum(F80:F88)</f>
        <v>2509.93</v>
      </c>
      <c r="G78" s="25" t="s">
        <v>86</v>
      </c>
      <c r="H78" s="25" t="s">
        <v>87</v>
      </c>
      <c r="I78" s="25" t="s">
        <v>88</v>
      </c>
      <c r="J78" s="25"/>
      <c r="K78" s="25"/>
      <c r="L78" s="25"/>
      <c r="M78" s="58"/>
    </row>
    <row r="79" hidden="1">
      <c r="A79" s="32" t="s">
        <v>72</v>
      </c>
      <c r="B79" s="33" t="s">
        <v>84</v>
      </c>
      <c r="C79" s="33"/>
      <c r="D79" s="33" t="s">
        <v>73</v>
      </c>
      <c r="E79" s="34">
        <f>today()</f>
        <v>45969</v>
      </c>
      <c r="F79" s="35" t="s">
        <v>64</v>
      </c>
      <c r="G79" s="36" t="s">
        <v>75</v>
      </c>
      <c r="H79" s="36" t="s">
        <v>75</v>
      </c>
      <c r="I79" s="36" t="s">
        <v>89</v>
      </c>
      <c r="J79" s="36"/>
      <c r="K79" s="36"/>
      <c r="L79" s="36"/>
      <c r="M79" s="61"/>
    </row>
    <row r="80" hidden="1">
      <c r="A80" s="38" t="str">
        <f t="shared" ref="A80:A88" si="4">#REF!-sum(D80)-B80</f>
        <v>#REF!</v>
      </c>
      <c r="B80" s="62">
        <f>B77</f>
        <v>0</v>
      </c>
      <c r="C80" s="27"/>
      <c r="D80" s="27">
        <f>sumifs($F80:$M80,$F75:$M75,D79,$F76:$M76,"Pending")</f>
        <v>0</v>
      </c>
      <c r="E80" s="33" t="s">
        <v>76</v>
      </c>
      <c r="F80" s="66">
        <v>16.18</v>
      </c>
      <c r="G80" s="25">
        <v>11028.49</v>
      </c>
      <c r="H80" s="25">
        <v>7820.98</v>
      </c>
      <c r="I80" s="24"/>
      <c r="J80" s="24"/>
      <c r="K80" s="24"/>
      <c r="L80" s="24"/>
      <c r="M80" s="39"/>
    </row>
    <row r="81" hidden="1">
      <c r="A81" s="38" t="str">
        <f t="shared" si="4"/>
        <v>#REF!</v>
      </c>
      <c r="B81" s="62">
        <f>B77</f>
        <v>0</v>
      </c>
      <c r="C81" s="27"/>
      <c r="D81" s="27">
        <f>sumifs($F81:$M81,$F75:$M75,D79,$F76:$M76,"Pending")</f>
        <v>0</v>
      </c>
      <c r="E81" s="33" t="s">
        <v>77</v>
      </c>
      <c r="F81" s="69">
        <v>100.91</v>
      </c>
      <c r="G81" s="24"/>
      <c r="H81" s="24"/>
      <c r="I81" s="24"/>
      <c r="J81" s="24"/>
      <c r="K81" s="24"/>
      <c r="L81" s="24"/>
      <c r="M81" s="39"/>
    </row>
    <row r="82" hidden="1">
      <c r="A82" s="38" t="str">
        <f t="shared" si="4"/>
        <v>#REF!</v>
      </c>
      <c r="B82" s="62">
        <f>B77</f>
        <v>0</v>
      </c>
      <c r="C82" s="27"/>
      <c r="D82" s="27">
        <f>sumifs($F82:$M82,$F75:$M75,D79,$F76:$M76,"Pending")</f>
        <v>0</v>
      </c>
      <c r="E82" s="33" t="s">
        <v>78</v>
      </c>
      <c r="F82" s="69">
        <v>98.48</v>
      </c>
      <c r="G82" s="24"/>
      <c r="H82" s="24"/>
      <c r="I82" s="24"/>
      <c r="J82" s="24"/>
      <c r="K82" s="24"/>
      <c r="L82" s="24"/>
      <c r="M82" s="39"/>
    </row>
    <row r="83" hidden="1">
      <c r="A83" s="38" t="str">
        <f t="shared" si="4"/>
        <v>#REF!</v>
      </c>
      <c r="B83" s="62">
        <f>B77</f>
        <v>0</v>
      </c>
      <c r="C83" s="27"/>
      <c r="D83" s="27">
        <f>sumifs($F83:$M83,$F75:$M75,D79,$F76:$M76,"Pending")</f>
        <v>0</v>
      </c>
      <c r="E83" s="33" t="s">
        <v>79</v>
      </c>
      <c r="F83" s="69">
        <v>593.92</v>
      </c>
      <c r="G83" s="24"/>
      <c r="H83" s="24"/>
      <c r="I83" s="24"/>
      <c r="J83" s="24"/>
      <c r="K83" s="24"/>
      <c r="L83" s="24"/>
      <c r="M83" s="39"/>
    </row>
    <row r="84" hidden="1">
      <c r="A84" s="38" t="str">
        <f t="shared" si="4"/>
        <v>#REF!</v>
      </c>
      <c r="B84" s="62">
        <f>B77</f>
        <v>0</v>
      </c>
      <c r="C84" s="27"/>
      <c r="D84" s="27">
        <f>sumifs($F84:$M84,$F75:$M75,D79,$F76:$M76,"Pending")</f>
        <v>0</v>
      </c>
      <c r="E84" s="33" t="s">
        <v>80</v>
      </c>
      <c r="F84" s="69">
        <v>627.54</v>
      </c>
      <c r="G84" s="24"/>
      <c r="H84" s="24"/>
      <c r="I84" s="25">
        <v>800.0</v>
      </c>
      <c r="J84" s="25"/>
      <c r="K84" s="25"/>
      <c r="L84" s="25"/>
      <c r="M84" s="26"/>
    </row>
    <row r="85" hidden="1">
      <c r="A85" s="38" t="str">
        <f t="shared" si="4"/>
        <v>#REF!</v>
      </c>
      <c r="B85" s="62">
        <f>B77</f>
        <v>0</v>
      </c>
      <c r="C85" s="27"/>
      <c r="D85" s="27">
        <f>sumifs($F85:$M85,$F75:$M75,D79,$F76:$M76,"Pending")</f>
        <v>0</v>
      </c>
      <c r="E85" s="33" t="s">
        <v>81</v>
      </c>
      <c r="F85" s="69">
        <v>126.28</v>
      </c>
      <c r="G85" s="24"/>
      <c r="H85" s="24"/>
      <c r="I85" s="24"/>
      <c r="J85" s="24"/>
      <c r="K85" s="24"/>
      <c r="L85" s="24"/>
      <c r="M85" s="39"/>
    </row>
    <row r="86" hidden="1">
      <c r="A86" s="38" t="str">
        <f t="shared" si="4"/>
        <v>#REF!</v>
      </c>
      <c r="B86" s="62">
        <v>0.0</v>
      </c>
      <c r="C86" s="27"/>
      <c r="D86" s="27">
        <f>sumifs($F86:$M86,$F75:$M75,D79,$F76:$M76,"Pending")</f>
        <v>0</v>
      </c>
      <c r="E86" s="33" t="s">
        <v>82</v>
      </c>
      <c r="F86" s="70">
        <v>12.0</v>
      </c>
      <c r="G86" s="24"/>
      <c r="H86" s="24"/>
      <c r="I86" s="24"/>
      <c r="J86" s="24"/>
      <c r="K86" s="24"/>
      <c r="L86" s="24"/>
      <c r="M86" s="39"/>
    </row>
    <row r="87" hidden="1">
      <c r="A87" s="38" t="str">
        <f t="shared" si="4"/>
        <v>#REF!</v>
      </c>
      <c r="B87" s="62">
        <v>0.0</v>
      </c>
      <c r="C87" s="27"/>
      <c r="D87" s="27">
        <f>sumifs($F87:$M87,$F75:$M75,D79,$F76:$M76,"Pending")</f>
        <v>0</v>
      </c>
      <c r="E87" s="33" t="s">
        <v>83</v>
      </c>
      <c r="F87" s="70">
        <v>232.0</v>
      </c>
      <c r="G87" s="24"/>
      <c r="H87" s="24"/>
      <c r="I87" s="24"/>
      <c r="J87" s="24"/>
      <c r="K87" s="24"/>
      <c r="L87" s="24"/>
      <c r="M87" s="39"/>
    </row>
    <row r="88" hidden="1">
      <c r="A88" s="53" t="str">
        <f t="shared" si="4"/>
        <v>#REF!</v>
      </c>
      <c r="B88" s="62">
        <v>0.0</v>
      </c>
      <c r="C88" s="62"/>
      <c r="D88" s="62">
        <f>sumifs($F88:$M88,$F75:$M75,D79,$F76:$M76,"Pending")</f>
        <v>0</v>
      </c>
      <c r="E88" s="33" t="s">
        <v>85</v>
      </c>
      <c r="F88" s="69">
        <v>702.62</v>
      </c>
      <c r="G88" s="24"/>
      <c r="H88" s="24"/>
      <c r="I88" s="24"/>
      <c r="J88" s="24"/>
      <c r="K88" s="24"/>
      <c r="L88" s="24"/>
      <c r="M88" s="39"/>
    </row>
    <row r="89" hidden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39"/>
    </row>
    <row r="90" hidden="1">
      <c r="A90" s="71">
        <v>45108.0</v>
      </c>
      <c r="B90" s="24"/>
      <c r="C90" s="24"/>
      <c r="D90" s="24"/>
      <c r="E90" s="24"/>
      <c r="F90" s="25" t="s">
        <v>64</v>
      </c>
      <c r="G90" s="25" t="s">
        <v>66</v>
      </c>
      <c r="H90" s="25" t="s">
        <v>66</v>
      </c>
      <c r="I90" s="25" t="s">
        <v>66</v>
      </c>
      <c r="J90" s="25"/>
      <c r="K90" s="25"/>
      <c r="L90" s="25"/>
      <c r="M90" s="26"/>
    </row>
    <row r="91" hidden="1">
      <c r="A91" s="24"/>
      <c r="B91" s="72">
        <f>Projections!F8</f>
        <v>129632</v>
      </c>
      <c r="C91" s="25"/>
      <c r="D91" s="27" t="s">
        <v>67</v>
      </c>
      <c r="E91" s="57">
        <f>Projections!F14</f>
        <v>130132</v>
      </c>
      <c r="F91" s="25"/>
      <c r="G91" s="25" t="s">
        <v>68</v>
      </c>
      <c r="H91" s="25" t="s">
        <v>68</v>
      </c>
      <c r="I91" s="25" t="s">
        <v>68</v>
      </c>
      <c r="J91" s="25"/>
      <c r="K91" s="25"/>
      <c r="L91" s="25"/>
      <c r="M91" s="26"/>
    </row>
    <row r="92" hidden="1">
      <c r="A92" s="25" t="s">
        <v>69</v>
      </c>
      <c r="B92" s="25">
        <f>round(B91/12/6,0)</f>
        <v>1800</v>
      </c>
      <c r="C92" s="24"/>
      <c r="D92" s="28"/>
      <c r="E92" s="25">
        <v>1000.0</v>
      </c>
      <c r="F92" s="25" t="s">
        <v>70</v>
      </c>
      <c r="G92" s="29">
        <v>45108.0</v>
      </c>
      <c r="H92" s="29">
        <v>44925.0</v>
      </c>
      <c r="I92" s="25"/>
      <c r="J92" s="25"/>
      <c r="K92" s="25"/>
      <c r="L92" s="25"/>
      <c r="M92" s="58"/>
    </row>
    <row r="93" hidden="1">
      <c r="A93" s="28" t="str">
        <f>#REF!-sum(D93)-B93</f>
        <v>#REF!</v>
      </c>
      <c r="B93" s="54">
        <f>sum(B95:B103)</f>
        <v>10800</v>
      </c>
      <c r="C93" s="28"/>
      <c r="D93" s="54">
        <f>sum(D95:D103)</f>
        <v>0</v>
      </c>
      <c r="E93" s="59" t="str">
        <f>if(today()&gt;#REF!,0,E92*(#REF!-#REF!+1))</f>
        <v>#REF!</v>
      </c>
      <c r="F93" s="63">
        <f>sum(F95:F103)</f>
        <v>25729.8</v>
      </c>
      <c r="G93" s="25" t="s">
        <v>86</v>
      </c>
      <c r="H93" s="25" t="s">
        <v>87</v>
      </c>
      <c r="I93" s="25" t="s">
        <v>88</v>
      </c>
      <c r="J93" s="25"/>
      <c r="K93" s="25"/>
      <c r="L93" s="25"/>
      <c r="M93" s="58"/>
    </row>
    <row r="94" hidden="1">
      <c r="A94" s="32" t="s">
        <v>72</v>
      </c>
      <c r="B94" s="33" t="s">
        <v>84</v>
      </c>
      <c r="C94" s="33"/>
      <c r="D94" s="33" t="s">
        <v>73</v>
      </c>
      <c r="E94" s="34">
        <f>today()</f>
        <v>45969</v>
      </c>
      <c r="F94" s="35" t="s">
        <v>64</v>
      </c>
      <c r="G94" s="36" t="s">
        <v>75</v>
      </c>
      <c r="H94" s="36" t="s">
        <v>75</v>
      </c>
      <c r="I94" s="36" t="s">
        <v>89</v>
      </c>
      <c r="J94" s="36"/>
      <c r="K94" s="36"/>
      <c r="L94" s="36"/>
      <c r="M94" s="61"/>
    </row>
    <row r="95" hidden="1">
      <c r="A95" s="53" t="str">
        <f t="shared" ref="A95:A103" si="5">#REF!-sum(D95)-B95</f>
        <v>#REF!</v>
      </c>
      <c r="B95" s="62">
        <f>B80+B92</f>
        <v>1800</v>
      </c>
      <c r="C95" s="62"/>
      <c r="D95" s="62">
        <f>sumifs($F95:$M95,$F90:$M90,D94,$F91:$M91,"Pending")</f>
        <v>0</v>
      </c>
      <c r="E95" s="33" t="s">
        <v>76</v>
      </c>
      <c r="F95" s="66">
        <v>5209.05</v>
      </c>
      <c r="G95" s="73">
        <f>19994.1</f>
        <v>19994.1</v>
      </c>
      <c r="H95" s="73">
        <v>8520.0</v>
      </c>
      <c r="I95" s="74"/>
      <c r="J95" s="74"/>
      <c r="K95" s="74"/>
      <c r="L95" s="74"/>
      <c r="M95" s="75"/>
    </row>
    <row r="96" hidden="1">
      <c r="A96" s="53" t="str">
        <f t="shared" si="5"/>
        <v>#REF!</v>
      </c>
      <c r="B96" s="62">
        <f>B81+B92</f>
        <v>1800</v>
      </c>
      <c r="C96" s="62"/>
      <c r="D96" s="62">
        <f>sumifs($F96:$M96,$F90:$M90,D94,$F91:$M91,"Pending")</f>
        <v>0</v>
      </c>
      <c r="E96" s="33" t="s">
        <v>77</v>
      </c>
      <c r="F96" s="69">
        <f>3500.24-126</f>
        <v>3374.24</v>
      </c>
      <c r="G96" s="74"/>
      <c r="H96" s="74"/>
      <c r="I96" s="74"/>
      <c r="J96" s="74"/>
      <c r="K96" s="74"/>
      <c r="L96" s="74"/>
      <c r="M96" s="75"/>
    </row>
    <row r="97" hidden="1">
      <c r="A97" s="53" t="str">
        <f t="shared" si="5"/>
        <v>#REF!</v>
      </c>
      <c r="B97" s="62">
        <f>B82+B92</f>
        <v>1800</v>
      </c>
      <c r="C97" s="62"/>
      <c r="D97" s="62">
        <f>sumifs($F97:$M97,$F90:$M90,D94,$F91:$M91,"Pending")</f>
        <v>0</v>
      </c>
      <c r="E97" s="33" t="s">
        <v>78</v>
      </c>
      <c r="F97" s="69">
        <f>3000.54+249+251</f>
        <v>3500.54</v>
      </c>
      <c r="G97" s="74"/>
      <c r="H97" s="74"/>
      <c r="I97" s="74"/>
      <c r="J97" s="74"/>
      <c r="K97" s="74"/>
      <c r="L97" s="74"/>
      <c r="M97" s="75"/>
    </row>
    <row r="98" hidden="1">
      <c r="A98" s="53" t="str">
        <f t="shared" si="5"/>
        <v>#REF!</v>
      </c>
      <c r="B98" s="62">
        <f>B83+B92</f>
        <v>1800</v>
      </c>
      <c r="C98" s="62"/>
      <c r="D98" s="62">
        <f>sumifs($F98:$M98,$F90:$M90,D94,$F91:$M91,"Pending")</f>
        <v>0</v>
      </c>
      <c r="E98" s="33" t="s">
        <v>79</v>
      </c>
      <c r="F98" s="69">
        <v>2356.47</v>
      </c>
      <c r="G98" s="74"/>
      <c r="H98" s="74"/>
      <c r="I98" s="74"/>
      <c r="J98" s="74"/>
      <c r="K98" s="74"/>
      <c r="L98" s="74"/>
      <c r="M98" s="75"/>
    </row>
    <row r="99" hidden="1">
      <c r="A99" s="53" t="str">
        <f t="shared" si="5"/>
        <v>#REF!</v>
      </c>
      <c r="B99" s="62">
        <f>B84+B92</f>
        <v>1800</v>
      </c>
      <c r="C99" s="62"/>
      <c r="D99" s="62">
        <f>sumifs($F99:$M99,$F90:$M90,D94,$F91:$M91,"Pending")</f>
        <v>0</v>
      </c>
      <c r="E99" s="33" t="s">
        <v>80</v>
      </c>
      <c r="F99" s="69">
        <v>4194.5</v>
      </c>
      <c r="G99" s="74"/>
      <c r="H99" s="74"/>
      <c r="I99" s="73">
        <v>800.0</v>
      </c>
      <c r="J99" s="73"/>
      <c r="K99" s="73"/>
      <c r="L99" s="73"/>
      <c r="M99" s="76"/>
    </row>
    <row r="100" hidden="1">
      <c r="A100" s="53" t="str">
        <f t="shared" si="5"/>
        <v>#REF!</v>
      </c>
      <c r="B100" s="62">
        <f>B85+B92</f>
        <v>1800</v>
      </c>
      <c r="C100" s="62"/>
      <c r="D100" s="62">
        <f>sumifs($F100:$M100,$F90:$M90,D94,$F91:$M91,"Pending")</f>
        <v>0</v>
      </c>
      <c r="E100" s="33" t="s">
        <v>81</v>
      </c>
      <c r="F100" s="69">
        <f>3000+500</f>
        <v>3500</v>
      </c>
      <c r="G100" s="74"/>
      <c r="H100" s="74"/>
      <c r="I100" s="74"/>
      <c r="J100" s="74"/>
      <c r="K100" s="74"/>
      <c r="L100" s="74"/>
      <c r="M100" s="75"/>
    </row>
    <row r="101" hidden="1">
      <c r="A101" s="53" t="str">
        <f t="shared" si="5"/>
        <v>#REF!</v>
      </c>
      <c r="B101" s="62">
        <v>0.0</v>
      </c>
      <c r="C101" s="62"/>
      <c r="D101" s="62">
        <f>sumifs($F101:$M101,$F90:$M90,D94,$F91:$M91,"Pending")</f>
        <v>0</v>
      </c>
      <c r="E101" s="33" t="s">
        <v>82</v>
      </c>
      <c r="F101" s="69">
        <v>2251.0</v>
      </c>
      <c r="G101" s="74"/>
      <c r="H101" s="74"/>
      <c r="I101" s="74"/>
      <c r="J101" s="74"/>
      <c r="K101" s="74"/>
      <c r="L101" s="74"/>
      <c r="M101" s="75"/>
    </row>
    <row r="102" hidden="1">
      <c r="A102" s="53" t="str">
        <f t="shared" si="5"/>
        <v>#REF!</v>
      </c>
      <c r="B102" s="62">
        <v>0.0</v>
      </c>
      <c r="C102" s="62"/>
      <c r="D102" s="62">
        <f>sumifs($F102:$M102,$F90:$M90,D94,$F91:$M91,"Pending")</f>
        <v>0</v>
      </c>
      <c r="E102" s="33" t="s">
        <v>83</v>
      </c>
      <c r="F102" s="69">
        <v>1344.0</v>
      </c>
      <c r="G102" s="74"/>
      <c r="H102" s="74"/>
      <c r="I102" s="74"/>
      <c r="J102" s="74"/>
      <c r="K102" s="74"/>
      <c r="L102" s="74"/>
      <c r="M102" s="75"/>
    </row>
    <row r="103" hidden="1">
      <c r="A103" s="53" t="str">
        <f t="shared" si="5"/>
        <v>#REF!</v>
      </c>
      <c r="B103" s="62">
        <v>0.0</v>
      </c>
      <c r="C103" s="62"/>
      <c r="D103" s="62">
        <f>sumifs($F103:$M103,$F90:$M90,D94,$F91:$M91,"Pending")</f>
        <v>0</v>
      </c>
      <c r="E103" s="33" t="s">
        <v>85</v>
      </c>
      <c r="F103" s="69">
        <v>0.0</v>
      </c>
      <c r="G103" s="74"/>
      <c r="H103" s="74"/>
      <c r="I103" s="74"/>
      <c r="J103" s="74"/>
      <c r="K103" s="74"/>
      <c r="L103" s="74"/>
      <c r="M103" s="75"/>
    </row>
    <row r="104" hidden="1">
      <c r="A104" s="77"/>
      <c r="B104" s="73"/>
      <c r="C104" s="73"/>
      <c r="D104" s="73"/>
      <c r="E104" s="78"/>
      <c r="F104" s="24"/>
      <c r="G104" s="24"/>
      <c r="H104" s="24"/>
      <c r="I104" s="24"/>
      <c r="J104" s="24"/>
      <c r="K104" s="24"/>
      <c r="L104" s="24"/>
      <c r="M104" s="39"/>
    </row>
    <row r="105" hidden="1">
      <c r="A105" s="23">
        <f>Projections!G1</f>
        <v>45139</v>
      </c>
      <c r="B105" s="24"/>
      <c r="C105" s="24"/>
      <c r="D105" s="24"/>
      <c r="E105" s="24"/>
      <c r="F105" s="25" t="s">
        <v>64</v>
      </c>
      <c r="G105" s="25" t="s">
        <v>66</v>
      </c>
      <c r="H105" s="25" t="s">
        <v>66</v>
      </c>
      <c r="I105" s="25" t="s">
        <v>66</v>
      </c>
      <c r="J105" s="25"/>
      <c r="K105" s="25"/>
      <c r="L105" s="25"/>
      <c r="M105" s="26"/>
    </row>
    <row r="106" hidden="1">
      <c r="A106" s="24"/>
      <c r="B106" s="72">
        <f>Projections!G8</f>
        <v>129632</v>
      </c>
      <c r="C106" s="25"/>
      <c r="D106" s="79" t="s">
        <v>67</v>
      </c>
      <c r="E106" s="57">
        <f>Projections!G14</f>
        <v>141932</v>
      </c>
      <c r="F106" s="25"/>
      <c r="G106" s="25" t="s">
        <v>68</v>
      </c>
      <c r="H106" s="25" t="s">
        <v>68</v>
      </c>
      <c r="I106" s="25" t="s">
        <v>68</v>
      </c>
      <c r="J106" s="25"/>
      <c r="K106" s="25"/>
      <c r="L106" s="25"/>
      <c r="M106" s="26"/>
    </row>
    <row r="107" hidden="1">
      <c r="A107" s="25" t="s">
        <v>69</v>
      </c>
      <c r="B107" s="25">
        <v>0.0</v>
      </c>
      <c r="C107" s="80"/>
      <c r="D107" s="24"/>
      <c r="E107" s="25">
        <f>round(B106*20%*12/365,0)</f>
        <v>852</v>
      </c>
      <c r="F107" s="25" t="s">
        <v>70</v>
      </c>
      <c r="G107" s="29">
        <v>45151.0</v>
      </c>
      <c r="H107" s="29">
        <v>45151.0</v>
      </c>
      <c r="I107" s="25" t="s">
        <v>94</v>
      </c>
      <c r="J107" s="25"/>
      <c r="K107" s="25"/>
      <c r="L107" s="25"/>
      <c r="M107" s="58"/>
    </row>
    <row r="108" hidden="1">
      <c r="A108" s="28" t="str">
        <f t="shared" ref="A108:B108" si="6">sum(A110:A118)</f>
        <v>#REF!</v>
      </c>
      <c r="B108" s="54">
        <f t="shared" si="6"/>
        <v>0</v>
      </c>
      <c r="C108" s="28"/>
      <c r="D108" s="54">
        <f>sum(D110:D118)</f>
        <v>0</v>
      </c>
      <c r="E108" s="59" t="str">
        <f>if(today()&gt;#REF!,0,E107*(#REF!-#REF!+1))</f>
        <v>#REF!</v>
      </c>
      <c r="F108" s="63">
        <f>sum(F110:F118)</f>
        <v>3783.36</v>
      </c>
      <c r="G108" s="25" t="s">
        <v>86</v>
      </c>
      <c r="H108" s="25" t="s">
        <v>87</v>
      </c>
      <c r="I108" s="25" t="s">
        <v>88</v>
      </c>
      <c r="J108" s="25"/>
      <c r="K108" s="25"/>
      <c r="L108" s="25"/>
      <c r="M108" s="58"/>
    </row>
    <row r="109" hidden="1">
      <c r="A109" s="32" t="s">
        <v>72</v>
      </c>
      <c r="B109" s="33" t="s">
        <v>84</v>
      </c>
      <c r="C109" s="33"/>
      <c r="D109" s="33" t="s">
        <v>73</v>
      </c>
      <c r="E109" s="34">
        <f>today()</f>
        <v>45969</v>
      </c>
      <c r="F109" s="35" t="s">
        <v>64</v>
      </c>
      <c r="G109" s="36" t="s">
        <v>75</v>
      </c>
      <c r="H109" s="36" t="s">
        <v>75</v>
      </c>
      <c r="I109" s="36" t="s">
        <v>89</v>
      </c>
      <c r="J109" s="36"/>
      <c r="K109" s="36"/>
      <c r="L109" s="36"/>
      <c r="M109" s="61"/>
    </row>
    <row r="110" hidden="1">
      <c r="A110" s="53" t="str">
        <f t="shared" ref="A110:A118" si="7">#REF!-sum(D110)-B110</f>
        <v>#REF!</v>
      </c>
      <c r="B110" s="62">
        <f t="shared" ref="B110:B115" si="8">B$107</f>
        <v>0</v>
      </c>
      <c r="C110" s="62"/>
      <c r="D110" s="62">
        <f>sumifs($F110:$M110,$F105:$M105,D109,$F106:$M106,"Pending")</f>
        <v>0</v>
      </c>
      <c r="E110" s="33" t="s">
        <v>76</v>
      </c>
      <c r="F110" s="66">
        <v>1539.57</v>
      </c>
      <c r="G110" s="25">
        <v>5090.56</v>
      </c>
      <c r="H110" s="25">
        <v>566.75</v>
      </c>
      <c r="I110" s="24"/>
      <c r="J110" s="24"/>
      <c r="K110" s="24"/>
      <c r="L110" s="24"/>
      <c r="M110" s="39"/>
    </row>
    <row r="111" hidden="1">
      <c r="A111" s="53" t="str">
        <f t="shared" si="7"/>
        <v>#REF!</v>
      </c>
      <c r="B111" s="62">
        <f t="shared" si="8"/>
        <v>0</v>
      </c>
      <c r="C111" s="62"/>
      <c r="D111" s="62">
        <f>sumifs($F111:$M111,$F105:$M105,D109,$F106:$M106,"Pending")</f>
        <v>0</v>
      </c>
      <c r="E111" s="33" t="s">
        <v>77</v>
      </c>
      <c r="F111" s="69">
        <f>1063.82-1000</f>
        <v>63.82</v>
      </c>
      <c r="G111" s="24"/>
      <c r="H111" s="24"/>
      <c r="I111" s="24"/>
      <c r="J111" s="24"/>
      <c r="K111" s="24"/>
      <c r="L111" s="24"/>
      <c r="M111" s="39"/>
    </row>
    <row r="112" hidden="1">
      <c r="A112" s="53" t="str">
        <f t="shared" si="7"/>
        <v>#REF!</v>
      </c>
      <c r="B112" s="62">
        <f t="shared" si="8"/>
        <v>0</v>
      </c>
      <c r="C112" s="62"/>
      <c r="D112" s="62">
        <f>sumifs($F112:$M112,$F105:$M105,D109,$F106:$M106,"Pending")</f>
        <v>0</v>
      </c>
      <c r="E112" s="33" t="s">
        <v>78</v>
      </c>
      <c r="F112" s="69">
        <v>1635.18</v>
      </c>
      <c r="G112" s="24"/>
      <c r="H112" s="24"/>
      <c r="I112" s="24"/>
      <c r="J112" s="24"/>
      <c r="K112" s="24"/>
      <c r="L112" s="24"/>
      <c r="M112" s="39"/>
    </row>
    <row r="113" hidden="1">
      <c r="A113" s="53" t="str">
        <f t="shared" si="7"/>
        <v>#REF!</v>
      </c>
      <c r="B113" s="62">
        <f t="shared" si="8"/>
        <v>0</v>
      </c>
      <c r="C113" s="62"/>
      <c r="D113" s="62">
        <f>sumifs($F113:$M113,$F105:$M105,D109,$F106:$M106,"Pending")</f>
        <v>0</v>
      </c>
      <c r="E113" s="33" t="s">
        <v>79</v>
      </c>
      <c r="F113" s="69">
        <f>1775.89-684.53-1000</f>
        <v>91.36</v>
      </c>
      <c r="G113" s="24"/>
      <c r="H113" s="24"/>
      <c r="I113" s="24"/>
      <c r="J113" s="24"/>
      <c r="K113" s="24"/>
      <c r="L113" s="24"/>
      <c r="M113" s="39"/>
    </row>
    <row r="114" hidden="1">
      <c r="A114" s="53" t="str">
        <f t="shared" si="7"/>
        <v>#REF!</v>
      </c>
      <c r="B114" s="62">
        <f t="shared" si="8"/>
        <v>0</v>
      </c>
      <c r="C114" s="62"/>
      <c r="D114" s="62">
        <f>sumifs($F114:$M114,$F105:$M105,D109,$F106:$M106,"Pending")</f>
        <v>0</v>
      </c>
      <c r="E114" s="33" t="s">
        <v>80</v>
      </c>
      <c r="F114" s="69">
        <v>35.43</v>
      </c>
      <c r="G114" s="24"/>
      <c r="H114" s="24"/>
      <c r="I114" s="25">
        <v>800.0</v>
      </c>
      <c r="J114" s="25"/>
      <c r="K114" s="25"/>
      <c r="L114" s="25"/>
      <c r="M114" s="39"/>
    </row>
    <row r="115" hidden="1">
      <c r="A115" s="53" t="str">
        <f t="shared" si="7"/>
        <v>#REF!</v>
      </c>
      <c r="B115" s="62">
        <f t="shared" si="8"/>
        <v>0</v>
      </c>
      <c r="C115" s="62"/>
      <c r="D115" s="62">
        <f>sumifs($F115:$M115,$F105:$M105,D109,$F106:$M106,"Pending")</f>
        <v>0</v>
      </c>
      <c r="E115" s="33" t="s">
        <v>81</v>
      </c>
      <c r="F115" s="69">
        <v>48.0</v>
      </c>
      <c r="G115" s="24"/>
      <c r="H115" s="24"/>
      <c r="I115" s="24"/>
      <c r="J115" s="24"/>
      <c r="K115" s="24"/>
      <c r="L115" s="24"/>
      <c r="M115" s="39"/>
    </row>
    <row r="116" hidden="1">
      <c r="A116" s="53" t="str">
        <f t="shared" si="7"/>
        <v>#REF!</v>
      </c>
      <c r="B116" s="62">
        <v>0.0</v>
      </c>
      <c r="C116" s="62"/>
      <c r="D116" s="62">
        <f>sumifs($F116:$M116,$F105:$M105,D109,$F106:$M106,"Pending")</f>
        <v>0</v>
      </c>
      <c r="E116" s="33" t="s">
        <v>82</v>
      </c>
      <c r="F116" s="70">
        <v>0.0</v>
      </c>
      <c r="G116" s="24"/>
      <c r="H116" s="24"/>
      <c r="I116" s="24"/>
      <c r="J116" s="24"/>
      <c r="K116" s="24"/>
      <c r="L116" s="24"/>
      <c r="M116" s="39"/>
    </row>
    <row r="117" hidden="1">
      <c r="A117" s="53" t="str">
        <f t="shared" si="7"/>
        <v>#REF!</v>
      </c>
      <c r="B117" s="62">
        <v>0.0</v>
      </c>
      <c r="C117" s="62"/>
      <c r="D117" s="62">
        <f>sumifs($F117:$M117,$F105:$M105,D109,$F106:$M106,"Pending")</f>
        <v>0</v>
      </c>
      <c r="E117" s="33" t="s">
        <v>83</v>
      </c>
      <c r="F117" s="70">
        <v>370.0</v>
      </c>
      <c r="G117" s="24"/>
      <c r="H117" s="24"/>
      <c r="I117" s="24"/>
      <c r="J117" s="24"/>
      <c r="K117" s="24"/>
      <c r="L117" s="24"/>
      <c r="M117" s="39"/>
    </row>
    <row r="118" hidden="1">
      <c r="A118" s="53" t="str">
        <f t="shared" si="7"/>
        <v>#REF!</v>
      </c>
      <c r="B118" s="62">
        <v>0.0</v>
      </c>
      <c r="C118" s="62"/>
      <c r="D118" s="62">
        <f>sumifs($F118:$M118,$F105:$M105,D109,$F106:$M106,"Pending")</f>
        <v>0</v>
      </c>
      <c r="E118" s="33" t="s">
        <v>85</v>
      </c>
      <c r="F118" s="69">
        <v>0.0</v>
      </c>
      <c r="G118" s="24"/>
      <c r="H118" s="24"/>
      <c r="I118" s="24"/>
      <c r="J118" s="24"/>
      <c r="K118" s="24"/>
      <c r="L118" s="24"/>
      <c r="M118" s="39"/>
    </row>
    <row r="119" hidden="1">
      <c r="A119" s="81"/>
      <c r="B119" s="73"/>
      <c r="C119" s="73"/>
      <c r="D119" s="73"/>
      <c r="E119" s="82"/>
      <c r="F119" s="24"/>
      <c r="G119" s="24"/>
      <c r="H119" s="24"/>
      <c r="I119" s="24"/>
      <c r="J119" s="24"/>
      <c r="K119" s="24"/>
      <c r="L119" s="24"/>
      <c r="M119" s="39"/>
    </row>
    <row r="120" hidden="1">
      <c r="A120" s="81"/>
      <c r="B120" s="73"/>
      <c r="C120" s="73"/>
      <c r="D120" s="73"/>
      <c r="E120" s="82"/>
      <c r="F120" s="24"/>
      <c r="G120" s="24"/>
      <c r="H120" s="24"/>
      <c r="I120" s="24"/>
      <c r="J120" s="24"/>
      <c r="K120" s="24"/>
      <c r="L120" s="24"/>
      <c r="M120" s="39"/>
    </row>
    <row r="121" hidden="1">
      <c r="A121" s="71">
        <v>45170.0</v>
      </c>
      <c r="B121" s="24"/>
      <c r="C121" s="24"/>
      <c r="D121" s="24"/>
      <c r="E121" s="24"/>
      <c r="F121" s="25" t="s">
        <v>64</v>
      </c>
      <c r="G121" s="25" t="s">
        <v>66</v>
      </c>
      <c r="H121" s="25" t="s">
        <v>66</v>
      </c>
      <c r="I121" s="25" t="s">
        <v>66</v>
      </c>
      <c r="J121" s="25"/>
      <c r="K121" s="25"/>
      <c r="L121" s="25"/>
      <c r="M121" s="26"/>
    </row>
    <row r="122" hidden="1">
      <c r="A122" s="24"/>
      <c r="B122" s="72">
        <f>Projections!H8</f>
        <v>129632</v>
      </c>
      <c r="C122" s="25"/>
      <c r="D122" s="25" t="s">
        <v>67</v>
      </c>
      <c r="E122" s="57">
        <f>Projections!H14</f>
        <v>133132</v>
      </c>
      <c r="F122" s="25"/>
      <c r="G122" s="25" t="s">
        <v>68</v>
      </c>
      <c r="H122" s="25" t="s">
        <v>68</v>
      </c>
      <c r="I122" s="25" t="s">
        <v>68</v>
      </c>
      <c r="J122" s="25"/>
      <c r="K122" s="25"/>
      <c r="L122" s="25"/>
      <c r="M122" s="26"/>
    </row>
    <row r="123" hidden="1">
      <c r="A123" s="25" t="s">
        <v>69</v>
      </c>
      <c r="B123" s="25">
        <f>round(if(B122*10%/6+B108&lt;B122*6,B122*10%/6,0),0)</f>
        <v>2161</v>
      </c>
      <c r="C123" s="73"/>
      <c r="D123" s="74"/>
      <c r="E123" s="25">
        <f>round(B122*20%*12/365,0)</f>
        <v>852</v>
      </c>
      <c r="F123" s="25" t="s">
        <v>70</v>
      </c>
      <c r="G123" s="29">
        <v>45181.0</v>
      </c>
      <c r="H123" s="29">
        <v>45181.0</v>
      </c>
      <c r="I123" s="25"/>
      <c r="J123" s="25"/>
      <c r="K123" s="25"/>
      <c r="L123" s="25"/>
      <c r="M123" s="58"/>
    </row>
    <row r="124" hidden="1">
      <c r="A124" s="28" t="str">
        <f>#REF!-sum(D124)-B124</f>
        <v>#REF!</v>
      </c>
      <c r="B124" s="79" t="str">
        <f>sum(B126:B135)</f>
        <v>#REF!</v>
      </c>
      <c r="C124" s="79"/>
      <c r="D124" s="83">
        <f>sum(D126:D135)</f>
        <v>0</v>
      </c>
      <c r="E124" s="59" t="str">
        <f>if(today()&gt;#REF!,0,E123*(#REF!-#REF!+1))</f>
        <v>#REF!</v>
      </c>
      <c r="F124" s="63">
        <f>sum(F126:F135)</f>
        <v>15881.81</v>
      </c>
      <c r="G124" s="25" t="s">
        <v>86</v>
      </c>
      <c r="H124" s="25" t="s">
        <v>87</v>
      </c>
      <c r="I124" s="25" t="s">
        <v>88</v>
      </c>
      <c r="J124" s="25"/>
      <c r="K124" s="25"/>
      <c r="L124" s="25"/>
      <c r="M124" s="58"/>
    </row>
    <row r="125" hidden="1">
      <c r="A125" s="32" t="s">
        <v>72</v>
      </c>
      <c r="B125" s="33" t="s">
        <v>84</v>
      </c>
      <c r="C125" s="33"/>
      <c r="D125" s="33" t="s">
        <v>73</v>
      </c>
      <c r="E125" s="34">
        <f>today()</f>
        <v>45969</v>
      </c>
      <c r="F125" s="35" t="s">
        <v>64</v>
      </c>
      <c r="G125" s="36" t="s">
        <v>75</v>
      </c>
      <c r="H125" s="36" t="s">
        <v>75</v>
      </c>
      <c r="I125" s="36" t="s">
        <v>89</v>
      </c>
      <c r="J125" s="36"/>
      <c r="K125" s="36"/>
      <c r="L125" s="36"/>
      <c r="M125" s="61"/>
    </row>
    <row r="126" hidden="1">
      <c r="A126" s="53" t="str">
        <f t="shared" ref="A126:A135" si="9">#REF!-sum(D126)-B126</f>
        <v>#REF!</v>
      </c>
      <c r="B126" s="62" t="str">
        <f>B110+B123-#REF!</f>
        <v>#REF!</v>
      </c>
      <c r="C126" s="62"/>
      <c r="D126" s="62">
        <f>sumifs($F126:$M126,$F121:$M121,D125,$F122:$M122,"Pending")</f>
        <v>0</v>
      </c>
      <c r="E126" s="33" t="s">
        <v>76</v>
      </c>
      <c r="F126" s="66">
        <v>2161.0</v>
      </c>
      <c r="G126" s="25">
        <v>5510.9</v>
      </c>
      <c r="H126" s="25">
        <v>1925.85</v>
      </c>
      <c r="I126" s="24"/>
      <c r="J126" s="24"/>
      <c r="K126" s="24"/>
      <c r="L126" s="24"/>
      <c r="M126" s="39"/>
    </row>
    <row r="127" hidden="1">
      <c r="A127" s="53" t="str">
        <f t="shared" si="9"/>
        <v>#REF!</v>
      </c>
      <c r="B127" s="62" t="str">
        <f>B111+B123-#REF!</f>
        <v>#REF!</v>
      </c>
      <c r="C127" s="62"/>
      <c r="D127" s="62">
        <f>sumifs($F127:$M127,$F121:$M121,D125,$F122:$M122,"Pending")</f>
        <v>0</v>
      </c>
      <c r="E127" s="33" t="s">
        <v>77</v>
      </c>
      <c r="F127" s="69">
        <v>2417.43</v>
      </c>
      <c r="G127" s="24"/>
      <c r="H127" s="24"/>
      <c r="I127" s="24"/>
      <c r="J127" s="24"/>
      <c r="K127" s="24"/>
      <c r="L127" s="24"/>
      <c r="M127" s="39"/>
    </row>
    <row r="128" hidden="1">
      <c r="A128" s="53" t="str">
        <f t="shared" si="9"/>
        <v>#REF!</v>
      </c>
      <c r="B128" s="62" t="str">
        <f>B112+B123-#REF!</f>
        <v>#REF!</v>
      </c>
      <c r="C128" s="62"/>
      <c r="D128" s="62">
        <f>sumifs($F128:$M128,$F121:$M121,D125,$F122:$M122,"Pending")</f>
        <v>0</v>
      </c>
      <c r="E128" s="33" t="s">
        <v>78</v>
      </c>
      <c r="F128" s="69">
        <v>1232.38</v>
      </c>
      <c r="G128" s="24"/>
      <c r="H128" s="24"/>
      <c r="I128" s="24"/>
      <c r="J128" s="24"/>
      <c r="K128" s="24"/>
      <c r="L128" s="24"/>
      <c r="M128" s="39"/>
    </row>
    <row r="129" hidden="1">
      <c r="A129" s="53" t="str">
        <f t="shared" si="9"/>
        <v>#REF!</v>
      </c>
      <c r="B129" s="62" t="str">
        <f>B113+B123-#REF!</f>
        <v>#REF!</v>
      </c>
      <c r="C129" s="62"/>
      <c r="D129" s="62">
        <f>sumifs($F129:$M129,$F121:$M121,D125,$F122:$M122,"Pending")</f>
        <v>0</v>
      </c>
      <c r="E129" s="33" t="s">
        <v>79</v>
      </c>
      <c r="F129" s="69">
        <v>2161.0</v>
      </c>
      <c r="G129" s="24"/>
      <c r="H129" s="24"/>
      <c r="I129" s="24"/>
      <c r="J129" s="24"/>
      <c r="K129" s="24"/>
      <c r="L129" s="24"/>
      <c r="M129" s="39"/>
    </row>
    <row r="130" hidden="1">
      <c r="A130" s="53" t="str">
        <f t="shared" si="9"/>
        <v>#REF!</v>
      </c>
      <c r="B130" s="62" t="str">
        <f>B114+B123-#REF!</f>
        <v>#REF!</v>
      </c>
      <c r="C130" s="62"/>
      <c r="D130" s="62">
        <f>sumifs($F130:$M130,$F121:$M121,D125,$F122:$M122,"Pending")</f>
        <v>0</v>
      </c>
      <c r="E130" s="33" t="s">
        <v>80</v>
      </c>
      <c r="F130" s="69">
        <f>2787-500</f>
        <v>2287</v>
      </c>
      <c r="G130" s="24"/>
      <c r="H130" s="24"/>
      <c r="I130" s="25">
        <v>800.0</v>
      </c>
      <c r="J130" s="25"/>
      <c r="K130" s="25"/>
      <c r="L130" s="25"/>
      <c r="M130" s="26"/>
    </row>
    <row r="131" hidden="1">
      <c r="A131" s="53" t="str">
        <f t="shared" si="9"/>
        <v>#REF!</v>
      </c>
      <c r="B131" s="62" t="str">
        <f>B115+B123-#REF!</f>
        <v>#REF!</v>
      </c>
      <c r="C131" s="62"/>
      <c r="D131" s="62">
        <f>sumifs($F131:$M131,$F121:$M121,D125,$F122:$M122,"Pending")</f>
        <v>0</v>
      </c>
      <c r="E131" s="33" t="s">
        <v>81</v>
      </c>
      <c r="F131" s="69">
        <v>2181.0</v>
      </c>
      <c r="G131" s="24"/>
      <c r="H131" s="24"/>
      <c r="I131" s="24"/>
      <c r="J131" s="24"/>
      <c r="K131" s="24"/>
      <c r="L131" s="24"/>
      <c r="M131" s="39"/>
    </row>
    <row r="132" hidden="1">
      <c r="A132" s="53" t="str">
        <f t="shared" si="9"/>
        <v>#REF!</v>
      </c>
      <c r="B132" s="62">
        <v>0.0</v>
      </c>
      <c r="C132" s="62"/>
      <c r="D132" s="62">
        <f>sumifs($F132:$M132,$F121:$M121,D125,$F122:$M122,"Pending")</f>
        <v>0</v>
      </c>
      <c r="E132" s="33" t="s">
        <v>82</v>
      </c>
      <c r="F132" s="70">
        <f>776+13</f>
        <v>789</v>
      </c>
      <c r="G132" s="24"/>
      <c r="H132" s="24"/>
      <c r="I132" s="24"/>
      <c r="J132" s="24"/>
      <c r="K132" s="24"/>
      <c r="L132" s="24"/>
      <c r="M132" s="39"/>
    </row>
    <row r="133" hidden="1">
      <c r="A133" s="53" t="str">
        <f t="shared" si="9"/>
        <v>#REF!</v>
      </c>
      <c r="B133" s="62">
        <v>0.0</v>
      </c>
      <c r="C133" s="62"/>
      <c r="D133" s="62">
        <f>sumifs($F133:$M133,$F121:$M121,D125,$F122:$M122,"Pending")</f>
        <v>0</v>
      </c>
      <c r="E133" s="33" t="s">
        <v>83</v>
      </c>
      <c r="F133" s="70">
        <v>153.0</v>
      </c>
      <c r="G133" s="24"/>
      <c r="H133" s="24"/>
      <c r="I133" s="24"/>
      <c r="J133" s="24"/>
      <c r="K133" s="24"/>
      <c r="L133" s="24"/>
      <c r="M133" s="39"/>
    </row>
    <row r="134" hidden="1">
      <c r="A134" s="53" t="str">
        <f t="shared" si="9"/>
        <v>#REF!</v>
      </c>
      <c r="B134" s="62">
        <v>0.0</v>
      </c>
      <c r="C134" s="62"/>
      <c r="D134" s="62">
        <f>sumifs($F134:$M134,$F121:$M121,D125,$F122:$M122,"Pending")</f>
        <v>0</v>
      </c>
      <c r="E134" s="33" t="s">
        <v>85</v>
      </c>
      <c r="F134" s="69">
        <v>0.0</v>
      </c>
      <c r="G134" s="24"/>
      <c r="H134" s="24"/>
      <c r="I134" s="24"/>
      <c r="J134" s="24"/>
      <c r="K134" s="24"/>
      <c r="L134" s="24"/>
      <c r="M134" s="39"/>
    </row>
    <row r="135" hidden="1">
      <c r="A135" s="53" t="str">
        <f t="shared" si="9"/>
        <v>#REF!</v>
      </c>
      <c r="B135" s="62">
        <v>0.0</v>
      </c>
      <c r="C135" s="62"/>
      <c r="D135" s="62">
        <f>sumifs($F135:$M135,$F122:$M122,D125,$F123:$M123,"Pending")</f>
        <v>0</v>
      </c>
      <c r="E135" s="33" t="s">
        <v>91</v>
      </c>
      <c r="F135" s="69">
        <v>2500.0</v>
      </c>
      <c r="G135" s="24"/>
      <c r="H135" s="24"/>
      <c r="I135" s="24"/>
      <c r="J135" s="24"/>
      <c r="K135" s="24"/>
      <c r="L135" s="24"/>
      <c r="M135" s="39"/>
    </row>
    <row r="136" hidden="1">
      <c r="A136" s="81"/>
      <c r="B136" s="73"/>
      <c r="C136" s="73"/>
      <c r="D136" s="73"/>
      <c r="E136" s="82"/>
      <c r="F136" s="25"/>
      <c r="G136" s="24"/>
      <c r="H136" s="24"/>
      <c r="I136" s="24"/>
      <c r="J136" s="24"/>
      <c r="K136" s="24"/>
      <c r="L136" s="24"/>
      <c r="M136" s="39"/>
    </row>
    <row r="137" hidden="1">
      <c r="A137" s="71">
        <v>45200.0</v>
      </c>
      <c r="B137" s="84">
        <v>-0.1</v>
      </c>
      <c r="C137" s="24"/>
      <c r="D137" s="24"/>
      <c r="E137" s="24"/>
      <c r="F137" s="25" t="s">
        <v>64</v>
      </c>
      <c r="G137" s="25" t="s">
        <v>66</v>
      </c>
      <c r="H137" s="25" t="s">
        <v>66</v>
      </c>
      <c r="I137" s="25" t="s">
        <v>66</v>
      </c>
      <c r="J137" s="25"/>
      <c r="K137" s="25"/>
      <c r="L137" s="25"/>
      <c r="M137" s="26"/>
    </row>
    <row r="138" hidden="1">
      <c r="A138" s="25" t="s">
        <v>95</v>
      </c>
      <c r="B138" s="72">
        <f>Projections!I8</f>
        <v>129632</v>
      </c>
      <c r="C138" s="25"/>
      <c r="D138" s="25" t="s">
        <v>67</v>
      </c>
      <c r="E138" s="85">
        <f>Projections!I14</f>
        <v>133132</v>
      </c>
      <c r="F138" s="25"/>
      <c r="G138" s="25" t="s">
        <v>68</v>
      </c>
      <c r="H138" s="25" t="s">
        <v>68</v>
      </c>
      <c r="I138" s="25" t="s">
        <v>68</v>
      </c>
      <c r="J138" s="25"/>
      <c r="K138" s="25"/>
      <c r="L138" s="25"/>
      <c r="M138" s="26"/>
    </row>
    <row r="139" hidden="1">
      <c r="A139" s="25" t="s">
        <v>69</v>
      </c>
      <c r="B139" s="25" t="str">
        <f>round(if(B138*B137/6+B124&lt;B138,B138*B137/6,0),0)</f>
        <v>#REF!</v>
      </c>
      <c r="C139" s="73"/>
      <c r="D139" s="74"/>
      <c r="E139" s="86" t="str">
        <f>round(B138*#REF!%*12/365,0)</f>
        <v>#REF!</v>
      </c>
      <c r="F139" s="25" t="s">
        <v>70</v>
      </c>
      <c r="G139" s="29">
        <v>45212.0</v>
      </c>
      <c r="H139" s="29">
        <v>45212.0</v>
      </c>
      <c r="I139" s="25" t="s">
        <v>96</v>
      </c>
      <c r="J139" s="25"/>
      <c r="K139" s="25"/>
      <c r="L139" s="25"/>
      <c r="M139" s="58"/>
    </row>
    <row r="140" hidden="1">
      <c r="A140" s="28" t="str">
        <f>#REF!-sum(D140)-B140</f>
        <v>#REF!</v>
      </c>
      <c r="B140" s="79" t="str">
        <f>sum(B142:B151)</f>
        <v>#REF!</v>
      </c>
      <c r="C140" s="79"/>
      <c r="D140" s="83">
        <f>sum(D142:D151)</f>
        <v>0</v>
      </c>
      <c r="E140" s="59" t="str">
        <f>if(today()&gt;#REF!,0,E139*(#REF!-#REF!+1))</f>
        <v>#REF!</v>
      </c>
      <c r="F140" s="63">
        <f>sum(F142:F151)</f>
        <v>7005.36</v>
      </c>
      <c r="G140" s="25" t="s">
        <v>86</v>
      </c>
      <c r="H140" s="25" t="s">
        <v>87</v>
      </c>
      <c r="I140" s="25" t="s">
        <v>88</v>
      </c>
      <c r="J140" s="25"/>
      <c r="K140" s="25"/>
      <c r="L140" s="25"/>
      <c r="M140" s="58"/>
    </row>
    <row r="141" hidden="1">
      <c r="A141" s="32" t="s">
        <v>72</v>
      </c>
      <c r="B141" s="33" t="s">
        <v>84</v>
      </c>
      <c r="C141" s="33"/>
      <c r="D141" s="33" t="s">
        <v>73</v>
      </c>
      <c r="E141" s="34">
        <f>today()</f>
        <v>45969</v>
      </c>
      <c r="F141" s="35" t="s">
        <v>64</v>
      </c>
      <c r="G141" s="36" t="s">
        <v>75</v>
      </c>
      <c r="H141" s="36" t="s">
        <v>75</v>
      </c>
      <c r="I141" s="36" t="s">
        <v>89</v>
      </c>
      <c r="J141" s="36"/>
      <c r="K141" s="36"/>
      <c r="L141" s="36"/>
      <c r="M141" s="61"/>
    </row>
    <row r="142" hidden="1">
      <c r="A142" s="53" t="str">
        <f t="shared" ref="A142:A151" si="10">#REF!-sum(D142)-B142</f>
        <v>#REF!</v>
      </c>
      <c r="B142" s="62" t="str">
        <f>B126+B139-#REF!</f>
        <v>#REF!</v>
      </c>
      <c r="C142" s="62"/>
      <c r="D142" s="62">
        <f>sumifs($F142:$M142,$F137:$M137,D141,$F138:$M138,"Pending")</f>
        <v>0</v>
      </c>
      <c r="E142" s="33" t="s">
        <v>76</v>
      </c>
      <c r="F142" s="66">
        <v>99.25</v>
      </c>
      <c r="G142" s="73">
        <v>5191.21</v>
      </c>
      <c r="H142" s="73">
        <v>2355.31</v>
      </c>
      <c r="I142" s="73">
        <v>0.0</v>
      </c>
      <c r="J142" s="73"/>
      <c r="K142" s="73"/>
      <c r="L142" s="73"/>
      <c r="M142" s="76"/>
    </row>
    <row r="143" hidden="1">
      <c r="A143" s="53" t="str">
        <f t="shared" si="10"/>
        <v>#REF!</v>
      </c>
      <c r="B143" s="62" t="str">
        <f>B127+B139-#REF!</f>
        <v>#REF!</v>
      </c>
      <c r="C143" s="62"/>
      <c r="D143" s="62">
        <f>sumifs($F143:$M143,$F137:$M137,D141,$F138:$M138,"Pending")</f>
        <v>0</v>
      </c>
      <c r="E143" s="33" t="s">
        <v>77</v>
      </c>
      <c r="F143" s="69">
        <v>225.17</v>
      </c>
      <c r="G143" s="73">
        <v>0.0</v>
      </c>
      <c r="H143" s="73">
        <v>0.0</v>
      </c>
      <c r="I143" s="73">
        <v>0.0</v>
      </c>
      <c r="J143" s="73"/>
      <c r="K143" s="73"/>
      <c r="L143" s="73"/>
      <c r="M143" s="76"/>
    </row>
    <row r="144" hidden="1">
      <c r="A144" s="53" t="str">
        <f t="shared" si="10"/>
        <v>#REF!</v>
      </c>
      <c r="B144" s="62" t="str">
        <f>B128+B139-#REF!</f>
        <v>#REF!</v>
      </c>
      <c r="C144" s="62"/>
      <c r="D144" s="62">
        <f>sumifs($F144:$M144,$F137:$M137,D141,$F138:$M138,"Pending")</f>
        <v>0</v>
      </c>
      <c r="E144" s="33" t="s">
        <v>78</v>
      </c>
      <c r="F144" s="69">
        <v>99.18</v>
      </c>
      <c r="G144" s="73">
        <v>0.0</v>
      </c>
      <c r="H144" s="73">
        <v>0.0</v>
      </c>
      <c r="I144" s="73">
        <v>0.0</v>
      </c>
      <c r="J144" s="73"/>
      <c r="K144" s="73"/>
      <c r="L144" s="73"/>
      <c r="M144" s="76"/>
    </row>
    <row r="145" hidden="1">
      <c r="A145" s="53" t="str">
        <f t="shared" si="10"/>
        <v>#REF!</v>
      </c>
      <c r="B145" s="62" t="str">
        <f>B129+B139-#REF!</f>
        <v>#REF!</v>
      </c>
      <c r="C145" s="62"/>
      <c r="D145" s="62">
        <f>sumifs($F145:$M145,$F137:$M137,D141,$F138:$M138,"Pending")</f>
        <v>0</v>
      </c>
      <c r="E145" s="33" t="s">
        <v>79</v>
      </c>
      <c r="F145" s="69">
        <f>1056.44+20+155+2172.32</f>
        <v>3403.76</v>
      </c>
      <c r="G145" s="73">
        <v>0.0</v>
      </c>
      <c r="H145" s="73">
        <v>0.0</v>
      </c>
      <c r="I145" s="73">
        <v>0.0</v>
      </c>
      <c r="J145" s="73"/>
      <c r="K145" s="73"/>
      <c r="L145" s="73"/>
      <c r="M145" s="76"/>
    </row>
    <row r="146" hidden="1">
      <c r="A146" s="53" t="str">
        <f t="shared" si="10"/>
        <v>#REF!</v>
      </c>
      <c r="B146" s="62" t="str">
        <f>B130+B139-#REF!</f>
        <v>#REF!</v>
      </c>
      <c r="C146" s="62"/>
      <c r="D146" s="62">
        <f>sumifs($F146:$M146,$F137:$M137,D141,$F138:$M138,"Pending")</f>
        <v>0</v>
      </c>
      <c r="E146" s="33" t="s">
        <v>80</v>
      </c>
      <c r="F146" s="69">
        <v>85.0</v>
      </c>
      <c r="G146" s="73">
        <v>0.0</v>
      </c>
      <c r="H146" s="73">
        <v>0.0</v>
      </c>
      <c r="I146" s="73">
        <v>1200.0</v>
      </c>
      <c r="J146" s="73"/>
      <c r="K146" s="73"/>
      <c r="L146" s="73"/>
      <c r="M146" s="76"/>
    </row>
    <row r="147" hidden="1">
      <c r="A147" s="53" t="str">
        <f t="shared" si="10"/>
        <v>#REF!</v>
      </c>
      <c r="B147" s="62" t="str">
        <f>B131+B139-#REF!</f>
        <v>#REF!</v>
      </c>
      <c r="C147" s="62"/>
      <c r="D147" s="62">
        <f>sumifs($F147:$M147,$F137:$M137,D141,$F138:$M138,"Pending")</f>
        <v>0</v>
      </c>
      <c r="E147" s="33" t="s">
        <v>81</v>
      </c>
      <c r="F147" s="69">
        <v>99.0</v>
      </c>
      <c r="G147" s="73">
        <v>0.0</v>
      </c>
      <c r="H147" s="73">
        <v>0.0</v>
      </c>
      <c r="I147" s="73">
        <v>0.0</v>
      </c>
      <c r="J147" s="73"/>
      <c r="K147" s="73"/>
      <c r="L147" s="73"/>
      <c r="M147" s="76"/>
    </row>
    <row r="148" hidden="1">
      <c r="A148" s="53" t="str">
        <f t="shared" si="10"/>
        <v>#REF!</v>
      </c>
      <c r="B148" s="62">
        <v>0.0</v>
      </c>
      <c r="C148" s="62"/>
      <c r="D148" s="62">
        <f>sumifs($F148:$M148,$F137:$M137,D141,$F138:$M138,"Pending")</f>
        <v>0</v>
      </c>
      <c r="E148" s="33" t="s">
        <v>82</v>
      </c>
      <c r="F148" s="70">
        <v>1156.0</v>
      </c>
      <c r="G148" s="73">
        <v>0.0</v>
      </c>
      <c r="H148" s="73">
        <v>0.0</v>
      </c>
      <c r="I148" s="73">
        <v>0.0</v>
      </c>
      <c r="J148" s="73"/>
      <c r="K148" s="73"/>
      <c r="L148" s="73"/>
      <c r="M148" s="76"/>
    </row>
    <row r="149" hidden="1">
      <c r="A149" s="53" t="str">
        <f t="shared" si="10"/>
        <v>#REF!</v>
      </c>
      <c r="B149" s="62">
        <v>0.0</v>
      </c>
      <c r="C149" s="62"/>
      <c r="D149" s="62">
        <f>sumifs($F149:$M149,$F137:$M137,D141,$F138:$M138,"Pending")</f>
        <v>0</v>
      </c>
      <c r="E149" s="33" t="s">
        <v>83</v>
      </c>
      <c r="F149" s="70">
        <f>388.68+419+510.32</f>
        <v>1318</v>
      </c>
      <c r="G149" s="73">
        <v>0.0</v>
      </c>
      <c r="H149" s="73">
        <v>0.0</v>
      </c>
      <c r="I149" s="73">
        <v>0.0</v>
      </c>
      <c r="J149" s="73"/>
      <c r="K149" s="73"/>
      <c r="L149" s="73"/>
      <c r="M149" s="76"/>
    </row>
    <row r="150" hidden="1">
      <c r="A150" s="53" t="str">
        <f t="shared" si="10"/>
        <v>#REF!</v>
      </c>
      <c r="B150" s="62">
        <v>0.0</v>
      </c>
      <c r="C150" s="62"/>
      <c r="D150" s="62">
        <f>sumifs($F150:$M150,$F137:$M137,D141,$F138:$M138,"Pending")</f>
        <v>0</v>
      </c>
      <c r="E150" s="33" t="s">
        <v>85</v>
      </c>
      <c r="F150" s="69">
        <v>0.0</v>
      </c>
      <c r="G150" s="73">
        <v>0.0</v>
      </c>
      <c r="H150" s="73">
        <v>0.0</v>
      </c>
      <c r="I150" s="73">
        <v>0.0</v>
      </c>
      <c r="J150" s="73"/>
      <c r="K150" s="73"/>
      <c r="L150" s="73"/>
      <c r="M150" s="76"/>
    </row>
    <row r="151" hidden="1">
      <c r="A151" s="53" t="str">
        <f t="shared" si="10"/>
        <v>#REF!</v>
      </c>
      <c r="B151" s="62">
        <v>0.0</v>
      </c>
      <c r="C151" s="62"/>
      <c r="D151" s="62">
        <f>sumifs($F151:$M151,$F137:$M137,D141,$F138:$M138,"Pending")</f>
        <v>0</v>
      </c>
      <c r="E151" s="33" t="s">
        <v>91</v>
      </c>
      <c r="F151" s="69">
        <v>520.0</v>
      </c>
      <c r="G151" s="73">
        <v>0.0</v>
      </c>
      <c r="H151" s="73">
        <v>0.0</v>
      </c>
      <c r="I151" s="73">
        <v>0.0</v>
      </c>
      <c r="J151" s="73"/>
      <c r="K151" s="73"/>
      <c r="L151" s="73"/>
      <c r="M151" s="76"/>
    </row>
    <row r="152" hidden="1">
      <c r="A152" s="71"/>
      <c r="B152" s="24"/>
      <c r="C152" s="24"/>
      <c r="D152" s="24"/>
      <c r="E152" s="24"/>
      <c r="F152" s="25"/>
      <c r="G152" s="25"/>
      <c r="H152" s="25"/>
      <c r="I152" s="25"/>
      <c r="J152" s="25"/>
      <c r="K152" s="25"/>
      <c r="L152" s="25"/>
      <c r="M152" s="26"/>
    </row>
    <row r="153" hidden="1">
      <c r="A153" s="71">
        <v>45231.0</v>
      </c>
      <c r="B153" s="84">
        <v>0.0</v>
      </c>
      <c r="C153" s="24"/>
      <c r="D153" s="24"/>
      <c r="E153" s="24" t="str">
        <f>B156-B140+A156-A140</f>
        <v>#REF!</v>
      </c>
      <c r="F153" s="25" t="s">
        <v>64</v>
      </c>
      <c r="G153" s="25" t="s">
        <v>66</v>
      </c>
      <c r="H153" s="25" t="s">
        <v>66</v>
      </c>
      <c r="I153" s="25" t="s">
        <v>66</v>
      </c>
      <c r="J153" s="25"/>
      <c r="K153" s="25"/>
      <c r="L153" s="25"/>
      <c r="M153" s="26"/>
    </row>
    <row r="154" hidden="1">
      <c r="A154" s="25" t="s">
        <v>95</v>
      </c>
      <c r="B154" s="72">
        <f>Projections!J15</f>
        <v>133132</v>
      </c>
      <c r="C154" s="25"/>
      <c r="D154" s="25" t="s">
        <v>67</v>
      </c>
      <c r="E154" s="57">
        <f>Projections!J14</f>
        <v>133132</v>
      </c>
      <c r="F154" s="73">
        <v>0.0</v>
      </c>
      <c r="G154" s="25" t="s">
        <v>68</v>
      </c>
      <c r="H154" s="25" t="s">
        <v>68</v>
      </c>
      <c r="I154" s="25" t="s">
        <v>68</v>
      </c>
      <c r="J154" s="25"/>
      <c r="K154" s="25"/>
      <c r="L154" s="25"/>
      <c r="M154" s="26"/>
    </row>
    <row r="155" hidden="1">
      <c r="A155" s="25" t="s">
        <v>69</v>
      </c>
      <c r="B155" s="25">
        <v>0.0</v>
      </c>
      <c r="C155" s="73"/>
      <c r="D155" s="74"/>
      <c r="E155" s="86" t="str">
        <f>round(B154*#REF!%*12/365,0)</f>
        <v>#REF!</v>
      </c>
      <c r="F155" s="25" t="s">
        <v>70</v>
      </c>
      <c r="G155" s="29">
        <v>45242.0</v>
      </c>
      <c r="H155" s="29">
        <v>45242.0</v>
      </c>
      <c r="I155" s="24" t="str">
        <f>I139</f>
        <v>N/A</v>
      </c>
      <c r="J155" s="24"/>
      <c r="K155" s="24"/>
      <c r="L155" s="24"/>
      <c r="M155" s="58"/>
    </row>
    <row r="156" hidden="1">
      <c r="A156" s="28" t="str">
        <f>#REF!-sum(D156)-B156</f>
        <v>#REF!</v>
      </c>
      <c r="B156" s="79" t="str">
        <f>sum(B158:B164)</f>
        <v>#REF!</v>
      </c>
      <c r="C156" s="79"/>
      <c r="D156" s="83">
        <f>sum(D158:D164)</f>
        <v>0</v>
      </c>
      <c r="E156" s="59" t="str">
        <f>if(today()&gt;#REF!,0,E155*(#REF!-#REF!+1))</f>
        <v>#REF!</v>
      </c>
      <c r="F156" s="63">
        <f>sum(F158:F163)</f>
        <v>12502.8</v>
      </c>
      <c r="G156" s="25" t="s">
        <v>86</v>
      </c>
      <c r="H156" s="25" t="s">
        <v>87</v>
      </c>
      <c r="I156" s="25" t="s">
        <v>88</v>
      </c>
      <c r="J156" s="25"/>
      <c r="K156" s="25"/>
      <c r="L156" s="25"/>
      <c r="M156" s="58"/>
    </row>
    <row r="157" hidden="1">
      <c r="A157" s="32" t="s">
        <v>72</v>
      </c>
      <c r="B157" s="33" t="s">
        <v>84</v>
      </c>
      <c r="C157" s="33"/>
      <c r="D157" s="33" t="s">
        <v>73</v>
      </c>
      <c r="E157" s="34">
        <f>today()</f>
        <v>45969</v>
      </c>
      <c r="F157" s="35" t="s">
        <v>64</v>
      </c>
      <c r="G157" s="36" t="s">
        <v>75</v>
      </c>
      <c r="H157" s="36" t="s">
        <v>75</v>
      </c>
      <c r="I157" s="36" t="s">
        <v>89</v>
      </c>
      <c r="J157" s="36"/>
      <c r="K157" s="36"/>
      <c r="L157" s="36"/>
      <c r="M157" s="61"/>
    </row>
    <row r="158" hidden="1">
      <c r="A158" s="53" t="str">
        <f t="shared" ref="A158:A164" si="11">#REF!-sum(D158)-B158</f>
        <v>#REF!</v>
      </c>
      <c r="B158" s="62" t="str">
        <f>B142+B155-#REF!</f>
        <v>#REF!</v>
      </c>
      <c r="C158" s="62"/>
      <c r="D158" s="62">
        <f>sumifs($F158:$M158,$F153:$M153,D157,$F154:$M154,"Pending")</f>
        <v>0</v>
      </c>
      <c r="E158" s="32" t="s">
        <v>76</v>
      </c>
      <c r="F158" s="66">
        <v>2126.11</v>
      </c>
      <c r="G158" s="73">
        <v>15656.84</v>
      </c>
      <c r="H158" s="73">
        <v>3627.71</v>
      </c>
      <c r="I158" s="73">
        <v>1200.0</v>
      </c>
      <c r="J158" s="73"/>
      <c r="K158" s="73"/>
      <c r="L158" s="73"/>
      <c r="M158" s="76"/>
    </row>
    <row r="159" hidden="1">
      <c r="A159" s="53" t="str">
        <f t="shared" si="11"/>
        <v>#REF!</v>
      </c>
      <c r="B159" s="62" t="str">
        <f>B143+B155-#REF!</f>
        <v>#REF!</v>
      </c>
      <c r="C159" s="62"/>
      <c r="D159" s="62">
        <f>sumifs($F159:$M159,$F153:$M153,D157,$F154:$M154,"Pending")</f>
        <v>0</v>
      </c>
      <c r="E159" s="32" t="s">
        <v>77</v>
      </c>
      <c r="F159" s="69">
        <f>139632.41-129632</f>
        <v>10000.41</v>
      </c>
      <c r="G159" s="73">
        <v>0.0</v>
      </c>
      <c r="H159" s="73">
        <v>0.0</v>
      </c>
      <c r="I159" s="73">
        <v>0.0</v>
      </c>
      <c r="J159" s="73"/>
      <c r="K159" s="73"/>
      <c r="L159" s="73"/>
      <c r="M159" s="76"/>
    </row>
    <row r="160" hidden="1">
      <c r="A160" s="53" t="str">
        <f t="shared" si="11"/>
        <v>#REF!</v>
      </c>
      <c r="B160" s="62" t="str">
        <f>B147+B155-#REF!</f>
        <v>#REF!</v>
      </c>
      <c r="C160" s="62"/>
      <c r="D160" s="62">
        <f>sumifs($F160:$M160,$F153:$M153,D157,$F154:$M154,"Pending")</f>
        <v>0</v>
      </c>
      <c r="E160" s="32" t="s">
        <v>81</v>
      </c>
      <c r="F160" s="69">
        <v>354.28</v>
      </c>
      <c r="G160" s="73">
        <v>0.0</v>
      </c>
      <c r="H160" s="73">
        <v>0.0</v>
      </c>
      <c r="I160" s="73">
        <v>0.0</v>
      </c>
      <c r="J160" s="73"/>
      <c r="K160" s="73"/>
      <c r="L160" s="73"/>
      <c r="M160" s="76"/>
    </row>
    <row r="161" hidden="1">
      <c r="A161" s="53" t="str">
        <f t="shared" si="11"/>
        <v>#REF!</v>
      </c>
      <c r="B161" s="62">
        <v>0.0</v>
      </c>
      <c r="C161" s="62"/>
      <c r="D161" s="62">
        <f>sumifs($F161:$M161,$F153:$M153,D157,$F154:$M154,"Pending")</f>
        <v>0</v>
      </c>
      <c r="E161" s="33" t="s">
        <v>82</v>
      </c>
      <c r="F161" s="69">
        <v>22.0</v>
      </c>
      <c r="G161" s="73">
        <v>0.0</v>
      </c>
      <c r="H161" s="73">
        <v>0.0</v>
      </c>
      <c r="I161" s="73">
        <v>0.0</v>
      </c>
      <c r="J161" s="73"/>
      <c r="K161" s="73"/>
      <c r="L161" s="73"/>
      <c r="M161" s="76"/>
    </row>
    <row r="162" hidden="1">
      <c r="A162" s="53" t="str">
        <f t="shared" si="11"/>
        <v>#REF!</v>
      </c>
      <c r="B162" s="62">
        <v>0.0</v>
      </c>
      <c r="C162" s="62"/>
      <c r="D162" s="62">
        <f>sumifs($F162:$M162,$F153:$M153,D157,$F154:$M154,"Pending")</f>
        <v>0</v>
      </c>
      <c r="E162" s="33" t="s">
        <v>83</v>
      </c>
      <c r="F162" s="69">
        <v>0.0</v>
      </c>
      <c r="G162" s="73">
        <v>0.0</v>
      </c>
      <c r="H162" s="73">
        <v>0.0</v>
      </c>
      <c r="I162" s="73">
        <v>0.0</v>
      </c>
      <c r="J162" s="73"/>
      <c r="K162" s="73"/>
      <c r="L162" s="73"/>
      <c r="M162" s="76"/>
    </row>
    <row r="163" hidden="1">
      <c r="A163" s="53" t="str">
        <f t="shared" si="11"/>
        <v>#REF!</v>
      </c>
      <c r="B163" s="62">
        <v>0.0</v>
      </c>
      <c r="C163" s="62"/>
      <c r="D163" s="62">
        <f>sumifs($F163:$M163,$F153:$M153,D157,$F154:$M154,"Pending")</f>
        <v>0</v>
      </c>
      <c r="E163" s="33" t="s">
        <v>85</v>
      </c>
      <c r="F163" s="69">
        <v>0.0</v>
      </c>
      <c r="G163" s="73">
        <v>0.0</v>
      </c>
      <c r="H163" s="73">
        <v>0.0</v>
      </c>
      <c r="I163" s="73">
        <v>0.0</v>
      </c>
      <c r="J163" s="73"/>
      <c r="K163" s="73"/>
      <c r="L163" s="73"/>
      <c r="M163" s="76"/>
    </row>
    <row r="164" hidden="1">
      <c r="A164" s="53" t="str">
        <f t="shared" si="11"/>
        <v>#REF!</v>
      </c>
      <c r="B164" s="62">
        <v>0.0</v>
      </c>
      <c r="C164" s="62"/>
      <c r="D164" s="62">
        <f>sumifs($F164:$M164,$F153:$M153,D157,$F154:$M154,"Pending")</f>
        <v>0</v>
      </c>
      <c r="E164" s="33" t="s">
        <v>91</v>
      </c>
      <c r="F164" s="69">
        <v>0.0</v>
      </c>
      <c r="G164" s="73">
        <v>0.0</v>
      </c>
      <c r="H164" s="73">
        <v>0.0</v>
      </c>
      <c r="I164" s="73">
        <v>0.0</v>
      </c>
      <c r="J164" s="73"/>
      <c r="K164" s="73"/>
      <c r="L164" s="73"/>
      <c r="M164" s="76"/>
    </row>
    <row r="165" hidden="1">
      <c r="A165" s="71"/>
      <c r="B165" s="24"/>
      <c r="C165" s="24"/>
      <c r="D165" s="24"/>
      <c r="E165" s="24"/>
      <c r="F165" s="25"/>
      <c r="G165" s="25"/>
      <c r="H165" s="25"/>
      <c r="I165" s="25"/>
      <c r="J165" s="25"/>
      <c r="K165" s="25"/>
      <c r="L165" s="25"/>
      <c r="M165" s="26"/>
    </row>
    <row r="166" hidden="1">
      <c r="A166" s="71">
        <v>45261.0</v>
      </c>
      <c r="B166" s="84">
        <f>B153</f>
        <v>0</v>
      </c>
      <c r="C166" s="24"/>
      <c r="D166" s="24"/>
      <c r="E166" s="24" t="str">
        <f>B169-B156+A169-A156</f>
        <v>#REF!</v>
      </c>
      <c r="F166" s="25" t="s">
        <v>64</v>
      </c>
      <c r="G166" s="25" t="s">
        <v>97</v>
      </c>
      <c r="H166" s="25" t="s">
        <v>97</v>
      </c>
      <c r="I166" s="25" t="str">
        <f>I153</f>
        <v>Expense</v>
      </c>
      <c r="J166" s="25"/>
      <c r="K166" s="25"/>
      <c r="L166" s="25"/>
      <c r="M166" s="26"/>
    </row>
    <row r="167" hidden="1">
      <c r="A167" s="25" t="s">
        <v>95</v>
      </c>
      <c r="B167" s="72">
        <f>Projections!K15</f>
        <v>133132</v>
      </c>
      <c r="C167" s="25"/>
      <c r="D167" s="25" t="s">
        <v>67</v>
      </c>
      <c r="E167" s="57">
        <f>Projections!K14</f>
        <v>133132</v>
      </c>
      <c r="F167" s="73">
        <v>0.0</v>
      </c>
      <c r="G167" s="25" t="s">
        <v>67</v>
      </c>
      <c r="H167" s="25" t="s">
        <v>67</v>
      </c>
      <c r="I167" s="25" t="s">
        <v>68</v>
      </c>
      <c r="J167" s="25"/>
      <c r="K167" s="25"/>
      <c r="L167" s="25"/>
      <c r="M167" s="26"/>
    </row>
    <row r="168" hidden="1">
      <c r="A168" s="25" t="s">
        <v>69</v>
      </c>
      <c r="B168" s="25">
        <v>3000.0</v>
      </c>
      <c r="C168" s="73"/>
      <c r="D168" s="74"/>
      <c r="E168" s="87" t="str">
        <f>B167*#REF!%*12/365</f>
        <v>#REF!</v>
      </c>
      <c r="F168" s="25" t="s">
        <v>70</v>
      </c>
      <c r="G168" s="29">
        <v>44936.0</v>
      </c>
      <c r="H168" s="29">
        <v>44925.0</v>
      </c>
      <c r="I168" s="25" t="str">
        <f t="shared" ref="I168:I172" si="12">I155</f>
        <v>N/A</v>
      </c>
      <c r="J168" s="25"/>
      <c r="K168" s="25"/>
      <c r="L168" s="25"/>
      <c r="M168" s="58"/>
    </row>
    <row r="169" hidden="1">
      <c r="A169" s="28" t="str">
        <f>#REF!-sum(D169)-B169</f>
        <v>#REF!</v>
      </c>
      <c r="B169" s="83">
        <f>sum(B171:B180)</f>
        <v>15000</v>
      </c>
      <c r="C169" s="79"/>
      <c r="D169" s="83">
        <f>sum(D171:D180)</f>
        <v>0</v>
      </c>
      <c r="E169" s="88" t="str">
        <f>if(today()&gt;#REF!,0,E168*(#REF!-#REF!+1))</f>
        <v>#REF!</v>
      </c>
      <c r="F169" s="63">
        <f>sum(F171:F180)</f>
        <v>17592.61</v>
      </c>
      <c r="G169" s="25" t="s">
        <v>86</v>
      </c>
      <c r="H169" s="25" t="s">
        <v>87</v>
      </c>
      <c r="I169" s="25" t="str">
        <f t="shared" si="12"/>
        <v>Miyapur</v>
      </c>
      <c r="J169" s="25"/>
      <c r="K169" s="25"/>
      <c r="L169" s="25"/>
      <c r="M169" s="58"/>
    </row>
    <row r="170" hidden="1">
      <c r="A170" s="32" t="s">
        <v>72</v>
      </c>
      <c r="B170" s="33" t="s">
        <v>84</v>
      </c>
      <c r="C170" s="33"/>
      <c r="D170" s="33" t="s">
        <v>73</v>
      </c>
      <c r="E170" s="34">
        <f>today()</f>
        <v>45969</v>
      </c>
      <c r="F170" s="35" t="s">
        <v>64</v>
      </c>
      <c r="G170" s="36" t="s">
        <v>75</v>
      </c>
      <c r="H170" s="36" t="s">
        <v>75</v>
      </c>
      <c r="I170" s="36" t="str">
        <f t="shared" si="12"/>
        <v>Maintenance</v>
      </c>
      <c r="J170" s="36"/>
      <c r="K170" s="36"/>
      <c r="L170" s="89"/>
      <c r="M170" s="61"/>
    </row>
    <row r="171" hidden="1">
      <c r="A171" s="53" t="str">
        <f t="shared" ref="A171:A180" si="13">#REF!-sum(D171)-B171</f>
        <v>#REF!</v>
      </c>
      <c r="B171" s="62">
        <f>B168</f>
        <v>3000</v>
      </c>
      <c r="C171" s="62"/>
      <c r="D171" s="62">
        <f>sumifs($F171:$M171,$F166:$M166,D170,$F167:$M167,"Pending")</f>
        <v>0</v>
      </c>
      <c r="E171" s="32" t="s">
        <v>76</v>
      </c>
      <c r="F171" s="66">
        <v>3276.9</v>
      </c>
      <c r="G171" s="73">
        <v>0.0</v>
      </c>
      <c r="H171" s="73">
        <v>0.0</v>
      </c>
      <c r="I171" s="73">
        <f t="shared" si="12"/>
        <v>1200</v>
      </c>
      <c r="J171" s="73"/>
      <c r="K171" s="73"/>
      <c r="L171" s="73"/>
      <c r="M171" s="76"/>
    </row>
    <row r="172" hidden="1">
      <c r="A172" s="53" t="str">
        <f t="shared" si="13"/>
        <v>#REF!</v>
      </c>
      <c r="B172" s="62">
        <f>B168</f>
        <v>3000</v>
      </c>
      <c r="C172" s="62"/>
      <c r="D172" s="62">
        <f>sumifs($F172:$M172,$F166:$M166,D170,$F167:$M167,"Pending")</f>
        <v>0</v>
      </c>
      <c r="E172" s="32" t="s">
        <v>77</v>
      </c>
      <c r="F172" s="69">
        <f>134947.71-129632</f>
        <v>5315.71</v>
      </c>
      <c r="G172" s="73">
        <v>0.0</v>
      </c>
      <c r="H172" s="73">
        <v>0.0</v>
      </c>
      <c r="I172" s="73">
        <f t="shared" si="12"/>
        <v>0</v>
      </c>
      <c r="J172" s="73"/>
      <c r="K172" s="73"/>
      <c r="L172" s="73"/>
      <c r="M172" s="76"/>
    </row>
    <row r="173" hidden="1">
      <c r="A173" s="53" t="str">
        <f t="shared" si="13"/>
        <v>#REF!</v>
      </c>
      <c r="B173" s="62">
        <f>B168</f>
        <v>3000</v>
      </c>
      <c r="C173" s="62"/>
      <c r="D173" s="62">
        <f t="shared" ref="D173:D174" si="14">sumifs($F173:$M173,$F166:$M166,D170,$F167:$M167,"Pending")</f>
        <v>0</v>
      </c>
      <c r="E173" s="32" t="s">
        <v>81</v>
      </c>
      <c r="F173" s="69">
        <v>3000.0</v>
      </c>
      <c r="G173" s="73">
        <v>0.0</v>
      </c>
      <c r="H173" s="73">
        <v>0.0</v>
      </c>
      <c r="I173" s="73">
        <v>0.0</v>
      </c>
      <c r="J173" s="73"/>
      <c r="K173" s="73"/>
      <c r="L173" s="73"/>
      <c r="M173" s="76"/>
    </row>
    <row r="174" hidden="1">
      <c r="A174" s="53" t="str">
        <f t="shared" si="13"/>
        <v>#REF!</v>
      </c>
      <c r="B174" s="62">
        <f>B168</f>
        <v>3000</v>
      </c>
      <c r="C174" s="62"/>
      <c r="D174" s="62">
        <f t="shared" si="14"/>
        <v>0</v>
      </c>
      <c r="E174" s="32" t="s">
        <v>79</v>
      </c>
      <c r="F174" s="69">
        <v>3000.0</v>
      </c>
      <c r="G174" s="73">
        <v>0.0</v>
      </c>
      <c r="H174" s="73">
        <v>0.0</v>
      </c>
      <c r="I174" s="73">
        <v>0.0</v>
      </c>
      <c r="J174" s="73"/>
      <c r="K174" s="73"/>
      <c r="L174" s="73"/>
      <c r="M174" s="76"/>
    </row>
    <row r="175" hidden="1">
      <c r="A175" s="53" t="str">
        <f t="shared" si="13"/>
        <v>#REF!</v>
      </c>
      <c r="B175" s="62">
        <f>B168</f>
        <v>3000</v>
      </c>
      <c r="C175" s="62"/>
      <c r="D175" s="62">
        <f>sumifs($F175:$M175,$F167:$M167,D172,$F168:$M168,"Pending")</f>
        <v>0</v>
      </c>
      <c r="E175" s="32" t="s">
        <v>98</v>
      </c>
      <c r="F175" s="69">
        <v>3000.0</v>
      </c>
      <c r="G175" s="73">
        <v>0.0</v>
      </c>
      <c r="H175" s="73">
        <v>0.0</v>
      </c>
      <c r="I175" s="73">
        <v>0.0</v>
      </c>
      <c r="J175" s="73"/>
      <c r="K175" s="73"/>
      <c r="L175" s="73"/>
      <c r="M175" s="76"/>
    </row>
    <row r="176" hidden="1">
      <c r="A176" s="53" t="str">
        <f t="shared" si="13"/>
        <v>#REF!</v>
      </c>
      <c r="B176" s="62">
        <v>0.0</v>
      </c>
      <c r="C176" s="62"/>
      <c r="D176" s="62">
        <f>sumifs($F176:$M176,$F169:$M169,D173,$F170:$M170,"Pending")</f>
        <v>0</v>
      </c>
      <c r="E176" s="32" t="s">
        <v>96</v>
      </c>
      <c r="F176" s="69">
        <v>0.0</v>
      </c>
      <c r="G176" s="73">
        <v>0.0</v>
      </c>
      <c r="H176" s="73">
        <v>0.0</v>
      </c>
      <c r="I176" s="73">
        <v>0.0</v>
      </c>
      <c r="J176" s="73"/>
      <c r="K176" s="73"/>
      <c r="L176" s="73"/>
      <c r="M176" s="76"/>
    </row>
    <row r="177" hidden="1">
      <c r="A177" s="53" t="str">
        <f t="shared" si="13"/>
        <v>#REF!</v>
      </c>
      <c r="B177" s="62">
        <v>0.0</v>
      </c>
      <c r="C177" s="62"/>
      <c r="D177" s="62">
        <f>sumifs($F177:$M177,$F166:$M166,D170,$F167:$M167,"Pending")</f>
        <v>0</v>
      </c>
      <c r="E177" s="33" t="s">
        <v>82</v>
      </c>
      <c r="F177" s="69">
        <v>0.0</v>
      </c>
      <c r="G177" s="73">
        <v>0.0</v>
      </c>
      <c r="H177" s="73">
        <v>0.0</v>
      </c>
      <c r="I177" s="73">
        <v>0.0</v>
      </c>
      <c r="J177" s="73"/>
      <c r="K177" s="73"/>
      <c r="L177" s="73"/>
      <c r="M177" s="76"/>
    </row>
    <row r="178" hidden="1">
      <c r="A178" s="53" t="str">
        <f t="shared" si="13"/>
        <v>#REF!</v>
      </c>
      <c r="B178" s="62">
        <v>0.0</v>
      </c>
      <c r="C178" s="62"/>
      <c r="D178" s="62">
        <f>sumifs($F178:$M178,$F166:$M166,D170,$F167:$M167,"Pending")</f>
        <v>0</v>
      </c>
      <c r="E178" s="33" t="s">
        <v>83</v>
      </c>
      <c r="F178" s="90">
        <f t="shared" ref="F178:F179" si="15">sum(G178:M178)+B178</f>
        <v>0</v>
      </c>
      <c r="G178" s="73">
        <v>0.0</v>
      </c>
      <c r="H178" s="73">
        <v>0.0</v>
      </c>
      <c r="I178" s="73">
        <v>0.0</v>
      </c>
      <c r="J178" s="73"/>
      <c r="K178" s="73"/>
      <c r="L178" s="73"/>
      <c r="M178" s="76"/>
    </row>
    <row r="179" hidden="1">
      <c r="A179" s="53" t="str">
        <f t="shared" si="13"/>
        <v>#REF!</v>
      </c>
      <c r="B179" s="62">
        <v>0.0</v>
      </c>
      <c r="C179" s="62"/>
      <c r="D179" s="62">
        <f>sumifs($F179:$M179,$F166:$M166,D170,$F167:$M167,"Pending")</f>
        <v>0</v>
      </c>
      <c r="E179" s="33" t="s">
        <v>85</v>
      </c>
      <c r="F179" s="90">
        <f t="shared" si="15"/>
        <v>0</v>
      </c>
      <c r="G179" s="73">
        <v>0.0</v>
      </c>
      <c r="H179" s="73">
        <v>0.0</v>
      </c>
      <c r="I179" s="73">
        <v>0.0</v>
      </c>
      <c r="J179" s="73"/>
      <c r="K179" s="73"/>
      <c r="L179" s="73"/>
      <c r="M179" s="76"/>
    </row>
    <row r="180" hidden="1">
      <c r="A180" s="53" t="str">
        <f t="shared" si="13"/>
        <v>#REF!</v>
      </c>
      <c r="B180" s="62">
        <v>0.0</v>
      </c>
      <c r="C180" s="62"/>
      <c r="D180" s="62">
        <f>sumifs($F180:$M180,$F166:$M166,D170,$F167:$M167,"Pending")</f>
        <v>0</v>
      </c>
      <c r="E180" s="33" t="s">
        <v>91</v>
      </c>
      <c r="F180" s="69">
        <v>0.0</v>
      </c>
      <c r="G180" s="73">
        <v>0.0</v>
      </c>
      <c r="H180" s="73">
        <v>0.0</v>
      </c>
      <c r="I180" s="73">
        <v>0.0</v>
      </c>
      <c r="J180" s="73"/>
      <c r="K180" s="73"/>
      <c r="L180" s="73"/>
      <c r="M180" s="76"/>
    </row>
    <row r="181" hidden="1">
      <c r="A181" s="71"/>
      <c r="B181" s="24"/>
      <c r="C181" s="24"/>
      <c r="D181" s="24"/>
      <c r="E181" s="24"/>
      <c r="F181" s="25"/>
      <c r="G181" s="25"/>
      <c r="H181" s="25"/>
      <c r="I181" s="25"/>
      <c r="J181" s="25"/>
      <c r="K181" s="25"/>
      <c r="L181" s="25"/>
      <c r="M181" s="26"/>
    </row>
    <row r="182" hidden="1">
      <c r="A182" s="71">
        <v>45292.0</v>
      </c>
      <c r="B182" s="91">
        <f>B166</f>
        <v>0</v>
      </c>
      <c r="C182" s="24"/>
      <c r="D182" s="24"/>
      <c r="E182" s="24" t="str">
        <f>A185-A169</f>
        <v>#REF!</v>
      </c>
      <c r="F182" s="25" t="s">
        <v>64</v>
      </c>
      <c r="G182" s="25" t="s">
        <v>97</v>
      </c>
      <c r="H182" s="25" t="s">
        <v>97</v>
      </c>
      <c r="I182" s="25" t="s">
        <v>66</v>
      </c>
      <c r="J182" s="25"/>
      <c r="K182" s="25"/>
      <c r="L182" s="25"/>
      <c r="M182" s="26"/>
    </row>
    <row r="183" hidden="1">
      <c r="A183" s="25" t="s">
        <v>95</v>
      </c>
      <c r="B183" s="72">
        <f>Projections!L15</f>
        <v>133132</v>
      </c>
      <c r="C183" s="25"/>
      <c r="D183" s="25" t="s">
        <v>67</v>
      </c>
      <c r="E183" s="57">
        <f>Projections!L14</f>
        <v>168224.61</v>
      </c>
      <c r="F183" s="73" t="s">
        <v>67</v>
      </c>
      <c r="G183" s="25" t="s">
        <v>68</v>
      </c>
      <c r="H183" s="25" t="s">
        <v>68</v>
      </c>
      <c r="I183" s="25" t="s">
        <v>68</v>
      </c>
      <c r="J183" s="25"/>
      <c r="K183" s="25"/>
      <c r="L183" s="25"/>
      <c r="M183" s="26"/>
    </row>
    <row r="184" hidden="1">
      <c r="A184" s="25" t="s">
        <v>69</v>
      </c>
      <c r="B184" s="25" t="str">
        <f>#REF!/5</f>
        <v>#REF!</v>
      </c>
      <c r="C184" s="73"/>
      <c r="D184" s="74"/>
      <c r="E184" s="86"/>
      <c r="F184" s="25" t="s">
        <v>70</v>
      </c>
      <c r="G184" s="29">
        <v>44938.0</v>
      </c>
      <c r="H184" s="29">
        <v>373656.0</v>
      </c>
      <c r="I184" s="92" t="str">
        <f>date(year(#REF!),month(#REF!),5)</f>
        <v>#REF!</v>
      </c>
      <c r="J184" s="92"/>
      <c r="K184" s="92"/>
      <c r="L184" s="92"/>
      <c r="M184" s="58"/>
    </row>
    <row r="185" hidden="1">
      <c r="A185" s="28" t="str">
        <f>#REF!-sum(D185)-B185</f>
        <v>#REF!</v>
      </c>
      <c r="B185" s="79" t="str">
        <f>sum(B187:B196)</f>
        <v>#REF!</v>
      </c>
      <c r="C185" s="79"/>
      <c r="D185" s="83">
        <f>sum(D187:D196)</f>
        <v>0</v>
      </c>
      <c r="E185" s="59"/>
      <c r="F185" s="63">
        <f>sum(F187:F196)</f>
        <v>18307.73</v>
      </c>
      <c r="G185" s="25" t="s">
        <v>86</v>
      </c>
      <c r="H185" s="25" t="s">
        <v>87</v>
      </c>
      <c r="I185" s="25" t="s">
        <v>88</v>
      </c>
      <c r="J185" s="25"/>
      <c r="K185" s="25"/>
      <c r="L185" s="25"/>
      <c r="M185" s="58"/>
    </row>
    <row r="186" hidden="1">
      <c r="A186" s="32" t="s">
        <v>72</v>
      </c>
      <c r="B186" s="33" t="s">
        <v>84</v>
      </c>
      <c r="C186" s="33"/>
      <c r="D186" s="33" t="s">
        <v>73</v>
      </c>
      <c r="E186" s="34">
        <f>today()</f>
        <v>45969</v>
      </c>
      <c r="F186" s="35" t="s">
        <v>64</v>
      </c>
      <c r="G186" s="93" t="str">
        <f t="shared" ref="G186:I186" si="16">G170</f>
        <v>CC Bill</v>
      </c>
      <c r="H186" s="93" t="str">
        <f t="shared" si="16"/>
        <v>CC Bill</v>
      </c>
      <c r="I186" s="93" t="str">
        <f t="shared" si="16"/>
        <v>Maintenance</v>
      </c>
      <c r="J186" s="89"/>
      <c r="K186" s="89"/>
      <c r="L186" s="89"/>
      <c r="M186" s="94"/>
    </row>
    <row r="187" hidden="1">
      <c r="A187" s="53" t="str">
        <f t="shared" ref="A187:A196" si="17">#REF!-sum(D187)-B187</f>
        <v>#REF!</v>
      </c>
      <c r="B187" s="62" t="str">
        <f>B171+B184</f>
        <v>#REF!</v>
      </c>
      <c r="C187" s="62"/>
      <c r="D187" s="62">
        <f>sumifs($F187:$M187,$F182:$M182,D186,$F183:$M183,"Pending")</f>
        <v>0</v>
      </c>
      <c r="E187" s="32" t="s">
        <v>76</v>
      </c>
      <c r="F187" s="66">
        <v>492.6</v>
      </c>
      <c r="G187" s="25">
        <v>3866.81</v>
      </c>
      <c r="H187" s="73">
        <v>25265.24</v>
      </c>
      <c r="I187" s="73">
        <f t="shared" ref="I187:I191" si="18">I171</f>
        <v>1200</v>
      </c>
      <c r="J187" s="25"/>
      <c r="K187" s="25"/>
      <c r="L187" s="25"/>
      <c r="M187" s="76"/>
    </row>
    <row r="188" hidden="1">
      <c r="A188" s="53" t="str">
        <f t="shared" si="17"/>
        <v>#REF!</v>
      </c>
      <c r="B188" s="62" t="str">
        <f>B172+B184</f>
        <v>#REF!</v>
      </c>
      <c r="C188" s="62"/>
      <c r="D188" s="62">
        <f>sumifs($F188:$M188,$F182:$M182,D186,$F183:$M183,"Pending")</f>
        <v>0</v>
      </c>
      <c r="E188" s="32" t="s">
        <v>77</v>
      </c>
      <c r="F188" s="69">
        <v>5592.6</v>
      </c>
      <c r="G188" s="73">
        <v>0.0</v>
      </c>
      <c r="H188" s="73">
        <v>0.0</v>
      </c>
      <c r="I188" s="73">
        <f t="shared" si="18"/>
        <v>0</v>
      </c>
      <c r="J188" s="25"/>
      <c r="K188" s="25"/>
      <c r="L188" s="25"/>
      <c r="M188" s="76"/>
    </row>
    <row r="189" hidden="1">
      <c r="A189" s="53" t="str">
        <f t="shared" si="17"/>
        <v>#REF!</v>
      </c>
      <c r="B189" s="62" t="str">
        <f>B173+B184</f>
        <v>#REF!</v>
      </c>
      <c r="C189" s="62"/>
      <c r="D189" s="62">
        <f t="shared" ref="D189:D190" si="19">sumifs($F189:$M189,$F182:$M182,D186,$F183:$M183,"Pending")</f>
        <v>0</v>
      </c>
      <c r="E189" s="32" t="s">
        <v>81</v>
      </c>
      <c r="F189" s="69">
        <v>5592.6</v>
      </c>
      <c r="G189" s="73">
        <v>0.0</v>
      </c>
      <c r="H189" s="73">
        <v>0.0</v>
      </c>
      <c r="I189" s="73">
        <f t="shared" si="18"/>
        <v>0</v>
      </c>
      <c r="J189" s="25"/>
      <c r="K189" s="25"/>
      <c r="L189" s="25"/>
      <c r="M189" s="76"/>
    </row>
    <row r="190" hidden="1">
      <c r="A190" s="53" t="str">
        <f t="shared" si="17"/>
        <v>#REF!</v>
      </c>
      <c r="B190" s="62" t="str">
        <f>B184+B173</f>
        <v>#REF!</v>
      </c>
      <c r="C190" s="62"/>
      <c r="D190" s="62">
        <f t="shared" si="19"/>
        <v>0</v>
      </c>
      <c r="E190" s="32" t="s">
        <v>79</v>
      </c>
      <c r="F190" s="69">
        <v>5592.6</v>
      </c>
      <c r="G190" s="73">
        <v>0.0</v>
      </c>
      <c r="H190" s="73">
        <v>0.0</v>
      </c>
      <c r="I190" s="73">
        <f t="shared" si="18"/>
        <v>0</v>
      </c>
      <c r="J190" s="25"/>
      <c r="K190" s="25"/>
      <c r="L190" s="25"/>
      <c r="M190" s="76"/>
    </row>
    <row r="191" hidden="1">
      <c r="A191" s="53" t="str">
        <f t="shared" si="17"/>
        <v>#REF!</v>
      </c>
      <c r="B191" s="62" t="str">
        <f>B184+B175</f>
        <v>#REF!</v>
      </c>
      <c r="C191" s="62"/>
      <c r="D191" s="62">
        <f>sumifs($F191:$M191,$F183:$M183,D186,$F184:$M184,"Pending")</f>
        <v>0</v>
      </c>
      <c r="E191" s="32" t="s">
        <v>98</v>
      </c>
      <c r="F191" s="69">
        <v>1037.33</v>
      </c>
      <c r="G191" s="73">
        <v>0.0</v>
      </c>
      <c r="H191" s="73">
        <v>0.0</v>
      </c>
      <c r="I191" s="73">
        <f t="shared" si="18"/>
        <v>0</v>
      </c>
      <c r="J191" s="25"/>
      <c r="K191" s="25"/>
      <c r="L191" s="25"/>
      <c r="M191" s="76"/>
    </row>
    <row r="192" hidden="1">
      <c r="A192" s="53" t="str">
        <f t="shared" si="17"/>
        <v>#REF!</v>
      </c>
      <c r="B192" s="62">
        <v>0.0</v>
      </c>
      <c r="C192" s="62"/>
      <c r="D192" s="62">
        <f>sumifs($F192:$M192,$F185:$M185,D189,$F186:$M186,"Pending")</f>
        <v>0</v>
      </c>
      <c r="E192" s="32" t="s">
        <v>96</v>
      </c>
      <c r="F192" s="69">
        <v>0.0</v>
      </c>
      <c r="G192" s="73">
        <v>0.0</v>
      </c>
      <c r="H192" s="73">
        <v>0.0</v>
      </c>
      <c r="I192" s="73">
        <v>0.0</v>
      </c>
      <c r="J192" s="73"/>
      <c r="K192" s="73"/>
      <c r="L192" s="73"/>
      <c r="M192" s="76"/>
    </row>
    <row r="193" hidden="1">
      <c r="A193" s="53" t="str">
        <f t="shared" si="17"/>
        <v>#REF!</v>
      </c>
      <c r="B193" s="62">
        <v>0.0</v>
      </c>
      <c r="C193" s="62"/>
      <c r="D193" s="62">
        <f>sumifs($F193:$M193,$F182:$M182,D186,$F183:$M183,"Pending")</f>
        <v>0</v>
      </c>
      <c r="E193" s="33" t="s">
        <v>82</v>
      </c>
      <c r="F193" s="90">
        <f t="shared" ref="F193:F194" si="20">sum(G193:M193)+B193</f>
        <v>0</v>
      </c>
      <c r="G193" s="73">
        <v>0.0</v>
      </c>
      <c r="H193" s="73">
        <v>0.0</v>
      </c>
      <c r="I193" s="73">
        <f t="shared" ref="I193:I196" si="21">I177</f>
        <v>0</v>
      </c>
      <c r="J193" s="25"/>
      <c r="K193" s="25"/>
      <c r="L193" s="25"/>
      <c r="M193" s="76"/>
    </row>
    <row r="194" hidden="1">
      <c r="A194" s="53" t="str">
        <f t="shared" si="17"/>
        <v>#REF!</v>
      </c>
      <c r="B194" s="62">
        <v>0.0</v>
      </c>
      <c r="C194" s="62"/>
      <c r="D194" s="62">
        <f>sumifs($F194:$M194,$F182:$M182,D186,$F183:$M183,"Pending")</f>
        <v>0</v>
      </c>
      <c r="E194" s="33" t="s">
        <v>83</v>
      </c>
      <c r="F194" s="90">
        <f t="shared" si="20"/>
        <v>0</v>
      </c>
      <c r="G194" s="73">
        <v>0.0</v>
      </c>
      <c r="H194" s="73">
        <v>0.0</v>
      </c>
      <c r="I194" s="73">
        <f t="shared" si="21"/>
        <v>0</v>
      </c>
      <c r="J194" s="25"/>
      <c r="K194" s="25"/>
      <c r="L194" s="25"/>
      <c r="M194" s="76"/>
    </row>
    <row r="195" hidden="1">
      <c r="A195" s="53" t="str">
        <f t="shared" si="17"/>
        <v>#REF!</v>
      </c>
      <c r="B195" s="62">
        <v>0.0</v>
      </c>
      <c r="C195" s="62"/>
      <c r="D195" s="62">
        <f>sumifs($F195:$M195,$F182:$M182,D186,$F183:$M183,"Pending")</f>
        <v>0</v>
      </c>
      <c r="E195" s="33" t="s">
        <v>85</v>
      </c>
      <c r="F195" s="69">
        <v>0.0</v>
      </c>
      <c r="G195" s="73">
        <v>0.0</v>
      </c>
      <c r="H195" s="73">
        <v>0.0</v>
      </c>
      <c r="I195" s="73">
        <f t="shared" si="21"/>
        <v>0</v>
      </c>
      <c r="J195" s="25"/>
      <c r="K195" s="25"/>
      <c r="L195" s="25"/>
      <c r="M195" s="76"/>
    </row>
    <row r="196" hidden="1">
      <c r="A196" s="53" t="str">
        <f t="shared" si="17"/>
        <v>#REF!</v>
      </c>
      <c r="B196" s="62">
        <v>0.0</v>
      </c>
      <c r="C196" s="62"/>
      <c r="D196" s="62">
        <f>sumifs($F196:$M196,$F182:$M182,D186,$F183:$M183,"Pending")</f>
        <v>0</v>
      </c>
      <c r="E196" s="33" t="s">
        <v>91</v>
      </c>
      <c r="F196" s="69">
        <v>0.0</v>
      </c>
      <c r="G196" s="73">
        <v>0.0</v>
      </c>
      <c r="H196" s="73">
        <v>0.0</v>
      </c>
      <c r="I196" s="73">
        <f t="shared" si="21"/>
        <v>0</v>
      </c>
      <c r="J196" s="25"/>
      <c r="K196" s="25"/>
      <c r="L196" s="25"/>
      <c r="M196" s="76"/>
    </row>
    <row r="197" hidden="1">
      <c r="A197" s="71"/>
      <c r="B197" s="24"/>
      <c r="C197" s="24"/>
      <c r="D197" s="24"/>
      <c r="E197" s="24"/>
      <c r="F197" s="25"/>
      <c r="G197" s="25"/>
      <c r="H197" s="25"/>
      <c r="I197" s="25"/>
      <c r="J197" s="25"/>
      <c r="K197" s="25"/>
      <c r="L197" s="25"/>
      <c r="M197" s="26"/>
    </row>
    <row r="198" hidden="1">
      <c r="A198" s="71">
        <v>45323.0</v>
      </c>
      <c r="B198" s="91">
        <f>B182</f>
        <v>0</v>
      </c>
      <c r="C198" s="24"/>
      <c r="D198" s="24"/>
      <c r="E198" s="24" t="str">
        <f>A201-A185</f>
        <v>#REF!</v>
      </c>
      <c r="F198" s="25" t="s">
        <v>64</v>
      </c>
      <c r="G198" s="25" t="s">
        <v>97</v>
      </c>
      <c r="H198" s="25" t="s">
        <v>97</v>
      </c>
      <c r="I198" s="25" t="s">
        <v>66</v>
      </c>
      <c r="J198" s="25"/>
      <c r="K198" s="25"/>
      <c r="L198" s="25"/>
      <c r="M198" s="26"/>
    </row>
    <row r="199" hidden="1">
      <c r="A199" s="25" t="s">
        <v>95</v>
      </c>
      <c r="B199" s="72">
        <f>Projections!M15</f>
        <v>133132</v>
      </c>
      <c r="C199" s="25"/>
      <c r="D199" s="25" t="s">
        <v>67</v>
      </c>
      <c r="E199" s="57">
        <f>Projections!M14</f>
        <v>152439.73</v>
      </c>
      <c r="F199" s="73" t="s">
        <v>67</v>
      </c>
      <c r="G199" s="25" t="s">
        <v>68</v>
      </c>
      <c r="H199" s="25" t="s">
        <v>67</v>
      </c>
      <c r="I199" s="25" t="s">
        <v>68</v>
      </c>
      <c r="J199" s="25"/>
      <c r="K199" s="25"/>
      <c r="L199" s="25"/>
      <c r="M199" s="26"/>
    </row>
    <row r="200" hidden="1">
      <c r="A200" s="25" t="s">
        <v>69</v>
      </c>
      <c r="B200" s="95" t="str">
        <f>#REF!/5</f>
        <v>#REF!</v>
      </c>
      <c r="C200" s="73"/>
      <c r="D200" s="74"/>
      <c r="E200" s="86"/>
      <c r="F200" s="25" t="s">
        <v>70</v>
      </c>
      <c r="G200" s="29">
        <v>44963.0</v>
      </c>
      <c r="H200" s="29">
        <v>44963.0</v>
      </c>
      <c r="I200" s="92" t="str">
        <f>date(year(#REF!),month(#REF!),5)</f>
        <v>#REF!</v>
      </c>
      <c r="J200" s="92"/>
      <c r="K200" s="92"/>
      <c r="L200" s="92"/>
      <c r="M200" s="58"/>
    </row>
    <row r="201" hidden="1">
      <c r="A201" s="28" t="str">
        <f>#REF!-sum(D201)-B201</f>
        <v>#REF!</v>
      </c>
      <c r="B201" s="83">
        <f>sum(B203:B212)</f>
        <v>40000</v>
      </c>
      <c r="C201" s="79"/>
      <c r="D201" s="83">
        <f>sum(D203:D212)</f>
        <v>0</v>
      </c>
      <c r="E201" s="59"/>
      <c r="F201" s="63">
        <f>sum(F203:F212)</f>
        <v>140217.66</v>
      </c>
      <c r="G201" s="25" t="s">
        <v>86</v>
      </c>
      <c r="H201" s="25" t="s">
        <v>87</v>
      </c>
      <c r="I201" s="25" t="s">
        <v>88</v>
      </c>
      <c r="J201" s="25"/>
      <c r="K201" s="25"/>
      <c r="L201" s="25"/>
      <c r="M201" s="58"/>
    </row>
    <row r="202" hidden="1">
      <c r="A202" s="32" t="s">
        <v>72</v>
      </c>
      <c r="B202" s="33" t="s">
        <v>84</v>
      </c>
      <c r="C202" s="33"/>
      <c r="D202" s="33" t="s">
        <v>73</v>
      </c>
      <c r="E202" s="34">
        <f>today()</f>
        <v>45969</v>
      </c>
      <c r="F202" s="35" t="s">
        <v>64</v>
      </c>
      <c r="G202" s="36" t="s">
        <v>75</v>
      </c>
      <c r="H202" s="36" t="s">
        <v>75</v>
      </c>
      <c r="I202" s="93" t="str">
        <f t="shared" ref="I202:I203" si="22">I186</f>
        <v>Maintenance</v>
      </c>
      <c r="J202" s="89"/>
      <c r="K202" s="89"/>
      <c r="L202" s="89"/>
      <c r="M202" s="94"/>
    </row>
    <row r="203" hidden="1">
      <c r="A203" s="53" t="str">
        <f t="shared" ref="A203:A212" si="23">#REF!-sum(D203)-B203</f>
        <v>#REF!</v>
      </c>
      <c r="B203" s="62">
        <v>10000.0</v>
      </c>
      <c r="C203" s="62"/>
      <c r="D203" s="62">
        <f>sumifs($F203:$M203,$F198:$M198,D202,$F199:$M199,"Pending")</f>
        <v>0</v>
      </c>
      <c r="E203" s="32" t="s">
        <v>76</v>
      </c>
      <c r="F203" s="66">
        <v>105250.39</v>
      </c>
      <c r="G203" s="25">
        <v>647.0</v>
      </c>
      <c r="H203" s="73">
        <v>0.0</v>
      </c>
      <c r="I203" s="73">
        <f t="shared" si="22"/>
        <v>1200</v>
      </c>
      <c r="J203" s="25"/>
      <c r="K203" s="25"/>
      <c r="L203" s="25"/>
      <c r="M203" s="76"/>
    </row>
    <row r="204" hidden="1">
      <c r="A204" s="53" t="str">
        <f t="shared" si="23"/>
        <v>#REF!</v>
      </c>
      <c r="B204" s="62">
        <v>10000.0</v>
      </c>
      <c r="C204" s="62"/>
      <c r="D204" s="62">
        <f>sumifs($F204:$M204,$F198:$M198,D202,$F199:$M199,"Pending")</f>
        <v>0</v>
      </c>
      <c r="E204" s="32" t="s">
        <v>77</v>
      </c>
      <c r="F204" s="69">
        <v>14503.52</v>
      </c>
      <c r="G204" s="73">
        <f t="shared" ref="G204:I204" si="24">G188</f>
        <v>0</v>
      </c>
      <c r="H204" s="73">
        <f t="shared" si="24"/>
        <v>0</v>
      </c>
      <c r="I204" s="73">
        <f t="shared" si="24"/>
        <v>0</v>
      </c>
      <c r="J204" s="25"/>
      <c r="K204" s="25"/>
      <c r="L204" s="25"/>
      <c r="M204" s="76"/>
    </row>
    <row r="205" hidden="1">
      <c r="A205" s="53" t="str">
        <f t="shared" si="23"/>
        <v>#REF!</v>
      </c>
      <c r="B205" s="62">
        <v>10000.0</v>
      </c>
      <c r="C205" s="62"/>
      <c r="D205" s="62">
        <f t="shared" ref="D205:D206" si="26">sumifs($F205:$M205,$F198:$M198,D202,$F199:$M199,"Pending")</f>
        <v>0</v>
      </c>
      <c r="E205" s="32" t="s">
        <v>81</v>
      </c>
      <c r="F205" s="69">
        <v>10231.5</v>
      </c>
      <c r="G205" s="73">
        <f t="shared" ref="G205:I205" si="25">G189</f>
        <v>0</v>
      </c>
      <c r="H205" s="73">
        <f t="shared" si="25"/>
        <v>0</v>
      </c>
      <c r="I205" s="73">
        <f t="shared" si="25"/>
        <v>0</v>
      </c>
      <c r="J205" s="25"/>
      <c r="K205" s="25"/>
      <c r="L205" s="25"/>
      <c r="M205" s="76"/>
    </row>
    <row r="206" hidden="1">
      <c r="A206" s="53" t="str">
        <f t="shared" si="23"/>
        <v>#REF!</v>
      </c>
      <c r="B206" s="62">
        <v>10000.0</v>
      </c>
      <c r="C206" s="62"/>
      <c r="D206" s="62">
        <f t="shared" si="26"/>
        <v>0</v>
      </c>
      <c r="E206" s="32" t="s">
        <v>79</v>
      </c>
      <c r="F206" s="69">
        <v>10231.5</v>
      </c>
      <c r="G206" s="73">
        <f t="shared" ref="G206:I206" si="27">G190</f>
        <v>0</v>
      </c>
      <c r="H206" s="73">
        <f t="shared" si="27"/>
        <v>0</v>
      </c>
      <c r="I206" s="73">
        <f t="shared" si="27"/>
        <v>0</v>
      </c>
      <c r="J206" s="25"/>
      <c r="K206" s="25"/>
      <c r="L206" s="25"/>
      <c r="M206" s="76"/>
    </row>
    <row r="207" hidden="1">
      <c r="A207" s="53" t="str">
        <f t="shared" si="23"/>
        <v>#REF!</v>
      </c>
      <c r="B207" s="62">
        <v>0.0</v>
      </c>
      <c r="C207" s="62"/>
      <c r="D207" s="62">
        <f>sumifs($F207:$M207,$F199:$M199,D202,$F200:$M200,"Pending")</f>
        <v>0</v>
      </c>
      <c r="E207" s="32" t="s">
        <v>98</v>
      </c>
      <c r="F207" s="69">
        <v>0.75</v>
      </c>
      <c r="G207" s="73">
        <f t="shared" ref="G207:I207" si="28">G191</f>
        <v>0</v>
      </c>
      <c r="H207" s="73">
        <f t="shared" si="28"/>
        <v>0</v>
      </c>
      <c r="I207" s="73">
        <f t="shared" si="28"/>
        <v>0</v>
      </c>
      <c r="J207" s="25"/>
      <c r="K207" s="25"/>
      <c r="L207" s="25"/>
      <c r="M207" s="76"/>
    </row>
    <row r="208" hidden="1">
      <c r="A208" s="53" t="str">
        <f t="shared" si="23"/>
        <v>#REF!</v>
      </c>
      <c r="B208" s="62">
        <v>0.0</v>
      </c>
      <c r="C208" s="62"/>
      <c r="D208" s="62">
        <f>sumifs($F208:$M208,$F201:$M201,D205,$F202:$M202,"Pending")</f>
        <v>0</v>
      </c>
      <c r="E208" s="32" t="s">
        <v>96</v>
      </c>
      <c r="F208" s="69">
        <v>0.0</v>
      </c>
      <c r="G208" s="73">
        <f t="shared" ref="G208:H208" si="29">G192</f>
        <v>0</v>
      </c>
      <c r="H208" s="73">
        <f t="shared" si="29"/>
        <v>0</v>
      </c>
      <c r="I208" s="73">
        <v>0.0</v>
      </c>
      <c r="J208" s="73"/>
      <c r="K208" s="73"/>
      <c r="L208" s="73"/>
      <c r="M208" s="76"/>
    </row>
    <row r="209" hidden="1">
      <c r="A209" s="53" t="str">
        <f t="shared" si="23"/>
        <v>#REF!</v>
      </c>
      <c r="B209" s="62">
        <v>0.0</v>
      </c>
      <c r="C209" s="62"/>
      <c r="D209" s="62">
        <f>sumifs($F209:$M209,$F198:$M198,D202,$F199:$M199,"Pending")</f>
        <v>0</v>
      </c>
      <c r="E209" s="33" t="s">
        <v>82</v>
      </c>
      <c r="F209" s="90">
        <f t="shared" ref="F209:F212" si="31">sum(G209:M209)+B209</f>
        <v>0</v>
      </c>
      <c r="G209" s="73">
        <f t="shared" ref="G209:I209" si="30">G193</f>
        <v>0</v>
      </c>
      <c r="H209" s="73">
        <f t="shared" si="30"/>
        <v>0</v>
      </c>
      <c r="I209" s="73">
        <f t="shared" si="30"/>
        <v>0</v>
      </c>
      <c r="J209" s="25"/>
      <c r="K209" s="25"/>
      <c r="L209" s="25"/>
      <c r="M209" s="76"/>
    </row>
    <row r="210" hidden="1">
      <c r="A210" s="53" t="str">
        <f t="shared" si="23"/>
        <v>#REF!</v>
      </c>
      <c r="B210" s="62">
        <v>0.0</v>
      </c>
      <c r="C210" s="62"/>
      <c r="D210" s="62">
        <f>sumifs($F210:$M210,$F198:$M198,D202,$F199:$M199,"Pending")</f>
        <v>0</v>
      </c>
      <c r="E210" s="33" t="s">
        <v>83</v>
      </c>
      <c r="F210" s="90">
        <f t="shared" si="31"/>
        <v>0</v>
      </c>
      <c r="G210" s="73">
        <f t="shared" ref="G210:I210" si="32">G194</f>
        <v>0</v>
      </c>
      <c r="H210" s="73">
        <f t="shared" si="32"/>
        <v>0</v>
      </c>
      <c r="I210" s="73">
        <f t="shared" si="32"/>
        <v>0</v>
      </c>
      <c r="J210" s="25"/>
      <c r="K210" s="25"/>
      <c r="L210" s="25"/>
      <c r="M210" s="76"/>
    </row>
    <row r="211" hidden="1">
      <c r="A211" s="53" t="str">
        <f t="shared" si="23"/>
        <v>#REF!</v>
      </c>
      <c r="B211" s="62">
        <v>0.0</v>
      </c>
      <c r="C211" s="62"/>
      <c r="D211" s="62">
        <f>sumifs($F211:$M211,$F198:$M198,D202,$F199:$M199,"Pending")</f>
        <v>0</v>
      </c>
      <c r="E211" s="33" t="s">
        <v>85</v>
      </c>
      <c r="F211" s="90">
        <f t="shared" si="31"/>
        <v>0</v>
      </c>
      <c r="G211" s="73">
        <f t="shared" ref="G211:I211" si="33">G195</f>
        <v>0</v>
      </c>
      <c r="H211" s="73">
        <f t="shared" si="33"/>
        <v>0</v>
      </c>
      <c r="I211" s="73">
        <f t="shared" si="33"/>
        <v>0</v>
      </c>
      <c r="J211" s="25"/>
      <c r="K211" s="25"/>
      <c r="L211" s="25"/>
      <c r="M211" s="76"/>
    </row>
    <row r="212" hidden="1">
      <c r="A212" s="53" t="str">
        <f t="shared" si="23"/>
        <v>#REF!</v>
      </c>
      <c r="B212" s="62">
        <v>0.0</v>
      </c>
      <c r="C212" s="62"/>
      <c r="D212" s="62">
        <f>sumifs($F212:$M212,$F198:$M198,D202,$F199:$M199,"Pending")</f>
        <v>0</v>
      </c>
      <c r="E212" s="33" t="s">
        <v>91</v>
      </c>
      <c r="F212" s="90">
        <f t="shared" si="31"/>
        <v>0</v>
      </c>
      <c r="G212" s="73">
        <f t="shared" ref="G212:I212" si="34">G196</f>
        <v>0</v>
      </c>
      <c r="H212" s="73">
        <f t="shared" si="34"/>
        <v>0</v>
      </c>
      <c r="I212" s="73">
        <f t="shared" si="34"/>
        <v>0</v>
      </c>
      <c r="J212" s="25"/>
      <c r="K212" s="25"/>
      <c r="L212" s="25"/>
      <c r="M212" s="76"/>
    </row>
    <row r="213" hidden="1">
      <c r="A213" s="71"/>
      <c r="B213" s="24"/>
      <c r="C213" s="24"/>
      <c r="D213" s="24"/>
      <c r="E213" s="24"/>
      <c r="F213" s="25"/>
      <c r="G213" s="25"/>
      <c r="H213" s="25"/>
      <c r="I213" s="25"/>
      <c r="J213" s="25"/>
      <c r="K213" s="25"/>
      <c r="L213" s="25"/>
      <c r="M213" s="26"/>
    </row>
    <row r="214" hidden="1">
      <c r="A214" s="71">
        <v>45352.0</v>
      </c>
      <c r="B214" s="91">
        <f>B198</f>
        <v>0</v>
      </c>
      <c r="C214" s="24"/>
      <c r="D214" s="24"/>
      <c r="E214" s="24" t="str">
        <f>A217-A201</f>
        <v>#REF!</v>
      </c>
      <c r="F214" s="25" t="s">
        <v>64</v>
      </c>
      <c r="G214" s="25" t="s">
        <v>97</v>
      </c>
      <c r="H214" s="25" t="s">
        <v>97</v>
      </c>
      <c r="I214" s="25" t="s">
        <v>66</v>
      </c>
      <c r="J214" s="25"/>
      <c r="K214" s="25"/>
      <c r="L214" s="25"/>
      <c r="M214" s="26"/>
    </row>
    <row r="215" hidden="1">
      <c r="A215" s="25" t="s">
        <v>95</v>
      </c>
      <c r="B215" s="72">
        <f>Projections!N15</f>
        <v>138332</v>
      </c>
      <c r="C215" s="25"/>
      <c r="D215" s="25" t="s">
        <v>67</v>
      </c>
      <c r="E215" s="57">
        <f>Projections!N14</f>
        <v>279549.66</v>
      </c>
      <c r="F215" s="73" t="s">
        <v>67</v>
      </c>
      <c r="G215" s="96" t="s">
        <v>68</v>
      </c>
      <c r="H215" s="96" t="s">
        <v>68</v>
      </c>
      <c r="I215" s="25" t="s">
        <v>68</v>
      </c>
      <c r="J215" s="25"/>
      <c r="K215" s="25"/>
      <c r="L215" s="25"/>
      <c r="M215" s="26"/>
    </row>
    <row r="216" hidden="1">
      <c r="A216" s="25" t="s">
        <v>69</v>
      </c>
      <c r="B216" s="25">
        <v>15000.0</v>
      </c>
      <c r="C216" s="73"/>
      <c r="D216" s="74"/>
      <c r="E216" s="74" t="str">
        <f>NETWORKDAYS(#REF!,#REF!)</f>
        <v>#REF!</v>
      </c>
      <c r="F216" s="25" t="s">
        <v>70</v>
      </c>
      <c r="G216" s="97">
        <v>45360.0</v>
      </c>
      <c r="H216" s="97">
        <v>45360.0</v>
      </c>
      <c r="I216" s="92" t="str">
        <f>date(year(#REF!),month(#REF!),5)</f>
        <v>#REF!</v>
      </c>
      <c r="J216" s="92"/>
      <c r="K216" s="92"/>
      <c r="L216" s="92"/>
      <c r="M216" s="58"/>
    </row>
    <row r="217" hidden="1">
      <c r="A217" s="28" t="str">
        <f>#REF!-sum(D217)-B217</f>
        <v>#REF!</v>
      </c>
      <c r="B217" s="83">
        <f>sum(B219:B223)</f>
        <v>100000</v>
      </c>
      <c r="C217" s="79"/>
      <c r="D217" s="83">
        <f>sum(D219:D223)</f>
        <v>0</v>
      </c>
      <c r="E217" s="59"/>
      <c r="F217" s="63">
        <f>sum(F219:F223)</f>
        <v>137106.52</v>
      </c>
      <c r="G217" s="25" t="s">
        <v>86</v>
      </c>
      <c r="H217" s="25" t="s">
        <v>87</v>
      </c>
      <c r="I217" s="25" t="s">
        <v>88</v>
      </c>
      <c r="J217" s="25"/>
      <c r="K217" s="25"/>
      <c r="L217" s="25"/>
      <c r="M217" s="58"/>
    </row>
    <row r="218" hidden="1">
      <c r="A218" s="32" t="s">
        <v>72</v>
      </c>
      <c r="B218" s="33" t="s">
        <v>84</v>
      </c>
      <c r="C218" s="33"/>
      <c r="D218" s="33" t="s">
        <v>73</v>
      </c>
      <c r="E218" s="34">
        <f>today()</f>
        <v>45969</v>
      </c>
      <c r="F218" s="35" t="s">
        <v>64</v>
      </c>
      <c r="G218" s="36" t="s">
        <v>75</v>
      </c>
      <c r="H218" s="36" t="s">
        <v>75</v>
      </c>
      <c r="I218" s="93" t="str">
        <f t="shared" ref="I218:I222" si="35">I202</f>
        <v>Maintenance</v>
      </c>
      <c r="J218" s="89"/>
      <c r="K218" s="89"/>
      <c r="L218" s="89"/>
      <c r="M218" s="94"/>
    </row>
    <row r="219" hidden="1">
      <c r="A219" s="53" t="str">
        <f t="shared" ref="A219:A223" si="36">#REF!-sum(D219)-B219</f>
        <v>#REF!</v>
      </c>
      <c r="B219" s="62">
        <f>B216+B203</f>
        <v>25000</v>
      </c>
      <c r="C219" s="62"/>
      <c r="D219" s="62">
        <f>sumifs($F219:$M219,$F214:$M214,D218,$F215:$M215,"Pending")</f>
        <v>0</v>
      </c>
      <c r="E219" s="32" t="s">
        <v>76</v>
      </c>
      <c r="F219" s="66">
        <v>61006.52</v>
      </c>
      <c r="G219" s="73">
        <v>3685.57</v>
      </c>
      <c r="H219" s="73">
        <v>2104.52</v>
      </c>
      <c r="I219" s="73">
        <f t="shared" si="35"/>
        <v>1200</v>
      </c>
      <c r="J219" s="25"/>
      <c r="K219" s="25"/>
      <c r="L219" s="25"/>
      <c r="M219" s="76"/>
    </row>
    <row r="220" hidden="1">
      <c r="A220" s="53" t="str">
        <f t="shared" si="36"/>
        <v>#REF!</v>
      </c>
      <c r="B220" s="62">
        <f>B216+B204</f>
        <v>25000</v>
      </c>
      <c r="C220" s="62"/>
      <c r="D220" s="62">
        <f>sumifs($F220:$M220,$F214:$M214,D218,$F215:$M215,"Pending")</f>
        <v>0</v>
      </c>
      <c r="E220" s="32" t="s">
        <v>77</v>
      </c>
      <c r="F220" s="69">
        <v>25000.0</v>
      </c>
      <c r="G220" s="73">
        <f t="shared" ref="G220:H220" si="37">(G204+G188)/2</f>
        <v>0</v>
      </c>
      <c r="H220" s="73">
        <f t="shared" si="37"/>
        <v>0</v>
      </c>
      <c r="I220" s="73">
        <f t="shared" si="35"/>
        <v>0</v>
      </c>
      <c r="J220" s="25"/>
      <c r="K220" s="25"/>
      <c r="L220" s="25"/>
      <c r="M220" s="76"/>
    </row>
    <row r="221" hidden="1">
      <c r="A221" s="53" t="str">
        <f t="shared" si="36"/>
        <v>#REF!</v>
      </c>
      <c r="B221" s="62">
        <f>B216+B205</f>
        <v>25000</v>
      </c>
      <c r="C221" s="62"/>
      <c r="D221" s="62">
        <f t="shared" ref="D221:D222" si="39">sumifs($F221:$M221,$F214:$M214,D218,$F215:$M215,"Pending")</f>
        <v>0</v>
      </c>
      <c r="E221" s="32" t="s">
        <v>81</v>
      </c>
      <c r="F221" s="69">
        <v>25000.0</v>
      </c>
      <c r="G221" s="73">
        <f t="shared" ref="G221:H221" si="38">(G205+G189)/2</f>
        <v>0</v>
      </c>
      <c r="H221" s="73">
        <f t="shared" si="38"/>
        <v>0</v>
      </c>
      <c r="I221" s="73">
        <f t="shared" si="35"/>
        <v>0</v>
      </c>
      <c r="J221" s="25"/>
      <c r="K221" s="25"/>
      <c r="L221" s="25"/>
      <c r="M221" s="76"/>
    </row>
    <row r="222" hidden="1">
      <c r="A222" s="53" t="str">
        <f t="shared" si="36"/>
        <v>#REF!</v>
      </c>
      <c r="B222" s="62">
        <f>B216+B206</f>
        <v>25000</v>
      </c>
      <c r="C222" s="62"/>
      <c r="D222" s="62">
        <f t="shared" si="39"/>
        <v>0</v>
      </c>
      <c r="E222" s="32" t="s">
        <v>79</v>
      </c>
      <c r="F222" s="69">
        <v>25000.0</v>
      </c>
      <c r="G222" s="73">
        <f t="shared" ref="G222:H222" si="40">(G206+G190)/2</f>
        <v>0</v>
      </c>
      <c r="H222" s="73">
        <f t="shared" si="40"/>
        <v>0</v>
      </c>
      <c r="I222" s="73">
        <f t="shared" si="35"/>
        <v>0</v>
      </c>
      <c r="J222" s="25"/>
      <c r="K222" s="25"/>
      <c r="L222" s="25"/>
      <c r="M222" s="76"/>
    </row>
    <row r="223" hidden="1">
      <c r="A223" s="53" t="str">
        <f t="shared" si="36"/>
        <v>#REF!</v>
      </c>
      <c r="B223" s="62">
        <v>0.0</v>
      </c>
      <c r="C223" s="62"/>
      <c r="D223" s="62">
        <f>sumifs($F223:$M223,$F214:$M214,D218,$F215:$M215,"Pending")</f>
        <v>0</v>
      </c>
      <c r="E223" s="33" t="s">
        <v>91</v>
      </c>
      <c r="F223" s="69">
        <v>1100.0</v>
      </c>
      <c r="G223" s="73">
        <f t="shared" ref="G223:H223" si="41">(G212+G196)/2</f>
        <v>0</v>
      </c>
      <c r="H223" s="73">
        <f t="shared" si="41"/>
        <v>0</v>
      </c>
      <c r="I223" s="73">
        <f>I212</f>
        <v>0</v>
      </c>
      <c r="J223" s="25"/>
      <c r="K223" s="25"/>
      <c r="L223" s="25"/>
      <c r="M223" s="76"/>
    </row>
    <row r="224" hidden="1">
      <c r="A224" s="71"/>
      <c r="B224" s="24"/>
      <c r="C224" s="24"/>
      <c r="D224" s="24"/>
      <c r="E224" s="24"/>
      <c r="F224" s="25"/>
      <c r="G224" s="25"/>
      <c r="H224" s="24"/>
      <c r="I224" s="25"/>
      <c r="J224" s="25"/>
      <c r="K224" s="25"/>
      <c r="L224" s="25"/>
      <c r="M224" s="26"/>
    </row>
    <row r="225" hidden="1">
      <c r="A225" s="71">
        <v>45383.0</v>
      </c>
      <c r="B225" s="91">
        <f>B214</f>
        <v>0</v>
      </c>
      <c r="C225" s="24"/>
      <c r="D225" s="24"/>
      <c r="E225" s="24" t="str">
        <f>A228-A217</f>
        <v>#REF!</v>
      </c>
      <c r="F225" s="25" t="s">
        <v>64</v>
      </c>
      <c r="G225" s="25" t="s">
        <v>97</v>
      </c>
      <c r="H225" s="25" t="s">
        <v>97</v>
      </c>
      <c r="I225" s="25" t="s">
        <v>66</v>
      </c>
      <c r="J225" s="25"/>
      <c r="K225" s="25"/>
      <c r="L225" s="25"/>
      <c r="M225" s="26"/>
    </row>
    <row r="226" hidden="1">
      <c r="A226" s="25" t="s">
        <v>95</v>
      </c>
      <c r="B226" s="72">
        <f>Projections!O15</f>
        <v>212457</v>
      </c>
      <c r="C226" s="25"/>
      <c r="D226" s="25" t="s">
        <v>67</v>
      </c>
      <c r="E226" s="57">
        <f>Projections!O14</f>
        <v>292463.52</v>
      </c>
      <c r="F226" s="73" t="s">
        <v>67</v>
      </c>
      <c r="G226" s="25" t="s">
        <v>68</v>
      </c>
      <c r="H226" s="25" t="s">
        <v>68</v>
      </c>
      <c r="I226" s="25" t="s">
        <v>68</v>
      </c>
      <c r="J226" s="25"/>
      <c r="K226" s="25"/>
      <c r="L226" s="25"/>
      <c r="M226" s="26"/>
    </row>
    <row r="227" hidden="1">
      <c r="A227" s="25" t="s">
        <v>69</v>
      </c>
      <c r="B227" s="25">
        <v>10000.0</v>
      </c>
      <c r="C227" s="73"/>
      <c r="D227" s="74"/>
      <c r="E227" s="74" t="str">
        <f>NETWORKDAYS(#REF!,#REF!)</f>
        <v>#REF!</v>
      </c>
      <c r="F227" s="25" t="s">
        <v>70</v>
      </c>
      <c r="G227" s="25" t="s">
        <v>99</v>
      </c>
      <c r="H227" s="25" t="s">
        <v>99</v>
      </c>
      <c r="I227" s="92" t="str">
        <f>date(year(#REF!),month(#REF!),5)</f>
        <v>#REF!</v>
      </c>
      <c r="J227" s="92"/>
      <c r="K227" s="92"/>
      <c r="L227" s="92"/>
      <c r="M227" s="58"/>
    </row>
    <row r="228" hidden="1">
      <c r="A228" s="28" t="str">
        <f>#REF!-sum(D228)-B228</f>
        <v>#REF!</v>
      </c>
      <c r="B228" s="83">
        <f>sum(B230:B234)</f>
        <v>140000</v>
      </c>
      <c r="C228" s="79"/>
      <c r="D228" s="83">
        <f>sum(D230:D234)</f>
        <v>0</v>
      </c>
      <c r="E228" s="59"/>
      <c r="F228" s="63">
        <f>sum(F230:F234)</f>
        <v>143883.23</v>
      </c>
      <c r="G228" s="25" t="s">
        <v>86</v>
      </c>
      <c r="H228" s="25" t="s">
        <v>87</v>
      </c>
      <c r="I228" s="25" t="s">
        <v>88</v>
      </c>
      <c r="J228" s="25"/>
      <c r="K228" s="25"/>
      <c r="L228" s="25"/>
      <c r="M228" s="58"/>
    </row>
    <row r="229" hidden="1">
      <c r="A229" s="32" t="s">
        <v>72</v>
      </c>
      <c r="B229" s="33" t="s">
        <v>84</v>
      </c>
      <c r="C229" s="33"/>
      <c r="D229" s="33" t="s">
        <v>73</v>
      </c>
      <c r="E229" s="34">
        <f>today()</f>
        <v>45969</v>
      </c>
      <c r="F229" s="35" t="s">
        <v>64</v>
      </c>
      <c r="G229" s="36" t="s">
        <v>75</v>
      </c>
      <c r="H229" s="36" t="s">
        <v>75</v>
      </c>
      <c r="I229" s="93" t="str">
        <f t="shared" ref="I229:I234" si="42">I218</f>
        <v>Maintenance</v>
      </c>
      <c r="J229" s="89"/>
      <c r="K229" s="89"/>
      <c r="L229" s="89"/>
      <c r="M229" s="94"/>
    </row>
    <row r="230" hidden="1">
      <c r="A230" s="53" t="str">
        <f t="shared" ref="A230:A234" si="43">#REF!-sum(D230)-B230</f>
        <v>#REF!</v>
      </c>
      <c r="B230" s="62">
        <f>B227+B219</f>
        <v>35000</v>
      </c>
      <c r="C230" s="62"/>
      <c r="D230" s="62">
        <f>sumifs($F230:$M230,$F225:$M225,D229,$F226:$M226,"Pending")</f>
        <v>0</v>
      </c>
      <c r="E230" s="32" t="s">
        <v>76</v>
      </c>
      <c r="F230" s="66">
        <f>14998+23885.23</f>
        <v>38883.23</v>
      </c>
      <c r="G230" s="73">
        <v>41589.23</v>
      </c>
      <c r="H230" s="73">
        <v>40364.81</v>
      </c>
      <c r="I230" s="73">
        <f t="shared" si="42"/>
        <v>1200</v>
      </c>
      <c r="J230" s="25"/>
      <c r="K230" s="25"/>
      <c r="L230" s="25"/>
      <c r="M230" s="76"/>
    </row>
    <row r="231" hidden="1">
      <c r="A231" s="53" t="str">
        <f t="shared" si="43"/>
        <v>#REF!</v>
      </c>
      <c r="B231" s="62">
        <f>B227+B220</f>
        <v>35000</v>
      </c>
      <c r="C231" s="62"/>
      <c r="D231" s="62">
        <f>sumifs($F231:$M231,$F225:$M225,D229,$F226:$M226,"Pending")</f>
        <v>0</v>
      </c>
      <c r="E231" s="32" t="s">
        <v>77</v>
      </c>
      <c r="F231" s="69">
        <v>35000.0</v>
      </c>
      <c r="G231" s="73">
        <f t="shared" ref="G231:G233" si="44">(G220+G204+G188)/3</f>
        <v>0</v>
      </c>
      <c r="H231" s="73">
        <f t="shared" ref="H231:H233" si="45">(H220+H204)/2</f>
        <v>0</v>
      </c>
      <c r="I231" s="73">
        <f t="shared" si="42"/>
        <v>0</v>
      </c>
      <c r="J231" s="25"/>
      <c r="K231" s="25"/>
      <c r="L231" s="25"/>
      <c r="M231" s="76"/>
    </row>
    <row r="232" hidden="1">
      <c r="A232" s="53" t="str">
        <f t="shared" si="43"/>
        <v>#REF!</v>
      </c>
      <c r="B232" s="62">
        <f>B227+B221</f>
        <v>35000</v>
      </c>
      <c r="C232" s="62"/>
      <c r="D232" s="62">
        <f t="shared" ref="D232:D233" si="46">sumifs($F232:$M232,$F225:$M225,D229,$F226:$M226,"Pending")</f>
        <v>0</v>
      </c>
      <c r="E232" s="32" t="s">
        <v>81</v>
      </c>
      <c r="F232" s="69">
        <v>35000.0</v>
      </c>
      <c r="G232" s="73">
        <f t="shared" si="44"/>
        <v>0</v>
      </c>
      <c r="H232" s="73">
        <f t="shared" si="45"/>
        <v>0</v>
      </c>
      <c r="I232" s="73">
        <f t="shared" si="42"/>
        <v>0</v>
      </c>
      <c r="J232" s="25"/>
      <c r="K232" s="25"/>
      <c r="L232" s="25"/>
      <c r="M232" s="76"/>
    </row>
    <row r="233" hidden="1">
      <c r="A233" s="53" t="str">
        <f t="shared" si="43"/>
        <v>#REF!</v>
      </c>
      <c r="B233" s="62">
        <f>B227+B222</f>
        <v>35000</v>
      </c>
      <c r="C233" s="62"/>
      <c r="D233" s="62">
        <f t="shared" si="46"/>
        <v>0</v>
      </c>
      <c r="E233" s="32" t="s">
        <v>79</v>
      </c>
      <c r="F233" s="69">
        <v>35000.0</v>
      </c>
      <c r="G233" s="73">
        <f t="shared" si="44"/>
        <v>0</v>
      </c>
      <c r="H233" s="73">
        <f t="shared" si="45"/>
        <v>0</v>
      </c>
      <c r="I233" s="73">
        <f t="shared" si="42"/>
        <v>0</v>
      </c>
      <c r="J233" s="25"/>
      <c r="K233" s="25"/>
      <c r="L233" s="25"/>
      <c r="M233" s="76"/>
    </row>
    <row r="234" hidden="1">
      <c r="A234" s="53" t="str">
        <f t="shared" si="43"/>
        <v>#REF!</v>
      </c>
      <c r="B234" s="62">
        <v>0.0</v>
      </c>
      <c r="C234" s="62"/>
      <c r="D234" s="62">
        <f>sumifs($F234:$M234,$F225:$M225,D229,$F226:$M226,"Pending")</f>
        <v>0</v>
      </c>
      <c r="E234" s="33" t="s">
        <v>91</v>
      </c>
      <c r="F234" s="69">
        <v>0.0</v>
      </c>
      <c r="G234" s="73">
        <f>(G223+G212+G196)/3</f>
        <v>0</v>
      </c>
      <c r="H234" s="73">
        <f>(H223+H212)/2</f>
        <v>0</v>
      </c>
      <c r="I234" s="73">
        <f t="shared" si="42"/>
        <v>0</v>
      </c>
      <c r="J234" s="25"/>
      <c r="K234" s="25"/>
      <c r="L234" s="25"/>
      <c r="M234" s="76"/>
    </row>
    <row r="235" hidden="1">
      <c r="A235" s="71"/>
      <c r="B235" s="24"/>
      <c r="C235" s="24"/>
      <c r="D235" s="24"/>
      <c r="E235" s="24"/>
      <c r="F235" s="25"/>
      <c r="G235" s="25"/>
      <c r="H235" s="25"/>
      <c r="I235" s="25"/>
      <c r="J235" s="25"/>
      <c r="K235" s="25"/>
      <c r="L235" s="25"/>
      <c r="M235" s="26"/>
    </row>
    <row r="236" hidden="1">
      <c r="A236" s="71">
        <v>45413.0</v>
      </c>
      <c r="B236" s="91">
        <f>B225</f>
        <v>0</v>
      </c>
      <c r="C236" s="24"/>
      <c r="D236" s="24"/>
      <c r="E236" s="25" t="s">
        <v>100</v>
      </c>
      <c r="F236" s="25" t="s">
        <v>64</v>
      </c>
      <c r="G236" s="25" t="s">
        <v>97</v>
      </c>
      <c r="H236" s="25" t="s">
        <v>97</v>
      </c>
      <c r="I236" s="25" t="s">
        <v>66</v>
      </c>
      <c r="J236" s="25"/>
      <c r="K236" s="25"/>
      <c r="L236" s="25"/>
      <c r="M236" s="26"/>
    </row>
    <row r="237" hidden="1">
      <c r="A237" s="25" t="s">
        <v>95</v>
      </c>
      <c r="B237" s="72">
        <f>Projections!P15</f>
        <v>220915</v>
      </c>
      <c r="C237" s="25"/>
      <c r="D237" s="25" t="s">
        <v>67</v>
      </c>
      <c r="E237" s="57">
        <f>Projections!P14</f>
        <v>365798.23</v>
      </c>
      <c r="F237" s="73" t="s">
        <v>67</v>
      </c>
      <c r="G237" s="25" t="s">
        <v>68</v>
      </c>
      <c r="H237" s="25" t="s">
        <v>68</v>
      </c>
      <c r="I237" s="25" t="s">
        <v>68</v>
      </c>
      <c r="J237" s="25"/>
      <c r="K237" s="25"/>
      <c r="L237" s="25"/>
      <c r="M237" s="26"/>
    </row>
    <row r="238" hidden="1">
      <c r="A238" s="25" t="s">
        <v>69</v>
      </c>
      <c r="B238" s="25">
        <v>7000.0</v>
      </c>
      <c r="C238" s="73"/>
      <c r="D238" s="74"/>
      <c r="E238" s="74" t="str">
        <f>NETWORKDAYS(#REF!,#REF!)</f>
        <v>#REF!</v>
      </c>
      <c r="F238" s="25" t="s">
        <v>70</v>
      </c>
      <c r="G238" s="25" t="s">
        <v>101</v>
      </c>
      <c r="H238" s="25" t="s">
        <v>101</v>
      </c>
      <c r="I238" s="92" t="str">
        <f>date(year(#REF!),month(#REF!),5)</f>
        <v>#REF!</v>
      </c>
      <c r="J238" s="92"/>
      <c r="K238" s="92"/>
      <c r="L238" s="92"/>
      <c r="M238" s="58"/>
    </row>
    <row r="239" hidden="1">
      <c r="A239" s="28" t="str">
        <f>#REF!-sum(D239)-B239</f>
        <v>#REF!</v>
      </c>
      <c r="B239" s="83">
        <f>sum(B241:B245)</f>
        <v>168000</v>
      </c>
      <c r="C239" s="79"/>
      <c r="D239" s="83">
        <f>sum(D241:D245)</f>
        <v>0</v>
      </c>
      <c r="E239" s="59"/>
      <c r="F239" s="63">
        <f>sum(F241:F245)</f>
        <v>152410.71</v>
      </c>
      <c r="G239" s="25" t="s">
        <v>86</v>
      </c>
      <c r="H239" s="25" t="s">
        <v>87</v>
      </c>
      <c r="I239" s="25" t="s">
        <v>88</v>
      </c>
      <c r="J239" s="25"/>
      <c r="K239" s="25"/>
      <c r="L239" s="25"/>
      <c r="M239" s="58"/>
    </row>
    <row r="240" hidden="1">
      <c r="A240" s="32" t="s">
        <v>72</v>
      </c>
      <c r="B240" s="33" t="s">
        <v>84</v>
      </c>
      <c r="C240" s="33"/>
      <c r="D240" s="33" t="s">
        <v>73</v>
      </c>
      <c r="E240" s="34">
        <f>today()</f>
        <v>45969</v>
      </c>
      <c r="F240" s="35" t="s">
        <v>64</v>
      </c>
      <c r="G240" s="36" t="s">
        <v>75</v>
      </c>
      <c r="H240" s="36" t="s">
        <v>75</v>
      </c>
      <c r="I240" s="93" t="str">
        <f t="shared" ref="I240:I245" si="47">I229</f>
        <v>Maintenance</v>
      </c>
      <c r="J240" s="89"/>
      <c r="K240" s="89"/>
      <c r="L240" s="89"/>
      <c r="M240" s="94"/>
    </row>
    <row r="241" hidden="1">
      <c r="A241" s="53" t="str">
        <f t="shared" ref="A241:A245" si="48">#REF!-sum(D241)-B241</f>
        <v>#REF!</v>
      </c>
      <c r="B241" s="62">
        <f>B238+B230</f>
        <v>42000</v>
      </c>
      <c r="C241" s="62"/>
      <c r="D241" s="62">
        <f>sumifs($F241:$M241,$F236:$M236,D240,$F237:$M237,"Pending")</f>
        <v>0</v>
      </c>
      <c r="E241" s="32" t="s">
        <v>76</v>
      </c>
      <c r="F241" s="66">
        <v>26375.29</v>
      </c>
      <c r="G241" s="73">
        <v>36807.35</v>
      </c>
      <c r="H241" s="73">
        <v>5550.4</v>
      </c>
      <c r="I241" s="73">
        <f t="shared" si="47"/>
        <v>1200</v>
      </c>
      <c r="J241" s="25"/>
      <c r="K241" s="25"/>
      <c r="L241" s="25"/>
      <c r="M241" s="76"/>
    </row>
    <row r="242" hidden="1">
      <c r="A242" s="53" t="str">
        <f t="shared" si="48"/>
        <v>#REF!</v>
      </c>
      <c r="B242" s="62">
        <f>B238+B231</f>
        <v>42000</v>
      </c>
      <c r="C242" s="62"/>
      <c r="D242" s="62">
        <f>sumifs($F242:$M242,$F236:$M236,D240,$F237:$M237,"Pending")</f>
        <v>0</v>
      </c>
      <c r="E242" s="32" t="s">
        <v>77</v>
      </c>
      <c r="F242" s="69">
        <v>42035.42</v>
      </c>
      <c r="G242" s="73">
        <f t="shared" ref="G242:G244" si="49">(G231+G220+G204)/3</f>
        <v>0</v>
      </c>
      <c r="H242" s="73">
        <f t="shared" ref="H242:H245" si="50">(H231+H220)/2</f>
        <v>0</v>
      </c>
      <c r="I242" s="73">
        <f t="shared" si="47"/>
        <v>0</v>
      </c>
      <c r="J242" s="25"/>
      <c r="K242" s="25"/>
      <c r="L242" s="25"/>
      <c r="M242" s="76"/>
    </row>
    <row r="243" hidden="1">
      <c r="A243" s="53" t="str">
        <f t="shared" si="48"/>
        <v>#REF!</v>
      </c>
      <c r="B243" s="62">
        <f>B238+B232</f>
        <v>42000</v>
      </c>
      <c r="C243" s="62"/>
      <c r="D243" s="62">
        <f t="shared" ref="D243:D244" si="51">sumifs($F243:$M243,$F236:$M236,D240,$F237:$M237,"Pending")</f>
        <v>0</v>
      </c>
      <c r="E243" s="32" t="s">
        <v>81</v>
      </c>
      <c r="F243" s="69">
        <v>42000.0</v>
      </c>
      <c r="G243" s="73">
        <f t="shared" si="49"/>
        <v>0</v>
      </c>
      <c r="H243" s="73">
        <f t="shared" si="50"/>
        <v>0</v>
      </c>
      <c r="I243" s="73">
        <f t="shared" si="47"/>
        <v>0</v>
      </c>
      <c r="J243" s="25"/>
      <c r="K243" s="25"/>
      <c r="L243" s="25"/>
      <c r="M243" s="76"/>
    </row>
    <row r="244" hidden="1">
      <c r="A244" s="53" t="str">
        <f t="shared" si="48"/>
        <v>#REF!</v>
      </c>
      <c r="B244" s="62">
        <f>B238+B233</f>
        <v>42000</v>
      </c>
      <c r="C244" s="62"/>
      <c r="D244" s="62">
        <f t="shared" si="51"/>
        <v>0</v>
      </c>
      <c r="E244" s="32" t="s">
        <v>79</v>
      </c>
      <c r="F244" s="69">
        <v>42000.0</v>
      </c>
      <c r="G244" s="73">
        <f t="shared" si="49"/>
        <v>0</v>
      </c>
      <c r="H244" s="73">
        <f t="shared" si="50"/>
        <v>0</v>
      </c>
      <c r="I244" s="73">
        <f t="shared" si="47"/>
        <v>0</v>
      </c>
      <c r="J244" s="25"/>
      <c r="K244" s="25"/>
      <c r="L244" s="25"/>
      <c r="M244" s="76"/>
    </row>
    <row r="245" hidden="1">
      <c r="A245" s="53" t="str">
        <f t="shared" si="48"/>
        <v>#REF!</v>
      </c>
      <c r="B245" s="62">
        <v>0.0</v>
      </c>
      <c r="C245" s="62"/>
      <c r="D245" s="62">
        <f>sumifs($F245:$M245,$F236:$M236,D240,$F237:$M237,"Pending")</f>
        <v>0</v>
      </c>
      <c r="E245" s="33" t="s">
        <v>91</v>
      </c>
      <c r="F245" s="69">
        <v>0.0</v>
      </c>
      <c r="G245" s="73">
        <f>(G234+G223+G212)/3</f>
        <v>0</v>
      </c>
      <c r="H245" s="73">
        <f t="shared" si="50"/>
        <v>0</v>
      </c>
      <c r="I245" s="73">
        <f t="shared" si="47"/>
        <v>0</v>
      </c>
      <c r="J245" s="25"/>
      <c r="K245" s="25"/>
      <c r="L245" s="25"/>
      <c r="M245" s="76"/>
    </row>
    <row r="246" hidden="1">
      <c r="A246" s="24"/>
      <c r="B246" s="24"/>
      <c r="C246" s="24"/>
      <c r="D246" s="24"/>
      <c r="E246" s="24"/>
      <c r="F246" s="25"/>
      <c r="G246" s="25"/>
      <c r="H246" s="25"/>
      <c r="I246" s="25"/>
      <c r="J246" s="25"/>
      <c r="K246" s="25"/>
      <c r="L246" s="25"/>
      <c r="M246" s="26"/>
    </row>
    <row r="247" hidden="1">
      <c r="A247" s="71">
        <v>45444.0</v>
      </c>
      <c r="B247" s="98">
        <f>1500+B249</f>
        <v>3000</v>
      </c>
      <c r="C247" s="24"/>
      <c r="D247" s="24"/>
      <c r="E247" s="24" t="str">
        <f>A250-A239</f>
        <v>#REF!</v>
      </c>
      <c r="F247" s="25" t="s">
        <v>64</v>
      </c>
      <c r="G247" s="25" t="s">
        <v>97</v>
      </c>
      <c r="H247" s="25" t="s">
        <v>97</v>
      </c>
      <c r="I247" s="25" t="s">
        <v>66</v>
      </c>
      <c r="J247" s="25"/>
      <c r="K247" s="25"/>
      <c r="L247" s="25"/>
      <c r="M247" s="26"/>
    </row>
    <row r="248" hidden="1">
      <c r="A248" s="25" t="s">
        <v>95</v>
      </c>
      <c r="B248" s="72">
        <f>Projections!Q15</f>
        <v>201973</v>
      </c>
      <c r="C248" s="25"/>
      <c r="D248" s="25" t="s">
        <v>67</v>
      </c>
      <c r="E248" s="57">
        <f>Projections!Q14</f>
        <v>355383.71</v>
      </c>
      <c r="F248" s="73" t="s">
        <v>67</v>
      </c>
      <c r="G248" s="25" t="s">
        <v>68</v>
      </c>
      <c r="H248" s="25" t="s">
        <v>68</v>
      </c>
      <c r="I248" s="25" t="s">
        <v>68</v>
      </c>
      <c r="J248" s="25"/>
      <c r="K248" s="25"/>
      <c r="L248" s="25"/>
      <c r="M248" s="26"/>
    </row>
    <row r="249" hidden="1">
      <c r="A249" s="25" t="s">
        <v>69</v>
      </c>
      <c r="B249" s="25">
        <f>(datedif("4/1/2024",A247,"m")+1)*500</f>
        <v>1500</v>
      </c>
      <c r="C249" s="73"/>
      <c r="D249" s="74"/>
      <c r="E249" s="74" t="str">
        <f>NETWORKDAYS(#REF!,#REF!)</f>
        <v>#REF!</v>
      </c>
      <c r="F249" s="25" t="s">
        <v>70</v>
      </c>
      <c r="G249" s="25" t="s">
        <v>102</v>
      </c>
      <c r="H249" s="25" t="s">
        <v>102</v>
      </c>
      <c r="I249" s="92" t="str">
        <f>date(year(#REF!),month(#REF!),5)</f>
        <v>#REF!</v>
      </c>
      <c r="J249" s="92"/>
      <c r="K249" s="92"/>
      <c r="L249" s="92"/>
      <c r="M249" s="58"/>
    </row>
    <row r="250" hidden="1">
      <c r="A250" s="28" t="str">
        <f>#REF!-sum(D250)-B250</f>
        <v>#REF!</v>
      </c>
      <c r="B250" s="83">
        <f>sum(B252:B256)</f>
        <v>22000</v>
      </c>
      <c r="C250" s="79"/>
      <c r="D250" s="83">
        <f>sum(D252:D256)</f>
        <v>0</v>
      </c>
      <c r="E250" s="59"/>
      <c r="F250" s="63">
        <f>sum(F252:F256)</f>
        <v>157367.16</v>
      </c>
      <c r="G250" s="25" t="s">
        <v>86</v>
      </c>
      <c r="H250" s="25" t="s">
        <v>87</v>
      </c>
      <c r="I250" s="25" t="s">
        <v>88</v>
      </c>
      <c r="J250" s="25"/>
      <c r="K250" s="25"/>
      <c r="L250" s="25"/>
      <c r="M250" s="58"/>
    </row>
    <row r="251" hidden="1">
      <c r="A251" s="32" t="s">
        <v>72</v>
      </c>
      <c r="B251" s="33" t="s">
        <v>84</v>
      </c>
      <c r="C251" s="33"/>
      <c r="D251" s="33" t="s">
        <v>73</v>
      </c>
      <c r="E251" s="34">
        <f>today()</f>
        <v>45969</v>
      </c>
      <c r="F251" s="35" t="s">
        <v>64</v>
      </c>
      <c r="G251" s="36" t="s">
        <v>75</v>
      </c>
      <c r="H251" s="36" t="s">
        <v>75</v>
      </c>
      <c r="I251" s="93" t="str">
        <f t="shared" ref="I251:I256" si="52">I240</f>
        <v>Maintenance</v>
      </c>
      <c r="J251" s="89"/>
      <c r="K251" s="89"/>
      <c r="L251" s="89"/>
      <c r="M251" s="94"/>
    </row>
    <row r="252" hidden="1">
      <c r="A252" s="53" t="str">
        <f t="shared" ref="A252:A256" si="53">#REF!-sum(D252)-B252</f>
        <v>#REF!</v>
      </c>
      <c r="B252" s="62">
        <f>if(B247/5&lt;3000,3000,B247/5)</f>
        <v>3000</v>
      </c>
      <c r="C252" s="62"/>
      <c r="D252" s="62">
        <f>sumifs($F252:$M252,$F247:$M247,D251,$F248:$M248,"Pending")</f>
        <v>0</v>
      </c>
      <c r="E252" s="32" t="s">
        <v>76</v>
      </c>
      <c r="F252" s="66">
        <v>83139.16</v>
      </c>
      <c r="G252" s="73">
        <f>37240.8</f>
        <v>37240.8</v>
      </c>
      <c r="H252" s="73">
        <v>22547.26</v>
      </c>
      <c r="I252" s="73">
        <f t="shared" si="52"/>
        <v>1200</v>
      </c>
      <c r="J252" s="25"/>
      <c r="K252" s="25"/>
      <c r="L252" s="25"/>
      <c r="M252" s="76"/>
    </row>
    <row r="253" hidden="1">
      <c r="A253" s="53" t="str">
        <f t="shared" si="53"/>
        <v>#REF!</v>
      </c>
      <c r="B253" s="62">
        <f>if(B247/5&lt;3000,3000,B247/5)</f>
        <v>3000</v>
      </c>
      <c r="C253" s="62"/>
      <c r="D253" s="62">
        <f>sumifs($F253:$M253,$F247:$M247,D251,$F248:$M248,"Pending")</f>
        <v>0</v>
      </c>
      <c r="E253" s="32" t="s">
        <v>77</v>
      </c>
      <c r="F253" s="69">
        <v>18000.0</v>
      </c>
      <c r="G253" s="73">
        <f t="shared" ref="G253:G256" si="54">(G242+G231+G220)/3</f>
        <v>0</v>
      </c>
      <c r="H253" s="73">
        <f t="shared" ref="H253:H256" si="55">(H242+H231)/2</f>
        <v>0</v>
      </c>
      <c r="I253" s="73">
        <f t="shared" si="52"/>
        <v>0</v>
      </c>
      <c r="J253" s="25"/>
      <c r="K253" s="25"/>
      <c r="L253" s="25"/>
      <c r="M253" s="76"/>
    </row>
    <row r="254" hidden="1">
      <c r="A254" s="53" t="str">
        <f t="shared" si="53"/>
        <v>#REF!</v>
      </c>
      <c r="B254" s="62">
        <f>if(B247/5&lt;3000,3000,B247/5)</f>
        <v>3000</v>
      </c>
      <c r="C254" s="62"/>
      <c r="D254" s="62">
        <f t="shared" ref="D254:D255" si="56">sumifs($F254:$M254,$F247:$M247,D251,$F248:$M248,"Pending")</f>
        <v>0</v>
      </c>
      <c r="E254" s="32" t="s">
        <v>81</v>
      </c>
      <c r="F254" s="69">
        <v>18228.0</v>
      </c>
      <c r="G254" s="73">
        <f t="shared" si="54"/>
        <v>0</v>
      </c>
      <c r="H254" s="73">
        <f t="shared" si="55"/>
        <v>0</v>
      </c>
      <c r="I254" s="73">
        <f t="shared" si="52"/>
        <v>0</v>
      </c>
      <c r="J254" s="25"/>
      <c r="K254" s="25"/>
      <c r="L254" s="25"/>
      <c r="M254" s="76"/>
    </row>
    <row r="255" hidden="1">
      <c r="A255" s="53" t="str">
        <f t="shared" si="53"/>
        <v>#REF!</v>
      </c>
      <c r="B255" s="62">
        <f>if(B247/5&lt;10000,10000,B247/5)</f>
        <v>10000</v>
      </c>
      <c r="C255" s="62"/>
      <c r="D255" s="62">
        <f t="shared" si="56"/>
        <v>0</v>
      </c>
      <c r="E255" s="32" t="s">
        <v>79</v>
      </c>
      <c r="F255" s="69">
        <v>18000.0</v>
      </c>
      <c r="G255" s="73">
        <f t="shared" si="54"/>
        <v>0</v>
      </c>
      <c r="H255" s="73">
        <f t="shared" si="55"/>
        <v>0</v>
      </c>
      <c r="I255" s="73">
        <f t="shared" si="52"/>
        <v>0</v>
      </c>
      <c r="J255" s="25"/>
      <c r="K255" s="25"/>
      <c r="L255" s="25"/>
      <c r="M255" s="76"/>
    </row>
    <row r="256" hidden="1">
      <c r="A256" s="53" t="str">
        <f t="shared" si="53"/>
        <v>#REF!</v>
      </c>
      <c r="B256" s="62">
        <f>if(B247/5&lt;3000,3000,B247/5)</f>
        <v>3000</v>
      </c>
      <c r="C256" s="62"/>
      <c r="D256" s="62">
        <f>sumifs($F256:$M256,$F247:$M247,D251,$F248:$M248,"Pending")</f>
        <v>0</v>
      </c>
      <c r="E256" s="33" t="s">
        <v>91</v>
      </c>
      <c r="F256" s="69">
        <v>20000.0</v>
      </c>
      <c r="G256" s="73">
        <f t="shared" si="54"/>
        <v>0</v>
      </c>
      <c r="H256" s="73">
        <f t="shared" si="55"/>
        <v>0</v>
      </c>
      <c r="I256" s="73">
        <f t="shared" si="52"/>
        <v>0</v>
      </c>
      <c r="J256" s="25"/>
      <c r="K256" s="25"/>
      <c r="L256" s="25"/>
      <c r="M256" s="76"/>
    </row>
    <row r="257" hidden="1">
      <c r="A257" s="24"/>
      <c r="B257" s="24"/>
      <c r="C257" s="24"/>
      <c r="D257" s="24"/>
      <c r="E257" s="24"/>
      <c r="F257" s="25"/>
      <c r="G257" s="25"/>
      <c r="H257" s="25"/>
      <c r="I257" s="25"/>
      <c r="J257" s="25"/>
      <c r="K257" s="25"/>
      <c r="L257" s="25"/>
      <c r="M257" s="26"/>
    </row>
    <row r="258" hidden="1">
      <c r="A258" s="99">
        <v>45474.0</v>
      </c>
      <c r="B258" s="100" t="s">
        <v>103</v>
      </c>
      <c r="C258" s="24"/>
      <c r="D258" s="24"/>
      <c r="E258" s="24" t="str">
        <f>A261-A250</f>
        <v>#REF!</v>
      </c>
      <c r="F258" s="25" t="s">
        <v>64</v>
      </c>
      <c r="G258" s="101" t="s">
        <v>97</v>
      </c>
      <c r="H258" s="102" t="s">
        <v>97</v>
      </c>
      <c r="I258" s="103" t="s">
        <v>66</v>
      </c>
      <c r="J258" s="25"/>
      <c r="K258" s="25"/>
      <c r="L258" s="25"/>
      <c r="M258" s="26"/>
    </row>
    <row r="259" hidden="1">
      <c r="A259" s="25" t="s">
        <v>95</v>
      </c>
      <c r="B259" s="72">
        <f>Projections!R15</f>
        <v>203673</v>
      </c>
      <c r="C259" s="104"/>
      <c r="D259" s="104" t="s">
        <v>67</v>
      </c>
      <c r="E259" s="57">
        <f>Projections!R14</f>
        <v>380093.16</v>
      </c>
      <c r="F259" s="73" t="s">
        <v>67</v>
      </c>
      <c r="G259" s="25" t="s">
        <v>68</v>
      </c>
      <c r="H259" s="25" t="s">
        <v>68</v>
      </c>
      <c r="I259" s="105" t="s">
        <v>68</v>
      </c>
      <c r="J259" s="25"/>
      <c r="K259" s="25"/>
      <c r="L259" s="25"/>
      <c r="M259" s="26"/>
    </row>
    <row r="260" hidden="1">
      <c r="A260" s="25" t="s">
        <v>69</v>
      </c>
      <c r="B260" s="25">
        <f>(datedif("1/1/2023",A258,"m")+1)*500</f>
        <v>9500</v>
      </c>
      <c r="C260" s="106"/>
      <c r="D260" s="107"/>
      <c r="E260" s="74" t="str">
        <f>NETWORKDAYS(#REF!,#REF!)</f>
        <v>#REF!</v>
      </c>
      <c r="F260" s="25" t="s">
        <v>70</v>
      </c>
      <c r="G260" s="108" t="s">
        <v>104</v>
      </c>
      <c r="H260" s="109" t="s">
        <v>93</v>
      </c>
      <c r="I260" s="110">
        <v>45476.0</v>
      </c>
      <c r="J260" s="111"/>
      <c r="K260" s="111"/>
      <c r="L260" s="111"/>
      <c r="M260" s="58"/>
    </row>
    <row r="261" hidden="1">
      <c r="A261" s="28" t="str">
        <f>#REF!-sum(D261)-B261</f>
        <v>#REF!</v>
      </c>
      <c r="B261" s="83">
        <f>sum(B263:B267)</f>
        <v>47500</v>
      </c>
      <c r="C261" s="112"/>
      <c r="D261" s="113">
        <f>sum(D263:D267)</f>
        <v>0</v>
      </c>
      <c r="E261" s="59"/>
      <c r="F261" s="63">
        <f>sum(F263:F267)</f>
        <v>123416.54</v>
      </c>
      <c r="G261" s="114" t="s">
        <v>86</v>
      </c>
      <c r="H261" s="109" t="s">
        <v>87</v>
      </c>
      <c r="I261" s="105" t="s">
        <v>105</v>
      </c>
      <c r="J261" s="25"/>
      <c r="K261" s="25"/>
      <c r="L261" s="25"/>
      <c r="M261" s="58"/>
    </row>
    <row r="262" hidden="1">
      <c r="A262" s="32" t="s">
        <v>72</v>
      </c>
      <c r="B262" s="33" t="s">
        <v>84</v>
      </c>
      <c r="C262" s="115"/>
      <c r="D262" s="115" t="s">
        <v>73</v>
      </c>
      <c r="E262" s="34">
        <f>today()</f>
        <v>45969</v>
      </c>
      <c r="F262" s="35" t="s">
        <v>64</v>
      </c>
      <c r="G262" s="36" t="s">
        <v>75</v>
      </c>
      <c r="H262" s="36" t="s">
        <v>75</v>
      </c>
      <c r="I262" s="93" t="str">
        <f t="shared" ref="I262:I267" si="57">I251</f>
        <v>Maintenance</v>
      </c>
      <c r="J262" s="89"/>
      <c r="K262" s="89"/>
      <c r="L262" s="89"/>
      <c r="M262" s="94"/>
    </row>
    <row r="263" hidden="1">
      <c r="A263" s="53" t="str">
        <f t="shared" ref="A263:A267" si="58">#REF!-sum(D263)-B263</f>
        <v>#REF!</v>
      </c>
      <c r="B263" s="62">
        <f>B260</f>
        <v>9500</v>
      </c>
      <c r="C263" s="116"/>
      <c r="D263" s="116">
        <f>sumifs($F263:$M263,$F258:$M258,D262,$F259:$M259,"Pending")</f>
        <v>0</v>
      </c>
      <c r="E263" s="32" t="s">
        <v>76</v>
      </c>
      <c r="F263" s="66">
        <v>74851.31</v>
      </c>
      <c r="G263" s="73">
        <v>43737.81</v>
      </c>
      <c r="H263" s="73">
        <v>53180.08</v>
      </c>
      <c r="I263" s="117">
        <f t="shared" si="57"/>
        <v>1200</v>
      </c>
      <c r="J263" s="25"/>
      <c r="K263" s="25"/>
      <c r="L263" s="25"/>
      <c r="M263" s="76"/>
    </row>
    <row r="264" hidden="1">
      <c r="A264" s="53" t="str">
        <f t="shared" si="58"/>
        <v>#REF!</v>
      </c>
      <c r="B264" s="62">
        <f>B260</f>
        <v>9500</v>
      </c>
      <c r="C264" s="116"/>
      <c r="D264" s="116">
        <f>sumifs($F264:$M264,$F258:$M258,D262,$F259:$M259,"Pending")</f>
        <v>0</v>
      </c>
      <c r="E264" s="32" t="s">
        <v>77</v>
      </c>
      <c r="F264" s="69">
        <v>10040.0</v>
      </c>
      <c r="G264" s="73">
        <f t="shared" ref="G264:H264" si="59">(G253+G242+G231)/3</f>
        <v>0</v>
      </c>
      <c r="H264" s="73">
        <f t="shared" si="59"/>
        <v>0</v>
      </c>
      <c r="I264" s="117">
        <f t="shared" si="57"/>
        <v>0</v>
      </c>
      <c r="J264" s="25"/>
      <c r="K264" s="25"/>
      <c r="L264" s="25"/>
      <c r="M264" s="76"/>
    </row>
    <row r="265" hidden="1">
      <c r="A265" s="53" t="str">
        <f t="shared" si="58"/>
        <v>#REF!</v>
      </c>
      <c r="B265" s="62">
        <f>B260</f>
        <v>9500</v>
      </c>
      <c r="C265" s="116"/>
      <c r="D265" s="116">
        <f t="shared" ref="D265:D266" si="60">sumifs($F265:$M265,$F258:$M258,D262,$F259:$M259,"Pending")</f>
        <v>0</v>
      </c>
      <c r="E265" s="32" t="s">
        <v>81</v>
      </c>
      <c r="F265" s="69">
        <v>9763.0</v>
      </c>
      <c r="G265" s="73">
        <f t="shared" ref="G265:G267" si="61">(G254+G243+G232)/3</f>
        <v>0</v>
      </c>
      <c r="H265" s="73">
        <f t="shared" ref="H265:H267" si="62">(H254+H243)/2</f>
        <v>0</v>
      </c>
      <c r="I265" s="117">
        <f t="shared" si="57"/>
        <v>0</v>
      </c>
      <c r="J265" s="25"/>
      <c r="K265" s="25"/>
      <c r="L265" s="25"/>
      <c r="M265" s="76"/>
    </row>
    <row r="266" hidden="1">
      <c r="A266" s="53" t="str">
        <f t="shared" si="58"/>
        <v>#REF!</v>
      </c>
      <c r="B266" s="62">
        <f>B260</f>
        <v>9500</v>
      </c>
      <c r="C266" s="116"/>
      <c r="D266" s="116">
        <f t="shared" si="60"/>
        <v>0</v>
      </c>
      <c r="E266" s="32" t="s">
        <v>79</v>
      </c>
      <c r="F266" s="69">
        <v>9762.23</v>
      </c>
      <c r="G266" s="73">
        <f t="shared" si="61"/>
        <v>0</v>
      </c>
      <c r="H266" s="73">
        <f t="shared" si="62"/>
        <v>0</v>
      </c>
      <c r="I266" s="117">
        <f t="shared" si="57"/>
        <v>0</v>
      </c>
      <c r="J266" s="25"/>
      <c r="K266" s="25"/>
      <c r="L266" s="25"/>
      <c r="M266" s="76"/>
    </row>
    <row r="267" hidden="1">
      <c r="A267" s="53" t="str">
        <f t="shared" si="58"/>
        <v>#REF!</v>
      </c>
      <c r="B267" s="62">
        <f>B260</f>
        <v>9500</v>
      </c>
      <c r="C267" s="116"/>
      <c r="D267" s="116">
        <f>sumifs($F267:$M267,$F258:$M258,D262,$F259:$M259,"Pending")</f>
        <v>0</v>
      </c>
      <c r="E267" s="33" t="s">
        <v>91</v>
      </c>
      <c r="F267" s="69">
        <v>19000.0</v>
      </c>
      <c r="G267" s="73">
        <f t="shared" si="61"/>
        <v>0</v>
      </c>
      <c r="H267" s="73">
        <f t="shared" si="62"/>
        <v>0</v>
      </c>
      <c r="I267" s="88">
        <f t="shared" si="57"/>
        <v>0</v>
      </c>
      <c r="J267" s="25"/>
      <c r="K267" s="25"/>
      <c r="L267" s="25"/>
      <c r="M267" s="76"/>
    </row>
    <row r="268" hidden="1">
      <c r="A268" s="24"/>
      <c r="B268" s="24"/>
      <c r="C268" s="24"/>
      <c r="D268" s="24"/>
      <c r="E268" s="24"/>
      <c r="F268" s="25"/>
      <c r="G268" s="25"/>
      <c r="H268" s="25"/>
      <c r="I268" s="25"/>
      <c r="J268" s="25"/>
      <c r="K268" s="25"/>
      <c r="L268" s="25"/>
      <c r="M268" s="26"/>
    </row>
    <row r="269" hidden="1">
      <c r="A269" s="71">
        <v>45505.0</v>
      </c>
      <c r="B269" s="24"/>
      <c r="C269" s="24"/>
      <c r="D269" s="24"/>
      <c r="E269" s="24" t="str">
        <f>A272-A261</f>
        <v>#REF!</v>
      </c>
      <c r="F269" s="25" t="s">
        <v>64</v>
      </c>
      <c r="G269" s="101" t="s">
        <v>97</v>
      </c>
      <c r="H269" s="102" t="s">
        <v>97</v>
      </c>
      <c r="I269" s="103" t="s">
        <v>66</v>
      </c>
      <c r="J269" s="25"/>
      <c r="K269" s="25"/>
      <c r="L269" s="25"/>
      <c r="M269" s="26"/>
    </row>
    <row r="270" hidden="1">
      <c r="A270" s="25" t="s">
        <v>95</v>
      </c>
      <c r="B270" s="72">
        <f>Projections!S15</f>
        <v>195093</v>
      </c>
      <c r="C270" s="104"/>
      <c r="D270" s="104" t="s">
        <v>67</v>
      </c>
      <c r="E270" s="57">
        <f>Projections!S14</f>
        <v>318509.54</v>
      </c>
      <c r="F270" s="73" t="s">
        <v>67</v>
      </c>
      <c r="G270" s="118" t="s">
        <v>68</v>
      </c>
      <c r="H270" s="109" t="s">
        <v>68</v>
      </c>
      <c r="I270" s="105" t="s">
        <v>68</v>
      </c>
      <c r="J270" s="25"/>
      <c r="K270" s="25"/>
      <c r="L270" s="25"/>
      <c r="M270" s="26"/>
    </row>
    <row r="271" hidden="1">
      <c r="A271" s="25" t="s">
        <v>69</v>
      </c>
      <c r="B271" s="119">
        <v>3000.0</v>
      </c>
      <c r="C271" s="106"/>
      <c r="D271" s="107"/>
      <c r="E271" s="74" t="str">
        <f>NETWORKDAYS(#REF!,#REF!)</f>
        <v>#REF!</v>
      </c>
      <c r="F271" s="25" t="s">
        <v>70</v>
      </c>
      <c r="G271" s="108" t="s">
        <v>106</v>
      </c>
      <c r="H271" s="109" t="s">
        <v>106</v>
      </c>
      <c r="I271" s="120" t="str">
        <f>date(year(#REF!),month(#REF!),5)</f>
        <v>#REF!</v>
      </c>
      <c r="J271" s="92"/>
      <c r="K271" s="92"/>
      <c r="L271" s="92"/>
      <c r="M271" s="58"/>
    </row>
    <row r="272" hidden="1">
      <c r="A272" s="28" t="str">
        <f>#REF!-sum(D272)-B272</f>
        <v>#REF!</v>
      </c>
      <c r="B272" s="90">
        <f>sum(B274:B278)</f>
        <v>50500</v>
      </c>
      <c r="C272" s="121"/>
      <c r="D272" s="113">
        <f>sum(D274:D278)</f>
        <v>0</v>
      </c>
      <c r="E272" s="59"/>
      <c r="F272" s="63">
        <f>sum(F274:F278)</f>
        <v>120331.87</v>
      </c>
      <c r="G272" s="114" t="s">
        <v>86</v>
      </c>
      <c r="H272" s="109" t="s">
        <v>87</v>
      </c>
      <c r="I272" s="105" t="s">
        <v>88</v>
      </c>
      <c r="J272" s="25"/>
      <c r="K272" s="25"/>
      <c r="L272" s="25"/>
      <c r="M272" s="58"/>
    </row>
    <row r="273" hidden="1">
      <c r="A273" s="32" t="s">
        <v>72</v>
      </c>
      <c r="B273" s="122" t="s">
        <v>84</v>
      </c>
      <c r="C273" s="123"/>
      <c r="D273" s="115" t="s">
        <v>73</v>
      </c>
      <c r="E273" s="34">
        <f>today()</f>
        <v>45969</v>
      </c>
      <c r="F273" s="35" t="s">
        <v>64</v>
      </c>
      <c r="G273" s="124" t="s">
        <v>107</v>
      </c>
      <c r="H273" s="124" t="s">
        <v>107</v>
      </c>
      <c r="I273" s="93" t="str">
        <f t="shared" ref="I273:I278" si="63">I262</f>
        <v>Maintenance</v>
      </c>
      <c r="J273" s="89"/>
      <c r="K273" s="89"/>
      <c r="L273" s="89"/>
      <c r="M273" s="94"/>
    </row>
    <row r="274" hidden="1">
      <c r="A274" s="53" t="str">
        <f t="shared" ref="A274:A278" si="64">#REF!-sum(D274)-B274</f>
        <v>#REF!</v>
      </c>
      <c r="B274" s="90">
        <f>B263+B271/5</f>
        <v>10100</v>
      </c>
      <c r="C274" s="125"/>
      <c r="D274" s="116">
        <f>sumifs($F274:$M274,$F269:$M269,D273,$F270:$M270,"Pending")</f>
        <v>0</v>
      </c>
      <c r="E274" s="32" t="s">
        <v>76</v>
      </c>
      <c r="F274" s="66">
        <v>33780.66</v>
      </c>
      <c r="G274" s="126">
        <v>42265.37</v>
      </c>
      <c r="H274" s="126">
        <v>16460.94</v>
      </c>
      <c r="I274" s="117">
        <f t="shared" si="63"/>
        <v>1200</v>
      </c>
      <c r="J274" s="25"/>
      <c r="K274" s="25"/>
      <c r="L274" s="25"/>
      <c r="M274" s="76"/>
    </row>
    <row r="275" hidden="1">
      <c r="A275" s="53" t="str">
        <f t="shared" si="64"/>
        <v>#REF!</v>
      </c>
      <c r="B275" s="90">
        <f>B263+B271/5</f>
        <v>10100</v>
      </c>
      <c r="C275" s="125"/>
      <c r="D275" s="116">
        <f>sumifs($F275:$M275,$F269:$M269,D273,$F270:$M270,"Pending")</f>
        <v>0</v>
      </c>
      <c r="E275" s="32" t="s">
        <v>77</v>
      </c>
      <c r="F275" s="69">
        <v>26351.21</v>
      </c>
      <c r="G275" s="127">
        <f t="shared" ref="G275:H275" si="65">(G264+G253)/2</f>
        <v>0</v>
      </c>
      <c r="H275" s="73">
        <f t="shared" si="65"/>
        <v>0</v>
      </c>
      <c r="I275" s="117">
        <f t="shared" si="63"/>
        <v>0</v>
      </c>
      <c r="J275" s="25"/>
      <c r="K275" s="25"/>
      <c r="L275" s="25"/>
      <c r="M275" s="76"/>
    </row>
    <row r="276" hidden="1">
      <c r="A276" s="53" t="str">
        <f t="shared" si="64"/>
        <v>#REF!</v>
      </c>
      <c r="B276" s="90">
        <f>B263+B271/5</f>
        <v>10100</v>
      </c>
      <c r="C276" s="125"/>
      <c r="D276" s="116">
        <f t="shared" ref="D276:D277" si="66">sumifs($F276:$M276,$F269:$M269,D273,$F270:$M270,"Pending")</f>
        <v>0</v>
      </c>
      <c r="E276" s="32" t="s">
        <v>81</v>
      </c>
      <c r="F276" s="69">
        <v>24850.0</v>
      </c>
      <c r="G276" s="127">
        <f t="shared" ref="G276:G278" si="67">(G265+G254+G243)/3</f>
        <v>0</v>
      </c>
      <c r="H276" s="73">
        <f t="shared" ref="H276:H278" si="68">(H265+H254)/2</f>
        <v>0</v>
      </c>
      <c r="I276" s="117">
        <f t="shared" si="63"/>
        <v>0</v>
      </c>
      <c r="J276" s="25"/>
      <c r="K276" s="25"/>
      <c r="L276" s="25"/>
      <c r="M276" s="76"/>
    </row>
    <row r="277" hidden="1">
      <c r="A277" s="53" t="str">
        <f t="shared" si="64"/>
        <v>#REF!</v>
      </c>
      <c r="B277" s="90">
        <f>B263+B271/5</f>
        <v>10100</v>
      </c>
      <c r="C277" s="125"/>
      <c r="D277" s="116">
        <f t="shared" si="66"/>
        <v>0</v>
      </c>
      <c r="E277" s="32" t="s">
        <v>79</v>
      </c>
      <c r="F277" s="69">
        <v>24850.0</v>
      </c>
      <c r="G277" s="127">
        <f t="shared" si="67"/>
        <v>0</v>
      </c>
      <c r="H277" s="73">
        <f t="shared" si="68"/>
        <v>0</v>
      </c>
      <c r="I277" s="117">
        <f t="shared" si="63"/>
        <v>0</v>
      </c>
      <c r="J277" s="25"/>
      <c r="K277" s="25"/>
      <c r="L277" s="25"/>
      <c r="M277" s="76"/>
    </row>
    <row r="278" hidden="1">
      <c r="A278" s="53" t="str">
        <f t="shared" si="64"/>
        <v>#REF!</v>
      </c>
      <c r="B278" s="90">
        <f>B263+B271/5</f>
        <v>10100</v>
      </c>
      <c r="C278" s="125"/>
      <c r="D278" s="116">
        <f>sumifs($F278:$M278,$F269:$M269,D273,$F270:$M270,"Pending")</f>
        <v>0</v>
      </c>
      <c r="E278" s="33" t="s">
        <v>91</v>
      </c>
      <c r="F278" s="69">
        <v>10500.0</v>
      </c>
      <c r="G278" s="128">
        <f t="shared" si="67"/>
        <v>0</v>
      </c>
      <c r="H278" s="129">
        <f t="shared" si="68"/>
        <v>0</v>
      </c>
      <c r="I278" s="88">
        <f t="shared" si="63"/>
        <v>0</v>
      </c>
      <c r="J278" s="25"/>
      <c r="K278" s="25"/>
      <c r="L278" s="25"/>
      <c r="M278" s="76"/>
    </row>
    <row r="279" hidden="1">
      <c r="A279" s="24"/>
      <c r="B279" s="24"/>
      <c r="C279" s="24"/>
      <c r="D279" s="24"/>
      <c r="E279" s="24"/>
      <c r="F279" s="25"/>
      <c r="G279" s="25"/>
      <c r="H279" s="25"/>
      <c r="I279" s="25"/>
      <c r="J279" s="25"/>
      <c r="K279" s="25"/>
      <c r="L279" s="25"/>
      <c r="M279" s="24"/>
    </row>
    <row r="280" hidden="1">
      <c r="A280" s="71">
        <v>45536.0</v>
      </c>
      <c r="B280" s="24"/>
      <c r="C280" s="24"/>
      <c r="D280" s="24" t="str">
        <f>B283+#REF!+#REF!+#REF!+#REF!</f>
        <v>#REF!</v>
      </c>
      <c r="E280" s="24" t="str">
        <f>A283-A272</f>
        <v>#REF!</v>
      </c>
      <c r="F280" s="25" t="s">
        <v>64</v>
      </c>
      <c r="G280" s="101" t="s">
        <v>97</v>
      </c>
      <c r="H280" s="102" t="s">
        <v>97</v>
      </c>
      <c r="I280" s="103" t="s">
        <v>66</v>
      </c>
      <c r="J280" s="25"/>
      <c r="K280" s="25"/>
      <c r="L280" s="25"/>
      <c r="M280" s="24"/>
    </row>
    <row r="281" hidden="1">
      <c r="A281" s="25" t="s">
        <v>95</v>
      </c>
      <c r="B281" s="72">
        <f>Projections!T15</f>
        <v>196344</v>
      </c>
      <c r="C281" s="130"/>
      <c r="D281" s="131" t="s">
        <v>67</v>
      </c>
      <c r="E281" s="57">
        <f>Projections!T14</f>
        <v>316675.87</v>
      </c>
      <c r="F281" s="73" t="s">
        <v>67</v>
      </c>
      <c r="G281" s="118" t="s">
        <v>68</v>
      </c>
      <c r="H281" s="109" t="s">
        <v>68</v>
      </c>
      <c r="I281" s="105" t="s">
        <v>68</v>
      </c>
      <c r="J281" s="25"/>
      <c r="K281" s="25"/>
      <c r="L281" s="25"/>
      <c r="M281" s="24"/>
    </row>
    <row r="282" hidden="1">
      <c r="A282" s="25" t="s">
        <v>69</v>
      </c>
      <c r="B282" s="119">
        <f>if(B272&lt;=B281*6/5,B271+500,floor(B281*5%,500))</f>
        <v>3500</v>
      </c>
      <c r="C282" s="132"/>
      <c r="D282" s="132"/>
      <c r="E282" s="74" t="str">
        <f>NETWORKDAYS(#REF!,#REF!)</f>
        <v>#REF!</v>
      </c>
      <c r="F282" s="25" t="s">
        <v>70</v>
      </c>
      <c r="G282" s="108" t="s">
        <v>106</v>
      </c>
      <c r="H282" s="109" t="s">
        <v>106</v>
      </c>
      <c r="I282" s="120" t="str">
        <f>date(year(#REF!),month(#REF!),5)</f>
        <v>#REF!</v>
      </c>
      <c r="J282" s="92"/>
      <c r="K282" s="92"/>
      <c r="L282" s="92"/>
      <c r="M282" s="29"/>
    </row>
    <row r="283" hidden="1">
      <c r="A283" s="28" t="str">
        <f>#REF!-sum(D283)-B283</f>
        <v>#REF!</v>
      </c>
      <c r="B283" s="90">
        <f>sum(B285:B289)</f>
        <v>50000</v>
      </c>
      <c r="C283" s="133"/>
      <c r="D283" s="133">
        <f>sum(D285:D289)</f>
        <v>0</v>
      </c>
      <c r="E283" s="59"/>
      <c r="F283" s="63">
        <f>sum(F285:F289)</f>
        <v>76707.13</v>
      </c>
      <c r="G283" s="114" t="s">
        <v>86</v>
      </c>
      <c r="H283" s="109" t="s">
        <v>87</v>
      </c>
      <c r="I283" s="105" t="s">
        <v>88</v>
      </c>
      <c r="J283" s="25"/>
      <c r="K283" s="25"/>
      <c r="L283" s="25"/>
      <c r="M283" s="24"/>
    </row>
    <row r="284" hidden="1">
      <c r="A284" s="32" t="s">
        <v>72</v>
      </c>
      <c r="B284" s="122" t="s">
        <v>84</v>
      </c>
      <c r="C284" s="134"/>
      <c r="D284" s="134" t="s">
        <v>73</v>
      </c>
      <c r="E284" s="34">
        <f>today()</f>
        <v>45969</v>
      </c>
      <c r="F284" s="35" t="s">
        <v>64</v>
      </c>
      <c r="G284" s="124" t="s">
        <v>107</v>
      </c>
      <c r="H284" s="124" t="s">
        <v>107</v>
      </c>
      <c r="I284" s="93" t="str">
        <f t="shared" ref="I284:I289" si="69">I273</f>
        <v>Maintenance</v>
      </c>
      <c r="J284" s="89"/>
      <c r="K284" s="89"/>
      <c r="L284" s="89"/>
      <c r="M284" s="82"/>
    </row>
    <row r="285" hidden="1">
      <c r="A285" s="53" t="str">
        <f t="shared" ref="A285:A289" si="70">#REF!-sum(D285)-B285</f>
        <v>#REF!</v>
      </c>
      <c r="B285" s="69">
        <v>10000.0</v>
      </c>
      <c r="C285" s="133"/>
      <c r="D285" s="133">
        <f>sumifs($F285:$M285,$F280:$M280,D284,$F281:$M281,"Pending")</f>
        <v>0</v>
      </c>
      <c r="E285" s="32" t="s">
        <v>76</v>
      </c>
      <c r="F285" s="66">
        <f>421220.13-100000-291327</f>
        <v>29893.13</v>
      </c>
      <c r="G285" s="126">
        <v>45000.14</v>
      </c>
      <c r="H285" s="126">
        <v>17884.46</v>
      </c>
      <c r="I285" s="117">
        <f t="shared" si="69"/>
        <v>1200</v>
      </c>
      <c r="J285" s="25"/>
      <c r="K285" s="25"/>
      <c r="L285" s="25"/>
      <c r="M285" s="24"/>
    </row>
    <row r="286" hidden="1">
      <c r="A286" s="53" t="str">
        <f t="shared" si="70"/>
        <v>#REF!</v>
      </c>
      <c r="B286" s="69">
        <v>10000.0</v>
      </c>
      <c r="C286" s="133"/>
      <c r="D286" s="133">
        <f>sumifs($F286:$M286,$F280:$M280,D284,$F281:$M281,"Pending")</f>
        <v>0</v>
      </c>
      <c r="E286" s="32" t="s">
        <v>77</v>
      </c>
      <c r="F286" s="69">
        <v>12300.0</v>
      </c>
      <c r="G286" s="127">
        <f t="shared" ref="G286:H286" si="71">(G275+G264)/2</f>
        <v>0</v>
      </c>
      <c r="H286" s="73">
        <f t="shared" si="71"/>
        <v>0</v>
      </c>
      <c r="I286" s="117">
        <f t="shared" si="69"/>
        <v>0</v>
      </c>
      <c r="J286" s="25"/>
      <c r="K286" s="25"/>
      <c r="L286" s="25"/>
      <c r="M286" s="24"/>
    </row>
    <row r="287" hidden="1">
      <c r="A287" s="53" t="str">
        <f t="shared" si="70"/>
        <v>#REF!</v>
      </c>
      <c r="B287" s="69">
        <v>10000.0</v>
      </c>
      <c r="C287" s="133"/>
      <c r="D287" s="133">
        <f t="shared" ref="D287:D288" si="72">sumifs($F287:$M287,$F280:$M280,D284,$F281:$M281,"Pending")</f>
        <v>0</v>
      </c>
      <c r="E287" s="32" t="s">
        <v>81</v>
      </c>
      <c r="F287" s="69">
        <v>10904.0</v>
      </c>
      <c r="G287" s="127">
        <f t="shared" ref="G287:G289" si="73">(G276+G265+G254)/3</f>
        <v>0</v>
      </c>
      <c r="H287" s="73">
        <f t="shared" ref="H287:H289" si="74">(H276+H265)/2</f>
        <v>0</v>
      </c>
      <c r="I287" s="117">
        <f t="shared" si="69"/>
        <v>0</v>
      </c>
      <c r="J287" s="25"/>
      <c r="K287" s="25"/>
      <c r="L287" s="25"/>
      <c r="M287" s="24"/>
    </row>
    <row r="288" hidden="1">
      <c r="A288" s="53" t="str">
        <f t="shared" si="70"/>
        <v>#REF!</v>
      </c>
      <c r="B288" s="69">
        <v>10000.0</v>
      </c>
      <c r="C288" s="133"/>
      <c r="D288" s="133">
        <f t="shared" si="72"/>
        <v>0</v>
      </c>
      <c r="E288" s="32" t="s">
        <v>79</v>
      </c>
      <c r="F288" s="69">
        <v>10800.0</v>
      </c>
      <c r="G288" s="127">
        <f t="shared" si="73"/>
        <v>0</v>
      </c>
      <c r="H288" s="73">
        <f t="shared" si="74"/>
        <v>0</v>
      </c>
      <c r="I288" s="117">
        <f t="shared" si="69"/>
        <v>0</v>
      </c>
      <c r="J288" s="25"/>
      <c r="K288" s="25"/>
      <c r="L288" s="25"/>
      <c r="M288" s="24"/>
    </row>
    <row r="289" hidden="1">
      <c r="A289" s="53" t="str">
        <f t="shared" si="70"/>
        <v>#REF!</v>
      </c>
      <c r="B289" s="69">
        <v>10000.0</v>
      </c>
      <c r="C289" s="133"/>
      <c r="D289" s="133">
        <f>sumifs($F289:$M289,$F280:$M280,D284,$F281:$M281,"Pending")</f>
        <v>0</v>
      </c>
      <c r="E289" s="33" t="s">
        <v>91</v>
      </c>
      <c r="F289" s="69">
        <f>10500+750+1600-40</f>
        <v>12810</v>
      </c>
      <c r="G289" s="128">
        <f t="shared" si="73"/>
        <v>0</v>
      </c>
      <c r="H289" s="129">
        <f t="shared" si="74"/>
        <v>0</v>
      </c>
      <c r="I289" s="88">
        <f t="shared" si="69"/>
        <v>0</v>
      </c>
      <c r="J289" s="25"/>
      <c r="K289" s="25"/>
      <c r="L289" s="25"/>
      <c r="M289" s="24"/>
    </row>
    <row r="290" hidden="1">
      <c r="A290" s="135"/>
      <c r="B290" s="24"/>
      <c r="C290" s="24"/>
      <c r="D290" s="24"/>
      <c r="E290" s="24"/>
      <c r="F290" s="24"/>
      <c r="G290" s="25"/>
      <c r="H290" s="25"/>
      <c r="I290" s="25"/>
      <c r="J290" s="25"/>
      <c r="K290" s="25"/>
      <c r="L290" s="25"/>
      <c r="M290" s="24"/>
    </row>
    <row r="291" hidden="1">
      <c r="A291" s="71">
        <v>45566.0</v>
      </c>
      <c r="B291" s="24"/>
      <c r="C291" s="24"/>
      <c r="D291" s="25" t="s">
        <v>108</v>
      </c>
      <c r="E291" s="25">
        <v>0.0</v>
      </c>
      <c r="F291" s="25" t="s">
        <v>64</v>
      </c>
      <c r="G291" s="136" t="s">
        <v>109</v>
      </c>
      <c r="H291" s="137" t="s">
        <v>110</v>
      </c>
      <c r="I291" s="137" t="s">
        <v>111</v>
      </c>
      <c r="J291" s="137" t="s">
        <v>112</v>
      </c>
      <c r="K291" s="137" t="s">
        <v>113</v>
      </c>
      <c r="L291" s="137" t="s">
        <v>114</v>
      </c>
      <c r="M291" s="137" t="s">
        <v>65</v>
      </c>
    </row>
    <row r="292" hidden="1">
      <c r="A292" s="25" t="s">
        <v>95</v>
      </c>
      <c r="B292" s="72">
        <f>Projections!U15</f>
        <v>148844</v>
      </c>
      <c r="C292" s="138">
        <f>A291</f>
        <v>45566</v>
      </c>
      <c r="D292" s="98" t="s">
        <v>115</v>
      </c>
      <c r="E292" s="57">
        <f>Projections!U14</f>
        <v>225551.13</v>
      </c>
      <c r="F292" s="73" t="s">
        <v>67</v>
      </c>
      <c r="G292" s="139" t="s">
        <v>68</v>
      </c>
      <c r="H292" s="137" t="s">
        <v>68</v>
      </c>
      <c r="I292" s="137" t="s">
        <v>68</v>
      </c>
      <c r="J292" s="137" t="s">
        <v>68</v>
      </c>
      <c r="K292" s="137" t="s">
        <v>68</v>
      </c>
      <c r="L292" s="137" t="s">
        <v>68</v>
      </c>
      <c r="M292" s="137" t="s">
        <v>68</v>
      </c>
    </row>
    <row r="293" hidden="1">
      <c r="A293" s="25" t="s">
        <v>69</v>
      </c>
      <c r="B293" s="119">
        <v>0.0</v>
      </c>
      <c r="C293" s="138">
        <f>EOMONTH(C292,0)</f>
        <v>45596</v>
      </c>
      <c r="D293" s="25" t="s">
        <v>116</v>
      </c>
      <c r="E293" s="74">
        <f>if(today()&gt;C293,0,B292*12/365/4)</f>
        <v>0</v>
      </c>
      <c r="F293" s="25" t="s">
        <v>70</v>
      </c>
      <c r="G293" s="140" t="s">
        <v>117</v>
      </c>
      <c r="H293" s="137" t="s">
        <v>117</v>
      </c>
      <c r="I293" s="137" t="s">
        <v>118</v>
      </c>
      <c r="J293" s="137" t="s">
        <v>118</v>
      </c>
      <c r="K293" s="137" t="s">
        <v>118</v>
      </c>
      <c r="L293" s="137" t="s">
        <v>119</v>
      </c>
      <c r="M293" s="137" t="s">
        <v>119</v>
      </c>
    </row>
    <row r="294" hidden="1">
      <c r="A294" s="54">
        <f>F294-C294-B294</f>
        <v>35441.75</v>
      </c>
      <c r="B294" s="90">
        <f t="shared" ref="B294:D294" si="75">sum(B296:B300)</f>
        <v>29000</v>
      </c>
      <c r="C294" s="141">
        <f t="shared" si="75"/>
        <v>0</v>
      </c>
      <c r="D294" s="142">
        <f t="shared" si="75"/>
        <v>76468.27</v>
      </c>
      <c r="E294" s="59"/>
      <c r="F294" s="63">
        <f>sum(F296:F300)</f>
        <v>64441.75</v>
      </c>
      <c r="G294" s="136" t="s">
        <v>120</v>
      </c>
      <c r="H294" s="137" t="s">
        <v>121</v>
      </c>
      <c r="I294" s="137" t="s">
        <v>111</v>
      </c>
      <c r="J294" s="137" t="s">
        <v>112</v>
      </c>
      <c r="K294" s="137" t="s">
        <v>113</v>
      </c>
      <c r="L294" s="137" t="s">
        <v>114</v>
      </c>
      <c r="M294" s="137" t="s">
        <v>65</v>
      </c>
    </row>
    <row r="295" hidden="1">
      <c r="A295" s="32" t="s">
        <v>72</v>
      </c>
      <c r="B295" s="122" t="s">
        <v>84</v>
      </c>
      <c r="C295" s="143" t="s">
        <v>67</v>
      </c>
      <c r="D295" s="143" t="s">
        <v>68</v>
      </c>
      <c r="E295" s="34">
        <f>today()</f>
        <v>45969</v>
      </c>
      <c r="F295" s="35" t="s">
        <v>64</v>
      </c>
      <c r="G295" s="144" t="s">
        <v>107</v>
      </c>
      <c r="H295" s="144" t="s">
        <v>107</v>
      </c>
      <c r="I295" s="145" t="s">
        <v>111</v>
      </c>
      <c r="J295" s="145" t="s">
        <v>112</v>
      </c>
      <c r="K295" s="145" t="s">
        <v>113</v>
      </c>
      <c r="L295" s="145" t="s">
        <v>114</v>
      </c>
      <c r="M295" s="145" t="s">
        <v>65</v>
      </c>
    </row>
    <row r="296" hidden="1">
      <c r="A296" s="53">
        <f t="shared" ref="A296:A300" si="76">F296-C296-B296</f>
        <v>293.38</v>
      </c>
      <c r="B296" s="69">
        <v>3000.0</v>
      </c>
      <c r="C296" s="133">
        <f>sumif(G292:M292,"Pending",G296:M296)</f>
        <v>0</v>
      </c>
      <c r="D296" s="133">
        <f>sumif(G292:M292,"Paid",G296:M296)</f>
        <v>36850.37</v>
      </c>
      <c r="E296" s="32" t="s">
        <v>76</v>
      </c>
      <c r="F296" s="66">
        <v>3293.38</v>
      </c>
      <c r="G296" s="146">
        <f>SUMIF('Bills - CC EMIs'!D:D,A291,'Bills - CC EMIs'!F:F)+sumif('Bills - CC EMIs'!D:D,A291,'Bills - CC EMIs'!G:G)</f>
        <v>11773.37</v>
      </c>
      <c r="H296" s="146">
        <f>SUMIFS('Bills - Loans'!F:F,'Bills - Loans'!D:D,A291)</f>
        <v>15577</v>
      </c>
      <c r="I296" s="147">
        <v>0.0</v>
      </c>
      <c r="J296" s="137">
        <f>sumif('Bills - Responsibilities'!D:D,A291,'Bills - Responsibilities'!E:E)</f>
        <v>7500</v>
      </c>
      <c r="K296" s="147">
        <v>0.0</v>
      </c>
      <c r="L296" s="147">
        <f>sumif('Bills - Returns'!C:C,A291,'Bills - Returns'!B:B)</f>
        <v>0</v>
      </c>
      <c r="M296" s="147">
        <f>sumif('Bills - Investments'!C:C,A291,'Bills - Investments'!B:B)</f>
        <v>2000</v>
      </c>
    </row>
    <row r="297" hidden="1">
      <c r="A297" s="53">
        <f t="shared" si="76"/>
        <v>25500.37</v>
      </c>
      <c r="B297" s="69">
        <v>3000.0</v>
      </c>
      <c r="C297" s="133">
        <f>sumif(G292:M292,"Pending",G297:M297)</f>
        <v>0</v>
      </c>
      <c r="D297" s="133">
        <f>sumif(G292:M292,"Paid",G297:M297)</f>
        <v>39617.9</v>
      </c>
      <c r="E297" s="32" t="s">
        <v>77</v>
      </c>
      <c r="F297" s="69">
        <v>28500.37</v>
      </c>
      <c r="G297" s="148">
        <f>sumif('Bills - CC EMIs'!D:D,A291,'Bills - CC EMIs'!H:H)</f>
        <v>1783.9</v>
      </c>
      <c r="H297" s="147">
        <f>SUMIFS('Bills - Loans'!E:E,'Bills - Loans'!D:D,A291)</f>
        <v>12770</v>
      </c>
      <c r="I297" s="137">
        <f>sumif('Bills - STR Residency'!D:D,A291,'Bills - STR Residency'!E:E)</f>
        <v>4672</v>
      </c>
      <c r="J297" s="147">
        <v>0.0</v>
      </c>
      <c r="K297" s="147">
        <f>sumif('Bills - Utilities'!C:C,A291,'Bills - Utilities'!B:B)</f>
        <v>20392</v>
      </c>
      <c r="L297" s="147">
        <f>sumif('Bills - Utilities'!D:D,B291,'Bills - Utilities'!C:C)</f>
        <v>0</v>
      </c>
      <c r="M297" s="147">
        <f>sumif('Bills - Utilities'!E:E,#REF!,'Bills - Utilities'!D:D)</f>
        <v>0</v>
      </c>
    </row>
    <row r="298" hidden="1">
      <c r="A298" s="53">
        <f t="shared" si="76"/>
        <v>0</v>
      </c>
      <c r="B298" s="69">
        <v>10000.0</v>
      </c>
      <c r="C298" s="133">
        <f>sumif(G292:M292,"Pending",G298:M298)</f>
        <v>0</v>
      </c>
      <c r="D298" s="133">
        <f>sumif(G292:M292,"Paid",G298:M298)</f>
        <v>0</v>
      </c>
      <c r="E298" s="32" t="s">
        <v>81</v>
      </c>
      <c r="F298" s="69">
        <v>10000.0</v>
      </c>
      <c r="G298" s="148">
        <f t="shared" ref="G298:G300" si="77">(G287+G276+G265)/3</f>
        <v>0</v>
      </c>
      <c r="H298" s="147">
        <f t="shared" ref="H298:H300" si="78">(H287+H276)/2</f>
        <v>0</v>
      </c>
      <c r="I298" s="147">
        <f t="shared" ref="I298:I300" si="79">I287</f>
        <v>0</v>
      </c>
      <c r="J298" s="147">
        <v>0.0</v>
      </c>
      <c r="K298" s="147">
        <v>0.0</v>
      </c>
      <c r="L298" s="147">
        <v>0.0</v>
      </c>
      <c r="M298" s="147">
        <v>0.0</v>
      </c>
    </row>
    <row r="299" hidden="1">
      <c r="A299" s="53">
        <f t="shared" si="76"/>
        <v>0</v>
      </c>
      <c r="B299" s="69">
        <v>10000.0</v>
      </c>
      <c r="C299" s="133">
        <f>sumif(G292:M292,"Pending",G299:M299)</f>
        <v>0</v>
      </c>
      <c r="D299" s="133">
        <f>sumif(G292:M292,"Paid",G299:M299)</f>
        <v>0</v>
      </c>
      <c r="E299" s="32" t="s">
        <v>79</v>
      </c>
      <c r="F299" s="69">
        <v>10000.0</v>
      </c>
      <c r="G299" s="148">
        <f t="shared" si="77"/>
        <v>0</v>
      </c>
      <c r="H299" s="147">
        <f t="shared" si="78"/>
        <v>0</v>
      </c>
      <c r="I299" s="147">
        <f t="shared" si="79"/>
        <v>0</v>
      </c>
      <c r="J299" s="147">
        <v>0.0</v>
      </c>
      <c r="K299" s="147">
        <v>0.0</v>
      </c>
      <c r="L299" s="147">
        <v>0.0</v>
      </c>
      <c r="M299" s="147">
        <v>0.0</v>
      </c>
    </row>
    <row r="300" hidden="1">
      <c r="A300" s="53">
        <f t="shared" si="76"/>
        <v>9648</v>
      </c>
      <c r="B300" s="69">
        <v>3000.0</v>
      </c>
      <c r="C300" s="133">
        <f>sumif(G292:M292,"Pending",G300:M300)</f>
        <v>0</v>
      </c>
      <c r="D300" s="133">
        <f>sumif(G292:M292,"Paid",G300:M300)</f>
        <v>0</v>
      </c>
      <c r="E300" s="33" t="s">
        <v>91</v>
      </c>
      <c r="F300" s="69">
        <f>37*500+100*22-5000-700-1000-1100-100-2-20-130</f>
        <v>12648</v>
      </c>
      <c r="G300" s="148">
        <f t="shared" si="77"/>
        <v>0</v>
      </c>
      <c r="H300" s="147">
        <f t="shared" si="78"/>
        <v>0</v>
      </c>
      <c r="I300" s="147">
        <f t="shared" si="79"/>
        <v>0</v>
      </c>
      <c r="J300" s="147">
        <v>0.0</v>
      </c>
      <c r="K300" s="147">
        <v>0.0</v>
      </c>
      <c r="L300" s="147">
        <v>0.0</v>
      </c>
      <c r="M300" s="147">
        <v>0.0</v>
      </c>
    </row>
    <row r="301" hidden="1">
      <c r="A301" s="24"/>
      <c r="B301" s="24"/>
      <c r="C301" s="24"/>
      <c r="D301" s="24"/>
      <c r="E301" s="24"/>
      <c r="F301" s="25"/>
      <c r="G301" s="25"/>
      <c r="H301" s="25"/>
      <c r="I301" s="25"/>
      <c r="J301" s="25"/>
      <c r="K301" s="25"/>
      <c r="L301" s="25"/>
      <c r="M301" s="24"/>
    </row>
    <row r="302" hidden="1">
      <c r="A302" s="71">
        <v>45597.0</v>
      </c>
      <c r="B302" s="24"/>
      <c r="C302" s="24"/>
      <c r="D302" s="25" t="s">
        <v>108</v>
      </c>
      <c r="E302" s="74">
        <f>A305-A294</f>
        <v>-23159.75</v>
      </c>
      <c r="F302" s="25" t="s">
        <v>64</v>
      </c>
      <c r="G302" s="136" t="s">
        <v>109</v>
      </c>
      <c r="H302" s="137" t="s">
        <v>110</v>
      </c>
      <c r="I302" s="137" t="s">
        <v>111</v>
      </c>
      <c r="J302" s="137" t="s">
        <v>112</v>
      </c>
      <c r="K302" s="137" t="s">
        <v>113</v>
      </c>
      <c r="L302" s="137" t="s">
        <v>114</v>
      </c>
      <c r="M302" s="137" t="s">
        <v>65</v>
      </c>
    </row>
    <row r="303" hidden="1">
      <c r="A303" s="25" t="s">
        <v>95</v>
      </c>
      <c r="B303" s="72">
        <f>Projections!V15</f>
        <v>148844</v>
      </c>
      <c r="C303" s="138">
        <f>A302</f>
        <v>45597</v>
      </c>
      <c r="D303" s="98" t="s">
        <v>115</v>
      </c>
      <c r="E303" s="57">
        <f>Projections!V14</f>
        <v>213285.75</v>
      </c>
      <c r="F303" s="73" t="s">
        <v>67</v>
      </c>
      <c r="G303" s="139" t="s">
        <v>68</v>
      </c>
      <c r="H303" s="139" t="s">
        <v>68</v>
      </c>
      <c r="I303" s="137" t="s">
        <v>68</v>
      </c>
      <c r="J303" s="137" t="s">
        <v>68</v>
      </c>
      <c r="K303" s="137" t="s">
        <v>67</v>
      </c>
      <c r="L303" s="137" t="s">
        <v>67</v>
      </c>
      <c r="M303" s="137" t="s">
        <v>68</v>
      </c>
    </row>
    <row r="304" hidden="1">
      <c r="A304" s="25" t="s">
        <v>69</v>
      </c>
      <c r="B304" s="119">
        <f>29000+30229.29/2+3343.965</f>
        <v>47458.61</v>
      </c>
      <c r="C304" s="138">
        <f>EOMONTH(C303,0)</f>
        <v>45626</v>
      </c>
      <c r="D304" s="25" t="s">
        <v>116</v>
      </c>
      <c r="E304" s="74">
        <f>if(today()&gt;C304,0,B303*12/365/4)</f>
        <v>0</v>
      </c>
      <c r="F304" s="25" t="s">
        <v>70</v>
      </c>
      <c r="G304" s="140" t="s">
        <v>117</v>
      </c>
      <c r="H304" s="137" t="s">
        <v>117</v>
      </c>
      <c r="I304" s="137" t="s">
        <v>118</v>
      </c>
      <c r="J304" s="137" t="s">
        <v>118</v>
      </c>
      <c r="K304" s="137" t="s">
        <v>118</v>
      </c>
      <c r="L304" s="137" t="s">
        <v>119</v>
      </c>
      <c r="M304" s="137" t="s">
        <v>119</v>
      </c>
    </row>
    <row r="305" hidden="1">
      <c r="A305" s="54">
        <f>F305-C305-B305</f>
        <v>12282</v>
      </c>
      <c r="B305" s="90">
        <f t="shared" ref="B305:D305" si="80">sum(B307:B311)</f>
        <v>0</v>
      </c>
      <c r="C305" s="141">
        <f t="shared" si="80"/>
        <v>0</v>
      </c>
      <c r="D305" s="142">
        <f t="shared" si="80"/>
        <v>0</v>
      </c>
      <c r="E305" s="59"/>
      <c r="F305" s="63">
        <f>sum(F307:F311)</f>
        <v>12282</v>
      </c>
      <c r="G305" s="136" t="s">
        <v>120</v>
      </c>
      <c r="H305" s="137" t="s">
        <v>121</v>
      </c>
      <c r="I305" s="137" t="s">
        <v>111</v>
      </c>
      <c r="J305" s="137" t="s">
        <v>112</v>
      </c>
      <c r="K305" s="137" t="s">
        <v>113</v>
      </c>
      <c r="L305" s="137" t="s">
        <v>114</v>
      </c>
      <c r="M305" s="137" t="s">
        <v>65</v>
      </c>
    </row>
    <row r="306" hidden="1">
      <c r="A306" s="32" t="s">
        <v>72</v>
      </c>
      <c r="B306" s="122" t="s">
        <v>84</v>
      </c>
      <c r="C306" s="143" t="s">
        <v>67</v>
      </c>
      <c r="D306" s="143" t="s">
        <v>68</v>
      </c>
      <c r="E306" s="34">
        <f>today()</f>
        <v>45969</v>
      </c>
      <c r="F306" s="35" t="s">
        <v>64</v>
      </c>
      <c r="G306" s="144" t="s">
        <v>107</v>
      </c>
      <c r="H306" s="144" t="s">
        <v>107</v>
      </c>
      <c r="I306" s="145" t="str">
        <f>I295</f>
        <v>STR Residency</v>
      </c>
      <c r="J306" s="145" t="s">
        <v>112</v>
      </c>
      <c r="K306" s="145" t="s">
        <v>113</v>
      </c>
      <c r="L306" s="145" t="s">
        <v>114</v>
      </c>
      <c r="M306" s="145" t="s">
        <v>65</v>
      </c>
    </row>
    <row r="307" hidden="1">
      <c r="A307" s="53">
        <f t="shared" ref="A307:A311" si="81">F307-C307-B307</f>
        <v>6000</v>
      </c>
      <c r="B307" s="69">
        <v>0.0</v>
      </c>
      <c r="C307" s="133">
        <f>sumif(G303:M303,"Pending",G307:M307)</f>
        <v>0</v>
      </c>
      <c r="D307" s="133">
        <f>sumif(G303:M303,"Paid",G307:M307)</f>
        <v>0</v>
      </c>
      <c r="E307" s="32" t="s">
        <v>76</v>
      </c>
      <c r="F307" s="66">
        <v>6000.0</v>
      </c>
      <c r="G307" s="146">
        <f>sumif('Bills - CC EMIs'!D:D,A302,'Bills - CC EMIs'!E:E)+SUMIF('Bills - CC EMIs'!D:D,A302,'Bills - CC EMIs'!F:F)+sumif('Bills - CC EMIs'!D:D,A302,'Bills - CC EMIs'!G:G)</f>
        <v>0</v>
      </c>
      <c r="H307" s="146">
        <f>SUMIFS('Bills - Loans'!F:F,'Bills - Loans'!D:D,A302)</f>
        <v>0</v>
      </c>
      <c r="I307" s="147">
        <v>0.0</v>
      </c>
      <c r="J307" s="147">
        <f>sumif('Bills - Responsibilities'!D:D,A302,'Bills - Responsibilities'!E:E)</f>
        <v>0</v>
      </c>
      <c r="K307" s="147">
        <v>0.0</v>
      </c>
      <c r="L307" s="147">
        <f>sumif('Bills - Returns'!C:C,A302,'Bills - Returns'!D:D)</f>
        <v>0</v>
      </c>
      <c r="M307" s="147">
        <f>sumif('Bills - Investments'!C:C,A302,'Bills - Investments'!D:D)</f>
        <v>0</v>
      </c>
    </row>
    <row r="308" hidden="1">
      <c r="A308" s="53">
        <f t="shared" si="81"/>
        <v>200</v>
      </c>
      <c r="B308" s="69">
        <v>0.0</v>
      </c>
      <c r="C308" s="133">
        <f>sumif(G303:M303,"Pending",G308:M308)</f>
        <v>0</v>
      </c>
      <c r="D308" s="133">
        <f>sumif(G303:M303,"Paid",G308:M308)</f>
        <v>0</v>
      </c>
      <c r="E308" s="32" t="s">
        <v>77</v>
      </c>
      <c r="F308" s="69">
        <v>200.0</v>
      </c>
      <c r="G308" s="148">
        <f>sumif('Bills - CC EMIs'!D:D,A302,'Bills - CC EMIs'!H:H)</f>
        <v>0</v>
      </c>
      <c r="H308" s="147">
        <f>SUMIFS('Bills - Loans'!E:E,'Bills - Loans'!D:D,A302)</f>
        <v>0</v>
      </c>
      <c r="I308" s="147">
        <f>sumif('Bills - STR Residency'!D:D,A302,'Bills - STR Residency'!E:E)</f>
        <v>0</v>
      </c>
      <c r="J308" s="147">
        <v>0.0</v>
      </c>
      <c r="K308" s="147">
        <f>sumif('Bills - Utilities'!C:C,A302,'Bills - Utilities'!D:D)</f>
        <v>0</v>
      </c>
      <c r="L308" s="147">
        <f>sumif('Bills - Utilities'!D:D,B302,'Bills - Utilities'!C:C)</f>
        <v>0</v>
      </c>
      <c r="M308" s="147">
        <f>sumif('Bills - Utilities'!E:E,#REF!,'Bills - Utilities'!D:D)</f>
        <v>0</v>
      </c>
    </row>
    <row r="309" hidden="1">
      <c r="A309" s="53">
        <f t="shared" si="81"/>
        <v>491</v>
      </c>
      <c r="B309" s="69">
        <v>0.0</v>
      </c>
      <c r="C309" s="133">
        <f>sumif(G303:M303,"Pending",G309:M309)</f>
        <v>0</v>
      </c>
      <c r="D309" s="133">
        <f>sumif(G303:M303,"Paid",G309:M309)</f>
        <v>0</v>
      </c>
      <c r="E309" s="32" t="s">
        <v>81</v>
      </c>
      <c r="F309" s="69">
        <v>491.0</v>
      </c>
      <c r="G309" s="148">
        <f t="shared" ref="G309:G311" si="82">(G298+G287+G276)/3</f>
        <v>0</v>
      </c>
      <c r="H309" s="147">
        <f t="shared" ref="H309:H311" si="83">(H298+H287)/2</f>
        <v>0</v>
      </c>
      <c r="I309" s="147">
        <f t="shared" ref="I309:I311" si="84">I298</f>
        <v>0</v>
      </c>
      <c r="J309" s="147">
        <v>0.0</v>
      </c>
      <c r="K309" s="147">
        <v>0.0</v>
      </c>
      <c r="L309" s="147">
        <v>0.0</v>
      </c>
      <c r="M309" s="147">
        <v>0.0</v>
      </c>
    </row>
    <row r="310" hidden="1">
      <c r="A310" s="53">
        <f t="shared" si="81"/>
        <v>491</v>
      </c>
      <c r="B310" s="69">
        <v>0.0</v>
      </c>
      <c r="C310" s="133">
        <f>sumif(G303:M303,"Pending",G310:M310)</f>
        <v>0</v>
      </c>
      <c r="D310" s="133">
        <f>sumif(G303:M303,"Paid",G310:M310)</f>
        <v>0</v>
      </c>
      <c r="E310" s="32" t="s">
        <v>79</v>
      </c>
      <c r="F310" s="69">
        <v>491.0</v>
      </c>
      <c r="G310" s="148">
        <f t="shared" si="82"/>
        <v>0</v>
      </c>
      <c r="H310" s="147">
        <f t="shared" si="83"/>
        <v>0</v>
      </c>
      <c r="I310" s="147">
        <f t="shared" si="84"/>
        <v>0</v>
      </c>
      <c r="J310" s="147">
        <v>0.0</v>
      </c>
      <c r="K310" s="147">
        <v>0.0</v>
      </c>
      <c r="L310" s="147">
        <v>0.0</v>
      </c>
      <c r="M310" s="147">
        <v>0.0</v>
      </c>
    </row>
    <row r="311" hidden="1">
      <c r="A311" s="53">
        <f t="shared" si="81"/>
        <v>5100</v>
      </c>
      <c r="B311" s="69">
        <v>0.0</v>
      </c>
      <c r="C311" s="133">
        <f>sumif(G303:M303,"Pending",G311:M311)</f>
        <v>0</v>
      </c>
      <c r="D311" s="133">
        <f>sumif(G303:M303,"Paid",G311:M311)</f>
        <v>0</v>
      </c>
      <c r="E311" s="33" t="s">
        <v>91</v>
      </c>
      <c r="F311" s="69">
        <f>500*9+100*6</f>
        <v>5100</v>
      </c>
      <c r="G311" s="148">
        <f t="shared" si="82"/>
        <v>0</v>
      </c>
      <c r="H311" s="147">
        <f t="shared" si="83"/>
        <v>0</v>
      </c>
      <c r="I311" s="147">
        <f t="shared" si="84"/>
        <v>0</v>
      </c>
      <c r="J311" s="147">
        <v>0.0</v>
      </c>
      <c r="K311" s="147">
        <v>0.0</v>
      </c>
      <c r="L311" s="147">
        <v>0.0</v>
      </c>
      <c r="M311" s="147">
        <v>0.0</v>
      </c>
    </row>
    <row r="312" hidden="1">
      <c r="A312" s="24"/>
      <c r="B312" s="24"/>
      <c r="C312" s="24"/>
      <c r="D312" s="24"/>
      <c r="E312" s="24"/>
      <c r="F312" s="25"/>
      <c r="G312" s="25"/>
      <c r="H312" s="25"/>
      <c r="I312" s="25"/>
      <c r="J312" s="25"/>
      <c r="K312" s="25"/>
      <c r="L312" s="25"/>
      <c r="M312" s="24"/>
    </row>
    <row r="313" hidden="1">
      <c r="A313" s="71">
        <v>45627.0</v>
      </c>
      <c r="B313" s="24"/>
      <c r="C313" s="24"/>
      <c r="D313" s="25" t="s">
        <v>108</v>
      </c>
      <c r="E313" s="74">
        <f>A316-A305</f>
        <v>63068.04</v>
      </c>
      <c r="F313" s="25" t="s">
        <v>64</v>
      </c>
      <c r="G313" s="136" t="s">
        <v>109</v>
      </c>
      <c r="H313" s="137" t="s">
        <v>110</v>
      </c>
      <c r="I313" s="137" t="s">
        <v>111</v>
      </c>
      <c r="J313" s="137" t="s">
        <v>112</v>
      </c>
      <c r="K313" s="137" t="s">
        <v>113</v>
      </c>
      <c r="L313" s="137" t="s">
        <v>114</v>
      </c>
      <c r="M313" s="137" t="s">
        <v>65</v>
      </c>
    </row>
    <row r="314" hidden="1">
      <c r="A314" s="25" t="s">
        <v>95</v>
      </c>
      <c r="B314" s="72">
        <f>Projections!W15</f>
        <v>148844</v>
      </c>
      <c r="C314" s="138">
        <f>A313</f>
        <v>45627</v>
      </c>
      <c r="D314" s="98" t="s">
        <v>115</v>
      </c>
      <c r="E314" s="57">
        <f>Projections!W14</f>
        <v>161126</v>
      </c>
      <c r="F314" s="73" t="s">
        <v>67</v>
      </c>
      <c r="G314" s="139" t="s">
        <v>67</v>
      </c>
      <c r="H314" s="139" t="s">
        <v>67</v>
      </c>
      <c r="I314" s="137" t="s">
        <v>67</v>
      </c>
      <c r="J314" s="137" t="s">
        <v>67</v>
      </c>
      <c r="K314" s="137" t="s">
        <v>67</v>
      </c>
      <c r="L314" s="137" t="s">
        <v>67</v>
      </c>
      <c r="M314" s="137" t="s">
        <v>67</v>
      </c>
    </row>
    <row r="315" hidden="1">
      <c r="A315" s="25" t="s">
        <v>69</v>
      </c>
      <c r="B315" s="119">
        <v>84153.32</v>
      </c>
      <c r="C315" s="138">
        <f>EOMONTH(C314,0)</f>
        <v>45657</v>
      </c>
      <c r="D315" s="25" t="s">
        <v>116</v>
      </c>
      <c r="E315" s="74">
        <f>if(today()&gt;C315,0,B314*12/365/4)</f>
        <v>0</v>
      </c>
      <c r="F315" s="25" t="s">
        <v>70</v>
      </c>
      <c r="G315" s="140" t="s">
        <v>117</v>
      </c>
      <c r="H315" s="137" t="s">
        <v>117</v>
      </c>
      <c r="I315" s="137" t="s">
        <v>118</v>
      </c>
      <c r="J315" s="137" t="s">
        <v>118</v>
      </c>
      <c r="K315" s="137" t="s">
        <v>118</v>
      </c>
      <c r="L315" s="137" t="s">
        <v>119</v>
      </c>
      <c r="M315" s="137" t="s">
        <v>119</v>
      </c>
    </row>
    <row r="316" hidden="1">
      <c r="A316" s="54">
        <f>F316-C316-B316</f>
        <v>75350.04</v>
      </c>
      <c r="B316" s="90">
        <f t="shared" ref="B316:D316" si="85">sum(B318:B322)</f>
        <v>0</v>
      </c>
      <c r="C316" s="141">
        <f t="shared" si="85"/>
        <v>-23867</v>
      </c>
      <c r="D316" s="142">
        <f t="shared" si="85"/>
        <v>0</v>
      </c>
      <c r="E316" s="59"/>
      <c r="F316" s="63">
        <f>sum(F318:F322)</f>
        <v>51483.04</v>
      </c>
      <c r="G316" s="136" t="s">
        <v>120</v>
      </c>
      <c r="H316" s="137" t="s">
        <v>121</v>
      </c>
      <c r="I316" s="137" t="s">
        <v>111</v>
      </c>
      <c r="J316" s="137" t="s">
        <v>112</v>
      </c>
      <c r="K316" s="137" t="s">
        <v>113</v>
      </c>
      <c r="L316" s="137" t="s">
        <v>114</v>
      </c>
      <c r="M316" s="137" t="s">
        <v>65</v>
      </c>
    </row>
    <row r="317" hidden="1">
      <c r="A317" s="32" t="s">
        <v>72</v>
      </c>
      <c r="B317" s="122" t="s">
        <v>84</v>
      </c>
      <c r="C317" s="143" t="s">
        <v>67</v>
      </c>
      <c r="D317" s="143" t="s">
        <v>68</v>
      </c>
      <c r="E317" s="34">
        <f>today()</f>
        <v>45969</v>
      </c>
      <c r="F317" s="35" t="s">
        <v>64</v>
      </c>
      <c r="G317" s="144" t="s">
        <v>107</v>
      </c>
      <c r="H317" s="144" t="s">
        <v>107</v>
      </c>
      <c r="I317" s="145" t="str">
        <f>I306</f>
        <v>STR Residency</v>
      </c>
      <c r="J317" s="145" t="s">
        <v>112</v>
      </c>
      <c r="K317" s="145" t="s">
        <v>113</v>
      </c>
      <c r="L317" s="145" t="s">
        <v>114</v>
      </c>
      <c r="M317" s="145" t="s">
        <v>65</v>
      </c>
    </row>
    <row r="318" hidden="1">
      <c r="A318" s="53">
        <f t="shared" ref="A318:A322" si="86">F318-C318-B318</f>
        <v>30795.48</v>
      </c>
      <c r="B318" s="69">
        <v>0.0</v>
      </c>
      <c r="C318" s="133">
        <f>sumif(G314:M314,"Pending",G318:M318)</f>
        <v>-23867</v>
      </c>
      <c r="D318" s="133">
        <f>sumif(G314:M314,"Paid",G318:M318)</f>
        <v>0</v>
      </c>
      <c r="E318" s="32" t="s">
        <v>76</v>
      </c>
      <c r="F318" s="66">
        <f>98.48+6830</f>
        <v>6928.48</v>
      </c>
      <c r="G318" s="146">
        <f>sumif('Bills - CC EMIs'!D:D,A313,'Bills - CC EMIs'!E:E)+SUMIF('Bills - CC EMIs'!D:D,A313,'Bills - CC EMIs'!F:F)+sumif('Bills - CC EMIs'!D:D,A313,'Bills - CC EMIs'!G:G)</f>
        <v>0</v>
      </c>
      <c r="H318" s="146">
        <f>SUMIFS('Bills - Loans'!F:F,'Bills - Loans'!D:D,A313)</f>
        <v>-24867</v>
      </c>
      <c r="I318" s="147">
        <v>0.0</v>
      </c>
      <c r="J318" s="137">
        <f>sumif('Bills - Responsibilities'!D:D,A313,'Bills - Responsibilities'!E:E)</f>
        <v>0</v>
      </c>
      <c r="K318" s="147">
        <v>0.0</v>
      </c>
      <c r="L318" s="147">
        <f>sumif('Bills - Returns'!C:C,A313,'Bills - Returns'!D:D)</f>
        <v>0</v>
      </c>
      <c r="M318" s="147">
        <f>sumif('Bills - Investments'!C:C,A313,'Bills - Investments'!D:D)</f>
        <v>1000</v>
      </c>
    </row>
    <row r="319" hidden="1">
      <c r="A319" s="53">
        <f t="shared" si="86"/>
        <v>12123.12</v>
      </c>
      <c r="B319" s="69">
        <v>0.0</v>
      </c>
      <c r="C319" s="133">
        <f>sumif(G314:M314,"Pending",G319:M319)</f>
        <v>0</v>
      </c>
      <c r="D319" s="133">
        <f>sumif(G314:M314,"Paid",G319:M319)</f>
        <v>0</v>
      </c>
      <c r="E319" s="32" t="s">
        <v>77</v>
      </c>
      <c r="F319" s="69">
        <v>12123.12</v>
      </c>
      <c r="G319" s="148">
        <f>sumif('Bills - CC EMIs'!D:D,A313,'Bills - CC EMIs'!H:H)</f>
        <v>0</v>
      </c>
      <c r="H319" s="147">
        <f>SUMIFS('Bills - Loans'!E:E,'Bills - Loans'!D:D,A313)</f>
        <v>0</v>
      </c>
      <c r="I319" s="137">
        <f>sumif('Bills - STR Residency'!D:D,A313,'Bills - STR Residency'!E:E)</f>
        <v>0</v>
      </c>
      <c r="J319" s="147">
        <v>0.0</v>
      </c>
      <c r="K319" s="147">
        <f>sumif('Bills - Utilities'!C:C,A313,'Bills - Utilities'!B:B)</f>
        <v>0</v>
      </c>
      <c r="L319" s="147">
        <f>sumif('Bills - Utilities'!D:D,B313,'Bills - Utilities'!C:C)</f>
        <v>0</v>
      </c>
      <c r="M319" s="147">
        <f>sumif('Bills - Investments'!C:C,A313,'Bills - Investments'!E:E)</f>
        <v>0</v>
      </c>
    </row>
    <row r="320" hidden="1">
      <c r="A320" s="53">
        <f t="shared" si="86"/>
        <v>16830.72</v>
      </c>
      <c r="B320" s="69">
        <v>0.0</v>
      </c>
      <c r="C320" s="133">
        <f>sumif(G314:M314,"Pending",G320:M320)</f>
        <v>0</v>
      </c>
      <c r="D320" s="133">
        <f>sumif(G314:M314,"Paid",G320:M320)</f>
        <v>0</v>
      </c>
      <c r="E320" s="32" t="s">
        <v>81</v>
      </c>
      <c r="F320" s="69">
        <v>16830.72</v>
      </c>
      <c r="G320" s="148">
        <f t="shared" ref="G320:G322" si="87">(G309+G298+G287)/3</f>
        <v>0</v>
      </c>
      <c r="H320" s="147">
        <f t="shared" ref="H320:H322" si="88">(H309+H298)/2</f>
        <v>0</v>
      </c>
      <c r="I320" s="147">
        <f t="shared" ref="I320:I322" si="89">I309</f>
        <v>0</v>
      </c>
      <c r="J320" s="147">
        <v>0.0</v>
      </c>
      <c r="K320" s="147">
        <v>0.0</v>
      </c>
      <c r="L320" s="147">
        <v>0.0</v>
      </c>
      <c r="M320" s="147">
        <v>0.0</v>
      </c>
    </row>
    <row r="321" hidden="1">
      <c r="A321" s="53">
        <f t="shared" si="86"/>
        <v>10000.72</v>
      </c>
      <c r="B321" s="69">
        <v>0.0</v>
      </c>
      <c r="C321" s="133">
        <f>sumif(G314:M314,"Pending",G321:M321)</f>
        <v>0</v>
      </c>
      <c r="D321" s="133">
        <f>sumif(G314:M314,"Paid",G321:M321)</f>
        <v>0</v>
      </c>
      <c r="E321" s="32" t="s">
        <v>79</v>
      </c>
      <c r="F321" s="69">
        <f>16830.72-6830</f>
        <v>10000.72</v>
      </c>
      <c r="G321" s="148">
        <f t="shared" si="87"/>
        <v>0</v>
      </c>
      <c r="H321" s="147">
        <f t="shared" si="88"/>
        <v>0</v>
      </c>
      <c r="I321" s="147">
        <f t="shared" si="89"/>
        <v>0</v>
      </c>
      <c r="J321" s="147">
        <v>0.0</v>
      </c>
      <c r="K321" s="147">
        <v>0.0</v>
      </c>
      <c r="L321" s="147">
        <v>0.0</v>
      </c>
      <c r="M321" s="147">
        <v>0.0</v>
      </c>
    </row>
    <row r="322" hidden="1">
      <c r="A322" s="53">
        <f t="shared" si="86"/>
        <v>5600</v>
      </c>
      <c r="B322" s="69">
        <v>0.0</v>
      </c>
      <c r="C322" s="133">
        <f>sumif(G314:M314,"Pending",G322:M322)</f>
        <v>0</v>
      </c>
      <c r="D322" s="133">
        <f>sumif(G314:M314,"Paid",G322:M322)</f>
        <v>0</v>
      </c>
      <c r="E322" s="33" t="s">
        <v>91</v>
      </c>
      <c r="F322" s="69">
        <v>5600.0</v>
      </c>
      <c r="G322" s="148">
        <f t="shared" si="87"/>
        <v>0</v>
      </c>
      <c r="H322" s="147">
        <f t="shared" si="88"/>
        <v>0</v>
      </c>
      <c r="I322" s="147">
        <f t="shared" si="89"/>
        <v>0</v>
      </c>
      <c r="J322" s="147">
        <v>0.0</v>
      </c>
      <c r="K322" s="147">
        <v>0.0</v>
      </c>
      <c r="L322" s="147">
        <v>0.0</v>
      </c>
      <c r="M322" s="147">
        <v>0.0</v>
      </c>
    </row>
    <row r="323" hidden="1">
      <c r="A323" s="24"/>
      <c r="B323" s="24"/>
      <c r="C323" s="24"/>
      <c r="D323" s="24"/>
      <c r="E323" s="24"/>
      <c r="F323" s="25"/>
      <c r="G323" s="25"/>
      <c r="H323" s="25"/>
      <c r="I323" s="25"/>
      <c r="J323" s="25"/>
      <c r="K323" s="25"/>
      <c r="L323" s="25"/>
      <c r="M323" s="24"/>
    </row>
    <row r="324" hidden="1">
      <c r="A324" s="71">
        <v>45658.0</v>
      </c>
      <c r="B324" s="24"/>
      <c r="C324" s="24"/>
      <c r="D324" s="25"/>
      <c r="E324" s="24"/>
      <c r="F324" s="25" t="s">
        <v>64</v>
      </c>
      <c r="G324" s="136" t="s">
        <v>109</v>
      </c>
      <c r="H324" s="137" t="s">
        <v>110</v>
      </c>
      <c r="I324" s="137" t="s">
        <v>111</v>
      </c>
      <c r="J324" s="137" t="s">
        <v>112</v>
      </c>
      <c r="K324" s="137" t="s">
        <v>113</v>
      </c>
      <c r="L324" s="137" t="s">
        <v>114</v>
      </c>
      <c r="M324" s="137" t="s">
        <v>65</v>
      </c>
    </row>
    <row r="325" hidden="1">
      <c r="A325" s="25" t="s">
        <v>95</v>
      </c>
      <c r="B325" s="72">
        <f>Projections!X15</f>
        <v>148844</v>
      </c>
      <c r="C325" s="138">
        <f>A324</f>
        <v>45658</v>
      </c>
      <c r="D325" s="98" t="s">
        <v>115</v>
      </c>
      <c r="E325" s="57">
        <f>Projections!X14</f>
        <v>224194.04</v>
      </c>
      <c r="F325" s="73" t="s">
        <v>67</v>
      </c>
      <c r="G325" s="139" t="s">
        <v>67</v>
      </c>
      <c r="H325" s="139" t="s">
        <v>67</v>
      </c>
      <c r="I325" s="137" t="s">
        <v>67</v>
      </c>
      <c r="J325" s="137" t="s">
        <v>67</v>
      </c>
      <c r="K325" s="137" t="s">
        <v>67</v>
      </c>
      <c r="L325" s="137" t="s">
        <v>67</v>
      </c>
      <c r="M325" s="137" t="s">
        <v>67</v>
      </c>
    </row>
    <row r="326" hidden="1">
      <c r="A326" s="25" t="s">
        <v>69</v>
      </c>
      <c r="B326" s="25">
        <v>106394.93</v>
      </c>
      <c r="C326" s="138">
        <f>EOMONTH(C325,0)</f>
        <v>45688</v>
      </c>
      <c r="D326" s="25" t="s">
        <v>116</v>
      </c>
      <c r="E326" s="74">
        <f>if(today()&gt;C326,0,B325*12/365/4)</f>
        <v>0</v>
      </c>
      <c r="F326" s="25" t="s">
        <v>70</v>
      </c>
      <c r="G326" s="140" t="s">
        <v>117</v>
      </c>
      <c r="H326" s="137" t="s">
        <v>117</v>
      </c>
      <c r="I326" s="137" t="s">
        <v>118</v>
      </c>
      <c r="J326" s="137" t="s">
        <v>118</v>
      </c>
      <c r="K326" s="137" t="s">
        <v>118</v>
      </c>
      <c r="L326" s="137" t="s">
        <v>119</v>
      </c>
      <c r="M326" s="137" t="s">
        <v>119</v>
      </c>
    </row>
    <row r="327" hidden="1">
      <c r="A327" s="54">
        <f>F327-C327-B327</f>
        <v>86178.85</v>
      </c>
      <c r="B327" s="90">
        <f t="shared" ref="B327:D327" si="90">sum(B329:B333)</f>
        <v>0</v>
      </c>
      <c r="C327" s="141">
        <f t="shared" si="90"/>
        <v>1950</v>
      </c>
      <c r="D327" s="142">
        <f t="shared" si="90"/>
        <v>0</v>
      </c>
      <c r="E327" s="59"/>
      <c r="F327" s="63">
        <f>sum(F329:F333)</f>
        <v>88128.85</v>
      </c>
      <c r="G327" s="136" t="s">
        <v>120</v>
      </c>
      <c r="H327" s="137" t="s">
        <v>121</v>
      </c>
      <c r="I327" s="137" t="s">
        <v>111</v>
      </c>
      <c r="J327" s="137" t="s">
        <v>112</v>
      </c>
      <c r="K327" s="137" t="s">
        <v>113</v>
      </c>
      <c r="L327" s="137" t="s">
        <v>114</v>
      </c>
      <c r="M327" s="137" t="s">
        <v>65</v>
      </c>
    </row>
    <row r="328" hidden="1">
      <c r="A328" s="32" t="s">
        <v>72</v>
      </c>
      <c r="B328" s="122" t="s">
        <v>84</v>
      </c>
      <c r="C328" s="143" t="s">
        <v>67</v>
      </c>
      <c r="D328" s="143" t="s">
        <v>68</v>
      </c>
      <c r="E328" s="34">
        <f>today()</f>
        <v>45969</v>
      </c>
      <c r="F328" s="35" t="s">
        <v>64</v>
      </c>
      <c r="G328" s="144" t="s">
        <v>107</v>
      </c>
      <c r="H328" s="144" t="s">
        <v>107</v>
      </c>
      <c r="I328" s="145" t="str">
        <f>I317</f>
        <v>STR Residency</v>
      </c>
      <c r="J328" s="145" t="s">
        <v>112</v>
      </c>
      <c r="K328" s="145" t="s">
        <v>113</v>
      </c>
      <c r="L328" s="145" t="s">
        <v>114</v>
      </c>
      <c r="M328" s="145" t="s">
        <v>65</v>
      </c>
    </row>
    <row r="329" hidden="1">
      <c r="A329" s="53">
        <f t="shared" ref="A329:A333" si="91">F329-C329-B329</f>
        <v>22192.92</v>
      </c>
      <c r="B329" s="69">
        <v>0.0</v>
      </c>
      <c r="C329" s="133">
        <f>sumif(G325:M325,"Pending",G329:M329)</f>
        <v>1950</v>
      </c>
      <c r="D329" s="133">
        <f>sumif(G325:M325,"Paid",G329:M329)</f>
        <v>0</v>
      </c>
      <c r="E329" s="32" t="s">
        <v>76</v>
      </c>
      <c r="F329" s="66">
        <v>24142.92</v>
      </c>
      <c r="G329" s="146">
        <f>sumif('Bills - CC EMIs'!D:D,A324,'Bills - CC EMIs'!E:E)+SUMIF('Bills - CC EMIs'!D:D,A324,'Bills - CC EMIs'!F:F)+sumif('Bills - CC EMIs'!D:D,A324,'Bills - CC EMIs'!G:G)</f>
        <v>0</v>
      </c>
      <c r="H329" s="146">
        <f>SUMIFS('Bills - Loans'!F:F,'Bills - Loans'!D:D,A324)</f>
        <v>0</v>
      </c>
      <c r="I329" s="147">
        <v>0.0</v>
      </c>
      <c r="J329" s="137">
        <f>sumif('Bills - Responsibilities'!D:D,A324,'Bills - Responsibilities'!E:E)</f>
        <v>0</v>
      </c>
      <c r="K329" s="147">
        <f>sumif('Bills - Utilities'!C:C,A324,'Bills - Utilities'!B:B)</f>
        <v>1950</v>
      </c>
      <c r="L329" s="147">
        <f>sumif('Bills - Returns'!C:C,A324,'Bills - Returns'!D:D)</f>
        <v>0</v>
      </c>
      <c r="M329" s="147">
        <f>sumif('Bills - Investments'!C:C,A324,'Bills - Investments'!D:D)</f>
        <v>0</v>
      </c>
    </row>
    <row r="330" hidden="1">
      <c r="A330" s="53">
        <f t="shared" si="91"/>
        <v>27985</v>
      </c>
      <c r="B330" s="69">
        <v>0.0</v>
      </c>
      <c r="C330" s="133">
        <f>sumif(G325:M325,"Pending",G330:M330)</f>
        <v>0</v>
      </c>
      <c r="D330" s="133">
        <f>sumif(G325:M325,"Paid",G330:M330)</f>
        <v>0</v>
      </c>
      <c r="E330" s="32" t="s">
        <v>77</v>
      </c>
      <c r="F330" s="69">
        <v>27985.0</v>
      </c>
      <c r="G330" s="148">
        <f>sumif('Bills - CC EMIs'!D:D,A324,'Bills - CC EMIs'!H:H)</f>
        <v>0</v>
      </c>
      <c r="H330" s="147">
        <f>SUMIFS('Bills - Loans'!E:E,'Bills - Loans'!D:D,A324)</f>
        <v>0</v>
      </c>
      <c r="I330" s="137">
        <f>sumif('Bills - STR Residency'!D:D,A324,'Bills - STR Residency'!E:E)</f>
        <v>0</v>
      </c>
      <c r="J330" s="147">
        <v>0.0</v>
      </c>
      <c r="K330" s="147">
        <v>0.0</v>
      </c>
      <c r="L330" s="147">
        <f>sumif('Bills - Utilities'!D:D,B324,'Bills - Utilities'!C:C)</f>
        <v>0</v>
      </c>
      <c r="M330" s="147">
        <f>sumif('Bills - Investments'!C:C,A324,'Bills - Investments'!E:E)</f>
        <v>0</v>
      </c>
    </row>
    <row r="331" hidden="1">
      <c r="A331" s="53">
        <f t="shared" si="91"/>
        <v>20000.93</v>
      </c>
      <c r="B331" s="69">
        <v>0.0</v>
      </c>
      <c r="C331" s="133">
        <f>sumif(G325:M325,"Pending",G331:M331)</f>
        <v>0</v>
      </c>
      <c r="D331" s="133">
        <f>sumif(G325:M325,"Paid",G331:M331)</f>
        <v>0</v>
      </c>
      <c r="E331" s="32" t="s">
        <v>81</v>
      </c>
      <c r="F331" s="69">
        <f>0.93+20000</f>
        <v>20000.93</v>
      </c>
      <c r="G331" s="148">
        <f t="shared" ref="G331:G333" si="92">(G320+G309+G298)/3</f>
        <v>0</v>
      </c>
      <c r="H331" s="147">
        <f t="shared" ref="H331:H333" si="93">(H320+H309)/2</f>
        <v>0</v>
      </c>
      <c r="I331" s="147">
        <f t="shared" ref="I331:I333" si="94">I320</f>
        <v>0</v>
      </c>
      <c r="J331" s="147">
        <v>0.0</v>
      </c>
      <c r="K331" s="147">
        <v>0.0</v>
      </c>
      <c r="L331" s="147">
        <v>0.0</v>
      </c>
      <c r="M331" s="147">
        <v>0.0</v>
      </c>
    </row>
    <row r="332" hidden="1">
      <c r="A332" s="53">
        <f t="shared" si="91"/>
        <v>10000</v>
      </c>
      <c r="B332" s="69">
        <v>0.0</v>
      </c>
      <c r="C332" s="133">
        <f>sumif(G325:M325,"Pending",G332:M332)</f>
        <v>0</v>
      </c>
      <c r="D332" s="133">
        <f>sumif(G325:M325,"Paid",G332:M332)</f>
        <v>0</v>
      </c>
      <c r="E332" s="32" t="s">
        <v>79</v>
      </c>
      <c r="F332" s="69">
        <f>0+10000</f>
        <v>10000</v>
      </c>
      <c r="G332" s="148">
        <f t="shared" si="92"/>
        <v>0</v>
      </c>
      <c r="H332" s="147">
        <f t="shared" si="93"/>
        <v>0</v>
      </c>
      <c r="I332" s="147">
        <f t="shared" si="94"/>
        <v>0</v>
      </c>
      <c r="J332" s="147">
        <v>0.0</v>
      </c>
      <c r="K332" s="147">
        <v>0.0</v>
      </c>
      <c r="L332" s="147">
        <v>0.0</v>
      </c>
      <c r="M332" s="147">
        <v>0.0</v>
      </c>
    </row>
    <row r="333" hidden="1">
      <c r="A333" s="53">
        <f t="shared" si="91"/>
        <v>6000</v>
      </c>
      <c r="B333" s="69">
        <v>0.0</v>
      </c>
      <c r="C333" s="133">
        <f>sumif(G325:M325,"Pending",G333:M333)</f>
        <v>0</v>
      </c>
      <c r="D333" s="133">
        <f>sumif(G325:M325,"Paid",G333:M333)</f>
        <v>0</v>
      </c>
      <c r="E333" s="33" t="s">
        <v>91</v>
      </c>
      <c r="F333" s="69">
        <v>6000.0</v>
      </c>
      <c r="G333" s="148">
        <f t="shared" si="92"/>
        <v>0</v>
      </c>
      <c r="H333" s="147">
        <f t="shared" si="93"/>
        <v>0</v>
      </c>
      <c r="I333" s="147">
        <f t="shared" si="94"/>
        <v>0</v>
      </c>
      <c r="J333" s="147">
        <v>0.0</v>
      </c>
      <c r="K333" s="147">
        <v>0.0</v>
      </c>
      <c r="L333" s="147">
        <v>0.0</v>
      </c>
      <c r="M333" s="147">
        <v>0.0</v>
      </c>
    </row>
    <row r="334" hidden="1">
      <c r="A334" s="25"/>
      <c r="B334" s="24"/>
      <c r="C334" s="24"/>
      <c r="D334" s="24"/>
      <c r="E334" s="24"/>
      <c r="F334" s="25"/>
      <c r="G334" s="25"/>
      <c r="H334" s="25"/>
      <c r="I334" s="25"/>
      <c r="J334" s="25"/>
      <c r="K334" s="25"/>
      <c r="L334" s="25"/>
      <c r="M334" s="24"/>
    </row>
    <row r="335" hidden="1">
      <c r="A335" s="71">
        <v>45689.0</v>
      </c>
      <c r="B335" s="24"/>
      <c r="C335" s="24"/>
      <c r="D335" s="25" t="s">
        <v>108</v>
      </c>
      <c r="E335" s="74">
        <f>A338-A327</f>
        <v>50591.02</v>
      </c>
      <c r="F335" s="25" t="s">
        <v>64</v>
      </c>
      <c r="G335" s="136" t="s">
        <v>109</v>
      </c>
      <c r="H335" s="137" t="s">
        <v>110</v>
      </c>
      <c r="I335" s="137" t="s">
        <v>111</v>
      </c>
      <c r="J335" s="137" t="s">
        <v>112</v>
      </c>
      <c r="K335" s="137" t="s">
        <v>113</v>
      </c>
      <c r="L335" s="137" t="s">
        <v>114</v>
      </c>
      <c r="M335" s="137" t="s">
        <v>65</v>
      </c>
    </row>
    <row r="336" hidden="1">
      <c r="A336" s="25" t="s">
        <v>95</v>
      </c>
      <c r="B336" s="72">
        <f>Projections!Y15</f>
        <v>148844</v>
      </c>
      <c r="C336" s="138">
        <f>A335</f>
        <v>45689</v>
      </c>
      <c r="D336" s="98" t="s">
        <v>115</v>
      </c>
      <c r="E336" s="57">
        <f>Projections!Y14</f>
        <v>235022.85</v>
      </c>
      <c r="F336" s="73" t="s">
        <v>67</v>
      </c>
      <c r="G336" s="139" t="s">
        <v>67</v>
      </c>
      <c r="H336" s="139" t="s">
        <v>67</v>
      </c>
      <c r="I336" s="137" t="s">
        <v>67</v>
      </c>
      <c r="J336" s="137" t="s">
        <v>67</v>
      </c>
      <c r="K336" s="137" t="s">
        <v>67</v>
      </c>
      <c r="L336" s="137" t="s">
        <v>67</v>
      </c>
      <c r="M336" s="137" t="s">
        <v>67</v>
      </c>
    </row>
    <row r="337" hidden="1">
      <c r="A337" s="25" t="s">
        <v>69</v>
      </c>
      <c r="B337" s="119">
        <v>0.0</v>
      </c>
      <c r="C337" s="138">
        <f>EOMONTH(C336,0)</f>
        <v>45716</v>
      </c>
      <c r="D337" s="25" t="s">
        <v>116</v>
      </c>
      <c r="E337" s="74">
        <f>if(today()&gt;C337,0,B336*12/365/4)</f>
        <v>0</v>
      </c>
      <c r="F337" s="25" t="s">
        <v>70</v>
      </c>
      <c r="G337" s="140" t="s">
        <v>117</v>
      </c>
      <c r="H337" s="137" t="s">
        <v>117</v>
      </c>
      <c r="I337" s="137" t="s">
        <v>118</v>
      </c>
      <c r="J337" s="137" t="s">
        <v>118</v>
      </c>
      <c r="K337" s="137" t="s">
        <v>118</v>
      </c>
      <c r="L337" s="137" t="s">
        <v>119</v>
      </c>
      <c r="M337" s="137" t="s">
        <v>119</v>
      </c>
    </row>
    <row r="338" hidden="1">
      <c r="A338" s="54">
        <f>F338-C338-B338</f>
        <v>136769.87</v>
      </c>
      <c r="B338" s="90">
        <f t="shared" ref="B338:D338" si="95">sum(B340:B344)</f>
        <v>0</v>
      </c>
      <c r="C338" s="141">
        <f t="shared" si="95"/>
        <v>0</v>
      </c>
      <c r="D338" s="142">
        <f t="shared" si="95"/>
        <v>0</v>
      </c>
      <c r="E338" s="59"/>
      <c r="F338" s="63">
        <f>sum(F340:F344)</f>
        <v>136769.87</v>
      </c>
      <c r="G338" s="136" t="s">
        <v>120</v>
      </c>
      <c r="H338" s="137" t="s">
        <v>121</v>
      </c>
      <c r="I338" s="137" t="s">
        <v>111</v>
      </c>
      <c r="J338" s="137" t="s">
        <v>112</v>
      </c>
      <c r="K338" s="137" t="s">
        <v>113</v>
      </c>
      <c r="L338" s="137" t="s">
        <v>114</v>
      </c>
      <c r="M338" s="137" t="s">
        <v>65</v>
      </c>
    </row>
    <row r="339" hidden="1">
      <c r="A339" s="32" t="s">
        <v>72</v>
      </c>
      <c r="B339" s="122" t="s">
        <v>84</v>
      </c>
      <c r="C339" s="143" t="s">
        <v>67</v>
      </c>
      <c r="D339" s="143" t="s">
        <v>68</v>
      </c>
      <c r="E339" s="149">
        <f>today()</f>
        <v>45969</v>
      </c>
      <c r="F339" s="35" t="s">
        <v>64</v>
      </c>
      <c r="G339" s="144" t="s">
        <v>107</v>
      </c>
      <c r="H339" s="144" t="s">
        <v>107</v>
      </c>
      <c r="I339" s="145" t="str">
        <f>I328</f>
        <v>STR Residency</v>
      </c>
      <c r="J339" s="145" t="s">
        <v>112</v>
      </c>
      <c r="K339" s="145" t="s">
        <v>113</v>
      </c>
      <c r="L339" s="145" t="s">
        <v>114</v>
      </c>
      <c r="M339" s="145" t="s">
        <v>65</v>
      </c>
    </row>
    <row r="340" hidden="1">
      <c r="A340" s="53">
        <f t="shared" ref="A340:A344" si="96">F340-C340-B340</f>
        <v>17077.02</v>
      </c>
      <c r="B340" s="69">
        <f>if(B329+B337/4&gt;B336/4,B336/4,B329+B337/4)</f>
        <v>0</v>
      </c>
      <c r="C340" s="133">
        <f>sumif(G336:M336,"Pending",G340:M340)</f>
        <v>0</v>
      </c>
      <c r="D340" s="133">
        <f>sumif(G336:M336,"Paid",G340:M340)</f>
        <v>0</v>
      </c>
      <c r="E340" s="32" t="s">
        <v>76</v>
      </c>
      <c r="F340" s="66">
        <v>17077.02</v>
      </c>
      <c r="G340" s="146">
        <f>sumif('Bills - CC EMIs'!D:D,A335,'Bills - CC EMIs'!E:E)+SUMIF('Bills - CC EMIs'!D:D,A335,'Bills - CC EMIs'!F:F)+sumif('Bills - CC EMIs'!D:D,A335,'Bills - CC EMIs'!G:G)</f>
        <v>0</v>
      </c>
      <c r="H340" s="146">
        <f>SUMIFS('Bills - Loans'!F:F,'Bills - Loans'!D:D,A335)</f>
        <v>0</v>
      </c>
      <c r="I340" s="147">
        <v>0.0</v>
      </c>
      <c r="J340" s="137">
        <f>sumif('Bills - Responsibilities'!D:D,A335,'Bills - Responsibilities'!E:E)</f>
        <v>0</v>
      </c>
      <c r="K340" s="147">
        <v>0.0</v>
      </c>
      <c r="L340" s="147">
        <f>sumif('Bills - Returns'!C:C,A335,'Bills - Returns'!D:D)</f>
        <v>0</v>
      </c>
      <c r="M340" s="147">
        <f>sumif('Bills - Investments'!C:C,A335,'Bills - Investments'!D:D)</f>
        <v>0</v>
      </c>
    </row>
    <row r="341" hidden="1">
      <c r="A341" s="53">
        <f t="shared" si="96"/>
        <v>89691.92</v>
      </c>
      <c r="B341" s="69">
        <f>if(B329+B337/4&gt;B336/4,B336/4,B329+B337/4)</f>
        <v>0</v>
      </c>
      <c r="C341" s="133">
        <f>sumif(G336:M336,"Pending",G341:M341)</f>
        <v>0</v>
      </c>
      <c r="D341" s="133">
        <f>sumif(G336:M336,"Paid",G341:M341)</f>
        <v>0</v>
      </c>
      <c r="E341" s="32" t="s">
        <v>77</v>
      </c>
      <c r="F341" s="69">
        <v>89691.92</v>
      </c>
      <c r="G341" s="148">
        <f>sumif('Bills - CC EMIs'!D:D,A335,'Bills - CC EMIs'!H:H)</f>
        <v>0</v>
      </c>
      <c r="H341" s="147">
        <f>SUMIFS('Bills - Loans'!E:E,'Bills - Loans'!D:D,A335)</f>
        <v>0</v>
      </c>
      <c r="I341" s="137">
        <f>sumif('Bills - STR Residency'!D:D,A335,'Bills - STR Residency'!E:E)</f>
        <v>0</v>
      </c>
      <c r="J341" s="147">
        <v>0.0</v>
      </c>
      <c r="K341" s="147">
        <f>sumif('Bills - Utilities'!C:C,A335,'Bills - Utilities'!B:B)</f>
        <v>0</v>
      </c>
      <c r="L341" s="147">
        <f>sumif('Bills - Utilities'!D:D,B335,'Bills - Utilities'!C:C)</f>
        <v>0</v>
      </c>
      <c r="M341" s="147">
        <f>sumif('Bills - Investments'!C:C,A335,'Bills - Investments'!E:E)</f>
        <v>0</v>
      </c>
    </row>
    <row r="342" hidden="1">
      <c r="A342" s="53">
        <f t="shared" si="96"/>
        <v>20000.93</v>
      </c>
      <c r="B342" s="69">
        <f>if(B329+B337/4&gt;B336/4,B336/4,B329+B337/4)</f>
        <v>0</v>
      </c>
      <c r="C342" s="133">
        <f>sumif(G336:M336,"Pending",G342:M342)</f>
        <v>0</v>
      </c>
      <c r="D342" s="133">
        <f>sumif(G336:M336,"Paid",G342:M342)</f>
        <v>0</v>
      </c>
      <c r="E342" s="32" t="s">
        <v>81</v>
      </c>
      <c r="F342" s="69">
        <v>20000.93</v>
      </c>
      <c r="G342" s="148">
        <f t="shared" ref="G342:G344" si="97">(G331+G320+G309)/3</f>
        <v>0</v>
      </c>
      <c r="H342" s="147">
        <f t="shared" ref="H342:H344" si="98">(H331+H320)/2</f>
        <v>0</v>
      </c>
      <c r="I342" s="147">
        <f t="shared" ref="I342:I344" si="99">I331</f>
        <v>0</v>
      </c>
      <c r="J342" s="147">
        <v>0.0</v>
      </c>
      <c r="K342" s="147">
        <v>0.0</v>
      </c>
      <c r="L342" s="147">
        <v>0.0</v>
      </c>
      <c r="M342" s="147">
        <v>0.0</v>
      </c>
    </row>
    <row r="343" hidden="1">
      <c r="A343" s="53">
        <f t="shared" si="96"/>
        <v>10000</v>
      </c>
      <c r="B343" s="69">
        <f>if(B329+B337/4&gt;B336/4,B336/4,B329+B337/4)</f>
        <v>0</v>
      </c>
      <c r="C343" s="133">
        <f>sumif(G336:M336,"Pending",G343:M343)</f>
        <v>0</v>
      </c>
      <c r="D343" s="133">
        <f>sumif(G336:M336,"Paid",G343:M343)</f>
        <v>0</v>
      </c>
      <c r="E343" s="32" t="s">
        <v>79</v>
      </c>
      <c r="F343" s="69">
        <v>10000.0</v>
      </c>
      <c r="G343" s="148">
        <f t="shared" si="97"/>
        <v>0</v>
      </c>
      <c r="H343" s="147">
        <f t="shared" si="98"/>
        <v>0</v>
      </c>
      <c r="I343" s="147">
        <f t="shared" si="99"/>
        <v>0</v>
      </c>
      <c r="J343" s="147">
        <v>0.0</v>
      </c>
      <c r="K343" s="147">
        <v>0.0</v>
      </c>
      <c r="L343" s="147">
        <v>0.0</v>
      </c>
      <c r="M343" s="147">
        <v>0.0</v>
      </c>
    </row>
    <row r="344" hidden="1">
      <c r="A344" s="53">
        <f t="shared" si="96"/>
        <v>0</v>
      </c>
      <c r="B344" s="69">
        <v>0.0</v>
      </c>
      <c r="C344" s="133">
        <f>sumif(G336:M336,"Pending",G344:M344)</f>
        <v>0</v>
      </c>
      <c r="D344" s="133">
        <f>sumif(G336:M336,"Paid",G344:M344)</f>
        <v>0</v>
      </c>
      <c r="E344" s="33" t="s">
        <v>91</v>
      </c>
      <c r="F344" s="90">
        <f>sum(G344:M344)+B344</f>
        <v>0</v>
      </c>
      <c r="G344" s="148">
        <f t="shared" si="97"/>
        <v>0</v>
      </c>
      <c r="H344" s="147">
        <f t="shared" si="98"/>
        <v>0</v>
      </c>
      <c r="I344" s="147">
        <f t="shared" si="99"/>
        <v>0</v>
      </c>
      <c r="J344" s="147">
        <v>0.0</v>
      </c>
      <c r="K344" s="147">
        <v>0.0</v>
      </c>
      <c r="L344" s="147">
        <v>0.0</v>
      </c>
      <c r="M344" s="147">
        <v>0.0</v>
      </c>
    </row>
    <row r="345" hidden="1">
      <c r="A345" s="24"/>
      <c r="B345" s="24"/>
      <c r="C345" s="24"/>
      <c r="D345" s="24"/>
      <c r="E345" s="24"/>
      <c r="F345" s="25"/>
      <c r="G345" s="25"/>
      <c r="H345" s="24"/>
      <c r="I345" s="25"/>
      <c r="J345" s="25"/>
      <c r="K345" s="25"/>
      <c r="L345" s="25"/>
      <c r="M345" s="24"/>
    </row>
    <row r="346" hidden="1">
      <c r="A346" s="71">
        <v>45717.0</v>
      </c>
      <c r="B346" s="24"/>
      <c r="C346" s="24"/>
      <c r="D346" s="25" t="s">
        <v>108</v>
      </c>
      <c r="E346" s="74">
        <f>A349-A338</f>
        <v>11450.96</v>
      </c>
      <c r="F346" s="25" t="s">
        <v>64</v>
      </c>
      <c r="G346" s="136" t="s">
        <v>109</v>
      </c>
      <c r="H346" s="137" t="s">
        <v>110</v>
      </c>
      <c r="I346" s="137" t="s">
        <v>111</v>
      </c>
      <c r="J346" s="137" t="s">
        <v>112</v>
      </c>
      <c r="K346" s="137" t="s">
        <v>113</v>
      </c>
      <c r="L346" s="137" t="s">
        <v>114</v>
      </c>
      <c r="M346" s="137" t="s">
        <v>65</v>
      </c>
    </row>
    <row r="347" hidden="1">
      <c r="A347" s="25" t="s">
        <v>95</v>
      </c>
      <c r="B347" s="72">
        <f>Projections!Z15</f>
        <v>159569</v>
      </c>
      <c r="C347" s="138">
        <f>A346</f>
        <v>45717</v>
      </c>
      <c r="D347" s="98" t="s">
        <v>115</v>
      </c>
      <c r="E347" s="57">
        <f>Projections!Z14</f>
        <v>296338.87</v>
      </c>
      <c r="F347" s="73" t="s">
        <v>67</v>
      </c>
      <c r="G347" s="139" t="s">
        <v>67</v>
      </c>
      <c r="H347" s="139" t="s">
        <v>67</v>
      </c>
      <c r="I347" s="137" t="s">
        <v>67</v>
      </c>
      <c r="J347" s="137" t="s">
        <v>67</v>
      </c>
      <c r="K347" s="137" t="s">
        <v>67</v>
      </c>
      <c r="L347" s="137" t="s">
        <v>67</v>
      </c>
      <c r="M347" s="137" t="s">
        <v>67</v>
      </c>
    </row>
    <row r="348" hidden="1">
      <c r="A348" s="25" t="s">
        <v>69</v>
      </c>
      <c r="B348" s="119">
        <v>0.0</v>
      </c>
      <c r="C348" s="138">
        <f>EOMONTH(C347,0)</f>
        <v>45747</v>
      </c>
      <c r="D348" s="25" t="s">
        <v>116</v>
      </c>
      <c r="E348" s="74">
        <f>if(today()&gt;C348,0,B347*12/365/4)</f>
        <v>0</v>
      </c>
      <c r="F348" s="25" t="s">
        <v>70</v>
      </c>
      <c r="G348" s="140" t="s">
        <v>117</v>
      </c>
      <c r="H348" s="137" t="s">
        <v>117</v>
      </c>
      <c r="I348" s="137" t="s">
        <v>118</v>
      </c>
      <c r="J348" s="137" t="s">
        <v>118</v>
      </c>
      <c r="K348" s="137" t="s">
        <v>118</v>
      </c>
      <c r="L348" s="137" t="s">
        <v>119</v>
      </c>
      <c r="M348" s="137" t="s">
        <v>119</v>
      </c>
    </row>
    <row r="349" hidden="1">
      <c r="A349" s="54">
        <f>F349-C349-B349</f>
        <v>148220.83</v>
      </c>
      <c r="B349" s="90">
        <f t="shared" ref="B349:D349" si="100">sum(B351:B355)</f>
        <v>0</v>
      </c>
      <c r="C349" s="141">
        <f t="shared" si="100"/>
        <v>0</v>
      </c>
      <c r="D349" s="142">
        <f t="shared" si="100"/>
        <v>0</v>
      </c>
      <c r="E349" s="59"/>
      <c r="F349" s="63">
        <f>sum(F351:F355)</f>
        <v>148220.83</v>
      </c>
      <c r="G349" s="136" t="s">
        <v>120</v>
      </c>
      <c r="H349" s="137" t="s">
        <v>121</v>
      </c>
      <c r="I349" s="137" t="s">
        <v>111</v>
      </c>
      <c r="J349" s="137" t="s">
        <v>112</v>
      </c>
      <c r="K349" s="137" t="s">
        <v>113</v>
      </c>
      <c r="L349" s="137" t="s">
        <v>114</v>
      </c>
      <c r="M349" s="137" t="s">
        <v>65</v>
      </c>
    </row>
    <row r="350" hidden="1">
      <c r="A350" s="32" t="s">
        <v>72</v>
      </c>
      <c r="B350" s="122" t="s">
        <v>84</v>
      </c>
      <c r="C350" s="143" t="s">
        <v>67</v>
      </c>
      <c r="D350" s="143" t="s">
        <v>68</v>
      </c>
      <c r="E350" s="34">
        <f>today()</f>
        <v>45969</v>
      </c>
      <c r="F350" s="35" t="s">
        <v>64</v>
      </c>
      <c r="G350" s="144" t="s">
        <v>107</v>
      </c>
      <c r="H350" s="144" t="s">
        <v>107</v>
      </c>
      <c r="I350" s="145" t="str">
        <f>I339</f>
        <v>STR Residency</v>
      </c>
      <c r="J350" s="145" t="s">
        <v>112</v>
      </c>
      <c r="K350" s="145" t="s">
        <v>113</v>
      </c>
      <c r="L350" s="145" t="s">
        <v>114</v>
      </c>
      <c r="M350" s="145" t="s">
        <v>65</v>
      </c>
    </row>
    <row r="351" hidden="1">
      <c r="A351" s="53">
        <f t="shared" ref="A351:A355" si="101">F351-C351-B351</f>
        <v>5801.42</v>
      </c>
      <c r="B351" s="69">
        <f>if(B340+B348/4&gt;B347/4,B347/4,B340+B348/4)</f>
        <v>0</v>
      </c>
      <c r="C351" s="133">
        <f>sumif(G347:M347,"Pending",G351:M351)</f>
        <v>0</v>
      </c>
      <c r="D351" s="133">
        <f>sumif(G347:M347,"Paid",G351:M351)</f>
        <v>0</v>
      </c>
      <c r="E351" s="32" t="s">
        <v>76</v>
      </c>
      <c r="F351" s="66">
        <v>5801.42</v>
      </c>
      <c r="G351" s="146">
        <f>sumif('Bills - CC EMIs'!D:D,A346,'Bills - CC EMIs'!E:E)+SUMIF('Bills - CC EMIs'!D:D,A346,'Bills - CC EMIs'!F:F)+sumif('Bills - CC EMIs'!D:D,A346,'Bills - CC EMIs'!G:G)</f>
        <v>0</v>
      </c>
      <c r="H351" s="146">
        <f>SUMIFS('Bills - Loans'!F:F,'Bills - Loans'!D:D,A346)</f>
        <v>0</v>
      </c>
      <c r="I351" s="147">
        <v>0.0</v>
      </c>
      <c r="J351" s="137">
        <f>sumif('Bills - Responsibilities'!D:D,A346,'Bills - Responsibilities'!E:E)</f>
        <v>0</v>
      </c>
      <c r="K351" s="147">
        <v>0.0</v>
      </c>
      <c r="L351" s="147">
        <v>0.0</v>
      </c>
      <c r="M351" s="147">
        <f>sumif('Bills - Investments'!C:C,A346,'Bills - Investments'!D:D)</f>
        <v>0</v>
      </c>
    </row>
    <row r="352" hidden="1">
      <c r="A352" s="53">
        <f t="shared" si="101"/>
        <v>112418.48</v>
      </c>
      <c r="B352" s="69">
        <f>if(B340+B348/4&gt;B347/4,B347/4,B340+B348/4)</f>
        <v>0</v>
      </c>
      <c r="C352" s="133">
        <f>sumif(G347:M347,"Pending",G352:M352)</f>
        <v>0</v>
      </c>
      <c r="D352" s="133">
        <f>sumif(G347:M347,"Paid",G352:M352)</f>
        <v>0</v>
      </c>
      <c r="E352" s="32" t="s">
        <v>77</v>
      </c>
      <c r="F352" s="69">
        <v>112418.48</v>
      </c>
      <c r="G352" s="148">
        <f>sumif('Bills - CC EMIs'!D:D,A346,'Bills - CC EMIs'!H:H)</f>
        <v>0</v>
      </c>
      <c r="H352" s="147">
        <f>SUMIFS('Bills - Loans'!E:E,'Bills - Loans'!D:D,A346)</f>
        <v>0</v>
      </c>
      <c r="I352" s="137">
        <f>sumif('Bills - STR Residency'!D:D,A346,'Bills - STR Residency'!E:E)</f>
        <v>0</v>
      </c>
      <c r="J352" s="147">
        <v>0.0</v>
      </c>
      <c r="K352" s="147">
        <f>sumif('Bills - Utilities'!C:C,A346,'Bills - Utilities'!B:B)</f>
        <v>0</v>
      </c>
      <c r="L352" s="147">
        <f>sumif('Bills - Utilities'!D:D,B346,'Bills - Utilities'!C:C)</f>
        <v>0</v>
      </c>
      <c r="M352" s="147">
        <f>sumif('Bills - Investments'!C:C,A346,'Bills - Investments'!E:E)</f>
        <v>0</v>
      </c>
    </row>
    <row r="353" hidden="1">
      <c r="A353" s="53">
        <f t="shared" si="101"/>
        <v>20000.93</v>
      </c>
      <c r="B353" s="69">
        <f>if(B340+B348/4&gt;B347/4,B347/4,B340+B348/4)</f>
        <v>0</v>
      </c>
      <c r="C353" s="133">
        <f>sumif(G347:M347,"Pending",G353:M353)</f>
        <v>0</v>
      </c>
      <c r="D353" s="133">
        <f>sumif(G347:M347,"Paid",G353:M353)</f>
        <v>0</v>
      </c>
      <c r="E353" s="32" t="s">
        <v>81</v>
      </c>
      <c r="F353" s="69">
        <v>20000.93</v>
      </c>
      <c r="G353" s="148">
        <f t="shared" ref="G353:G355" si="102">(G342+G331+G320)/3</f>
        <v>0</v>
      </c>
      <c r="H353" s="147">
        <f t="shared" ref="H353:H355" si="103">(H342+H331)/2</f>
        <v>0</v>
      </c>
      <c r="I353" s="147">
        <f t="shared" ref="I353:I355" si="104">I342</f>
        <v>0</v>
      </c>
      <c r="J353" s="147">
        <v>0.0</v>
      </c>
      <c r="K353" s="147">
        <v>0.0</v>
      </c>
      <c r="L353" s="147">
        <v>0.0</v>
      </c>
      <c r="M353" s="147">
        <v>0.0</v>
      </c>
    </row>
    <row r="354" hidden="1">
      <c r="A354" s="53">
        <f t="shared" si="101"/>
        <v>10000</v>
      </c>
      <c r="B354" s="69">
        <f>if(B340+B348/4&gt;B347/4,B347/4,B340+B348/4)</f>
        <v>0</v>
      </c>
      <c r="C354" s="133">
        <f>sumif(G347:M347,"Pending",G354:M354)</f>
        <v>0</v>
      </c>
      <c r="D354" s="133">
        <f>sumif(G347:M347,"Paid",G354:M354)</f>
        <v>0</v>
      </c>
      <c r="E354" s="32" t="s">
        <v>79</v>
      </c>
      <c r="F354" s="69">
        <v>10000.0</v>
      </c>
      <c r="G354" s="148">
        <f t="shared" si="102"/>
        <v>0</v>
      </c>
      <c r="H354" s="147">
        <f t="shared" si="103"/>
        <v>0</v>
      </c>
      <c r="I354" s="147">
        <f t="shared" si="104"/>
        <v>0</v>
      </c>
      <c r="J354" s="147">
        <v>0.0</v>
      </c>
      <c r="K354" s="147">
        <v>0.0</v>
      </c>
      <c r="L354" s="147">
        <v>0.0</v>
      </c>
      <c r="M354" s="147">
        <v>0.0</v>
      </c>
    </row>
    <row r="355" hidden="1">
      <c r="A355" s="53">
        <f t="shared" si="101"/>
        <v>0</v>
      </c>
      <c r="B355" s="69">
        <v>0.0</v>
      </c>
      <c r="C355" s="133">
        <f>sumif(G347:M347,"Pending",G355:M355)</f>
        <v>0</v>
      </c>
      <c r="D355" s="133">
        <f>sumif(G347:M347,"Paid",G355:M355)</f>
        <v>0</v>
      </c>
      <c r="E355" s="33" t="s">
        <v>91</v>
      </c>
      <c r="F355" s="90">
        <f>sum(G355:M355)+B355</f>
        <v>0</v>
      </c>
      <c r="G355" s="148">
        <f t="shared" si="102"/>
        <v>0</v>
      </c>
      <c r="H355" s="147">
        <f t="shared" si="103"/>
        <v>0</v>
      </c>
      <c r="I355" s="147">
        <f t="shared" si="104"/>
        <v>0</v>
      </c>
      <c r="J355" s="147">
        <v>0.0</v>
      </c>
      <c r="K355" s="147">
        <v>0.0</v>
      </c>
      <c r="L355" s="147">
        <v>0.0</v>
      </c>
      <c r="M355" s="147">
        <v>0.0</v>
      </c>
    </row>
    <row r="356" hidden="1">
      <c r="A356" s="24"/>
      <c r="B356" s="24"/>
      <c r="C356" s="24"/>
      <c r="D356" s="24"/>
      <c r="E356" s="24"/>
      <c r="F356" s="25"/>
      <c r="G356" s="25"/>
      <c r="H356" s="24"/>
      <c r="I356" s="25"/>
      <c r="J356" s="25"/>
      <c r="K356" s="25"/>
      <c r="L356" s="25"/>
      <c r="M356" s="24"/>
    </row>
    <row r="357" hidden="1">
      <c r="A357" s="71">
        <v>45748.0</v>
      </c>
      <c r="B357" s="24"/>
      <c r="C357" s="24"/>
      <c r="D357" s="25" t="s">
        <v>108</v>
      </c>
      <c r="E357" s="74">
        <f>A360-A349</f>
        <v>-109864.96</v>
      </c>
      <c r="F357" s="25" t="s">
        <v>64</v>
      </c>
      <c r="G357" s="136" t="s">
        <v>109</v>
      </c>
      <c r="H357" s="137" t="s">
        <v>110</v>
      </c>
      <c r="I357" s="137" t="s">
        <v>111</v>
      </c>
      <c r="J357" s="137" t="s">
        <v>112</v>
      </c>
      <c r="K357" s="137" t="s">
        <v>113</v>
      </c>
      <c r="L357" s="137" t="s">
        <v>114</v>
      </c>
      <c r="M357" s="137" t="s">
        <v>65</v>
      </c>
    </row>
    <row r="358" hidden="1">
      <c r="A358" s="25" t="s">
        <v>95</v>
      </c>
      <c r="B358" s="72">
        <f>Projections!AA15</f>
        <v>196892</v>
      </c>
      <c r="C358" s="138">
        <f>A357</f>
        <v>45748</v>
      </c>
      <c r="D358" s="98" t="s">
        <v>115</v>
      </c>
      <c r="E358" s="57">
        <f>Projections!AA14</f>
        <v>345112.8924</v>
      </c>
      <c r="F358" s="73" t="s">
        <v>67</v>
      </c>
      <c r="G358" s="139" t="s">
        <v>67</v>
      </c>
      <c r="H358" s="139" t="s">
        <v>67</v>
      </c>
      <c r="I358" s="137" t="s">
        <v>67</v>
      </c>
      <c r="J358" s="137" t="s">
        <v>67</v>
      </c>
      <c r="K358" s="137" t="s">
        <v>67</v>
      </c>
      <c r="L358" s="137" t="s">
        <v>67</v>
      </c>
      <c r="M358" s="137" t="s">
        <v>67</v>
      </c>
    </row>
    <row r="359" hidden="1">
      <c r="A359" s="25" t="s">
        <v>69</v>
      </c>
      <c r="B359" s="119">
        <v>0.0</v>
      </c>
      <c r="C359" s="138">
        <f>EOMONTH(C358,0)</f>
        <v>45777</v>
      </c>
      <c r="D359" s="25" t="s">
        <v>116</v>
      </c>
      <c r="E359" s="74">
        <f>if(today()&gt;C359,0,B358*12/365/4)</f>
        <v>0</v>
      </c>
      <c r="F359" s="25" t="s">
        <v>70</v>
      </c>
      <c r="G359" s="140" t="s">
        <v>117</v>
      </c>
      <c r="H359" s="137" t="s">
        <v>117</v>
      </c>
      <c r="I359" s="137" t="s">
        <v>118</v>
      </c>
      <c r="J359" s="137" t="s">
        <v>118</v>
      </c>
      <c r="K359" s="137" t="s">
        <v>118</v>
      </c>
      <c r="L359" s="137" t="s">
        <v>119</v>
      </c>
      <c r="M359" s="137" t="s">
        <v>119</v>
      </c>
    </row>
    <row r="360" hidden="1">
      <c r="A360" s="54">
        <f>F360-C360-B360</f>
        <v>38355.87</v>
      </c>
      <c r="B360" s="90">
        <f t="shared" ref="B360:D360" si="105">sum(B362:B366)</f>
        <v>0</v>
      </c>
      <c r="C360" s="141">
        <f t="shared" si="105"/>
        <v>0</v>
      </c>
      <c r="D360" s="142">
        <f t="shared" si="105"/>
        <v>0</v>
      </c>
      <c r="E360" s="59"/>
      <c r="F360" s="63">
        <f>sum(F362:F366)</f>
        <v>38355.87</v>
      </c>
      <c r="G360" s="136" t="s">
        <v>120</v>
      </c>
      <c r="H360" s="137" t="s">
        <v>121</v>
      </c>
      <c r="I360" s="137" t="s">
        <v>111</v>
      </c>
      <c r="J360" s="137" t="s">
        <v>112</v>
      </c>
      <c r="K360" s="137" t="s">
        <v>113</v>
      </c>
      <c r="L360" s="137" t="s">
        <v>114</v>
      </c>
      <c r="M360" s="137" t="s">
        <v>65</v>
      </c>
    </row>
    <row r="361" hidden="1">
      <c r="A361" s="32" t="s">
        <v>72</v>
      </c>
      <c r="B361" s="122" t="s">
        <v>84</v>
      </c>
      <c r="C361" s="143" t="s">
        <v>67</v>
      </c>
      <c r="D361" s="143" t="s">
        <v>68</v>
      </c>
      <c r="E361" s="34">
        <f>today()</f>
        <v>45969</v>
      </c>
      <c r="F361" s="35" t="s">
        <v>64</v>
      </c>
      <c r="G361" s="144" t="s">
        <v>107</v>
      </c>
      <c r="H361" s="144" t="s">
        <v>107</v>
      </c>
      <c r="I361" s="145" t="str">
        <f>I350</f>
        <v>STR Residency</v>
      </c>
      <c r="J361" s="145" t="s">
        <v>112</v>
      </c>
      <c r="K361" s="145" t="s">
        <v>113</v>
      </c>
      <c r="L361" s="145" t="s">
        <v>114</v>
      </c>
      <c r="M361" s="145" t="s">
        <v>65</v>
      </c>
    </row>
    <row r="362" hidden="1">
      <c r="A362" s="53">
        <f t="shared" ref="A362:A366" si="106">F362-C362-B362</f>
        <v>23462.73</v>
      </c>
      <c r="B362" s="69">
        <f>if(B351+B359/4&gt;B358/4,B358/4,B351+B359/4)</f>
        <v>0</v>
      </c>
      <c r="C362" s="133">
        <f>sumif(G358:M358,"Pending",G362:M362)</f>
        <v>0</v>
      </c>
      <c r="D362" s="133">
        <f>sumif(G358:M358,"Paid",G362:M362)</f>
        <v>0</v>
      </c>
      <c r="E362" s="32" t="s">
        <v>76</v>
      </c>
      <c r="F362" s="66">
        <v>23462.73</v>
      </c>
      <c r="G362" s="146">
        <f>sumif('Bills - CC EMIs'!D:D,A357,'Bills - CC EMIs'!E:E)+SUMIF('Bills - CC EMIs'!D:D,A357,'Bills - CC EMIs'!F:F)+sumif('Bills - CC EMIs'!D:D,A357,'Bills - CC EMIs'!G:G)</f>
        <v>0</v>
      </c>
      <c r="H362" s="146">
        <f>SUMIFS('Bills - Loans'!F:F,'Bills - Loans'!D:D,A357)</f>
        <v>0</v>
      </c>
      <c r="I362" s="147">
        <v>0.0</v>
      </c>
      <c r="J362" s="137">
        <f>sumif('Bills - Responsibilities'!D:D,A357,'Bills - Responsibilities'!E:E)</f>
        <v>0</v>
      </c>
      <c r="K362" s="147">
        <v>0.0</v>
      </c>
      <c r="L362" s="147">
        <f>sumif('Bills - Returns'!C:C,A357,'Bills - Returns'!D:D)</f>
        <v>0</v>
      </c>
      <c r="M362" s="147">
        <f>sumif('Bills - Investments'!C:C,A357,'Bills - Investments'!D:D)</f>
        <v>0</v>
      </c>
    </row>
    <row r="363" hidden="1">
      <c r="A363" s="53">
        <f t="shared" si="106"/>
        <v>3786.08</v>
      </c>
      <c r="B363" s="69">
        <f>if(B351+B359/4&gt;B358/4,B358/4,B351+B359/4)</f>
        <v>0</v>
      </c>
      <c r="C363" s="133">
        <f>sumif(G358:M358,"Pending",G363:M363)</f>
        <v>0</v>
      </c>
      <c r="D363" s="133">
        <f>sumif(G358:M358,"Paid",G363:M363)</f>
        <v>0</v>
      </c>
      <c r="E363" s="32" t="s">
        <v>77</v>
      </c>
      <c r="F363" s="69">
        <v>3786.08</v>
      </c>
      <c r="G363" s="148">
        <f>sumif('Bills - CC EMIs'!D:D,A357,'Bills - CC EMIs'!H:H)</f>
        <v>0</v>
      </c>
      <c r="H363" s="147">
        <f>SUMIFS('Bills - Loans'!E:E,'Bills - Loans'!D:D,A357)</f>
        <v>0</v>
      </c>
      <c r="I363" s="137">
        <f>sumif('Bills - STR Residency'!D:D,A357,'Bills - STR Residency'!E:E)</f>
        <v>0</v>
      </c>
      <c r="J363" s="147">
        <v>0.0</v>
      </c>
      <c r="K363" s="147">
        <f>sumif('Bills - Utilities'!C:C,A357,'Bills - Utilities'!B:B)</f>
        <v>0</v>
      </c>
      <c r="L363" s="147">
        <f>sumif('Bills - Utilities'!D:D,B357,'Bills - Utilities'!C:C)</f>
        <v>0</v>
      </c>
      <c r="M363" s="147">
        <f>sumif('Bills - Investments'!C:C,A357,'Bills - Investments'!E:E)</f>
        <v>0</v>
      </c>
    </row>
    <row r="364" hidden="1">
      <c r="A364" s="53">
        <f t="shared" si="106"/>
        <v>3079.93</v>
      </c>
      <c r="B364" s="69">
        <f>if(B351+B359/4&gt;B358/4,B358/4,B351+B359/4)</f>
        <v>0</v>
      </c>
      <c r="C364" s="133">
        <f>sumif(G358:M358,"Pending",G364:M364)</f>
        <v>0</v>
      </c>
      <c r="D364" s="133">
        <f>sumif(G358:M358,"Paid",G364:M364)</f>
        <v>0</v>
      </c>
      <c r="E364" s="32" t="s">
        <v>81</v>
      </c>
      <c r="F364" s="69">
        <v>3079.93</v>
      </c>
      <c r="G364" s="148">
        <f t="shared" ref="G364:G366" si="107">(G353+G342+G331)/3</f>
        <v>0</v>
      </c>
      <c r="H364" s="147">
        <f t="shared" ref="H364:H366" si="108">(H353+H342)/2</f>
        <v>0</v>
      </c>
      <c r="I364" s="147">
        <f t="shared" ref="I364:I366" si="109">I353</f>
        <v>0</v>
      </c>
      <c r="J364" s="147">
        <v>0.0</v>
      </c>
      <c r="K364" s="147">
        <v>0.0</v>
      </c>
      <c r="L364" s="147">
        <v>0.0</v>
      </c>
      <c r="M364" s="147">
        <v>0.0</v>
      </c>
    </row>
    <row r="365" hidden="1">
      <c r="A365" s="53">
        <f t="shared" si="106"/>
        <v>6427.13</v>
      </c>
      <c r="B365" s="69">
        <f>if(B351+B359/4&gt;B358/4,B358/4,B351+B359/4)</f>
        <v>0</v>
      </c>
      <c r="C365" s="133">
        <f>sumif(G358:M358,"Pending",G365:M365)</f>
        <v>0</v>
      </c>
      <c r="D365" s="133">
        <f>sumif(G358:M358,"Paid",G365:M365)</f>
        <v>0</v>
      </c>
      <c r="E365" s="32" t="s">
        <v>79</v>
      </c>
      <c r="F365" s="69">
        <v>6427.13</v>
      </c>
      <c r="G365" s="148">
        <f t="shared" si="107"/>
        <v>0</v>
      </c>
      <c r="H365" s="147">
        <f t="shared" si="108"/>
        <v>0</v>
      </c>
      <c r="I365" s="147">
        <f t="shared" si="109"/>
        <v>0</v>
      </c>
      <c r="J365" s="147">
        <v>0.0</v>
      </c>
      <c r="K365" s="147">
        <v>0.0</v>
      </c>
      <c r="L365" s="147">
        <v>0.0</v>
      </c>
      <c r="M365" s="147">
        <v>0.0</v>
      </c>
    </row>
    <row r="366" hidden="1">
      <c r="A366" s="53">
        <f t="shared" si="106"/>
        <v>1600</v>
      </c>
      <c r="B366" s="69">
        <v>0.0</v>
      </c>
      <c r="C366" s="133">
        <f>sumif(G358:M358,"Pending",G366:M366)</f>
        <v>0</v>
      </c>
      <c r="D366" s="133">
        <f>sumif(G358:M358,"Paid",G366:M366)</f>
        <v>0</v>
      </c>
      <c r="E366" s="33" t="s">
        <v>91</v>
      </c>
      <c r="F366" s="69">
        <v>1600.0</v>
      </c>
      <c r="G366" s="148">
        <f t="shared" si="107"/>
        <v>0</v>
      </c>
      <c r="H366" s="147">
        <f t="shared" si="108"/>
        <v>0</v>
      </c>
      <c r="I366" s="147">
        <f t="shared" si="109"/>
        <v>0</v>
      </c>
      <c r="J366" s="147">
        <v>0.0</v>
      </c>
      <c r="K366" s="147">
        <v>0.0</v>
      </c>
      <c r="L366" s="147">
        <v>0.0</v>
      </c>
      <c r="M366" s="147">
        <v>0.0</v>
      </c>
    </row>
    <row r="367" hidden="1">
      <c r="A367" s="24"/>
      <c r="B367" s="24"/>
      <c r="C367" s="24"/>
      <c r="D367" s="24"/>
      <c r="E367" s="24"/>
      <c r="F367" s="25"/>
      <c r="G367" s="25"/>
      <c r="H367" s="24"/>
      <c r="I367" s="25"/>
      <c r="J367" s="25"/>
      <c r="K367" s="25"/>
      <c r="L367" s="25"/>
      <c r="M367" s="24"/>
    </row>
    <row r="368" hidden="1">
      <c r="A368" s="71">
        <v>45778.0</v>
      </c>
      <c r="B368" s="24"/>
      <c r="C368" s="24"/>
      <c r="D368" s="25" t="s">
        <v>108</v>
      </c>
      <c r="E368" s="74">
        <f>A371-A360</f>
        <v>-33684.09</v>
      </c>
      <c r="F368" s="25" t="s">
        <v>64</v>
      </c>
      <c r="G368" s="136" t="s">
        <v>109</v>
      </c>
      <c r="H368" s="137" t="s">
        <v>110</v>
      </c>
      <c r="I368" s="137" t="s">
        <v>111</v>
      </c>
      <c r="J368" s="137" t="s">
        <v>112</v>
      </c>
      <c r="K368" s="137" t="s">
        <v>113</v>
      </c>
      <c r="L368" s="137" t="s">
        <v>114</v>
      </c>
      <c r="M368" s="137" t="s">
        <v>65</v>
      </c>
    </row>
    <row r="369" hidden="1">
      <c r="A369" s="25" t="s">
        <v>95</v>
      </c>
      <c r="B369" s="72">
        <f>Projections!AB15</f>
        <v>202513.85</v>
      </c>
      <c r="C369" s="138">
        <f>A368</f>
        <v>45778</v>
      </c>
      <c r="D369" s="98" t="s">
        <v>115</v>
      </c>
      <c r="E369" s="57">
        <f>Projections!AB14</f>
        <v>240869.72</v>
      </c>
      <c r="F369" s="73" t="s">
        <v>67</v>
      </c>
      <c r="G369" s="139" t="s">
        <v>67</v>
      </c>
      <c r="H369" s="139" t="s">
        <v>67</v>
      </c>
      <c r="I369" s="137" t="s">
        <v>67</v>
      </c>
      <c r="J369" s="137" t="s">
        <v>67</v>
      </c>
      <c r="K369" s="137" t="s">
        <v>67</v>
      </c>
      <c r="L369" s="137" t="s">
        <v>67</v>
      </c>
      <c r="M369" s="137" t="s">
        <v>67</v>
      </c>
    </row>
    <row r="370" hidden="1">
      <c r="A370" s="25" t="s">
        <v>69</v>
      </c>
      <c r="B370" s="119">
        <v>0.0</v>
      </c>
      <c r="C370" s="138">
        <f>EOMONTH(C369,0)</f>
        <v>45808</v>
      </c>
      <c r="D370" s="25" t="s">
        <v>116</v>
      </c>
      <c r="E370" s="74">
        <f>if(today()&gt;C370,0,B369*12/365/4)</f>
        <v>0</v>
      </c>
      <c r="F370" s="25" t="s">
        <v>70</v>
      </c>
      <c r="G370" s="140" t="s">
        <v>117</v>
      </c>
      <c r="H370" s="137" t="s">
        <v>117</v>
      </c>
      <c r="I370" s="137" t="s">
        <v>118</v>
      </c>
      <c r="J370" s="137" t="s">
        <v>118</v>
      </c>
      <c r="K370" s="137" t="s">
        <v>118</v>
      </c>
      <c r="L370" s="137" t="s">
        <v>119</v>
      </c>
      <c r="M370" s="137" t="s">
        <v>119</v>
      </c>
    </row>
    <row r="371" hidden="1">
      <c r="A371" s="54">
        <f>F371-C371-B371</f>
        <v>4671.78</v>
      </c>
      <c r="B371" s="90">
        <f t="shared" ref="B371:D371" si="110">sum(B373:B377)</f>
        <v>0</v>
      </c>
      <c r="C371" s="141">
        <f t="shared" si="110"/>
        <v>0</v>
      </c>
      <c r="D371" s="142">
        <f t="shared" si="110"/>
        <v>0</v>
      </c>
      <c r="E371" s="59"/>
      <c r="F371" s="63">
        <f>sum(F373:F377)</f>
        <v>4671.78</v>
      </c>
      <c r="G371" s="136" t="s">
        <v>120</v>
      </c>
      <c r="H371" s="137" t="s">
        <v>121</v>
      </c>
      <c r="I371" s="137" t="s">
        <v>111</v>
      </c>
      <c r="J371" s="137" t="s">
        <v>112</v>
      </c>
      <c r="K371" s="137" t="s">
        <v>113</v>
      </c>
      <c r="L371" s="137" t="s">
        <v>114</v>
      </c>
      <c r="M371" s="137" t="s">
        <v>65</v>
      </c>
    </row>
    <row r="372" hidden="1">
      <c r="A372" s="32" t="s">
        <v>72</v>
      </c>
      <c r="B372" s="122" t="s">
        <v>84</v>
      </c>
      <c r="C372" s="143" t="s">
        <v>67</v>
      </c>
      <c r="D372" s="143" t="s">
        <v>68</v>
      </c>
      <c r="E372" s="34">
        <f>today()</f>
        <v>45969</v>
      </c>
      <c r="F372" s="35" t="s">
        <v>64</v>
      </c>
      <c r="G372" s="144" t="s">
        <v>107</v>
      </c>
      <c r="H372" s="144" t="s">
        <v>107</v>
      </c>
      <c r="I372" s="145" t="str">
        <f>I361</f>
        <v>STR Residency</v>
      </c>
      <c r="J372" s="145" t="s">
        <v>112</v>
      </c>
      <c r="K372" s="145" t="s">
        <v>113</v>
      </c>
      <c r="L372" s="145" t="s">
        <v>114</v>
      </c>
      <c r="M372" s="145" t="s">
        <v>65</v>
      </c>
    </row>
    <row r="373" hidden="1">
      <c r="A373" s="53">
        <f t="shared" ref="A373:A377" si="111">F373-C373-B373</f>
        <v>3455.7</v>
      </c>
      <c r="B373" s="69">
        <v>0.0</v>
      </c>
      <c r="C373" s="133">
        <f>sumif(G369:M369,"Pending",G373:M373)</f>
        <v>0</v>
      </c>
      <c r="D373" s="133">
        <f>sumif(G369:M369,"Paid",G373:M373)</f>
        <v>0</v>
      </c>
      <c r="E373" s="32" t="s">
        <v>76</v>
      </c>
      <c r="F373" s="66">
        <v>3455.7</v>
      </c>
      <c r="G373" s="146">
        <f>sumif('Bills - CC EMIs'!D:D,A368,'Bills - CC EMIs'!E:E)+SUMIF('Bills - CC EMIs'!D:D,A368,'Bills - CC EMIs'!F:F)+sumif('Bills - CC EMIs'!D:D,A368,'Bills - CC EMIs'!G:G)</f>
        <v>0</v>
      </c>
      <c r="H373" s="146">
        <f>SUMIFS('Bills - Loans'!F:F,'Bills - Loans'!D:D,A368)</f>
        <v>0</v>
      </c>
      <c r="I373" s="147">
        <v>0.0</v>
      </c>
      <c r="J373" s="137">
        <f>sumif('Bills - Responsibilities'!D:D,A368,'Bills - Responsibilities'!E:E)</f>
        <v>0</v>
      </c>
      <c r="K373" s="147">
        <v>0.0</v>
      </c>
      <c r="L373" s="147">
        <f>sumif('Bills - Returns'!C:C,A368,'Bills - Returns'!D:D)</f>
        <v>0</v>
      </c>
      <c r="M373" s="147">
        <f>sumif('Bills - Investments'!C:C,A368,'Bills - Investments'!D:D)</f>
        <v>0</v>
      </c>
    </row>
    <row r="374" hidden="1">
      <c r="A374" s="53">
        <f t="shared" si="111"/>
        <v>0.61</v>
      </c>
      <c r="B374" s="69">
        <v>0.0</v>
      </c>
      <c r="C374" s="133">
        <f>sumif(G369:M369,"Pending",G374:M374)</f>
        <v>0</v>
      </c>
      <c r="D374" s="133">
        <f>sumif(G369:M369,"Paid",G374:M374)</f>
        <v>0</v>
      </c>
      <c r="E374" s="32" t="s">
        <v>77</v>
      </c>
      <c r="F374" s="69">
        <v>0.61</v>
      </c>
      <c r="G374" s="148">
        <f>sumif('Bills - CC EMIs'!D:D,A368,'Bills - CC EMIs'!H:H)</f>
        <v>0</v>
      </c>
      <c r="H374" s="147">
        <f>SUMIFS('Bills - Loans'!E:E,'Bills - Loans'!D:D,A368)</f>
        <v>0</v>
      </c>
      <c r="I374" s="137">
        <f>sumif('Bills - STR Residency'!D:D,A368,'Bills - STR Residency'!E:E)</f>
        <v>0</v>
      </c>
      <c r="J374" s="147">
        <v>0.0</v>
      </c>
      <c r="K374" s="147">
        <f>sumif('Bills - Utilities'!C:C,A368,'Bills - Utilities'!B:B)</f>
        <v>0</v>
      </c>
      <c r="L374" s="147">
        <f>sumif('Bills - Utilities'!D:D,B368,'Bills - Utilities'!C:C)</f>
        <v>0</v>
      </c>
      <c r="M374" s="147">
        <f>sumif('Bills - Investments'!C:C,A368,'Bills - Investments'!E:E)</f>
        <v>0</v>
      </c>
    </row>
    <row r="375" hidden="1">
      <c r="A375" s="53">
        <f t="shared" si="111"/>
        <v>10.3</v>
      </c>
      <c r="B375" s="69">
        <v>0.0</v>
      </c>
      <c r="C375" s="133">
        <f>sumif(G369:M369,"Pending",G375:M375)</f>
        <v>0</v>
      </c>
      <c r="D375" s="133">
        <f>sumif(G369:M369,"Paid",G375:M375)</f>
        <v>0</v>
      </c>
      <c r="E375" s="32" t="s">
        <v>81</v>
      </c>
      <c r="F375" s="69">
        <v>10.3</v>
      </c>
      <c r="G375" s="148">
        <f t="shared" ref="G375:G377" si="112">(G364+G353+G342)/3</f>
        <v>0</v>
      </c>
      <c r="H375" s="147">
        <f t="shared" ref="H375:H377" si="113">(H364+H353)/2</f>
        <v>0</v>
      </c>
      <c r="I375" s="147">
        <f t="shared" ref="I375:I377" si="114">I364</f>
        <v>0</v>
      </c>
      <c r="J375" s="147">
        <v>0.0</v>
      </c>
      <c r="K375" s="147">
        <v>0.0</v>
      </c>
      <c r="L375" s="147">
        <v>0.0</v>
      </c>
      <c r="M375" s="147">
        <v>0.0</v>
      </c>
    </row>
    <row r="376" hidden="1">
      <c r="A376" s="53">
        <f t="shared" si="111"/>
        <v>5.17</v>
      </c>
      <c r="B376" s="69">
        <v>0.0</v>
      </c>
      <c r="C376" s="133">
        <f>sumif(G369:M369,"Pending",G376:M376)</f>
        <v>0</v>
      </c>
      <c r="D376" s="133">
        <f>sumif(G369:M369,"Paid",G376:M376)</f>
        <v>0</v>
      </c>
      <c r="E376" s="32" t="s">
        <v>79</v>
      </c>
      <c r="F376" s="69">
        <v>5.17</v>
      </c>
      <c r="G376" s="148">
        <f t="shared" si="112"/>
        <v>0</v>
      </c>
      <c r="H376" s="147">
        <f t="shared" si="113"/>
        <v>0</v>
      </c>
      <c r="I376" s="147">
        <f t="shared" si="114"/>
        <v>0</v>
      </c>
      <c r="J376" s="147">
        <v>0.0</v>
      </c>
      <c r="K376" s="147">
        <v>0.0</v>
      </c>
      <c r="L376" s="147">
        <v>0.0</v>
      </c>
      <c r="M376" s="147">
        <v>0.0</v>
      </c>
    </row>
    <row r="377" hidden="1">
      <c r="A377" s="53">
        <f t="shared" si="111"/>
        <v>1200</v>
      </c>
      <c r="B377" s="69">
        <v>0.0</v>
      </c>
      <c r="C377" s="133">
        <f>sumif(G369:M369,"Pending",G377:M377)</f>
        <v>0</v>
      </c>
      <c r="D377" s="133">
        <f>sumif(G369:M369,"Paid",G377:M377)</f>
        <v>0</v>
      </c>
      <c r="E377" s="33" t="s">
        <v>91</v>
      </c>
      <c r="F377" s="69">
        <v>1200.0</v>
      </c>
      <c r="G377" s="148">
        <f t="shared" si="112"/>
        <v>0</v>
      </c>
      <c r="H377" s="147">
        <f t="shared" si="113"/>
        <v>0</v>
      </c>
      <c r="I377" s="147">
        <f t="shared" si="114"/>
        <v>0</v>
      </c>
      <c r="J377" s="147">
        <v>0.0</v>
      </c>
      <c r="K377" s="147">
        <v>0.0</v>
      </c>
      <c r="L377" s="147">
        <v>0.0</v>
      </c>
      <c r="M377" s="147">
        <v>0.0</v>
      </c>
    </row>
    <row r="378" hidden="1">
      <c r="A378" s="24"/>
      <c r="B378" s="24"/>
      <c r="C378" s="24"/>
      <c r="D378" s="24"/>
      <c r="E378" s="24"/>
      <c r="F378" s="25"/>
      <c r="G378" s="25"/>
      <c r="H378" s="24"/>
      <c r="I378" s="25"/>
      <c r="J378" s="25"/>
      <c r="K378" s="25"/>
      <c r="L378" s="25"/>
      <c r="M378" s="24"/>
    </row>
    <row r="379" hidden="1">
      <c r="A379" s="71">
        <v>45809.0</v>
      </c>
      <c r="B379" s="24"/>
      <c r="C379" s="24"/>
      <c r="D379" s="25" t="s">
        <v>108</v>
      </c>
      <c r="E379" s="74">
        <f>A382-A371</f>
        <v>-4671.78</v>
      </c>
      <c r="F379" s="25" t="s">
        <v>64</v>
      </c>
      <c r="G379" s="136" t="s">
        <v>109</v>
      </c>
      <c r="H379" s="137" t="s">
        <v>110</v>
      </c>
      <c r="I379" s="137" t="s">
        <v>111</v>
      </c>
      <c r="J379" s="137" t="s">
        <v>112</v>
      </c>
      <c r="K379" s="137" t="s">
        <v>113</v>
      </c>
      <c r="L379" s="137" t="s">
        <v>114</v>
      </c>
      <c r="M379" s="137" t="s">
        <v>65</v>
      </c>
    </row>
    <row r="380" hidden="1">
      <c r="A380" s="25" t="s">
        <v>95</v>
      </c>
      <c r="B380" s="72">
        <f>Projections!AC15</f>
        <v>200521.7371</v>
      </c>
      <c r="C380" s="138">
        <f>A379</f>
        <v>45809</v>
      </c>
      <c r="D380" s="98" t="s">
        <v>115</v>
      </c>
      <c r="E380" s="57">
        <f>Projections!AC14</f>
        <v>205193.5171</v>
      </c>
      <c r="F380" s="73" t="s">
        <v>67</v>
      </c>
      <c r="G380" s="139" t="s">
        <v>67</v>
      </c>
      <c r="H380" s="139" t="s">
        <v>67</v>
      </c>
      <c r="I380" s="137" t="s">
        <v>67</v>
      </c>
      <c r="J380" s="137" t="s">
        <v>67</v>
      </c>
      <c r="K380" s="137" t="s">
        <v>67</v>
      </c>
      <c r="L380" s="137" t="s">
        <v>67</v>
      </c>
      <c r="M380" s="137" t="s">
        <v>67</v>
      </c>
    </row>
    <row r="381" hidden="1">
      <c r="A381" s="25" t="s">
        <v>69</v>
      </c>
      <c r="B381" s="119">
        <v>0.0</v>
      </c>
      <c r="C381" s="138">
        <f>EOMONTH(C380,0)</f>
        <v>45838</v>
      </c>
      <c r="D381" s="25" t="s">
        <v>116</v>
      </c>
      <c r="E381" s="74">
        <f>if(today()&gt;C381,0,B380*12/365/4)</f>
        <v>0</v>
      </c>
      <c r="F381" s="25" t="s">
        <v>70</v>
      </c>
      <c r="G381" s="140" t="s">
        <v>117</v>
      </c>
      <c r="H381" s="137" t="s">
        <v>117</v>
      </c>
      <c r="I381" s="137" t="s">
        <v>118</v>
      </c>
      <c r="J381" s="137" t="s">
        <v>118</v>
      </c>
      <c r="K381" s="137" t="s">
        <v>118</v>
      </c>
      <c r="L381" s="137" t="s">
        <v>119</v>
      </c>
      <c r="M381" s="137" t="s">
        <v>119</v>
      </c>
    </row>
    <row r="382" hidden="1">
      <c r="A382" s="54">
        <f>F382-C382-B382</f>
        <v>0</v>
      </c>
      <c r="B382" s="90">
        <f t="shared" ref="B382:D382" si="115">sum(B384:B388)</f>
        <v>0</v>
      </c>
      <c r="C382" s="141">
        <f t="shared" si="115"/>
        <v>0</v>
      </c>
      <c r="D382" s="142">
        <f t="shared" si="115"/>
        <v>0</v>
      </c>
      <c r="E382" s="59"/>
      <c r="F382" s="63">
        <f>sum(F384:F388)</f>
        <v>0</v>
      </c>
      <c r="G382" s="136" t="s">
        <v>120</v>
      </c>
      <c r="H382" s="137" t="s">
        <v>121</v>
      </c>
      <c r="I382" s="137" t="s">
        <v>111</v>
      </c>
      <c r="J382" s="137" t="s">
        <v>112</v>
      </c>
      <c r="K382" s="137" t="s">
        <v>113</v>
      </c>
      <c r="L382" s="137" t="s">
        <v>114</v>
      </c>
      <c r="M382" s="137" t="s">
        <v>65</v>
      </c>
    </row>
    <row r="383" hidden="1">
      <c r="A383" s="32" t="s">
        <v>72</v>
      </c>
      <c r="B383" s="122" t="s">
        <v>84</v>
      </c>
      <c r="C383" s="143" t="s">
        <v>67</v>
      </c>
      <c r="D383" s="143" t="s">
        <v>68</v>
      </c>
      <c r="E383" s="34">
        <f>today()</f>
        <v>45969</v>
      </c>
      <c r="F383" s="35">
        <v>0.0</v>
      </c>
      <c r="G383" s="144" t="s">
        <v>107</v>
      </c>
      <c r="H383" s="144" t="s">
        <v>107</v>
      </c>
      <c r="I383" s="145" t="str">
        <f>I372</f>
        <v>STR Residency</v>
      </c>
      <c r="J383" s="145" t="s">
        <v>112</v>
      </c>
      <c r="K383" s="145" t="s">
        <v>113</v>
      </c>
      <c r="L383" s="145" t="s">
        <v>114</v>
      </c>
      <c r="M383" s="145" t="s">
        <v>65</v>
      </c>
    </row>
    <row r="384" hidden="1">
      <c r="A384" s="53">
        <f t="shared" ref="A384:A388" si="116">F384-C384-B384</f>
        <v>0</v>
      </c>
      <c r="B384" s="69">
        <f>if(B373+B381/4&gt;B380/4,B380/4,B373+B381/4)</f>
        <v>0</v>
      </c>
      <c r="C384" s="133">
        <f>sumif(G380:M380,"Pending",G384:M384)</f>
        <v>0</v>
      </c>
      <c r="D384" s="133">
        <f>sumif(G380:M380,"Paid",G384:M384)</f>
        <v>0</v>
      </c>
      <c r="E384" s="32" t="s">
        <v>76</v>
      </c>
      <c r="F384" s="66">
        <v>0.0</v>
      </c>
      <c r="G384" s="146">
        <f>sumif('Bills - CC EMIs'!D:D,A379,'Bills - CC EMIs'!E:E)+SUMIF('Bills - CC EMIs'!D:D,A379,'Bills - CC EMIs'!F:F)+sumif('Bills - CC EMIs'!D:D,A379,'Bills - CC EMIs'!G:G)</f>
        <v>0</v>
      </c>
      <c r="H384" s="146">
        <f>SUMIFS('Bills - Loans'!F:F,'Bills - Loans'!D:D,A379)</f>
        <v>0</v>
      </c>
      <c r="I384" s="147">
        <v>0.0</v>
      </c>
      <c r="J384" s="137">
        <f>sumif('Bills - Responsibilities'!D:D,A379,'Bills - Responsibilities'!E:E)</f>
        <v>0</v>
      </c>
      <c r="K384" s="147">
        <v>0.0</v>
      </c>
      <c r="L384" s="147">
        <f>sumif('Bills - Returns'!C:C,A379,'Bills - Returns'!D:D)</f>
        <v>0</v>
      </c>
      <c r="M384" s="147">
        <f>sumif('Bills - Investments'!C:C,A379,'Bills - Investments'!D:D)</f>
        <v>0</v>
      </c>
    </row>
    <row r="385" hidden="1">
      <c r="A385" s="53">
        <f t="shared" si="116"/>
        <v>0</v>
      </c>
      <c r="B385" s="69">
        <v>0.0</v>
      </c>
      <c r="C385" s="133">
        <f>sumif(G380:M380,"Pending",G385:M385)</f>
        <v>0</v>
      </c>
      <c r="D385" s="133">
        <f>sumif(G380:M380,"Paid",G385:M385)</f>
        <v>0</v>
      </c>
      <c r="E385" s="32" t="s">
        <v>77</v>
      </c>
      <c r="F385" s="69">
        <v>0.0</v>
      </c>
      <c r="G385" s="148">
        <f>sumif('Bills - CC EMIs'!D:D,A379,'Bills - CC EMIs'!H:H)</f>
        <v>0</v>
      </c>
      <c r="H385" s="147">
        <f>SUMIFS('Bills - Loans'!E:E,'Bills - Loans'!D:D,A379)</f>
        <v>0</v>
      </c>
      <c r="I385" s="137">
        <f>sumif('Bills - STR Residency'!D:D,A379,'Bills - STR Residency'!E:E)</f>
        <v>0</v>
      </c>
      <c r="J385" s="147">
        <v>0.0</v>
      </c>
      <c r="K385" s="147">
        <f>sumif('Bills - Utilities'!C:C,A379,'Bills - Utilities'!B:B)</f>
        <v>0</v>
      </c>
      <c r="L385" s="147">
        <f>sumif('Bills - Utilities'!D:D,B379,'Bills - Utilities'!C:C)</f>
        <v>0</v>
      </c>
      <c r="M385" s="147">
        <f>sumif('Bills - Investments'!C:C,A379,'Bills - Investments'!E:E)</f>
        <v>0</v>
      </c>
    </row>
    <row r="386" hidden="1">
      <c r="A386" s="53">
        <f t="shared" si="116"/>
        <v>0</v>
      </c>
      <c r="B386" s="69">
        <f>if(B373+B381/4&gt;B380/4,B380/4,B373+B381/4)</f>
        <v>0</v>
      </c>
      <c r="C386" s="133">
        <f>sumif(G380:M380,"Pending",G386:M386)</f>
        <v>0</v>
      </c>
      <c r="D386" s="133">
        <f>sumif(G380:M380,"Paid",G386:M386)</f>
        <v>0</v>
      </c>
      <c r="E386" s="32" t="s">
        <v>81</v>
      </c>
      <c r="F386" s="69">
        <v>0.0</v>
      </c>
      <c r="G386" s="148">
        <f t="shared" ref="G386:G388" si="117">(G375+G364+G353)/3</f>
        <v>0</v>
      </c>
      <c r="H386" s="147">
        <f t="shared" ref="H386:H388" si="118">(H375+H364)/2</f>
        <v>0</v>
      </c>
      <c r="I386" s="147">
        <f t="shared" ref="I386:I388" si="119">I375</f>
        <v>0</v>
      </c>
      <c r="J386" s="147">
        <v>0.0</v>
      </c>
      <c r="K386" s="147">
        <v>0.0</v>
      </c>
      <c r="L386" s="147">
        <v>0.0</v>
      </c>
      <c r="M386" s="147">
        <v>0.0</v>
      </c>
    </row>
    <row r="387" hidden="1">
      <c r="A387" s="53">
        <f t="shared" si="116"/>
        <v>0</v>
      </c>
      <c r="B387" s="69">
        <f>if(B373+B381/4&gt;B380/4,B380/4,B373+B381/4)</f>
        <v>0</v>
      </c>
      <c r="C387" s="133">
        <f>sumif(G380:M380,"Pending",G387:M387)</f>
        <v>0</v>
      </c>
      <c r="D387" s="133">
        <f>sumif(G380:M380,"Paid",G387:M387)</f>
        <v>0</v>
      </c>
      <c r="E387" s="32" t="s">
        <v>79</v>
      </c>
      <c r="F387" s="69">
        <v>0.0</v>
      </c>
      <c r="G387" s="148">
        <f t="shared" si="117"/>
        <v>0</v>
      </c>
      <c r="H387" s="147">
        <f t="shared" si="118"/>
        <v>0</v>
      </c>
      <c r="I387" s="147">
        <f t="shared" si="119"/>
        <v>0</v>
      </c>
      <c r="J387" s="147">
        <v>0.0</v>
      </c>
      <c r="K387" s="147">
        <v>0.0</v>
      </c>
      <c r="L387" s="147">
        <v>0.0</v>
      </c>
      <c r="M387" s="147">
        <v>0.0</v>
      </c>
    </row>
    <row r="388" hidden="1">
      <c r="A388" s="53">
        <f t="shared" si="116"/>
        <v>0</v>
      </c>
      <c r="B388" s="69">
        <v>0.0</v>
      </c>
      <c r="C388" s="133">
        <f>sumif(G380:M380,"Pending",G388:M388)</f>
        <v>0</v>
      </c>
      <c r="D388" s="133">
        <f>sumif(G380:M380,"Paid",G388:M388)</f>
        <v>0</v>
      </c>
      <c r="E388" s="33" t="s">
        <v>91</v>
      </c>
      <c r="F388" s="69">
        <v>0.0</v>
      </c>
      <c r="G388" s="148">
        <f t="shared" si="117"/>
        <v>0</v>
      </c>
      <c r="H388" s="147">
        <f t="shared" si="118"/>
        <v>0</v>
      </c>
      <c r="I388" s="147">
        <f t="shared" si="119"/>
        <v>0</v>
      </c>
      <c r="J388" s="147">
        <v>0.0</v>
      </c>
      <c r="K388" s="147">
        <v>0.0</v>
      </c>
      <c r="L388" s="147">
        <v>0.0</v>
      </c>
      <c r="M388" s="147">
        <v>0.0</v>
      </c>
    </row>
    <row r="389" hidden="1">
      <c r="A389" s="24"/>
      <c r="B389" s="24"/>
      <c r="C389" s="24"/>
      <c r="D389" s="24"/>
      <c r="E389" s="24"/>
      <c r="F389" s="25"/>
      <c r="G389" s="25"/>
      <c r="H389" s="24"/>
      <c r="I389" s="25"/>
      <c r="J389" s="25"/>
      <c r="K389" s="25"/>
      <c r="L389" s="25"/>
      <c r="M389" s="24"/>
    </row>
    <row r="390" hidden="1">
      <c r="A390" s="71">
        <v>45839.0</v>
      </c>
      <c r="B390" s="24"/>
      <c r="C390" s="24"/>
      <c r="D390" s="25" t="s">
        <v>108</v>
      </c>
      <c r="E390" s="74">
        <f>A393-A382</f>
        <v>54732.34</v>
      </c>
      <c r="F390" s="25" t="s">
        <v>64</v>
      </c>
      <c r="G390" s="136" t="s">
        <v>109</v>
      </c>
      <c r="H390" s="137" t="s">
        <v>110</v>
      </c>
      <c r="I390" s="137" t="s">
        <v>111</v>
      </c>
      <c r="J390" s="137" t="s">
        <v>112</v>
      </c>
      <c r="K390" s="137" t="s">
        <v>113</v>
      </c>
      <c r="L390" s="137" t="s">
        <v>114</v>
      </c>
      <c r="M390" s="137" t="s">
        <v>65</v>
      </c>
    </row>
    <row r="391" hidden="1">
      <c r="A391" s="25" t="s">
        <v>95</v>
      </c>
      <c r="B391" s="72">
        <f>Projections!AD15</f>
        <v>198905.3571</v>
      </c>
      <c r="C391" s="138">
        <f>A390</f>
        <v>45839</v>
      </c>
      <c r="D391" s="98" t="s">
        <v>115</v>
      </c>
      <c r="E391" s="57">
        <f>Projections!AD14</f>
        <v>198905.3571</v>
      </c>
      <c r="F391" s="73" t="s">
        <v>67</v>
      </c>
      <c r="G391" s="139" t="s">
        <v>67</v>
      </c>
      <c r="H391" s="139" t="s">
        <v>67</v>
      </c>
      <c r="I391" s="137" t="s">
        <v>67</v>
      </c>
      <c r="J391" s="137" t="s">
        <v>67</v>
      </c>
      <c r="K391" s="137" t="s">
        <v>67</v>
      </c>
      <c r="L391" s="137" t="s">
        <v>67</v>
      </c>
      <c r="M391" s="137" t="s">
        <v>67</v>
      </c>
    </row>
    <row r="392" hidden="1">
      <c r="A392" s="25" t="s">
        <v>69</v>
      </c>
      <c r="B392" s="119">
        <v>0.0</v>
      </c>
      <c r="C392" s="138">
        <f>EOMONTH(C391,0)</f>
        <v>45869</v>
      </c>
      <c r="D392" s="25" t="s">
        <v>116</v>
      </c>
      <c r="E392" s="74">
        <f>if(today()&gt;C392,0,B391*12/365/4)</f>
        <v>0</v>
      </c>
      <c r="F392" s="25" t="s">
        <v>70</v>
      </c>
      <c r="G392" s="140" t="s">
        <v>117</v>
      </c>
      <c r="H392" s="137" t="s">
        <v>117</v>
      </c>
      <c r="I392" s="137" t="s">
        <v>118</v>
      </c>
      <c r="J392" s="137" t="s">
        <v>118</v>
      </c>
      <c r="K392" s="137" t="s">
        <v>118</v>
      </c>
      <c r="L392" s="137" t="s">
        <v>119</v>
      </c>
      <c r="M392" s="137" t="s">
        <v>119</v>
      </c>
    </row>
    <row r="393" hidden="1">
      <c r="A393" s="54">
        <f>F393-C393-B393</f>
        <v>54732.34</v>
      </c>
      <c r="B393" s="90">
        <f t="shared" ref="B393:D393" si="120">sum(B395:B399)</f>
        <v>0</v>
      </c>
      <c r="C393" s="141">
        <f t="shared" si="120"/>
        <v>0</v>
      </c>
      <c r="D393" s="142">
        <f t="shared" si="120"/>
        <v>0</v>
      </c>
      <c r="E393" s="59"/>
      <c r="F393" s="63">
        <f>sum(F395:F399)</f>
        <v>54732.34</v>
      </c>
      <c r="G393" s="136" t="s">
        <v>120</v>
      </c>
      <c r="H393" s="137" t="s">
        <v>121</v>
      </c>
      <c r="I393" s="137" t="s">
        <v>111</v>
      </c>
      <c r="J393" s="137" t="s">
        <v>112</v>
      </c>
      <c r="K393" s="137" t="s">
        <v>113</v>
      </c>
      <c r="L393" s="137" t="s">
        <v>114</v>
      </c>
      <c r="M393" s="137" t="s">
        <v>65</v>
      </c>
    </row>
    <row r="394" hidden="1">
      <c r="A394" s="32" t="s">
        <v>72</v>
      </c>
      <c r="B394" s="122" t="s">
        <v>84</v>
      </c>
      <c r="C394" s="143" t="s">
        <v>67</v>
      </c>
      <c r="D394" s="143" t="s">
        <v>68</v>
      </c>
      <c r="E394" s="34">
        <f>today()</f>
        <v>45969</v>
      </c>
      <c r="F394" s="35" t="s">
        <v>64</v>
      </c>
      <c r="G394" s="144" t="s">
        <v>107</v>
      </c>
      <c r="H394" s="144" t="s">
        <v>107</v>
      </c>
      <c r="I394" s="145" t="str">
        <f>I383</f>
        <v>STR Residency</v>
      </c>
      <c r="J394" s="145" t="s">
        <v>112</v>
      </c>
      <c r="K394" s="145" t="s">
        <v>113</v>
      </c>
      <c r="L394" s="145" t="s">
        <v>114</v>
      </c>
      <c r="M394" s="145" t="s">
        <v>65</v>
      </c>
    </row>
    <row r="395" hidden="1">
      <c r="A395" s="53">
        <f t="shared" ref="A395:A399" si="121">F395-C395-B395</f>
        <v>34269.27</v>
      </c>
      <c r="B395" s="69">
        <f>if(B384+B392/4&gt;B391/4,B391/4,B384+B392/4)</f>
        <v>0</v>
      </c>
      <c r="C395" s="133">
        <f>sumif(G391:M391,"Pending",G395:M395)</f>
        <v>0</v>
      </c>
      <c r="D395" s="133">
        <f>sumif(G391:M391,"Paid",G395:M395)</f>
        <v>0</v>
      </c>
      <c r="E395" s="32" t="s">
        <v>76</v>
      </c>
      <c r="F395" s="66">
        <v>34269.27</v>
      </c>
      <c r="G395" s="146">
        <f>sumif('Bills - CC EMIs'!D:D,A390,'Bills - CC EMIs'!E:E)+SUMIF('Bills - CC EMIs'!D:D,A390,'Bills - CC EMIs'!F:F)+sumif('Bills - CC EMIs'!D:D,A390,'Bills - CC EMIs'!G:G)</f>
        <v>0</v>
      </c>
      <c r="H395" s="146">
        <f>SUMIFS('Bills - Loans'!F:F,'Bills - Loans'!D:D,A390)</f>
        <v>0</v>
      </c>
      <c r="I395" s="147">
        <v>0.0</v>
      </c>
      <c r="J395" s="137">
        <f>sumif('Bills - Responsibilities'!D:D,A390,'Bills - Responsibilities'!E:E)</f>
        <v>0</v>
      </c>
      <c r="K395" s="147">
        <v>0.0</v>
      </c>
      <c r="L395" s="147">
        <f>sumif('Bills - Returns'!C:C,A390,'Bills - Returns'!D:D)</f>
        <v>0</v>
      </c>
      <c r="M395" s="147">
        <f>sumif('Bills - Investments'!C:C,A390,'Bills - Investments'!D:D)</f>
        <v>0</v>
      </c>
    </row>
    <row r="396" hidden="1">
      <c r="A396" s="53">
        <f t="shared" si="121"/>
        <v>19423.77</v>
      </c>
      <c r="B396" s="69">
        <f>if(B384+B392/4&gt;B391/4,B391/4,B384+B392/4)</f>
        <v>0</v>
      </c>
      <c r="C396" s="133">
        <f>sumif(G391:M391,"Pending",G396:M396)</f>
        <v>0</v>
      </c>
      <c r="D396" s="133">
        <f>sumif(G391:M391,"Paid",G396:M396)</f>
        <v>0</v>
      </c>
      <c r="E396" s="32" t="s">
        <v>77</v>
      </c>
      <c r="F396" s="69">
        <v>19423.77</v>
      </c>
      <c r="G396" s="148">
        <f>sumif('Bills - CC EMIs'!D:D,A390,'Bills - CC EMIs'!H:H)</f>
        <v>0</v>
      </c>
      <c r="H396" s="147">
        <f>SUMIFS('Bills - Loans'!E:E,'Bills - Loans'!D:D,A390)</f>
        <v>0</v>
      </c>
      <c r="I396" s="137">
        <f>sumif('Bills - STR Residency'!D:D,A390,'Bills - STR Residency'!E:E)</f>
        <v>0</v>
      </c>
      <c r="J396" s="147">
        <v>0.0</v>
      </c>
      <c r="K396" s="147">
        <f>sumif('Bills - Utilities'!C:C,A390,'Bills - Utilities'!B:B)</f>
        <v>0</v>
      </c>
      <c r="L396" s="147">
        <f>sumif('Bills - Utilities'!D:D,B390,'Bills - Utilities'!C:C)</f>
        <v>0</v>
      </c>
      <c r="M396" s="147">
        <f>sumif('Bills - Investments'!C:C,A390,'Bills - Investments'!E:E)</f>
        <v>0</v>
      </c>
    </row>
    <row r="397" hidden="1">
      <c r="A397" s="53">
        <f t="shared" si="121"/>
        <v>39.3</v>
      </c>
      <c r="B397" s="69">
        <f>if(B384+B392/4&gt;B391/4,B391/4,B384+B392/4)</f>
        <v>0</v>
      </c>
      <c r="C397" s="133">
        <f>sumif(G391:M391,"Pending",G397:M397)</f>
        <v>0</v>
      </c>
      <c r="D397" s="133">
        <f>sumif(G391:M391,"Paid",G397:M397)</f>
        <v>0</v>
      </c>
      <c r="E397" s="32" t="s">
        <v>81</v>
      </c>
      <c r="F397" s="69">
        <v>39.3</v>
      </c>
      <c r="G397" s="148">
        <f t="shared" ref="G397:G399" si="122">(G386+G375+G364)/3</f>
        <v>0</v>
      </c>
      <c r="H397" s="147">
        <f t="shared" ref="H397:H399" si="123">(H386+H375)/2</f>
        <v>0</v>
      </c>
      <c r="I397" s="147">
        <f t="shared" ref="I397:I399" si="124">I386</f>
        <v>0</v>
      </c>
      <c r="J397" s="147">
        <v>0.0</v>
      </c>
      <c r="K397" s="147">
        <v>0.0</v>
      </c>
      <c r="L397" s="147">
        <v>0.0</v>
      </c>
      <c r="M397" s="147">
        <v>0.0</v>
      </c>
    </row>
    <row r="398" hidden="1">
      <c r="A398" s="53">
        <f t="shared" si="121"/>
        <v>0</v>
      </c>
      <c r="B398" s="69">
        <f>if(B384+B392/4&gt;B391/4,B391/4,B384+B392/4)</f>
        <v>0</v>
      </c>
      <c r="C398" s="133">
        <f>sumif(G391:M391,"Pending",G398:M398)</f>
        <v>0</v>
      </c>
      <c r="D398" s="133">
        <f>sumif(G391:M391,"Paid",G398:M398)</f>
        <v>0</v>
      </c>
      <c r="E398" s="32" t="s">
        <v>79</v>
      </c>
      <c r="F398" s="90">
        <f>sum(G398:M398)+B398</f>
        <v>0</v>
      </c>
      <c r="G398" s="148">
        <f t="shared" si="122"/>
        <v>0</v>
      </c>
      <c r="H398" s="147">
        <f t="shared" si="123"/>
        <v>0</v>
      </c>
      <c r="I398" s="147">
        <f t="shared" si="124"/>
        <v>0</v>
      </c>
      <c r="J398" s="147">
        <v>0.0</v>
      </c>
      <c r="K398" s="147">
        <v>0.0</v>
      </c>
      <c r="L398" s="147">
        <v>0.0</v>
      </c>
      <c r="M398" s="147">
        <v>0.0</v>
      </c>
    </row>
    <row r="399" hidden="1">
      <c r="A399" s="53">
        <f t="shared" si="121"/>
        <v>1000</v>
      </c>
      <c r="B399" s="69">
        <v>0.0</v>
      </c>
      <c r="C399" s="133">
        <f>sumif(G391:M391,"Pending",G399:M399)</f>
        <v>0</v>
      </c>
      <c r="D399" s="133">
        <f>sumif(G391:M391,"Paid",G399:M399)</f>
        <v>0</v>
      </c>
      <c r="E399" s="33" t="s">
        <v>91</v>
      </c>
      <c r="F399" s="69">
        <v>1000.0</v>
      </c>
      <c r="G399" s="148">
        <f t="shared" si="122"/>
        <v>0</v>
      </c>
      <c r="H399" s="147">
        <f t="shared" si="123"/>
        <v>0</v>
      </c>
      <c r="I399" s="147">
        <f t="shared" si="124"/>
        <v>0</v>
      </c>
      <c r="J399" s="147">
        <v>0.0</v>
      </c>
      <c r="K399" s="147">
        <v>0.0</v>
      </c>
      <c r="L399" s="147">
        <v>0.0</v>
      </c>
      <c r="M399" s="147">
        <v>0.0</v>
      </c>
    </row>
    <row r="400" hidden="1">
      <c r="A400" s="24"/>
      <c r="B400" s="24"/>
      <c r="C400" s="24"/>
      <c r="D400" s="24"/>
      <c r="E400" s="24"/>
      <c r="F400" s="25"/>
      <c r="G400" s="25"/>
      <c r="H400" s="24"/>
      <c r="I400" s="25"/>
      <c r="J400" s="25"/>
      <c r="K400" s="25"/>
      <c r="L400" s="25"/>
      <c r="M400" s="24"/>
    </row>
    <row r="401" hidden="1">
      <c r="A401" s="71">
        <v>45870.0</v>
      </c>
      <c r="B401" s="24"/>
      <c r="C401" s="24"/>
      <c r="D401" s="25" t="s">
        <v>108</v>
      </c>
      <c r="E401" s="74">
        <f>A404-A393</f>
        <v>12287.61</v>
      </c>
      <c r="F401" s="25" t="s">
        <v>64</v>
      </c>
      <c r="G401" s="136" t="s">
        <v>109</v>
      </c>
      <c r="H401" s="137" t="s">
        <v>110</v>
      </c>
      <c r="I401" s="137" t="s">
        <v>111</v>
      </c>
      <c r="J401" s="137" t="s">
        <v>112</v>
      </c>
      <c r="K401" s="137" t="s">
        <v>113</v>
      </c>
      <c r="L401" s="137" t="s">
        <v>114</v>
      </c>
      <c r="M401" s="137" t="s">
        <v>65</v>
      </c>
    </row>
    <row r="402" hidden="1">
      <c r="A402" s="25" t="s">
        <v>95</v>
      </c>
      <c r="B402" s="72">
        <f>Projections!AE15</f>
        <v>198555.1071</v>
      </c>
      <c r="C402" s="138">
        <f>A401</f>
        <v>45870</v>
      </c>
      <c r="D402" s="98" t="s">
        <v>115</v>
      </c>
      <c r="E402" s="57">
        <f>Projections!AE14</f>
        <v>253287.4471</v>
      </c>
      <c r="F402" s="73" t="s">
        <v>67</v>
      </c>
      <c r="G402" s="139" t="s">
        <v>67</v>
      </c>
      <c r="H402" s="139" t="s">
        <v>67</v>
      </c>
      <c r="I402" s="137" t="s">
        <v>67</v>
      </c>
      <c r="J402" s="137" t="s">
        <v>67</v>
      </c>
      <c r="K402" s="137" t="s">
        <v>67</v>
      </c>
      <c r="L402" s="137" t="s">
        <v>67</v>
      </c>
      <c r="M402" s="137" t="s">
        <v>67</v>
      </c>
    </row>
    <row r="403" hidden="1">
      <c r="A403" s="25" t="s">
        <v>69</v>
      </c>
      <c r="B403" s="119">
        <v>0.0</v>
      </c>
      <c r="C403" s="138">
        <f>EOMONTH(C402,0)</f>
        <v>45900</v>
      </c>
      <c r="D403" s="25" t="s">
        <v>116</v>
      </c>
      <c r="E403" s="74">
        <f>if(today()&gt;C403,0,B402*12/365/4)</f>
        <v>0</v>
      </c>
      <c r="F403" s="25" t="s">
        <v>70</v>
      </c>
      <c r="G403" s="140" t="s">
        <v>117</v>
      </c>
      <c r="H403" s="137" t="s">
        <v>117</v>
      </c>
      <c r="I403" s="137" t="s">
        <v>118</v>
      </c>
      <c r="J403" s="137" t="s">
        <v>118</v>
      </c>
      <c r="K403" s="137" t="s">
        <v>118</v>
      </c>
      <c r="L403" s="137" t="s">
        <v>119</v>
      </c>
      <c r="M403" s="137" t="s">
        <v>119</v>
      </c>
    </row>
    <row r="404" hidden="1">
      <c r="A404" s="54">
        <f>F404-C404-B404</f>
        <v>67019.95</v>
      </c>
      <c r="B404" s="90">
        <f t="shared" ref="B404:D404" si="125">sum(B406:B410)</f>
        <v>0</v>
      </c>
      <c r="C404" s="141">
        <f t="shared" si="125"/>
        <v>0</v>
      </c>
      <c r="D404" s="142">
        <f t="shared" si="125"/>
        <v>0</v>
      </c>
      <c r="E404" s="59"/>
      <c r="F404" s="63">
        <f>sum(F406:F410)</f>
        <v>67019.95</v>
      </c>
      <c r="G404" s="136" t="s">
        <v>120</v>
      </c>
      <c r="H404" s="137" t="s">
        <v>121</v>
      </c>
      <c r="I404" s="137" t="s">
        <v>111</v>
      </c>
      <c r="J404" s="137" t="s">
        <v>112</v>
      </c>
      <c r="K404" s="137" t="s">
        <v>113</v>
      </c>
      <c r="L404" s="137" t="s">
        <v>114</v>
      </c>
      <c r="M404" s="137" t="s">
        <v>65</v>
      </c>
    </row>
    <row r="405" hidden="1">
      <c r="A405" s="32" t="s">
        <v>72</v>
      </c>
      <c r="B405" s="122" t="s">
        <v>84</v>
      </c>
      <c r="C405" s="143" t="s">
        <v>67</v>
      </c>
      <c r="D405" s="143" t="s">
        <v>68</v>
      </c>
      <c r="E405" s="34">
        <f>today()</f>
        <v>45969</v>
      </c>
      <c r="F405" s="35" t="s">
        <v>64</v>
      </c>
      <c r="G405" s="144" t="s">
        <v>107</v>
      </c>
      <c r="H405" s="144" t="s">
        <v>107</v>
      </c>
      <c r="I405" s="145" t="str">
        <f>I394</f>
        <v>STR Residency</v>
      </c>
      <c r="J405" s="145" t="s">
        <v>112</v>
      </c>
      <c r="K405" s="145" t="s">
        <v>113</v>
      </c>
      <c r="L405" s="145" t="s">
        <v>114</v>
      </c>
      <c r="M405" s="145" t="s">
        <v>65</v>
      </c>
    </row>
    <row r="406" hidden="1">
      <c r="A406" s="53">
        <f t="shared" ref="A406:A410" si="126">F406-C406-B406</f>
        <v>29439.65</v>
      </c>
      <c r="B406" s="69">
        <f>if(B395+B403/4&gt;B402/4,B402/4,B395+B403/4)</f>
        <v>0</v>
      </c>
      <c r="C406" s="133">
        <f>sumif(G402:M402,"Pending",G406:M406)</f>
        <v>0</v>
      </c>
      <c r="D406" s="133">
        <f>sumif(G402:M402,"Paid",G406:M406)</f>
        <v>0</v>
      </c>
      <c r="E406" s="32" t="s">
        <v>76</v>
      </c>
      <c r="F406" s="66">
        <v>29439.65</v>
      </c>
      <c r="G406" s="146">
        <f>sumif('Bills - CC EMIs'!D:D,A401,'Bills - CC EMIs'!E:E)+SUMIF('Bills - CC EMIs'!D:D,A401,'Bills - CC EMIs'!F:F)+sumif('Bills - CC EMIs'!D:D,A401,'Bills - CC EMIs'!G:G)</f>
        <v>0</v>
      </c>
      <c r="H406" s="146">
        <f>SUMIFS('Bills - Loans'!F:F,'Bills - Loans'!D:D,A401)</f>
        <v>0</v>
      </c>
      <c r="I406" s="147">
        <v>0.0</v>
      </c>
      <c r="J406" s="137">
        <f>sumif('Bills - Responsibilities'!D:D,A401,'Bills - Responsibilities'!E:E)</f>
        <v>0</v>
      </c>
      <c r="K406" s="147">
        <v>0.0</v>
      </c>
      <c r="L406" s="147">
        <f>sumif('Bills - Returns'!C:C,A401,'Bills - Returns'!D:D)</f>
        <v>0</v>
      </c>
      <c r="M406" s="147">
        <f>sumif('Bills - Investments'!C:C,A401,'Bills - Investments'!D:D)</f>
        <v>0</v>
      </c>
    </row>
    <row r="407" hidden="1">
      <c r="A407" s="53">
        <f t="shared" si="126"/>
        <v>33011.23</v>
      </c>
      <c r="B407" s="69">
        <f>if(B395+B403/4&gt;B402/4,B402/4,B395+B403/4)</f>
        <v>0</v>
      </c>
      <c r="C407" s="133">
        <f>sumif(G402:M402,"Pending",G407:M407)</f>
        <v>0</v>
      </c>
      <c r="D407" s="133">
        <f>sumif(G402:M402,"Paid",G407:M407)</f>
        <v>0</v>
      </c>
      <c r="E407" s="32" t="s">
        <v>77</v>
      </c>
      <c r="F407" s="69">
        <v>33011.23</v>
      </c>
      <c r="G407" s="148">
        <f>sumif('Bills - CC EMIs'!D:D,A401,'Bills - CC EMIs'!H:H)</f>
        <v>0</v>
      </c>
      <c r="H407" s="147">
        <f>SUMIFS('Bills - Loans'!E:E,'Bills - Loans'!D:D,A401)</f>
        <v>0</v>
      </c>
      <c r="I407" s="137">
        <f>sumif('Bills - STR Residency'!D:D,A401,'Bills - STR Residency'!E:E)</f>
        <v>0</v>
      </c>
      <c r="J407" s="147">
        <v>0.0</v>
      </c>
      <c r="K407" s="147">
        <f>sumif('Bills - Utilities'!C:C,A401,'Bills - Utilities'!B:B)</f>
        <v>0</v>
      </c>
      <c r="L407" s="147">
        <f>sumif('Bills - Utilities'!D:D,B401,'Bills - Utilities'!C:C)</f>
        <v>0</v>
      </c>
      <c r="M407" s="147">
        <f>sumif('Bills - Investments'!C:C,A401,'Bills - Investments'!E:E)</f>
        <v>0</v>
      </c>
    </row>
    <row r="408" hidden="1">
      <c r="A408" s="53">
        <f t="shared" si="126"/>
        <v>3039.3</v>
      </c>
      <c r="B408" s="69">
        <f>if(B395+B403/4&gt;B402/4,B402/4,B395+B403/4)</f>
        <v>0</v>
      </c>
      <c r="C408" s="133">
        <f>sumif(G402:M402,"Pending",G408:M408)</f>
        <v>0</v>
      </c>
      <c r="D408" s="133">
        <f>sumif(G402:M402,"Paid",G408:M408)</f>
        <v>0</v>
      </c>
      <c r="E408" s="32" t="s">
        <v>81</v>
      </c>
      <c r="F408" s="69">
        <v>3039.3</v>
      </c>
      <c r="G408" s="148">
        <f t="shared" ref="G408:G410" si="127">(G397+G386+G375)/3</f>
        <v>0</v>
      </c>
      <c r="H408" s="147">
        <f t="shared" ref="H408:H410" si="128">(H397+H386)/2</f>
        <v>0</v>
      </c>
      <c r="I408" s="147">
        <f t="shared" ref="I408:I410" si="129">I397</f>
        <v>0</v>
      </c>
      <c r="J408" s="147">
        <v>0.0</v>
      </c>
      <c r="K408" s="147">
        <v>0.0</v>
      </c>
      <c r="L408" s="147">
        <v>0.0</v>
      </c>
      <c r="M408" s="147">
        <v>0.0</v>
      </c>
    </row>
    <row r="409" hidden="1">
      <c r="A409" s="53">
        <f t="shared" si="126"/>
        <v>1529.77</v>
      </c>
      <c r="B409" s="69">
        <f>if(B395+B403/4&gt;B402/4,B402/4,B395+B403/4)</f>
        <v>0</v>
      </c>
      <c r="C409" s="133">
        <f>sumif(G402:M402,"Pending",G409:M409)</f>
        <v>0</v>
      </c>
      <c r="D409" s="133">
        <f>sumif(G402:M402,"Paid",G409:M409)</f>
        <v>0</v>
      </c>
      <c r="E409" s="32" t="s">
        <v>79</v>
      </c>
      <c r="F409" s="69">
        <v>1529.77</v>
      </c>
      <c r="G409" s="148">
        <f t="shared" si="127"/>
        <v>0</v>
      </c>
      <c r="H409" s="147">
        <f t="shared" si="128"/>
        <v>0</v>
      </c>
      <c r="I409" s="147">
        <f t="shared" si="129"/>
        <v>0</v>
      </c>
      <c r="J409" s="147">
        <v>0.0</v>
      </c>
      <c r="K409" s="147">
        <v>0.0</v>
      </c>
      <c r="L409" s="147">
        <v>0.0</v>
      </c>
      <c r="M409" s="147">
        <v>0.0</v>
      </c>
    </row>
    <row r="410" hidden="1">
      <c r="A410" s="53">
        <f t="shared" si="126"/>
        <v>0</v>
      </c>
      <c r="B410" s="69">
        <v>0.0</v>
      </c>
      <c r="C410" s="133">
        <f>sumif(G402:M402,"Pending",G410:M410)</f>
        <v>0</v>
      </c>
      <c r="D410" s="133">
        <f>sumif(G402:M402,"Paid",G410:M410)</f>
        <v>0</v>
      </c>
      <c r="E410" s="33" t="s">
        <v>91</v>
      </c>
      <c r="F410" s="90">
        <f>sum(G410:M410)+B410</f>
        <v>0</v>
      </c>
      <c r="G410" s="148">
        <f t="shared" si="127"/>
        <v>0</v>
      </c>
      <c r="H410" s="147">
        <f t="shared" si="128"/>
        <v>0</v>
      </c>
      <c r="I410" s="147">
        <f t="shared" si="129"/>
        <v>0</v>
      </c>
      <c r="J410" s="147">
        <v>0.0</v>
      </c>
      <c r="K410" s="147">
        <v>0.0</v>
      </c>
      <c r="L410" s="147">
        <v>0.0</v>
      </c>
      <c r="M410" s="147">
        <v>0.0</v>
      </c>
    </row>
    <row r="411" hidden="1">
      <c r="A411" s="24"/>
      <c r="B411" s="24"/>
      <c r="C411" s="24"/>
      <c r="D411" s="24"/>
      <c r="E411" s="24"/>
      <c r="F411" s="25"/>
      <c r="G411" s="25"/>
      <c r="H411" s="24"/>
      <c r="I411" s="25"/>
      <c r="J411" s="25"/>
      <c r="K411" s="25"/>
      <c r="L411" s="25"/>
      <c r="M411" s="24"/>
    </row>
    <row r="412" hidden="1">
      <c r="A412" s="71">
        <v>45901.0</v>
      </c>
      <c r="B412" s="24"/>
      <c r="C412" s="24"/>
      <c r="D412" s="25" t="s">
        <v>108</v>
      </c>
      <c r="E412" s="74">
        <f>A415-A404</f>
        <v>-55370.61</v>
      </c>
      <c r="F412" s="25" t="s">
        <v>64</v>
      </c>
      <c r="G412" s="136" t="s">
        <v>109</v>
      </c>
      <c r="H412" s="137" t="s">
        <v>110</v>
      </c>
      <c r="I412" s="137" t="s">
        <v>111</v>
      </c>
      <c r="J412" s="137" t="s">
        <v>112</v>
      </c>
      <c r="K412" s="137" t="s">
        <v>113</v>
      </c>
      <c r="L412" s="137" t="s">
        <v>114</v>
      </c>
      <c r="M412" s="137" t="s">
        <v>65</v>
      </c>
    </row>
    <row r="413" hidden="1">
      <c r="A413" s="25" t="s">
        <v>95</v>
      </c>
      <c r="B413" s="72">
        <f>Projections!AF15</f>
        <v>198604.2946</v>
      </c>
      <c r="C413" s="138">
        <f>A412</f>
        <v>45901</v>
      </c>
      <c r="D413" s="98" t="s">
        <v>115</v>
      </c>
      <c r="E413" s="57">
        <f>Projections!AF14</f>
        <v>265624.2446</v>
      </c>
      <c r="F413" s="73" t="s">
        <v>67</v>
      </c>
      <c r="G413" s="139" t="s">
        <v>67</v>
      </c>
      <c r="H413" s="139" t="s">
        <v>67</v>
      </c>
      <c r="I413" s="137" t="s">
        <v>67</v>
      </c>
      <c r="J413" s="137" t="s">
        <v>67</v>
      </c>
      <c r="K413" s="137" t="s">
        <v>67</v>
      </c>
      <c r="L413" s="137" t="s">
        <v>67</v>
      </c>
      <c r="M413" s="137" t="s">
        <v>67</v>
      </c>
    </row>
    <row r="414" hidden="1">
      <c r="A414" s="25" t="s">
        <v>69</v>
      </c>
      <c r="B414" s="119">
        <v>0.0</v>
      </c>
      <c r="C414" s="138">
        <f>EOMONTH(C413,0)</f>
        <v>45930</v>
      </c>
      <c r="D414" s="25" t="s">
        <v>116</v>
      </c>
      <c r="E414" s="74">
        <f>if(today()&gt;C414,0,B413*12/365/4)</f>
        <v>0</v>
      </c>
      <c r="F414" s="25" t="s">
        <v>70</v>
      </c>
      <c r="G414" s="140" t="s">
        <v>117</v>
      </c>
      <c r="H414" s="137" t="s">
        <v>117</v>
      </c>
      <c r="I414" s="137" t="s">
        <v>118</v>
      </c>
      <c r="J414" s="137" t="s">
        <v>118</v>
      </c>
      <c r="K414" s="137" t="s">
        <v>118</v>
      </c>
      <c r="L414" s="137" t="s">
        <v>119</v>
      </c>
      <c r="M414" s="137" t="s">
        <v>119</v>
      </c>
    </row>
    <row r="415" hidden="1">
      <c r="A415" s="54">
        <f>F415-C415-B415</f>
        <v>11649.34</v>
      </c>
      <c r="B415" s="90">
        <f t="shared" ref="B415:D415" si="130">sum(B417:B421)</f>
        <v>0</v>
      </c>
      <c r="C415" s="141">
        <f t="shared" si="130"/>
        <v>0</v>
      </c>
      <c r="D415" s="142">
        <f t="shared" si="130"/>
        <v>0</v>
      </c>
      <c r="E415" s="59"/>
      <c r="F415" s="63">
        <f>sum(F417:F421)</f>
        <v>11649.34</v>
      </c>
      <c r="G415" s="136" t="s">
        <v>120</v>
      </c>
      <c r="H415" s="137" t="s">
        <v>121</v>
      </c>
      <c r="I415" s="137" t="s">
        <v>111</v>
      </c>
      <c r="J415" s="137" t="s">
        <v>112</v>
      </c>
      <c r="K415" s="137" t="s">
        <v>113</v>
      </c>
      <c r="L415" s="137" t="s">
        <v>114</v>
      </c>
      <c r="M415" s="137" t="s">
        <v>65</v>
      </c>
    </row>
    <row r="416" hidden="1">
      <c r="A416" s="32" t="s">
        <v>72</v>
      </c>
      <c r="B416" s="122" t="s">
        <v>84</v>
      </c>
      <c r="C416" s="143" t="s">
        <v>67</v>
      </c>
      <c r="D416" s="143" t="s">
        <v>68</v>
      </c>
      <c r="E416" s="34">
        <f>today()</f>
        <v>45969</v>
      </c>
      <c r="F416" s="35" t="s">
        <v>64</v>
      </c>
      <c r="G416" s="144" t="s">
        <v>107</v>
      </c>
      <c r="H416" s="144" t="s">
        <v>107</v>
      </c>
      <c r="I416" s="145" t="str">
        <f>I405</f>
        <v>STR Residency</v>
      </c>
      <c r="J416" s="145" t="s">
        <v>112</v>
      </c>
      <c r="K416" s="145" t="s">
        <v>113</v>
      </c>
      <c r="L416" s="145" t="s">
        <v>114</v>
      </c>
      <c r="M416" s="145" t="s">
        <v>65</v>
      </c>
    </row>
    <row r="417" hidden="1">
      <c r="A417" s="53">
        <f t="shared" ref="A417:A421" si="131">F417-C417-B417</f>
        <v>2014.65</v>
      </c>
      <c r="B417" s="69">
        <f>if(B406+B414/4&gt;B413/4,B413/4,B406+B414/4)</f>
        <v>0</v>
      </c>
      <c r="C417" s="133">
        <f>sumif(G413:M413,"Pending",G417:M417)</f>
        <v>0</v>
      </c>
      <c r="D417" s="133">
        <f>sumif(G413:M413,"Paid",G417:M417)</f>
        <v>0</v>
      </c>
      <c r="E417" s="32" t="s">
        <v>76</v>
      </c>
      <c r="F417" s="66">
        <v>2014.65</v>
      </c>
      <c r="G417" s="146">
        <f>sumif('Bills - CC EMIs'!D:D,A412,'Bills - CC EMIs'!E:E)+SUMIF('Bills - CC EMIs'!D:D,A412,'Bills - CC EMIs'!F:F)+sumif('Bills - CC EMIs'!D:D,A412,'Bills - CC EMIs'!G:G)</f>
        <v>0</v>
      </c>
      <c r="H417" s="146">
        <f>SUMIFS('Bills - Loans'!F:F,'Bills - Loans'!D:D,A412)</f>
        <v>0</v>
      </c>
      <c r="I417" s="147">
        <v>0.0</v>
      </c>
      <c r="J417" s="137">
        <f>sumif('Bills - Responsibilities'!D:D,A412,'Bills - Responsibilities'!E:E)</f>
        <v>0</v>
      </c>
      <c r="K417" s="147">
        <v>0.0</v>
      </c>
      <c r="L417" s="147">
        <f>sumif('Bills - Returns'!C:C,A412,'Bills - Returns'!D:D)</f>
        <v>0</v>
      </c>
      <c r="M417" s="147">
        <f>sumif('Bills - Investments'!C:C,A412,'Bills - Investments'!D:D)</f>
        <v>0</v>
      </c>
    </row>
    <row r="418" hidden="1">
      <c r="A418" s="53">
        <f t="shared" si="131"/>
        <v>9585.62</v>
      </c>
      <c r="B418" s="69">
        <f>if(B406+B414/4&gt;B413/4,B413/4,B406+B414/4)</f>
        <v>0</v>
      </c>
      <c r="C418" s="133">
        <f>sumif(G413:M413,"Pending",G418:M418)</f>
        <v>0</v>
      </c>
      <c r="D418" s="133">
        <f>sumif(G413:M413,"Paid",G418:M418)</f>
        <v>0</v>
      </c>
      <c r="E418" s="32" t="s">
        <v>77</v>
      </c>
      <c r="F418" s="69">
        <v>9585.62</v>
      </c>
      <c r="G418" s="148">
        <f>sumif('Bills - CC EMIs'!D:D,A412,'Bills - CC EMIs'!H:H)</f>
        <v>0</v>
      </c>
      <c r="H418" s="147">
        <f>SUMIFS('Bills - Loans'!E:E,'Bills - Loans'!D:D,A412)</f>
        <v>0</v>
      </c>
      <c r="I418" s="137">
        <f>sumif('Bills - STR Residency'!D:D,A412,'Bills - STR Residency'!E:E)</f>
        <v>0</v>
      </c>
      <c r="J418" s="147">
        <v>0.0</v>
      </c>
      <c r="K418" s="147">
        <f>sumif('Bills - Utilities'!C:C,A412,'Bills - Utilities'!B:B)</f>
        <v>0</v>
      </c>
      <c r="L418" s="147">
        <f>sumif('Bills - Utilities'!D:D,B412,'Bills - Utilities'!C:C)</f>
        <v>0</v>
      </c>
      <c r="M418" s="147">
        <f>sumif('Bills - Investments'!C:C,A412,'Bills - Investments'!E:E)</f>
        <v>0</v>
      </c>
    </row>
    <row r="419" hidden="1">
      <c r="A419" s="53">
        <f t="shared" si="131"/>
        <v>9.77</v>
      </c>
      <c r="B419" s="69">
        <f>if(B406+B414/4&gt;B413/4,B413/4,B406+B414/4)</f>
        <v>0</v>
      </c>
      <c r="C419" s="133">
        <f>sumif(G413:M413,"Pending",G419:M419)</f>
        <v>0</v>
      </c>
      <c r="D419" s="133">
        <f>sumif(G413:M413,"Paid",G419:M419)</f>
        <v>0</v>
      </c>
      <c r="E419" s="32" t="s">
        <v>81</v>
      </c>
      <c r="F419" s="69">
        <v>9.77</v>
      </c>
      <c r="G419" s="148">
        <f t="shared" ref="G419:G421" si="132">(G408+G397+G386)/3</f>
        <v>0</v>
      </c>
      <c r="H419" s="147">
        <f t="shared" ref="H419:H421" si="133">(H408+H397)/2</f>
        <v>0</v>
      </c>
      <c r="I419" s="147">
        <f t="shared" ref="I419:I421" si="134">I408</f>
        <v>0</v>
      </c>
      <c r="J419" s="147">
        <v>0.0</v>
      </c>
      <c r="K419" s="147">
        <v>0.0</v>
      </c>
      <c r="L419" s="147">
        <v>0.0</v>
      </c>
      <c r="M419" s="147">
        <v>0.0</v>
      </c>
    </row>
    <row r="420" hidden="1">
      <c r="A420" s="53">
        <f t="shared" si="131"/>
        <v>39.3</v>
      </c>
      <c r="B420" s="69">
        <f>if(B406+B414/4&gt;B413/4,B413/4,B406+B414/4)</f>
        <v>0</v>
      </c>
      <c r="C420" s="133">
        <f>sumif(G413:M413,"Pending",G420:M420)</f>
        <v>0</v>
      </c>
      <c r="D420" s="133">
        <f>sumif(G413:M413,"Paid",G420:M420)</f>
        <v>0</v>
      </c>
      <c r="E420" s="32" t="s">
        <v>79</v>
      </c>
      <c r="F420" s="69">
        <v>39.3</v>
      </c>
      <c r="G420" s="148">
        <f t="shared" si="132"/>
        <v>0</v>
      </c>
      <c r="H420" s="147">
        <f t="shared" si="133"/>
        <v>0</v>
      </c>
      <c r="I420" s="147">
        <f t="shared" si="134"/>
        <v>0</v>
      </c>
      <c r="J420" s="147">
        <v>0.0</v>
      </c>
      <c r="K420" s="147">
        <v>0.0</v>
      </c>
      <c r="L420" s="147">
        <v>0.0</v>
      </c>
      <c r="M420" s="147">
        <v>0.0</v>
      </c>
    </row>
    <row r="421" hidden="1">
      <c r="A421" s="53">
        <f t="shared" si="131"/>
        <v>0</v>
      </c>
      <c r="B421" s="69">
        <v>0.0</v>
      </c>
      <c r="C421" s="133">
        <f>sumif(G413:M413,"Pending",G421:M421)</f>
        <v>0</v>
      </c>
      <c r="D421" s="133">
        <f>sumif(G413:M413,"Paid",G421:M421)</f>
        <v>0</v>
      </c>
      <c r="E421" s="33" t="s">
        <v>91</v>
      </c>
      <c r="F421" s="90">
        <f>sum(G421:M421)+B421</f>
        <v>0</v>
      </c>
      <c r="G421" s="148">
        <f t="shared" si="132"/>
        <v>0</v>
      </c>
      <c r="H421" s="147">
        <f t="shared" si="133"/>
        <v>0</v>
      </c>
      <c r="I421" s="147">
        <f t="shared" si="134"/>
        <v>0</v>
      </c>
      <c r="J421" s="147">
        <v>0.0</v>
      </c>
      <c r="K421" s="147">
        <v>0.0</v>
      </c>
      <c r="L421" s="147">
        <v>0.0</v>
      </c>
      <c r="M421" s="147">
        <v>0.0</v>
      </c>
    </row>
    <row r="422" hidden="1">
      <c r="A422" s="24"/>
      <c r="B422" s="24"/>
      <c r="C422" s="24"/>
      <c r="D422" s="24"/>
      <c r="E422" s="24"/>
      <c r="F422" s="25"/>
      <c r="G422" s="25"/>
      <c r="H422" s="24"/>
      <c r="I422" s="25"/>
      <c r="J422" s="25"/>
      <c r="K422" s="25"/>
      <c r="L422" s="25"/>
      <c r="M422" s="24"/>
    </row>
    <row r="423" hidden="1">
      <c r="A423" s="71">
        <v>45931.0</v>
      </c>
      <c r="B423" s="24"/>
      <c r="C423" s="24"/>
      <c r="D423" s="25" t="s">
        <v>108</v>
      </c>
      <c r="E423" s="74">
        <f>A426-A415</f>
        <v>1464.51</v>
      </c>
      <c r="F423" s="25" t="s">
        <v>64</v>
      </c>
      <c r="G423" s="136" t="s">
        <v>109</v>
      </c>
      <c r="H423" s="137" t="s">
        <v>110</v>
      </c>
      <c r="I423" s="137" t="s">
        <v>111</v>
      </c>
      <c r="J423" s="137" t="s">
        <v>112</v>
      </c>
      <c r="K423" s="137" t="s">
        <v>113</v>
      </c>
      <c r="L423" s="137" t="s">
        <v>114</v>
      </c>
      <c r="M423" s="137" t="s">
        <v>65</v>
      </c>
    </row>
    <row r="424" hidden="1">
      <c r="A424" s="25" t="s">
        <v>95</v>
      </c>
      <c r="B424" s="72">
        <f>Projections!AG15</f>
        <v>198642.029</v>
      </c>
      <c r="C424" s="138">
        <f>A423</f>
        <v>45931</v>
      </c>
      <c r="D424" s="98" t="s">
        <v>115</v>
      </c>
      <c r="E424" s="57">
        <f>Projections!AG14</f>
        <v>210291.369</v>
      </c>
      <c r="F424" s="73" t="s">
        <v>67</v>
      </c>
      <c r="G424" s="139" t="s">
        <v>67</v>
      </c>
      <c r="H424" s="139" t="s">
        <v>67</v>
      </c>
      <c r="I424" s="137" t="s">
        <v>67</v>
      </c>
      <c r="J424" s="137" t="s">
        <v>67</v>
      </c>
      <c r="K424" s="137" t="s">
        <v>67</v>
      </c>
      <c r="L424" s="137" t="s">
        <v>67</v>
      </c>
      <c r="M424" s="137" t="s">
        <v>67</v>
      </c>
    </row>
    <row r="425" hidden="1">
      <c r="A425" s="25" t="s">
        <v>69</v>
      </c>
      <c r="B425" s="119">
        <v>0.0</v>
      </c>
      <c r="C425" s="138">
        <f>EOMONTH(C424,0)</f>
        <v>45961</v>
      </c>
      <c r="D425" s="25" t="s">
        <v>116</v>
      </c>
      <c r="E425" s="74">
        <f>if(today()&gt;C425,0,B424*12/365/5)</f>
        <v>0</v>
      </c>
      <c r="F425" s="25" t="s">
        <v>70</v>
      </c>
      <c r="G425" s="140" t="s">
        <v>117</v>
      </c>
      <c r="H425" s="137" t="s">
        <v>117</v>
      </c>
      <c r="I425" s="137" t="s">
        <v>118</v>
      </c>
      <c r="J425" s="137" t="s">
        <v>118</v>
      </c>
      <c r="K425" s="137" t="s">
        <v>118</v>
      </c>
      <c r="L425" s="137" t="s">
        <v>119</v>
      </c>
      <c r="M425" s="137" t="s">
        <v>119</v>
      </c>
    </row>
    <row r="426" hidden="1">
      <c r="A426" s="54">
        <f>F426-C426-B426</f>
        <v>13113.85</v>
      </c>
      <c r="B426" s="90">
        <f t="shared" ref="B426:D426" si="135">sum(B428:B432)</f>
        <v>13000</v>
      </c>
      <c r="C426" s="141">
        <f t="shared" si="135"/>
        <v>0</v>
      </c>
      <c r="D426" s="142">
        <f t="shared" si="135"/>
        <v>0</v>
      </c>
      <c r="E426" s="59"/>
      <c r="F426" s="63">
        <f>sum(F428:F432)</f>
        <v>26113.85</v>
      </c>
      <c r="G426" s="136" t="s">
        <v>120</v>
      </c>
      <c r="H426" s="137" t="s">
        <v>121</v>
      </c>
      <c r="I426" s="137" t="s">
        <v>111</v>
      </c>
      <c r="J426" s="137" t="s">
        <v>112</v>
      </c>
      <c r="K426" s="137" t="s">
        <v>113</v>
      </c>
      <c r="L426" s="137" t="s">
        <v>114</v>
      </c>
      <c r="M426" s="137" t="s">
        <v>65</v>
      </c>
    </row>
    <row r="427" hidden="1">
      <c r="A427" s="32" t="s">
        <v>72</v>
      </c>
      <c r="B427" s="122" t="s">
        <v>84</v>
      </c>
      <c r="C427" s="143" t="s">
        <v>67</v>
      </c>
      <c r="D427" s="143" t="s">
        <v>122</v>
      </c>
      <c r="E427" s="34">
        <f>today()</f>
        <v>45969</v>
      </c>
      <c r="F427" s="35" t="s">
        <v>64</v>
      </c>
      <c r="G427" s="144" t="s">
        <v>107</v>
      </c>
      <c r="H427" s="144" t="s">
        <v>107</v>
      </c>
      <c r="I427" s="145" t="str">
        <f>I416</f>
        <v>STR Residency</v>
      </c>
      <c r="J427" s="145" t="s">
        <v>112</v>
      </c>
      <c r="K427" s="145" t="s">
        <v>113</v>
      </c>
      <c r="L427" s="145" t="s">
        <v>114</v>
      </c>
      <c r="M427" s="145" t="s">
        <v>65</v>
      </c>
    </row>
    <row r="428" hidden="1">
      <c r="A428" s="53">
        <f t="shared" ref="A428:A432" si="136">F428-C428-B428</f>
        <v>39</v>
      </c>
      <c r="B428" s="69">
        <f>if(B417+B425/4&gt;B424/4,B424/4,B417+B425/4)</f>
        <v>0</v>
      </c>
      <c r="C428" s="133">
        <f>sumif(G424:M424,"Pending",G428:M428)</f>
        <v>0</v>
      </c>
      <c r="D428" s="133">
        <f t="shared" ref="D428:D432" si="137">M428</f>
        <v>0</v>
      </c>
      <c r="E428" s="32" t="s">
        <v>76</v>
      </c>
      <c r="F428" s="66">
        <v>39.0</v>
      </c>
      <c r="G428" s="146">
        <f>sumif('Bills - CC EMIs'!D:D,A423,'Bills - CC EMIs'!E:E)+SUMIF('Bills - CC EMIs'!D:D,A423,'Bills - CC EMIs'!F:F)+sumif('Bills - CC EMIs'!D:D,A423,'Bills - CC EMIs'!G:G)</f>
        <v>0</v>
      </c>
      <c r="H428" s="146">
        <f>SUMIFS('Bills - Loans'!F:F,'Bills - Loans'!D:D,A423)</f>
        <v>0</v>
      </c>
      <c r="I428" s="147">
        <v>0.0</v>
      </c>
      <c r="J428" s="137">
        <f>sumif('Bills - Responsibilities'!D:D,A423,'Bills - Responsibilities'!E:E)</f>
        <v>0</v>
      </c>
      <c r="K428" s="147">
        <v>0.0</v>
      </c>
      <c r="L428" s="147">
        <f>sumif('Bills - Returns'!C:C,A423,'Bills - Returns'!D:D)</f>
        <v>0</v>
      </c>
      <c r="M428" s="147">
        <f>sumif('Bills - Investments'!C:C,A423,'Bills - Investments'!D:D)</f>
        <v>0</v>
      </c>
    </row>
    <row r="429" hidden="1">
      <c r="A429" s="53">
        <f t="shared" si="136"/>
        <v>7274.55</v>
      </c>
      <c r="B429" s="69">
        <f>if(B417+B425/4&gt;B424/4,B424/4,B417+B425/4)</f>
        <v>0</v>
      </c>
      <c r="C429" s="133">
        <f>sumif(G424:M424,"Pending",G429:M429)</f>
        <v>0</v>
      </c>
      <c r="D429" s="133">
        <f t="shared" si="137"/>
        <v>0</v>
      </c>
      <c r="E429" s="32" t="s">
        <v>77</v>
      </c>
      <c r="F429" s="69">
        <v>7274.55</v>
      </c>
      <c r="G429" s="148">
        <f>sumif('Bills - CC EMIs'!D:D,A423,'Bills - CC EMIs'!H:H)</f>
        <v>0</v>
      </c>
      <c r="H429" s="147">
        <f>SUMIFS('Bills - Loans'!E:E,'Bills - Loans'!D:D,A423)</f>
        <v>0</v>
      </c>
      <c r="I429" s="137">
        <f>sumif('Bills - STR Residency'!D:D,A423,'Bills - STR Residency'!E:E)</f>
        <v>0</v>
      </c>
      <c r="J429" s="147">
        <v>0.0</v>
      </c>
      <c r="K429" s="147">
        <f>sumif('Bills - Utilities'!C:C,A423,'Bills - Utilities'!B:B)</f>
        <v>0</v>
      </c>
      <c r="L429" s="147">
        <f>sumif('Bills - Utilities'!D:D,B423,'Bills - Utilities'!C:C)</f>
        <v>0</v>
      </c>
      <c r="M429" s="147">
        <f>sumif('Bills - Investments'!C:C,A423,'Bills - Investments'!E:E)</f>
        <v>0</v>
      </c>
    </row>
    <row r="430" hidden="1">
      <c r="A430" s="53">
        <f t="shared" si="136"/>
        <v>0.3</v>
      </c>
      <c r="B430" s="69">
        <v>3000.0</v>
      </c>
      <c r="C430" s="133">
        <f>sumif(G424:M424,"Pending",G430:M430)</f>
        <v>0</v>
      </c>
      <c r="D430" s="133">
        <f t="shared" si="137"/>
        <v>0</v>
      </c>
      <c r="E430" s="32" t="s">
        <v>81</v>
      </c>
      <c r="F430" s="69">
        <f>47.3+2953</f>
        <v>3000.3</v>
      </c>
      <c r="G430" s="148">
        <f t="shared" ref="G430:G432" si="138">(G419+G408+G397)/3</f>
        <v>0</v>
      </c>
      <c r="H430" s="147">
        <f t="shared" ref="H430:H432" si="139">(H419+H408)/2</f>
        <v>0</v>
      </c>
      <c r="I430" s="147">
        <f t="shared" ref="I430:I432" si="140">I419</f>
        <v>0</v>
      </c>
      <c r="J430" s="147">
        <v>0.0</v>
      </c>
      <c r="K430" s="147">
        <v>0.0</v>
      </c>
      <c r="L430" s="147">
        <v>0.0</v>
      </c>
      <c r="M430" s="147">
        <v>0.0</v>
      </c>
    </row>
    <row r="431" hidden="1">
      <c r="A431" s="53">
        <f t="shared" si="136"/>
        <v>-7200</v>
      </c>
      <c r="B431" s="69">
        <v>10000.0</v>
      </c>
      <c r="C431" s="133">
        <f>sumif(G424:M424,"Pending",G431:M431)</f>
        <v>0</v>
      </c>
      <c r="D431" s="133">
        <f t="shared" si="137"/>
        <v>0</v>
      </c>
      <c r="E431" s="32" t="s">
        <v>79</v>
      </c>
      <c r="F431" s="69">
        <v>2800.0</v>
      </c>
      <c r="G431" s="148">
        <f t="shared" si="138"/>
        <v>0</v>
      </c>
      <c r="H431" s="147">
        <f t="shared" si="139"/>
        <v>0</v>
      </c>
      <c r="I431" s="147">
        <f t="shared" si="140"/>
        <v>0</v>
      </c>
      <c r="J431" s="147">
        <v>0.0</v>
      </c>
      <c r="K431" s="147">
        <v>0.0</v>
      </c>
      <c r="L431" s="147">
        <v>0.0</v>
      </c>
      <c r="M431" s="147">
        <v>0.0</v>
      </c>
    </row>
    <row r="432" hidden="1">
      <c r="A432" s="53">
        <f t="shared" si="136"/>
        <v>13000</v>
      </c>
      <c r="B432" s="69">
        <v>0.0</v>
      </c>
      <c r="C432" s="133">
        <f>sumif(G424:M424,"Pending",G432:M432)</f>
        <v>0</v>
      </c>
      <c r="D432" s="133">
        <f t="shared" si="137"/>
        <v>0</v>
      </c>
      <c r="E432" s="33" t="s">
        <v>91</v>
      </c>
      <c r="F432" s="69">
        <v>13000.0</v>
      </c>
      <c r="G432" s="148">
        <f t="shared" si="138"/>
        <v>0</v>
      </c>
      <c r="H432" s="147">
        <f t="shared" si="139"/>
        <v>0</v>
      </c>
      <c r="I432" s="147">
        <f t="shared" si="140"/>
        <v>0</v>
      </c>
      <c r="J432" s="147">
        <v>0.0</v>
      </c>
      <c r="K432" s="147">
        <v>0.0</v>
      </c>
      <c r="L432" s="147">
        <v>0.0</v>
      </c>
      <c r="M432" s="147">
        <v>0.0</v>
      </c>
    </row>
    <row r="433">
      <c r="A433" s="24"/>
      <c r="B433" s="24"/>
      <c r="C433" s="24"/>
      <c r="D433" s="24"/>
      <c r="E433" s="24"/>
      <c r="F433" s="25"/>
      <c r="G433" s="25"/>
      <c r="H433" s="24"/>
      <c r="I433" s="25"/>
      <c r="J433" s="25"/>
      <c r="K433" s="25"/>
      <c r="L433" s="25"/>
      <c r="M433" s="24"/>
    </row>
    <row r="434">
      <c r="A434" s="71">
        <v>45962.0</v>
      </c>
      <c r="B434" s="24"/>
      <c r="C434" s="24"/>
      <c r="D434" s="25" t="s">
        <v>108</v>
      </c>
      <c r="E434" s="74">
        <f>A437-A426</f>
        <v>17927.15</v>
      </c>
      <c r="F434" s="25" t="s">
        <v>64</v>
      </c>
      <c r="G434" s="136" t="s">
        <v>109</v>
      </c>
      <c r="H434" s="137" t="s">
        <v>110</v>
      </c>
      <c r="I434" s="137" t="s">
        <v>111</v>
      </c>
      <c r="J434" s="137" t="s">
        <v>112</v>
      </c>
      <c r="K434" s="137" t="s">
        <v>113</v>
      </c>
      <c r="L434" s="137" t="s">
        <v>114</v>
      </c>
      <c r="M434" s="137" t="s">
        <v>65</v>
      </c>
    </row>
    <row r="435">
      <c r="A435" s="25" t="s">
        <v>95</v>
      </c>
      <c r="B435" s="72">
        <f>Projections!AH15</f>
        <v>190288</v>
      </c>
      <c r="C435" s="138">
        <f>A434</f>
        <v>45962</v>
      </c>
      <c r="D435" s="98" t="s">
        <v>115</v>
      </c>
      <c r="E435" s="57">
        <f>Projections!AH14</f>
        <v>216401.85</v>
      </c>
      <c r="F435" s="73" t="s">
        <v>67</v>
      </c>
      <c r="G435" s="139" t="s">
        <v>67</v>
      </c>
      <c r="H435" s="139" t="s">
        <v>67</v>
      </c>
      <c r="I435" s="137" t="s">
        <v>67</v>
      </c>
      <c r="J435" s="137" t="s">
        <v>67</v>
      </c>
      <c r="K435" s="137" t="s">
        <v>67</v>
      </c>
      <c r="L435" s="137" t="s">
        <v>67</v>
      </c>
      <c r="M435" s="137" t="s">
        <v>67</v>
      </c>
    </row>
    <row r="436">
      <c r="A436" s="25" t="s">
        <v>69</v>
      </c>
      <c r="B436" s="119">
        <v>2500.0</v>
      </c>
      <c r="C436" s="138">
        <f>EOMONTH(C435,0)</f>
        <v>45991</v>
      </c>
      <c r="D436" s="25" t="s">
        <v>116</v>
      </c>
      <c r="E436" s="74">
        <f>if(today()&gt;C436,0,B435*12/365/5)</f>
        <v>1251.208767</v>
      </c>
      <c r="F436" s="25" t="s">
        <v>70</v>
      </c>
      <c r="G436" s="140" t="s">
        <v>117</v>
      </c>
      <c r="H436" s="137" t="s">
        <v>117</v>
      </c>
      <c r="I436" s="137" t="s">
        <v>118</v>
      </c>
      <c r="J436" s="137" t="s">
        <v>118</v>
      </c>
      <c r="K436" s="137" t="s">
        <v>118</v>
      </c>
      <c r="L436" s="137" t="s">
        <v>119</v>
      </c>
      <c r="M436" s="137" t="s">
        <v>119</v>
      </c>
    </row>
    <row r="437">
      <c r="A437" s="54">
        <f>F437-C437-B437</f>
        <v>31041</v>
      </c>
      <c r="B437" s="90">
        <f t="shared" ref="B437:D437" si="141">sum(B439:B443)</f>
        <v>24500</v>
      </c>
      <c r="C437" s="141">
        <f t="shared" si="141"/>
        <v>14636</v>
      </c>
      <c r="D437" s="142">
        <f t="shared" si="141"/>
        <v>0</v>
      </c>
      <c r="E437" s="59"/>
      <c r="F437" s="63">
        <f>sum(F439:F443)</f>
        <v>70177</v>
      </c>
      <c r="G437" s="136" t="s">
        <v>120</v>
      </c>
      <c r="H437" s="137" t="s">
        <v>121</v>
      </c>
      <c r="I437" s="137" t="s">
        <v>111</v>
      </c>
      <c r="J437" s="137" t="s">
        <v>112</v>
      </c>
      <c r="K437" s="137" t="s">
        <v>113</v>
      </c>
      <c r="L437" s="137" t="s">
        <v>114</v>
      </c>
      <c r="M437" s="137" t="s">
        <v>65</v>
      </c>
    </row>
    <row r="438">
      <c r="A438" s="32" t="s">
        <v>72</v>
      </c>
      <c r="B438" s="122" t="s">
        <v>84</v>
      </c>
      <c r="C438" s="143" t="s">
        <v>67</v>
      </c>
      <c r="D438" s="143" t="s">
        <v>122</v>
      </c>
      <c r="E438" s="34">
        <f>today()</f>
        <v>45969</v>
      </c>
      <c r="F438" s="35" t="s">
        <v>64</v>
      </c>
      <c r="G438" s="144" t="s">
        <v>107</v>
      </c>
      <c r="H438" s="144" t="s">
        <v>107</v>
      </c>
      <c r="I438" s="145" t="str">
        <f>I427</f>
        <v>STR Residency</v>
      </c>
      <c r="J438" s="145" t="s">
        <v>112</v>
      </c>
      <c r="K438" s="145" t="s">
        <v>113</v>
      </c>
      <c r="L438" s="145" t="s">
        <v>114</v>
      </c>
      <c r="M438" s="145" t="s">
        <v>65</v>
      </c>
    </row>
    <row r="439">
      <c r="A439" s="53">
        <f t="shared" ref="A439:A443" si="142">F439-C439-B439</f>
        <v>1875.91</v>
      </c>
      <c r="B439" s="69">
        <f>3000+B436/5</f>
        <v>3500</v>
      </c>
      <c r="C439" s="133">
        <f>sumif(G435:M435,"Pending",G439:M439)</f>
        <v>0</v>
      </c>
      <c r="D439" s="133">
        <f t="shared" ref="D439:D443" si="143">D428+M439</f>
        <v>0</v>
      </c>
      <c r="E439" s="32" t="s">
        <v>76</v>
      </c>
      <c r="F439" s="66">
        <v>5375.91</v>
      </c>
      <c r="G439" s="146">
        <f>sumif('Bills - CC EMIs'!D:D,A434,'Bills - CC EMIs'!E:E)+SUMIF('Bills - CC EMIs'!D:D,A434,'Bills - CC EMIs'!F:F)+sumif('Bills - CC EMIs'!D:D,A434,'Bills - CC EMIs'!G:G)</f>
        <v>0</v>
      </c>
      <c r="H439" s="146">
        <f>SUMIFS('Bills - Loans'!F:F,'Bills - Loans'!D:D,A434)</f>
        <v>0</v>
      </c>
      <c r="I439" s="147">
        <v>0.0</v>
      </c>
      <c r="J439" s="137">
        <f>sumif('Bills - Responsibilities'!D:D,A434,'Bills - Responsibilities'!E:E)</f>
        <v>0</v>
      </c>
      <c r="K439" s="147">
        <v>0.0</v>
      </c>
      <c r="L439" s="147">
        <f>sumif('Bills - Returns'!C:C,A434,'Bills - Returns'!D:D)</f>
        <v>0</v>
      </c>
      <c r="M439" s="147">
        <f>sumif('Bills - Investments'!C:C,A434,'Bills - Investments'!D:D)</f>
        <v>0</v>
      </c>
    </row>
    <row r="440">
      <c r="A440" s="53">
        <f t="shared" si="142"/>
        <v>13665.09</v>
      </c>
      <c r="B440" s="69">
        <f>3000+B436/5</f>
        <v>3500</v>
      </c>
      <c r="C440" s="133">
        <f>sumif(G435:M435,"Pending",G440:M440)</f>
        <v>14636</v>
      </c>
      <c r="D440" s="133">
        <f t="shared" si="143"/>
        <v>0</v>
      </c>
      <c r="E440" s="32" t="s">
        <v>77</v>
      </c>
      <c r="F440" s="69">
        <v>31801.09</v>
      </c>
      <c r="G440" s="148">
        <f>sumif('Bills - CC EMIs'!D:D,A434,'Bills - CC EMIs'!H:H)</f>
        <v>0</v>
      </c>
      <c r="H440" s="147">
        <f>SUMIFS('Bills - Loans'!E:E,'Bills - Loans'!D:D,A434)</f>
        <v>12770</v>
      </c>
      <c r="I440" s="137">
        <f>sumif('Bills - STR Residency'!D:D,A434,'Bills - STR Residency'!E:E)</f>
        <v>1348</v>
      </c>
      <c r="J440" s="147">
        <v>0.0</v>
      </c>
      <c r="K440" s="147">
        <f>sumif('Bills - Utilities'!C:C,A434,'Bills - Utilities'!B:B)</f>
        <v>518</v>
      </c>
      <c r="L440" s="147">
        <f>sumif('Bills - Utilities'!D:D,B434,'Bills - Utilities'!C:C)</f>
        <v>0</v>
      </c>
      <c r="M440" s="147">
        <f>sumif('Bills - Investments'!C:C,A434,'Bills - Investments'!E:E)</f>
        <v>0</v>
      </c>
    </row>
    <row r="441">
      <c r="A441" s="53">
        <f t="shared" si="142"/>
        <v>500</v>
      </c>
      <c r="B441" s="69">
        <f>3000+B436/5</f>
        <v>3500</v>
      </c>
      <c r="C441" s="133">
        <f>sumif(G435:M435,"Pending",G441:M441)</f>
        <v>0</v>
      </c>
      <c r="D441" s="133">
        <f t="shared" si="143"/>
        <v>0</v>
      </c>
      <c r="E441" s="32" t="s">
        <v>81</v>
      </c>
      <c r="F441" s="69">
        <v>4000.0</v>
      </c>
      <c r="G441" s="148">
        <f t="shared" ref="G441:G443" si="144">(G430+G419+G408)/3</f>
        <v>0</v>
      </c>
      <c r="H441" s="147">
        <f t="shared" ref="H441:H443" si="145">(H430+H419)/2</f>
        <v>0</v>
      </c>
      <c r="I441" s="147">
        <f t="shared" ref="I441:I443" si="146">I430</f>
        <v>0</v>
      </c>
      <c r="J441" s="147">
        <v>0.0</v>
      </c>
      <c r="K441" s="147">
        <v>0.0</v>
      </c>
      <c r="L441" s="147">
        <v>0.0</v>
      </c>
      <c r="M441" s="147">
        <v>0.0</v>
      </c>
    </row>
    <row r="442">
      <c r="A442" s="53">
        <f t="shared" si="142"/>
        <v>500</v>
      </c>
      <c r="B442" s="69">
        <f>10000+B436/5</f>
        <v>10500</v>
      </c>
      <c r="C442" s="133">
        <f>sumif(G435:M435,"Pending",G442:M442)</f>
        <v>0</v>
      </c>
      <c r="D442" s="133">
        <f t="shared" si="143"/>
        <v>0</v>
      </c>
      <c r="E442" s="32" t="s">
        <v>79</v>
      </c>
      <c r="F442" s="69">
        <v>11000.0</v>
      </c>
      <c r="G442" s="148">
        <f t="shared" si="144"/>
        <v>0</v>
      </c>
      <c r="H442" s="147">
        <f t="shared" si="145"/>
        <v>0</v>
      </c>
      <c r="I442" s="147">
        <f t="shared" si="146"/>
        <v>0</v>
      </c>
      <c r="J442" s="147">
        <v>0.0</v>
      </c>
      <c r="K442" s="147">
        <v>0.0</v>
      </c>
      <c r="L442" s="147">
        <v>0.0</v>
      </c>
      <c r="M442" s="147">
        <v>0.0</v>
      </c>
    </row>
    <row r="443">
      <c r="A443" s="53">
        <f t="shared" si="142"/>
        <v>14500</v>
      </c>
      <c r="B443" s="69">
        <f>3000+B436/5</f>
        <v>3500</v>
      </c>
      <c r="C443" s="133">
        <f>sumif(G435:M435,"Pending",G443:M443)</f>
        <v>0</v>
      </c>
      <c r="D443" s="133">
        <f t="shared" si="143"/>
        <v>0</v>
      </c>
      <c r="E443" s="33" t="s">
        <v>91</v>
      </c>
      <c r="F443" s="69">
        <v>18000.0</v>
      </c>
      <c r="G443" s="148">
        <f t="shared" si="144"/>
        <v>0</v>
      </c>
      <c r="H443" s="147">
        <f t="shared" si="145"/>
        <v>0</v>
      </c>
      <c r="I443" s="147">
        <f t="shared" si="146"/>
        <v>0</v>
      </c>
      <c r="J443" s="147">
        <v>0.0</v>
      </c>
      <c r="K443" s="147">
        <v>0.0</v>
      </c>
      <c r="L443" s="147">
        <v>0.0</v>
      </c>
      <c r="M443" s="147">
        <v>0.0</v>
      </c>
    </row>
    <row r="444">
      <c r="A444" s="24"/>
      <c r="B444" s="24"/>
      <c r="C444" s="24"/>
      <c r="D444" s="24"/>
      <c r="E444" s="24"/>
      <c r="F444" s="25"/>
      <c r="G444" s="25"/>
      <c r="H444" s="24"/>
      <c r="I444" s="25"/>
      <c r="J444" s="25"/>
      <c r="K444" s="25"/>
      <c r="L444" s="25"/>
      <c r="M444" s="24"/>
    </row>
    <row r="445">
      <c r="A445" s="71">
        <v>45992.0</v>
      </c>
      <c r="B445" s="24"/>
      <c r="C445" s="24"/>
      <c r="D445" s="25" t="s">
        <v>108</v>
      </c>
      <c r="E445" s="74">
        <f>A448-A437</f>
        <v>56239.32</v>
      </c>
      <c r="F445" s="25" t="s">
        <v>64</v>
      </c>
      <c r="G445" s="136" t="s">
        <v>109</v>
      </c>
      <c r="H445" s="137" t="s">
        <v>110</v>
      </c>
      <c r="I445" s="137" t="s">
        <v>111</v>
      </c>
      <c r="J445" s="137" t="s">
        <v>112</v>
      </c>
      <c r="K445" s="137" t="s">
        <v>113</v>
      </c>
      <c r="L445" s="137" t="s">
        <v>114</v>
      </c>
      <c r="M445" s="137" t="s">
        <v>65</v>
      </c>
    </row>
    <row r="446">
      <c r="A446" s="25" t="s">
        <v>95</v>
      </c>
      <c r="B446" s="72">
        <f>Projections!AI15</f>
        <v>166278</v>
      </c>
      <c r="C446" s="138">
        <f>A445</f>
        <v>45992</v>
      </c>
      <c r="D446" s="98" t="s">
        <v>115</v>
      </c>
      <c r="E446" s="57">
        <f>Projections!AI14</f>
        <v>221819</v>
      </c>
      <c r="F446" s="73" t="s">
        <v>67</v>
      </c>
      <c r="G446" s="139" t="s">
        <v>67</v>
      </c>
      <c r="H446" s="139" t="s">
        <v>67</v>
      </c>
      <c r="I446" s="137" t="s">
        <v>67</v>
      </c>
      <c r="J446" s="137" t="s">
        <v>67</v>
      </c>
      <c r="K446" s="137" t="s">
        <v>67</v>
      </c>
      <c r="L446" s="137" t="s">
        <v>67</v>
      </c>
      <c r="M446" s="137" t="s">
        <v>67</v>
      </c>
    </row>
    <row r="447">
      <c r="A447" s="25" t="s">
        <v>69</v>
      </c>
      <c r="B447" s="119">
        <f>if(B436&gt;B446/10,B436,B436+500)</f>
        <v>3000</v>
      </c>
      <c r="C447" s="138">
        <f>EOMONTH(C446,0)</f>
        <v>46022</v>
      </c>
      <c r="D447" s="25" t="s">
        <v>116</v>
      </c>
      <c r="E447" s="74">
        <f>if(today()&gt;C447,0,B446*12/365/5)</f>
        <v>1093.334795</v>
      </c>
      <c r="F447" s="25" t="s">
        <v>70</v>
      </c>
      <c r="G447" s="140" t="s">
        <v>117</v>
      </c>
      <c r="H447" s="137" t="s">
        <v>117</v>
      </c>
      <c r="I447" s="137" t="s">
        <v>118</v>
      </c>
      <c r="J447" s="137" t="s">
        <v>118</v>
      </c>
      <c r="K447" s="137" t="s">
        <v>118</v>
      </c>
      <c r="L447" s="137" t="s">
        <v>119</v>
      </c>
      <c r="M447" s="137" t="s">
        <v>119</v>
      </c>
    </row>
    <row r="448">
      <c r="A448" s="54">
        <f>F448-C448-B448</f>
        <v>87280.32</v>
      </c>
      <c r="B448" s="90">
        <f t="shared" ref="B448:D448" si="147">sum(B450:B454)</f>
        <v>27500</v>
      </c>
      <c r="C448" s="141">
        <f t="shared" si="147"/>
        <v>107038.68</v>
      </c>
      <c r="D448" s="142">
        <f t="shared" si="147"/>
        <v>3500</v>
      </c>
      <c r="E448" s="59"/>
      <c r="F448" s="63">
        <f>sum(F450:F454)</f>
        <v>221819</v>
      </c>
      <c r="G448" s="136" t="s">
        <v>120</v>
      </c>
      <c r="H448" s="137" t="s">
        <v>121</v>
      </c>
      <c r="I448" s="137" t="s">
        <v>111</v>
      </c>
      <c r="J448" s="137" t="s">
        <v>112</v>
      </c>
      <c r="K448" s="137" t="s">
        <v>113</v>
      </c>
      <c r="L448" s="137" t="s">
        <v>114</v>
      </c>
      <c r="M448" s="137" t="s">
        <v>65</v>
      </c>
    </row>
    <row r="449">
      <c r="A449" s="32" t="s">
        <v>72</v>
      </c>
      <c r="B449" s="122" t="s">
        <v>84</v>
      </c>
      <c r="C449" s="143" t="s">
        <v>67</v>
      </c>
      <c r="D449" s="143" t="s">
        <v>122</v>
      </c>
      <c r="E449" s="34">
        <f>today()</f>
        <v>45969</v>
      </c>
      <c r="F449" s="35" t="s">
        <v>64</v>
      </c>
      <c r="G449" s="144" t="s">
        <v>107</v>
      </c>
      <c r="H449" s="144" t="s">
        <v>107</v>
      </c>
      <c r="I449" s="145" t="str">
        <f>I438</f>
        <v>STR Residency</v>
      </c>
      <c r="J449" s="145" t="s">
        <v>112</v>
      </c>
      <c r="K449" s="145" t="s">
        <v>113</v>
      </c>
      <c r="L449" s="145" t="s">
        <v>114</v>
      </c>
      <c r="M449" s="145" t="s">
        <v>65</v>
      </c>
    </row>
    <row r="450">
      <c r="A450" s="53">
        <f t="shared" ref="A450:A454" si="148">F450-C450-B450</f>
        <v>0</v>
      </c>
      <c r="B450" s="69">
        <f>B439+B447/5</f>
        <v>4100</v>
      </c>
      <c r="C450" s="133">
        <f>sumif(G446:M446,"Pending",G450:M450)</f>
        <v>85386.68</v>
      </c>
      <c r="D450" s="133">
        <f t="shared" ref="D450:D454" si="149">D439+M450</f>
        <v>1500</v>
      </c>
      <c r="E450" s="32" t="s">
        <v>76</v>
      </c>
      <c r="F450" s="150">
        <f>sumif(G446:M446,"Pending",G450:M450)+B450</f>
        <v>89486.68</v>
      </c>
      <c r="G450" s="146">
        <f>sumif('Bills - CC EMIs'!D:D,A445,'Bills - CC EMIs'!E:E)+SUMIF('Bills - CC EMIs'!D:D,A445,'Bills - CC EMIs'!F:F)+sumif('Bills - CC EMIs'!D:D,A445,'Bills - CC EMIs'!G:G)</f>
        <v>38519.68</v>
      </c>
      <c r="H450" s="146">
        <f>SUMIFS('Bills - Loans'!F:F,'Bills - Loans'!D:D,A445)</f>
        <v>40367</v>
      </c>
      <c r="I450" s="147">
        <v>0.0</v>
      </c>
      <c r="J450" s="137">
        <f>sumif('Bills - Responsibilities'!D:D,A445,'Bills - Responsibilities'!E:E)</f>
        <v>5000</v>
      </c>
      <c r="K450" s="147">
        <v>0.0</v>
      </c>
      <c r="L450" s="147">
        <f>sumif('Bills - Returns'!C:C,A445,'Bills - Returns'!D:D)</f>
        <v>0</v>
      </c>
      <c r="M450" s="147">
        <f>sumif('Bills - Investments'!C:C,A445,'Bills - Investments'!D:D)</f>
        <v>1500</v>
      </c>
    </row>
    <row r="451">
      <c r="A451" s="53">
        <f t="shared" si="148"/>
        <v>87280.32</v>
      </c>
      <c r="B451" s="69">
        <f>B440+B447/5</f>
        <v>4100</v>
      </c>
      <c r="C451" s="133">
        <f>sumif(G446:M446,"Pending",G451:M451)</f>
        <v>21652</v>
      </c>
      <c r="D451" s="133">
        <f t="shared" si="149"/>
        <v>2000</v>
      </c>
      <c r="E451" s="32" t="s">
        <v>77</v>
      </c>
      <c r="F451" s="90">
        <f>E446-F450-sum(F452:F454)</f>
        <v>113032.32</v>
      </c>
      <c r="G451" s="148">
        <f>sumif('Bills - CC EMIs'!D:D,A445,'Bills - CC EMIs'!H:H)</f>
        <v>0</v>
      </c>
      <c r="H451" s="147">
        <f>SUMIFS('Bills - Loans'!E:E,'Bills - Loans'!D:D,A445)</f>
        <v>15742</v>
      </c>
      <c r="I451" s="137">
        <f>sumif('Bills - STR Residency'!D:D,A445,'Bills - STR Residency'!E:E)</f>
        <v>2871</v>
      </c>
      <c r="J451" s="147">
        <v>0.0</v>
      </c>
      <c r="K451" s="147">
        <f>sumif('Bills - Utilities'!C:C,A445,'Bills - Utilities'!B:B)</f>
        <v>1039</v>
      </c>
      <c r="L451" s="147">
        <f>sumif('Bills - Utilities'!D:D,B445,'Bills - Utilities'!C:C)</f>
        <v>0</v>
      </c>
      <c r="M451" s="147">
        <f>sumif('Bills - Investments'!C:C,A445,'Bills - Investments'!E:E)</f>
        <v>2000</v>
      </c>
    </row>
    <row r="452">
      <c r="A452" s="53">
        <f t="shared" si="148"/>
        <v>0</v>
      </c>
      <c r="B452" s="69">
        <f>B441+B447/5</f>
        <v>4100</v>
      </c>
      <c r="C452" s="133">
        <f>sumif(G446:M446,"Pending",G452:M452)</f>
        <v>0</v>
      </c>
      <c r="D452" s="133">
        <f t="shared" si="149"/>
        <v>0</v>
      </c>
      <c r="E452" s="32" t="s">
        <v>81</v>
      </c>
      <c r="F452" s="90">
        <f t="shared" ref="F452:F454" si="150">sum(G452:M452)+B452</f>
        <v>4100</v>
      </c>
      <c r="G452" s="148">
        <f t="shared" ref="G452:G454" si="151">(G441+G430+G419)/3</f>
        <v>0</v>
      </c>
      <c r="H452" s="147">
        <f t="shared" ref="H452:H454" si="152">(H441+H430)/2</f>
        <v>0</v>
      </c>
      <c r="I452" s="147">
        <f t="shared" ref="I452:I454" si="153">I441</f>
        <v>0</v>
      </c>
      <c r="J452" s="147">
        <v>0.0</v>
      </c>
      <c r="K452" s="147">
        <v>0.0</v>
      </c>
      <c r="L452" s="147">
        <v>0.0</v>
      </c>
      <c r="M452" s="147">
        <v>0.0</v>
      </c>
    </row>
    <row r="453">
      <c r="A453" s="53">
        <f t="shared" si="148"/>
        <v>0</v>
      </c>
      <c r="B453" s="69">
        <f>B442+B447/5</f>
        <v>11100</v>
      </c>
      <c r="C453" s="133">
        <f>sumif(G446:M446,"Pending",G453:M453)</f>
        <v>0</v>
      </c>
      <c r="D453" s="133">
        <f t="shared" si="149"/>
        <v>0</v>
      </c>
      <c r="E453" s="32" t="s">
        <v>79</v>
      </c>
      <c r="F453" s="90">
        <f t="shared" si="150"/>
        <v>11100</v>
      </c>
      <c r="G453" s="148">
        <f t="shared" si="151"/>
        <v>0</v>
      </c>
      <c r="H453" s="147">
        <f t="shared" si="152"/>
        <v>0</v>
      </c>
      <c r="I453" s="147">
        <f t="shared" si="153"/>
        <v>0</v>
      </c>
      <c r="J453" s="147">
        <v>0.0</v>
      </c>
      <c r="K453" s="147">
        <v>0.0</v>
      </c>
      <c r="L453" s="147">
        <v>0.0</v>
      </c>
      <c r="M453" s="147">
        <v>0.0</v>
      </c>
    </row>
    <row r="454">
      <c r="A454" s="53">
        <f t="shared" si="148"/>
        <v>0</v>
      </c>
      <c r="B454" s="69">
        <f>B443+B447/5</f>
        <v>4100</v>
      </c>
      <c r="C454" s="133">
        <f>sumif(G446:M446,"Pending",G454:M454)</f>
        <v>0</v>
      </c>
      <c r="D454" s="133">
        <f t="shared" si="149"/>
        <v>0</v>
      </c>
      <c r="E454" s="33" t="s">
        <v>91</v>
      </c>
      <c r="F454" s="90">
        <f t="shared" si="150"/>
        <v>4100</v>
      </c>
      <c r="G454" s="148">
        <f t="shared" si="151"/>
        <v>0</v>
      </c>
      <c r="H454" s="147">
        <f t="shared" si="152"/>
        <v>0</v>
      </c>
      <c r="I454" s="147">
        <f t="shared" si="153"/>
        <v>0</v>
      </c>
      <c r="J454" s="147">
        <v>0.0</v>
      </c>
      <c r="K454" s="147">
        <v>0.0</v>
      </c>
      <c r="L454" s="147">
        <v>0.0</v>
      </c>
      <c r="M454" s="147">
        <v>0.0</v>
      </c>
    </row>
    <row r="455">
      <c r="A455" s="24"/>
      <c r="B455" s="24"/>
      <c r="C455" s="24"/>
      <c r="D455" s="24"/>
      <c r="E455" s="24"/>
      <c r="F455" s="25"/>
      <c r="G455" s="25"/>
      <c r="H455" s="24"/>
      <c r="I455" s="25"/>
      <c r="J455" s="25"/>
      <c r="K455" s="25"/>
      <c r="L455" s="25"/>
      <c r="M455" s="24"/>
    </row>
    <row r="456">
      <c r="A456" s="71">
        <v>46023.0</v>
      </c>
      <c r="B456" s="24"/>
      <c r="C456" s="24"/>
      <c r="D456" s="25" t="s">
        <v>108</v>
      </c>
      <c r="E456" s="74">
        <f>A459-A448</f>
        <v>54263.32</v>
      </c>
      <c r="F456" s="25" t="s">
        <v>64</v>
      </c>
      <c r="G456" s="136" t="s">
        <v>109</v>
      </c>
      <c r="H456" s="137" t="s">
        <v>110</v>
      </c>
      <c r="I456" s="137" t="s">
        <v>111</v>
      </c>
      <c r="J456" s="137" t="s">
        <v>112</v>
      </c>
      <c r="K456" s="137" t="s">
        <v>113</v>
      </c>
      <c r="L456" s="137" t="s">
        <v>114</v>
      </c>
      <c r="M456" s="137" t="s">
        <v>65</v>
      </c>
    </row>
    <row r="457">
      <c r="A457" s="25" t="s">
        <v>95</v>
      </c>
      <c r="B457" s="72">
        <f>Projections!AJ15</f>
        <v>166278</v>
      </c>
      <c r="C457" s="138">
        <f>A456</f>
        <v>46023</v>
      </c>
      <c r="D457" s="98" t="s">
        <v>115</v>
      </c>
      <c r="E457" s="57">
        <f>Projections!AJ14</f>
        <v>281058.32</v>
      </c>
      <c r="F457" s="73" t="s">
        <v>67</v>
      </c>
      <c r="G457" s="139" t="s">
        <v>67</v>
      </c>
      <c r="H457" s="139" t="s">
        <v>67</v>
      </c>
      <c r="I457" s="137" t="s">
        <v>67</v>
      </c>
      <c r="J457" s="137" t="s">
        <v>67</v>
      </c>
      <c r="K457" s="137" t="s">
        <v>67</v>
      </c>
      <c r="L457" s="137" t="s">
        <v>67</v>
      </c>
      <c r="M457" s="137" t="s">
        <v>67</v>
      </c>
    </row>
    <row r="458">
      <c r="A458" s="25" t="s">
        <v>69</v>
      </c>
      <c r="B458" s="119">
        <f>if(B447&gt;B457/10,B447,B447+500)</f>
        <v>3500</v>
      </c>
      <c r="C458" s="138">
        <f>EOMONTH(C457,0)</f>
        <v>46053</v>
      </c>
      <c r="D458" s="25" t="s">
        <v>116</v>
      </c>
      <c r="E458" s="74">
        <f>if(today()&gt;C458,0,B457*12/365/5)</f>
        <v>1093.334795</v>
      </c>
      <c r="F458" s="25" t="s">
        <v>70</v>
      </c>
      <c r="G458" s="140" t="s">
        <v>117</v>
      </c>
      <c r="H458" s="137" t="s">
        <v>117</v>
      </c>
      <c r="I458" s="137" t="s">
        <v>118</v>
      </c>
      <c r="J458" s="137" t="s">
        <v>118</v>
      </c>
      <c r="K458" s="137" t="s">
        <v>118</v>
      </c>
      <c r="L458" s="137" t="s">
        <v>119</v>
      </c>
      <c r="M458" s="137" t="s">
        <v>119</v>
      </c>
    </row>
    <row r="459">
      <c r="A459" s="54">
        <f>F459-C459-B459</f>
        <v>141543.64</v>
      </c>
      <c r="B459" s="90">
        <f t="shared" ref="B459:D459" si="154">sum(B461:B465)</f>
        <v>31000</v>
      </c>
      <c r="C459" s="141">
        <f t="shared" si="154"/>
        <v>108514.68</v>
      </c>
      <c r="D459" s="142">
        <f t="shared" si="154"/>
        <v>8500</v>
      </c>
      <c r="E459" s="59"/>
      <c r="F459" s="63">
        <f>sum(F461:F465)</f>
        <v>281058.32</v>
      </c>
      <c r="G459" s="136" t="s">
        <v>120</v>
      </c>
      <c r="H459" s="137" t="s">
        <v>121</v>
      </c>
      <c r="I459" s="137" t="s">
        <v>111</v>
      </c>
      <c r="J459" s="137" t="s">
        <v>112</v>
      </c>
      <c r="K459" s="137" t="s">
        <v>113</v>
      </c>
      <c r="L459" s="137" t="s">
        <v>114</v>
      </c>
      <c r="M459" s="137" t="s">
        <v>65</v>
      </c>
    </row>
    <row r="460">
      <c r="A460" s="32" t="s">
        <v>72</v>
      </c>
      <c r="B460" s="122" t="s">
        <v>84</v>
      </c>
      <c r="C460" s="143" t="s">
        <v>67</v>
      </c>
      <c r="D460" s="143" t="s">
        <v>122</v>
      </c>
      <c r="E460" s="34">
        <f>today()</f>
        <v>45969</v>
      </c>
      <c r="F460" s="35" t="s">
        <v>64</v>
      </c>
      <c r="G460" s="144" t="s">
        <v>107</v>
      </c>
      <c r="H460" s="144" t="s">
        <v>107</v>
      </c>
      <c r="I460" s="145" t="str">
        <f>I449</f>
        <v>STR Residency</v>
      </c>
      <c r="J460" s="145" t="s">
        <v>112</v>
      </c>
      <c r="K460" s="145" t="s">
        <v>113</v>
      </c>
      <c r="L460" s="145" t="s">
        <v>114</v>
      </c>
      <c r="M460" s="145" t="s">
        <v>65</v>
      </c>
    </row>
    <row r="461">
      <c r="A461" s="53">
        <f t="shared" ref="A461:A465" si="155">F461-C461-B461</f>
        <v>0</v>
      </c>
      <c r="B461" s="69">
        <f>B450+B458/5</f>
        <v>4800</v>
      </c>
      <c r="C461" s="133">
        <f>sumif(G457:M457,"Pending",G461:M461)</f>
        <v>85886.68</v>
      </c>
      <c r="D461" s="133">
        <f t="shared" ref="D461:D465" si="156">D450+M461</f>
        <v>3500</v>
      </c>
      <c r="E461" s="32" t="s">
        <v>76</v>
      </c>
      <c r="F461" s="150">
        <f>sumif(G457:M457,"Pending",G461:M461)+B461</f>
        <v>90686.68</v>
      </c>
      <c r="G461" s="146">
        <f>sumif('Bills - CC EMIs'!D:D,A456,'Bills - CC EMIs'!E:E)+SUMIF('Bills - CC EMIs'!D:D,A456,'Bills - CC EMIs'!F:F)+sumif('Bills - CC EMIs'!D:D,A456,'Bills - CC EMIs'!G:G)</f>
        <v>38519.68</v>
      </c>
      <c r="H461" s="146">
        <f>SUMIFS('Bills - Loans'!F:F,'Bills - Loans'!D:D,A456)</f>
        <v>40367</v>
      </c>
      <c r="I461" s="147">
        <v>0.0</v>
      </c>
      <c r="J461" s="137">
        <f>sumif('Bills - Responsibilities'!D:D,A456,'Bills - Responsibilities'!E:E)</f>
        <v>5000</v>
      </c>
      <c r="K461" s="147">
        <v>0.0</v>
      </c>
      <c r="L461" s="147">
        <f>sumif('Bills - Returns'!C:C,A456,'Bills - Returns'!D:D)</f>
        <v>0</v>
      </c>
      <c r="M461" s="147">
        <f>sumif('Bills - Investments'!C:C,A456,'Bills - Investments'!D:D)</f>
        <v>2000</v>
      </c>
    </row>
    <row r="462">
      <c r="A462" s="53">
        <f t="shared" si="155"/>
        <v>141543.64</v>
      </c>
      <c r="B462" s="69">
        <f>B451+B458/5</f>
        <v>4800</v>
      </c>
      <c r="C462" s="133">
        <f>sumif(G457:M457,"Pending",G462:M462)</f>
        <v>22628</v>
      </c>
      <c r="D462" s="133">
        <f t="shared" si="156"/>
        <v>5000</v>
      </c>
      <c r="E462" s="32" t="s">
        <v>77</v>
      </c>
      <c r="F462" s="90">
        <f>E457-F461-sum(F463:F465)</f>
        <v>168971.64</v>
      </c>
      <c r="G462" s="148">
        <f>sumif('Bills - CC EMIs'!D:D,A456,'Bills - CC EMIs'!H:H)</f>
        <v>0</v>
      </c>
      <c r="H462" s="147">
        <f>SUMIFS('Bills - Loans'!E:E,'Bills - Loans'!D:D,A456)</f>
        <v>15742</v>
      </c>
      <c r="I462" s="137">
        <f>sumif('Bills - STR Residency'!D:D,A456,'Bills - STR Residency'!E:E)</f>
        <v>2847</v>
      </c>
      <c r="J462" s="147">
        <v>0.0</v>
      </c>
      <c r="K462" s="147">
        <f>sumif('Bills - Utilities'!C:C,A456,'Bills - Utilities'!B:B)</f>
        <v>1039</v>
      </c>
      <c r="L462" s="147">
        <f>sumif('Bills - Utilities'!D:D,B456,'Bills - Utilities'!C:C)</f>
        <v>0</v>
      </c>
      <c r="M462" s="147">
        <f>sumif('Bills - Investments'!C:C,A456,'Bills - Investments'!E:E)</f>
        <v>3000</v>
      </c>
    </row>
    <row r="463">
      <c r="A463" s="53">
        <f t="shared" si="155"/>
        <v>0</v>
      </c>
      <c r="B463" s="69">
        <f>B452+B458/5</f>
        <v>4800</v>
      </c>
      <c r="C463" s="133">
        <f>sumif(G457:M457,"Pending",G463:M463)</f>
        <v>0</v>
      </c>
      <c r="D463" s="133">
        <f t="shared" si="156"/>
        <v>0</v>
      </c>
      <c r="E463" s="32" t="s">
        <v>81</v>
      </c>
      <c r="F463" s="90">
        <f t="shared" ref="F463:F465" si="157">sum(G463:M463)+B463</f>
        <v>4800</v>
      </c>
      <c r="G463" s="148">
        <f t="shared" ref="G463:G465" si="158">(G452+G441+G430)/3</f>
        <v>0</v>
      </c>
      <c r="H463" s="147">
        <f t="shared" ref="H463:H465" si="159">(H452+H441)/2</f>
        <v>0</v>
      </c>
      <c r="I463" s="147">
        <f t="shared" ref="I463:I465" si="160">I452</f>
        <v>0</v>
      </c>
      <c r="J463" s="147">
        <v>0.0</v>
      </c>
      <c r="K463" s="147">
        <v>0.0</v>
      </c>
      <c r="L463" s="147">
        <v>0.0</v>
      </c>
      <c r="M463" s="147">
        <v>0.0</v>
      </c>
    </row>
    <row r="464">
      <c r="A464" s="53">
        <f t="shared" si="155"/>
        <v>0</v>
      </c>
      <c r="B464" s="69">
        <f>B453+B458/5</f>
        <v>11800</v>
      </c>
      <c r="C464" s="133">
        <f>sumif(G457:M457,"Pending",G464:M464)</f>
        <v>0</v>
      </c>
      <c r="D464" s="133">
        <f t="shared" si="156"/>
        <v>0</v>
      </c>
      <c r="E464" s="32" t="s">
        <v>79</v>
      </c>
      <c r="F464" s="90">
        <f t="shared" si="157"/>
        <v>11800</v>
      </c>
      <c r="G464" s="148">
        <f t="shared" si="158"/>
        <v>0</v>
      </c>
      <c r="H464" s="147">
        <f t="shared" si="159"/>
        <v>0</v>
      </c>
      <c r="I464" s="147">
        <f t="shared" si="160"/>
        <v>0</v>
      </c>
      <c r="J464" s="147">
        <v>0.0</v>
      </c>
      <c r="K464" s="147">
        <v>0.0</v>
      </c>
      <c r="L464" s="147">
        <v>0.0</v>
      </c>
      <c r="M464" s="147">
        <v>0.0</v>
      </c>
    </row>
    <row r="465">
      <c r="A465" s="53">
        <f t="shared" si="155"/>
        <v>0</v>
      </c>
      <c r="B465" s="69">
        <f>B454+B458/5</f>
        <v>4800</v>
      </c>
      <c r="C465" s="133">
        <f>sumif(G457:M457,"Pending",G465:M465)</f>
        <v>0</v>
      </c>
      <c r="D465" s="133">
        <f t="shared" si="156"/>
        <v>0</v>
      </c>
      <c r="E465" s="33" t="s">
        <v>91</v>
      </c>
      <c r="F465" s="90">
        <f t="shared" si="157"/>
        <v>4800</v>
      </c>
      <c r="G465" s="148">
        <f t="shared" si="158"/>
        <v>0</v>
      </c>
      <c r="H465" s="147">
        <f t="shared" si="159"/>
        <v>0</v>
      </c>
      <c r="I465" s="147">
        <f t="shared" si="160"/>
        <v>0</v>
      </c>
      <c r="J465" s="147">
        <v>0.0</v>
      </c>
      <c r="K465" s="147">
        <v>0.0</v>
      </c>
      <c r="L465" s="147">
        <v>0.0</v>
      </c>
      <c r="M465" s="147">
        <v>0.0</v>
      </c>
    </row>
    <row r="466">
      <c r="A466" s="24"/>
      <c r="B466" s="24"/>
      <c r="C466" s="24"/>
      <c r="D466" s="24"/>
      <c r="E466" s="24"/>
      <c r="F466" s="25"/>
      <c r="G466" s="25"/>
      <c r="H466" s="24"/>
      <c r="I466" s="25"/>
      <c r="J466" s="25"/>
      <c r="K466" s="25"/>
      <c r="L466" s="25"/>
      <c r="M466" s="24"/>
    </row>
    <row r="467">
      <c r="A467" s="71">
        <v>46054.0</v>
      </c>
      <c r="B467" s="24"/>
      <c r="C467" s="24"/>
      <c r="D467" s="25" t="s">
        <v>108</v>
      </c>
      <c r="E467" s="74">
        <f>A470-A459</f>
        <v>57877.25</v>
      </c>
      <c r="F467" s="25" t="s">
        <v>64</v>
      </c>
      <c r="G467" s="136" t="s">
        <v>109</v>
      </c>
      <c r="H467" s="137" t="s">
        <v>110</v>
      </c>
      <c r="I467" s="137" t="s">
        <v>111</v>
      </c>
      <c r="J467" s="137" t="s">
        <v>112</v>
      </c>
      <c r="K467" s="137" t="s">
        <v>113</v>
      </c>
      <c r="L467" s="137" t="s">
        <v>114</v>
      </c>
      <c r="M467" s="137" t="s">
        <v>65</v>
      </c>
    </row>
    <row r="468">
      <c r="A468" s="25" t="s">
        <v>95</v>
      </c>
      <c r="B468" s="72">
        <f>Projections!AK15</f>
        <v>166278</v>
      </c>
      <c r="C468" s="138">
        <f>A467</f>
        <v>46054</v>
      </c>
      <c r="D468" s="98" t="s">
        <v>115</v>
      </c>
      <c r="E468" s="57">
        <f>Projections!AK14</f>
        <v>338821.64</v>
      </c>
      <c r="F468" s="73" t="s">
        <v>67</v>
      </c>
      <c r="G468" s="139" t="s">
        <v>67</v>
      </c>
      <c r="H468" s="139" t="s">
        <v>67</v>
      </c>
      <c r="I468" s="137" t="s">
        <v>67</v>
      </c>
      <c r="J468" s="137" t="s">
        <v>67</v>
      </c>
      <c r="K468" s="137" t="s">
        <v>67</v>
      </c>
      <c r="L468" s="137" t="s">
        <v>67</v>
      </c>
      <c r="M468" s="137" t="s">
        <v>67</v>
      </c>
    </row>
    <row r="469">
      <c r="A469" s="25" t="s">
        <v>69</v>
      </c>
      <c r="B469" s="119">
        <f>if(B458&gt;B468/10,B458,B458+500)</f>
        <v>4000</v>
      </c>
      <c r="C469" s="138">
        <f>EOMONTH(C468,0)</f>
        <v>46081</v>
      </c>
      <c r="D469" s="25" t="s">
        <v>116</v>
      </c>
      <c r="E469" s="74">
        <f>if(today()&gt;C469,0,B468*12/365/5)</f>
        <v>1093.334795</v>
      </c>
      <c r="F469" s="25" t="s">
        <v>70</v>
      </c>
      <c r="G469" s="140" t="s">
        <v>117</v>
      </c>
      <c r="H469" s="137" t="s">
        <v>117</v>
      </c>
      <c r="I469" s="137" t="s">
        <v>118</v>
      </c>
      <c r="J469" s="137" t="s">
        <v>118</v>
      </c>
      <c r="K469" s="137" t="s">
        <v>118</v>
      </c>
      <c r="L469" s="137" t="s">
        <v>119</v>
      </c>
      <c r="M469" s="137" t="s">
        <v>119</v>
      </c>
    </row>
    <row r="470">
      <c r="A470" s="54">
        <f>F470-C470-B470</f>
        <v>199420.89</v>
      </c>
      <c r="B470" s="90">
        <f t="shared" ref="B470:D470" si="161">sum(B472:B476)</f>
        <v>35000</v>
      </c>
      <c r="C470" s="141">
        <f t="shared" si="161"/>
        <v>104400.75</v>
      </c>
      <c r="D470" s="142">
        <f t="shared" si="161"/>
        <v>14500</v>
      </c>
      <c r="E470" s="59"/>
      <c r="F470" s="63">
        <f>sum(F472:F476)</f>
        <v>338821.64</v>
      </c>
      <c r="G470" s="136" t="s">
        <v>120</v>
      </c>
      <c r="H470" s="137" t="s">
        <v>121</v>
      </c>
      <c r="I470" s="137" t="s">
        <v>111</v>
      </c>
      <c r="J470" s="137" t="s">
        <v>112</v>
      </c>
      <c r="K470" s="137" t="s">
        <v>113</v>
      </c>
      <c r="L470" s="137" t="s">
        <v>114</v>
      </c>
      <c r="M470" s="137" t="s">
        <v>65</v>
      </c>
    </row>
    <row r="471">
      <c r="A471" s="32" t="s">
        <v>72</v>
      </c>
      <c r="B471" s="122" t="s">
        <v>84</v>
      </c>
      <c r="C471" s="143" t="s">
        <v>67</v>
      </c>
      <c r="D471" s="143" t="s">
        <v>122</v>
      </c>
      <c r="E471" s="34">
        <f>today()</f>
        <v>45969</v>
      </c>
      <c r="F471" s="35" t="s">
        <v>64</v>
      </c>
      <c r="G471" s="144" t="s">
        <v>107</v>
      </c>
      <c r="H471" s="144" t="s">
        <v>107</v>
      </c>
      <c r="I471" s="145" t="str">
        <f>I460</f>
        <v>STR Residency</v>
      </c>
      <c r="J471" s="145" t="s">
        <v>112</v>
      </c>
      <c r="K471" s="145" t="s">
        <v>113</v>
      </c>
      <c r="L471" s="145" t="s">
        <v>114</v>
      </c>
      <c r="M471" s="145" t="s">
        <v>65</v>
      </c>
    </row>
    <row r="472">
      <c r="A472" s="53">
        <f t="shared" ref="A472:A476" si="162">F472-C472-B472</f>
        <v>0</v>
      </c>
      <c r="B472" s="69">
        <f>B461+B469/5</f>
        <v>5600</v>
      </c>
      <c r="C472" s="133">
        <f>sumif(G468:M468,"Pending",G472:M472)</f>
        <v>80767.75</v>
      </c>
      <c r="D472" s="133">
        <f t="shared" ref="D472:D476" si="163">D461+M472</f>
        <v>5500</v>
      </c>
      <c r="E472" s="32" t="s">
        <v>76</v>
      </c>
      <c r="F472" s="150">
        <f>sumif(G468:M468,"Pending",G472:M472)+B472</f>
        <v>86367.75</v>
      </c>
      <c r="G472" s="146">
        <f>sumif('Bills - CC EMIs'!D:D,A467,'Bills - CC EMIs'!E:E)+SUMIF('Bills - CC EMIs'!D:D,A467,'Bills - CC EMIs'!F:F)+sumif('Bills - CC EMIs'!D:D,A467,'Bills - CC EMIs'!G:G)</f>
        <v>33400.75</v>
      </c>
      <c r="H472" s="146">
        <f>SUMIFS('Bills - Loans'!F:F,'Bills - Loans'!D:D,A467)</f>
        <v>40367</v>
      </c>
      <c r="I472" s="147">
        <v>0.0</v>
      </c>
      <c r="J472" s="137">
        <f>sumif('Bills - Responsibilities'!D:D,A467,'Bills - Responsibilities'!E:E)</f>
        <v>5000</v>
      </c>
      <c r="K472" s="147">
        <v>0.0</v>
      </c>
      <c r="L472" s="147">
        <f>sumif('Bills - Returns'!C:C,A467,'Bills - Returns'!D:D)</f>
        <v>0</v>
      </c>
      <c r="M472" s="147">
        <f>sumif('Bills - Investments'!C:C,A467,'Bills - Investments'!D:D)</f>
        <v>2000</v>
      </c>
    </row>
    <row r="473">
      <c r="A473" s="53">
        <f t="shared" si="162"/>
        <v>199420.89</v>
      </c>
      <c r="B473" s="69">
        <f>B462+B469/5</f>
        <v>5600</v>
      </c>
      <c r="C473" s="133">
        <f>sumif(G468:M468,"Pending",G473:M473)</f>
        <v>23633</v>
      </c>
      <c r="D473" s="133">
        <f t="shared" si="163"/>
        <v>9000</v>
      </c>
      <c r="E473" s="32" t="s">
        <v>77</v>
      </c>
      <c r="F473" s="90">
        <f>E468-F472-sum(F474:F476)</f>
        <v>228653.89</v>
      </c>
      <c r="G473" s="148">
        <f>sumif('Bills - CC EMIs'!D:D,A467,'Bills - CC EMIs'!H:H)</f>
        <v>0</v>
      </c>
      <c r="H473" s="147">
        <f>SUMIFS('Bills - Loans'!E:E,'Bills - Loans'!D:D,A467)</f>
        <v>15742</v>
      </c>
      <c r="I473" s="137">
        <f>sumif('Bills - STR Residency'!D:D,A467,'Bills - STR Residency'!E:E)</f>
        <v>2852</v>
      </c>
      <c r="J473" s="147">
        <v>0.0</v>
      </c>
      <c r="K473" s="147">
        <f>sumif('Bills - Utilities'!C:C,A467,'Bills - Utilities'!B:B)</f>
        <v>1039</v>
      </c>
      <c r="L473" s="147">
        <f>sumif('Bills - Utilities'!D:D,B467,'Bills - Utilities'!C:C)</f>
        <v>0</v>
      </c>
      <c r="M473" s="147">
        <f>sumif('Bills - Investments'!C:C,A467,'Bills - Investments'!E:E)</f>
        <v>4000</v>
      </c>
    </row>
    <row r="474">
      <c r="A474" s="53">
        <f t="shared" si="162"/>
        <v>0</v>
      </c>
      <c r="B474" s="69">
        <f>B463+B469/5</f>
        <v>5600</v>
      </c>
      <c r="C474" s="133">
        <f>sumif(G468:M468,"Pending",G474:M474)</f>
        <v>0</v>
      </c>
      <c r="D474" s="133">
        <f t="shared" si="163"/>
        <v>0</v>
      </c>
      <c r="E474" s="32" t="s">
        <v>81</v>
      </c>
      <c r="F474" s="90">
        <f t="shared" ref="F474:F476" si="164">sum(G474:M474)+B474</f>
        <v>5600</v>
      </c>
      <c r="G474" s="148">
        <f t="shared" ref="G474:G476" si="165">(G463+G452+G441)/3</f>
        <v>0</v>
      </c>
      <c r="H474" s="147">
        <f t="shared" ref="H474:H476" si="166">(H463+H452)/2</f>
        <v>0</v>
      </c>
      <c r="I474" s="147">
        <f t="shared" ref="I474:I476" si="167">I463</f>
        <v>0</v>
      </c>
      <c r="J474" s="147">
        <v>0.0</v>
      </c>
      <c r="K474" s="147">
        <v>0.0</v>
      </c>
      <c r="L474" s="147">
        <v>0.0</v>
      </c>
      <c r="M474" s="147">
        <v>0.0</v>
      </c>
    </row>
    <row r="475">
      <c r="A475" s="53">
        <f t="shared" si="162"/>
        <v>0</v>
      </c>
      <c r="B475" s="69">
        <f>B464+B469/5</f>
        <v>12600</v>
      </c>
      <c r="C475" s="133">
        <f>sumif(G468:M468,"Pending",G475:M475)</f>
        <v>0</v>
      </c>
      <c r="D475" s="133">
        <f t="shared" si="163"/>
        <v>0</v>
      </c>
      <c r="E475" s="32" t="s">
        <v>79</v>
      </c>
      <c r="F475" s="90">
        <f t="shared" si="164"/>
        <v>12600</v>
      </c>
      <c r="G475" s="148">
        <f t="shared" si="165"/>
        <v>0</v>
      </c>
      <c r="H475" s="147">
        <f t="shared" si="166"/>
        <v>0</v>
      </c>
      <c r="I475" s="147">
        <f t="shared" si="167"/>
        <v>0</v>
      </c>
      <c r="J475" s="147">
        <v>0.0</v>
      </c>
      <c r="K475" s="147">
        <v>0.0</v>
      </c>
      <c r="L475" s="147">
        <v>0.0</v>
      </c>
      <c r="M475" s="147">
        <v>0.0</v>
      </c>
    </row>
    <row r="476">
      <c r="A476" s="53">
        <f t="shared" si="162"/>
        <v>0</v>
      </c>
      <c r="B476" s="69">
        <f>B465+B469/5</f>
        <v>5600</v>
      </c>
      <c r="C476" s="133">
        <f>sumif(G468:M468,"Pending",G476:M476)</f>
        <v>0</v>
      </c>
      <c r="D476" s="133">
        <f t="shared" si="163"/>
        <v>0</v>
      </c>
      <c r="E476" s="33" t="s">
        <v>91</v>
      </c>
      <c r="F476" s="90">
        <f t="shared" si="164"/>
        <v>5600</v>
      </c>
      <c r="G476" s="148">
        <f t="shared" si="165"/>
        <v>0</v>
      </c>
      <c r="H476" s="147">
        <f t="shared" si="166"/>
        <v>0</v>
      </c>
      <c r="I476" s="147">
        <f t="shared" si="167"/>
        <v>0</v>
      </c>
      <c r="J476" s="147">
        <v>0.0</v>
      </c>
      <c r="K476" s="147">
        <v>0.0</v>
      </c>
      <c r="L476" s="147">
        <v>0.0</v>
      </c>
      <c r="M476" s="147">
        <v>0.0</v>
      </c>
    </row>
    <row r="477">
      <c r="A477" s="24"/>
      <c r="B477" s="24"/>
      <c r="C477" s="24"/>
      <c r="D477" s="24"/>
      <c r="E477" s="24"/>
      <c r="F477" s="25"/>
      <c r="G477" s="25"/>
      <c r="H477" s="24"/>
      <c r="I477" s="25"/>
      <c r="J477" s="25"/>
      <c r="K477" s="25"/>
      <c r="L477" s="25"/>
      <c r="M477" s="24"/>
    </row>
    <row r="478">
      <c r="A478" s="71">
        <v>46082.0</v>
      </c>
      <c r="B478" s="24"/>
      <c r="C478" s="24"/>
      <c r="D478" s="25" t="s">
        <v>108</v>
      </c>
      <c r="E478" s="74">
        <f>A481-A470</f>
        <v>51372.25</v>
      </c>
      <c r="F478" s="25" t="s">
        <v>64</v>
      </c>
      <c r="G478" s="136" t="s">
        <v>109</v>
      </c>
      <c r="H478" s="137" t="s">
        <v>110</v>
      </c>
      <c r="I478" s="137" t="s">
        <v>111</v>
      </c>
      <c r="J478" s="137" t="s">
        <v>112</v>
      </c>
      <c r="K478" s="137" t="s">
        <v>113</v>
      </c>
      <c r="L478" s="137" t="s">
        <v>114</v>
      </c>
      <c r="M478" s="137" t="s">
        <v>65</v>
      </c>
    </row>
    <row r="479">
      <c r="A479" s="25" t="s">
        <v>95</v>
      </c>
      <c r="B479" s="72">
        <f>Projections!AL15</f>
        <v>166278</v>
      </c>
      <c r="C479" s="138">
        <f>A478</f>
        <v>46082</v>
      </c>
      <c r="D479" s="98" t="s">
        <v>115</v>
      </c>
      <c r="E479" s="57">
        <f>Projections!AL14</f>
        <v>400698.89</v>
      </c>
      <c r="F479" s="73" t="s">
        <v>67</v>
      </c>
      <c r="G479" s="139" t="s">
        <v>67</v>
      </c>
      <c r="H479" s="139" t="s">
        <v>67</v>
      </c>
      <c r="I479" s="137" t="s">
        <v>67</v>
      </c>
      <c r="J479" s="137" t="s">
        <v>67</v>
      </c>
      <c r="K479" s="137" t="s">
        <v>67</v>
      </c>
      <c r="L479" s="137" t="s">
        <v>67</v>
      </c>
      <c r="M479" s="137" t="s">
        <v>67</v>
      </c>
    </row>
    <row r="480">
      <c r="A480" s="25" t="s">
        <v>69</v>
      </c>
      <c r="B480" s="119">
        <f>if(B469&gt;B479/10,B469,B469+500)</f>
        <v>4500</v>
      </c>
      <c r="C480" s="138">
        <f>EOMONTH(C479,0)</f>
        <v>46112</v>
      </c>
      <c r="D480" s="25" t="s">
        <v>116</v>
      </c>
      <c r="E480" s="74">
        <f>if(today()&gt;C480,0,B479*12/365/5)</f>
        <v>1093.334795</v>
      </c>
      <c r="F480" s="25" t="s">
        <v>70</v>
      </c>
      <c r="G480" s="140" t="s">
        <v>117</v>
      </c>
      <c r="H480" s="137" t="s">
        <v>117</v>
      </c>
      <c r="I480" s="137" t="s">
        <v>118</v>
      </c>
      <c r="J480" s="137" t="s">
        <v>118</v>
      </c>
      <c r="K480" s="137" t="s">
        <v>118</v>
      </c>
      <c r="L480" s="137" t="s">
        <v>119</v>
      </c>
      <c r="M480" s="137" t="s">
        <v>119</v>
      </c>
    </row>
    <row r="481">
      <c r="A481" s="54">
        <f>F481-C481-B481</f>
        <v>250793.14</v>
      </c>
      <c r="B481" s="90">
        <f t="shared" ref="B481:D481" si="168">sum(B483:B487)</f>
        <v>39500</v>
      </c>
      <c r="C481" s="141">
        <f t="shared" si="168"/>
        <v>110405.75</v>
      </c>
      <c r="D481" s="142">
        <f t="shared" si="168"/>
        <v>21500</v>
      </c>
      <c r="E481" s="59"/>
      <c r="F481" s="63">
        <f>sum(F483:F487)</f>
        <v>400698.89</v>
      </c>
      <c r="G481" s="136" t="s">
        <v>120</v>
      </c>
      <c r="H481" s="137" t="s">
        <v>121</v>
      </c>
      <c r="I481" s="137" t="s">
        <v>111</v>
      </c>
      <c r="J481" s="137" t="s">
        <v>112</v>
      </c>
      <c r="K481" s="137" t="s">
        <v>113</v>
      </c>
      <c r="L481" s="137" t="s">
        <v>114</v>
      </c>
      <c r="M481" s="137" t="s">
        <v>65</v>
      </c>
    </row>
    <row r="482">
      <c r="A482" s="32" t="s">
        <v>72</v>
      </c>
      <c r="B482" s="122" t="s">
        <v>84</v>
      </c>
      <c r="C482" s="143" t="s">
        <v>67</v>
      </c>
      <c r="D482" s="143" t="s">
        <v>122</v>
      </c>
      <c r="E482" s="34">
        <f>today()</f>
        <v>45969</v>
      </c>
      <c r="F482" s="35" t="s">
        <v>64</v>
      </c>
      <c r="G482" s="144" t="s">
        <v>107</v>
      </c>
      <c r="H482" s="144" t="s">
        <v>107</v>
      </c>
      <c r="I482" s="145" t="str">
        <f>I471</f>
        <v>STR Residency</v>
      </c>
      <c r="J482" s="145" t="s">
        <v>112</v>
      </c>
      <c r="K482" s="145" t="s">
        <v>113</v>
      </c>
      <c r="L482" s="145" t="s">
        <v>114</v>
      </c>
      <c r="M482" s="145" t="s">
        <v>65</v>
      </c>
    </row>
    <row r="483">
      <c r="A483" s="53">
        <f t="shared" ref="A483:A487" si="169">F483-C483-B483</f>
        <v>0</v>
      </c>
      <c r="B483" s="69">
        <f>B472+B480/5</f>
        <v>6500</v>
      </c>
      <c r="C483" s="133">
        <f>sumif(G479:M479,"Pending",G483:M483)</f>
        <v>80767.75</v>
      </c>
      <c r="D483" s="133">
        <f t="shared" ref="D483:D487" si="170">D472+M483</f>
        <v>7500</v>
      </c>
      <c r="E483" s="32" t="s">
        <v>76</v>
      </c>
      <c r="F483" s="150">
        <f>sumif(G479:M479,"Pending",G483:M483)+B483</f>
        <v>87267.75</v>
      </c>
      <c r="G483" s="146">
        <f>sumif('Bills - CC EMIs'!D:D,A478,'Bills - CC EMIs'!E:E)+SUMIF('Bills - CC EMIs'!D:D,A478,'Bills - CC EMIs'!F:F)+sumif('Bills - CC EMIs'!D:D,A478,'Bills - CC EMIs'!G:G)</f>
        <v>33400.75</v>
      </c>
      <c r="H483" s="146">
        <f>SUMIFS('Bills - Loans'!F:F,'Bills - Loans'!D:D,A478)</f>
        <v>40367</v>
      </c>
      <c r="I483" s="147">
        <v>0.0</v>
      </c>
      <c r="J483" s="137">
        <f>sumif('Bills - Responsibilities'!D:D,A478,'Bills - Responsibilities'!E:E)</f>
        <v>5000</v>
      </c>
      <c r="K483" s="147">
        <v>0.0</v>
      </c>
      <c r="L483" s="147">
        <f>sumif('Bills - Returns'!C:C,A478,'Bills - Returns'!D:D)</f>
        <v>0</v>
      </c>
      <c r="M483" s="147">
        <f>sumif('Bills - Investments'!C:C,A478,'Bills - Investments'!D:D)</f>
        <v>2000</v>
      </c>
    </row>
    <row r="484">
      <c r="A484" s="53">
        <f t="shared" si="169"/>
        <v>250793.14</v>
      </c>
      <c r="B484" s="69">
        <f>B473+B480/5</f>
        <v>6500</v>
      </c>
      <c r="C484" s="133">
        <f>sumif(G479:M479,"Pending",G484:M484)</f>
        <v>29638</v>
      </c>
      <c r="D484" s="133">
        <f t="shared" si="170"/>
        <v>14000</v>
      </c>
      <c r="E484" s="32" t="s">
        <v>77</v>
      </c>
      <c r="F484" s="90">
        <f>E479-F483-sum(F485:F487)</f>
        <v>286931.14</v>
      </c>
      <c r="G484" s="148">
        <f>sumif('Bills - CC EMIs'!D:D,A478,'Bills - CC EMIs'!H:H)</f>
        <v>0</v>
      </c>
      <c r="H484" s="147">
        <f>SUMIFS('Bills - Loans'!E:E,'Bills - Loans'!D:D,A478)</f>
        <v>15742</v>
      </c>
      <c r="I484" s="137">
        <f>sumif('Bills - STR Residency'!D:D,A478,'Bills - STR Residency'!E:E)</f>
        <v>7857</v>
      </c>
      <c r="J484" s="147">
        <v>0.0</v>
      </c>
      <c r="K484" s="147">
        <f>sumif('Bills - Utilities'!C:C,A478,'Bills - Utilities'!B:B)</f>
        <v>1039</v>
      </c>
      <c r="L484" s="147">
        <f>sumif('Bills - Utilities'!D:D,B478,'Bills - Utilities'!C:C)</f>
        <v>0</v>
      </c>
      <c r="M484" s="147">
        <f>sumif('Bills - Investments'!C:C,A478,'Bills - Investments'!E:E)</f>
        <v>5000</v>
      </c>
    </row>
    <row r="485">
      <c r="A485" s="53">
        <f t="shared" si="169"/>
        <v>0</v>
      </c>
      <c r="B485" s="69">
        <f>B474+B480/5</f>
        <v>6500</v>
      </c>
      <c r="C485" s="133">
        <f>sumif(G479:M479,"Pending",G485:M485)</f>
        <v>0</v>
      </c>
      <c r="D485" s="133">
        <f t="shared" si="170"/>
        <v>0</v>
      </c>
      <c r="E485" s="32" t="s">
        <v>81</v>
      </c>
      <c r="F485" s="90">
        <f t="shared" ref="F485:F487" si="171">sum(G485:M485)+B485</f>
        <v>6500</v>
      </c>
      <c r="G485" s="148">
        <f t="shared" ref="G485:G487" si="172">(G474+G463+G452)/3</f>
        <v>0</v>
      </c>
      <c r="H485" s="147">
        <f t="shared" ref="H485:H487" si="173">(H474+H463)/2</f>
        <v>0</v>
      </c>
      <c r="I485" s="147">
        <f t="shared" ref="I485:I487" si="174">I474</f>
        <v>0</v>
      </c>
      <c r="J485" s="147">
        <v>0.0</v>
      </c>
      <c r="K485" s="147">
        <v>0.0</v>
      </c>
      <c r="L485" s="147">
        <v>0.0</v>
      </c>
      <c r="M485" s="147">
        <v>0.0</v>
      </c>
    </row>
    <row r="486">
      <c r="A486" s="53">
        <f t="shared" si="169"/>
        <v>0</v>
      </c>
      <c r="B486" s="69">
        <f>B475+B480/5</f>
        <v>13500</v>
      </c>
      <c r="C486" s="133">
        <f>sumif(G479:M479,"Pending",G486:M486)</f>
        <v>0</v>
      </c>
      <c r="D486" s="133">
        <f t="shared" si="170"/>
        <v>0</v>
      </c>
      <c r="E486" s="32" t="s">
        <v>79</v>
      </c>
      <c r="F486" s="90">
        <f t="shared" si="171"/>
        <v>13500</v>
      </c>
      <c r="G486" s="148">
        <f t="shared" si="172"/>
        <v>0</v>
      </c>
      <c r="H486" s="147">
        <f t="shared" si="173"/>
        <v>0</v>
      </c>
      <c r="I486" s="147">
        <f t="shared" si="174"/>
        <v>0</v>
      </c>
      <c r="J486" s="147">
        <v>0.0</v>
      </c>
      <c r="K486" s="147">
        <v>0.0</v>
      </c>
      <c r="L486" s="147">
        <v>0.0</v>
      </c>
      <c r="M486" s="147">
        <v>0.0</v>
      </c>
    </row>
    <row r="487">
      <c r="A487" s="53">
        <f t="shared" si="169"/>
        <v>0</v>
      </c>
      <c r="B487" s="69">
        <f>B476+B480/5</f>
        <v>6500</v>
      </c>
      <c r="C487" s="133">
        <f>sumif(G479:M479,"Pending",G487:M487)</f>
        <v>0</v>
      </c>
      <c r="D487" s="133">
        <f t="shared" si="170"/>
        <v>0</v>
      </c>
      <c r="E487" s="33" t="s">
        <v>91</v>
      </c>
      <c r="F487" s="90">
        <f t="shared" si="171"/>
        <v>6500</v>
      </c>
      <c r="G487" s="148">
        <f t="shared" si="172"/>
        <v>0</v>
      </c>
      <c r="H487" s="147">
        <f t="shared" si="173"/>
        <v>0</v>
      </c>
      <c r="I487" s="147">
        <f t="shared" si="174"/>
        <v>0</v>
      </c>
      <c r="J487" s="147">
        <v>0.0</v>
      </c>
      <c r="K487" s="147">
        <v>0.0</v>
      </c>
      <c r="L487" s="147">
        <v>0.0</v>
      </c>
      <c r="M487" s="147">
        <v>0.0</v>
      </c>
    </row>
    <row r="488">
      <c r="A488" s="24"/>
      <c r="B488" s="24"/>
      <c r="C488" s="24"/>
      <c r="D488" s="24"/>
      <c r="E488" s="24"/>
      <c r="F488" s="25"/>
      <c r="G488" s="25"/>
      <c r="H488" s="24"/>
      <c r="I488" s="25"/>
      <c r="J488" s="25"/>
      <c r="K488" s="25"/>
      <c r="L488" s="25"/>
      <c r="M488" s="24"/>
    </row>
    <row r="489">
      <c r="A489" s="71">
        <v>46113.0</v>
      </c>
      <c r="B489" s="24"/>
      <c r="C489" s="24"/>
      <c r="D489" s="25" t="s">
        <v>108</v>
      </c>
      <c r="E489" s="74">
        <f>A492-A481</f>
        <v>66505.15</v>
      </c>
      <c r="F489" s="25" t="s">
        <v>64</v>
      </c>
      <c r="G489" s="136" t="s">
        <v>109</v>
      </c>
      <c r="H489" s="137" t="s">
        <v>110</v>
      </c>
      <c r="I489" s="137" t="s">
        <v>111</v>
      </c>
      <c r="J489" s="137" t="s">
        <v>112</v>
      </c>
      <c r="K489" s="137" t="s">
        <v>113</v>
      </c>
      <c r="L489" s="137" t="s">
        <v>114</v>
      </c>
      <c r="M489" s="137" t="s">
        <v>65</v>
      </c>
    </row>
    <row r="490">
      <c r="A490" s="25" t="s">
        <v>95</v>
      </c>
      <c r="B490" s="72">
        <f>Projections!AM15</f>
        <v>182905.8</v>
      </c>
      <c r="C490" s="138">
        <f>A489</f>
        <v>46113</v>
      </c>
      <c r="D490" s="98" t="s">
        <v>115</v>
      </c>
      <c r="E490" s="57">
        <f>Projections!AM14</f>
        <v>473199.04</v>
      </c>
      <c r="F490" s="73" t="s">
        <v>67</v>
      </c>
      <c r="G490" s="139" t="s">
        <v>67</v>
      </c>
      <c r="H490" s="139" t="s">
        <v>67</v>
      </c>
      <c r="I490" s="137" t="s">
        <v>67</v>
      </c>
      <c r="J490" s="137" t="s">
        <v>67</v>
      </c>
      <c r="K490" s="137" t="s">
        <v>67</v>
      </c>
      <c r="L490" s="137" t="s">
        <v>67</v>
      </c>
      <c r="M490" s="137" t="s">
        <v>67</v>
      </c>
    </row>
    <row r="491">
      <c r="A491" s="25" t="s">
        <v>69</v>
      </c>
      <c r="B491" s="119">
        <f>if(B480&gt;B490/10,B480,B480+500)</f>
        <v>5000</v>
      </c>
      <c r="C491" s="138">
        <f>EOMONTH(C490,0)</f>
        <v>46142</v>
      </c>
      <c r="D491" s="25" t="s">
        <v>116</v>
      </c>
      <c r="E491" s="74">
        <f>if(today()&gt;C491,0,B490*12/365/5)</f>
        <v>1202.668274</v>
      </c>
      <c r="F491" s="25" t="s">
        <v>70</v>
      </c>
      <c r="G491" s="140" t="s">
        <v>117</v>
      </c>
      <c r="H491" s="137" t="s">
        <v>117</v>
      </c>
      <c r="I491" s="137" t="s">
        <v>118</v>
      </c>
      <c r="J491" s="137" t="s">
        <v>118</v>
      </c>
      <c r="K491" s="137" t="s">
        <v>118</v>
      </c>
      <c r="L491" s="137" t="s">
        <v>119</v>
      </c>
      <c r="M491" s="137" t="s">
        <v>119</v>
      </c>
    </row>
    <row r="492">
      <c r="A492" s="54">
        <f>F492-C492-B492</f>
        <v>317298.29</v>
      </c>
      <c r="B492" s="90">
        <f t="shared" ref="B492:D492" si="175">sum(B494:B498)</f>
        <v>44500</v>
      </c>
      <c r="C492" s="141">
        <f t="shared" si="175"/>
        <v>111400.75</v>
      </c>
      <c r="D492" s="142">
        <f t="shared" si="175"/>
        <v>29500</v>
      </c>
      <c r="E492" s="59"/>
      <c r="F492" s="63">
        <f>sum(F494:F498)</f>
        <v>473199.04</v>
      </c>
      <c r="G492" s="136" t="s">
        <v>120</v>
      </c>
      <c r="H492" s="137" t="s">
        <v>121</v>
      </c>
      <c r="I492" s="137" t="s">
        <v>111</v>
      </c>
      <c r="J492" s="137" t="s">
        <v>112</v>
      </c>
      <c r="K492" s="137" t="s">
        <v>113</v>
      </c>
      <c r="L492" s="137" t="s">
        <v>114</v>
      </c>
      <c r="M492" s="137" t="s">
        <v>65</v>
      </c>
    </row>
    <row r="493">
      <c r="A493" s="32" t="s">
        <v>72</v>
      </c>
      <c r="B493" s="122" t="s">
        <v>84</v>
      </c>
      <c r="C493" s="143" t="s">
        <v>67</v>
      </c>
      <c r="D493" s="143" t="s">
        <v>122</v>
      </c>
      <c r="E493" s="34">
        <f>today()</f>
        <v>45969</v>
      </c>
      <c r="F493" s="35" t="s">
        <v>64</v>
      </c>
      <c r="G493" s="144" t="s">
        <v>107</v>
      </c>
      <c r="H493" s="144" t="s">
        <v>107</v>
      </c>
      <c r="I493" s="145" t="str">
        <f>I482</f>
        <v>STR Residency</v>
      </c>
      <c r="J493" s="145" t="s">
        <v>112</v>
      </c>
      <c r="K493" s="145" t="s">
        <v>113</v>
      </c>
      <c r="L493" s="145" t="s">
        <v>114</v>
      </c>
      <c r="M493" s="145" t="s">
        <v>65</v>
      </c>
    </row>
    <row r="494">
      <c r="A494" s="53">
        <f t="shared" ref="A494:A498" si="176">F494-C494-B494</f>
        <v>0</v>
      </c>
      <c r="B494" s="69">
        <f>B483+B491/5</f>
        <v>7500</v>
      </c>
      <c r="C494" s="133">
        <f>sumif(G490:M490,"Pending",G494:M494)</f>
        <v>80767.75</v>
      </c>
      <c r="D494" s="133">
        <f t="shared" ref="D494:D498" si="177">D483+M494</f>
        <v>9500</v>
      </c>
      <c r="E494" s="32" t="s">
        <v>76</v>
      </c>
      <c r="F494" s="150">
        <f>sumif(G490:M490,"Pending",G494:M494)+B494</f>
        <v>88267.75</v>
      </c>
      <c r="G494" s="146">
        <f>sumif('Bills - CC EMIs'!D:D,A489,'Bills - CC EMIs'!E:E)+SUMIF('Bills - CC EMIs'!D:D,A489,'Bills - CC EMIs'!F:F)+sumif('Bills - CC EMIs'!D:D,A489,'Bills - CC EMIs'!G:G)</f>
        <v>33400.75</v>
      </c>
      <c r="H494" s="146">
        <f>SUMIFS('Bills - Loans'!F:F,'Bills - Loans'!D:D,A489)</f>
        <v>40367</v>
      </c>
      <c r="I494" s="147">
        <v>0.0</v>
      </c>
      <c r="J494" s="137">
        <f>sumif('Bills - Responsibilities'!D:D,A489,'Bills - Responsibilities'!E:E)</f>
        <v>5000</v>
      </c>
      <c r="K494" s="147">
        <v>0.0</v>
      </c>
      <c r="L494" s="147">
        <f>sumif('Bills - Returns'!C:C,A489,'Bills - Returns'!D:D)</f>
        <v>0</v>
      </c>
      <c r="M494" s="147">
        <f>sumif('Bills - Investments'!C:C,A489,'Bills - Investments'!D:D)</f>
        <v>2000</v>
      </c>
    </row>
    <row r="495">
      <c r="A495" s="53">
        <f t="shared" si="176"/>
        <v>317298.29</v>
      </c>
      <c r="B495" s="69">
        <f>B484+B491/5</f>
        <v>7500</v>
      </c>
      <c r="C495" s="133">
        <f>sumif(G490:M490,"Pending",G495:M495)</f>
        <v>30633</v>
      </c>
      <c r="D495" s="133">
        <f t="shared" si="177"/>
        <v>20000</v>
      </c>
      <c r="E495" s="32" t="s">
        <v>77</v>
      </c>
      <c r="F495" s="90">
        <f>E490-F494-sum(F496:F498)</f>
        <v>355431.29</v>
      </c>
      <c r="G495" s="148">
        <f>sumif('Bills - CC EMIs'!D:D,A489,'Bills - CC EMIs'!H:H)</f>
        <v>0</v>
      </c>
      <c r="H495" s="147">
        <f>SUMIFS('Bills - Loans'!E:E,'Bills - Loans'!D:D,A489)</f>
        <v>15742</v>
      </c>
      <c r="I495" s="137">
        <f>sumif('Bills - STR Residency'!D:D,A489,'Bills - STR Residency'!E:E)</f>
        <v>2852</v>
      </c>
      <c r="J495" s="147">
        <v>0.0</v>
      </c>
      <c r="K495" s="147">
        <f>sumif('Bills - Utilities'!C:C,A489,'Bills - Utilities'!B:B)</f>
        <v>6039</v>
      </c>
      <c r="L495" s="147">
        <f>sumif('Bills - Utilities'!D:D,B489,'Bills - Utilities'!C:C)</f>
        <v>0</v>
      </c>
      <c r="M495" s="147">
        <f>sumif('Bills - Investments'!C:C,A489,'Bills - Investments'!E:E)</f>
        <v>6000</v>
      </c>
    </row>
    <row r="496">
      <c r="A496" s="53">
        <f t="shared" si="176"/>
        <v>0</v>
      </c>
      <c r="B496" s="69">
        <f>B485+B491/5</f>
        <v>7500</v>
      </c>
      <c r="C496" s="133">
        <f>sumif(G490:M490,"Pending",G496:M496)</f>
        <v>0</v>
      </c>
      <c r="D496" s="133">
        <f t="shared" si="177"/>
        <v>0</v>
      </c>
      <c r="E496" s="32" t="s">
        <v>81</v>
      </c>
      <c r="F496" s="90">
        <f t="shared" ref="F496:F498" si="178">sum(G496:M496)+B496</f>
        <v>7500</v>
      </c>
      <c r="G496" s="148">
        <f t="shared" ref="G496:G498" si="179">(G485+G474+G463)/3</f>
        <v>0</v>
      </c>
      <c r="H496" s="147">
        <f t="shared" ref="H496:H498" si="180">(H485+H474)/2</f>
        <v>0</v>
      </c>
      <c r="I496" s="147">
        <f t="shared" ref="I496:I498" si="181">I485</f>
        <v>0</v>
      </c>
      <c r="J496" s="147">
        <v>0.0</v>
      </c>
      <c r="K496" s="147">
        <v>0.0</v>
      </c>
      <c r="L496" s="147">
        <v>0.0</v>
      </c>
      <c r="M496" s="147">
        <v>0.0</v>
      </c>
    </row>
    <row r="497">
      <c r="A497" s="53">
        <f t="shared" si="176"/>
        <v>0</v>
      </c>
      <c r="B497" s="69">
        <f>B486+B491/5</f>
        <v>14500</v>
      </c>
      <c r="C497" s="133">
        <f>sumif(G490:M490,"Pending",G497:M497)</f>
        <v>0</v>
      </c>
      <c r="D497" s="133">
        <f t="shared" si="177"/>
        <v>0</v>
      </c>
      <c r="E497" s="32" t="s">
        <v>79</v>
      </c>
      <c r="F497" s="90">
        <f t="shared" si="178"/>
        <v>14500</v>
      </c>
      <c r="G497" s="148">
        <f t="shared" si="179"/>
        <v>0</v>
      </c>
      <c r="H497" s="147">
        <f t="shared" si="180"/>
        <v>0</v>
      </c>
      <c r="I497" s="147">
        <f t="shared" si="181"/>
        <v>0</v>
      </c>
      <c r="J497" s="147">
        <v>0.0</v>
      </c>
      <c r="K497" s="147">
        <v>0.0</v>
      </c>
      <c r="L497" s="147">
        <v>0.0</v>
      </c>
      <c r="M497" s="147">
        <v>0.0</v>
      </c>
    </row>
    <row r="498">
      <c r="A498" s="53">
        <f t="shared" si="176"/>
        <v>0</v>
      </c>
      <c r="B498" s="69">
        <f>B487+B491/5</f>
        <v>7500</v>
      </c>
      <c r="C498" s="133">
        <f>sumif(G490:M490,"Pending",G498:M498)</f>
        <v>0</v>
      </c>
      <c r="D498" s="133">
        <f t="shared" si="177"/>
        <v>0</v>
      </c>
      <c r="E498" s="33" t="s">
        <v>91</v>
      </c>
      <c r="F498" s="90">
        <f t="shared" si="178"/>
        <v>7500</v>
      </c>
      <c r="G498" s="148">
        <f t="shared" si="179"/>
        <v>0</v>
      </c>
      <c r="H498" s="147">
        <f t="shared" si="180"/>
        <v>0</v>
      </c>
      <c r="I498" s="147">
        <f t="shared" si="181"/>
        <v>0</v>
      </c>
      <c r="J498" s="147">
        <v>0.0</v>
      </c>
      <c r="K498" s="147">
        <v>0.0</v>
      </c>
      <c r="L498" s="147">
        <v>0.0</v>
      </c>
      <c r="M498" s="147">
        <v>0.0</v>
      </c>
    </row>
    <row r="499">
      <c r="A499" s="24"/>
      <c r="B499" s="24"/>
      <c r="C499" s="24"/>
      <c r="D499" s="24"/>
      <c r="E499" s="24"/>
      <c r="F499" s="25"/>
      <c r="G499" s="25"/>
      <c r="H499" s="24"/>
      <c r="I499" s="25"/>
      <c r="J499" s="25"/>
      <c r="K499" s="25"/>
      <c r="L499" s="25"/>
      <c r="M499" s="24"/>
    </row>
    <row r="500">
      <c r="A500" s="71">
        <v>46143.0</v>
      </c>
      <c r="B500" s="24"/>
      <c r="C500" s="24"/>
      <c r="D500" s="25" t="s">
        <v>108</v>
      </c>
      <c r="E500" s="74">
        <f>A503-A492</f>
        <v>70003.05</v>
      </c>
      <c r="F500" s="25" t="s">
        <v>64</v>
      </c>
      <c r="G500" s="136" t="s">
        <v>109</v>
      </c>
      <c r="H500" s="137" t="s">
        <v>110</v>
      </c>
      <c r="I500" s="137" t="s">
        <v>111</v>
      </c>
      <c r="J500" s="137" t="s">
        <v>112</v>
      </c>
      <c r="K500" s="137" t="s">
        <v>113</v>
      </c>
      <c r="L500" s="137" t="s">
        <v>114</v>
      </c>
      <c r="M500" s="137" t="s">
        <v>65</v>
      </c>
    </row>
    <row r="501">
      <c r="A501" s="25" t="s">
        <v>95</v>
      </c>
      <c r="B501" s="72">
        <f>Projections!AN15</f>
        <v>182905.8</v>
      </c>
      <c r="C501" s="138">
        <f>A500</f>
        <v>46143</v>
      </c>
      <c r="D501" s="98" t="s">
        <v>115</v>
      </c>
      <c r="E501" s="57">
        <f>Projections!AN14</f>
        <v>544704.09</v>
      </c>
      <c r="F501" s="73" t="s">
        <v>67</v>
      </c>
      <c r="G501" s="139" t="s">
        <v>67</v>
      </c>
      <c r="H501" s="139" t="s">
        <v>67</v>
      </c>
      <c r="I501" s="137" t="s">
        <v>67</v>
      </c>
      <c r="J501" s="137" t="s">
        <v>67</v>
      </c>
      <c r="K501" s="137" t="s">
        <v>67</v>
      </c>
      <c r="L501" s="137" t="s">
        <v>67</v>
      </c>
      <c r="M501" s="137" t="s">
        <v>67</v>
      </c>
    </row>
    <row r="502">
      <c r="A502" s="25" t="s">
        <v>69</v>
      </c>
      <c r="B502" s="119">
        <f>if(B491&gt;B501/10,B491,B491+500)</f>
        <v>5500</v>
      </c>
      <c r="C502" s="138">
        <f>EOMONTH(C501,0)</f>
        <v>46173</v>
      </c>
      <c r="D502" s="25" t="s">
        <v>116</v>
      </c>
      <c r="E502" s="74">
        <f>if(today()&gt;C502,0,B501*12/365/5)</f>
        <v>1202.668274</v>
      </c>
      <c r="F502" s="25" t="s">
        <v>70</v>
      </c>
      <c r="G502" s="140" t="s">
        <v>117</v>
      </c>
      <c r="H502" s="137" t="s">
        <v>117</v>
      </c>
      <c r="I502" s="137" t="s">
        <v>118</v>
      </c>
      <c r="J502" s="137" t="s">
        <v>118</v>
      </c>
      <c r="K502" s="137" t="s">
        <v>118</v>
      </c>
      <c r="L502" s="137" t="s">
        <v>119</v>
      </c>
      <c r="M502" s="137" t="s">
        <v>119</v>
      </c>
    </row>
    <row r="503">
      <c r="A503" s="54">
        <f>F503-C503-B503</f>
        <v>387301.34</v>
      </c>
      <c r="B503" s="90">
        <f t="shared" ref="B503:D503" si="182">sum(B505:B509)</f>
        <v>50000</v>
      </c>
      <c r="C503" s="141">
        <f t="shared" si="182"/>
        <v>107402.75</v>
      </c>
      <c r="D503" s="142">
        <f t="shared" si="182"/>
        <v>38500</v>
      </c>
      <c r="E503" s="59"/>
      <c r="F503" s="63">
        <f>sum(F505:F509)</f>
        <v>544704.09</v>
      </c>
      <c r="G503" s="136" t="s">
        <v>120</v>
      </c>
      <c r="H503" s="137" t="s">
        <v>121</v>
      </c>
      <c r="I503" s="137" t="s">
        <v>111</v>
      </c>
      <c r="J503" s="137" t="s">
        <v>112</v>
      </c>
      <c r="K503" s="137" t="s">
        <v>113</v>
      </c>
      <c r="L503" s="137" t="s">
        <v>114</v>
      </c>
      <c r="M503" s="137" t="s">
        <v>65</v>
      </c>
    </row>
    <row r="504">
      <c r="A504" s="32" t="s">
        <v>72</v>
      </c>
      <c r="B504" s="122" t="s">
        <v>84</v>
      </c>
      <c r="C504" s="143" t="s">
        <v>67</v>
      </c>
      <c r="D504" s="143" t="s">
        <v>122</v>
      </c>
      <c r="E504" s="34">
        <f>today()</f>
        <v>45969</v>
      </c>
      <c r="F504" s="35" t="s">
        <v>64</v>
      </c>
      <c r="G504" s="144" t="s">
        <v>107</v>
      </c>
      <c r="H504" s="144" t="s">
        <v>107</v>
      </c>
      <c r="I504" s="145" t="str">
        <f>I493</f>
        <v>STR Residency</v>
      </c>
      <c r="J504" s="145" t="s">
        <v>112</v>
      </c>
      <c r="K504" s="145" t="s">
        <v>113</v>
      </c>
      <c r="L504" s="145" t="s">
        <v>114</v>
      </c>
      <c r="M504" s="145" t="s">
        <v>65</v>
      </c>
    </row>
    <row r="505">
      <c r="A505" s="53">
        <f t="shared" ref="A505:A509" si="183">F505-C505-B505</f>
        <v>0</v>
      </c>
      <c r="B505" s="69">
        <f>B494+B502/5</f>
        <v>8600</v>
      </c>
      <c r="C505" s="133">
        <f>sumif(G501:M501,"Pending",G505:M505)</f>
        <v>80767.75</v>
      </c>
      <c r="D505" s="133">
        <f t="shared" ref="D505:D509" si="184">D494+M505</f>
        <v>11500</v>
      </c>
      <c r="E505" s="32" t="s">
        <v>76</v>
      </c>
      <c r="F505" s="150">
        <f>sumif(G501:M501,"Pending",G505:M505)+B505</f>
        <v>89367.75</v>
      </c>
      <c r="G505" s="146">
        <f>sumif('Bills - CC EMIs'!D:D,A500,'Bills - CC EMIs'!E:E)+SUMIF('Bills - CC EMIs'!D:D,A500,'Bills - CC EMIs'!F:F)+sumif('Bills - CC EMIs'!D:D,A500,'Bills - CC EMIs'!G:G)</f>
        <v>33400.75</v>
      </c>
      <c r="H505" s="146">
        <f>SUMIFS('Bills - Loans'!F:F,'Bills - Loans'!D:D,A500)</f>
        <v>40367</v>
      </c>
      <c r="I505" s="147">
        <v>0.0</v>
      </c>
      <c r="J505" s="137">
        <f>sumif('Bills - Responsibilities'!D:D,A500,'Bills - Responsibilities'!E:E)</f>
        <v>5000</v>
      </c>
      <c r="K505" s="147">
        <v>0.0</v>
      </c>
      <c r="L505" s="147">
        <f>sumif('Bills - Returns'!C:C,A500,'Bills - Returns'!D:D)</f>
        <v>0</v>
      </c>
      <c r="M505" s="147">
        <f>sumif('Bills - Investments'!C:C,A500,'Bills - Investments'!D:D)</f>
        <v>2000</v>
      </c>
    </row>
    <row r="506">
      <c r="A506" s="53">
        <f t="shared" si="183"/>
        <v>387301.34</v>
      </c>
      <c r="B506" s="69">
        <f>B495+B502/5</f>
        <v>8600</v>
      </c>
      <c r="C506" s="133">
        <f>sumif(G501:M501,"Pending",G506:M506)</f>
        <v>26635</v>
      </c>
      <c r="D506" s="133">
        <f t="shared" si="184"/>
        <v>27000</v>
      </c>
      <c r="E506" s="32" t="s">
        <v>77</v>
      </c>
      <c r="F506" s="90">
        <f>E501-F505-sum(F507:F509)</f>
        <v>422536.34</v>
      </c>
      <c r="G506" s="148">
        <f>sumif('Bills - CC EMIs'!D:D,A500,'Bills - CC EMIs'!H:H)</f>
        <v>0</v>
      </c>
      <c r="H506" s="147">
        <f>SUMIFS('Bills - Loans'!E:E,'Bills - Loans'!D:D,A500)</f>
        <v>15742</v>
      </c>
      <c r="I506" s="137">
        <f>sumif('Bills - STR Residency'!D:D,A500,'Bills - STR Residency'!E:E)</f>
        <v>2854</v>
      </c>
      <c r="J506" s="147">
        <v>0.0</v>
      </c>
      <c r="K506" s="147">
        <f>sumif('Bills - Utilities'!C:C,A500,'Bills - Utilities'!B:B)</f>
        <v>1039</v>
      </c>
      <c r="L506" s="147">
        <f>sumif('Bills - Utilities'!D:D,B500,'Bills - Utilities'!C:C)</f>
        <v>0</v>
      </c>
      <c r="M506" s="147">
        <f>sumif('Bills - Investments'!C:C,A500,'Bills - Investments'!E:E)</f>
        <v>7000</v>
      </c>
    </row>
    <row r="507">
      <c r="A507" s="53">
        <f t="shared" si="183"/>
        <v>0</v>
      </c>
      <c r="B507" s="69">
        <f>B496+B502/5</f>
        <v>8600</v>
      </c>
      <c r="C507" s="133">
        <f>sumif(G501:M501,"Pending",G507:M507)</f>
        <v>0</v>
      </c>
      <c r="D507" s="133">
        <f t="shared" si="184"/>
        <v>0</v>
      </c>
      <c r="E507" s="32" t="s">
        <v>81</v>
      </c>
      <c r="F507" s="90">
        <f t="shared" ref="F507:F509" si="185">sum(G507:M507)+B507</f>
        <v>8600</v>
      </c>
      <c r="G507" s="148">
        <f t="shared" ref="G507:G509" si="186">(G496+G485+G474)/3</f>
        <v>0</v>
      </c>
      <c r="H507" s="147">
        <f t="shared" ref="H507:H509" si="187">(H496+H485)/2</f>
        <v>0</v>
      </c>
      <c r="I507" s="147">
        <f t="shared" ref="I507:I509" si="188">I496</f>
        <v>0</v>
      </c>
      <c r="J507" s="147">
        <v>0.0</v>
      </c>
      <c r="K507" s="147">
        <v>0.0</v>
      </c>
      <c r="L507" s="147">
        <v>0.0</v>
      </c>
      <c r="M507" s="147">
        <v>0.0</v>
      </c>
    </row>
    <row r="508">
      <c r="A508" s="53">
        <f t="shared" si="183"/>
        <v>0</v>
      </c>
      <c r="B508" s="69">
        <f>B497+B502/5</f>
        <v>15600</v>
      </c>
      <c r="C508" s="133">
        <f>sumif(G501:M501,"Pending",G508:M508)</f>
        <v>0</v>
      </c>
      <c r="D508" s="133">
        <f t="shared" si="184"/>
        <v>0</v>
      </c>
      <c r="E508" s="32" t="s">
        <v>79</v>
      </c>
      <c r="F508" s="90">
        <f t="shared" si="185"/>
        <v>15600</v>
      </c>
      <c r="G508" s="148">
        <f t="shared" si="186"/>
        <v>0</v>
      </c>
      <c r="H508" s="147">
        <f t="shared" si="187"/>
        <v>0</v>
      </c>
      <c r="I508" s="147">
        <f t="shared" si="188"/>
        <v>0</v>
      </c>
      <c r="J508" s="147">
        <v>0.0</v>
      </c>
      <c r="K508" s="147">
        <v>0.0</v>
      </c>
      <c r="L508" s="147">
        <v>0.0</v>
      </c>
      <c r="M508" s="147">
        <v>0.0</v>
      </c>
    </row>
    <row r="509">
      <c r="A509" s="53">
        <f t="shared" si="183"/>
        <v>0</v>
      </c>
      <c r="B509" s="69">
        <f>B498+B502/5</f>
        <v>8600</v>
      </c>
      <c r="C509" s="133">
        <f>sumif(G501:M501,"Pending",G509:M509)</f>
        <v>0</v>
      </c>
      <c r="D509" s="133">
        <f t="shared" si="184"/>
        <v>0</v>
      </c>
      <c r="E509" s="33" t="s">
        <v>91</v>
      </c>
      <c r="F509" s="90">
        <f t="shared" si="185"/>
        <v>8600</v>
      </c>
      <c r="G509" s="148">
        <f t="shared" si="186"/>
        <v>0</v>
      </c>
      <c r="H509" s="147">
        <f t="shared" si="187"/>
        <v>0</v>
      </c>
      <c r="I509" s="147">
        <f t="shared" si="188"/>
        <v>0</v>
      </c>
      <c r="J509" s="147">
        <v>0.0</v>
      </c>
      <c r="K509" s="147">
        <v>0.0</v>
      </c>
      <c r="L509" s="147">
        <v>0.0</v>
      </c>
      <c r="M509" s="147">
        <v>0.0</v>
      </c>
    </row>
    <row r="510">
      <c r="A510" s="24"/>
      <c r="B510" s="24"/>
      <c r="C510" s="24"/>
      <c r="D510" s="24"/>
      <c r="E510" s="24"/>
      <c r="F510" s="25"/>
      <c r="G510" s="25"/>
      <c r="H510" s="24"/>
      <c r="I510" s="25"/>
      <c r="J510" s="25"/>
      <c r="K510" s="25"/>
      <c r="L510" s="25"/>
      <c r="M510" s="24"/>
    </row>
    <row r="511">
      <c r="A511" s="71">
        <v>46174.0</v>
      </c>
      <c r="B511" s="24"/>
      <c r="C511" s="24"/>
      <c r="D511" s="25" t="s">
        <v>108</v>
      </c>
      <c r="E511" s="74">
        <f>A514-A503</f>
        <v>33979.68</v>
      </c>
      <c r="F511" s="25" t="s">
        <v>64</v>
      </c>
      <c r="G511" s="136" t="s">
        <v>109</v>
      </c>
      <c r="H511" s="137" t="s">
        <v>110</v>
      </c>
      <c r="I511" s="137" t="s">
        <v>111</v>
      </c>
      <c r="J511" s="137" t="s">
        <v>112</v>
      </c>
      <c r="K511" s="137" t="s">
        <v>113</v>
      </c>
      <c r="L511" s="137" t="s">
        <v>114</v>
      </c>
      <c r="M511" s="137" t="s">
        <v>65</v>
      </c>
    </row>
    <row r="512">
      <c r="A512" s="25" t="s">
        <v>95</v>
      </c>
      <c r="B512" s="72">
        <f>Projections!AO15</f>
        <v>182905.8</v>
      </c>
      <c r="C512" s="138">
        <f>A511</f>
        <v>46174</v>
      </c>
      <c r="D512" s="98" t="s">
        <v>115</v>
      </c>
      <c r="E512" s="57">
        <f>Projections!AO14</f>
        <v>620207.14</v>
      </c>
      <c r="F512" s="73" t="s">
        <v>67</v>
      </c>
      <c r="G512" s="139" t="s">
        <v>67</v>
      </c>
      <c r="H512" s="139" t="s">
        <v>67</v>
      </c>
      <c r="I512" s="137" t="s">
        <v>67</v>
      </c>
      <c r="J512" s="137" t="s">
        <v>67</v>
      </c>
      <c r="K512" s="137" t="s">
        <v>67</v>
      </c>
      <c r="L512" s="137" t="s">
        <v>67</v>
      </c>
      <c r="M512" s="137" t="s">
        <v>67</v>
      </c>
    </row>
    <row r="513">
      <c r="A513" s="25" t="s">
        <v>69</v>
      </c>
      <c r="B513" s="119">
        <f>if(B502&gt;B512/10,B502,B502+500)</f>
        <v>6000</v>
      </c>
      <c r="C513" s="138">
        <f>EOMONTH(C512,0)</f>
        <v>46203</v>
      </c>
      <c r="D513" s="25" t="s">
        <v>116</v>
      </c>
      <c r="E513" s="74">
        <f>if(today()&gt;C513,0,B512*12/365/5)</f>
        <v>1202.668274</v>
      </c>
      <c r="F513" s="25" t="s">
        <v>70</v>
      </c>
      <c r="G513" s="140" t="s">
        <v>117</v>
      </c>
      <c r="H513" s="137" t="s">
        <v>117</v>
      </c>
      <c r="I513" s="137" t="s">
        <v>118</v>
      </c>
      <c r="J513" s="137" t="s">
        <v>118</v>
      </c>
      <c r="K513" s="137" t="s">
        <v>118</v>
      </c>
      <c r="L513" s="137" t="s">
        <v>119</v>
      </c>
      <c r="M513" s="137" t="s">
        <v>119</v>
      </c>
    </row>
    <row r="514">
      <c r="A514" s="54">
        <f>F514-C514-B514</f>
        <v>421281.02</v>
      </c>
      <c r="B514" s="90">
        <f t="shared" ref="B514:D514" si="189">sum(B516:B520)</f>
        <v>56000</v>
      </c>
      <c r="C514" s="141">
        <f t="shared" si="189"/>
        <v>142926.12</v>
      </c>
      <c r="D514" s="142">
        <f t="shared" si="189"/>
        <v>48500</v>
      </c>
      <c r="E514" s="59"/>
      <c r="F514" s="63">
        <f>sum(F516:F520)</f>
        <v>620207.14</v>
      </c>
      <c r="G514" s="136" t="s">
        <v>120</v>
      </c>
      <c r="H514" s="137" t="s">
        <v>121</v>
      </c>
      <c r="I514" s="137" t="s">
        <v>111</v>
      </c>
      <c r="J514" s="137" t="s">
        <v>112</v>
      </c>
      <c r="K514" s="137" t="s">
        <v>113</v>
      </c>
      <c r="L514" s="137" t="s">
        <v>114</v>
      </c>
      <c r="M514" s="137" t="s">
        <v>65</v>
      </c>
    </row>
    <row r="515">
      <c r="A515" s="32" t="s">
        <v>72</v>
      </c>
      <c r="B515" s="122" t="s">
        <v>84</v>
      </c>
      <c r="C515" s="143" t="s">
        <v>67</v>
      </c>
      <c r="D515" s="143" t="s">
        <v>122</v>
      </c>
      <c r="E515" s="34">
        <f>today()</f>
        <v>45969</v>
      </c>
      <c r="F515" s="35" t="s">
        <v>64</v>
      </c>
      <c r="G515" s="144" t="s">
        <v>107</v>
      </c>
      <c r="H515" s="144" t="s">
        <v>107</v>
      </c>
      <c r="I515" s="145" t="str">
        <f>I504</f>
        <v>STR Residency</v>
      </c>
      <c r="J515" s="145" t="s">
        <v>112</v>
      </c>
      <c r="K515" s="145" t="s">
        <v>113</v>
      </c>
      <c r="L515" s="145" t="s">
        <v>114</v>
      </c>
      <c r="M515" s="145" t="s">
        <v>65</v>
      </c>
    </row>
    <row r="516">
      <c r="A516" s="53">
        <f t="shared" ref="A516:A520" si="190">F516-C516-B516</f>
        <v>0</v>
      </c>
      <c r="B516" s="69">
        <f>B505+B513/5</f>
        <v>9800</v>
      </c>
      <c r="C516" s="133">
        <f>sumif(G512:M512,"Pending",G516:M516)</f>
        <v>115290.12</v>
      </c>
      <c r="D516" s="133">
        <f t="shared" ref="D516:D520" si="191">D505+M516</f>
        <v>13500</v>
      </c>
      <c r="E516" s="32" t="s">
        <v>76</v>
      </c>
      <c r="F516" s="150">
        <f>sumif(G512:M512,"Pending",G516:M516)+B516</f>
        <v>125090.12</v>
      </c>
      <c r="G516" s="146">
        <f>sumif('Bills - CC EMIs'!D:D,A511,'Bills - CC EMIs'!E:E)+SUMIF('Bills - CC EMIs'!D:D,A511,'Bills - CC EMIs'!F:F)+sumif('Bills - CC EMIs'!D:D,A511,'Bills - CC EMIs'!G:G)</f>
        <v>67923.12</v>
      </c>
      <c r="H516" s="146">
        <f>SUMIFS('Bills - Loans'!F:F,'Bills - Loans'!D:D,A511)</f>
        <v>40367</v>
      </c>
      <c r="I516" s="147">
        <v>0.0</v>
      </c>
      <c r="J516" s="137">
        <f>sumif('Bills - Responsibilities'!D:D,A511,'Bills - Responsibilities'!E:E)</f>
        <v>5000</v>
      </c>
      <c r="K516" s="147">
        <v>0.0</v>
      </c>
      <c r="L516" s="147">
        <f>sumif('Bills - Returns'!C:C,A511,'Bills - Returns'!D:D)</f>
        <v>0</v>
      </c>
      <c r="M516" s="147">
        <f>sumif('Bills - Investments'!C:C,A511,'Bills - Investments'!D:D)</f>
        <v>2000</v>
      </c>
    </row>
    <row r="517">
      <c r="A517" s="53">
        <f t="shared" si="190"/>
        <v>421281.02</v>
      </c>
      <c r="B517" s="69">
        <f>B506+B513/5</f>
        <v>9800</v>
      </c>
      <c r="C517" s="133">
        <f>sumif(G512:M512,"Pending",G517:M517)</f>
        <v>27636</v>
      </c>
      <c r="D517" s="133">
        <f t="shared" si="191"/>
        <v>35000</v>
      </c>
      <c r="E517" s="32" t="s">
        <v>77</v>
      </c>
      <c r="F517" s="90">
        <f>E512-F516-sum(F518:F520)</f>
        <v>458717.02</v>
      </c>
      <c r="G517" s="148">
        <f>sumif('Bills - CC EMIs'!D:D,A511,'Bills - CC EMIs'!H:H)</f>
        <v>0</v>
      </c>
      <c r="H517" s="147">
        <f>SUMIFS('Bills - Loans'!E:E,'Bills - Loans'!D:D,A511)</f>
        <v>15742</v>
      </c>
      <c r="I517" s="137">
        <f>sumif('Bills - STR Residency'!D:D,A511,'Bills - STR Residency'!E:E)</f>
        <v>2855</v>
      </c>
      <c r="J517" s="147">
        <v>0.0</v>
      </c>
      <c r="K517" s="147">
        <f>sumif('Bills - Utilities'!C:C,A511,'Bills - Utilities'!B:B)</f>
        <v>1039</v>
      </c>
      <c r="L517" s="147">
        <f>sumif('Bills - Utilities'!D:D,B511,'Bills - Utilities'!C:C)</f>
        <v>0</v>
      </c>
      <c r="M517" s="147">
        <f>sumif('Bills - Investments'!C:C,A511,'Bills - Investments'!E:E)</f>
        <v>8000</v>
      </c>
    </row>
    <row r="518">
      <c r="A518" s="53">
        <f t="shared" si="190"/>
        <v>0</v>
      </c>
      <c r="B518" s="69">
        <f>B507+B513/5</f>
        <v>9800</v>
      </c>
      <c r="C518" s="133">
        <f>sumif(G512:M512,"Pending",G518:M518)</f>
        <v>0</v>
      </c>
      <c r="D518" s="133">
        <f t="shared" si="191"/>
        <v>0</v>
      </c>
      <c r="E518" s="32" t="s">
        <v>81</v>
      </c>
      <c r="F518" s="90">
        <f t="shared" ref="F518:F520" si="192">sum(G518:M518)+B518</f>
        <v>9800</v>
      </c>
      <c r="G518" s="148">
        <f t="shared" ref="G518:G520" si="193">(G507+G496+G485)/3</f>
        <v>0</v>
      </c>
      <c r="H518" s="147">
        <f t="shared" ref="H518:H520" si="194">(H507+H496)/2</f>
        <v>0</v>
      </c>
      <c r="I518" s="147">
        <f t="shared" ref="I518:I520" si="195">I507</f>
        <v>0</v>
      </c>
      <c r="J518" s="147">
        <v>0.0</v>
      </c>
      <c r="K518" s="147">
        <v>0.0</v>
      </c>
      <c r="L518" s="147">
        <v>0.0</v>
      </c>
      <c r="M518" s="147">
        <v>0.0</v>
      </c>
    </row>
    <row r="519">
      <c r="A519" s="53">
        <f t="shared" si="190"/>
        <v>0</v>
      </c>
      <c r="B519" s="69">
        <f>B508+B513/5</f>
        <v>16800</v>
      </c>
      <c r="C519" s="133">
        <f>sumif(G512:M512,"Pending",G519:M519)</f>
        <v>0</v>
      </c>
      <c r="D519" s="133">
        <f t="shared" si="191"/>
        <v>0</v>
      </c>
      <c r="E519" s="32" t="s">
        <v>79</v>
      </c>
      <c r="F519" s="90">
        <f t="shared" si="192"/>
        <v>16800</v>
      </c>
      <c r="G519" s="148">
        <f t="shared" si="193"/>
        <v>0</v>
      </c>
      <c r="H519" s="147">
        <f t="shared" si="194"/>
        <v>0</v>
      </c>
      <c r="I519" s="147">
        <f t="shared" si="195"/>
        <v>0</v>
      </c>
      <c r="J519" s="147">
        <v>0.0</v>
      </c>
      <c r="K519" s="147">
        <v>0.0</v>
      </c>
      <c r="L519" s="147">
        <v>0.0</v>
      </c>
      <c r="M519" s="147">
        <v>0.0</v>
      </c>
    </row>
    <row r="520">
      <c r="A520" s="53">
        <f t="shared" si="190"/>
        <v>0</v>
      </c>
      <c r="B520" s="69">
        <f>B509+B513/5</f>
        <v>9800</v>
      </c>
      <c r="C520" s="133">
        <f>sumif(G512:M512,"Pending",G520:M520)</f>
        <v>0</v>
      </c>
      <c r="D520" s="133">
        <f t="shared" si="191"/>
        <v>0</v>
      </c>
      <c r="E520" s="33" t="s">
        <v>91</v>
      </c>
      <c r="F520" s="90">
        <f t="shared" si="192"/>
        <v>9800</v>
      </c>
      <c r="G520" s="148">
        <f t="shared" si="193"/>
        <v>0</v>
      </c>
      <c r="H520" s="147">
        <f t="shared" si="194"/>
        <v>0</v>
      </c>
      <c r="I520" s="147">
        <f t="shared" si="195"/>
        <v>0</v>
      </c>
      <c r="J520" s="147">
        <v>0.0</v>
      </c>
      <c r="K520" s="147">
        <v>0.0</v>
      </c>
      <c r="L520" s="147">
        <v>0.0</v>
      </c>
      <c r="M520" s="147">
        <v>0.0</v>
      </c>
    </row>
    <row r="521">
      <c r="A521" s="24"/>
      <c r="B521" s="24"/>
      <c r="C521" s="24"/>
      <c r="D521" s="24"/>
      <c r="E521" s="24"/>
      <c r="F521" s="25"/>
      <c r="G521" s="25"/>
      <c r="H521" s="24"/>
      <c r="I521" s="25"/>
      <c r="J521" s="25"/>
      <c r="K521" s="25"/>
      <c r="L521" s="25"/>
      <c r="M521" s="24"/>
    </row>
    <row r="522">
      <c r="A522" s="71">
        <f>Projections!AP1</f>
        <v>46204</v>
      </c>
      <c r="B522" s="24"/>
      <c r="C522" s="24"/>
      <c r="D522" s="25" t="s">
        <v>108</v>
      </c>
      <c r="E522" s="74">
        <f>A525-A514</f>
        <v>71180.68</v>
      </c>
      <c r="F522" s="25" t="s">
        <v>64</v>
      </c>
      <c r="G522" s="136" t="s">
        <v>109</v>
      </c>
      <c r="H522" s="137" t="s">
        <v>110</v>
      </c>
      <c r="I522" s="137" t="s">
        <v>111</v>
      </c>
      <c r="J522" s="137" t="s">
        <v>112</v>
      </c>
      <c r="K522" s="137" t="s">
        <v>113</v>
      </c>
      <c r="L522" s="137" t="s">
        <v>114</v>
      </c>
      <c r="M522" s="137" t="s">
        <v>65</v>
      </c>
    </row>
    <row r="523">
      <c r="A523" s="25" t="s">
        <v>95</v>
      </c>
      <c r="B523" s="72">
        <f>Projections!AP15</f>
        <v>182905.8</v>
      </c>
      <c r="C523" s="138">
        <f>A522</f>
        <v>46204</v>
      </c>
      <c r="D523" s="98" t="s">
        <v>115</v>
      </c>
      <c r="E523" s="57">
        <f>Projections!AP14</f>
        <v>660186.82</v>
      </c>
      <c r="F523" s="73" t="s">
        <v>67</v>
      </c>
      <c r="G523" s="139" t="s">
        <v>67</v>
      </c>
      <c r="H523" s="139" t="s">
        <v>67</v>
      </c>
      <c r="I523" s="137" t="s">
        <v>67</v>
      </c>
      <c r="J523" s="137" t="s">
        <v>67</v>
      </c>
      <c r="K523" s="137" t="s">
        <v>67</v>
      </c>
      <c r="L523" s="137" t="s">
        <v>67</v>
      </c>
      <c r="M523" s="137" t="s">
        <v>67</v>
      </c>
    </row>
    <row r="524">
      <c r="A524" s="25" t="s">
        <v>69</v>
      </c>
      <c r="B524" s="119">
        <f>if(B513&gt;B523/10,B513,B513+500)</f>
        <v>6500</v>
      </c>
      <c r="C524" s="138">
        <f>EOMONTH(C523,0)</f>
        <v>46234</v>
      </c>
      <c r="D524" s="25" t="s">
        <v>116</v>
      </c>
      <c r="E524" s="74">
        <f>if(today()&gt;C524,0,B523*12/365/5)</f>
        <v>1202.668274</v>
      </c>
      <c r="F524" s="25" t="s">
        <v>70</v>
      </c>
      <c r="G524" s="140" t="s">
        <v>117</v>
      </c>
      <c r="H524" s="137" t="s">
        <v>117</v>
      </c>
      <c r="I524" s="137" t="s">
        <v>118</v>
      </c>
      <c r="J524" s="137" t="s">
        <v>118</v>
      </c>
      <c r="K524" s="137" t="s">
        <v>118</v>
      </c>
      <c r="L524" s="137" t="s">
        <v>119</v>
      </c>
      <c r="M524" s="137" t="s">
        <v>119</v>
      </c>
    </row>
    <row r="525">
      <c r="A525" s="54">
        <f>F525-C525-B525</f>
        <v>492461.7</v>
      </c>
      <c r="B525" s="90">
        <f t="shared" ref="B525:D525" si="196">sum(B527:B531)</f>
        <v>62500</v>
      </c>
      <c r="C525" s="141">
        <f t="shared" si="196"/>
        <v>105225.12</v>
      </c>
      <c r="D525" s="142">
        <f t="shared" si="196"/>
        <v>59500</v>
      </c>
      <c r="E525" s="59"/>
      <c r="F525" s="63">
        <f>sum(F527:F531)</f>
        <v>660186.82</v>
      </c>
      <c r="G525" s="136" t="s">
        <v>120</v>
      </c>
      <c r="H525" s="137" t="s">
        <v>121</v>
      </c>
      <c r="I525" s="137" t="s">
        <v>111</v>
      </c>
      <c r="J525" s="137" t="s">
        <v>112</v>
      </c>
      <c r="K525" s="137" t="s">
        <v>113</v>
      </c>
      <c r="L525" s="137" t="s">
        <v>114</v>
      </c>
      <c r="M525" s="137" t="s">
        <v>65</v>
      </c>
    </row>
    <row r="526">
      <c r="A526" s="32" t="s">
        <v>72</v>
      </c>
      <c r="B526" s="122" t="s">
        <v>84</v>
      </c>
      <c r="C526" s="143" t="s">
        <v>67</v>
      </c>
      <c r="D526" s="143" t="s">
        <v>122</v>
      </c>
      <c r="E526" s="34">
        <f>today()</f>
        <v>45969</v>
      </c>
      <c r="F526" s="35" t="s">
        <v>64</v>
      </c>
      <c r="G526" s="144" t="s">
        <v>107</v>
      </c>
      <c r="H526" s="144" t="s">
        <v>107</v>
      </c>
      <c r="I526" s="145" t="str">
        <f>I515</f>
        <v>STR Residency</v>
      </c>
      <c r="J526" s="145" t="s">
        <v>112</v>
      </c>
      <c r="K526" s="145" t="s">
        <v>113</v>
      </c>
      <c r="L526" s="145" t="s">
        <v>114</v>
      </c>
      <c r="M526" s="145" t="s">
        <v>65</v>
      </c>
    </row>
    <row r="527">
      <c r="A527" s="53">
        <f t="shared" ref="A527:A531" si="197">F527-C527-B527</f>
        <v>0</v>
      </c>
      <c r="B527" s="69">
        <f>B516+B524/5</f>
        <v>11100</v>
      </c>
      <c r="C527" s="133">
        <f>sumif(G523:M523,"Pending",G527:M527)</f>
        <v>75290.12</v>
      </c>
      <c r="D527" s="133">
        <f t="shared" ref="D527:D531" si="198">D516+M527</f>
        <v>15500</v>
      </c>
      <c r="E527" s="32" t="s">
        <v>76</v>
      </c>
      <c r="F527" s="150">
        <f>sumif(G523:M523,"Pending",G527:M527)+B527</f>
        <v>86390.12</v>
      </c>
      <c r="G527" s="146">
        <f>sumif('Bills - CC EMIs'!D:D,A522,'Bills - CC EMIs'!E:E)+SUMIF('Bills - CC EMIs'!D:D,A522,'Bills - CC EMIs'!F:F)+sumif('Bills - CC EMIs'!D:D,A522,'Bills - CC EMIs'!G:G)</f>
        <v>27923.12</v>
      </c>
      <c r="H527" s="146">
        <f>SUMIFS('Bills - Loans'!F:F,'Bills - Loans'!D:D,A522)</f>
        <v>40367</v>
      </c>
      <c r="I527" s="147">
        <v>0.0</v>
      </c>
      <c r="J527" s="137">
        <f>sumif('Bills - Responsibilities'!D:D,A522,'Bills - Responsibilities'!E:E)</f>
        <v>5000</v>
      </c>
      <c r="K527" s="147">
        <v>0.0</v>
      </c>
      <c r="L527" s="147">
        <f>sumif('Bills - Returns'!C:C,A522,'Bills - Returns'!D:D)</f>
        <v>0</v>
      </c>
      <c r="M527" s="147">
        <f>sumif('Bills - Investments'!C:C,A522,'Bills - Investments'!D:D)</f>
        <v>2000</v>
      </c>
    </row>
    <row r="528">
      <c r="A528" s="53">
        <f t="shared" si="197"/>
        <v>492461.7</v>
      </c>
      <c r="B528" s="69">
        <f>B517+B524/5</f>
        <v>11100</v>
      </c>
      <c r="C528" s="133">
        <f>sumif(G523:M523,"Pending",G528:M528)</f>
        <v>29935</v>
      </c>
      <c r="D528" s="133">
        <f t="shared" si="198"/>
        <v>44000</v>
      </c>
      <c r="E528" s="32" t="s">
        <v>77</v>
      </c>
      <c r="F528" s="90">
        <f>E523-F527-sum(F529:F531)</f>
        <v>533496.7</v>
      </c>
      <c r="G528" s="148">
        <f>sumif('Bills - CC EMIs'!D:D,A522,'Bills - CC EMIs'!H:H)</f>
        <v>0</v>
      </c>
      <c r="H528" s="147">
        <f>SUMIFS('Bills - Loans'!E:E,'Bills - Loans'!D:D,A522)</f>
        <v>15742</v>
      </c>
      <c r="I528" s="137">
        <f>sumif('Bills - STR Residency'!D:D,A522,'Bills - STR Residency'!E:E)</f>
        <v>2854</v>
      </c>
      <c r="J528" s="147">
        <v>0.0</v>
      </c>
      <c r="K528" s="147">
        <f>sumif('Bills - Utilities'!C:C,A522,'Bills - Utilities'!B:B)</f>
        <v>2339</v>
      </c>
      <c r="L528" s="147">
        <f>sumif('Bills - Utilities'!D:D,B522,'Bills - Utilities'!C:C)</f>
        <v>0</v>
      </c>
      <c r="M528" s="147">
        <f>sumif('Bills - Investments'!C:C,A522,'Bills - Investments'!E:E)</f>
        <v>9000</v>
      </c>
    </row>
    <row r="529">
      <c r="A529" s="53">
        <f t="shared" si="197"/>
        <v>0</v>
      </c>
      <c r="B529" s="69">
        <f>B518+B524/5</f>
        <v>11100</v>
      </c>
      <c r="C529" s="133">
        <f>sumif(G523:M523,"Pending",G529:M529)</f>
        <v>0</v>
      </c>
      <c r="D529" s="133">
        <f t="shared" si="198"/>
        <v>0</v>
      </c>
      <c r="E529" s="32" t="s">
        <v>81</v>
      </c>
      <c r="F529" s="90">
        <f t="shared" ref="F529:F531" si="199">sum(G529:M529)+B529</f>
        <v>11100</v>
      </c>
      <c r="G529" s="148">
        <f t="shared" ref="G529:G531" si="200">(G518+G507+G496)/3</f>
        <v>0</v>
      </c>
      <c r="H529" s="147">
        <f t="shared" ref="H529:H531" si="201">(H518+H507)/2</f>
        <v>0</v>
      </c>
      <c r="I529" s="147">
        <f t="shared" ref="I529:I531" si="202">I518</f>
        <v>0</v>
      </c>
      <c r="J529" s="147">
        <v>0.0</v>
      </c>
      <c r="K529" s="147">
        <v>0.0</v>
      </c>
      <c r="L529" s="147">
        <v>0.0</v>
      </c>
      <c r="M529" s="147">
        <v>0.0</v>
      </c>
    </row>
    <row r="530">
      <c r="A530" s="53">
        <f t="shared" si="197"/>
        <v>0</v>
      </c>
      <c r="B530" s="69">
        <f>B519+B524/5</f>
        <v>18100</v>
      </c>
      <c r="C530" s="133">
        <f>sumif(G523:M523,"Pending",G530:M530)</f>
        <v>0</v>
      </c>
      <c r="D530" s="133">
        <f t="shared" si="198"/>
        <v>0</v>
      </c>
      <c r="E530" s="32" t="s">
        <v>79</v>
      </c>
      <c r="F530" s="90">
        <f t="shared" si="199"/>
        <v>18100</v>
      </c>
      <c r="G530" s="148">
        <f t="shared" si="200"/>
        <v>0</v>
      </c>
      <c r="H530" s="147">
        <f t="shared" si="201"/>
        <v>0</v>
      </c>
      <c r="I530" s="147">
        <f t="shared" si="202"/>
        <v>0</v>
      </c>
      <c r="J530" s="147">
        <v>0.0</v>
      </c>
      <c r="K530" s="147">
        <v>0.0</v>
      </c>
      <c r="L530" s="147">
        <v>0.0</v>
      </c>
      <c r="M530" s="147">
        <v>0.0</v>
      </c>
    </row>
    <row r="531">
      <c r="A531" s="53">
        <f t="shared" si="197"/>
        <v>0</v>
      </c>
      <c r="B531" s="69">
        <f>B520+B524/5</f>
        <v>11100</v>
      </c>
      <c r="C531" s="133">
        <f>sumif(G523:M523,"Pending",G531:M531)</f>
        <v>0</v>
      </c>
      <c r="D531" s="133">
        <f t="shared" si="198"/>
        <v>0</v>
      </c>
      <c r="E531" s="33" t="s">
        <v>91</v>
      </c>
      <c r="F531" s="90">
        <f t="shared" si="199"/>
        <v>11100</v>
      </c>
      <c r="G531" s="148">
        <f t="shared" si="200"/>
        <v>0</v>
      </c>
      <c r="H531" s="147">
        <f t="shared" si="201"/>
        <v>0</v>
      </c>
      <c r="I531" s="147">
        <f t="shared" si="202"/>
        <v>0</v>
      </c>
      <c r="J531" s="147">
        <v>0.0</v>
      </c>
      <c r="K531" s="147">
        <v>0.0</v>
      </c>
      <c r="L531" s="147">
        <v>0.0</v>
      </c>
      <c r="M531" s="147">
        <v>0.0</v>
      </c>
    </row>
    <row r="532">
      <c r="A532" s="24"/>
      <c r="B532" s="24"/>
      <c r="C532" s="24"/>
      <c r="D532" s="24"/>
      <c r="E532" s="24"/>
      <c r="F532" s="25"/>
      <c r="G532" s="25"/>
      <c r="H532" s="24"/>
      <c r="I532" s="25"/>
      <c r="J532" s="25"/>
      <c r="K532" s="25"/>
      <c r="L532" s="25"/>
      <c r="M532" s="24"/>
    </row>
    <row r="533">
      <c r="A533" s="71">
        <f>Projections!AQ1</f>
        <v>46235</v>
      </c>
      <c r="B533" s="24"/>
      <c r="C533" s="24"/>
      <c r="D533" s="25" t="s">
        <v>108</v>
      </c>
      <c r="E533" s="74">
        <f>A536-A525</f>
        <v>70979.68</v>
      </c>
      <c r="F533" s="25" t="s">
        <v>64</v>
      </c>
      <c r="G533" s="136" t="s">
        <v>109</v>
      </c>
      <c r="H533" s="137" t="s">
        <v>110</v>
      </c>
      <c r="I533" s="137" t="s">
        <v>111</v>
      </c>
      <c r="J533" s="137" t="s">
        <v>112</v>
      </c>
      <c r="K533" s="137" t="s">
        <v>113</v>
      </c>
      <c r="L533" s="137" t="s">
        <v>114</v>
      </c>
      <c r="M533" s="137" t="s">
        <v>65</v>
      </c>
    </row>
    <row r="534">
      <c r="A534" s="25" t="s">
        <v>95</v>
      </c>
      <c r="B534" s="72">
        <f>Projections!AQ15</f>
        <v>182905.8</v>
      </c>
      <c r="C534" s="138">
        <f>A533</f>
        <v>46235</v>
      </c>
      <c r="D534" s="98" t="s">
        <v>115</v>
      </c>
      <c r="E534" s="57">
        <f>Projections!AQ14</f>
        <v>737867.5</v>
      </c>
      <c r="F534" s="73" t="s">
        <v>67</v>
      </c>
      <c r="G534" s="139" t="s">
        <v>67</v>
      </c>
      <c r="H534" s="139" t="s">
        <v>67</v>
      </c>
      <c r="I534" s="137" t="s">
        <v>67</v>
      </c>
      <c r="J534" s="137" t="s">
        <v>67</v>
      </c>
      <c r="K534" s="137" t="s">
        <v>67</v>
      </c>
      <c r="L534" s="137" t="s">
        <v>67</v>
      </c>
      <c r="M534" s="137" t="s">
        <v>67</v>
      </c>
    </row>
    <row r="535">
      <c r="A535" s="25" t="s">
        <v>69</v>
      </c>
      <c r="B535" s="119">
        <f>if(B524&gt;B534/10,B524,B524+500)</f>
        <v>7000</v>
      </c>
      <c r="C535" s="138">
        <f>EOMONTH(C534,0)</f>
        <v>46265</v>
      </c>
      <c r="D535" s="25" t="s">
        <v>116</v>
      </c>
      <c r="E535" s="74">
        <f>if(today()&gt;C535,0,B534*12/365/5)</f>
        <v>1202.668274</v>
      </c>
      <c r="F535" s="25" t="s">
        <v>70</v>
      </c>
      <c r="G535" s="140" t="s">
        <v>117</v>
      </c>
      <c r="H535" s="137" t="s">
        <v>117</v>
      </c>
      <c r="I535" s="137" t="s">
        <v>118</v>
      </c>
      <c r="J535" s="137" t="s">
        <v>118</v>
      </c>
      <c r="K535" s="137" t="s">
        <v>118</v>
      </c>
      <c r="L535" s="137" t="s">
        <v>119</v>
      </c>
      <c r="M535" s="137" t="s">
        <v>119</v>
      </c>
    </row>
    <row r="536">
      <c r="A536" s="54">
        <f>F536-C536-B536</f>
        <v>563441.38</v>
      </c>
      <c r="B536" s="90">
        <f t="shared" ref="B536:D536" si="203">sum(B538:B542)</f>
        <v>69500</v>
      </c>
      <c r="C536" s="141">
        <f t="shared" si="203"/>
        <v>104926.12</v>
      </c>
      <c r="D536" s="142">
        <f t="shared" si="203"/>
        <v>71500</v>
      </c>
      <c r="E536" s="59"/>
      <c r="F536" s="63">
        <f>sum(F538:F542)</f>
        <v>737867.5</v>
      </c>
      <c r="G536" s="136" t="s">
        <v>120</v>
      </c>
      <c r="H536" s="137" t="s">
        <v>121</v>
      </c>
      <c r="I536" s="137" t="s">
        <v>111</v>
      </c>
      <c r="J536" s="137" t="s">
        <v>112</v>
      </c>
      <c r="K536" s="137" t="s">
        <v>113</v>
      </c>
      <c r="L536" s="137" t="s">
        <v>114</v>
      </c>
      <c r="M536" s="137" t="s">
        <v>65</v>
      </c>
    </row>
    <row r="537">
      <c r="A537" s="32" t="s">
        <v>72</v>
      </c>
      <c r="B537" s="122" t="s">
        <v>84</v>
      </c>
      <c r="C537" s="143" t="s">
        <v>67</v>
      </c>
      <c r="D537" s="143" t="s">
        <v>122</v>
      </c>
      <c r="E537" s="34">
        <f>today()</f>
        <v>45969</v>
      </c>
      <c r="F537" s="35" t="s">
        <v>64</v>
      </c>
      <c r="G537" s="144" t="s">
        <v>107</v>
      </c>
      <c r="H537" s="144" t="s">
        <v>107</v>
      </c>
      <c r="I537" s="145" t="str">
        <f>I526</f>
        <v>STR Residency</v>
      </c>
      <c r="J537" s="145" t="s">
        <v>112</v>
      </c>
      <c r="K537" s="145" t="s">
        <v>113</v>
      </c>
      <c r="L537" s="145" t="s">
        <v>114</v>
      </c>
      <c r="M537" s="145" t="s">
        <v>65</v>
      </c>
    </row>
    <row r="538">
      <c r="A538" s="53">
        <f t="shared" ref="A538:A542" si="204">F538-C538-B538</f>
        <v>0</v>
      </c>
      <c r="B538" s="69">
        <f>B527+B535/5</f>
        <v>12500</v>
      </c>
      <c r="C538" s="133">
        <f>sumif(G534:M534,"Pending",G538:M538)</f>
        <v>75290.12</v>
      </c>
      <c r="D538" s="133">
        <f t="shared" ref="D538:D542" si="205">D527+M538</f>
        <v>17500</v>
      </c>
      <c r="E538" s="32" t="s">
        <v>76</v>
      </c>
      <c r="F538" s="150">
        <f>sumif(G534:M534,"Pending",G538:M538)+B538</f>
        <v>87790.12</v>
      </c>
      <c r="G538" s="146">
        <f>sumif('Bills - CC EMIs'!D:D,A533,'Bills - CC EMIs'!E:E)+SUMIF('Bills - CC EMIs'!D:D,A533,'Bills - CC EMIs'!F:F)+sumif('Bills - CC EMIs'!D:D,A533,'Bills - CC EMIs'!G:G)</f>
        <v>27923.12</v>
      </c>
      <c r="H538" s="146">
        <f>SUMIFS('Bills - Loans'!F:F,'Bills - Loans'!D:D,A533)</f>
        <v>40367</v>
      </c>
      <c r="I538" s="147">
        <v>0.0</v>
      </c>
      <c r="J538" s="137">
        <f>sumif('Bills - Responsibilities'!D:D,A533,'Bills - Responsibilities'!E:E)</f>
        <v>5000</v>
      </c>
      <c r="K538" s="147">
        <v>0.0</v>
      </c>
      <c r="L538" s="147">
        <f>sumif('Bills - Returns'!C:C,A533,'Bills - Returns'!D:D)</f>
        <v>0</v>
      </c>
      <c r="M538" s="147">
        <f>sumif('Bills - Investments'!C:C,A533,'Bills - Investments'!D:D)</f>
        <v>2000</v>
      </c>
    </row>
    <row r="539" ht="14.25" customHeight="1">
      <c r="A539" s="53">
        <f t="shared" si="204"/>
        <v>563441.38</v>
      </c>
      <c r="B539" s="69">
        <f>B528+B535/5</f>
        <v>12500</v>
      </c>
      <c r="C539" s="133">
        <f>sumif(G534:M534,"Pending",G539:M539)</f>
        <v>29636</v>
      </c>
      <c r="D539" s="133">
        <f t="shared" si="205"/>
        <v>54000</v>
      </c>
      <c r="E539" s="32" t="s">
        <v>77</v>
      </c>
      <c r="F539" s="90">
        <f>E534-F538-sum(F540:F542)</f>
        <v>605577.38</v>
      </c>
      <c r="G539" s="148">
        <f>sumif('Bills - CC EMIs'!D:D,A533,'Bills - CC EMIs'!H:H)</f>
        <v>0</v>
      </c>
      <c r="H539" s="147">
        <f>SUMIFS('Bills - Loans'!E:E,'Bills - Loans'!D:D,A533)</f>
        <v>15742</v>
      </c>
      <c r="I539" s="137">
        <f>sumif('Bills - STR Residency'!D:D,A533,'Bills - STR Residency'!E:E)</f>
        <v>2855</v>
      </c>
      <c r="J539" s="147">
        <v>0.0</v>
      </c>
      <c r="K539" s="147">
        <f>sumif('Bills - Utilities'!C:C,A533,'Bills - Utilities'!B:B)</f>
        <v>1039</v>
      </c>
      <c r="L539" s="147">
        <f>sumif('Bills - Utilities'!D:D,B533,'Bills - Utilities'!C:C)</f>
        <v>0</v>
      </c>
      <c r="M539" s="147">
        <f>sumif('Bills - Investments'!C:C,A533,'Bills - Investments'!E:E)</f>
        <v>10000</v>
      </c>
    </row>
    <row r="540">
      <c r="A540" s="53">
        <f t="shared" si="204"/>
        <v>0</v>
      </c>
      <c r="B540" s="69">
        <f>B529+B535/5</f>
        <v>12500</v>
      </c>
      <c r="C540" s="133">
        <f>sumif(G534:M534,"Pending",G540:M540)</f>
        <v>0</v>
      </c>
      <c r="D540" s="133">
        <f t="shared" si="205"/>
        <v>0</v>
      </c>
      <c r="E540" s="32" t="s">
        <v>81</v>
      </c>
      <c r="F540" s="90">
        <f t="shared" ref="F540:F542" si="206">sum(G540:M540)+B540</f>
        <v>12500</v>
      </c>
      <c r="G540" s="148">
        <f t="shared" ref="G540:G542" si="207">(G529+G518+G507)/3</f>
        <v>0</v>
      </c>
      <c r="H540" s="147">
        <f t="shared" ref="H540:H542" si="208">(H529+H518)/2</f>
        <v>0</v>
      </c>
      <c r="I540" s="147">
        <f t="shared" ref="I540:I542" si="209">I529</f>
        <v>0</v>
      </c>
      <c r="J540" s="147">
        <v>0.0</v>
      </c>
      <c r="K540" s="147">
        <v>0.0</v>
      </c>
      <c r="L540" s="147">
        <v>0.0</v>
      </c>
      <c r="M540" s="147">
        <v>0.0</v>
      </c>
    </row>
    <row r="541">
      <c r="A541" s="53">
        <f t="shared" si="204"/>
        <v>0</v>
      </c>
      <c r="B541" s="69">
        <f>B530+B535/5</f>
        <v>19500</v>
      </c>
      <c r="C541" s="133">
        <f>sumif(G534:M534,"Pending",G541:M541)</f>
        <v>0</v>
      </c>
      <c r="D541" s="133">
        <f t="shared" si="205"/>
        <v>0</v>
      </c>
      <c r="E541" s="32" t="s">
        <v>79</v>
      </c>
      <c r="F541" s="90">
        <f t="shared" si="206"/>
        <v>19500</v>
      </c>
      <c r="G541" s="148">
        <f t="shared" si="207"/>
        <v>0</v>
      </c>
      <c r="H541" s="147">
        <f t="shared" si="208"/>
        <v>0</v>
      </c>
      <c r="I541" s="147">
        <f t="shared" si="209"/>
        <v>0</v>
      </c>
      <c r="J541" s="147">
        <v>0.0</v>
      </c>
      <c r="K541" s="147">
        <v>0.0</v>
      </c>
      <c r="L541" s="147">
        <v>0.0</v>
      </c>
      <c r="M541" s="147">
        <v>0.0</v>
      </c>
    </row>
    <row r="542">
      <c r="A542" s="53">
        <f t="shared" si="204"/>
        <v>0</v>
      </c>
      <c r="B542" s="69">
        <f>B531+B535/5</f>
        <v>12500</v>
      </c>
      <c r="C542" s="133">
        <f>sumif(G534:M534,"Pending",G542:M542)</f>
        <v>0</v>
      </c>
      <c r="D542" s="133">
        <f t="shared" si="205"/>
        <v>0</v>
      </c>
      <c r="E542" s="33" t="s">
        <v>91</v>
      </c>
      <c r="F542" s="90">
        <f t="shared" si="206"/>
        <v>12500</v>
      </c>
      <c r="G542" s="148">
        <f t="shared" si="207"/>
        <v>0</v>
      </c>
      <c r="H542" s="147">
        <f t="shared" si="208"/>
        <v>0</v>
      </c>
      <c r="I542" s="147">
        <f t="shared" si="209"/>
        <v>0</v>
      </c>
      <c r="J542" s="147">
        <v>0.0</v>
      </c>
      <c r="K542" s="147">
        <v>0.0</v>
      </c>
      <c r="L542" s="147">
        <v>0.0</v>
      </c>
      <c r="M542" s="147">
        <v>0.0</v>
      </c>
    </row>
    <row r="543">
      <c r="A543" s="24"/>
      <c r="B543" s="24"/>
      <c r="C543" s="24"/>
      <c r="D543" s="24"/>
      <c r="E543" s="24"/>
      <c r="F543" s="25"/>
      <c r="G543" s="25"/>
      <c r="H543" s="24"/>
      <c r="I543" s="25"/>
      <c r="J543" s="25"/>
      <c r="K543" s="25"/>
      <c r="L543" s="25"/>
      <c r="M543" s="24"/>
    </row>
    <row r="544">
      <c r="A544" s="71">
        <f>Projections!AR1</f>
        <v>46266</v>
      </c>
      <c r="B544" s="24"/>
      <c r="C544" s="24"/>
      <c r="D544" s="25" t="s">
        <v>108</v>
      </c>
      <c r="E544" s="74">
        <f>A547-A536</f>
        <v>69479.68</v>
      </c>
      <c r="F544" s="25" t="s">
        <v>64</v>
      </c>
      <c r="G544" s="136" t="s">
        <v>109</v>
      </c>
      <c r="H544" s="137" t="s">
        <v>110</v>
      </c>
      <c r="I544" s="137" t="s">
        <v>111</v>
      </c>
      <c r="J544" s="137" t="s">
        <v>112</v>
      </c>
      <c r="K544" s="137" t="s">
        <v>113</v>
      </c>
      <c r="L544" s="137" t="s">
        <v>114</v>
      </c>
      <c r="M544" s="137" t="s">
        <v>65</v>
      </c>
    </row>
    <row r="545">
      <c r="A545" s="25" t="s">
        <v>95</v>
      </c>
      <c r="B545" s="72">
        <f>Projections!AR15</f>
        <v>182905.8</v>
      </c>
      <c r="C545" s="138">
        <f>A544</f>
        <v>46266</v>
      </c>
      <c r="D545" s="98" t="s">
        <v>115</v>
      </c>
      <c r="E545" s="57">
        <f>Projections!AR14</f>
        <v>815847.18</v>
      </c>
      <c r="F545" s="73" t="s">
        <v>67</v>
      </c>
      <c r="G545" s="139" t="s">
        <v>67</v>
      </c>
      <c r="H545" s="139" t="s">
        <v>67</v>
      </c>
      <c r="I545" s="137" t="s">
        <v>67</v>
      </c>
      <c r="J545" s="137" t="s">
        <v>67</v>
      </c>
      <c r="K545" s="137" t="s">
        <v>67</v>
      </c>
      <c r="L545" s="137" t="s">
        <v>67</v>
      </c>
      <c r="M545" s="137" t="s">
        <v>67</v>
      </c>
    </row>
    <row r="546">
      <c r="A546" s="25" t="s">
        <v>69</v>
      </c>
      <c r="B546" s="119">
        <f>if(B535&gt;B545/10,B535,B535+500)</f>
        <v>7500</v>
      </c>
      <c r="C546" s="138">
        <f>EOMONTH(C545,0)</f>
        <v>46295</v>
      </c>
      <c r="D546" s="25" t="s">
        <v>116</v>
      </c>
      <c r="E546" s="74">
        <f>if(today()&gt;C546,0,B545*12/365/5)</f>
        <v>1202.668274</v>
      </c>
      <c r="F546" s="25" t="s">
        <v>70</v>
      </c>
      <c r="G546" s="140" t="s">
        <v>117</v>
      </c>
      <c r="H546" s="137" t="s">
        <v>117</v>
      </c>
      <c r="I546" s="137" t="s">
        <v>118</v>
      </c>
      <c r="J546" s="137" t="s">
        <v>118</v>
      </c>
      <c r="K546" s="137" t="s">
        <v>118</v>
      </c>
      <c r="L546" s="137" t="s">
        <v>119</v>
      </c>
      <c r="M546" s="137" t="s">
        <v>119</v>
      </c>
    </row>
    <row r="547">
      <c r="A547" s="54">
        <f>F547-C547-B547</f>
        <v>632921.06</v>
      </c>
      <c r="B547" s="90">
        <f t="shared" ref="B547:D547" si="210">sum(B549:B553)</f>
        <v>77000</v>
      </c>
      <c r="C547" s="141">
        <f t="shared" si="210"/>
        <v>105926.12</v>
      </c>
      <c r="D547" s="142">
        <f t="shared" si="210"/>
        <v>84500</v>
      </c>
      <c r="E547" s="59"/>
      <c r="F547" s="63">
        <f>sum(F549:F553)</f>
        <v>815847.18</v>
      </c>
      <c r="G547" s="136" t="s">
        <v>120</v>
      </c>
      <c r="H547" s="137" t="s">
        <v>121</v>
      </c>
      <c r="I547" s="137" t="s">
        <v>111</v>
      </c>
      <c r="J547" s="137" t="s">
        <v>112</v>
      </c>
      <c r="K547" s="137" t="s">
        <v>113</v>
      </c>
      <c r="L547" s="137" t="s">
        <v>114</v>
      </c>
      <c r="M547" s="137" t="s">
        <v>65</v>
      </c>
    </row>
    <row r="548">
      <c r="A548" s="32" t="s">
        <v>72</v>
      </c>
      <c r="B548" s="122" t="s">
        <v>84</v>
      </c>
      <c r="C548" s="143" t="s">
        <v>67</v>
      </c>
      <c r="D548" s="143" t="s">
        <v>122</v>
      </c>
      <c r="E548" s="34">
        <f>today()</f>
        <v>45969</v>
      </c>
      <c r="F548" s="35" t="s">
        <v>64</v>
      </c>
      <c r="G548" s="144" t="s">
        <v>107</v>
      </c>
      <c r="H548" s="144" t="s">
        <v>107</v>
      </c>
      <c r="I548" s="145" t="str">
        <f>I537</f>
        <v>STR Residency</v>
      </c>
      <c r="J548" s="145" t="s">
        <v>112</v>
      </c>
      <c r="K548" s="145" t="s">
        <v>113</v>
      </c>
      <c r="L548" s="145" t="s">
        <v>114</v>
      </c>
      <c r="M548" s="145" t="s">
        <v>65</v>
      </c>
    </row>
    <row r="549">
      <c r="A549" s="53">
        <f t="shared" ref="A549:A553" si="211">F549-C549-B549</f>
        <v>0</v>
      </c>
      <c r="B549" s="69">
        <f>B538+B546/5</f>
        <v>14000</v>
      </c>
      <c r="C549" s="133">
        <f>sumif(G545:M545,"Pending",G549:M549)</f>
        <v>75290.12</v>
      </c>
      <c r="D549" s="133">
        <f t="shared" ref="D549:D553" si="212">D538+M549</f>
        <v>19500</v>
      </c>
      <c r="E549" s="32" t="s">
        <v>76</v>
      </c>
      <c r="F549" s="150">
        <f>sumif(G545:M545,"Pending",G549:M549)+B549</f>
        <v>89290.12</v>
      </c>
      <c r="G549" s="146">
        <f>sumif('Bills - CC EMIs'!D:D,A544,'Bills - CC EMIs'!E:E)+SUMIF('Bills - CC EMIs'!D:D,A544,'Bills - CC EMIs'!F:F)+sumif('Bills - CC EMIs'!D:D,A544,'Bills - CC EMIs'!G:G)</f>
        <v>27923.12</v>
      </c>
      <c r="H549" s="146">
        <f>SUMIFS('Bills - Loans'!F:F,'Bills - Loans'!D:D,A544)</f>
        <v>40367</v>
      </c>
      <c r="I549" s="147">
        <v>0.0</v>
      </c>
      <c r="J549" s="137">
        <f>sumif('Bills - Responsibilities'!D:D,A544,'Bills - Responsibilities'!E:E)</f>
        <v>5000</v>
      </c>
      <c r="K549" s="147">
        <v>0.0</v>
      </c>
      <c r="L549" s="147">
        <f>sumif('Bills - Returns'!C:C,A544,'Bills - Returns'!D:D)</f>
        <v>0</v>
      </c>
      <c r="M549" s="147">
        <f>sumif('Bills - Investments'!C:C,A544,'Bills - Investments'!D:D)</f>
        <v>2000</v>
      </c>
    </row>
    <row r="550">
      <c r="A550" s="53">
        <f t="shared" si="211"/>
        <v>632921.06</v>
      </c>
      <c r="B550" s="69">
        <f>B539+B546/5</f>
        <v>14000</v>
      </c>
      <c r="C550" s="133">
        <f>sumif(G545:M545,"Pending",G550:M550)</f>
        <v>30636</v>
      </c>
      <c r="D550" s="133">
        <f t="shared" si="212"/>
        <v>65000</v>
      </c>
      <c r="E550" s="32" t="s">
        <v>77</v>
      </c>
      <c r="F550" s="90">
        <f>E545-F549-sum(F551:F553)</f>
        <v>677557.06</v>
      </c>
      <c r="G550" s="148">
        <f>sumif('Bills - CC EMIs'!D:D,A544,'Bills - CC EMIs'!H:H)</f>
        <v>0</v>
      </c>
      <c r="H550" s="147">
        <f>SUMIFS('Bills - Loans'!E:E,'Bills - Loans'!D:D,A544)</f>
        <v>15742</v>
      </c>
      <c r="I550" s="137">
        <f>sumif('Bills - STR Residency'!D:D,A544,'Bills - STR Residency'!E:E)</f>
        <v>2855</v>
      </c>
      <c r="J550" s="147">
        <v>0.0</v>
      </c>
      <c r="K550" s="147">
        <f>sumif('Bills - Utilities'!C:C,A544,'Bills - Utilities'!B:B)</f>
        <v>1039</v>
      </c>
      <c r="L550" s="147">
        <f>sumif('Bills - Utilities'!D:D,B544,'Bills - Utilities'!C:C)</f>
        <v>0</v>
      </c>
      <c r="M550" s="147">
        <f>sumif('Bills - Investments'!C:C,A544,'Bills - Investments'!E:E)</f>
        <v>11000</v>
      </c>
    </row>
    <row r="551">
      <c r="A551" s="53">
        <f t="shared" si="211"/>
        <v>0</v>
      </c>
      <c r="B551" s="69">
        <f>B540+B546/5</f>
        <v>14000</v>
      </c>
      <c r="C551" s="133">
        <f>sumif(G545:M545,"Pending",G551:M551)</f>
        <v>0</v>
      </c>
      <c r="D551" s="133">
        <f t="shared" si="212"/>
        <v>0</v>
      </c>
      <c r="E551" s="32" t="s">
        <v>81</v>
      </c>
      <c r="F551" s="90">
        <f t="shared" ref="F551:F553" si="213">sum(G551:M551)+B551</f>
        <v>14000</v>
      </c>
      <c r="G551" s="148">
        <f t="shared" ref="G551:G553" si="214">(G540+G529+G518)/3</f>
        <v>0</v>
      </c>
      <c r="H551" s="147">
        <f t="shared" ref="H551:H553" si="215">(H540+H529)/2</f>
        <v>0</v>
      </c>
      <c r="I551" s="147">
        <f t="shared" ref="I551:I553" si="216">I540</f>
        <v>0</v>
      </c>
      <c r="J551" s="147">
        <v>0.0</v>
      </c>
      <c r="K551" s="147">
        <v>0.0</v>
      </c>
      <c r="L551" s="147">
        <v>0.0</v>
      </c>
      <c r="M551" s="147">
        <v>0.0</v>
      </c>
    </row>
    <row r="552">
      <c r="A552" s="53">
        <f t="shared" si="211"/>
        <v>0</v>
      </c>
      <c r="B552" s="69">
        <f>B541+B546/5</f>
        <v>21000</v>
      </c>
      <c r="C552" s="133">
        <f>sumif(G545:M545,"Pending",G552:M552)</f>
        <v>0</v>
      </c>
      <c r="D552" s="133">
        <f t="shared" si="212"/>
        <v>0</v>
      </c>
      <c r="E552" s="32" t="s">
        <v>79</v>
      </c>
      <c r="F552" s="90">
        <f t="shared" si="213"/>
        <v>21000</v>
      </c>
      <c r="G552" s="148">
        <f t="shared" si="214"/>
        <v>0</v>
      </c>
      <c r="H552" s="147">
        <f t="shared" si="215"/>
        <v>0</v>
      </c>
      <c r="I552" s="147">
        <f t="shared" si="216"/>
        <v>0</v>
      </c>
      <c r="J552" s="147">
        <v>0.0</v>
      </c>
      <c r="K552" s="147">
        <v>0.0</v>
      </c>
      <c r="L552" s="147">
        <v>0.0</v>
      </c>
      <c r="M552" s="147">
        <v>0.0</v>
      </c>
    </row>
    <row r="553">
      <c r="A553" s="53">
        <f t="shared" si="211"/>
        <v>0</v>
      </c>
      <c r="B553" s="69">
        <f>B542+B546/5</f>
        <v>14000</v>
      </c>
      <c r="C553" s="133">
        <f>sumif(G545:M545,"Pending",G553:M553)</f>
        <v>0</v>
      </c>
      <c r="D553" s="133">
        <f t="shared" si="212"/>
        <v>0</v>
      </c>
      <c r="E553" s="33" t="s">
        <v>91</v>
      </c>
      <c r="F553" s="90">
        <f t="shared" si="213"/>
        <v>14000</v>
      </c>
      <c r="G553" s="148">
        <f t="shared" si="214"/>
        <v>0</v>
      </c>
      <c r="H553" s="147">
        <f t="shared" si="215"/>
        <v>0</v>
      </c>
      <c r="I553" s="147">
        <f t="shared" si="216"/>
        <v>0</v>
      </c>
      <c r="J553" s="147">
        <v>0.0</v>
      </c>
      <c r="K553" s="147">
        <v>0.0</v>
      </c>
      <c r="L553" s="147">
        <v>0.0</v>
      </c>
      <c r="M553" s="147">
        <v>0.0</v>
      </c>
    </row>
    <row r="554">
      <c r="A554" s="24"/>
      <c r="B554" s="24"/>
      <c r="C554" s="24"/>
      <c r="D554" s="24"/>
      <c r="E554" s="24"/>
      <c r="F554" s="25"/>
      <c r="G554" s="25"/>
      <c r="H554" s="24"/>
      <c r="I554" s="25"/>
      <c r="J554" s="25"/>
      <c r="K554" s="25"/>
      <c r="L554" s="25"/>
      <c r="M554" s="24"/>
    </row>
    <row r="555">
      <c r="A555" s="71">
        <f>Projections!AS1</f>
        <v>46296</v>
      </c>
      <c r="B555" s="24"/>
      <c r="C555" s="24"/>
      <c r="D555" s="25" t="s">
        <v>108</v>
      </c>
      <c r="E555" s="74">
        <f>A558-A547</f>
        <v>59205.07</v>
      </c>
      <c r="F555" s="25" t="s">
        <v>64</v>
      </c>
      <c r="G555" s="136" t="s">
        <v>109</v>
      </c>
      <c r="H555" s="137" t="s">
        <v>110</v>
      </c>
      <c r="I555" s="137" t="s">
        <v>111</v>
      </c>
      <c r="J555" s="137" t="s">
        <v>112</v>
      </c>
      <c r="K555" s="137" t="s">
        <v>113</v>
      </c>
      <c r="L555" s="137" t="s">
        <v>114</v>
      </c>
      <c r="M555" s="137" t="s">
        <v>65</v>
      </c>
    </row>
    <row r="556">
      <c r="A556" s="25" t="s">
        <v>95</v>
      </c>
      <c r="B556" s="72">
        <f>Projections!AS15</f>
        <v>182905.8</v>
      </c>
      <c r="C556" s="138">
        <f>A555</f>
        <v>46296</v>
      </c>
      <c r="D556" s="98" t="s">
        <v>115</v>
      </c>
      <c r="E556" s="57">
        <f>Projections!AS14</f>
        <v>892826.86</v>
      </c>
      <c r="F556" s="73" t="s">
        <v>67</v>
      </c>
      <c r="G556" s="139" t="s">
        <v>67</v>
      </c>
      <c r="H556" s="139" t="s">
        <v>67</v>
      </c>
      <c r="I556" s="137" t="s">
        <v>67</v>
      </c>
      <c r="J556" s="137" t="s">
        <v>67</v>
      </c>
      <c r="K556" s="137" t="s">
        <v>67</v>
      </c>
      <c r="L556" s="137" t="s">
        <v>67</v>
      </c>
      <c r="M556" s="137" t="s">
        <v>67</v>
      </c>
    </row>
    <row r="557">
      <c r="A557" s="25" t="s">
        <v>69</v>
      </c>
      <c r="B557" s="119">
        <f>if(B546&gt;B556/10,B546,B546+500)</f>
        <v>8000</v>
      </c>
      <c r="C557" s="138">
        <f>EOMONTH(C556,0)</f>
        <v>46326</v>
      </c>
      <c r="D557" s="25" t="s">
        <v>116</v>
      </c>
      <c r="E557" s="74">
        <f>if(today()&gt;C557,0,B556*12/365/5)</f>
        <v>1202.668274</v>
      </c>
      <c r="F557" s="25" t="s">
        <v>70</v>
      </c>
      <c r="G557" s="140" t="s">
        <v>117</v>
      </c>
      <c r="H557" s="137" t="s">
        <v>117</v>
      </c>
      <c r="I557" s="137" t="s">
        <v>118</v>
      </c>
      <c r="J557" s="137" t="s">
        <v>118</v>
      </c>
      <c r="K557" s="137" t="s">
        <v>118</v>
      </c>
      <c r="L557" s="137" t="s">
        <v>119</v>
      </c>
      <c r="M557" s="137" t="s">
        <v>119</v>
      </c>
    </row>
    <row r="558">
      <c r="A558" s="54">
        <f>F558-C558-B558</f>
        <v>692126.13</v>
      </c>
      <c r="B558" s="90">
        <f t="shared" ref="B558:D558" si="217">sum(B560:B564)</f>
        <v>85000</v>
      </c>
      <c r="C558" s="141">
        <f t="shared" si="217"/>
        <v>115700.73</v>
      </c>
      <c r="D558" s="142">
        <f t="shared" si="217"/>
        <v>98500</v>
      </c>
      <c r="E558" s="59"/>
      <c r="F558" s="63">
        <f>sum(F560:F564)</f>
        <v>892826.86</v>
      </c>
      <c r="G558" s="136" t="s">
        <v>120</v>
      </c>
      <c r="H558" s="137" t="s">
        <v>121</v>
      </c>
      <c r="I558" s="137" t="s">
        <v>111</v>
      </c>
      <c r="J558" s="137" t="s">
        <v>112</v>
      </c>
      <c r="K558" s="137" t="s">
        <v>113</v>
      </c>
      <c r="L558" s="137" t="s">
        <v>114</v>
      </c>
      <c r="M558" s="137" t="s">
        <v>65</v>
      </c>
    </row>
    <row r="559">
      <c r="A559" s="32" t="s">
        <v>72</v>
      </c>
      <c r="B559" s="122" t="s">
        <v>84</v>
      </c>
      <c r="C559" s="143" t="s">
        <v>67</v>
      </c>
      <c r="D559" s="143" t="s">
        <v>122</v>
      </c>
      <c r="E559" s="34">
        <f>today()</f>
        <v>45969</v>
      </c>
      <c r="F559" s="35" t="s">
        <v>64</v>
      </c>
      <c r="G559" s="144" t="s">
        <v>107</v>
      </c>
      <c r="H559" s="144" t="s">
        <v>107</v>
      </c>
      <c r="I559" s="145" t="str">
        <f>I548</f>
        <v>STR Residency</v>
      </c>
      <c r="J559" s="145" t="s">
        <v>112</v>
      </c>
      <c r="K559" s="145" t="s">
        <v>113</v>
      </c>
      <c r="L559" s="145" t="s">
        <v>114</v>
      </c>
      <c r="M559" s="145" t="s">
        <v>65</v>
      </c>
    </row>
    <row r="560">
      <c r="A560" s="53">
        <f t="shared" ref="A560:A564" si="218">F560-C560-B560</f>
        <v>0</v>
      </c>
      <c r="B560" s="69">
        <f>B549+B557/5</f>
        <v>15600</v>
      </c>
      <c r="C560" s="133">
        <f>sumif(G556:M556,"Pending",G560:M560)</f>
        <v>69338.73</v>
      </c>
      <c r="D560" s="133">
        <f t="shared" ref="D560:D564" si="219">D549+M560</f>
        <v>21500</v>
      </c>
      <c r="E560" s="32" t="s">
        <v>76</v>
      </c>
      <c r="F560" s="150">
        <f>sumif(G556:M556,"Pending",G560:M560)+B560</f>
        <v>84938.73</v>
      </c>
      <c r="G560" s="146">
        <f>sumif('Bills - CC EMIs'!D:D,A555,'Bills - CC EMIs'!E:E)+SUMIF('Bills - CC EMIs'!D:D,A555,'Bills - CC EMIs'!F:F)+sumif('Bills - CC EMIs'!D:D,A555,'Bills - CC EMIs'!G:G)</f>
        <v>21971.73</v>
      </c>
      <c r="H560" s="146">
        <f>SUMIFS('Bills - Loans'!F:F,'Bills - Loans'!D:D,A555)</f>
        <v>40367</v>
      </c>
      <c r="I560" s="147">
        <v>0.0</v>
      </c>
      <c r="J560" s="137">
        <f>sumif('Bills - Responsibilities'!D:D,A555,'Bills - Responsibilities'!E:E)</f>
        <v>5000</v>
      </c>
      <c r="K560" s="147">
        <v>0.0</v>
      </c>
      <c r="L560" s="147">
        <f>sumif('Bills - Returns'!C:C,A555,'Bills - Returns'!D:D)</f>
        <v>0</v>
      </c>
      <c r="M560" s="147">
        <f>sumif('Bills - Investments'!C:C,A555,'Bills - Investments'!D:D)</f>
        <v>2000</v>
      </c>
    </row>
    <row r="561">
      <c r="A561" s="53">
        <f t="shared" si="218"/>
        <v>692126.13</v>
      </c>
      <c r="B561" s="69">
        <f>B550+B557/5</f>
        <v>15600</v>
      </c>
      <c r="C561" s="133">
        <f>sumif(G556:M556,"Pending",G561:M561)</f>
        <v>46362</v>
      </c>
      <c r="D561" s="133">
        <f t="shared" si="219"/>
        <v>77000</v>
      </c>
      <c r="E561" s="32" t="s">
        <v>77</v>
      </c>
      <c r="F561" s="90">
        <f>E556-F560-sum(F562:F564)</f>
        <v>754088.13</v>
      </c>
      <c r="G561" s="148">
        <f>sumif('Bills - CC EMIs'!D:D,A555,'Bills - CC EMIs'!H:H)</f>
        <v>0</v>
      </c>
      <c r="H561" s="147">
        <f>SUMIFS('Bills - Loans'!E:E,'Bills - Loans'!D:D,A555)</f>
        <v>15742</v>
      </c>
      <c r="I561" s="137">
        <f>sumif('Bills - STR Residency'!D:D,A555,'Bills - STR Residency'!E:E)</f>
        <v>2855</v>
      </c>
      <c r="J561" s="147">
        <v>0.0</v>
      </c>
      <c r="K561" s="147">
        <f>sumif('Bills - Utilities'!C:C,A555,'Bills - Utilities'!B:B)</f>
        <v>15765</v>
      </c>
      <c r="L561" s="147">
        <f>sumif('Bills - Utilities'!D:D,B555,'Bills - Utilities'!C:C)</f>
        <v>0</v>
      </c>
      <c r="M561" s="147">
        <f>sumif('Bills - Investments'!C:C,A555,'Bills - Investments'!E:E)</f>
        <v>12000</v>
      </c>
    </row>
    <row r="562">
      <c r="A562" s="53">
        <f t="shared" si="218"/>
        <v>0</v>
      </c>
      <c r="B562" s="69">
        <f>B551+B557/5</f>
        <v>15600</v>
      </c>
      <c r="C562" s="133">
        <f>sumif(G556:M556,"Pending",G562:M562)</f>
        <v>0</v>
      </c>
      <c r="D562" s="133">
        <f t="shared" si="219"/>
        <v>0</v>
      </c>
      <c r="E562" s="32" t="s">
        <v>81</v>
      </c>
      <c r="F562" s="90">
        <f t="shared" ref="F562:F564" si="220">sum(G562:M562)+B562</f>
        <v>15600</v>
      </c>
      <c r="G562" s="148">
        <f t="shared" ref="G562:G564" si="221">(G551+G540+G529)/3</f>
        <v>0</v>
      </c>
      <c r="H562" s="147">
        <f t="shared" ref="H562:H564" si="222">(H551+H540)/2</f>
        <v>0</v>
      </c>
      <c r="I562" s="147">
        <f t="shared" ref="I562:I564" si="223">I551</f>
        <v>0</v>
      </c>
      <c r="J562" s="147">
        <v>0.0</v>
      </c>
      <c r="K562" s="147">
        <v>0.0</v>
      </c>
      <c r="L562" s="147">
        <v>0.0</v>
      </c>
      <c r="M562" s="147">
        <v>0.0</v>
      </c>
    </row>
    <row r="563">
      <c r="A563" s="53">
        <f t="shared" si="218"/>
        <v>0</v>
      </c>
      <c r="B563" s="69">
        <f>B552+B557/5</f>
        <v>22600</v>
      </c>
      <c r="C563" s="133">
        <f>sumif(G556:M556,"Pending",G563:M563)</f>
        <v>0</v>
      </c>
      <c r="D563" s="133">
        <f t="shared" si="219"/>
        <v>0</v>
      </c>
      <c r="E563" s="32" t="s">
        <v>79</v>
      </c>
      <c r="F563" s="90">
        <f t="shared" si="220"/>
        <v>22600</v>
      </c>
      <c r="G563" s="148">
        <f t="shared" si="221"/>
        <v>0</v>
      </c>
      <c r="H563" s="147">
        <f t="shared" si="222"/>
        <v>0</v>
      </c>
      <c r="I563" s="147">
        <f t="shared" si="223"/>
        <v>0</v>
      </c>
      <c r="J563" s="147">
        <v>0.0</v>
      </c>
      <c r="K563" s="147">
        <v>0.0</v>
      </c>
      <c r="L563" s="147">
        <v>0.0</v>
      </c>
      <c r="M563" s="147">
        <v>0.0</v>
      </c>
    </row>
    <row r="564">
      <c r="A564" s="53">
        <f t="shared" si="218"/>
        <v>0</v>
      </c>
      <c r="B564" s="69">
        <f>B553+B557/5</f>
        <v>15600</v>
      </c>
      <c r="C564" s="133">
        <f>sumif(G556:M556,"Pending",G564:M564)</f>
        <v>0</v>
      </c>
      <c r="D564" s="133">
        <f t="shared" si="219"/>
        <v>0</v>
      </c>
      <c r="E564" s="33" t="s">
        <v>91</v>
      </c>
      <c r="F564" s="90">
        <f t="shared" si="220"/>
        <v>15600</v>
      </c>
      <c r="G564" s="148">
        <f t="shared" si="221"/>
        <v>0</v>
      </c>
      <c r="H564" s="147">
        <f t="shared" si="222"/>
        <v>0</v>
      </c>
      <c r="I564" s="147">
        <f t="shared" si="223"/>
        <v>0</v>
      </c>
      <c r="J564" s="147">
        <v>0.0</v>
      </c>
      <c r="K564" s="147">
        <v>0.0</v>
      </c>
      <c r="L564" s="147">
        <v>0.0</v>
      </c>
      <c r="M564" s="147">
        <v>0.0</v>
      </c>
    </row>
    <row r="565">
      <c r="A565" s="24"/>
      <c r="B565" s="24"/>
      <c r="C565" s="24"/>
      <c r="D565" s="24"/>
      <c r="E565" s="24"/>
      <c r="F565" s="25"/>
      <c r="G565" s="25"/>
      <c r="H565" s="24"/>
      <c r="I565" s="25"/>
      <c r="J565" s="25"/>
      <c r="K565" s="25"/>
      <c r="L565" s="25"/>
      <c r="M565" s="24"/>
    </row>
    <row r="566">
      <c r="A566" s="71">
        <f>Projections!AT1</f>
        <v>46327</v>
      </c>
      <c r="B566" s="24"/>
      <c r="C566" s="24"/>
      <c r="D566" s="25" t="s">
        <v>108</v>
      </c>
      <c r="E566" s="74">
        <f>A569-A558</f>
        <v>72571.96</v>
      </c>
      <c r="F566" s="25" t="s">
        <v>64</v>
      </c>
      <c r="G566" s="136" t="s">
        <v>109</v>
      </c>
      <c r="H566" s="137" t="s">
        <v>110</v>
      </c>
      <c r="I566" s="137" t="s">
        <v>111</v>
      </c>
      <c r="J566" s="137" t="s">
        <v>112</v>
      </c>
      <c r="K566" s="137" t="s">
        <v>113</v>
      </c>
      <c r="L566" s="137" t="s">
        <v>114</v>
      </c>
      <c r="M566" s="137" t="s">
        <v>65</v>
      </c>
    </row>
    <row r="567">
      <c r="A567" s="25" t="s">
        <v>95</v>
      </c>
      <c r="B567" s="72">
        <f>Projections!AT15</f>
        <v>182905.8</v>
      </c>
      <c r="C567" s="138">
        <f>A566</f>
        <v>46327</v>
      </c>
      <c r="D567" s="98" t="s">
        <v>115</v>
      </c>
      <c r="E567" s="57">
        <f>Projections!AT14</f>
        <v>960031.93</v>
      </c>
      <c r="F567" s="73" t="s">
        <v>67</v>
      </c>
      <c r="G567" s="139" t="s">
        <v>67</v>
      </c>
      <c r="H567" s="139" t="s">
        <v>67</v>
      </c>
      <c r="I567" s="137" t="s">
        <v>67</v>
      </c>
      <c r="J567" s="137" t="s">
        <v>67</v>
      </c>
      <c r="K567" s="137" t="s">
        <v>67</v>
      </c>
      <c r="L567" s="137" t="s">
        <v>67</v>
      </c>
      <c r="M567" s="137" t="s">
        <v>67</v>
      </c>
    </row>
    <row r="568">
      <c r="A568" s="25" t="s">
        <v>69</v>
      </c>
      <c r="B568" s="119">
        <f>if(B557&gt;B567/10,B557,B557+500)</f>
        <v>8500</v>
      </c>
      <c r="C568" s="138">
        <f>EOMONTH(C567,0)</f>
        <v>46356</v>
      </c>
      <c r="D568" s="25" t="s">
        <v>116</v>
      </c>
      <c r="E568" s="74">
        <f>if(today()&gt;C568,0,B567*12/365/5)</f>
        <v>1202.668274</v>
      </c>
      <c r="F568" s="25" t="s">
        <v>70</v>
      </c>
      <c r="G568" s="140" t="s">
        <v>117</v>
      </c>
      <c r="H568" s="137" t="s">
        <v>117</v>
      </c>
      <c r="I568" s="137" t="s">
        <v>118</v>
      </c>
      <c r="J568" s="137" t="s">
        <v>118</v>
      </c>
      <c r="K568" s="137" t="s">
        <v>118</v>
      </c>
      <c r="L568" s="137" t="s">
        <v>119</v>
      </c>
      <c r="M568" s="137" t="s">
        <v>119</v>
      </c>
    </row>
    <row r="569">
      <c r="A569" s="54">
        <f>F569-C569-B569</f>
        <v>764698.09</v>
      </c>
      <c r="B569" s="90">
        <f t="shared" ref="B569:D569" si="224">sum(B571:B575)</f>
        <v>93500</v>
      </c>
      <c r="C569" s="141">
        <f t="shared" si="224"/>
        <v>101833.84</v>
      </c>
      <c r="D569" s="142">
        <f t="shared" si="224"/>
        <v>113500</v>
      </c>
      <c r="E569" s="59"/>
      <c r="F569" s="63">
        <f>sum(F571:F575)</f>
        <v>960031.93</v>
      </c>
      <c r="G569" s="136" t="s">
        <v>120</v>
      </c>
      <c r="H569" s="137" t="s">
        <v>121</v>
      </c>
      <c r="I569" s="137" t="s">
        <v>111</v>
      </c>
      <c r="J569" s="137" t="s">
        <v>112</v>
      </c>
      <c r="K569" s="137" t="s">
        <v>113</v>
      </c>
      <c r="L569" s="137" t="s">
        <v>114</v>
      </c>
      <c r="M569" s="137" t="s">
        <v>65</v>
      </c>
    </row>
    <row r="570">
      <c r="A570" s="32" t="s">
        <v>72</v>
      </c>
      <c r="B570" s="122" t="s">
        <v>84</v>
      </c>
      <c r="C570" s="143" t="s">
        <v>67</v>
      </c>
      <c r="D570" s="143" t="s">
        <v>122</v>
      </c>
      <c r="E570" s="34">
        <f>today()</f>
        <v>45969</v>
      </c>
      <c r="F570" s="35" t="s">
        <v>64</v>
      </c>
      <c r="G570" s="144" t="s">
        <v>107</v>
      </c>
      <c r="H570" s="144" t="s">
        <v>107</v>
      </c>
      <c r="I570" s="145" t="str">
        <f>I559</f>
        <v>STR Residency</v>
      </c>
      <c r="J570" s="145" t="s">
        <v>112</v>
      </c>
      <c r="K570" s="145" t="s">
        <v>113</v>
      </c>
      <c r="L570" s="145" t="s">
        <v>114</v>
      </c>
      <c r="M570" s="145" t="s">
        <v>65</v>
      </c>
    </row>
    <row r="571">
      <c r="A571" s="53">
        <f t="shared" ref="A571:A575" si="225">F571-C571-B571</f>
        <v>0</v>
      </c>
      <c r="B571" s="69">
        <f>B560+B568/5</f>
        <v>17300</v>
      </c>
      <c r="C571" s="133">
        <f>sumif(G567:M567,"Pending",G571:M571)</f>
        <v>69197.84</v>
      </c>
      <c r="D571" s="133">
        <f t="shared" ref="D571:D575" si="226">D560+M571</f>
        <v>23500</v>
      </c>
      <c r="E571" s="32" t="s">
        <v>76</v>
      </c>
      <c r="F571" s="150">
        <f>sumif(G567:M567,"Pending",G571:M571)+B571</f>
        <v>86497.84</v>
      </c>
      <c r="G571" s="146">
        <f>sumif('Bills - CC EMIs'!D:D,A566,'Bills - CC EMIs'!E:E)+SUMIF('Bills - CC EMIs'!D:D,A566,'Bills - CC EMIs'!F:F)+sumif('Bills - CC EMIs'!D:D,A566,'Bills - CC EMIs'!G:G)</f>
        <v>21830.84</v>
      </c>
      <c r="H571" s="146">
        <f>SUMIFS('Bills - Loans'!F:F,'Bills - Loans'!D:D,A566)</f>
        <v>40367</v>
      </c>
      <c r="I571" s="147">
        <v>0.0</v>
      </c>
      <c r="J571" s="137">
        <f>sumif('Bills - Responsibilities'!D:D,A566,'Bills - Responsibilities'!E:E)</f>
        <v>5000</v>
      </c>
      <c r="K571" s="147">
        <v>0.0</v>
      </c>
      <c r="L571" s="147">
        <f>sumif('Bills - Returns'!C:C,A566,'Bills - Returns'!D:D)</f>
        <v>0</v>
      </c>
      <c r="M571" s="147">
        <f>sumif('Bills - Investments'!C:C,A566,'Bills - Investments'!D:D)</f>
        <v>2000</v>
      </c>
    </row>
    <row r="572">
      <c r="A572" s="53">
        <f t="shared" si="225"/>
        <v>764698.09</v>
      </c>
      <c r="B572" s="69">
        <f>B561+B568/5</f>
        <v>17300</v>
      </c>
      <c r="C572" s="133">
        <f>sumif(G567:M567,"Pending",G572:M572)</f>
        <v>32636</v>
      </c>
      <c r="D572" s="133">
        <f t="shared" si="226"/>
        <v>90000</v>
      </c>
      <c r="E572" s="32" t="s">
        <v>77</v>
      </c>
      <c r="F572" s="90">
        <f>E567-F571-sum(F573:F575)</f>
        <v>814634.09</v>
      </c>
      <c r="G572" s="148">
        <f>sumif('Bills - CC EMIs'!D:D,A566,'Bills - CC EMIs'!H:H)</f>
        <v>0</v>
      </c>
      <c r="H572" s="147">
        <f>SUMIFS('Bills - Loans'!E:E,'Bills - Loans'!D:D,A566)</f>
        <v>15742</v>
      </c>
      <c r="I572" s="137">
        <f>sumif('Bills - STR Residency'!D:D,A566,'Bills - STR Residency'!E:E)</f>
        <v>2855</v>
      </c>
      <c r="J572" s="147">
        <v>0.0</v>
      </c>
      <c r="K572" s="147">
        <f>sumif('Bills - Utilities'!C:C,A566,'Bills - Utilities'!B:B)</f>
        <v>1039</v>
      </c>
      <c r="L572" s="147">
        <f>sumif('Bills - Utilities'!D:D,B566,'Bills - Utilities'!C:C)</f>
        <v>0</v>
      </c>
      <c r="M572" s="147">
        <f>sumif('Bills - Investments'!C:C,A566,'Bills - Investments'!E:E)</f>
        <v>13000</v>
      </c>
    </row>
    <row r="573">
      <c r="A573" s="53">
        <f t="shared" si="225"/>
        <v>0</v>
      </c>
      <c r="B573" s="69">
        <f>B562+B568/5</f>
        <v>17300</v>
      </c>
      <c r="C573" s="133">
        <f>sumif(G567:M567,"Pending",G573:M573)</f>
        <v>0</v>
      </c>
      <c r="D573" s="133">
        <f t="shared" si="226"/>
        <v>0</v>
      </c>
      <c r="E573" s="32" t="s">
        <v>81</v>
      </c>
      <c r="F573" s="90">
        <f t="shared" ref="F573:F575" si="227">sum(G573:M573)+B573</f>
        <v>17300</v>
      </c>
      <c r="G573" s="148">
        <f t="shared" ref="G573:G575" si="228">(G562+G551+G540)/3</f>
        <v>0</v>
      </c>
      <c r="H573" s="147">
        <f t="shared" ref="H573:H575" si="229">(H562+H551)/2</f>
        <v>0</v>
      </c>
      <c r="I573" s="147">
        <f t="shared" ref="I573:I575" si="230">I562</f>
        <v>0</v>
      </c>
      <c r="J573" s="147">
        <v>0.0</v>
      </c>
      <c r="K573" s="147">
        <v>0.0</v>
      </c>
      <c r="L573" s="147">
        <v>0.0</v>
      </c>
      <c r="M573" s="147">
        <v>0.0</v>
      </c>
    </row>
    <row r="574">
      <c r="A574" s="53">
        <f t="shared" si="225"/>
        <v>0</v>
      </c>
      <c r="B574" s="69">
        <f>B563+B568/5</f>
        <v>24300</v>
      </c>
      <c r="C574" s="133">
        <f>sumif(G567:M567,"Pending",G574:M574)</f>
        <v>0</v>
      </c>
      <c r="D574" s="133">
        <f t="shared" si="226"/>
        <v>0</v>
      </c>
      <c r="E574" s="32" t="s">
        <v>79</v>
      </c>
      <c r="F574" s="90">
        <f t="shared" si="227"/>
        <v>24300</v>
      </c>
      <c r="G574" s="148">
        <f t="shared" si="228"/>
        <v>0</v>
      </c>
      <c r="H574" s="147">
        <f t="shared" si="229"/>
        <v>0</v>
      </c>
      <c r="I574" s="147">
        <f t="shared" si="230"/>
        <v>0</v>
      </c>
      <c r="J574" s="147">
        <v>0.0</v>
      </c>
      <c r="K574" s="147">
        <v>0.0</v>
      </c>
      <c r="L574" s="147">
        <v>0.0</v>
      </c>
      <c r="M574" s="147">
        <v>0.0</v>
      </c>
    </row>
    <row r="575">
      <c r="A575" s="53">
        <f t="shared" si="225"/>
        <v>0</v>
      </c>
      <c r="B575" s="69">
        <f>B564+B568/5</f>
        <v>17300</v>
      </c>
      <c r="C575" s="133">
        <f>sumif(G567:M567,"Pending",G575:M575)</f>
        <v>0</v>
      </c>
      <c r="D575" s="133">
        <f t="shared" si="226"/>
        <v>0</v>
      </c>
      <c r="E575" s="33" t="s">
        <v>91</v>
      </c>
      <c r="F575" s="90">
        <f t="shared" si="227"/>
        <v>17300</v>
      </c>
      <c r="G575" s="148">
        <f t="shared" si="228"/>
        <v>0</v>
      </c>
      <c r="H575" s="147">
        <f t="shared" si="229"/>
        <v>0</v>
      </c>
      <c r="I575" s="147">
        <f t="shared" si="230"/>
        <v>0</v>
      </c>
      <c r="J575" s="147">
        <v>0.0</v>
      </c>
      <c r="K575" s="147">
        <v>0.0</v>
      </c>
      <c r="L575" s="147">
        <v>0.0</v>
      </c>
      <c r="M575" s="147">
        <v>0.0</v>
      </c>
    </row>
    <row r="576">
      <c r="A576" s="24"/>
      <c r="B576" s="24"/>
      <c r="C576" s="24"/>
      <c r="D576" s="24"/>
      <c r="E576" s="24"/>
      <c r="F576" s="25"/>
      <c r="G576" s="25"/>
      <c r="H576" s="24"/>
      <c r="I576" s="25"/>
      <c r="J576" s="25"/>
      <c r="K576" s="25"/>
      <c r="L576" s="25"/>
      <c r="M576" s="24"/>
    </row>
    <row r="577">
      <c r="A577" s="71">
        <f>Projections!AU1</f>
        <v>46357</v>
      </c>
      <c r="B577" s="24"/>
      <c r="C577" s="24"/>
      <c r="D577" s="25" t="s">
        <v>108</v>
      </c>
      <c r="E577" s="74">
        <f>A580-A569</f>
        <v>71071.96</v>
      </c>
      <c r="F577" s="25" t="s">
        <v>64</v>
      </c>
      <c r="G577" s="136" t="s">
        <v>109</v>
      </c>
      <c r="H577" s="137" t="s">
        <v>110</v>
      </c>
      <c r="I577" s="137" t="s">
        <v>111</v>
      </c>
      <c r="J577" s="137" t="s">
        <v>112</v>
      </c>
      <c r="K577" s="137" t="s">
        <v>113</v>
      </c>
      <c r="L577" s="137" t="s">
        <v>114</v>
      </c>
      <c r="M577" s="137" t="s">
        <v>65</v>
      </c>
    </row>
    <row r="578">
      <c r="A578" s="25" t="s">
        <v>95</v>
      </c>
      <c r="B578" s="72">
        <f>Projections!AU15</f>
        <v>182905.8</v>
      </c>
      <c r="C578" s="138">
        <f>A577</f>
        <v>46357</v>
      </c>
      <c r="D578" s="98" t="s">
        <v>115</v>
      </c>
      <c r="E578" s="57">
        <f>Projections!AU14</f>
        <v>1041103.89</v>
      </c>
      <c r="F578" s="73" t="s">
        <v>67</v>
      </c>
      <c r="G578" s="139" t="s">
        <v>67</v>
      </c>
      <c r="H578" s="139" t="s">
        <v>67</v>
      </c>
      <c r="I578" s="137" t="s">
        <v>67</v>
      </c>
      <c r="J578" s="137" t="s">
        <v>67</v>
      </c>
      <c r="K578" s="137" t="s">
        <v>67</v>
      </c>
      <c r="L578" s="137" t="s">
        <v>67</v>
      </c>
      <c r="M578" s="137" t="s">
        <v>67</v>
      </c>
    </row>
    <row r="579">
      <c r="A579" s="25" t="s">
        <v>69</v>
      </c>
      <c r="B579" s="119">
        <f>if(B568&gt;B578/10,B568,B568+500)</f>
        <v>9000</v>
      </c>
      <c r="C579" s="138">
        <f>EOMONTH(C578,0)</f>
        <v>46387</v>
      </c>
      <c r="D579" s="25" t="s">
        <v>116</v>
      </c>
      <c r="E579" s="74">
        <f>if(today()&gt;C579,0,B578*12/365/5)</f>
        <v>1202.668274</v>
      </c>
      <c r="F579" s="25" t="s">
        <v>70</v>
      </c>
      <c r="G579" s="140" t="s">
        <v>117</v>
      </c>
      <c r="H579" s="137" t="s">
        <v>117</v>
      </c>
      <c r="I579" s="137" t="s">
        <v>118</v>
      </c>
      <c r="J579" s="137" t="s">
        <v>118</v>
      </c>
      <c r="K579" s="137" t="s">
        <v>118</v>
      </c>
      <c r="L579" s="137" t="s">
        <v>119</v>
      </c>
      <c r="M579" s="137" t="s">
        <v>119</v>
      </c>
    </row>
    <row r="580">
      <c r="A580" s="54">
        <f>F580-C580-B580</f>
        <v>835770.05</v>
      </c>
      <c r="B580" s="90">
        <f t="shared" ref="B580:D580" si="231">sum(B582:B586)</f>
        <v>102500</v>
      </c>
      <c r="C580" s="141">
        <f t="shared" si="231"/>
        <v>102833.84</v>
      </c>
      <c r="D580" s="142">
        <f t="shared" si="231"/>
        <v>129500</v>
      </c>
      <c r="E580" s="59"/>
      <c r="F580" s="63">
        <f>sum(F582:F586)</f>
        <v>1041103.89</v>
      </c>
      <c r="G580" s="136" t="s">
        <v>120</v>
      </c>
      <c r="H580" s="137" t="s">
        <v>121</v>
      </c>
      <c r="I580" s="137" t="s">
        <v>111</v>
      </c>
      <c r="J580" s="137" t="s">
        <v>112</v>
      </c>
      <c r="K580" s="137" t="s">
        <v>113</v>
      </c>
      <c r="L580" s="137" t="s">
        <v>114</v>
      </c>
      <c r="M580" s="137" t="s">
        <v>65</v>
      </c>
    </row>
    <row r="581">
      <c r="A581" s="32" t="s">
        <v>72</v>
      </c>
      <c r="B581" s="122" t="s">
        <v>84</v>
      </c>
      <c r="C581" s="143" t="s">
        <v>67</v>
      </c>
      <c r="D581" s="143" t="s">
        <v>122</v>
      </c>
      <c r="E581" s="34">
        <f>today()</f>
        <v>45969</v>
      </c>
      <c r="F581" s="35" t="s">
        <v>64</v>
      </c>
      <c r="G581" s="144" t="s">
        <v>107</v>
      </c>
      <c r="H581" s="144" t="s">
        <v>107</v>
      </c>
      <c r="I581" s="145" t="str">
        <f>I570</f>
        <v>STR Residency</v>
      </c>
      <c r="J581" s="145" t="s">
        <v>112</v>
      </c>
      <c r="K581" s="145" t="s">
        <v>113</v>
      </c>
      <c r="L581" s="145" t="s">
        <v>114</v>
      </c>
      <c r="M581" s="145" t="s">
        <v>65</v>
      </c>
    </row>
    <row r="582">
      <c r="A582" s="53">
        <f t="shared" ref="A582:A586" si="232">F582-C582-B582</f>
        <v>0</v>
      </c>
      <c r="B582" s="69">
        <f>B571+B579/5</f>
        <v>19100</v>
      </c>
      <c r="C582" s="133">
        <f>sumif(G578:M578,"Pending",G582:M582)</f>
        <v>69197.84</v>
      </c>
      <c r="D582" s="133">
        <f t="shared" ref="D582:D586" si="233">D571+M582</f>
        <v>25500</v>
      </c>
      <c r="E582" s="32" t="s">
        <v>76</v>
      </c>
      <c r="F582" s="150">
        <f>sumif(G578:M578,"Pending",G582:M582)+B582</f>
        <v>88297.84</v>
      </c>
      <c r="G582" s="146">
        <f>sumif('Bills - CC EMIs'!D:D,A577,'Bills - CC EMIs'!E:E)+SUMIF('Bills - CC EMIs'!D:D,A577,'Bills - CC EMIs'!F:F)+sumif('Bills - CC EMIs'!D:D,A577,'Bills - CC EMIs'!G:G)</f>
        <v>21830.84</v>
      </c>
      <c r="H582" s="146">
        <f>SUMIFS('Bills - Loans'!F:F,'Bills - Loans'!D:D,A577)</f>
        <v>40367</v>
      </c>
      <c r="I582" s="147">
        <v>0.0</v>
      </c>
      <c r="J582" s="137">
        <f>sumif('Bills - Responsibilities'!D:D,A577,'Bills - Responsibilities'!E:E)</f>
        <v>5000</v>
      </c>
      <c r="K582" s="147">
        <v>0.0</v>
      </c>
      <c r="L582" s="147">
        <f>sumif('Bills - Returns'!C:C,A577,'Bills - Returns'!D:D)</f>
        <v>0</v>
      </c>
      <c r="M582" s="147">
        <f>sumif('Bills - Investments'!C:C,A577,'Bills - Investments'!D:D)</f>
        <v>2000</v>
      </c>
    </row>
    <row r="583">
      <c r="A583" s="53">
        <f t="shared" si="232"/>
        <v>835770.05</v>
      </c>
      <c r="B583" s="69">
        <f>B572+B579/5</f>
        <v>19100</v>
      </c>
      <c r="C583" s="133">
        <f>sumif(G578:M578,"Pending",G583:M583)</f>
        <v>33636</v>
      </c>
      <c r="D583" s="133">
        <f t="shared" si="233"/>
        <v>104000</v>
      </c>
      <c r="E583" s="32" t="s">
        <v>77</v>
      </c>
      <c r="F583" s="90">
        <f>E578-F582-sum(F584:F586)</f>
        <v>888506.05</v>
      </c>
      <c r="G583" s="148">
        <f>sumif('Bills - CC EMIs'!D:D,A577,'Bills - CC EMIs'!H:H)</f>
        <v>0</v>
      </c>
      <c r="H583" s="147">
        <f>SUMIFS('Bills - Loans'!E:E,'Bills - Loans'!D:D,A577)</f>
        <v>15742</v>
      </c>
      <c r="I583" s="137">
        <f>sumif('Bills - STR Residency'!D:D,A577,'Bills - STR Residency'!E:E)</f>
        <v>2855</v>
      </c>
      <c r="J583" s="147">
        <v>0.0</v>
      </c>
      <c r="K583" s="147">
        <f>sumif('Bills - Utilities'!C:C,A577,'Bills - Utilities'!B:B)</f>
        <v>1039</v>
      </c>
      <c r="L583" s="147">
        <f>sumif('Bills - Utilities'!D:D,B577,'Bills - Utilities'!C:C)</f>
        <v>0</v>
      </c>
      <c r="M583" s="147">
        <f>sumif('Bills - Investments'!C:C,A577,'Bills - Investments'!E:E)</f>
        <v>14000</v>
      </c>
    </row>
    <row r="584">
      <c r="A584" s="53">
        <f t="shared" si="232"/>
        <v>0</v>
      </c>
      <c r="B584" s="69">
        <f>B573+B579/5</f>
        <v>19100</v>
      </c>
      <c r="C584" s="133">
        <f>sumif(G578:M578,"Pending",G584:M584)</f>
        <v>0</v>
      </c>
      <c r="D584" s="133">
        <f t="shared" si="233"/>
        <v>0</v>
      </c>
      <c r="E584" s="32" t="s">
        <v>81</v>
      </c>
      <c r="F584" s="90">
        <f t="shared" ref="F584:F586" si="234">sum(G584:M584)+B584</f>
        <v>19100</v>
      </c>
      <c r="G584" s="148">
        <f t="shared" ref="G584:G586" si="235">(G573+G562+G551)/3</f>
        <v>0</v>
      </c>
      <c r="H584" s="147">
        <f t="shared" ref="H584:H586" si="236">(H573+H562)/2</f>
        <v>0</v>
      </c>
      <c r="I584" s="147">
        <f t="shared" ref="I584:I586" si="237">I573</f>
        <v>0</v>
      </c>
      <c r="J584" s="147">
        <v>0.0</v>
      </c>
      <c r="K584" s="147">
        <v>0.0</v>
      </c>
      <c r="L584" s="147">
        <v>0.0</v>
      </c>
      <c r="M584" s="147">
        <v>0.0</v>
      </c>
    </row>
    <row r="585">
      <c r="A585" s="53">
        <f t="shared" si="232"/>
        <v>0</v>
      </c>
      <c r="B585" s="69">
        <f>B574+B579/5</f>
        <v>26100</v>
      </c>
      <c r="C585" s="133">
        <f>sumif(G578:M578,"Pending",G585:M585)</f>
        <v>0</v>
      </c>
      <c r="D585" s="133">
        <f t="shared" si="233"/>
        <v>0</v>
      </c>
      <c r="E585" s="32" t="s">
        <v>79</v>
      </c>
      <c r="F585" s="90">
        <f t="shared" si="234"/>
        <v>26100</v>
      </c>
      <c r="G585" s="148">
        <f t="shared" si="235"/>
        <v>0</v>
      </c>
      <c r="H585" s="147">
        <f t="shared" si="236"/>
        <v>0</v>
      </c>
      <c r="I585" s="147">
        <f t="shared" si="237"/>
        <v>0</v>
      </c>
      <c r="J585" s="147">
        <v>0.0</v>
      </c>
      <c r="K585" s="147">
        <v>0.0</v>
      </c>
      <c r="L585" s="147">
        <v>0.0</v>
      </c>
      <c r="M585" s="147">
        <v>0.0</v>
      </c>
    </row>
    <row r="586">
      <c r="A586" s="53">
        <f t="shared" si="232"/>
        <v>0</v>
      </c>
      <c r="B586" s="69">
        <f>B575+B579/5</f>
        <v>19100</v>
      </c>
      <c r="C586" s="133">
        <f>sumif(G578:M578,"Pending",G586:M586)</f>
        <v>0</v>
      </c>
      <c r="D586" s="133">
        <f t="shared" si="233"/>
        <v>0</v>
      </c>
      <c r="E586" s="33" t="s">
        <v>91</v>
      </c>
      <c r="F586" s="90">
        <f t="shared" si="234"/>
        <v>19100</v>
      </c>
      <c r="G586" s="148">
        <f t="shared" si="235"/>
        <v>0</v>
      </c>
      <c r="H586" s="147">
        <f t="shared" si="236"/>
        <v>0</v>
      </c>
      <c r="I586" s="147">
        <f t="shared" si="237"/>
        <v>0</v>
      </c>
      <c r="J586" s="147">
        <v>0.0</v>
      </c>
      <c r="K586" s="147">
        <v>0.0</v>
      </c>
      <c r="L586" s="147">
        <v>0.0</v>
      </c>
      <c r="M586" s="147">
        <v>0.0</v>
      </c>
    </row>
    <row r="587">
      <c r="A587" s="24"/>
      <c r="B587" s="24"/>
      <c r="C587" s="24"/>
      <c r="D587" s="24"/>
      <c r="E587" s="24"/>
      <c r="F587" s="25"/>
      <c r="G587" s="25"/>
      <c r="H587" s="24"/>
      <c r="I587" s="25"/>
      <c r="J587" s="25"/>
      <c r="K587" s="25"/>
      <c r="L587" s="25"/>
      <c r="M587" s="24"/>
    </row>
    <row r="588">
      <c r="A588" s="71">
        <f>Projections!AV1</f>
        <v>46388</v>
      </c>
      <c r="B588" s="24"/>
      <c r="C588" s="24"/>
      <c r="D588" s="25" t="s">
        <v>108</v>
      </c>
      <c r="E588" s="74">
        <f>A591-A580</f>
        <v>83416.36</v>
      </c>
      <c r="F588" s="25" t="s">
        <v>64</v>
      </c>
      <c r="G588" s="136" t="s">
        <v>109</v>
      </c>
      <c r="H588" s="137" t="s">
        <v>110</v>
      </c>
      <c r="I588" s="137" t="s">
        <v>111</v>
      </c>
      <c r="J588" s="137" t="s">
        <v>112</v>
      </c>
      <c r="K588" s="137" t="s">
        <v>113</v>
      </c>
      <c r="L588" s="137" t="s">
        <v>114</v>
      </c>
      <c r="M588" s="137" t="s">
        <v>65</v>
      </c>
    </row>
    <row r="589">
      <c r="A589" s="25" t="s">
        <v>95</v>
      </c>
      <c r="B589" s="72">
        <f>Projections!AV15</f>
        <v>182905.8</v>
      </c>
      <c r="C589" s="138">
        <f>A588</f>
        <v>46388</v>
      </c>
      <c r="D589" s="98" t="s">
        <v>115</v>
      </c>
      <c r="E589" s="57">
        <f>Projections!AV14</f>
        <v>1121175.85</v>
      </c>
      <c r="F589" s="73" t="s">
        <v>67</v>
      </c>
      <c r="G589" s="139" t="s">
        <v>67</v>
      </c>
      <c r="H589" s="139" t="s">
        <v>67</v>
      </c>
      <c r="I589" s="137" t="s">
        <v>67</v>
      </c>
      <c r="J589" s="137" t="s">
        <v>67</v>
      </c>
      <c r="K589" s="137" t="s">
        <v>67</v>
      </c>
      <c r="L589" s="137" t="s">
        <v>67</v>
      </c>
      <c r="M589" s="137" t="s">
        <v>67</v>
      </c>
    </row>
    <row r="590">
      <c r="A590" s="25" t="s">
        <v>69</v>
      </c>
      <c r="B590" s="119">
        <f>if(B579&gt;B589/10,B579,B579+500)</f>
        <v>9500</v>
      </c>
      <c r="C590" s="138">
        <f>EOMONTH(C589,0)</f>
        <v>46418</v>
      </c>
      <c r="D590" s="25" t="s">
        <v>116</v>
      </c>
      <c r="E590" s="74">
        <f>if(today()&gt;C590,0,B589*12/365/5)</f>
        <v>1202.668274</v>
      </c>
      <c r="F590" s="25" t="s">
        <v>70</v>
      </c>
      <c r="G590" s="140" t="s">
        <v>117</v>
      </c>
      <c r="H590" s="137" t="s">
        <v>117</v>
      </c>
      <c r="I590" s="137" t="s">
        <v>118</v>
      </c>
      <c r="J590" s="137" t="s">
        <v>118</v>
      </c>
      <c r="K590" s="137" t="s">
        <v>118</v>
      </c>
      <c r="L590" s="137" t="s">
        <v>119</v>
      </c>
      <c r="M590" s="137" t="s">
        <v>119</v>
      </c>
    </row>
    <row r="591">
      <c r="A591" s="54">
        <f>F591-C591-B591</f>
        <v>919186.41</v>
      </c>
      <c r="B591" s="90">
        <f t="shared" ref="B591:D591" si="238">sum(B593:B597)</f>
        <v>112000</v>
      </c>
      <c r="C591" s="141">
        <f t="shared" si="238"/>
        <v>89989.44</v>
      </c>
      <c r="D591" s="142">
        <f t="shared" si="238"/>
        <v>147000</v>
      </c>
      <c r="E591" s="59"/>
      <c r="F591" s="63">
        <f>sum(F593:F597)</f>
        <v>1121175.85</v>
      </c>
      <c r="G591" s="136" t="s">
        <v>120</v>
      </c>
      <c r="H591" s="137" t="s">
        <v>121</v>
      </c>
      <c r="I591" s="137" t="s">
        <v>111</v>
      </c>
      <c r="J591" s="137" t="s">
        <v>112</v>
      </c>
      <c r="K591" s="137" t="s">
        <v>113</v>
      </c>
      <c r="L591" s="137" t="s">
        <v>114</v>
      </c>
      <c r="M591" s="137" t="s">
        <v>65</v>
      </c>
    </row>
    <row r="592">
      <c r="A592" s="32" t="s">
        <v>72</v>
      </c>
      <c r="B592" s="122" t="s">
        <v>84</v>
      </c>
      <c r="C592" s="143" t="s">
        <v>67</v>
      </c>
      <c r="D592" s="143" t="s">
        <v>122</v>
      </c>
      <c r="E592" s="34">
        <f>today()</f>
        <v>45969</v>
      </c>
      <c r="F592" s="35" t="s">
        <v>64</v>
      </c>
      <c r="G592" s="144" t="s">
        <v>107</v>
      </c>
      <c r="H592" s="144" t="s">
        <v>107</v>
      </c>
      <c r="I592" s="145" t="str">
        <f>I581</f>
        <v>STR Residency</v>
      </c>
      <c r="J592" s="145" t="s">
        <v>112</v>
      </c>
      <c r="K592" s="145" t="s">
        <v>113</v>
      </c>
      <c r="L592" s="145" t="s">
        <v>114</v>
      </c>
      <c r="M592" s="145" t="s">
        <v>65</v>
      </c>
    </row>
    <row r="593">
      <c r="A593" s="53">
        <f t="shared" ref="A593:A597" si="239">F593-C593-B593</f>
        <v>0</v>
      </c>
      <c r="B593" s="69">
        <f>B582+B590/5</f>
        <v>21000</v>
      </c>
      <c r="C593" s="133">
        <f>sumif(G589:M589,"Pending",G593:M593)</f>
        <v>55353.44</v>
      </c>
      <c r="D593" s="133">
        <f t="shared" ref="D593:D597" si="240">D582+M593</f>
        <v>28000</v>
      </c>
      <c r="E593" s="32" t="s">
        <v>76</v>
      </c>
      <c r="F593" s="150">
        <f>sumif(G589:M589,"Pending",G593:M593)+B593</f>
        <v>76353.44</v>
      </c>
      <c r="G593" s="146">
        <f>sumif('Bills - CC EMIs'!D:D,A588,'Bills - CC EMIs'!E:E)+SUMIF('Bills - CC EMIs'!D:D,A588,'Bills - CC EMIs'!F:F)+sumif('Bills - CC EMIs'!D:D,A588,'Bills - CC EMIs'!G:G)</f>
        <v>7486.44</v>
      </c>
      <c r="H593" s="146">
        <f>SUMIFS('Bills - Loans'!F:F,'Bills - Loans'!D:D,A588)</f>
        <v>40367</v>
      </c>
      <c r="I593" s="147">
        <v>0.0</v>
      </c>
      <c r="J593" s="137">
        <f>sumif('Bills - Responsibilities'!D:D,A588,'Bills - Responsibilities'!E:E)</f>
        <v>5000</v>
      </c>
      <c r="K593" s="147">
        <v>0.0</v>
      </c>
      <c r="L593" s="147">
        <f>sumif('Bills - Returns'!C:C,A588,'Bills - Returns'!D:D)</f>
        <v>0</v>
      </c>
      <c r="M593" s="147">
        <f>sumif('Bills - Investments'!C:C,A588,'Bills - Investments'!D:D)</f>
        <v>2500</v>
      </c>
    </row>
    <row r="594">
      <c r="A594" s="53">
        <f t="shared" si="239"/>
        <v>919186.41</v>
      </c>
      <c r="B594" s="69">
        <f>B583+B590/5</f>
        <v>21000</v>
      </c>
      <c r="C594" s="133">
        <f>sumif(G589:M589,"Pending",G594:M594)</f>
        <v>34636</v>
      </c>
      <c r="D594" s="133">
        <f t="shared" si="240"/>
        <v>119000</v>
      </c>
      <c r="E594" s="32" t="s">
        <v>77</v>
      </c>
      <c r="F594" s="90">
        <f>E589-F593-sum(F595:F597)</f>
        <v>974822.41</v>
      </c>
      <c r="G594" s="148">
        <f>sumif('Bills - CC EMIs'!D:D,A588,'Bills - CC EMIs'!H:H)</f>
        <v>0</v>
      </c>
      <c r="H594" s="147">
        <f>SUMIFS('Bills - Loans'!E:E,'Bills - Loans'!D:D,A588)</f>
        <v>15742</v>
      </c>
      <c r="I594" s="137">
        <f>sumif('Bills - STR Residency'!D:D,A588,'Bills - STR Residency'!E:E)</f>
        <v>2855</v>
      </c>
      <c r="J594" s="147">
        <v>0.0</v>
      </c>
      <c r="K594" s="147">
        <f>sumif('Bills - Utilities'!C:C,A588,'Bills - Utilities'!B:B)</f>
        <v>1039</v>
      </c>
      <c r="L594" s="147">
        <f>sumif('Bills - Utilities'!D:D,B588,'Bills - Utilities'!C:C)</f>
        <v>0</v>
      </c>
      <c r="M594" s="147">
        <f>sumif('Bills - Investments'!C:C,A588,'Bills - Investments'!E:E)</f>
        <v>15000</v>
      </c>
    </row>
    <row r="595">
      <c r="A595" s="53">
        <f t="shared" si="239"/>
        <v>0</v>
      </c>
      <c r="B595" s="69">
        <f>B584+B590/5</f>
        <v>21000</v>
      </c>
      <c r="C595" s="133">
        <f>sumif(G589:M589,"Pending",G595:M595)</f>
        <v>0</v>
      </c>
      <c r="D595" s="133">
        <f t="shared" si="240"/>
        <v>0</v>
      </c>
      <c r="E595" s="32" t="s">
        <v>81</v>
      </c>
      <c r="F595" s="90">
        <f t="shared" ref="F595:F597" si="241">sum(G595:M595)+B595</f>
        <v>21000</v>
      </c>
      <c r="G595" s="148">
        <f t="shared" ref="G595:G597" si="242">(G584+G573+G562)/3</f>
        <v>0</v>
      </c>
      <c r="H595" s="147">
        <f t="shared" ref="H595:H597" si="243">(H584+H573)/2</f>
        <v>0</v>
      </c>
      <c r="I595" s="147">
        <f t="shared" ref="I595:I597" si="244">I584</f>
        <v>0</v>
      </c>
      <c r="J595" s="147">
        <v>0.0</v>
      </c>
      <c r="K595" s="147">
        <v>0.0</v>
      </c>
      <c r="L595" s="147">
        <v>0.0</v>
      </c>
      <c r="M595" s="147">
        <v>0.0</v>
      </c>
    </row>
    <row r="596">
      <c r="A596" s="53">
        <f t="shared" si="239"/>
        <v>0</v>
      </c>
      <c r="B596" s="69">
        <f>B585+B590/5</f>
        <v>28000</v>
      </c>
      <c r="C596" s="133">
        <f>sumif(G589:M589,"Pending",G596:M596)</f>
        <v>0</v>
      </c>
      <c r="D596" s="133">
        <f t="shared" si="240"/>
        <v>0</v>
      </c>
      <c r="E596" s="32" t="s">
        <v>79</v>
      </c>
      <c r="F596" s="90">
        <f t="shared" si="241"/>
        <v>28000</v>
      </c>
      <c r="G596" s="148">
        <f t="shared" si="242"/>
        <v>0</v>
      </c>
      <c r="H596" s="147">
        <f t="shared" si="243"/>
        <v>0</v>
      </c>
      <c r="I596" s="147">
        <f t="shared" si="244"/>
        <v>0</v>
      </c>
      <c r="J596" s="147">
        <v>0.0</v>
      </c>
      <c r="K596" s="147">
        <v>0.0</v>
      </c>
      <c r="L596" s="147">
        <v>0.0</v>
      </c>
      <c r="M596" s="147">
        <v>0.0</v>
      </c>
    </row>
    <row r="597">
      <c r="A597" s="53">
        <f t="shared" si="239"/>
        <v>0</v>
      </c>
      <c r="B597" s="69">
        <f>B586+B590/5</f>
        <v>21000</v>
      </c>
      <c r="C597" s="133">
        <f>sumif(G589:M589,"Pending",G597:M597)</f>
        <v>0</v>
      </c>
      <c r="D597" s="133">
        <f t="shared" si="240"/>
        <v>0</v>
      </c>
      <c r="E597" s="33" t="s">
        <v>91</v>
      </c>
      <c r="F597" s="90">
        <f t="shared" si="241"/>
        <v>21000</v>
      </c>
      <c r="G597" s="148">
        <f t="shared" si="242"/>
        <v>0</v>
      </c>
      <c r="H597" s="147">
        <f t="shared" si="243"/>
        <v>0</v>
      </c>
      <c r="I597" s="147">
        <f t="shared" si="244"/>
        <v>0</v>
      </c>
      <c r="J597" s="147">
        <v>0.0</v>
      </c>
      <c r="K597" s="147">
        <v>0.0</v>
      </c>
      <c r="L597" s="147">
        <v>0.0</v>
      </c>
      <c r="M597" s="147">
        <v>0.0</v>
      </c>
    </row>
    <row r="598">
      <c r="A598" s="24"/>
      <c r="B598" s="24"/>
      <c r="C598" s="24"/>
      <c r="D598" s="24"/>
      <c r="E598" s="24"/>
      <c r="F598" s="25"/>
      <c r="G598" s="25"/>
      <c r="H598" s="24"/>
      <c r="I598" s="25"/>
      <c r="J598" s="25"/>
      <c r="K598" s="25"/>
      <c r="L598" s="25"/>
      <c r="M598" s="24"/>
    </row>
    <row r="599">
      <c r="A599" s="71">
        <f>Projections!AW1</f>
        <v>46419</v>
      </c>
      <c r="B599" s="24"/>
      <c r="C599" s="24"/>
      <c r="D599" s="25" t="s">
        <v>108</v>
      </c>
      <c r="E599" s="74">
        <f>A602-A591</f>
        <v>76916.36</v>
      </c>
      <c r="F599" s="25" t="s">
        <v>64</v>
      </c>
      <c r="G599" s="136" t="s">
        <v>109</v>
      </c>
      <c r="H599" s="137" t="s">
        <v>110</v>
      </c>
      <c r="I599" s="137" t="s">
        <v>111</v>
      </c>
      <c r="J599" s="137" t="s">
        <v>112</v>
      </c>
      <c r="K599" s="137" t="s">
        <v>113</v>
      </c>
      <c r="L599" s="137" t="s">
        <v>114</v>
      </c>
      <c r="M599" s="137" t="s">
        <v>65</v>
      </c>
    </row>
    <row r="600">
      <c r="A600" s="25" t="s">
        <v>95</v>
      </c>
      <c r="B600" s="72">
        <f>Projections!AW15</f>
        <v>182905.8</v>
      </c>
      <c r="C600" s="138">
        <f>A599</f>
        <v>46419</v>
      </c>
      <c r="D600" s="98" t="s">
        <v>115</v>
      </c>
      <c r="E600" s="57">
        <f>Projections!AW14</f>
        <v>1214092.21</v>
      </c>
      <c r="F600" s="73" t="s">
        <v>67</v>
      </c>
      <c r="G600" s="139" t="s">
        <v>67</v>
      </c>
      <c r="H600" s="139" t="s">
        <v>67</v>
      </c>
      <c r="I600" s="137" t="s">
        <v>67</v>
      </c>
      <c r="J600" s="137" t="s">
        <v>67</v>
      </c>
      <c r="K600" s="137" t="s">
        <v>67</v>
      </c>
      <c r="L600" s="137" t="s">
        <v>67</v>
      </c>
      <c r="M600" s="137" t="s">
        <v>67</v>
      </c>
    </row>
    <row r="601">
      <c r="A601" s="25" t="s">
        <v>69</v>
      </c>
      <c r="B601" s="119">
        <f>if(B590&gt;B600/10,B590,B590+500)</f>
        <v>10000</v>
      </c>
      <c r="C601" s="138">
        <f>EOMONTH(C600,0)</f>
        <v>46446</v>
      </c>
      <c r="D601" s="25" t="s">
        <v>116</v>
      </c>
      <c r="E601" s="74">
        <f>if(today()&gt;C601,0,B600*12/365/5)</f>
        <v>1202.668274</v>
      </c>
      <c r="F601" s="25" t="s">
        <v>70</v>
      </c>
      <c r="G601" s="140" t="s">
        <v>117</v>
      </c>
      <c r="H601" s="137" t="s">
        <v>117</v>
      </c>
      <c r="I601" s="137" t="s">
        <v>118</v>
      </c>
      <c r="J601" s="137" t="s">
        <v>118</v>
      </c>
      <c r="K601" s="137" t="s">
        <v>118</v>
      </c>
      <c r="L601" s="137" t="s">
        <v>119</v>
      </c>
      <c r="M601" s="137" t="s">
        <v>119</v>
      </c>
    </row>
    <row r="602">
      <c r="A602" s="54">
        <f>F602-C602-B602</f>
        <v>996102.77</v>
      </c>
      <c r="B602" s="90">
        <f t="shared" ref="B602:D602" si="245">sum(B604:B608)</f>
        <v>122000</v>
      </c>
      <c r="C602" s="141">
        <f t="shared" si="245"/>
        <v>95989.44</v>
      </c>
      <c r="D602" s="142">
        <f t="shared" si="245"/>
        <v>165500</v>
      </c>
      <c r="E602" s="59"/>
      <c r="F602" s="63">
        <f>sum(F604:F608)</f>
        <v>1214092.21</v>
      </c>
      <c r="G602" s="136" t="s">
        <v>120</v>
      </c>
      <c r="H602" s="137" t="s">
        <v>121</v>
      </c>
      <c r="I602" s="137" t="s">
        <v>111</v>
      </c>
      <c r="J602" s="137" t="s">
        <v>112</v>
      </c>
      <c r="K602" s="137" t="s">
        <v>113</v>
      </c>
      <c r="L602" s="137" t="s">
        <v>114</v>
      </c>
      <c r="M602" s="137" t="s">
        <v>65</v>
      </c>
    </row>
    <row r="603">
      <c r="A603" s="32" t="s">
        <v>72</v>
      </c>
      <c r="B603" s="122" t="s">
        <v>84</v>
      </c>
      <c r="C603" s="143" t="s">
        <v>67</v>
      </c>
      <c r="D603" s="143" t="s">
        <v>122</v>
      </c>
      <c r="E603" s="34">
        <f>today()</f>
        <v>45969</v>
      </c>
      <c r="F603" s="35" t="s">
        <v>64</v>
      </c>
      <c r="G603" s="144" t="s">
        <v>107</v>
      </c>
      <c r="H603" s="144" t="s">
        <v>107</v>
      </c>
      <c r="I603" s="145" t="str">
        <f>I592</f>
        <v>STR Residency</v>
      </c>
      <c r="J603" s="145" t="s">
        <v>112</v>
      </c>
      <c r="K603" s="145" t="s">
        <v>113</v>
      </c>
      <c r="L603" s="145" t="s">
        <v>114</v>
      </c>
      <c r="M603" s="145" t="s">
        <v>65</v>
      </c>
    </row>
    <row r="604">
      <c r="A604" s="53">
        <f t="shared" ref="A604:A608" si="246">F604-C604-B604</f>
        <v>0</v>
      </c>
      <c r="B604" s="69">
        <f>B593+B601/5</f>
        <v>23000</v>
      </c>
      <c r="C604" s="133">
        <f>sumif(G600:M600,"Pending",G604:M604)</f>
        <v>55353.44</v>
      </c>
      <c r="D604" s="133">
        <f t="shared" ref="D604:D608" si="247">D593+M604</f>
        <v>30500</v>
      </c>
      <c r="E604" s="32" t="s">
        <v>76</v>
      </c>
      <c r="F604" s="150">
        <f>sumif(G600:M600,"Pending",G604:M604)+B604</f>
        <v>78353.44</v>
      </c>
      <c r="G604" s="146">
        <f>sumif('Bills - CC EMIs'!D:D,A599,'Bills - CC EMIs'!E:E)+SUMIF('Bills - CC EMIs'!D:D,A599,'Bills - CC EMIs'!F:F)+sumif('Bills - CC EMIs'!D:D,A599,'Bills - CC EMIs'!G:G)</f>
        <v>7486.44</v>
      </c>
      <c r="H604" s="146">
        <f>SUMIFS('Bills - Loans'!F:F,'Bills - Loans'!D:D,A599)</f>
        <v>40367</v>
      </c>
      <c r="I604" s="147">
        <v>0.0</v>
      </c>
      <c r="J604" s="137">
        <f>sumif('Bills - Responsibilities'!D:D,A599,'Bills - Responsibilities'!E:E)</f>
        <v>5000</v>
      </c>
      <c r="K604" s="147">
        <v>0.0</v>
      </c>
      <c r="L604" s="147">
        <f>sumif('Bills - Returns'!C:C,A599,'Bills - Returns'!D:D)</f>
        <v>0</v>
      </c>
      <c r="M604" s="147">
        <f>sumif('Bills - Investments'!C:C,A599,'Bills - Investments'!D:D)</f>
        <v>2500</v>
      </c>
    </row>
    <row r="605">
      <c r="A605" s="53">
        <f t="shared" si="246"/>
        <v>996102.77</v>
      </c>
      <c r="B605" s="69">
        <f>B594+B601/5</f>
        <v>23000</v>
      </c>
      <c r="C605" s="133">
        <f>sumif(G600:M600,"Pending",G605:M605)</f>
        <v>40636</v>
      </c>
      <c r="D605" s="133">
        <f t="shared" si="247"/>
        <v>135000</v>
      </c>
      <c r="E605" s="32" t="s">
        <v>77</v>
      </c>
      <c r="F605" s="90">
        <f>E600-F604-sum(F606:F608)</f>
        <v>1059738.77</v>
      </c>
      <c r="G605" s="148">
        <f>sumif('Bills - CC EMIs'!D:D,A599,'Bills - CC EMIs'!H:H)</f>
        <v>0</v>
      </c>
      <c r="H605" s="147">
        <f>SUMIFS('Bills - Loans'!E:E,'Bills - Loans'!D:D,A599)</f>
        <v>15742</v>
      </c>
      <c r="I605" s="137">
        <f>sumif('Bills - STR Residency'!D:D,A599,'Bills - STR Residency'!E:E)</f>
        <v>2855</v>
      </c>
      <c r="J605" s="147">
        <v>0.0</v>
      </c>
      <c r="K605" s="147">
        <f>sumif('Bills - Utilities'!C:C,A599,'Bills - Utilities'!B:B)</f>
        <v>6039</v>
      </c>
      <c r="L605" s="147">
        <f>sumif('Bills - Utilities'!D:D,B599,'Bills - Utilities'!C:C)</f>
        <v>0</v>
      </c>
      <c r="M605" s="147">
        <f>sumif('Bills - Investments'!C:C,A599,'Bills - Investments'!E:E)</f>
        <v>16000</v>
      </c>
    </row>
    <row r="606">
      <c r="A606" s="53">
        <f t="shared" si="246"/>
        <v>0</v>
      </c>
      <c r="B606" s="69">
        <f>B595+B601/5</f>
        <v>23000</v>
      </c>
      <c r="C606" s="133">
        <f>sumif(G600:M600,"Pending",G606:M606)</f>
        <v>0</v>
      </c>
      <c r="D606" s="133">
        <f t="shared" si="247"/>
        <v>0</v>
      </c>
      <c r="E606" s="32" t="s">
        <v>81</v>
      </c>
      <c r="F606" s="90">
        <f t="shared" ref="F606:F608" si="248">sum(G606:M606)+B606</f>
        <v>23000</v>
      </c>
      <c r="G606" s="148">
        <f t="shared" ref="G606:G608" si="249">(G595+G584+G573)/3</f>
        <v>0</v>
      </c>
      <c r="H606" s="147">
        <f t="shared" ref="H606:H608" si="250">(H595+H584)/2</f>
        <v>0</v>
      </c>
      <c r="I606" s="147">
        <f t="shared" ref="I606:I608" si="251">I595</f>
        <v>0</v>
      </c>
      <c r="J606" s="147">
        <v>0.0</v>
      </c>
      <c r="K606" s="147">
        <v>0.0</v>
      </c>
      <c r="L606" s="147">
        <v>0.0</v>
      </c>
      <c r="M606" s="147">
        <v>0.0</v>
      </c>
    </row>
    <row r="607">
      <c r="A607" s="53">
        <f t="shared" si="246"/>
        <v>0</v>
      </c>
      <c r="B607" s="69">
        <f>B596+B601/5</f>
        <v>30000</v>
      </c>
      <c r="C607" s="133">
        <f>sumif(G600:M600,"Pending",G607:M607)</f>
        <v>0</v>
      </c>
      <c r="D607" s="133">
        <f t="shared" si="247"/>
        <v>0</v>
      </c>
      <c r="E607" s="32" t="s">
        <v>79</v>
      </c>
      <c r="F607" s="90">
        <f t="shared" si="248"/>
        <v>30000</v>
      </c>
      <c r="G607" s="148">
        <f t="shared" si="249"/>
        <v>0</v>
      </c>
      <c r="H607" s="147">
        <f t="shared" si="250"/>
        <v>0</v>
      </c>
      <c r="I607" s="147">
        <f t="shared" si="251"/>
        <v>0</v>
      </c>
      <c r="J607" s="147">
        <v>0.0</v>
      </c>
      <c r="K607" s="147">
        <v>0.0</v>
      </c>
      <c r="L607" s="147">
        <v>0.0</v>
      </c>
      <c r="M607" s="147">
        <v>0.0</v>
      </c>
    </row>
    <row r="608">
      <c r="A608" s="53">
        <f t="shared" si="246"/>
        <v>0</v>
      </c>
      <c r="B608" s="69">
        <f>B597+B601/5</f>
        <v>23000</v>
      </c>
      <c r="C608" s="133">
        <f>sumif(G600:M600,"Pending",G608:M608)</f>
        <v>0</v>
      </c>
      <c r="D608" s="133">
        <f t="shared" si="247"/>
        <v>0</v>
      </c>
      <c r="E608" s="33" t="s">
        <v>91</v>
      </c>
      <c r="F608" s="90">
        <f t="shared" si="248"/>
        <v>23000</v>
      </c>
      <c r="G608" s="148">
        <f t="shared" si="249"/>
        <v>0</v>
      </c>
      <c r="H608" s="147">
        <f t="shared" si="250"/>
        <v>0</v>
      </c>
      <c r="I608" s="147">
        <f t="shared" si="251"/>
        <v>0</v>
      </c>
      <c r="J608" s="147">
        <v>0.0</v>
      </c>
      <c r="K608" s="147">
        <v>0.0</v>
      </c>
      <c r="L608" s="147">
        <v>0.0</v>
      </c>
      <c r="M608" s="147">
        <v>0.0</v>
      </c>
    </row>
    <row r="609">
      <c r="A609" s="24"/>
      <c r="B609" s="24"/>
      <c r="C609" s="24"/>
      <c r="D609" s="24"/>
      <c r="E609" s="24"/>
      <c r="F609" s="25"/>
      <c r="G609" s="25"/>
      <c r="H609" s="24"/>
      <c r="I609" s="25"/>
      <c r="J609" s="25"/>
      <c r="K609" s="25"/>
      <c r="L609" s="25"/>
      <c r="M609" s="24"/>
    </row>
    <row r="610">
      <c r="A610" s="71">
        <f>Projections!AX1</f>
        <v>46447</v>
      </c>
      <c r="B610" s="24"/>
      <c r="C610" s="24"/>
      <c r="D610" s="25" t="s">
        <v>108</v>
      </c>
      <c r="E610" s="74">
        <f>A613-A602</f>
        <v>52545.45</v>
      </c>
      <c r="F610" s="25" t="s">
        <v>64</v>
      </c>
      <c r="G610" s="136" t="s">
        <v>109</v>
      </c>
      <c r="H610" s="137" t="s">
        <v>110</v>
      </c>
      <c r="I610" s="137" t="s">
        <v>111</v>
      </c>
      <c r="J610" s="137" t="s">
        <v>112</v>
      </c>
      <c r="K610" s="137" t="s">
        <v>113</v>
      </c>
      <c r="L610" s="137" t="s">
        <v>114</v>
      </c>
      <c r="M610" s="137" t="s">
        <v>65</v>
      </c>
    </row>
    <row r="611">
      <c r="A611" s="25" t="s">
        <v>95</v>
      </c>
      <c r="B611" s="72">
        <f>Projections!AX15</f>
        <v>182905.8</v>
      </c>
      <c r="C611" s="138">
        <f>A610</f>
        <v>46447</v>
      </c>
      <c r="D611" s="98" t="s">
        <v>115</v>
      </c>
      <c r="E611" s="57">
        <f>Projections!AX14</f>
        <v>1301008.57</v>
      </c>
      <c r="F611" s="73" t="s">
        <v>67</v>
      </c>
      <c r="G611" s="139" t="s">
        <v>67</v>
      </c>
      <c r="H611" s="139" t="s">
        <v>67</v>
      </c>
      <c r="I611" s="137" t="s">
        <v>67</v>
      </c>
      <c r="J611" s="137" t="s">
        <v>67</v>
      </c>
      <c r="K611" s="137" t="s">
        <v>67</v>
      </c>
      <c r="L611" s="137" t="s">
        <v>67</v>
      </c>
      <c r="M611" s="137" t="s">
        <v>67</v>
      </c>
    </row>
    <row r="612">
      <c r="A612" s="25" t="s">
        <v>69</v>
      </c>
      <c r="B612" s="119">
        <f>if(B601&gt;B611/10,B601,B601+500)</f>
        <v>10500</v>
      </c>
      <c r="C612" s="138">
        <f>EOMONTH(C611,0)</f>
        <v>46477</v>
      </c>
      <c r="D612" s="25" t="s">
        <v>116</v>
      </c>
      <c r="E612" s="74">
        <f>if(today()&gt;C612,0,B611*12/365/5)</f>
        <v>1202.668274</v>
      </c>
      <c r="F612" s="25" t="s">
        <v>70</v>
      </c>
      <c r="G612" s="140" t="s">
        <v>117</v>
      </c>
      <c r="H612" s="137" t="s">
        <v>117</v>
      </c>
      <c r="I612" s="137" t="s">
        <v>118</v>
      </c>
      <c r="J612" s="137" t="s">
        <v>118</v>
      </c>
      <c r="K612" s="137" t="s">
        <v>118</v>
      </c>
      <c r="L612" s="137" t="s">
        <v>119</v>
      </c>
      <c r="M612" s="137" t="s">
        <v>119</v>
      </c>
    </row>
    <row r="613">
      <c r="A613" s="54">
        <f>F613-C613-B613</f>
        <v>1048648.22</v>
      </c>
      <c r="B613" s="90">
        <f t="shared" ref="B613:D613" si="252">sum(B615:B619)</f>
        <v>132500</v>
      </c>
      <c r="C613" s="141">
        <f t="shared" si="252"/>
        <v>119860.35</v>
      </c>
      <c r="D613" s="142">
        <f t="shared" si="252"/>
        <v>185000</v>
      </c>
      <c r="E613" s="59"/>
      <c r="F613" s="63">
        <f>sum(F615:F619)</f>
        <v>1301008.57</v>
      </c>
      <c r="G613" s="136" t="s">
        <v>120</v>
      </c>
      <c r="H613" s="137" t="s">
        <v>121</v>
      </c>
      <c r="I613" s="137" t="s">
        <v>111</v>
      </c>
      <c r="J613" s="137" t="s">
        <v>112</v>
      </c>
      <c r="K613" s="137" t="s">
        <v>113</v>
      </c>
      <c r="L613" s="137" t="s">
        <v>114</v>
      </c>
      <c r="M613" s="137" t="s">
        <v>65</v>
      </c>
    </row>
    <row r="614">
      <c r="A614" s="32" t="s">
        <v>72</v>
      </c>
      <c r="B614" s="122" t="s">
        <v>84</v>
      </c>
      <c r="C614" s="143" t="s">
        <v>67</v>
      </c>
      <c r="D614" s="143" t="s">
        <v>122</v>
      </c>
      <c r="E614" s="34">
        <f>today()</f>
        <v>45969</v>
      </c>
      <c r="F614" s="35" t="s">
        <v>64</v>
      </c>
      <c r="G614" s="144" t="s">
        <v>107</v>
      </c>
      <c r="H614" s="144" t="s">
        <v>107</v>
      </c>
      <c r="I614" s="145" t="str">
        <f>I603</f>
        <v>STR Residency</v>
      </c>
      <c r="J614" s="145" t="s">
        <v>112</v>
      </c>
      <c r="K614" s="145" t="s">
        <v>113</v>
      </c>
      <c r="L614" s="145" t="s">
        <v>114</v>
      </c>
      <c r="M614" s="145" t="s">
        <v>65</v>
      </c>
    </row>
    <row r="615">
      <c r="A615" s="53">
        <f t="shared" ref="A615:A619" si="253">F615-C615-B615</f>
        <v>0</v>
      </c>
      <c r="B615" s="69">
        <f>B604+B612/5</f>
        <v>25100</v>
      </c>
      <c r="C615" s="133">
        <f>sumif(G611:M611,"Pending",G615:M615)</f>
        <v>78224.35</v>
      </c>
      <c r="D615" s="133">
        <f t="shared" ref="D615:D619" si="254">D604+M615</f>
        <v>33000</v>
      </c>
      <c r="E615" s="32" t="s">
        <v>76</v>
      </c>
      <c r="F615" s="150">
        <f>sumif(G611:M611,"Pending",G615:M615)+B615</f>
        <v>103324.35</v>
      </c>
      <c r="G615" s="146">
        <f>sumif('Bills - CC EMIs'!D:D,A610,'Bills - CC EMIs'!E:E)+SUMIF('Bills - CC EMIs'!D:D,A610,'Bills - CC EMIs'!F:F)+sumif('Bills - CC EMIs'!D:D,A610,'Bills - CC EMIs'!G:G)</f>
        <v>30357.35</v>
      </c>
      <c r="H615" s="146">
        <f>SUMIFS('Bills - Loans'!F:F,'Bills - Loans'!D:D,A610)</f>
        <v>40367</v>
      </c>
      <c r="I615" s="147">
        <v>0.0</v>
      </c>
      <c r="J615" s="137">
        <f>sumif('Bills - Responsibilities'!D:D,A610,'Bills - Responsibilities'!E:E)</f>
        <v>5000</v>
      </c>
      <c r="K615" s="147">
        <v>0.0</v>
      </c>
      <c r="L615" s="147">
        <f>sumif('Bills - Returns'!C:C,A610,'Bills - Returns'!D:D)</f>
        <v>0</v>
      </c>
      <c r="M615" s="147">
        <f>sumif('Bills - Investments'!C:C,A610,'Bills - Investments'!D:D)</f>
        <v>2500</v>
      </c>
    </row>
    <row r="616">
      <c r="A616" s="53">
        <f t="shared" si="253"/>
        <v>1048648.22</v>
      </c>
      <c r="B616" s="69">
        <f>B605+B612/5</f>
        <v>25100</v>
      </c>
      <c r="C616" s="133">
        <f>sumif(G611:M611,"Pending",G616:M616)</f>
        <v>41636</v>
      </c>
      <c r="D616" s="133">
        <f t="shared" si="254"/>
        <v>152000</v>
      </c>
      <c r="E616" s="32" t="s">
        <v>77</v>
      </c>
      <c r="F616" s="90">
        <f>E611-F615-sum(F617:F619)</f>
        <v>1115384.22</v>
      </c>
      <c r="G616" s="148">
        <f>sumif('Bills - CC EMIs'!D:D,A610,'Bills - CC EMIs'!H:H)</f>
        <v>0</v>
      </c>
      <c r="H616" s="147">
        <f>SUMIFS('Bills - Loans'!E:E,'Bills - Loans'!D:D,A610)</f>
        <v>15742</v>
      </c>
      <c r="I616" s="137">
        <f>sumif('Bills - STR Residency'!D:D,A610,'Bills - STR Residency'!E:E)</f>
        <v>7855</v>
      </c>
      <c r="J616" s="147">
        <v>0.0</v>
      </c>
      <c r="K616" s="147">
        <f>sumif('Bills - Utilities'!C:C,A610,'Bills - Utilities'!B:B)</f>
        <v>1039</v>
      </c>
      <c r="L616" s="147">
        <f>sumif('Bills - Utilities'!D:D,B610,'Bills - Utilities'!C:C)</f>
        <v>0</v>
      </c>
      <c r="M616" s="147">
        <f>sumif('Bills - Investments'!C:C,A610,'Bills - Investments'!E:E)</f>
        <v>17000</v>
      </c>
    </row>
    <row r="617">
      <c r="A617" s="53">
        <f t="shared" si="253"/>
        <v>0</v>
      </c>
      <c r="B617" s="69">
        <f>B606+B612/5</f>
        <v>25100</v>
      </c>
      <c r="C617" s="133">
        <f>sumif(G611:M611,"Pending",G617:M617)</f>
        <v>0</v>
      </c>
      <c r="D617" s="133">
        <f t="shared" si="254"/>
        <v>0</v>
      </c>
      <c r="E617" s="32" t="s">
        <v>81</v>
      </c>
      <c r="F617" s="90">
        <f t="shared" ref="F617:F619" si="255">sum(G617:M617)+B617</f>
        <v>25100</v>
      </c>
      <c r="G617" s="148">
        <f t="shared" ref="G617:G619" si="256">(G606+G595+G584)/3</f>
        <v>0</v>
      </c>
      <c r="H617" s="147">
        <f t="shared" ref="H617:H619" si="257">(H606+H595)/2</f>
        <v>0</v>
      </c>
      <c r="I617" s="147">
        <f t="shared" ref="I617:I619" si="258">I606</f>
        <v>0</v>
      </c>
      <c r="J617" s="147">
        <v>0.0</v>
      </c>
      <c r="K617" s="147">
        <v>0.0</v>
      </c>
      <c r="L617" s="147">
        <v>0.0</v>
      </c>
      <c r="M617" s="147">
        <v>0.0</v>
      </c>
    </row>
    <row r="618">
      <c r="A618" s="53">
        <f t="shared" si="253"/>
        <v>0</v>
      </c>
      <c r="B618" s="69">
        <f>B607+B612/5</f>
        <v>32100</v>
      </c>
      <c r="C618" s="133">
        <f>sumif(G611:M611,"Pending",G618:M618)</f>
        <v>0</v>
      </c>
      <c r="D618" s="133">
        <f t="shared" si="254"/>
        <v>0</v>
      </c>
      <c r="E618" s="32" t="s">
        <v>79</v>
      </c>
      <c r="F618" s="90">
        <f t="shared" si="255"/>
        <v>32100</v>
      </c>
      <c r="G618" s="148">
        <f t="shared" si="256"/>
        <v>0</v>
      </c>
      <c r="H618" s="147">
        <f t="shared" si="257"/>
        <v>0</v>
      </c>
      <c r="I618" s="147">
        <f t="shared" si="258"/>
        <v>0</v>
      </c>
      <c r="J618" s="147">
        <v>0.0</v>
      </c>
      <c r="K618" s="147">
        <v>0.0</v>
      </c>
      <c r="L618" s="147">
        <v>0.0</v>
      </c>
      <c r="M618" s="147">
        <v>0.0</v>
      </c>
    </row>
    <row r="619">
      <c r="A619" s="53">
        <f t="shared" si="253"/>
        <v>0</v>
      </c>
      <c r="B619" s="69">
        <f>B608+B612/5</f>
        <v>25100</v>
      </c>
      <c r="C619" s="133">
        <f>sumif(G611:M611,"Pending",G619:M619)</f>
        <v>0</v>
      </c>
      <c r="D619" s="133">
        <f t="shared" si="254"/>
        <v>0</v>
      </c>
      <c r="E619" s="33" t="s">
        <v>91</v>
      </c>
      <c r="F619" s="90">
        <f t="shared" si="255"/>
        <v>25100</v>
      </c>
      <c r="G619" s="148">
        <f t="shared" si="256"/>
        <v>0</v>
      </c>
      <c r="H619" s="147">
        <f t="shared" si="257"/>
        <v>0</v>
      </c>
      <c r="I619" s="147">
        <f t="shared" si="258"/>
        <v>0</v>
      </c>
      <c r="J619" s="147">
        <v>0.0</v>
      </c>
      <c r="K619" s="147">
        <v>0.0</v>
      </c>
      <c r="L619" s="147">
        <v>0.0</v>
      </c>
      <c r="M619" s="147">
        <v>0.0</v>
      </c>
    </row>
    <row r="620">
      <c r="A620" s="24"/>
      <c r="B620" s="24"/>
      <c r="C620" s="24"/>
      <c r="D620" s="24"/>
      <c r="E620" s="24"/>
      <c r="F620" s="25"/>
      <c r="G620" s="25"/>
      <c r="H620" s="24"/>
      <c r="I620" s="25"/>
      <c r="J620" s="25"/>
      <c r="K620" s="25"/>
      <c r="L620" s="25"/>
      <c r="M620" s="24"/>
    </row>
    <row r="621">
      <c r="A621" s="71">
        <f>Projections!AY1</f>
        <v>46478</v>
      </c>
      <c r="B621" s="119" t="str">
        <f>if(B611&lt;=B620*6/5,B610+500,B610)</f>
        <v/>
      </c>
      <c r="C621" s="24"/>
      <c r="D621" s="25" t="s">
        <v>108</v>
      </c>
      <c r="E621" s="74">
        <f>A624-A613</f>
        <v>99693.48</v>
      </c>
      <c r="F621" s="25" t="s">
        <v>64</v>
      </c>
      <c r="G621" s="136" t="s">
        <v>109</v>
      </c>
      <c r="H621" s="137" t="s">
        <v>110</v>
      </c>
      <c r="I621" s="137" t="s">
        <v>111</v>
      </c>
      <c r="J621" s="137" t="s">
        <v>112</v>
      </c>
      <c r="K621" s="137" t="s">
        <v>113</v>
      </c>
      <c r="L621" s="137" t="s">
        <v>114</v>
      </c>
      <c r="M621" s="137" t="s">
        <v>65</v>
      </c>
    </row>
    <row r="622">
      <c r="A622" s="25" t="s">
        <v>95</v>
      </c>
      <c r="B622" s="72">
        <f>Projections!AY15</f>
        <v>201196.38</v>
      </c>
      <c r="C622" s="138">
        <f>A621</f>
        <v>46478</v>
      </c>
      <c r="D622" s="98" t="s">
        <v>115</v>
      </c>
      <c r="E622" s="57">
        <f>Projections!AY14</f>
        <v>1382344.7</v>
      </c>
      <c r="F622" s="73" t="s">
        <v>67</v>
      </c>
      <c r="G622" s="139" t="s">
        <v>67</v>
      </c>
      <c r="H622" s="139" t="s">
        <v>67</v>
      </c>
      <c r="I622" s="137" t="s">
        <v>67</v>
      </c>
      <c r="J622" s="137" t="s">
        <v>67</v>
      </c>
      <c r="K622" s="137" t="s">
        <v>67</v>
      </c>
      <c r="L622" s="137" t="s">
        <v>67</v>
      </c>
      <c r="M622" s="137" t="s">
        <v>67</v>
      </c>
    </row>
    <row r="623">
      <c r="A623" s="25" t="s">
        <v>69</v>
      </c>
      <c r="B623" s="119">
        <f>if(B612&gt;B622/10,B612,B612+500)</f>
        <v>11000</v>
      </c>
      <c r="C623" s="138">
        <f>EOMONTH(C622,0)</f>
        <v>46507</v>
      </c>
      <c r="D623" s="25" t="s">
        <v>116</v>
      </c>
      <c r="E623" s="74">
        <f>if(today()&gt;C623,0,B622*12/365/5)</f>
        <v>1322.935101</v>
      </c>
      <c r="F623" s="25" t="s">
        <v>70</v>
      </c>
      <c r="G623" s="140" t="s">
        <v>117</v>
      </c>
      <c r="H623" s="137" t="s">
        <v>117</v>
      </c>
      <c r="I623" s="137" t="s">
        <v>118</v>
      </c>
      <c r="J623" s="137" t="s">
        <v>118</v>
      </c>
      <c r="K623" s="137" t="s">
        <v>118</v>
      </c>
      <c r="L623" s="137" t="s">
        <v>119</v>
      </c>
      <c r="M623" s="137" t="s">
        <v>119</v>
      </c>
    </row>
    <row r="624">
      <c r="A624" s="54">
        <f>F624-C624-B624</f>
        <v>1148341.7</v>
      </c>
      <c r="B624" s="90">
        <f t="shared" ref="B624:D624" si="259">sum(B626:B630)</f>
        <v>143500</v>
      </c>
      <c r="C624" s="141">
        <f t="shared" si="259"/>
        <v>90503</v>
      </c>
      <c r="D624" s="142">
        <f t="shared" si="259"/>
        <v>205500</v>
      </c>
      <c r="E624" s="59"/>
      <c r="F624" s="63">
        <f>sum(F626:F630)</f>
        <v>1382344.7</v>
      </c>
      <c r="G624" s="136" t="s">
        <v>120</v>
      </c>
      <c r="H624" s="137" t="s">
        <v>121</v>
      </c>
      <c r="I624" s="137" t="s">
        <v>111</v>
      </c>
      <c r="J624" s="137" t="s">
        <v>112</v>
      </c>
      <c r="K624" s="137" t="s">
        <v>113</v>
      </c>
      <c r="L624" s="137" t="s">
        <v>114</v>
      </c>
      <c r="M624" s="137" t="s">
        <v>65</v>
      </c>
    </row>
    <row r="625">
      <c r="A625" s="32" t="s">
        <v>72</v>
      </c>
      <c r="B625" s="122" t="s">
        <v>84</v>
      </c>
      <c r="C625" s="143" t="s">
        <v>67</v>
      </c>
      <c r="D625" s="143" t="s">
        <v>122</v>
      </c>
      <c r="E625" s="34">
        <f>today()</f>
        <v>45969</v>
      </c>
      <c r="F625" s="35" t="s">
        <v>64</v>
      </c>
      <c r="G625" s="144" t="s">
        <v>107</v>
      </c>
      <c r="H625" s="144" t="s">
        <v>107</v>
      </c>
      <c r="I625" s="145" t="str">
        <f>I614</f>
        <v>STR Residency</v>
      </c>
      <c r="J625" s="145" t="s">
        <v>112</v>
      </c>
      <c r="K625" s="145" t="s">
        <v>113</v>
      </c>
      <c r="L625" s="145" t="s">
        <v>114</v>
      </c>
      <c r="M625" s="145" t="s">
        <v>65</v>
      </c>
    </row>
    <row r="626">
      <c r="A626" s="53">
        <f t="shared" ref="A626:A630" si="260">F626-C626-B626</f>
        <v>0</v>
      </c>
      <c r="B626" s="69">
        <f>B615+B623/5</f>
        <v>27300</v>
      </c>
      <c r="C626" s="133">
        <f>sumif(G622:M622,"Pending",G626:M626)</f>
        <v>52867</v>
      </c>
      <c r="D626" s="133">
        <f t="shared" ref="D626:D630" si="261">D615+M626</f>
        <v>35500</v>
      </c>
      <c r="E626" s="32" t="s">
        <v>76</v>
      </c>
      <c r="F626" s="150">
        <f>sumif(G622:M622,"Pending",G626:M626)+B626</f>
        <v>80167</v>
      </c>
      <c r="G626" s="146">
        <f>sumif('Bills - CC EMIs'!D:D,A621,'Bills - CC EMIs'!E:E)+SUMIF('Bills - CC EMIs'!D:D,A621,'Bills - CC EMIs'!F:F)+sumif('Bills - CC EMIs'!D:D,A621,'Bills - CC EMIs'!G:G)</f>
        <v>5000</v>
      </c>
      <c r="H626" s="146">
        <f>SUMIFS('Bills - Loans'!F:F,'Bills - Loans'!D:D,A621)</f>
        <v>40367</v>
      </c>
      <c r="I626" s="147">
        <v>0.0</v>
      </c>
      <c r="J626" s="137">
        <f>sumif('Bills - Responsibilities'!D:D,A621,'Bills - Responsibilities'!E:E)</f>
        <v>5000</v>
      </c>
      <c r="K626" s="147">
        <v>0.0</v>
      </c>
      <c r="L626" s="147">
        <f>sumif('Bills - Returns'!C:C,A621,'Bills - Returns'!D:D)</f>
        <v>0</v>
      </c>
      <c r="M626" s="147">
        <f>sumif('Bills - Investments'!C:C,A621,'Bills - Investments'!D:D)</f>
        <v>2500</v>
      </c>
    </row>
    <row r="627">
      <c r="A627" s="53">
        <f t="shared" si="260"/>
        <v>1148341.7</v>
      </c>
      <c r="B627" s="69">
        <f>B616+B623/5</f>
        <v>27300</v>
      </c>
      <c r="C627" s="133">
        <f>sumif(G622:M622,"Pending",G627:M627)</f>
        <v>37636</v>
      </c>
      <c r="D627" s="133">
        <f t="shared" si="261"/>
        <v>170000</v>
      </c>
      <c r="E627" s="32" t="s">
        <v>77</v>
      </c>
      <c r="F627" s="90">
        <f>E622-F626-sum(F628:F630)</f>
        <v>1213277.7</v>
      </c>
      <c r="G627" s="148">
        <f>sumif('Bills - CC EMIs'!D:D,A621,'Bills - CC EMIs'!H:H)</f>
        <v>0</v>
      </c>
      <c r="H627" s="147">
        <f>SUMIFS('Bills - Loans'!E:E,'Bills - Loans'!D:D,A621)</f>
        <v>15742</v>
      </c>
      <c r="I627" s="137">
        <f>sumif('Bills - STR Residency'!D:D,A621,'Bills - STR Residency'!E:E)</f>
        <v>2855</v>
      </c>
      <c r="J627" s="147">
        <v>0.0</v>
      </c>
      <c r="K627" s="147">
        <f>sumif('Bills - Utilities'!C:C,A621,'Bills - Utilities'!B:B)</f>
        <v>1039</v>
      </c>
      <c r="L627" s="147">
        <f>sumif('Bills - Utilities'!D:D,B621,'Bills - Utilities'!C:C)</f>
        <v>0</v>
      </c>
      <c r="M627" s="147">
        <f>sumif('Bills - Investments'!C:C,A621,'Bills - Investments'!E:E)</f>
        <v>18000</v>
      </c>
    </row>
    <row r="628">
      <c r="A628" s="53">
        <f t="shared" si="260"/>
        <v>0</v>
      </c>
      <c r="B628" s="69">
        <f>B617+B623/5</f>
        <v>27300</v>
      </c>
      <c r="C628" s="133">
        <f>sumif(G622:M622,"Pending",G628:M628)</f>
        <v>0</v>
      </c>
      <c r="D628" s="133">
        <f t="shared" si="261"/>
        <v>0</v>
      </c>
      <c r="E628" s="32" t="s">
        <v>81</v>
      </c>
      <c r="F628" s="90">
        <f t="shared" ref="F628:F630" si="262">sum(G628:M628)+B628</f>
        <v>27300</v>
      </c>
      <c r="G628" s="148">
        <f t="shared" ref="G628:G630" si="263">(G617+G606+G595)/3</f>
        <v>0</v>
      </c>
      <c r="H628" s="147">
        <f t="shared" ref="H628:H630" si="264">(H617+H606)/2</f>
        <v>0</v>
      </c>
      <c r="I628" s="147">
        <f t="shared" ref="I628:I630" si="265">I617</f>
        <v>0</v>
      </c>
      <c r="J628" s="147">
        <v>0.0</v>
      </c>
      <c r="K628" s="147">
        <v>0.0</v>
      </c>
      <c r="L628" s="147">
        <v>0.0</v>
      </c>
      <c r="M628" s="147">
        <v>0.0</v>
      </c>
    </row>
    <row r="629">
      <c r="A629" s="53">
        <f t="shared" si="260"/>
        <v>0</v>
      </c>
      <c r="B629" s="69">
        <f>B618+B623/5</f>
        <v>34300</v>
      </c>
      <c r="C629" s="133">
        <f>sumif(G622:M622,"Pending",G629:M629)</f>
        <v>0</v>
      </c>
      <c r="D629" s="133">
        <f t="shared" si="261"/>
        <v>0</v>
      </c>
      <c r="E629" s="32" t="s">
        <v>79</v>
      </c>
      <c r="F629" s="90">
        <f t="shared" si="262"/>
        <v>34300</v>
      </c>
      <c r="G629" s="148">
        <f t="shared" si="263"/>
        <v>0</v>
      </c>
      <c r="H629" s="147">
        <f t="shared" si="264"/>
        <v>0</v>
      </c>
      <c r="I629" s="147">
        <f t="shared" si="265"/>
        <v>0</v>
      </c>
      <c r="J629" s="147">
        <v>0.0</v>
      </c>
      <c r="K629" s="147">
        <v>0.0</v>
      </c>
      <c r="L629" s="147">
        <v>0.0</v>
      </c>
      <c r="M629" s="147">
        <v>0.0</v>
      </c>
    </row>
    <row r="630">
      <c r="A630" s="53">
        <f t="shared" si="260"/>
        <v>0</v>
      </c>
      <c r="B630" s="69">
        <f>B619+B623/5</f>
        <v>27300</v>
      </c>
      <c r="C630" s="133">
        <f>sumif(G622:M622,"Pending",G630:M630)</f>
        <v>0</v>
      </c>
      <c r="D630" s="133">
        <f t="shared" si="261"/>
        <v>0</v>
      </c>
      <c r="E630" s="33" t="s">
        <v>91</v>
      </c>
      <c r="F630" s="90">
        <f t="shared" si="262"/>
        <v>27300</v>
      </c>
      <c r="G630" s="148">
        <f t="shared" si="263"/>
        <v>0</v>
      </c>
      <c r="H630" s="147">
        <f t="shared" si="264"/>
        <v>0</v>
      </c>
      <c r="I630" s="147">
        <f t="shared" si="265"/>
        <v>0</v>
      </c>
      <c r="J630" s="147">
        <v>0.0</v>
      </c>
      <c r="K630" s="147">
        <v>0.0</v>
      </c>
      <c r="L630" s="147">
        <v>0.0</v>
      </c>
      <c r="M630" s="147">
        <v>0.0</v>
      </c>
    </row>
    <row r="631">
      <c r="A631" s="24"/>
      <c r="B631" s="24"/>
      <c r="C631" s="24"/>
      <c r="D631" s="24"/>
      <c r="E631" s="24"/>
      <c r="F631" s="25"/>
      <c r="G631" s="25"/>
      <c r="H631" s="24"/>
      <c r="I631" s="25"/>
      <c r="J631" s="25"/>
      <c r="K631" s="25"/>
      <c r="L631" s="25"/>
      <c r="M631" s="24"/>
    </row>
    <row r="632">
      <c r="A632" s="71">
        <f>Projections!AZ1</f>
        <v>46508</v>
      </c>
      <c r="B632" s="24"/>
      <c r="C632" s="24"/>
      <c r="D632" s="25" t="s">
        <v>108</v>
      </c>
      <c r="E632" s="74">
        <f>A635-A624</f>
        <v>98193.38</v>
      </c>
      <c r="F632" s="25" t="s">
        <v>64</v>
      </c>
      <c r="G632" s="136" t="s">
        <v>109</v>
      </c>
      <c r="H632" s="137" t="s">
        <v>110</v>
      </c>
      <c r="I632" s="137" t="s">
        <v>111</v>
      </c>
      <c r="J632" s="137" t="s">
        <v>112</v>
      </c>
      <c r="K632" s="137" t="s">
        <v>113</v>
      </c>
      <c r="L632" s="137" t="s">
        <v>114</v>
      </c>
      <c r="M632" s="137" t="s">
        <v>65</v>
      </c>
    </row>
    <row r="633">
      <c r="A633" s="25" t="s">
        <v>95</v>
      </c>
      <c r="B633" s="72">
        <f>Projections!AZ15</f>
        <v>201196.38</v>
      </c>
      <c r="C633" s="138">
        <f>A632</f>
        <v>46508</v>
      </c>
      <c r="D633" s="98" t="s">
        <v>115</v>
      </c>
      <c r="E633" s="57">
        <f>Projections!AZ14</f>
        <v>1493038.08</v>
      </c>
      <c r="F633" s="73" t="s">
        <v>67</v>
      </c>
      <c r="G633" s="139" t="s">
        <v>67</v>
      </c>
      <c r="H633" s="139" t="s">
        <v>67</v>
      </c>
      <c r="I633" s="137" t="s">
        <v>67</v>
      </c>
      <c r="J633" s="137" t="s">
        <v>67</v>
      </c>
      <c r="K633" s="137" t="s">
        <v>67</v>
      </c>
      <c r="L633" s="137" t="s">
        <v>67</v>
      </c>
      <c r="M633" s="137" t="s">
        <v>67</v>
      </c>
    </row>
    <row r="634">
      <c r="A634" s="25" t="s">
        <v>69</v>
      </c>
      <c r="B634" s="119">
        <f>if(B623&gt;B633/10,B623,B623+500)</f>
        <v>11500</v>
      </c>
      <c r="C634" s="138">
        <f>EOMONTH(C633,0)</f>
        <v>46538</v>
      </c>
      <c r="D634" s="25" t="s">
        <v>116</v>
      </c>
      <c r="E634" s="74">
        <f>if(today()&gt;C634,0,B633*12/365/5)</f>
        <v>1322.935101</v>
      </c>
      <c r="F634" s="25" t="s">
        <v>70</v>
      </c>
      <c r="G634" s="140" t="s">
        <v>117</v>
      </c>
      <c r="H634" s="137" t="s">
        <v>117</v>
      </c>
      <c r="I634" s="137" t="s">
        <v>118</v>
      </c>
      <c r="J634" s="137" t="s">
        <v>118</v>
      </c>
      <c r="K634" s="137" t="s">
        <v>118</v>
      </c>
      <c r="L634" s="137" t="s">
        <v>119</v>
      </c>
      <c r="M634" s="137" t="s">
        <v>119</v>
      </c>
    </row>
    <row r="635">
      <c r="A635" s="54">
        <f>F635-C635-B635</f>
        <v>1246535.08</v>
      </c>
      <c r="B635" s="90">
        <f t="shared" ref="B635:D635" si="266">sum(B637:B641)</f>
        <v>155000</v>
      </c>
      <c r="C635" s="141">
        <f t="shared" si="266"/>
        <v>91503</v>
      </c>
      <c r="D635" s="142">
        <f t="shared" si="266"/>
        <v>227000</v>
      </c>
      <c r="E635" s="59"/>
      <c r="F635" s="63">
        <f>sum(F637:F641)</f>
        <v>1493038.08</v>
      </c>
      <c r="G635" s="136" t="s">
        <v>120</v>
      </c>
      <c r="H635" s="137" t="s">
        <v>121</v>
      </c>
      <c r="I635" s="137" t="s">
        <v>111</v>
      </c>
      <c r="J635" s="137" t="s">
        <v>112</v>
      </c>
      <c r="K635" s="137" t="s">
        <v>113</v>
      </c>
      <c r="L635" s="137" t="s">
        <v>114</v>
      </c>
      <c r="M635" s="137" t="s">
        <v>65</v>
      </c>
    </row>
    <row r="636">
      <c r="A636" s="32" t="s">
        <v>72</v>
      </c>
      <c r="B636" s="122" t="s">
        <v>84</v>
      </c>
      <c r="C636" s="143" t="s">
        <v>67</v>
      </c>
      <c r="D636" s="143" t="s">
        <v>122</v>
      </c>
      <c r="E636" s="34">
        <f>today()</f>
        <v>45969</v>
      </c>
      <c r="F636" s="35" t="s">
        <v>64</v>
      </c>
      <c r="G636" s="144" t="s">
        <v>107</v>
      </c>
      <c r="H636" s="144" t="s">
        <v>107</v>
      </c>
      <c r="I636" s="145" t="str">
        <f>I625</f>
        <v>STR Residency</v>
      </c>
      <c r="J636" s="145" t="s">
        <v>112</v>
      </c>
      <c r="K636" s="145" t="s">
        <v>113</v>
      </c>
      <c r="L636" s="145" t="s">
        <v>114</v>
      </c>
      <c r="M636" s="145" t="s">
        <v>65</v>
      </c>
    </row>
    <row r="637">
      <c r="A637" s="53">
        <f t="shared" ref="A637:A641" si="267">F637-C637-B637</f>
        <v>0</v>
      </c>
      <c r="B637" s="69">
        <f>B626+B634/5</f>
        <v>29600</v>
      </c>
      <c r="C637" s="133">
        <f>sumif(G633:M633,"Pending",G637:M637)</f>
        <v>52867</v>
      </c>
      <c r="D637" s="133">
        <f t="shared" ref="D637:D641" si="268">D626+M637</f>
        <v>38000</v>
      </c>
      <c r="E637" s="32" t="s">
        <v>76</v>
      </c>
      <c r="F637" s="150">
        <f>sumif(G633:M633,"Pending",G637:M637)+B637</f>
        <v>82467</v>
      </c>
      <c r="G637" s="146">
        <f>sumif('Bills - CC EMIs'!D:D,A632,'Bills - CC EMIs'!E:E)+SUMIF('Bills - CC EMIs'!D:D,A632,'Bills - CC EMIs'!F:F)+sumif('Bills - CC EMIs'!D:D,A632,'Bills - CC EMIs'!G:G)</f>
        <v>5000</v>
      </c>
      <c r="H637" s="146">
        <f>SUMIFS('Bills - Loans'!F:F,'Bills - Loans'!D:D,A632)</f>
        <v>40367</v>
      </c>
      <c r="I637" s="147">
        <v>0.0</v>
      </c>
      <c r="J637" s="137">
        <f>sumif('Bills - Responsibilities'!D:D,A632,'Bills - Responsibilities'!E:E)</f>
        <v>5000</v>
      </c>
      <c r="K637" s="147">
        <v>0.0</v>
      </c>
      <c r="L637" s="147">
        <f>sumif('Bills - Returns'!C:C,A632,'Bills - Returns'!D:D)</f>
        <v>0</v>
      </c>
      <c r="M637" s="147">
        <f>sumif('Bills - Investments'!C:C,A632,'Bills - Investments'!D:D)</f>
        <v>2500</v>
      </c>
    </row>
    <row r="638">
      <c r="A638" s="53">
        <f t="shared" si="267"/>
        <v>1246535.08</v>
      </c>
      <c r="B638" s="69">
        <f>B627+B634/5</f>
        <v>29600</v>
      </c>
      <c r="C638" s="133">
        <f>sumif(G633:M633,"Pending",G638:M638)</f>
        <v>38636</v>
      </c>
      <c r="D638" s="133">
        <f t="shared" si="268"/>
        <v>189000</v>
      </c>
      <c r="E638" s="32" t="s">
        <v>77</v>
      </c>
      <c r="F638" s="90">
        <f>E633-F637-sum(F639:F641)</f>
        <v>1314771.08</v>
      </c>
      <c r="G638" s="148">
        <f>sumif('Bills - CC EMIs'!D:D,A632,'Bills - CC EMIs'!H:H)</f>
        <v>0</v>
      </c>
      <c r="H638" s="147">
        <f>SUMIFS('Bills - Loans'!E:E,'Bills - Loans'!D:D,A632)</f>
        <v>15742</v>
      </c>
      <c r="I638" s="137">
        <f>sumif('Bills - STR Residency'!D:D,A632,'Bills - STR Residency'!E:E)</f>
        <v>2855</v>
      </c>
      <c r="J638" s="147">
        <v>0.0</v>
      </c>
      <c r="K638" s="147">
        <f>sumif('Bills - Utilities'!C:C,A632,'Bills - Utilities'!B:B)</f>
        <v>1039</v>
      </c>
      <c r="L638" s="147">
        <f>sumif('Bills - Utilities'!D:D,B632,'Bills - Utilities'!C:C)</f>
        <v>0</v>
      </c>
      <c r="M638" s="147">
        <f>sumif('Bills - Investments'!C:C,A632,'Bills - Investments'!E:E)</f>
        <v>19000</v>
      </c>
    </row>
    <row r="639">
      <c r="A639" s="53">
        <f t="shared" si="267"/>
        <v>0</v>
      </c>
      <c r="B639" s="69">
        <f>B628+B634/5</f>
        <v>29600</v>
      </c>
      <c r="C639" s="133">
        <f>sumif(G633:M633,"Pending",G639:M639)</f>
        <v>0</v>
      </c>
      <c r="D639" s="133">
        <f t="shared" si="268"/>
        <v>0</v>
      </c>
      <c r="E639" s="32" t="s">
        <v>81</v>
      </c>
      <c r="F639" s="90">
        <f t="shared" ref="F639:F641" si="269">sum(G639:M639)+B639</f>
        <v>29600</v>
      </c>
      <c r="G639" s="148">
        <f t="shared" ref="G639:G641" si="270">(G628+G617+G606)/3</f>
        <v>0</v>
      </c>
      <c r="H639" s="147">
        <f t="shared" ref="H639:H641" si="271">(H628+H617)/2</f>
        <v>0</v>
      </c>
      <c r="I639" s="147">
        <f t="shared" ref="I639:I641" si="272">I628</f>
        <v>0</v>
      </c>
      <c r="J639" s="147">
        <v>0.0</v>
      </c>
      <c r="K639" s="147">
        <v>0.0</v>
      </c>
      <c r="L639" s="147">
        <v>0.0</v>
      </c>
      <c r="M639" s="147">
        <v>0.0</v>
      </c>
    </row>
    <row r="640">
      <c r="A640" s="53">
        <f t="shared" si="267"/>
        <v>0</v>
      </c>
      <c r="B640" s="69">
        <f>B629+B634/5</f>
        <v>36600</v>
      </c>
      <c r="C640" s="133">
        <f>sumif(G633:M633,"Pending",G640:M640)</f>
        <v>0</v>
      </c>
      <c r="D640" s="133">
        <f t="shared" si="268"/>
        <v>0</v>
      </c>
      <c r="E640" s="32" t="s">
        <v>79</v>
      </c>
      <c r="F640" s="90">
        <f t="shared" si="269"/>
        <v>36600</v>
      </c>
      <c r="G640" s="148">
        <f t="shared" si="270"/>
        <v>0</v>
      </c>
      <c r="H640" s="147">
        <f t="shared" si="271"/>
        <v>0</v>
      </c>
      <c r="I640" s="147">
        <f t="shared" si="272"/>
        <v>0</v>
      </c>
      <c r="J640" s="147">
        <v>0.0</v>
      </c>
      <c r="K640" s="147">
        <v>0.0</v>
      </c>
      <c r="L640" s="147">
        <v>0.0</v>
      </c>
      <c r="M640" s="147">
        <v>0.0</v>
      </c>
    </row>
    <row r="641">
      <c r="A641" s="53">
        <f t="shared" si="267"/>
        <v>0</v>
      </c>
      <c r="B641" s="69">
        <f>B630+B634/5</f>
        <v>29600</v>
      </c>
      <c r="C641" s="133">
        <f>sumif(G633:M633,"Pending",G641:M641)</f>
        <v>0</v>
      </c>
      <c r="D641" s="133">
        <f t="shared" si="268"/>
        <v>0</v>
      </c>
      <c r="E641" s="33" t="s">
        <v>91</v>
      </c>
      <c r="F641" s="90">
        <f t="shared" si="269"/>
        <v>29600</v>
      </c>
      <c r="G641" s="148">
        <f t="shared" si="270"/>
        <v>0</v>
      </c>
      <c r="H641" s="147">
        <f t="shared" si="271"/>
        <v>0</v>
      </c>
      <c r="I641" s="147">
        <f t="shared" si="272"/>
        <v>0</v>
      </c>
      <c r="J641" s="147">
        <v>0.0</v>
      </c>
      <c r="K641" s="147">
        <v>0.0</v>
      </c>
      <c r="L641" s="147">
        <v>0.0</v>
      </c>
      <c r="M641" s="147">
        <v>0.0</v>
      </c>
    </row>
    <row r="642">
      <c r="A642" s="24"/>
      <c r="B642" s="24"/>
      <c r="C642" s="24"/>
      <c r="D642" s="24"/>
      <c r="E642" s="24"/>
      <c r="F642" s="25"/>
      <c r="G642" s="25"/>
      <c r="H642" s="24"/>
      <c r="I642" s="25"/>
      <c r="J642" s="25"/>
      <c r="K642" s="25"/>
      <c r="L642" s="25"/>
      <c r="M642" s="24"/>
    </row>
    <row r="643">
      <c r="A643" s="71">
        <f>Projections!BA1</f>
        <v>46539</v>
      </c>
      <c r="B643" s="24"/>
      <c r="C643" s="24"/>
      <c r="D643" s="25" t="s">
        <v>108</v>
      </c>
      <c r="E643" s="74">
        <f>A646-A635</f>
        <v>96693.38</v>
      </c>
      <c r="F643" s="25" t="s">
        <v>64</v>
      </c>
      <c r="G643" s="136" t="s">
        <v>109</v>
      </c>
      <c r="H643" s="137" t="s">
        <v>110</v>
      </c>
      <c r="I643" s="137" t="s">
        <v>111</v>
      </c>
      <c r="J643" s="137" t="s">
        <v>112</v>
      </c>
      <c r="K643" s="137" t="s">
        <v>113</v>
      </c>
      <c r="L643" s="137" t="s">
        <v>114</v>
      </c>
      <c r="M643" s="137" t="s">
        <v>65</v>
      </c>
    </row>
    <row r="644">
      <c r="A644" s="25" t="s">
        <v>95</v>
      </c>
      <c r="B644" s="72">
        <f>Projections!BA15</f>
        <v>201196.38</v>
      </c>
      <c r="C644" s="138">
        <f>A643</f>
        <v>46539</v>
      </c>
      <c r="D644" s="98" t="s">
        <v>115</v>
      </c>
      <c r="E644" s="57">
        <f>Projections!BA14</f>
        <v>1602731.46</v>
      </c>
      <c r="F644" s="73" t="s">
        <v>67</v>
      </c>
      <c r="G644" s="139" t="s">
        <v>67</v>
      </c>
      <c r="H644" s="139" t="s">
        <v>67</v>
      </c>
      <c r="I644" s="137" t="s">
        <v>67</v>
      </c>
      <c r="J644" s="137" t="s">
        <v>67</v>
      </c>
      <c r="K644" s="137" t="s">
        <v>67</v>
      </c>
      <c r="L644" s="137" t="s">
        <v>67</v>
      </c>
      <c r="M644" s="137" t="s">
        <v>67</v>
      </c>
    </row>
    <row r="645">
      <c r="A645" s="25" t="s">
        <v>69</v>
      </c>
      <c r="B645" s="119">
        <f>if(B634&gt;B644/10,B634,B634+500)</f>
        <v>12000</v>
      </c>
      <c r="C645" s="138">
        <f>EOMONTH(C644,0)</f>
        <v>46568</v>
      </c>
      <c r="D645" s="25" t="s">
        <v>116</v>
      </c>
      <c r="E645" s="74">
        <f>if(today()&gt;C645,0,B644*12/365/5)</f>
        <v>1322.935101</v>
      </c>
      <c r="F645" s="25" t="s">
        <v>70</v>
      </c>
      <c r="G645" s="140" t="s">
        <v>117</v>
      </c>
      <c r="H645" s="137" t="s">
        <v>117</v>
      </c>
      <c r="I645" s="137" t="s">
        <v>118</v>
      </c>
      <c r="J645" s="137" t="s">
        <v>118</v>
      </c>
      <c r="K645" s="137" t="s">
        <v>118</v>
      </c>
      <c r="L645" s="137" t="s">
        <v>119</v>
      </c>
      <c r="M645" s="137" t="s">
        <v>119</v>
      </c>
    </row>
    <row r="646">
      <c r="A646" s="54">
        <f>F646-C646-B646</f>
        <v>1343228.46</v>
      </c>
      <c r="B646" s="90">
        <f t="shared" ref="B646:D646" si="273">sum(B648:B652)</f>
        <v>167000</v>
      </c>
      <c r="C646" s="141">
        <f t="shared" si="273"/>
        <v>92503</v>
      </c>
      <c r="D646" s="142">
        <f t="shared" si="273"/>
        <v>249500</v>
      </c>
      <c r="E646" s="59"/>
      <c r="F646" s="63">
        <f>sum(F648:F652)</f>
        <v>1602731.46</v>
      </c>
      <c r="G646" s="136" t="s">
        <v>120</v>
      </c>
      <c r="H646" s="137" t="s">
        <v>121</v>
      </c>
      <c r="I646" s="137" t="s">
        <v>111</v>
      </c>
      <c r="J646" s="137" t="s">
        <v>112</v>
      </c>
      <c r="K646" s="137" t="s">
        <v>113</v>
      </c>
      <c r="L646" s="137" t="s">
        <v>114</v>
      </c>
      <c r="M646" s="137" t="s">
        <v>65</v>
      </c>
    </row>
    <row r="647">
      <c r="A647" s="32" t="s">
        <v>72</v>
      </c>
      <c r="B647" s="122" t="s">
        <v>84</v>
      </c>
      <c r="C647" s="143" t="s">
        <v>67</v>
      </c>
      <c r="D647" s="143" t="s">
        <v>122</v>
      </c>
      <c r="E647" s="34">
        <f>today()</f>
        <v>45969</v>
      </c>
      <c r="F647" s="35" t="s">
        <v>64</v>
      </c>
      <c r="G647" s="144" t="s">
        <v>107</v>
      </c>
      <c r="H647" s="144" t="s">
        <v>107</v>
      </c>
      <c r="I647" s="145" t="str">
        <f>I636</f>
        <v>STR Residency</v>
      </c>
      <c r="J647" s="145" t="s">
        <v>112</v>
      </c>
      <c r="K647" s="145" t="s">
        <v>113</v>
      </c>
      <c r="L647" s="145" t="s">
        <v>114</v>
      </c>
      <c r="M647" s="145" t="s">
        <v>65</v>
      </c>
    </row>
    <row r="648">
      <c r="A648" s="53">
        <f t="shared" ref="A648:A652" si="274">F648-C648-B648</f>
        <v>0</v>
      </c>
      <c r="B648" s="69">
        <f>B637+B645/5</f>
        <v>32000</v>
      </c>
      <c r="C648" s="133">
        <f>sumif(G644:M644,"Pending",G648:M648)</f>
        <v>52867</v>
      </c>
      <c r="D648" s="133">
        <f t="shared" ref="D648:D652" si="275">D637+M648</f>
        <v>40500</v>
      </c>
      <c r="E648" s="32" t="s">
        <v>76</v>
      </c>
      <c r="F648" s="150">
        <f>sumif(G644:M644,"Pending",G648:M648)+B648</f>
        <v>84867</v>
      </c>
      <c r="G648" s="146">
        <f>sumif('Bills - CC EMIs'!D:D,A643,'Bills - CC EMIs'!E:E)+SUMIF('Bills - CC EMIs'!D:D,A643,'Bills - CC EMIs'!F:F)+sumif('Bills - CC EMIs'!D:D,A643,'Bills - CC EMIs'!G:G)</f>
        <v>5000</v>
      </c>
      <c r="H648" s="146">
        <f>SUMIFS('Bills - Loans'!F:F,'Bills - Loans'!D:D,A643)</f>
        <v>40367</v>
      </c>
      <c r="I648" s="147">
        <v>0.0</v>
      </c>
      <c r="J648" s="137">
        <f>sumif('Bills - Responsibilities'!D:D,A643,'Bills - Responsibilities'!E:E)</f>
        <v>5000</v>
      </c>
      <c r="K648" s="147">
        <v>0.0</v>
      </c>
      <c r="L648" s="147">
        <f>sumif('Bills - Returns'!C:C,A643,'Bills - Returns'!D:D)</f>
        <v>0</v>
      </c>
      <c r="M648" s="147">
        <f>sumif('Bills - Investments'!C:C,A643,'Bills - Investments'!D:D)</f>
        <v>2500</v>
      </c>
    </row>
    <row r="649">
      <c r="A649" s="53">
        <f t="shared" si="274"/>
        <v>1343228.46</v>
      </c>
      <c r="B649" s="69">
        <f>B638+B645/5</f>
        <v>32000</v>
      </c>
      <c r="C649" s="133">
        <f>sumif(G644:M644,"Pending",G649:M649)</f>
        <v>39636</v>
      </c>
      <c r="D649" s="133">
        <f t="shared" si="275"/>
        <v>209000</v>
      </c>
      <c r="E649" s="32" t="s">
        <v>77</v>
      </c>
      <c r="F649" s="90">
        <f>E644-F648-sum(F650:F652)</f>
        <v>1414864.46</v>
      </c>
      <c r="G649" s="148">
        <f>sumif('Bills - CC EMIs'!D:D,A643,'Bills - CC EMIs'!H:H)</f>
        <v>0</v>
      </c>
      <c r="H649" s="147">
        <f>SUMIFS('Bills - Loans'!E:E,'Bills - Loans'!D:D,A643)</f>
        <v>15742</v>
      </c>
      <c r="I649" s="137">
        <f>sumif('Bills - STR Residency'!D:D,A643,'Bills - STR Residency'!E:E)</f>
        <v>2855</v>
      </c>
      <c r="J649" s="147">
        <v>0.0</v>
      </c>
      <c r="K649" s="147">
        <f>sumif('Bills - Utilities'!C:C,A643,'Bills - Utilities'!B:B)</f>
        <v>1039</v>
      </c>
      <c r="L649" s="147">
        <f>sumif('Bills - Utilities'!D:D,B643,'Bills - Utilities'!C:C)</f>
        <v>0</v>
      </c>
      <c r="M649" s="147">
        <f>sumif('Bills - Investments'!C:C,A643,'Bills - Investments'!E:E)</f>
        <v>20000</v>
      </c>
    </row>
    <row r="650">
      <c r="A650" s="53">
        <f t="shared" si="274"/>
        <v>0</v>
      </c>
      <c r="B650" s="69">
        <f>B639+B645/5</f>
        <v>32000</v>
      </c>
      <c r="C650" s="133">
        <f>sumif(G644:M644,"Pending",G650:M650)</f>
        <v>0</v>
      </c>
      <c r="D650" s="133">
        <f t="shared" si="275"/>
        <v>0</v>
      </c>
      <c r="E650" s="32" t="s">
        <v>81</v>
      </c>
      <c r="F650" s="90">
        <f t="shared" ref="F650:F652" si="276">sum(G650:M650)+B650</f>
        <v>32000</v>
      </c>
      <c r="G650" s="148">
        <f t="shared" ref="G650:G652" si="277">(G639+G628+G617)/3</f>
        <v>0</v>
      </c>
      <c r="H650" s="147">
        <f t="shared" ref="H650:H652" si="278">(H639+H628)/2</f>
        <v>0</v>
      </c>
      <c r="I650" s="147">
        <f t="shared" ref="I650:I652" si="279">I639</f>
        <v>0</v>
      </c>
      <c r="J650" s="147">
        <v>0.0</v>
      </c>
      <c r="K650" s="147">
        <v>0.0</v>
      </c>
      <c r="L650" s="147">
        <v>0.0</v>
      </c>
      <c r="M650" s="147">
        <v>0.0</v>
      </c>
    </row>
    <row r="651">
      <c r="A651" s="53">
        <f t="shared" si="274"/>
        <v>0</v>
      </c>
      <c r="B651" s="69">
        <f>B640+B645/5</f>
        <v>39000</v>
      </c>
      <c r="C651" s="133">
        <f>sumif(G644:M644,"Pending",G651:M651)</f>
        <v>0</v>
      </c>
      <c r="D651" s="133">
        <f t="shared" si="275"/>
        <v>0</v>
      </c>
      <c r="E651" s="32" t="s">
        <v>79</v>
      </c>
      <c r="F651" s="90">
        <f t="shared" si="276"/>
        <v>39000</v>
      </c>
      <c r="G651" s="148">
        <f t="shared" si="277"/>
        <v>0</v>
      </c>
      <c r="H651" s="147">
        <f t="shared" si="278"/>
        <v>0</v>
      </c>
      <c r="I651" s="147">
        <f t="shared" si="279"/>
        <v>0</v>
      </c>
      <c r="J651" s="147">
        <v>0.0</v>
      </c>
      <c r="K651" s="147">
        <v>0.0</v>
      </c>
      <c r="L651" s="147">
        <v>0.0</v>
      </c>
      <c r="M651" s="147">
        <v>0.0</v>
      </c>
    </row>
    <row r="652">
      <c r="A652" s="53">
        <f t="shared" si="274"/>
        <v>0</v>
      </c>
      <c r="B652" s="69">
        <f>B641+B645/5</f>
        <v>32000</v>
      </c>
      <c r="C652" s="133">
        <f>sumif(G644:M644,"Pending",G652:M652)</f>
        <v>0</v>
      </c>
      <c r="D652" s="133">
        <f t="shared" si="275"/>
        <v>0</v>
      </c>
      <c r="E652" s="33" t="s">
        <v>91</v>
      </c>
      <c r="F652" s="90">
        <f t="shared" si="276"/>
        <v>32000</v>
      </c>
      <c r="G652" s="148">
        <f t="shared" si="277"/>
        <v>0</v>
      </c>
      <c r="H652" s="147">
        <f t="shared" si="278"/>
        <v>0</v>
      </c>
      <c r="I652" s="147">
        <f t="shared" si="279"/>
        <v>0</v>
      </c>
      <c r="J652" s="147">
        <v>0.0</v>
      </c>
      <c r="K652" s="147">
        <v>0.0</v>
      </c>
      <c r="L652" s="147">
        <v>0.0</v>
      </c>
      <c r="M652" s="147">
        <v>0.0</v>
      </c>
    </row>
    <row r="653">
      <c r="A653" s="24"/>
      <c r="B653" s="24"/>
      <c r="C653" s="24"/>
      <c r="D653" s="24"/>
      <c r="E653" s="24"/>
      <c r="F653" s="25"/>
      <c r="G653" s="25"/>
      <c r="H653" s="24"/>
      <c r="I653" s="25"/>
      <c r="J653" s="25"/>
      <c r="K653" s="25"/>
      <c r="L653" s="25"/>
      <c r="M653" s="24"/>
    </row>
    <row r="654">
      <c r="A654" s="71">
        <f>Projections!BB1</f>
        <v>46569</v>
      </c>
      <c r="B654" s="24"/>
      <c r="C654" s="24"/>
      <c r="D654" s="25" t="s">
        <v>108</v>
      </c>
      <c r="E654" s="74">
        <f>A657-A646</f>
        <v>93893.38</v>
      </c>
      <c r="F654" s="25" t="s">
        <v>64</v>
      </c>
      <c r="G654" s="136" t="s">
        <v>109</v>
      </c>
      <c r="H654" s="137" t="s">
        <v>110</v>
      </c>
      <c r="I654" s="137" t="s">
        <v>111</v>
      </c>
      <c r="J654" s="137" t="s">
        <v>112</v>
      </c>
      <c r="K654" s="137" t="s">
        <v>113</v>
      </c>
      <c r="L654" s="137" t="s">
        <v>114</v>
      </c>
      <c r="M654" s="137" t="s">
        <v>65</v>
      </c>
    </row>
    <row r="655">
      <c r="A655" s="25" t="s">
        <v>95</v>
      </c>
      <c r="B655" s="72">
        <f>Projections!BB15</f>
        <v>201196.38</v>
      </c>
      <c r="C655" s="138">
        <f>A654</f>
        <v>46569</v>
      </c>
      <c r="D655" s="98" t="s">
        <v>115</v>
      </c>
      <c r="E655" s="57">
        <f>Projections!BB14</f>
        <v>1711424.84</v>
      </c>
      <c r="F655" s="73" t="s">
        <v>67</v>
      </c>
      <c r="G655" s="139" t="s">
        <v>67</v>
      </c>
      <c r="H655" s="139" t="s">
        <v>67</v>
      </c>
      <c r="I655" s="137" t="s">
        <v>67</v>
      </c>
      <c r="J655" s="137" t="s">
        <v>67</v>
      </c>
      <c r="K655" s="137" t="s">
        <v>67</v>
      </c>
      <c r="L655" s="137" t="s">
        <v>67</v>
      </c>
      <c r="M655" s="137" t="s">
        <v>67</v>
      </c>
    </row>
    <row r="656">
      <c r="A656" s="25" t="s">
        <v>69</v>
      </c>
      <c r="B656" s="119">
        <f>if(B645&gt;B655/10,B645,B645+500)</f>
        <v>12500</v>
      </c>
      <c r="C656" s="138">
        <f>EOMONTH(C655,0)</f>
        <v>46599</v>
      </c>
      <c r="D656" s="25" t="s">
        <v>116</v>
      </c>
      <c r="E656" s="74">
        <f>if(today()&gt;C656,0,B655*12/365/5)</f>
        <v>1322.935101</v>
      </c>
      <c r="F656" s="25" t="s">
        <v>70</v>
      </c>
      <c r="G656" s="140" t="s">
        <v>117</v>
      </c>
      <c r="H656" s="137" t="s">
        <v>117</v>
      </c>
      <c r="I656" s="137" t="s">
        <v>118</v>
      </c>
      <c r="J656" s="137" t="s">
        <v>118</v>
      </c>
      <c r="K656" s="137" t="s">
        <v>118</v>
      </c>
      <c r="L656" s="137" t="s">
        <v>119</v>
      </c>
      <c r="M656" s="137" t="s">
        <v>119</v>
      </c>
    </row>
    <row r="657">
      <c r="A657" s="54">
        <f>F657-C657-B657</f>
        <v>1437121.84</v>
      </c>
      <c r="B657" s="90">
        <f t="shared" ref="B657:D657" si="280">sum(B659:B663)</f>
        <v>179500</v>
      </c>
      <c r="C657" s="141">
        <f t="shared" si="280"/>
        <v>94803</v>
      </c>
      <c r="D657" s="142">
        <f t="shared" si="280"/>
        <v>273000</v>
      </c>
      <c r="E657" s="59"/>
      <c r="F657" s="63">
        <f>sum(F659:F663)</f>
        <v>1711424.84</v>
      </c>
      <c r="G657" s="136" t="s">
        <v>120</v>
      </c>
      <c r="H657" s="137" t="s">
        <v>121</v>
      </c>
      <c r="I657" s="137" t="s">
        <v>111</v>
      </c>
      <c r="J657" s="137" t="s">
        <v>112</v>
      </c>
      <c r="K657" s="137" t="s">
        <v>113</v>
      </c>
      <c r="L657" s="137" t="s">
        <v>114</v>
      </c>
      <c r="M657" s="137" t="s">
        <v>65</v>
      </c>
    </row>
    <row r="658">
      <c r="A658" s="32" t="s">
        <v>72</v>
      </c>
      <c r="B658" s="122" t="s">
        <v>84</v>
      </c>
      <c r="C658" s="143" t="s">
        <v>67</v>
      </c>
      <c r="D658" s="143" t="s">
        <v>122</v>
      </c>
      <c r="E658" s="34">
        <f>today()</f>
        <v>45969</v>
      </c>
      <c r="F658" s="35" t="s">
        <v>64</v>
      </c>
      <c r="G658" s="144" t="s">
        <v>107</v>
      </c>
      <c r="H658" s="144" t="s">
        <v>107</v>
      </c>
      <c r="I658" s="145" t="str">
        <f>I647</f>
        <v>STR Residency</v>
      </c>
      <c r="J658" s="145" t="s">
        <v>112</v>
      </c>
      <c r="K658" s="145" t="s">
        <v>113</v>
      </c>
      <c r="L658" s="145" t="s">
        <v>114</v>
      </c>
      <c r="M658" s="145" t="s">
        <v>65</v>
      </c>
    </row>
    <row r="659">
      <c r="A659" s="53">
        <f t="shared" ref="A659:A663" si="281">F659-C659-B659</f>
        <v>0</v>
      </c>
      <c r="B659" s="69">
        <f>B648+B656/5</f>
        <v>34500</v>
      </c>
      <c r="C659" s="133">
        <f>sumif(G655:M655,"Pending",G659:M659)</f>
        <v>52867</v>
      </c>
      <c r="D659" s="133">
        <f t="shared" ref="D659:D663" si="282">D648+M659</f>
        <v>43000</v>
      </c>
      <c r="E659" s="32" t="s">
        <v>76</v>
      </c>
      <c r="F659" s="150">
        <f>sumif(G655:M655,"Pending",G659:M659)+B659</f>
        <v>87367</v>
      </c>
      <c r="G659" s="146">
        <f>sumif('Bills - CC EMIs'!D:D,A654,'Bills - CC EMIs'!E:E)+SUMIF('Bills - CC EMIs'!D:D,A654,'Bills - CC EMIs'!F:F)+sumif('Bills - CC EMIs'!D:D,A654,'Bills - CC EMIs'!G:G)</f>
        <v>5000</v>
      </c>
      <c r="H659" s="146">
        <f>SUMIFS('Bills - Loans'!F:F,'Bills - Loans'!D:D,A654)</f>
        <v>40367</v>
      </c>
      <c r="I659" s="147">
        <v>0.0</v>
      </c>
      <c r="J659" s="137">
        <f>sumif('Bills - Responsibilities'!D:D,A654,'Bills - Responsibilities'!E:E)</f>
        <v>5000</v>
      </c>
      <c r="K659" s="147">
        <v>0.0</v>
      </c>
      <c r="L659" s="147">
        <f>sumif('Bills - Returns'!C:C,A654,'Bills - Returns'!D:D)</f>
        <v>0</v>
      </c>
      <c r="M659" s="147">
        <f>sumif('Bills - Investments'!C:C,A654,'Bills - Investments'!D:D)</f>
        <v>2500</v>
      </c>
    </row>
    <row r="660">
      <c r="A660" s="53">
        <f t="shared" si="281"/>
        <v>1437121.84</v>
      </c>
      <c r="B660" s="69">
        <f>B649+B656/5</f>
        <v>34500</v>
      </c>
      <c r="C660" s="133">
        <f>sumif(G655:M655,"Pending",G660:M660)</f>
        <v>41936</v>
      </c>
      <c r="D660" s="133">
        <f t="shared" si="282"/>
        <v>230000</v>
      </c>
      <c r="E660" s="32" t="s">
        <v>77</v>
      </c>
      <c r="F660" s="90">
        <f>E655-F659-sum(F661:F663)</f>
        <v>1513557.84</v>
      </c>
      <c r="G660" s="148">
        <f>sumif('Bills - CC EMIs'!D:D,A654,'Bills - CC EMIs'!H:H)</f>
        <v>0</v>
      </c>
      <c r="H660" s="147">
        <f>SUMIFS('Bills - Loans'!E:E,'Bills - Loans'!D:D,A654)</f>
        <v>15742</v>
      </c>
      <c r="I660" s="137">
        <f>sumif('Bills - STR Residency'!D:D,A654,'Bills - STR Residency'!E:E)</f>
        <v>2855</v>
      </c>
      <c r="J660" s="147">
        <v>0.0</v>
      </c>
      <c r="K660" s="147">
        <f>sumif('Bills - Utilities'!C:C,A654,'Bills - Utilities'!B:B)</f>
        <v>2339</v>
      </c>
      <c r="L660" s="147">
        <f>sumif('Bills - Utilities'!D:D,B654,'Bills - Utilities'!C:C)</f>
        <v>0</v>
      </c>
      <c r="M660" s="147">
        <f>sumif('Bills - Investments'!C:C,A654,'Bills - Investments'!E:E)</f>
        <v>21000</v>
      </c>
    </row>
    <row r="661">
      <c r="A661" s="53">
        <f t="shared" si="281"/>
        <v>0</v>
      </c>
      <c r="B661" s="69">
        <f>B650+B656/5</f>
        <v>34500</v>
      </c>
      <c r="C661" s="133">
        <f>sumif(G655:M655,"Pending",G661:M661)</f>
        <v>0</v>
      </c>
      <c r="D661" s="133">
        <f t="shared" si="282"/>
        <v>0</v>
      </c>
      <c r="E661" s="32" t="s">
        <v>81</v>
      </c>
      <c r="F661" s="90">
        <f t="shared" ref="F661:F663" si="283">sum(G661:M661)+B661</f>
        <v>34500</v>
      </c>
      <c r="G661" s="148">
        <f t="shared" ref="G661:G663" si="284">(G650+G639+G628)/3</f>
        <v>0</v>
      </c>
      <c r="H661" s="147">
        <f t="shared" ref="H661:H663" si="285">(H650+H639)/2</f>
        <v>0</v>
      </c>
      <c r="I661" s="147">
        <f t="shared" ref="I661:I663" si="286">I650</f>
        <v>0</v>
      </c>
      <c r="J661" s="147">
        <v>0.0</v>
      </c>
      <c r="K661" s="147">
        <v>0.0</v>
      </c>
      <c r="L661" s="147">
        <v>0.0</v>
      </c>
      <c r="M661" s="147">
        <v>0.0</v>
      </c>
    </row>
    <row r="662">
      <c r="A662" s="53">
        <f t="shared" si="281"/>
        <v>0</v>
      </c>
      <c r="B662" s="69">
        <f>B651+B656/5</f>
        <v>41500</v>
      </c>
      <c r="C662" s="133">
        <f>sumif(G655:M655,"Pending",G662:M662)</f>
        <v>0</v>
      </c>
      <c r="D662" s="133">
        <f t="shared" si="282"/>
        <v>0</v>
      </c>
      <c r="E662" s="32" t="s">
        <v>79</v>
      </c>
      <c r="F662" s="90">
        <f t="shared" si="283"/>
        <v>41500</v>
      </c>
      <c r="G662" s="148">
        <f t="shared" si="284"/>
        <v>0</v>
      </c>
      <c r="H662" s="147">
        <f t="shared" si="285"/>
        <v>0</v>
      </c>
      <c r="I662" s="147">
        <f t="shared" si="286"/>
        <v>0</v>
      </c>
      <c r="J662" s="147">
        <v>0.0</v>
      </c>
      <c r="K662" s="147">
        <v>0.0</v>
      </c>
      <c r="L662" s="147">
        <v>0.0</v>
      </c>
      <c r="M662" s="147">
        <v>0.0</v>
      </c>
    </row>
    <row r="663">
      <c r="A663" s="53">
        <f t="shared" si="281"/>
        <v>0</v>
      </c>
      <c r="B663" s="69">
        <f>B652+B656/5</f>
        <v>34500</v>
      </c>
      <c r="C663" s="133">
        <f>sumif(G655:M655,"Pending",G663:M663)</f>
        <v>0</v>
      </c>
      <c r="D663" s="133">
        <f t="shared" si="282"/>
        <v>0</v>
      </c>
      <c r="E663" s="33" t="s">
        <v>91</v>
      </c>
      <c r="F663" s="90">
        <f t="shared" si="283"/>
        <v>34500</v>
      </c>
      <c r="G663" s="148">
        <f t="shared" si="284"/>
        <v>0</v>
      </c>
      <c r="H663" s="147">
        <f t="shared" si="285"/>
        <v>0</v>
      </c>
      <c r="I663" s="147">
        <f t="shared" si="286"/>
        <v>0</v>
      </c>
      <c r="J663" s="147">
        <v>0.0</v>
      </c>
      <c r="K663" s="147">
        <v>0.0</v>
      </c>
      <c r="L663" s="147">
        <v>0.0</v>
      </c>
      <c r="M663" s="147">
        <v>0.0</v>
      </c>
    </row>
    <row r="664">
      <c r="A664" s="24"/>
      <c r="B664" s="24"/>
      <c r="C664" s="24"/>
      <c r="D664" s="24"/>
      <c r="E664" s="24"/>
      <c r="F664" s="25"/>
      <c r="G664" s="25"/>
      <c r="H664" s="24"/>
      <c r="I664" s="25"/>
      <c r="J664" s="25"/>
      <c r="K664" s="25"/>
      <c r="L664" s="25"/>
      <c r="M664" s="24"/>
    </row>
    <row r="665">
      <c r="A665" s="71">
        <f>Projections!BC1</f>
        <v>46600</v>
      </c>
      <c r="B665" s="24"/>
      <c r="C665" s="24"/>
      <c r="D665" s="25" t="s">
        <v>108</v>
      </c>
      <c r="E665" s="74">
        <f>A668-A657</f>
        <v>93693.38</v>
      </c>
      <c r="F665" s="25" t="s">
        <v>64</v>
      </c>
      <c r="G665" s="136" t="s">
        <v>109</v>
      </c>
      <c r="H665" s="137" t="s">
        <v>110</v>
      </c>
      <c r="I665" s="137" t="s">
        <v>111</v>
      </c>
      <c r="J665" s="137" t="s">
        <v>112</v>
      </c>
      <c r="K665" s="137" t="s">
        <v>113</v>
      </c>
      <c r="L665" s="137" t="s">
        <v>114</v>
      </c>
      <c r="M665" s="137" t="s">
        <v>65</v>
      </c>
    </row>
    <row r="666">
      <c r="A666" s="25" t="s">
        <v>95</v>
      </c>
      <c r="B666" s="72">
        <f>Projections!BC15</f>
        <v>201196.38</v>
      </c>
      <c r="C666" s="138">
        <f>A665</f>
        <v>46600</v>
      </c>
      <c r="D666" s="98" t="s">
        <v>115</v>
      </c>
      <c r="E666" s="57">
        <f>Projections!BC14</f>
        <v>1817818.22</v>
      </c>
      <c r="F666" s="73" t="s">
        <v>67</v>
      </c>
      <c r="G666" s="139" t="s">
        <v>67</v>
      </c>
      <c r="H666" s="139" t="s">
        <v>67</v>
      </c>
      <c r="I666" s="137" t="s">
        <v>67</v>
      </c>
      <c r="J666" s="137" t="s">
        <v>67</v>
      </c>
      <c r="K666" s="137" t="s">
        <v>67</v>
      </c>
      <c r="L666" s="137" t="s">
        <v>67</v>
      </c>
      <c r="M666" s="137" t="s">
        <v>67</v>
      </c>
    </row>
    <row r="667">
      <c r="A667" s="25" t="s">
        <v>69</v>
      </c>
      <c r="B667" s="119">
        <f>if(B656&gt;B666/10,B656,B656+500)</f>
        <v>13000</v>
      </c>
      <c r="C667" s="138">
        <f>EOMONTH(C666,0)</f>
        <v>46630</v>
      </c>
      <c r="D667" s="25" t="s">
        <v>116</v>
      </c>
      <c r="E667" s="74">
        <f>if(today()&gt;C667,0,B666*12/365/5)</f>
        <v>1322.935101</v>
      </c>
      <c r="F667" s="25" t="s">
        <v>70</v>
      </c>
      <c r="G667" s="140" t="s">
        <v>117</v>
      </c>
      <c r="H667" s="137" t="s">
        <v>117</v>
      </c>
      <c r="I667" s="137" t="s">
        <v>118</v>
      </c>
      <c r="J667" s="137" t="s">
        <v>118</v>
      </c>
      <c r="K667" s="137" t="s">
        <v>118</v>
      </c>
      <c r="L667" s="137" t="s">
        <v>119</v>
      </c>
      <c r="M667" s="137" t="s">
        <v>119</v>
      </c>
    </row>
    <row r="668">
      <c r="A668" s="54">
        <f>F668-C668-B668</f>
        <v>1530815.22</v>
      </c>
      <c r="B668" s="90">
        <f t="shared" ref="B668:D668" si="287">sum(B670:B674)</f>
        <v>192500</v>
      </c>
      <c r="C668" s="141">
        <f t="shared" si="287"/>
        <v>94503</v>
      </c>
      <c r="D668" s="142">
        <f t="shared" si="287"/>
        <v>297500</v>
      </c>
      <c r="E668" s="59"/>
      <c r="F668" s="63">
        <f>sum(F670:F674)</f>
        <v>1817818.22</v>
      </c>
      <c r="G668" s="136" t="s">
        <v>120</v>
      </c>
      <c r="H668" s="137" t="s">
        <v>121</v>
      </c>
      <c r="I668" s="137" t="s">
        <v>111</v>
      </c>
      <c r="J668" s="137" t="s">
        <v>112</v>
      </c>
      <c r="K668" s="137" t="s">
        <v>113</v>
      </c>
      <c r="L668" s="137" t="s">
        <v>114</v>
      </c>
      <c r="M668" s="137" t="s">
        <v>65</v>
      </c>
    </row>
    <row r="669">
      <c r="A669" s="32" t="s">
        <v>72</v>
      </c>
      <c r="B669" s="122" t="s">
        <v>84</v>
      </c>
      <c r="C669" s="143" t="s">
        <v>67</v>
      </c>
      <c r="D669" s="143" t="s">
        <v>122</v>
      </c>
      <c r="E669" s="34">
        <f>today()</f>
        <v>45969</v>
      </c>
      <c r="F669" s="35" t="s">
        <v>64</v>
      </c>
      <c r="G669" s="144" t="s">
        <v>107</v>
      </c>
      <c r="H669" s="144" t="s">
        <v>107</v>
      </c>
      <c r="I669" s="145" t="str">
        <f>I658</f>
        <v>STR Residency</v>
      </c>
      <c r="J669" s="145" t="s">
        <v>112</v>
      </c>
      <c r="K669" s="145" t="s">
        <v>113</v>
      </c>
      <c r="L669" s="145" t="s">
        <v>114</v>
      </c>
      <c r="M669" s="145" t="s">
        <v>65</v>
      </c>
    </row>
    <row r="670">
      <c r="A670" s="53">
        <f t="shared" ref="A670:A674" si="288">F670-C670-B670</f>
        <v>0</v>
      </c>
      <c r="B670" s="69">
        <f>B659+B667/5</f>
        <v>37100</v>
      </c>
      <c r="C670" s="133">
        <f>sumif(G666:M666,"Pending",G670:M670)</f>
        <v>52867</v>
      </c>
      <c r="D670" s="133">
        <f t="shared" ref="D670:D674" si="289">D659+M670</f>
        <v>45500</v>
      </c>
      <c r="E670" s="32" t="s">
        <v>76</v>
      </c>
      <c r="F670" s="150">
        <f>sumif(G666:M666,"Pending",G670:M670)+B670</f>
        <v>89967</v>
      </c>
      <c r="G670" s="146">
        <f>sumif('Bills - CC EMIs'!D:D,A665,'Bills - CC EMIs'!E:E)+SUMIF('Bills - CC EMIs'!D:D,A665,'Bills - CC EMIs'!F:F)+sumif('Bills - CC EMIs'!D:D,A665,'Bills - CC EMIs'!G:G)</f>
        <v>5000</v>
      </c>
      <c r="H670" s="146">
        <f>SUMIFS('Bills - Loans'!F:F,'Bills - Loans'!D:D,A665)</f>
        <v>40367</v>
      </c>
      <c r="I670" s="147">
        <v>0.0</v>
      </c>
      <c r="J670" s="137">
        <f>sumif('Bills - Responsibilities'!D:D,A665,'Bills - Responsibilities'!E:E)</f>
        <v>5000</v>
      </c>
      <c r="K670" s="147">
        <v>0.0</v>
      </c>
      <c r="L670" s="147">
        <f>sumif('Bills - Returns'!C:C,A665,'Bills - Returns'!D:D)</f>
        <v>0</v>
      </c>
      <c r="M670" s="147">
        <f>sumif('Bills - Investments'!C:C,A665,'Bills - Investments'!D:D)</f>
        <v>2500</v>
      </c>
    </row>
    <row r="671">
      <c r="A671" s="53">
        <f t="shared" si="288"/>
        <v>1530815.22</v>
      </c>
      <c r="B671" s="69">
        <f>B660+B667/5</f>
        <v>37100</v>
      </c>
      <c r="C671" s="133">
        <f>sumif(G666:M666,"Pending",G671:M671)</f>
        <v>41636</v>
      </c>
      <c r="D671" s="133">
        <f t="shared" si="289"/>
        <v>252000</v>
      </c>
      <c r="E671" s="32" t="s">
        <v>77</v>
      </c>
      <c r="F671" s="90">
        <f>E666-F670-sum(F672:F674)</f>
        <v>1609551.22</v>
      </c>
      <c r="G671" s="148">
        <f>sumif('Bills - CC EMIs'!D:D,A665,'Bills - CC EMIs'!H:H)</f>
        <v>0</v>
      </c>
      <c r="H671" s="147">
        <f>SUMIFS('Bills - Loans'!E:E,'Bills - Loans'!D:D,A665)</f>
        <v>15742</v>
      </c>
      <c r="I671" s="137">
        <f>sumif('Bills - STR Residency'!D:D,A665,'Bills - STR Residency'!E:E)</f>
        <v>2855</v>
      </c>
      <c r="J671" s="147">
        <v>0.0</v>
      </c>
      <c r="K671" s="147">
        <f>sumif('Bills - Utilities'!C:C,A665,'Bills - Utilities'!B:B)</f>
        <v>1039</v>
      </c>
      <c r="L671" s="147">
        <f>sumif('Bills - Utilities'!D:D,B665,'Bills - Utilities'!C:C)</f>
        <v>0</v>
      </c>
      <c r="M671" s="147">
        <f>sumif('Bills - Investments'!C:C,A665,'Bills - Investments'!E:E)</f>
        <v>22000</v>
      </c>
    </row>
    <row r="672">
      <c r="A672" s="53">
        <f t="shared" si="288"/>
        <v>0</v>
      </c>
      <c r="B672" s="69">
        <f>B661+B667/5</f>
        <v>37100</v>
      </c>
      <c r="C672" s="133">
        <f>sumif(G666:M666,"Pending",G672:M672)</f>
        <v>0</v>
      </c>
      <c r="D672" s="133">
        <f t="shared" si="289"/>
        <v>0</v>
      </c>
      <c r="E672" s="32" t="s">
        <v>81</v>
      </c>
      <c r="F672" s="90">
        <f t="shared" ref="F672:F674" si="290">sum(G672:M672)+B672</f>
        <v>37100</v>
      </c>
      <c r="G672" s="148">
        <f t="shared" ref="G672:G674" si="291">(G661+G650+G639)/3</f>
        <v>0</v>
      </c>
      <c r="H672" s="147">
        <f t="shared" ref="H672:H674" si="292">(H661+H650)/2</f>
        <v>0</v>
      </c>
      <c r="I672" s="147">
        <f t="shared" ref="I672:I674" si="293">I661</f>
        <v>0</v>
      </c>
      <c r="J672" s="147">
        <v>0.0</v>
      </c>
      <c r="K672" s="147">
        <v>0.0</v>
      </c>
      <c r="L672" s="147">
        <v>0.0</v>
      </c>
      <c r="M672" s="147">
        <v>0.0</v>
      </c>
    </row>
    <row r="673">
      <c r="A673" s="53">
        <f t="shared" si="288"/>
        <v>0</v>
      </c>
      <c r="B673" s="69">
        <f>B662+B667/5</f>
        <v>44100</v>
      </c>
      <c r="C673" s="133">
        <f>sumif(G666:M666,"Pending",G673:M673)</f>
        <v>0</v>
      </c>
      <c r="D673" s="133">
        <f t="shared" si="289"/>
        <v>0</v>
      </c>
      <c r="E673" s="32" t="s">
        <v>79</v>
      </c>
      <c r="F673" s="90">
        <f t="shared" si="290"/>
        <v>44100</v>
      </c>
      <c r="G673" s="148">
        <f t="shared" si="291"/>
        <v>0</v>
      </c>
      <c r="H673" s="147">
        <f t="shared" si="292"/>
        <v>0</v>
      </c>
      <c r="I673" s="147">
        <f t="shared" si="293"/>
        <v>0</v>
      </c>
      <c r="J673" s="147">
        <v>0.0</v>
      </c>
      <c r="K673" s="147">
        <v>0.0</v>
      </c>
      <c r="L673" s="147">
        <v>0.0</v>
      </c>
      <c r="M673" s="147">
        <v>0.0</v>
      </c>
    </row>
    <row r="674">
      <c r="A674" s="53">
        <f t="shared" si="288"/>
        <v>0</v>
      </c>
      <c r="B674" s="69">
        <f>B663+B667/5</f>
        <v>37100</v>
      </c>
      <c r="C674" s="133">
        <f>sumif(G666:M666,"Pending",G674:M674)</f>
        <v>0</v>
      </c>
      <c r="D674" s="133">
        <f t="shared" si="289"/>
        <v>0</v>
      </c>
      <c r="E674" s="33" t="s">
        <v>91</v>
      </c>
      <c r="F674" s="90">
        <f t="shared" si="290"/>
        <v>37100</v>
      </c>
      <c r="G674" s="148">
        <f t="shared" si="291"/>
        <v>0</v>
      </c>
      <c r="H674" s="147">
        <f t="shared" si="292"/>
        <v>0</v>
      </c>
      <c r="I674" s="147">
        <f t="shared" si="293"/>
        <v>0</v>
      </c>
      <c r="J674" s="147">
        <v>0.0</v>
      </c>
      <c r="K674" s="147">
        <v>0.0</v>
      </c>
      <c r="L674" s="147">
        <v>0.0</v>
      </c>
      <c r="M674" s="147">
        <v>0.0</v>
      </c>
    </row>
    <row r="675">
      <c r="A675" s="24"/>
      <c r="B675" s="24"/>
      <c r="C675" s="24"/>
      <c r="D675" s="24"/>
      <c r="E675" s="24"/>
      <c r="F675" s="25"/>
      <c r="G675" s="25"/>
      <c r="H675" s="24"/>
      <c r="I675" s="25"/>
      <c r="J675" s="25"/>
      <c r="K675" s="25"/>
      <c r="L675" s="25"/>
      <c r="M675" s="24"/>
    </row>
    <row r="676">
      <c r="A676" s="71">
        <f>Projections!BD1</f>
        <v>46631</v>
      </c>
      <c r="B676" s="24"/>
      <c r="C676" s="24"/>
      <c r="D676" s="25" t="s">
        <v>108</v>
      </c>
      <c r="E676" s="74">
        <f>A679-A668</f>
        <v>97193.38</v>
      </c>
      <c r="F676" s="25" t="s">
        <v>64</v>
      </c>
      <c r="G676" s="136" t="s">
        <v>109</v>
      </c>
      <c r="H676" s="137" t="s">
        <v>110</v>
      </c>
      <c r="I676" s="137" t="s">
        <v>111</v>
      </c>
      <c r="J676" s="137" t="s">
        <v>112</v>
      </c>
      <c r="K676" s="137" t="s">
        <v>113</v>
      </c>
      <c r="L676" s="137" t="s">
        <v>114</v>
      </c>
      <c r="M676" s="137" t="s">
        <v>65</v>
      </c>
    </row>
    <row r="677">
      <c r="A677" s="25" t="s">
        <v>95</v>
      </c>
      <c r="B677" s="72">
        <f>Projections!BD15</f>
        <v>201196.38</v>
      </c>
      <c r="C677" s="138">
        <f>A676</f>
        <v>46631</v>
      </c>
      <c r="D677" s="98" t="s">
        <v>115</v>
      </c>
      <c r="E677" s="57">
        <f>Projections!BD14</f>
        <v>1924511.6</v>
      </c>
      <c r="F677" s="73" t="s">
        <v>67</v>
      </c>
      <c r="G677" s="139" t="s">
        <v>67</v>
      </c>
      <c r="H677" s="139" t="s">
        <v>67</v>
      </c>
      <c r="I677" s="137" t="s">
        <v>67</v>
      </c>
      <c r="J677" s="137" t="s">
        <v>67</v>
      </c>
      <c r="K677" s="137" t="s">
        <v>67</v>
      </c>
      <c r="L677" s="137" t="s">
        <v>67</v>
      </c>
      <c r="M677" s="137" t="s">
        <v>67</v>
      </c>
    </row>
    <row r="678">
      <c r="A678" s="25" t="s">
        <v>69</v>
      </c>
      <c r="B678" s="119">
        <f>if(B667&gt;B677/10,B667,B667+500)</f>
        <v>13500</v>
      </c>
      <c r="C678" s="138">
        <f>EOMONTH(C677,0)</f>
        <v>46660</v>
      </c>
      <c r="D678" s="25" t="s">
        <v>116</v>
      </c>
      <c r="E678" s="74">
        <f>if(today()&gt;C678,0,B677*12/365/5)</f>
        <v>1322.935101</v>
      </c>
      <c r="F678" s="25" t="s">
        <v>70</v>
      </c>
      <c r="G678" s="140" t="s">
        <v>117</v>
      </c>
      <c r="H678" s="137" t="s">
        <v>117</v>
      </c>
      <c r="I678" s="137" t="s">
        <v>118</v>
      </c>
      <c r="J678" s="137" t="s">
        <v>118</v>
      </c>
      <c r="K678" s="137" t="s">
        <v>118</v>
      </c>
      <c r="L678" s="137" t="s">
        <v>119</v>
      </c>
      <c r="M678" s="137" t="s">
        <v>119</v>
      </c>
    </row>
    <row r="679">
      <c r="A679" s="54">
        <f>F679-C679-B679</f>
        <v>1628008.6</v>
      </c>
      <c r="B679" s="90">
        <f t="shared" ref="B679:D679" si="294">sum(B681:B685)</f>
        <v>206000</v>
      </c>
      <c r="C679" s="141">
        <f t="shared" si="294"/>
        <v>90503</v>
      </c>
      <c r="D679" s="142">
        <f t="shared" si="294"/>
        <v>323000</v>
      </c>
      <c r="E679" s="59"/>
      <c r="F679" s="63">
        <f>sum(F681:F685)</f>
        <v>1924511.6</v>
      </c>
      <c r="G679" s="136" t="s">
        <v>120</v>
      </c>
      <c r="H679" s="137" t="s">
        <v>121</v>
      </c>
      <c r="I679" s="137" t="s">
        <v>111</v>
      </c>
      <c r="J679" s="137" t="s">
        <v>112</v>
      </c>
      <c r="K679" s="137" t="s">
        <v>113</v>
      </c>
      <c r="L679" s="137" t="s">
        <v>114</v>
      </c>
      <c r="M679" s="137" t="s">
        <v>65</v>
      </c>
    </row>
    <row r="680">
      <c r="A680" s="32" t="s">
        <v>72</v>
      </c>
      <c r="B680" s="122" t="s">
        <v>84</v>
      </c>
      <c r="C680" s="143" t="s">
        <v>67</v>
      </c>
      <c r="D680" s="143" t="s">
        <v>122</v>
      </c>
      <c r="E680" s="34">
        <f>today()</f>
        <v>45969</v>
      </c>
      <c r="F680" s="35" t="s">
        <v>64</v>
      </c>
      <c r="G680" s="144" t="s">
        <v>107</v>
      </c>
      <c r="H680" s="144" t="s">
        <v>107</v>
      </c>
      <c r="I680" s="145" t="str">
        <f>I669</f>
        <v>STR Residency</v>
      </c>
      <c r="J680" s="145" t="s">
        <v>112</v>
      </c>
      <c r="K680" s="145" t="s">
        <v>113</v>
      </c>
      <c r="L680" s="145" t="s">
        <v>114</v>
      </c>
      <c r="M680" s="145" t="s">
        <v>65</v>
      </c>
    </row>
    <row r="681">
      <c r="A681" s="53">
        <f t="shared" ref="A681:A685" si="295">F681-C681-B681</f>
        <v>0</v>
      </c>
      <c r="B681" s="69">
        <f>B670+B678/5</f>
        <v>39800</v>
      </c>
      <c r="C681" s="133">
        <f>sumif(G677:M677,"Pending",G681:M681)</f>
        <v>47867</v>
      </c>
      <c r="D681" s="133">
        <f t="shared" ref="D681:D685" si="296">D670+M681</f>
        <v>48000</v>
      </c>
      <c r="E681" s="32" t="s">
        <v>76</v>
      </c>
      <c r="F681" s="150">
        <f>sumif(G677:M677,"Pending",G681:M681)+B681</f>
        <v>87667</v>
      </c>
      <c r="G681" s="146">
        <f>sumif('Bills - CC EMIs'!D:D,A676,'Bills - CC EMIs'!E:E)+SUMIF('Bills - CC EMIs'!D:D,A676,'Bills - CC EMIs'!F:F)+sumif('Bills - CC EMIs'!D:D,A676,'Bills - CC EMIs'!G:G)</f>
        <v>0</v>
      </c>
      <c r="H681" s="146">
        <f>SUMIFS('Bills - Loans'!F:F,'Bills - Loans'!D:D,A676)</f>
        <v>40367</v>
      </c>
      <c r="I681" s="147">
        <v>0.0</v>
      </c>
      <c r="J681" s="137">
        <f>sumif('Bills - Responsibilities'!D:D,A676,'Bills - Responsibilities'!E:E)</f>
        <v>5000</v>
      </c>
      <c r="K681" s="147">
        <v>0.0</v>
      </c>
      <c r="L681" s="147">
        <f>sumif('Bills - Returns'!C:C,A676,'Bills - Returns'!D:D)</f>
        <v>0</v>
      </c>
      <c r="M681" s="147">
        <f>sumif('Bills - Investments'!C:C,A676,'Bills - Investments'!D:D)</f>
        <v>2500</v>
      </c>
    </row>
    <row r="682">
      <c r="A682" s="53">
        <f t="shared" si="295"/>
        <v>1628008.6</v>
      </c>
      <c r="B682" s="69">
        <f>B671+B678/5</f>
        <v>39800</v>
      </c>
      <c r="C682" s="133">
        <f>sumif(G677:M677,"Pending",G682:M682)</f>
        <v>42636</v>
      </c>
      <c r="D682" s="133">
        <f t="shared" si="296"/>
        <v>275000</v>
      </c>
      <c r="E682" s="32" t="s">
        <v>77</v>
      </c>
      <c r="F682" s="90">
        <f>E677-F681-sum(F683:F685)</f>
        <v>1710444.6</v>
      </c>
      <c r="G682" s="148">
        <f>sumif('Bills - CC EMIs'!D:D,A676,'Bills - CC EMIs'!H:H)</f>
        <v>0</v>
      </c>
      <c r="H682" s="147">
        <f>SUMIFS('Bills - Loans'!E:E,'Bills - Loans'!D:D,A676)</f>
        <v>15742</v>
      </c>
      <c r="I682" s="137">
        <f>sumif('Bills - STR Residency'!D:D,A676,'Bills - STR Residency'!E:E)</f>
        <v>2855</v>
      </c>
      <c r="J682" s="147">
        <v>0.0</v>
      </c>
      <c r="K682" s="147">
        <f>sumif('Bills - Utilities'!C:C,A676,'Bills - Utilities'!B:B)</f>
        <v>1039</v>
      </c>
      <c r="L682" s="147">
        <f>sumif('Bills - Utilities'!D:D,B676,'Bills - Utilities'!C:C)</f>
        <v>0</v>
      </c>
      <c r="M682" s="147">
        <f>sumif('Bills - Investments'!C:C,A676,'Bills - Investments'!E:E)</f>
        <v>23000</v>
      </c>
    </row>
    <row r="683">
      <c r="A683" s="53">
        <f t="shared" si="295"/>
        <v>0</v>
      </c>
      <c r="B683" s="69">
        <f>B672+B678/5</f>
        <v>39800</v>
      </c>
      <c r="C683" s="133">
        <f>sumif(G677:M677,"Pending",G683:M683)</f>
        <v>0</v>
      </c>
      <c r="D683" s="133">
        <f t="shared" si="296"/>
        <v>0</v>
      </c>
      <c r="E683" s="32" t="s">
        <v>81</v>
      </c>
      <c r="F683" s="90">
        <f t="shared" ref="F683:F685" si="297">sum(G683:M683)+B683</f>
        <v>39800</v>
      </c>
      <c r="G683" s="148">
        <f t="shared" ref="G683:G685" si="298">(G672+G661+G650)/3</f>
        <v>0</v>
      </c>
      <c r="H683" s="147">
        <f t="shared" ref="H683:H685" si="299">(H672+H661)/2</f>
        <v>0</v>
      </c>
      <c r="I683" s="147">
        <f t="shared" ref="I683:I685" si="300">I672</f>
        <v>0</v>
      </c>
      <c r="J683" s="147">
        <v>0.0</v>
      </c>
      <c r="K683" s="147">
        <v>0.0</v>
      </c>
      <c r="L683" s="147">
        <v>0.0</v>
      </c>
      <c r="M683" s="147">
        <v>0.0</v>
      </c>
    </row>
    <row r="684">
      <c r="A684" s="53">
        <f t="shared" si="295"/>
        <v>0</v>
      </c>
      <c r="B684" s="69">
        <f>B673+B678/5</f>
        <v>46800</v>
      </c>
      <c r="C684" s="133">
        <f>sumif(G677:M677,"Pending",G684:M684)</f>
        <v>0</v>
      </c>
      <c r="D684" s="133">
        <f t="shared" si="296"/>
        <v>0</v>
      </c>
      <c r="E684" s="32" t="s">
        <v>79</v>
      </c>
      <c r="F684" s="90">
        <f t="shared" si="297"/>
        <v>46800</v>
      </c>
      <c r="G684" s="148">
        <f t="shared" si="298"/>
        <v>0</v>
      </c>
      <c r="H684" s="147">
        <f t="shared" si="299"/>
        <v>0</v>
      </c>
      <c r="I684" s="147">
        <f t="shared" si="300"/>
        <v>0</v>
      </c>
      <c r="J684" s="147">
        <v>0.0</v>
      </c>
      <c r="K684" s="147">
        <v>0.0</v>
      </c>
      <c r="L684" s="147">
        <v>0.0</v>
      </c>
      <c r="M684" s="147">
        <v>0.0</v>
      </c>
    </row>
    <row r="685">
      <c r="A685" s="53">
        <f t="shared" si="295"/>
        <v>0</v>
      </c>
      <c r="B685" s="69">
        <f>B674+B678/5</f>
        <v>39800</v>
      </c>
      <c r="C685" s="133">
        <f>sumif(G677:M677,"Pending",G685:M685)</f>
        <v>0</v>
      </c>
      <c r="D685" s="133">
        <f t="shared" si="296"/>
        <v>0</v>
      </c>
      <c r="E685" s="33" t="s">
        <v>91</v>
      </c>
      <c r="F685" s="90">
        <f t="shared" si="297"/>
        <v>39800</v>
      </c>
      <c r="G685" s="148">
        <f t="shared" si="298"/>
        <v>0</v>
      </c>
      <c r="H685" s="147">
        <f t="shared" si="299"/>
        <v>0</v>
      </c>
      <c r="I685" s="147">
        <f t="shared" si="300"/>
        <v>0</v>
      </c>
      <c r="J685" s="147">
        <v>0.0</v>
      </c>
      <c r="K685" s="147">
        <v>0.0</v>
      </c>
      <c r="L685" s="147">
        <v>0.0</v>
      </c>
      <c r="M685" s="147">
        <v>0.0</v>
      </c>
    </row>
    <row r="686">
      <c r="A686" s="24"/>
      <c r="B686" s="24"/>
      <c r="C686" s="24"/>
      <c r="D686" s="24"/>
      <c r="E686" s="24"/>
      <c r="F686" s="25"/>
      <c r="G686" s="25"/>
      <c r="H686" s="24"/>
      <c r="I686" s="25"/>
      <c r="J686" s="25"/>
      <c r="K686" s="25"/>
      <c r="L686" s="25"/>
      <c r="M686" s="24"/>
    </row>
    <row r="687">
      <c r="A687" s="71">
        <f>Projections!BE1</f>
        <v>46661</v>
      </c>
      <c r="B687" s="24"/>
      <c r="C687" s="24"/>
      <c r="D687" s="25" t="s">
        <v>108</v>
      </c>
      <c r="E687" s="74">
        <f>A690-A679</f>
        <v>80967.38</v>
      </c>
      <c r="F687" s="25" t="s">
        <v>64</v>
      </c>
      <c r="G687" s="136" t="s">
        <v>109</v>
      </c>
      <c r="H687" s="137" t="s">
        <v>110</v>
      </c>
      <c r="I687" s="137" t="s">
        <v>111</v>
      </c>
      <c r="J687" s="137" t="s">
        <v>112</v>
      </c>
      <c r="K687" s="137" t="s">
        <v>113</v>
      </c>
      <c r="L687" s="137" t="s">
        <v>114</v>
      </c>
      <c r="M687" s="137" t="s">
        <v>65</v>
      </c>
    </row>
    <row r="688">
      <c r="A688" s="25" t="s">
        <v>95</v>
      </c>
      <c r="B688" s="72">
        <f>Projections!BE15</f>
        <v>201196.38</v>
      </c>
      <c r="C688" s="138">
        <f>A687</f>
        <v>46661</v>
      </c>
      <c r="D688" s="98" t="s">
        <v>115</v>
      </c>
      <c r="E688" s="57">
        <f>Projections!BE14</f>
        <v>2035204.98</v>
      </c>
      <c r="F688" s="73" t="s">
        <v>67</v>
      </c>
      <c r="G688" s="139" t="s">
        <v>67</v>
      </c>
      <c r="H688" s="139" t="s">
        <v>67</v>
      </c>
      <c r="I688" s="137" t="s">
        <v>67</v>
      </c>
      <c r="J688" s="137" t="s">
        <v>67</v>
      </c>
      <c r="K688" s="137" t="s">
        <v>67</v>
      </c>
      <c r="L688" s="137" t="s">
        <v>67</v>
      </c>
      <c r="M688" s="137" t="s">
        <v>67</v>
      </c>
    </row>
    <row r="689">
      <c r="A689" s="25" t="s">
        <v>69</v>
      </c>
      <c r="B689" s="119">
        <f>if(B678&gt;B688/10,B678,B678+500)</f>
        <v>14000</v>
      </c>
      <c r="C689" s="138">
        <f>EOMONTH(C688,0)</f>
        <v>46691</v>
      </c>
      <c r="D689" s="25" t="s">
        <v>116</v>
      </c>
      <c r="E689" s="74">
        <f>if(today()&gt;C689,0,B688*12/365/5)</f>
        <v>1322.935101</v>
      </c>
      <c r="F689" s="25" t="s">
        <v>70</v>
      </c>
      <c r="G689" s="140" t="s">
        <v>117</v>
      </c>
      <c r="H689" s="137" t="s">
        <v>117</v>
      </c>
      <c r="I689" s="137" t="s">
        <v>118</v>
      </c>
      <c r="J689" s="137" t="s">
        <v>118</v>
      </c>
      <c r="K689" s="137" t="s">
        <v>118</v>
      </c>
      <c r="L689" s="137" t="s">
        <v>119</v>
      </c>
      <c r="M689" s="137" t="s">
        <v>119</v>
      </c>
    </row>
    <row r="690">
      <c r="A690" s="54">
        <f>F690-C690-B690</f>
        <v>1708975.98</v>
      </c>
      <c r="B690" s="90">
        <f t="shared" ref="B690:D690" si="301">sum(B692:B696)</f>
        <v>220000</v>
      </c>
      <c r="C690" s="141">
        <f t="shared" si="301"/>
        <v>106229</v>
      </c>
      <c r="D690" s="142">
        <f t="shared" si="301"/>
        <v>349500</v>
      </c>
      <c r="E690" s="59"/>
      <c r="F690" s="63">
        <f>sum(F692:F696)</f>
        <v>2035204.98</v>
      </c>
      <c r="G690" s="136" t="s">
        <v>120</v>
      </c>
      <c r="H690" s="137" t="s">
        <v>121</v>
      </c>
      <c r="I690" s="137" t="s">
        <v>111</v>
      </c>
      <c r="J690" s="137" t="s">
        <v>112</v>
      </c>
      <c r="K690" s="137" t="s">
        <v>113</v>
      </c>
      <c r="L690" s="137" t="s">
        <v>114</v>
      </c>
      <c r="M690" s="137" t="s">
        <v>65</v>
      </c>
    </row>
    <row r="691">
      <c r="A691" s="32" t="s">
        <v>72</v>
      </c>
      <c r="B691" s="122" t="s">
        <v>84</v>
      </c>
      <c r="C691" s="143" t="s">
        <v>67</v>
      </c>
      <c r="D691" s="143" t="s">
        <v>122</v>
      </c>
      <c r="E691" s="34">
        <f>today()</f>
        <v>45969</v>
      </c>
      <c r="F691" s="35" t="s">
        <v>64</v>
      </c>
      <c r="G691" s="144" t="s">
        <v>107</v>
      </c>
      <c r="H691" s="144" t="s">
        <v>107</v>
      </c>
      <c r="I691" s="145" t="str">
        <f>I680</f>
        <v>STR Residency</v>
      </c>
      <c r="J691" s="145" t="s">
        <v>112</v>
      </c>
      <c r="K691" s="145" t="s">
        <v>113</v>
      </c>
      <c r="L691" s="145" t="s">
        <v>114</v>
      </c>
      <c r="M691" s="145" t="s">
        <v>65</v>
      </c>
    </row>
    <row r="692">
      <c r="A692" s="53">
        <f t="shared" ref="A692:A696" si="302">F692-C692-B692</f>
        <v>0</v>
      </c>
      <c r="B692" s="69">
        <f>B681+B689/5</f>
        <v>42600</v>
      </c>
      <c r="C692" s="133">
        <f>sumif(G688:M688,"Pending",G692:M692)</f>
        <v>47867</v>
      </c>
      <c r="D692" s="133">
        <f t="shared" ref="D692:D696" si="303">D681+M692</f>
        <v>50500</v>
      </c>
      <c r="E692" s="32" t="s">
        <v>76</v>
      </c>
      <c r="F692" s="150">
        <f>sumif(G688:M688,"Pending",G692:M692)+B692</f>
        <v>90467</v>
      </c>
      <c r="G692" s="146">
        <f>sumif('Bills - CC EMIs'!D:D,A687,'Bills - CC EMIs'!E:E)+SUMIF('Bills - CC EMIs'!D:D,A687,'Bills - CC EMIs'!F:F)+sumif('Bills - CC EMIs'!D:D,A687,'Bills - CC EMIs'!G:G)</f>
        <v>0</v>
      </c>
      <c r="H692" s="146">
        <f>SUMIFS('Bills - Loans'!F:F,'Bills - Loans'!D:D,A687)</f>
        <v>40367</v>
      </c>
      <c r="I692" s="147">
        <v>0.0</v>
      </c>
      <c r="J692" s="137">
        <f>sumif('Bills - Responsibilities'!D:D,A687,'Bills - Responsibilities'!E:E)</f>
        <v>5000</v>
      </c>
      <c r="K692" s="147">
        <v>0.0</v>
      </c>
      <c r="L692" s="147">
        <f>sumif('Bills - Returns'!C:C,A687,'Bills - Returns'!D:D)</f>
        <v>0</v>
      </c>
      <c r="M692" s="147">
        <f>sumif('Bills - Investments'!C:C,A687,'Bills - Investments'!D:D)</f>
        <v>2500</v>
      </c>
    </row>
    <row r="693">
      <c r="A693" s="53">
        <f t="shared" si="302"/>
        <v>1708975.98</v>
      </c>
      <c r="B693" s="69">
        <f>B682+B689/5</f>
        <v>42600</v>
      </c>
      <c r="C693" s="133">
        <f>sumif(G688:M688,"Pending",G693:M693)</f>
        <v>58362</v>
      </c>
      <c r="D693" s="133">
        <f t="shared" si="303"/>
        <v>299000</v>
      </c>
      <c r="E693" s="32" t="s">
        <v>77</v>
      </c>
      <c r="F693" s="90">
        <f>E688-F692-sum(F694:F696)</f>
        <v>1809937.98</v>
      </c>
      <c r="G693" s="148">
        <f>sumif('Bills - CC EMIs'!D:D,A687,'Bills - CC EMIs'!H:H)</f>
        <v>0</v>
      </c>
      <c r="H693" s="147">
        <f>SUMIFS('Bills - Loans'!E:E,'Bills - Loans'!D:D,A687)</f>
        <v>15742</v>
      </c>
      <c r="I693" s="137">
        <f>sumif('Bills - STR Residency'!D:D,A687,'Bills - STR Residency'!E:E)</f>
        <v>2855</v>
      </c>
      <c r="J693" s="147">
        <v>0.0</v>
      </c>
      <c r="K693" s="147">
        <f>sumif('Bills - Utilities'!C:C,A687,'Bills - Utilities'!B:B)</f>
        <v>15765</v>
      </c>
      <c r="L693" s="147">
        <f>sumif('Bills - Utilities'!D:D,B687,'Bills - Utilities'!C:C)</f>
        <v>0</v>
      </c>
      <c r="M693" s="147">
        <f>sumif('Bills - Investments'!C:C,A687,'Bills - Investments'!E:E)</f>
        <v>24000</v>
      </c>
    </row>
    <row r="694">
      <c r="A694" s="53">
        <f t="shared" si="302"/>
        <v>0</v>
      </c>
      <c r="B694" s="69">
        <f>B683+B689/5</f>
        <v>42600</v>
      </c>
      <c r="C694" s="133">
        <f>sumif(G688:M688,"Pending",G694:M694)</f>
        <v>0</v>
      </c>
      <c r="D694" s="133">
        <f t="shared" si="303"/>
        <v>0</v>
      </c>
      <c r="E694" s="32" t="s">
        <v>81</v>
      </c>
      <c r="F694" s="90">
        <f t="shared" ref="F694:F696" si="304">sum(G694:M694)+B694</f>
        <v>42600</v>
      </c>
      <c r="G694" s="148">
        <f t="shared" ref="G694:G696" si="305">(G683+G672+G661)/3</f>
        <v>0</v>
      </c>
      <c r="H694" s="147">
        <f t="shared" ref="H694:H696" si="306">(H683+H672)/2</f>
        <v>0</v>
      </c>
      <c r="I694" s="147">
        <f t="shared" ref="I694:I696" si="307">I683</f>
        <v>0</v>
      </c>
      <c r="J694" s="147">
        <v>0.0</v>
      </c>
      <c r="K694" s="147">
        <v>0.0</v>
      </c>
      <c r="L694" s="147">
        <v>0.0</v>
      </c>
      <c r="M694" s="147">
        <v>0.0</v>
      </c>
    </row>
    <row r="695">
      <c r="A695" s="53">
        <f t="shared" si="302"/>
        <v>0</v>
      </c>
      <c r="B695" s="69">
        <f>B684+B689/5</f>
        <v>49600</v>
      </c>
      <c r="C695" s="133">
        <f>sumif(G688:M688,"Pending",G695:M695)</f>
        <v>0</v>
      </c>
      <c r="D695" s="133">
        <f t="shared" si="303"/>
        <v>0</v>
      </c>
      <c r="E695" s="32" t="s">
        <v>79</v>
      </c>
      <c r="F695" s="90">
        <f t="shared" si="304"/>
        <v>49600</v>
      </c>
      <c r="G695" s="148">
        <f t="shared" si="305"/>
        <v>0</v>
      </c>
      <c r="H695" s="147">
        <f t="shared" si="306"/>
        <v>0</v>
      </c>
      <c r="I695" s="147">
        <f t="shared" si="307"/>
        <v>0</v>
      </c>
      <c r="J695" s="147">
        <v>0.0</v>
      </c>
      <c r="K695" s="147">
        <v>0.0</v>
      </c>
      <c r="L695" s="147">
        <v>0.0</v>
      </c>
      <c r="M695" s="147">
        <v>0.0</v>
      </c>
    </row>
    <row r="696">
      <c r="A696" s="53">
        <f t="shared" si="302"/>
        <v>0</v>
      </c>
      <c r="B696" s="69">
        <f>B685+B689/5</f>
        <v>42600</v>
      </c>
      <c r="C696" s="133">
        <f>sumif(G688:M688,"Pending",G696:M696)</f>
        <v>0</v>
      </c>
      <c r="D696" s="133">
        <f t="shared" si="303"/>
        <v>0</v>
      </c>
      <c r="E696" s="33" t="s">
        <v>91</v>
      </c>
      <c r="F696" s="90">
        <f t="shared" si="304"/>
        <v>42600</v>
      </c>
      <c r="G696" s="148">
        <f t="shared" si="305"/>
        <v>0</v>
      </c>
      <c r="H696" s="147">
        <f t="shared" si="306"/>
        <v>0</v>
      </c>
      <c r="I696" s="147">
        <f t="shared" si="307"/>
        <v>0</v>
      </c>
      <c r="J696" s="147">
        <v>0.0</v>
      </c>
      <c r="K696" s="147">
        <v>0.0</v>
      </c>
      <c r="L696" s="147">
        <v>0.0</v>
      </c>
      <c r="M696" s="147">
        <v>0.0</v>
      </c>
    </row>
    <row r="697">
      <c r="A697" s="24"/>
      <c r="B697" s="24"/>
      <c r="C697" s="24"/>
      <c r="D697" s="24"/>
      <c r="E697" s="24"/>
      <c r="F697" s="25"/>
      <c r="G697" s="25"/>
      <c r="H697" s="24"/>
      <c r="I697" s="25"/>
      <c r="J697" s="25"/>
      <c r="K697" s="25"/>
      <c r="L697" s="25"/>
      <c r="M697" s="24"/>
    </row>
    <row r="698">
      <c r="A698" s="71">
        <f>Projections!BF1</f>
        <v>46692</v>
      </c>
      <c r="B698" s="24"/>
      <c r="C698" s="24"/>
      <c r="D698" s="25" t="s">
        <v>108</v>
      </c>
      <c r="E698" s="74">
        <f>A701-A690</f>
        <v>94193.38</v>
      </c>
      <c r="F698" s="25" t="s">
        <v>64</v>
      </c>
      <c r="G698" s="136" t="s">
        <v>109</v>
      </c>
      <c r="H698" s="137" t="s">
        <v>110</v>
      </c>
      <c r="I698" s="137" t="s">
        <v>111</v>
      </c>
      <c r="J698" s="137" t="s">
        <v>112</v>
      </c>
      <c r="K698" s="137" t="s">
        <v>113</v>
      </c>
      <c r="L698" s="137" t="s">
        <v>114</v>
      </c>
      <c r="M698" s="137" t="s">
        <v>65</v>
      </c>
    </row>
    <row r="699">
      <c r="A699" s="25" t="s">
        <v>95</v>
      </c>
      <c r="B699" s="72">
        <f>Projections!BF15</f>
        <v>201196.38</v>
      </c>
      <c r="C699" s="138">
        <f>A698</f>
        <v>46692</v>
      </c>
      <c r="D699" s="98" t="s">
        <v>115</v>
      </c>
      <c r="E699" s="57">
        <f>Projections!BF14</f>
        <v>2130172.36</v>
      </c>
      <c r="F699" s="73" t="s">
        <v>67</v>
      </c>
      <c r="G699" s="139" t="s">
        <v>67</v>
      </c>
      <c r="H699" s="139" t="s">
        <v>67</v>
      </c>
      <c r="I699" s="137" t="s">
        <v>67</v>
      </c>
      <c r="J699" s="137" t="s">
        <v>67</v>
      </c>
      <c r="K699" s="137" t="s">
        <v>67</v>
      </c>
      <c r="L699" s="137" t="s">
        <v>67</v>
      </c>
      <c r="M699" s="137" t="s">
        <v>67</v>
      </c>
    </row>
    <row r="700">
      <c r="A700" s="25" t="s">
        <v>69</v>
      </c>
      <c r="B700" s="119">
        <f>if(B689&gt;B699/10,B689,B689+500)</f>
        <v>14500</v>
      </c>
      <c r="C700" s="138">
        <f>EOMONTH(C699,0)</f>
        <v>46721</v>
      </c>
      <c r="D700" s="25" t="s">
        <v>116</v>
      </c>
      <c r="E700" s="74">
        <f>if(today()&gt;C700,0,B699*12/365/5)</f>
        <v>1322.935101</v>
      </c>
      <c r="F700" s="25" t="s">
        <v>70</v>
      </c>
      <c r="G700" s="140" t="s">
        <v>117</v>
      </c>
      <c r="H700" s="137" t="s">
        <v>117</v>
      </c>
      <c r="I700" s="137" t="s">
        <v>118</v>
      </c>
      <c r="J700" s="137" t="s">
        <v>118</v>
      </c>
      <c r="K700" s="137" t="s">
        <v>118</v>
      </c>
      <c r="L700" s="137" t="s">
        <v>119</v>
      </c>
      <c r="M700" s="137" t="s">
        <v>119</v>
      </c>
    </row>
    <row r="701">
      <c r="A701" s="54">
        <f>F701-C701-B701</f>
        <v>1803169.36</v>
      </c>
      <c r="B701" s="90">
        <f t="shared" ref="B701:D701" si="308">sum(B703:B707)</f>
        <v>234500</v>
      </c>
      <c r="C701" s="141">
        <f t="shared" si="308"/>
        <v>92503</v>
      </c>
      <c r="D701" s="142">
        <f t="shared" si="308"/>
        <v>377000</v>
      </c>
      <c r="E701" s="59"/>
      <c r="F701" s="63">
        <f>sum(F703:F707)</f>
        <v>2130172.36</v>
      </c>
      <c r="G701" s="136" t="s">
        <v>120</v>
      </c>
      <c r="H701" s="137" t="s">
        <v>121</v>
      </c>
      <c r="I701" s="137" t="s">
        <v>111</v>
      </c>
      <c r="J701" s="137" t="s">
        <v>112</v>
      </c>
      <c r="K701" s="137" t="s">
        <v>113</v>
      </c>
      <c r="L701" s="137" t="s">
        <v>114</v>
      </c>
      <c r="M701" s="137" t="s">
        <v>65</v>
      </c>
    </row>
    <row r="702">
      <c r="A702" s="32" t="s">
        <v>72</v>
      </c>
      <c r="B702" s="122" t="s">
        <v>84</v>
      </c>
      <c r="C702" s="143" t="s">
        <v>67</v>
      </c>
      <c r="D702" s="143" t="s">
        <v>122</v>
      </c>
      <c r="E702" s="34">
        <f>today()</f>
        <v>45969</v>
      </c>
      <c r="F702" s="35" t="s">
        <v>64</v>
      </c>
      <c r="G702" s="144" t="s">
        <v>107</v>
      </c>
      <c r="H702" s="144" t="s">
        <v>107</v>
      </c>
      <c r="I702" s="145" t="str">
        <f>I691</f>
        <v>STR Residency</v>
      </c>
      <c r="J702" s="145" t="s">
        <v>112</v>
      </c>
      <c r="K702" s="145" t="s">
        <v>113</v>
      </c>
      <c r="L702" s="145" t="s">
        <v>114</v>
      </c>
      <c r="M702" s="145" t="s">
        <v>65</v>
      </c>
    </row>
    <row r="703">
      <c r="A703" s="53">
        <f t="shared" ref="A703:A707" si="309">F703-C703-B703</f>
        <v>0</v>
      </c>
      <c r="B703" s="69">
        <f>B692+B700/5</f>
        <v>45500</v>
      </c>
      <c r="C703" s="133">
        <f>sumif(G699:M699,"Pending",G703:M703)</f>
        <v>47867</v>
      </c>
      <c r="D703" s="133">
        <f t="shared" ref="D703:D707" si="310">D692+M703</f>
        <v>53000</v>
      </c>
      <c r="E703" s="32" t="s">
        <v>76</v>
      </c>
      <c r="F703" s="150">
        <f>sumif(G699:M699,"Pending",G703:M703)+B703</f>
        <v>93367</v>
      </c>
      <c r="G703" s="146">
        <f>sumif('Bills - CC EMIs'!D:D,A698,'Bills - CC EMIs'!E:E)+SUMIF('Bills - CC EMIs'!D:D,A698,'Bills - CC EMIs'!F:F)+sumif('Bills - CC EMIs'!D:D,A698,'Bills - CC EMIs'!G:G)</f>
        <v>0</v>
      </c>
      <c r="H703" s="146">
        <f>SUMIFS('Bills - Loans'!F:F,'Bills - Loans'!D:D,A698)</f>
        <v>40367</v>
      </c>
      <c r="I703" s="147">
        <v>0.0</v>
      </c>
      <c r="J703" s="137">
        <f>sumif('Bills - Responsibilities'!D:D,A698,'Bills - Responsibilities'!E:E)</f>
        <v>5000</v>
      </c>
      <c r="K703" s="147">
        <v>0.0</v>
      </c>
      <c r="L703" s="147">
        <f>sumif('Bills - Returns'!C:C,A698,'Bills - Returns'!D:D)</f>
        <v>0</v>
      </c>
      <c r="M703" s="147">
        <f>sumif('Bills - Investments'!C:C,A698,'Bills - Investments'!D:D)</f>
        <v>2500</v>
      </c>
    </row>
    <row r="704">
      <c r="A704" s="53">
        <f t="shared" si="309"/>
        <v>1803169.36</v>
      </c>
      <c r="B704" s="69">
        <f>B693+B700/5</f>
        <v>45500</v>
      </c>
      <c r="C704" s="133">
        <f>sumif(G699:M699,"Pending",G704:M704)</f>
        <v>44636</v>
      </c>
      <c r="D704" s="133">
        <f t="shared" si="310"/>
        <v>324000</v>
      </c>
      <c r="E704" s="32" t="s">
        <v>77</v>
      </c>
      <c r="F704" s="90">
        <f>E699-F703-sum(F705:F707)</f>
        <v>1893305.36</v>
      </c>
      <c r="G704" s="148">
        <f>sumif('Bills - CC EMIs'!D:D,A698,'Bills - CC EMIs'!H:H)</f>
        <v>0</v>
      </c>
      <c r="H704" s="147">
        <f>SUMIFS('Bills - Loans'!E:E,'Bills - Loans'!D:D,A698)</f>
        <v>15742</v>
      </c>
      <c r="I704" s="137">
        <f>sumif('Bills - STR Residency'!D:D,A698,'Bills - STR Residency'!E:E)</f>
        <v>2855</v>
      </c>
      <c r="J704" s="147">
        <v>0.0</v>
      </c>
      <c r="K704" s="147">
        <f>sumif('Bills - Utilities'!C:C,A698,'Bills - Utilities'!B:B)</f>
        <v>1039</v>
      </c>
      <c r="L704" s="147">
        <f>sumif('Bills - Utilities'!D:D,B698,'Bills - Utilities'!C:C)</f>
        <v>0</v>
      </c>
      <c r="M704" s="147">
        <f>sumif('Bills - Investments'!C:C,A698,'Bills - Investments'!E:E)</f>
        <v>25000</v>
      </c>
    </row>
    <row r="705">
      <c r="A705" s="53">
        <f t="shared" si="309"/>
        <v>0</v>
      </c>
      <c r="B705" s="69">
        <f>B694+B700/5</f>
        <v>45500</v>
      </c>
      <c r="C705" s="133">
        <f>sumif(G699:M699,"Pending",G705:M705)</f>
        <v>0</v>
      </c>
      <c r="D705" s="133">
        <f t="shared" si="310"/>
        <v>0</v>
      </c>
      <c r="E705" s="32" t="s">
        <v>81</v>
      </c>
      <c r="F705" s="90">
        <f t="shared" ref="F705:F707" si="311">sum(G705:M705)+B705</f>
        <v>45500</v>
      </c>
      <c r="G705" s="148">
        <f t="shared" ref="G705:G707" si="312">(G694+G683+G672)/3</f>
        <v>0</v>
      </c>
      <c r="H705" s="147">
        <f t="shared" ref="H705:H707" si="313">(H694+H683)/2</f>
        <v>0</v>
      </c>
      <c r="I705" s="147">
        <f t="shared" ref="I705:I707" si="314">I694</f>
        <v>0</v>
      </c>
      <c r="J705" s="147">
        <v>0.0</v>
      </c>
      <c r="K705" s="147">
        <v>0.0</v>
      </c>
      <c r="L705" s="147">
        <v>0.0</v>
      </c>
      <c r="M705" s="147">
        <v>0.0</v>
      </c>
    </row>
    <row r="706">
      <c r="A706" s="53">
        <f t="shared" si="309"/>
        <v>0</v>
      </c>
      <c r="B706" s="69">
        <f>B695+B700/5</f>
        <v>52500</v>
      </c>
      <c r="C706" s="133">
        <f>sumif(G699:M699,"Pending",G706:M706)</f>
        <v>0</v>
      </c>
      <c r="D706" s="133">
        <f t="shared" si="310"/>
        <v>0</v>
      </c>
      <c r="E706" s="32" t="s">
        <v>79</v>
      </c>
      <c r="F706" s="90">
        <f t="shared" si="311"/>
        <v>52500</v>
      </c>
      <c r="G706" s="148">
        <f t="shared" si="312"/>
        <v>0</v>
      </c>
      <c r="H706" s="147">
        <f t="shared" si="313"/>
        <v>0</v>
      </c>
      <c r="I706" s="147">
        <f t="shared" si="314"/>
        <v>0</v>
      </c>
      <c r="J706" s="147">
        <v>0.0</v>
      </c>
      <c r="K706" s="147">
        <v>0.0</v>
      </c>
      <c r="L706" s="147">
        <v>0.0</v>
      </c>
      <c r="M706" s="147">
        <v>0.0</v>
      </c>
    </row>
    <row r="707">
      <c r="A707" s="53">
        <f t="shared" si="309"/>
        <v>0</v>
      </c>
      <c r="B707" s="69">
        <f>B696+B700/5</f>
        <v>45500</v>
      </c>
      <c r="C707" s="133">
        <f>sumif(G699:M699,"Pending",G707:M707)</f>
        <v>0</v>
      </c>
      <c r="D707" s="133">
        <f t="shared" si="310"/>
        <v>0</v>
      </c>
      <c r="E707" s="33" t="s">
        <v>91</v>
      </c>
      <c r="F707" s="90">
        <f t="shared" si="311"/>
        <v>45500</v>
      </c>
      <c r="G707" s="148">
        <f t="shared" si="312"/>
        <v>0</v>
      </c>
      <c r="H707" s="147">
        <f t="shared" si="313"/>
        <v>0</v>
      </c>
      <c r="I707" s="147">
        <f t="shared" si="314"/>
        <v>0</v>
      </c>
      <c r="J707" s="147">
        <v>0.0</v>
      </c>
      <c r="K707" s="147">
        <v>0.0</v>
      </c>
      <c r="L707" s="147">
        <v>0.0</v>
      </c>
      <c r="M707" s="147">
        <v>0.0</v>
      </c>
    </row>
    <row r="708">
      <c r="A708" s="24"/>
      <c r="B708" s="24"/>
      <c r="C708" s="24"/>
      <c r="D708" s="24"/>
      <c r="E708" s="24"/>
      <c r="F708" s="25"/>
      <c r="G708" s="25"/>
      <c r="H708" s="24"/>
      <c r="I708" s="25"/>
      <c r="J708" s="25"/>
      <c r="K708" s="25"/>
      <c r="L708" s="25"/>
      <c r="M708" s="24"/>
    </row>
    <row r="709">
      <c r="A709" s="71">
        <f>Projections!BG1</f>
        <v>46722</v>
      </c>
      <c r="B709" s="24"/>
      <c r="C709" s="24"/>
      <c r="D709" s="25" t="s">
        <v>108</v>
      </c>
      <c r="E709" s="74">
        <f>A712-A701</f>
        <v>87693.38</v>
      </c>
      <c r="F709" s="25" t="s">
        <v>64</v>
      </c>
      <c r="G709" s="136" t="s">
        <v>109</v>
      </c>
      <c r="H709" s="137" t="s">
        <v>110</v>
      </c>
      <c r="I709" s="137" t="s">
        <v>111</v>
      </c>
      <c r="J709" s="137" t="s">
        <v>112</v>
      </c>
      <c r="K709" s="137" t="s">
        <v>113</v>
      </c>
      <c r="L709" s="137" t="s">
        <v>114</v>
      </c>
      <c r="M709" s="137" t="s">
        <v>65</v>
      </c>
    </row>
    <row r="710">
      <c r="A710" s="25" t="s">
        <v>95</v>
      </c>
      <c r="B710" s="72">
        <f>Projections!BG15</f>
        <v>201196.38</v>
      </c>
      <c r="C710" s="138">
        <f>A709</f>
        <v>46722</v>
      </c>
      <c r="D710" s="98" t="s">
        <v>115</v>
      </c>
      <c r="E710" s="57">
        <f>Projections!BG14</f>
        <v>2238865.74</v>
      </c>
      <c r="F710" s="73" t="s">
        <v>67</v>
      </c>
      <c r="G710" s="139" t="s">
        <v>67</v>
      </c>
      <c r="H710" s="139" t="s">
        <v>67</v>
      </c>
      <c r="I710" s="137" t="s">
        <v>67</v>
      </c>
      <c r="J710" s="137" t="s">
        <v>67</v>
      </c>
      <c r="K710" s="137" t="s">
        <v>67</v>
      </c>
      <c r="L710" s="137" t="s">
        <v>67</v>
      </c>
      <c r="M710" s="137" t="s">
        <v>67</v>
      </c>
    </row>
    <row r="711">
      <c r="A711" s="25" t="s">
        <v>69</v>
      </c>
      <c r="B711" s="119">
        <f>if(B700&gt;B710/10,B700,B700+500)</f>
        <v>15000</v>
      </c>
      <c r="C711" s="138">
        <f>EOMONTH(C710,0)</f>
        <v>46752</v>
      </c>
      <c r="D711" s="25" t="s">
        <v>116</v>
      </c>
      <c r="E711" s="74">
        <f>if(today()&gt;C711,0,B710*12/365/5)</f>
        <v>1322.935101</v>
      </c>
      <c r="F711" s="25" t="s">
        <v>70</v>
      </c>
      <c r="G711" s="140" t="s">
        <v>117</v>
      </c>
      <c r="H711" s="137" t="s">
        <v>117</v>
      </c>
      <c r="I711" s="137" t="s">
        <v>118</v>
      </c>
      <c r="J711" s="137" t="s">
        <v>118</v>
      </c>
      <c r="K711" s="137" t="s">
        <v>118</v>
      </c>
      <c r="L711" s="137" t="s">
        <v>119</v>
      </c>
      <c r="M711" s="137" t="s">
        <v>119</v>
      </c>
    </row>
    <row r="712">
      <c r="A712" s="54">
        <f>F712-C712-B712</f>
        <v>1890862.74</v>
      </c>
      <c r="B712" s="90">
        <f t="shared" ref="B712:D712" si="315">sum(B714:B718)</f>
        <v>249500</v>
      </c>
      <c r="C712" s="141">
        <f t="shared" si="315"/>
        <v>98503</v>
      </c>
      <c r="D712" s="142">
        <f t="shared" si="315"/>
        <v>405500</v>
      </c>
      <c r="E712" s="59"/>
      <c r="F712" s="63">
        <f>sum(F714:F718)</f>
        <v>2238865.74</v>
      </c>
      <c r="G712" s="136" t="s">
        <v>120</v>
      </c>
      <c r="H712" s="137" t="s">
        <v>121</v>
      </c>
      <c r="I712" s="137" t="s">
        <v>111</v>
      </c>
      <c r="J712" s="137" t="s">
        <v>112</v>
      </c>
      <c r="K712" s="137" t="s">
        <v>113</v>
      </c>
      <c r="L712" s="137" t="s">
        <v>114</v>
      </c>
      <c r="M712" s="137" t="s">
        <v>65</v>
      </c>
    </row>
    <row r="713">
      <c r="A713" s="32" t="s">
        <v>72</v>
      </c>
      <c r="B713" s="122" t="s">
        <v>84</v>
      </c>
      <c r="C713" s="143" t="s">
        <v>67</v>
      </c>
      <c r="D713" s="143" t="s">
        <v>122</v>
      </c>
      <c r="E713" s="34">
        <f>today()</f>
        <v>45969</v>
      </c>
      <c r="F713" s="35" t="s">
        <v>64</v>
      </c>
      <c r="G713" s="144" t="s">
        <v>107</v>
      </c>
      <c r="H713" s="144" t="s">
        <v>107</v>
      </c>
      <c r="I713" s="145" t="str">
        <f>I702</f>
        <v>STR Residency</v>
      </c>
      <c r="J713" s="145" t="s">
        <v>112</v>
      </c>
      <c r="K713" s="145" t="s">
        <v>113</v>
      </c>
      <c r="L713" s="145" t="s">
        <v>114</v>
      </c>
      <c r="M713" s="145" t="s">
        <v>65</v>
      </c>
    </row>
    <row r="714">
      <c r="A714" s="53">
        <f t="shared" ref="A714:A718" si="316">F714-C714-B714</f>
        <v>0</v>
      </c>
      <c r="B714" s="69">
        <f>B703+B711/5</f>
        <v>48500</v>
      </c>
      <c r="C714" s="133">
        <f>sumif(G710:M710,"Pending",G714:M714)</f>
        <v>47867</v>
      </c>
      <c r="D714" s="133">
        <f t="shared" ref="D714:D718" si="317">D703+M714</f>
        <v>55500</v>
      </c>
      <c r="E714" s="32" t="s">
        <v>76</v>
      </c>
      <c r="F714" s="150">
        <f>sumif(G710:M710,"Pending",G714:M714)+B714</f>
        <v>96367</v>
      </c>
      <c r="G714" s="146">
        <f>sumif('Bills - CC EMIs'!D:D,A709,'Bills - CC EMIs'!E:E)+SUMIF('Bills - CC EMIs'!D:D,A709,'Bills - CC EMIs'!F:F)+sumif('Bills - CC EMIs'!D:D,A709,'Bills - CC EMIs'!G:G)</f>
        <v>0</v>
      </c>
      <c r="H714" s="146">
        <f>SUMIFS('Bills - Loans'!F:F,'Bills - Loans'!D:D,A709)</f>
        <v>40367</v>
      </c>
      <c r="I714" s="147">
        <v>0.0</v>
      </c>
      <c r="J714" s="137">
        <f>sumif('Bills - Responsibilities'!D:D,A709,'Bills - Responsibilities'!E:E)</f>
        <v>5000</v>
      </c>
      <c r="K714" s="147">
        <v>0.0</v>
      </c>
      <c r="L714" s="147">
        <f>sumif('Bills - Returns'!C:C,A709,'Bills - Returns'!D:D)</f>
        <v>0</v>
      </c>
      <c r="M714" s="147">
        <f>sumif('Bills - Investments'!C:C,A709,'Bills - Investments'!D:D)</f>
        <v>2500</v>
      </c>
    </row>
    <row r="715">
      <c r="A715" s="53">
        <f t="shared" si="316"/>
        <v>1890862.74</v>
      </c>
      <c r="B715" s="69">
        <f>B704+B711/5</f>
        <v>48500</v>
      </c>
      <c r="C715" s="133">
        <f>sumif(G710:M710,"Pending",G715:M715)</f>
        <v>50636</v>
      </c>
      <c r="D715" s="133">
        <f t="shared" si="317"/>
        <v>350000</v>
      </c>
      <c r="E715" s="32" t="s">
        <v>77</v>
      </c>
      <c r="F715" s="90">
        <f>E710-F714-sum(F716:F718)</f>
        <v>1989998.74</v>
      </c>
      <c r="G715" s="148">
        <f>sumif('Bills - CC EMIs'!D:D,A709,'Bills - CC EMIs'!H:H)</f>
        <v>0</v>
      </c>
      <c r="H715" s="147">
        <f>SUMIFS('Bills - Loans'!E:E,'Bills - Loans'!D:D,A709)</f>
        <v>15742</v>
      </c>
      <c r="I715" s="137">
        <f>sumif('Bills - STR Residency'!D:D,A709,'Bills - STR Residency'!E:E)</f>
        <v>2855</v>
      </c>
      <c r="J715" s="147">
        <v>0.0</v>
      </c>
      <c r="K715" s="147">
        <f>sumif('Bills - Utilities'!C:C,A709,'Bills - Utilities'!B:B)</f>
        <v>6039</v>
      </c>
      <c r="L715" s="147">
        <f>sumif('Bills - Utilities'!D:D,B709,'Bills - Utilities'!C:C)</f>
        <v>0</v>
      </c>
      <c r="M715" s="147">
        <f>sumif('Bills - Investments'!C:C,A709,'Bills - Investments'!E:E)</f>
        <v>26000</v>
      </c>
    </row>
    <row r="716">
      <c r="A716" s="53">
        <f t="shared" si="316"/>
        <v>0</v>
      </c>
      <c r="B716" s="69">
        <f>B705+B711/5</f>
        <v>48500</v>
      </c>
      <c r="C716" s="133">
        <f>sumif(G710:M710,"Pending",G716:M716)</f>
        <v>0</v>
      </c>
      <c r="D716" s="133">
        <f t="shared" si="317"/>
        <v>0</v>
      </c>
      <c r="E716" s="32" t="s">
        <v>81</v>
      </c>
      <c r="F716" s="90">
        <f t="shared" ref="F716:F718" si="318">sum(G716:M716)+B716</f>
        <v>48500</v>
      </c>
      <c r="G716" s="148">
        <f t="shared" ref="G716:G718" si="319">(G705+G694+G683)/3</f>
        <v>0</v>
      </c>
      <c r="H716" s="147">
        <f t="shared" ref="H716:H718" si="320">(H705+H694)/2</f>
        <v>0</v>
      </c>
      <c r="I716" s="147">
        <f t="shared" ref="I716:I718" si="321">I705</f>
        <v>0</v>
      </c>
      <c r="J716" s="147">
        <v>0.0</v>
      </c>
      <c r="K716" s="147">
        <v>0.0</v>
      </c>
      <c r="L716" s="147">
        <v>0.0</v>
      </c>
      <c r="M716" s="147">
        <v>0.0</v>
      </c>
    </row>
    <row r="717">
      <c r="A717" s="53">
        <f t="shared" si="316"/>
        <v>0</v>
      </c>
      <c r="B717" s="69">
        <f>B706+B711/5</f>
        <v>55500</v>
      </c>
      <c r="C717" s="133">
        <f>sumif(G710:M710,"Pending",G717:M717)</f>
        <v>0</v>
      </c>
      <c r="D717" s="133">
        <f t="shared" si="317"/>
        <v>0</v>
      </c>
      <c r="E717" s="32" t="s">
        <v>79</v>
      </c>
      <c r="F717" s="90">
        <f t="shared" si="318"/>
        <v>55500</v>
      </c>
      <c r="G717" s="148">
        <f t="shared" si="319"/>
        <v>0</v>
      </c>
      <c r="H717" s="147">
        <f t="shared" si="320"/>
        <v>0</v>
      </c>
      <c r="I717" s="147">
        <f t="shared" si="321"/>
        <v>0</v>
      </c>
      <c r="J717" s="147">
        <v>0.0</v>
      </c>
      <c r="K717" s="147">
        <v>0.0</v>
      </c>
      <c r="L717" s="147">
        <v>0.0</v>
      </c>
      <c r="M717" s="147">
        <v>0.0</v>
      </c>
    </row>
    <row r="718">
      <c r="A718" s="53">
        <f t="shared" si="316"/>
        <v>0</v>
      </c>
      <c r="B718" s="69">
        <f>B707+B711/5</f>
        <v>48500</v>
      </c>
      <c r="C718" s="133">
        <f>sumif(G710:M710,"Pending",G718:M718)</f>
        <v>0</v>
      </c>
      <c r="D718" s="133">
        <f t="shared" si="317"/>
        <v>0</v>
      </c>
      <c r="E718" s="33" t="s">
        <v>91</v>
      </c>
      <c r="F718" s="90">
        <f t="shared" si="318"/>
        <v>48500</v>
      </c>
      <c r="G718" s="148">
        <f t="shared" si="319"/>
        <v>0</v>
      </c>
      <c r="H718" s="147">
        <f t="shared" si="320"/>
        <v>0</v>
      </c>
      <c r="I718" s="147">
        <f t="shared" si="321"/>
        <v>0</v>
      </c>
      <c r="J718" s="147">
        <v>0.0</v>
      </c>
      <c r="K718" s="147">
        <v>0.0</v>
      </c>
      <c r="L718" s="147">
        <v>0.0</v>
      </c>
      <c r="M718" s="147">
        <v>0.0</v>
      </c>
    </row>
    <row r="719">
      <c r="A719" s="24"/>
      <c r="B719" s="24"/>
      <c r="C719" s="24"/>
      <c r="D719" s="24"/>
      <c r="E719" s="24"/>
      <c r="F719" s="25"/>
      <c r="G719" s="25"/>
      <c r="H719" s="24"/>
      <c r="I719" s="25"/>
      <c r="J719" s="25"/>
      <c r="K719" s="25"/>
      <c r="L719" s="25"/>
      <c r="M719" s="24"/>
    </row>
    <row r="720">
      <c r="A720" s="71">
        <f>Projections!BH1</f>
        <v>46753</v>
      </c>
      <c r="B720" s="24"/>
      <c r="C720" s="24"/>
      <c r="D720" s="25" t="s">
        <v>108</v>
      </c>
      <c r="E720" s="74">
        <f>A723-A712</f>
        <v>90693.38</v>
      </c>
      <c r="F720" s="25" t="s">
        <v>64</v>
      </c>
      <c r="G720" s="136" t="s">
        <v>109</v>
      </c>
      <c r="H720" s="137" t="s">
        <v>110</v>
      </c>
      <c r="I720" s="137" t="s">
        <v>111</v>
      </c>
      <c r="J720" s="137" t="s">
        <v>112</v>
      </c>
      <c r="K720" s="137" t="s">
        <v>113</v>
      </c>
      <c r="L720" s="137" t="s">
        <v>114</v>
      </c>
      <c r="M720" s="137" t="s">
        <v>65</v>
      </c>
    </row>
    <row r="721">
      <c r="A721" s="25" t="s">
        <v>95</v>
      </c>
      <c r="B721" s="72">
        <f>Projections!BH15</f>
        <v>201196.38</v>
      </c>
      <c r="C721" s="138">
        <f>A720</f>
        <v>46753</v>
      </c>
      <c r="D721" s="98" t="s">
        <v>115</v>
      </c>
      <c r="E721" s="57">
        <f>Projections!BH14</f>
        <v>2341559.12</v>
      </c>
      <c r="F721" s="73" t="s">
        <v>67</v>
      </c>
      <c r="G721" s="139" t="s">
        <v>67</v>
      </c>
      <c r="H721" s="139" t="s">
        <v>67</v>
      </c>
      <c r="I721" s="137" t="s">
        <v>67</v>
      </c>
      <c r="J721" s="137" t="s">
        <v>67</v>
      </c>
      <c r="K721" s="137" t="s">
        <v>67</v>
      </c>
      <c r="L721" s="137" t="s">
        <v>67</v>
      </c>
      <c r="M721" s="137" t="s">
        <v>67</v>
      </c>
    </row>
    <row r="722">
      <c r="A722" s="25" t="s">
        <v>69</v>
      </c>
      <c r="B722" s="119">
        <f>if(B711&gt;B721/10,B711,B711+500)</f>
        <v>15500</v>
      </c>
      <c r="C722" s="138">
        <f>EOMONTH(C721,0)</f>
        <v>46783</v>
      </c>
      <c r="D722" s="25" t="s">
        <v>116</v>
      </c>
      <c r="E722" s="74">
        <f>if(today()&gt;C722,0,B721*12/365/5)</f>
        <v>1322.935101</v>
      </c>
      <c r="F722" s="25" t="s">
        <v>70</v>
      </c>
      <c r="G722" s="140" t="s">
        <v>117</v>
      </c>
      <c r="H722" s="137" t="s">
        <v>117</v>
      </c>
      <c r="I722" s="137" t="s">
        <v>118</v>
      </c>
      <c r="J722" s="137" t="s">
        <v>118</v>
      </c>
      <c r="K722" s="137" t="s">
        <v>118</v>
      </c>
      <c r="L722" s="137" t="s">
        <v>119</v>
      </c>
      <c r="M722" s="137" t="s">
        <v>119</v>
      </c>
    </row>
    <row r="723">
      <c r="A723" s="54">
        <f>F723-C723-B723</f>
        <v>1981556.12</v>
      </c>
      <c r="B723" s="90">
        <f t="shared" ref="B723:D723" si="322">sum(B725:B729)</f>
        <v>265000</v>
      </c>
      <c r="C723" s="141">
        <f t="shared" si="322"/>
        <v>95003</v>
      </c>
      <c r="D723" s="142">
        <f t="shared" si="322"/>
        <v>435500</v>
      </c>
      <c r="E723" s="59"/>
      <c r="F723" s="63">
        <f>sum(F725:F729)</f>
        <v>2341559.12</v>
      </c>
      <c r="G723" s="136" t="s">
        <v>120</v>
      </c>
      <c r="H723" s="137" t="s">
        <v>121</v>
      </c>
      <c r="I723" s="137" t="s">
        <v>111</v>
      </c>
      <c r="J723" s="137" t="s">
        <v>112</v>
      </c>
      <c r="K723" s="137" t="s">
        <v>113</v>
      </c>
      <c r="L723" s="137" t="s">
        <v>114</v>
      </c>
      <c r="M723" s="137" t="s">
        <v>65</v>
      </c>
    </row>
    <row r="724">
      <c r="A724" s="32" t="s">
        <v>72</v>
      </c>
      <c r="B724" s="122" t="s">
        <v>84</v>
      </c>
      <c r="C724" s="143" t="s">
        <v>67</v>
      </c>
      <c r="D724" s="143" t="s">
        <v>122</v>
      </c>
      <c r="E724" s="34">
        <f>today()</f>
        <v>45969</v>
      </c>
      <c r="F724" s="35" t="s">
        <v>64</v>
      </c>
      <c r="G724" s="144" t="s">
        <v>107</v>
      </c>
      <c r="H724" s="144" t="s">
        <v>107</v>
      </c>
      <c r="I724" s="145" t="str">
        <f>I713</f>
        <v>STR Residency</v>
      </c>
      <c r="J724" s="145" t="s">
        <v>112</v>
      </c>
      <c r="K724" s="145" t="s">
        <v>113</v>
      </c>
      <c r="L724" s="145" t="s">
        <v>114</v>
      </c>
      <c r="M724" s="145" t="s">
        <v>65</v>
      </c>
    </row>
    <row r="725">
      <c r="A725" s="53">
        <f t="shared" ref="A725:A729" si="323">F725-C725-B725</f>
        <v>0</v>
      </c>
      <c r="B725" s="69">
        <f>B714+B722/5</f>
        <v>51600</v>
      </c>
      <c r="C725" s="133">
        <f>sumif(G721:M721,"Pending",G725:M725)</f>
        <v>48367</v>
      </c>
      <c r="D725" s="133">
        <f t="shared" ref="D725:D729" si="324">D714+M725</f>
        <v>58500</v>
      </c>
      <c r="E725" s="32" t="s">
        <v>76</v>
      </c>
      <c r="F725" s="150">
        <f>sumif(G721:M721,"Pending",G725:M725)+B725</f>
        <v>99967</v>
      </c>
      <c r="G725" s="146">
        <f>sumif('Bills - CC EMIs'!D:D,A720,'Bills - CC EMIs'!E:E)+SUMIF('Bills - CC EMIs'!D:D,A720,'Bills - CC EMIs'!F:F)+sumif('Bills - CC EMIs'!D:D,A720,'Bills - CC EMIs'!G:G)</f>
        <v>0</v>
      </c>
      <c r="H725" s="146">
        <f>SUMIFS('Bills - Loans'!F:F,'Bills - Loans'!D:D,A720)</f>
        <v>40367</v>
      </c>
      <c r="I725" s="147">
        <v>0.0</v>
      </c>
      <c r="J725" s="137">
        <f>sumif('Bills - Responsibilities'!D:D,A720,'Bills - Responsibilities'!E:E)</f>
        <v>5000</v>
      </c>
      <c r="K725" s="147">
        <v>0.0</v>
      </c>
      <c r="L725" s="147">
        <f>sumif('Bills - Returns'!C:C,A720,'Bills - Returns'!D:D)</f>
        <v>0</v>
      </c>
      <c r="M725" s="147">
        <f>sumif('Bills - Investments'!C:C,A720,'Bills - Investments'!D:D)</f>
        <v>3000</v>
      </c>
    </row>
    <row r="726">
      <c r="A726" s="53">
        <f t="shared" si="323"/>
        <v>1981556.12</v>
      </c>
      <c r="B726" s="69">
        <f>B715+B722/5</f>
        <v>51600</v>
      </c>
      <c r="C726" s="133">
        <f>sumif(G721:M721,"Pending",G726:M726)</f>
        <v>46636</v>
      </c>
      <c r="D726" s="133">
        <f t="shared" si="324"/>
        <v>377000</v>
      </c>
      <c r="E726" s="32" t="s">
        <v>77</v>
      </c>
      <c r="F726" s="90">
        <f>E721-F725-sum(F727:F729)</f>
        <v>2079792.12</v>
      </c>
      <c r="G726" s="148">
        <f>sumif('Bills - CC EMIs'!D:D,A720,'Bills - CC EMIs'!H:H)</f>
        <v>0</v>
      </c>
      <c r="H726" s="147">
        <f>SUMIFS('Bills - Loans'!E:E,'Bills - Loans'!D:D,A720)</f>
        <v>15742</v>
      </c>
      <c r="I726" s="137">
        <f>sumif('Bills - STR Residency'!D:D,A720,'Bills - STR Residency'!E:E)</f>
        <v>2855</v>
      </c>
      <c r="J726" s="147">
        <v>0.0</v>
      </c>
      <c r="K726" s="147">
        <f>sumif('Bills - Utilities'!C:C,A720,'Bills - Utilities'!B:B)</f>
        <v>1039</v>
      </c>
      <c r="L726" s="147">
        <f>sumif('Bills - Utilities'!D:D,B720,'Bills - Utilities'!C:C)</f>
        <v>0</v>
      </c>
      <c r="M726" s="147">
        <f>sumif('Bills - Investments'!C:C,A720,'Bills - Investments'!E:E)</f>
        <v>27000</v>
      </c>
    </row>
    <row r="727">
      <c r="A727" s="53">
        <f t="shared" si="323"/>
        <v>0</v>
      </c>
      <c r="B727" s="69">
        <f>B716+B722/5</f>
        <v>51600</v>
      </c>
      <c r="C727" s="133">
        <f>sumif(G721:M721,"Pending",G727:M727)</f>
        <v>0</v>
      </c>
      <c r="D727" s="133">
        <f t="shared" si="324"/>
        <v>0</v>
      </c>
      <c r="E727" s="32" t="s">
        <v>81</v>
      </c>
      <c r="F727" s="90">
        <f t="shared" ref="F727:F729" si="325">sum(G727:M727)+B727</f>
        <v>51600</v>
      </c>
      <c r="G727" s="148">
        <f t="shared" ref="G727:G729" si="326">(G716+G705+G694)/3</f>
        <v>0</v>
      </c>
      <c r="H727" s="147">
        <f t="shared" ref="H727:H729" si="327">(H716+H705)/2</f>
        <v>0</v>
      </c>
      <c r="I727" s="147">
        <f t="shared" ref="I727:I729" si="328">I716</f>
        <v>0</v>
      </c>
      <c r="J727" s="147">
        <v>0.0</v>
      </c>
      <c r="K727" s="147">
        <v>0.0</v>
      </c>
      <c r="L727" s="147">
        <v>0.0</v>
      </c>
      <c r="M727" s="147">
        <v>0.0</v>
      </c>
    </row>
    <row r="728">
      <c r="A728" s="53">
        <f t="shared" si="323"/>
        <v>0</v>
      </c>
      <c r="B728" s="69">
        <f>B717+B722/5</f>
        <v>58600</v>
      </c>
      <c r="C728" s="133">
        <f>sumif(G721:M721,"Pending",G728:M728)</f>
        <v>0</v>
      </c>
      <c r="D728" s="133">
        <f t="shared" si="324"/>
        <v>0</v>
      </c>
      <c r="E728" s="32" t="s">
        <v>79</v>
      </c>
      <c r="F728" s="90">
        <f t="shared" si="325"/>
        <v>58600</v>
      </c>
      <c r="G728" s="148">
        <f t="shared" si="326"/>
        <v>0</v>
      </c>
      <c r="H728" s="147">
        <f t="shared" si="327"/>
        <v>0</v>
      </c>
      <c r="I728" s="147">
        <f t="shared" si="328"/>
        <v>0</v>
      </c>
      <c r="J728" s="147">
        <v>0.0</v>
      </c>
      <c r="K728" s="147">
        <v>0.0</v>
      </c>
      <c r="L728" s="147">
        <v>0.0</v>
      </c>
      <c r="M728" s="147">
        <v>0.0</v>
      </c>
    </row>
    <row r="729">
      <c r="A729" s="53">
        <f t="shared" si="323"/>
        <v>0</v>
      </c>
      <c r="B729" s="69">
        <f>B718+B722/5</f>
        <v>51600</v>
      </c>
      <c r="C729" s="133">
        <f>sumif(G721:M721,"Pending",G729:M729)</f>
        <v>0</v>
      </c>
      <c r="D729" s="133">
        <f t="shared" si="324"/>
        <v>0</v>
      </c>
      <c r="E729" s="33" t="s">
        <v>91</v>
      </c>
      <c r="F729" s="90">
        <f t="shared" si="325"/>
        <v>51600</v>
      </c>
      <c r="G729" s="148">
        <f t="shared" si="326"/>
        <v>0</v>
      </c>
      <c r="H729" s="147">
        <f t="shared" si="327"/>
        <v>0</v>
      </c>
      <c r="I729" s="147">
        <f t="shared" si="328"/>
        <v>0</v>
      </c>
      <c r="J729" s="147">
        <v>0.0</v>
      </c>
      <c r="K729" s="147">
        <v>0.0</v>
      </c>
      <c r="L729" s="147">
        <v>0.0</v>
      </c>
      <c r="M729" s="147">
        <v>0.0</v>
      </c>
    </row>
    <row r="730">
      <c r="A730" s="24"/>
      <c r="B730" s="24"/>
      <c r="C730" s="24"/>
      <c r="D730" s="24"/>
      <c r="E730" s="24"/>
      <c r="F730" s="25"/>
      <c r="G730" s="25"/>
      <c r="H730" s="24"/>
      <c r="I730" s="25"/>
      <c r="J730" s="25"/>
      <c r="K730" s="25"/>
      <c r="L730" s="25"/>
      <c r="M730" s="24"/>
    </row>
    <row r="731">
      <c r="A731" s="71">
        <f>Projections!BI1</f>
        <v>46784</v>
      </c>
      <c r="B731" s="24"/>
      <c r="C731" s="24"/>
      <c r="D731" s="25" t="s">
        <v>108</v>
      </c>
      <c r="E731" s="74">
        <f>A734-A723</f>
        <v>89193.38</v>
      </c>
      <c r="F731" s="25" t="s">
        <v>64</v>
      </c>
      <c r="G731" s="136" t="s">
        <v>109</v>
      </c>
      <c r="H731" s="137" t="s">
        <v>110</v>
      </c>
      <c r="I731" s="137" t="s">
        <v>111</v>
      </c>
      <c r="J731" s="137" t="s">
        <v>112</v>
      </c>
      <c r="K731" s="137" t="s">
        <v>113</v>
      </c>
      <c r="L731" s="137" t="s">
        <v>114</v>
      </c>
      <c r="M731" s="137" t="s">
        <v>65</v>
      </c>
    </row>
    <row r="732">
      <c r="A732" s="25" t="s">
        <v>95</v>
      </c>
      <c r="B732" s="72">
        <f>Projections!BI15</f>
        <v>201196.38</v>
      </c>
      <c r="C732" s="138">
        <f>A731</f>
        <v>46784</v>
      </c>
      <c r="D732" s="98" t="s">
        <v>115</v>
      </c>
      <c r="E732" s="57">
        <f>Projections!BI14</f>
        <v>2447752.5</v>
      </c>
      <c r="F732" s="73" t="s">
        <v>67</v>
      </c>
      <c r="G732" s="139" t="s">
        <v>67</v>
      </c>
      <c r="H732" s="139" t="s">
        <v>67</v>
      </c>
      <c r="I732" s="137" t="s">
        <v>67</v>
      </c>
      <c r="J732" s="137" t="s">
        <v>67</v>
      </c>
      <c r="K732" s="137" t="s">
        <v>67</v>
      </c>
      <c r="L732" s="137" t="s">
        <v>67</v>
      </c>
      <c r="M732" s="137" t="s">
        <v>67</v>
      </c>
    </row>
    <row r="733">
      <c r="A733" s="25" t="s">
        <v>69</v>
      </c>
      <c r="B733" s="119">
        <f>if(B722&gt;B732/10,B722,B722+500)</f>
        <v>16000</v>
      </c>
      <c r="C733" s="138">
        <f>EOMONTH(C732,0)</f>
        <v>46812</v>
      </c>
      <c r="D733" s="25" t="s">
        <v>116</v>
      </c>
      <c r="E733" s="74">
        <f>if(today()&gt;C733,0,B732*12/365/5)</f>
        <v>1322.935101</v>
      </c>
      <c r="F733" s="25" t="s">
        <v>70</v>
      </c>
      <c r="G733" s="140" t="s">
        <v>117</v>
      </c>
      <c r="H733" s="137" t="s">
        <v>117</v>
      </c>
      <c r="I733" s="137" t="s">
        <v>118</v>
      </c>
      <c r="J733" s="137" t="s">
        <v>118</v>
      </c>
      <c r="K733" s="137" t="s">
        <v>118</v>
      </c>
      <c r="L733" s="137" t="s">
        <v>119</v>
      </c>
      <c r="M733" s="137" t="s">
        <v>119</v>
      </c>
    </row>
    <row r="734">
      <c r="A734" s="54">
        <f>F734-C734-B734</f>
        <v>2070749.5</v>
      </c>
      <c r="B734" s="90">
        <f t="shared" ref="B734:D734" si="329">sum(B736:B740)</f>
        <v>281000</v>
      </c>
      <c r="C734" s="141">
        <f t="shared" si="329"/>
        <v>96003</v>
      </c>
      <c r="D734" s="142">
        <f t="shared" si="329"/>
        <v>466500</v>
      </c>
      <c r="E734" s="59"/>
      <c r="F734" s="63">
        <f>sum(F736:F740)</f>
        <v>2447752.5</v>
      </c>
      <c r="G734" s="136" t="s">
        <v>120</v>
      </c>
      <c r="H734" s="137" t="s">
        <v>121</v>
      </c>
      <c r="I734" s="137" t="s">
        <v>111</v>
      </c>
      <c r="J734" s="137" t="s">
        <v>112</v>
      </c>
      <c r="K734" s="137" t="s">
        <v>113</v>
      </c>
      <c r="L734" s="137" t="s">
        <v>114</v>
      </c>
      <c r="M734" s="137" t="s">
        <v>65</v>
      </c>
    </row>
    <row r="735">
      <c r="A735" s="32" t="s">
        <v>72</v>
      </c>
      <c r="B735" s="122" t="s">
        <v>84</v>
      </c>
      <c r="C735" s="143" t="s">
        <v>67</v>
      </c>
      <c r="D735" s="143" t="s">
        <v>122</v>
      </c>
      <c r="E735" s="34">
        <f>today()</f>
        <v>45969</v>
      </c>
      <c r="F735" s="35" t="s">
        <v>64</v>
      </c>
      <c r="G735" s="144" t="s">
        <v>107</v>
      </c>
      <c r="H735" s="144" t="s">
        <v>107</v>
      </c>
      <c r="I735" s="145" t="str">
        <f>I724</f>
        <v>STR Residency</v>
      </c>
      <c r="J735" s="145" t="s">
        <v>112</v>
      </c>
      <c r="K735" s="145" t="s">
        <v>113</v>
      </c>
      <c r="L735" s="145" t="s">
        <v>114</v>
      </c>
      <c r="M735" s="145" t="s">
        <v>65</v>
      </c>
    </row>
    <row r="736">
      <c r="A736" s="53">
        <f t="shared" ref="A736:A740" si="330">F736-C736-B736</f>
        <v>0</v>
      </c>
      <c r="B736" s="69">
        <f>B725+B733/5</f>
        <v>54800</v>
      </c>
      <c r="C736" s="133">
        <f>sumif(G732:M732,"Pending",G736:M736)</f>
        <v>48367</v>
      </c>
      <c r="D736" s="133">
        <f t="shared" ref="D736:D740" si="331">D725+M736</f>
        <v>61500</v>
      </c>
      <c r="E736" s="32" t="s">
        <v>76</v>
      </c>
      <c r="F736" s="150">
        <f>sumif(G732:M732,"Pending",G736:M736)+B736</f>
        <v>103167</v>
      </c>
      <c r="G736" s="146">
        <f>sumif('Bills - CC EMIs'!D:D,A731,'Bills - CC EMIs'!E:E)+SUMIF('Bills - CC EMIs'!D:D,A731,'Bills - CC EMIs'!F:F)+sumif('Bills - CC EMIs'!D:D,A731,'Bills - CC EMIs'!G:G)</f>
        <v>0</v>
      </c>
      <c r="H736" s="146">
        <f>SUMIFS('Bills - Loans'!F:F,'Bills - Loans'!D:D,A731)</f>
        <v>40367</v>
      </c>
      <c r="I736" s="147">
        <v>0.0</v>
      </c>
      <c r="J736" s="137">
        <f>sumif('Bills - Responsibilities'!D:D,A731,'Bills - Responsibilities'!E:E)</f>
        <v>5000</v>
      </c>
      <c r="K736" s="147">
        <v>0.0</v>
      </c>
      <c r="L736" s="147">
        <f>sumif('Bills - Returns'!C:C,A731,'Bills - Returns'!D:D)</f>
        <v>0</v>
      </c>
      <c r="M736" s="147">
        <f>sumif('Bills - Investments'!C:C,A731,'Bills - Investments'!D:D)</f>
        <v>3000</v>
      </c>
    </row>
    <row r="737">
      <c r="A737" s="53">
        <f t="shared" si="330"/>
        <v>2070749.5</v>
      </c>
      <c r="B737" s="69">
        <f>B726+B733/5</f>
        <v>54800</v>
      </c>
      <c r="C737" s="133">
        <f>sumif(G732:M732,"Pending",G737:M737)</f>
        <v>47636</v>
      </c>
      <c r="D737" s="133">
        <f t="shared" si="331"/>
        <v>405000</v>
      </c>
      <c r="E737" s="32" t="s">
        <v>77</v>
      </c>
      <c r="F737" s="90">
        <f>E732-F736-sum(F738:F740)</f>
        <v>2173185.5</v>
      </c>
      <c r="G737" s="148">
        <f>sumif('Bills - CC EMIs'!D:D,A731,'Bills - CC EMIs'!H:H)</f>
        <v>0</v>
      </c>
      <c r="H737" s="147">
        <f>SUMIFS('Bills - Loans'!E:E,'Bills - Loans'!D:D,A731)</f>
        <v>15742</v>
      </c>
      <c r="I737" s="137">
        <f>sumif('Bills - STR Residency'!D:D,A731,'Bills - STR Residency'!E:E)</f>
        <v>2855</v>
      </c>
      <c r="J737" s="147">
        <v>0.0</v>
      </c>
      <c r="K737" s="147">
        <f>sumif('Bills - Utilities'!C:C,A731,'Bills - Utilities'!B:B)</f>
        <v>1039</v>
      </c>
      <c r="L737" s="147">
        <f>sumif('Bills - Utilities'!D:D,B731,'Bills - Utilities'!C:C)</f>
        <v>0</v>
      </c>
      <c r="M737" s="147">
        <f>sumif('Bills - Investments'!C:C,A731,'Bills - Investments'!E:E)</f>
        <v>28000</v>
      </c>
    </row>
    <row r="738">
      <c r="A738" s="53">
        <f t="shared" si="330"/>
        <v>0</v>
      </c>
      <c r="B738" s="69">
        <f>B727+B733/5</f>
        <v>54800</v>
      </c>
      <c r="C738" s="133">
        <f>sumif(G732:M732,"Pending",G738:M738)</f>
        <v>0</v>
      </c>
      <c r="D738" s="133">
        <f t="shared" si="331"/>
        <v>0</v>
      </c>
      <c r="E738" s="32" t="s">
        <v>81</v>
      </c>
      <c r="F738" s="90">
        <f t="shared" ref="F738:F740" si="332">sum(G738:M738)+B738</f>
        <v>54800</v>
      </c>
      <c r="G738" s="148">
        <f t="shared" ref="G738:G740" si="333">(G727+G716+G705)/3</f>
        <v>0</v>
      </c>
      <c r="H738" s="147">
        <f t="shared" ref="H738:H740" si="334">(H727+H716)/2</f>
        <v>0</v>
      </c>
      <c r="I738" s="147">
        <f t="shared" ref="I738:I740" si="335">I727</f>
        <v>0</v>
      </c>
      <c r="J738" s="147">
        <v>0.0</v>
      </c>
      <c r="K738" s="147">
        <v>0.0</v>
      </c>
      <c r="L738" s="147">
        <v>0.0</v>
      </c>
      <c r="M738" s="147">
        <v>0.0</v>
      </c>
    </row>
    <row r="739">
      <c r="A739" s="53">
        <f t="shared" si="330"/>
        <v>0</v>
      </c>
      <c r="B739" s="69">
        <f>B728+B733/5</f>
        <v>61800</v>
      </c>
      <c r="C739" s="133">
        <f>sumif(G732:M732,"Pending",G739:M739)</f>
        <v>0</v>
      </c>
      <c r="D739" s="133">
        <f t="shared" si="331"/>
        <v>0</v>
      </c>
      <c r="E739" s="32" t="s">
        <v>79</v>
      </c>
      <c r="F739" s="90">
        <f t="shared" si="332"/>
        <v>61800</v>
      </c>
      <c r="G739" s="148">
        <f t="shared" si="333"/>
        <v>0</v>
      </c>
      <c r="H739" s="147">
        <f t="shared" si="334"/>
        <v>0</v>
      </c>
      <c r="I739" s="147">
        <f t="shared" si="335"/>
        <v>0</v>
      </c>
      <c r="J739" s="147">
        <v>0.0</v>
      </c>
      <c r="K739" s="147">
        <v>0.0</v>
      </c>
      <c r="L739" s="147">
        <v>0.0</v>
      </c>
      <c r="M739" s="147">
        <v>0.0</v>
      </c>
    </row>
    <row r="740">
      <c r="A740" s="53">
        <f t="shared" si="330"/>
        <v>0</v>
      </c>
      <c r="B740" s="69">
        <f>B729+B733/5</f>
        <v>54800</v>
      </c>
      <c r="C740" s="133">
        <f>sumif(G732:M732,"Pending",G740:M740)</f>
        <v>0</v>
      </c>
      <c r="D740" s="133">
        <f t="shared" si="331"/>
        <v>0</v>
      </c>
      <c r="E740" s="33" t="s">
        <v>91</v>
      </c>
      <c r="F740" s="90">
        <f t="shared" si="332"/>
        <v>54800</v>
      </c>
      <c r="G740" s="148">
        <f t="shared" si="333"/>
        <v>0</v>
      </c>
      <c r="H740" s="147">
        <f t="shared" si="334"/>
        <v>0</v>
      </c>
      <c r="I740" s="147">
        <f t="shared" si="335"/>
        <v>0</v>
      </c>
      <c r="J740" s="147">
        <v>0.0</v>
      </c>
      <c r="K740" s="147">
        <v>0.0</v>
      </c>
      <c r="L740" s="147">
        <v>0.0</v>
      </c>
      <c r="M740" s="147">
        <v>0.0</v>
      </c>
    </row>
    <row r="741">
      <c r="A741" s="24"/>
      <c r="B741" s="24"/>
      <c r="C741" s="24"/>
      <c r="D741" s="24"/>
      <c r="E741" s="24"/>
      <c r="F741" s="25"/>
      <c r="G741" s="25"/>
      <c r="H741" s="24"/>
      <c r="I741" s="25"/>
      <c r="J741" s="25"/>
      <c r="K741" s="25"/>
      <c r="L741" s="25"/>
      <c r="M741" s="24"/>
    </row>
    <row r="742">
      <c r="A742" s="71">
        <f>Projections!BJ1</f>
        <v>46813</v>
      </c>
      <c r="B742" s="24"/>
      <c r="C742" s="24"/>
      <c r="D742" s="25" t="s">
        <v>108</v>
      </c>
      <c r="E742" s="74">
        <f>A745-A734</f>
        <v>82693.38</v>
      </c>
      <c r="F742" s="25" t="s">
        <v>64</v>
      </c>
      <c r="G742" s="136" t="s">
        <v>109</v>
      </c>
      <c r="H742" s="137" t="s">
        <v>110</v>
      </c>
      <c r="I742" s="137" t="s">
        <v>111</v>
      </c>
      <c r="J742" s="137" t="s">
        <v>112</v>
      </c>
      <c r="K742" s="137" t="s">
        <v>113</v>
      </c>
      <c r="L742" s="137" t="s">
        <v>114</v>
      </c>
      <c r="M742" s="137" t="s">
        <v>65</v>
      </c>
    </row>
    <row r="743">
      <c r="A743" s="25" t="s">
        <v>95</v>
      </c>
      <c r="B743" s="72">
        <f>Projections!BJ15</f>
        <v>201196.38</v>
      </c>
      <c r="C743" s="138">
        <f>A742</f>
        <v>46813</v>
      </c>
      <c r="D743" s="98" t="s">
        <v>115</v>
      </c>
      <c r="E743" s="57">
        <f>Projections!BJ14</f>
        <v>2552945.88</v>
      </c>
      <c r="F743" s="73" t="s">
        <v>67</v>
      </c>
      <c r="G743" s="139" t="s">
        <v>67</v>
      </c>
      <c r="H743" s="139" t="s">
        <v>67</v>
      </c>
      <c r="I743" s="137" t="s">
        <v>67</v>
      </c>
      <c r="J743" s="137" t="s">
        <v>67</v>
      </c>
      <c r="K743" s="137" t="s">
        <v>67</v>
      </c>
      <c r="L743" s="137" t="s">
        <v>67</v>
      </c>
      <c r="M743" s="137" t="s">
        <v>67</v>
      </c>
    </row>
    <row r="744">
      <c r="A744" s="25" t="s">
        <v>69</v>
      </c>
      <c r="B744" s="119">
        <f>if(B733&gt;B743/10,B733,B733+500)</f>
        <v>16500</v>
      </c>
      <c r="C744" s="138">
        <f>EOMONTH(C743,0)</f>
        <v>46843</v>
      </c>
      <c r="D744" s="25" t="s">
        <v>116</v>
      </c>
      <c r="E744" s="74">
        <f>if(today()&gt;C744,0,B743*12/365/5)</f>
        <v>1322.935101</v>
      </c>
      <c r="F744" s="25" t="s">
        <v>70</v>
      </c>
      <c r="G744" s="140" t="s">
        <v>117</v>
      </c>
      <c r="H744" s="137" t="s">
        <v>117</v>
      </c>
      <c r="I744" s="137" t="s">
        <v>118</v>
      </c>
      <c r="J744" s="137" t="s">
        <v>118</v>
      </c>
      <c r="K744" s="137" t="s">
        <v>118</v>
      </c>
      <c r="L744" s="137" t="s">
        <v>119</v>
      </c>
      <c r="M744" s="137" t="s">
        <v>119</v>
      </c>
    </row>
    <row r="745">
      <c r="A745" s="54">
        <f>F745-C745-B745</f>
        <v>2153442.88</v>
      </c>
      <c r="B745" s="90">
        <f t="shared" ref="B745:D745" si="336">sum(B747:B751)</f>
        <v>297500</v>
      </c>
      <c r="C745" s="141">
        <f t="shared" si="336"/>
        <v>102003</v>
      </c>
      <c r="D745" s="142">
        <f t="shared" si="336"/>
        <v>498500</v>
      </c>
      <c r="E745" s="59"/>
      <c r="F745" s="63">
        <f>sum(F747:F751)</f>
        <v>2552945.88</v>
      </c>
      <c r="G745" s="136" t="s">
        <v>120</v>
      </c>
      <c r="H745" s="137" t="s">
        <v>121</v>
      </c>
      <c r="I745" s="137" t="s">
        <v>111</v>
      </c>
      <c r="J745" s="137" t="s">
        <v>112</v>
      </c>
      <c r="K745" s="137" t="s">
        <v>113</v>
      </c>
      <c r="L745" s="137" t="s">
        <v>114</v>
      </c>
      <c r="M745" s="137" t="s">
        <v>65</v>
      </c>
    </row>
    <row r="746">
      <c r="A746" s="32" t="s">
        <v>72</v>
      </c>
      <c r="B746" s="122" t="s">
        <v>84</v>
      </c>
      <c r="C746" s="143" t="s">
        <v>67</v>
      </c>
      <c r="D746" s="143" t="s">
        <v>122</v>
      </c>
      <c r="E746" s="34">
        <f>today()</f>
        <v>45969</v>
      </c>
      <c r="F746" s="35" t="s">
        <v>64</v>
      </c>
      <c r="G746" s="144" t="s">
        <v>107</v>
      </c>
      <c r="H746" s="144" t="s">
        <v>107</v>
      </c>
      <c r="I746" s="145" t="str">
        <f>I735</f>
        <v>STR Residency</v>
      </c>
      <c r="J746" s="145" t="s">
        <v>112</v>
      </c>
      <c r="K746" s="145" t="s">
        <v>113</v>
      </c>
      <c r="L746" s="145" t="s">
        <v>114</v>
      </c>
      <c r="M746" s="145" t="s">
        <v>65</v>
      </c>
    </row>
    <row r="747">
      <c r="A747" s="53">
        <f t="shared" ref="A747:A751" si="337">F747-C747-B747</f>
        <v>0</v>
      </c>
      <c r="B747" s="69">
        <f>B736+B744/5</f>
        <v>58100</v>
      </c>
      <c r="C747" s="133">
        <f>sumif(G743:M743,"Pending",G747:M747)</f>
        <v>48367</v>
      </c>
      <c r="D747" s="133">
        <f t="shared" ref="D747:D751" si="338">D736+M747</f>
        <v>64500</v>
      </c>
      <c r="E747" s="32" t="s">
        <v>76</v>
      </c>
      <c r="F747" s="150">
        <f>sumif(G743:M743,"Pending",G747:M747)+B747</f>
        <v>106467</v>
      </c>
      <c r="G747" s="146">
        <f>sumif('Bills - CC EMIs'!D:D,A742,'Bills - CC EMIs'!E:E)+SUMIF('Bills - CC EMIs'!D:D,A742,'Bills - CC EMIs'!F:F)+sumif('Bills - CC EMIs'!D:D,A742,'Bills - CC EMIs'!G:G)</f>
        <v>0</v>
      </c>
      <c r="H747" s="146">
        <f>SUMIFS('Bills - Loans'!F:F,'Bills - Loans'!D:D,A742)</f>
        <v>40367</v>
      </c>
      <c r="I747" s="147">
        <v>0.0</v>
      </c>
      <c r="J747" s="137">
        <f>sumif('Bills - Responsibilities'!D:D,A742,'Bills - Responsibilities'!E:E)</f>
        <v>5000</v>
      </c>
      <c r="K747" s="147">
        <v>0.0</v>
      </c>
      <c r="L747" s="147">
        <f>sumif('Bills - Returns'!C:C,A742,'Bills - Returns'!D:D)</f>
        <v>0</v>
      </c>
      <c r="M747" s="147">
        <f>sumif('Bills - Investments'!C:C,A742,'Bills - Investments'!D:D)</f>
        <v>3000</v>
      </c>
    </row>
    <row r="748">
      <c r="A748" s="53">
        <f t="shared" si="337"/>
        <v>2153442.88</v>
      </c>
      <c r="B748" s="69">
        <f>B737+B744/5</f>
        <v>58100</v>
      </c>
      <c r="C748" s="133">
        <f>sumif(G743:M743,"Pending",G748:M748)</f>
        <v>53636</v>
      </c>
      <c r="D748" s="133">
        <f t="shared" si="338"/>
        <v>434000</v>
      </c>
      <c r="E748" s="32" t="s">
        <v>77</v>
      </c>
      <c r="F748" s="90">
        <f>E743-F747-sum(F749:F751)</f>
        <v>2265178.88</v>
      </c>
      <c r="G748" s="148">
        <f>sumif('Bills - CC EMIs'!D:D,A742,'Bills - CC EMIs'!H:H)</f>
        <v>0</v>
      </c>
      <c r="H748" s="147">
        <f>SUMIFS('Bills - Loans'!E:E,'Bills - Loans'!D:D,A742)</f>
        <v>15742</v>
      </c>
      <c r="I748" s="137">
        <f>sumif('Bills - STR Residency'!D:D,A742,'Bills - STR Residency'!E:E)</f>
        <v>7855</v>
      </c>
      <c r="J748" s="147">
        <v>0.0</v>
      </c>
      <c r="K748" s="147">
        <f>sumif('Bills - Utilities'!C:C,A742,'Bills - Utilities'!B:B)</f>
        <v>1039</v>
      </c>
      <c r="L748" s="147">
        <f>sumif('Bills - Utilities'!D:D,B742,'Bills - Utilities'!C:C)</f>
        <v>0</v>
      </c>
      <c r="M748" s="147">
        <f>sumif('Bills - Investments'!C:C,A742,'Bills - Investments'!E:E)</f>
        <v>29000</v>
      </c>
    </row>
    <row r="749">
      <c r="A749" s="53">
        <f t="shared" si="337"/>
        <v>0</v>
      </c>
      <c r="B749" s="69">
        <f>B738+B744/5</f>
        <v>58100</v>
      </c>
      <c r="C749" s="133">
        <f>sumif(G743:M743,"Pending",G749:M749)</f>
        <v>0</v>
      </c>
      <c r="D749" s="133">
        <f t="shared" si="338"/>
        <v>0</v>
      </c>
      <c r="E749" s="32" t="s">
        <v>81</v>
      </c>
      <c r="F749" s="90">
        <f t="shared" ref="F749:F751" si="339">sum(G749:M749)+B749</f>
        <v>58100</v>
      </c>
      <c r="G749" s="148">
        <f t="shared" ref="G749:G751" si="340">(G738+G727+G716)/3</f>
        <v>0</v>
      </c>
      <c r="H749" s="147">
        <f t="shared" ref="H749:H751" si="341">(H738+H727)/2</f>
        <v>0</v>
      </c>
      <c r="I749" s="147">
        <f t="shared" ref="I749:I751" si="342">I738</f>
        <v>0</v>
      </c>
      <c r="J749" s="147">
        <v>0.0</v>
      </c>
      <c r="K749" s="147">
        <v>0.0</v>
      </c>
      <c r="L749" s="147">
        <v>0.0</v>
      </c>
      <c r="M749" s="147">
        <v>0.0</v>
      </c>
    </row>
    <row r="750">
      <c r="A750" s="53">
        <f t="shared" si="337"/>
        <v>0</v>
      </c>
      <c r="B750" s="69">
        <f>B739+B744/5</f>
        <v>65100</v>
      </c>
      <c r="C750" s="133">
        <f>sumif(G743:M743,"Pending",G750:M750)</f>
        <v>0</v>
      </c>
      <c r="D750" s="133">
        <f t="shared" si="338"/>
        <v>0</v>
      </c>
      <c r="E750" s="32" t="s">
        <v>79</v>
      </c>
      <c r="F750" s="90">
        <f t="shared" si="339"/>
        <v>65100</v>
      </c>
      <c r="G750" s="148">
        <f t="shared" si="340"/>
        <v>0</v>
      </c>
      <c r="H750" s="147">
        <f t="shared" si="341"/>
        <v>0</v>
      </c>
      <c r="I750" s="147">
        <f t="shared" si="342"/>
        <v>0</v>
      </c>
      <c r="J750" s="147">
        <v>0.0</v>
      </c>
      <c r="K750" s="147">
        <v>0.0</v>
      </c>
      <c r="L750" s="147">
        <v>0.0</v>
      </c>
      <c r="M750" s="147">
        <v>0.0</v>
      </c>
    </row>
    <row r="751">
      <c r="A751" s="53">
        <f t="shared" si="337"/>
        <v>0</v>
      </c>
      <c r="B751" s="69">
        <f>B740+B744/5</f>
        <v>58100</v>
      </c>
      <c r="C751" s="133">
        <f>sumif(G743:M743,"Pending",G751:M751)</f>
        <v>0</v>
      </c>
      <c r="D751" s="133">
        <f t="shared" si="338"/>
        <v>0</v>
      </c>
      <c r="E751" s="33" t="s">
        <v>91</v>
      </c>
      <c r="F751" s="90">
        <f t="shared" si="339"/>
        <v>58100</v>
      </c>
      <c r="G751" s="148">
        <f t="shared" si="340"/>
        <v>0</v>
      </c>
      <c r="H751" s="147">
        <f t="shared" si="341"/>
        <v>0</v>
      </c>
      <c r="I751" s="147">
        <f t="shared" si="342"/>
        <v>0</v>
      </c>
      <c r="J751" s="147">
        <v>0.0</v>
      </c>
      <c r="K751" s="147">
        <v>0.0</v>
      </c>
      <c r="L751" s="147">
        <v>0.0</v>
      </c>
      <c r="M751" s="147">
        <v>0.0</v>
      </c>
    </row>
    <row r="752">
      <c r="A752" s="24"/>
      <c r="B752" s="24"/>
      <c r="C752" s="24"/>
      <c r="D752" s="24"/>
      <c r="E752" s="24"/>
      <c r="F752" s="25"/>
      <c r="G752" s="25"/>
      <c r="H752" s="24"/>
      <c r="I752" s="25"/>
      <c r="J752" s="25"/>
      <c r="K752" s="25"/>
      <c r="L752" s="25"/>
      <c r="M752" s="24"/>
    </row>
    <row r="753">
      <c r="A753" s="71">
        <f>Projections!BK1</f>
        <v>46844</v>
      </c>
      <c r="B753" s="24"/>
      <c r="C753" s="24"/>
      <c r="D753" s="25" t="s">
        <v>108</v>
      </c>
      <c r="E753" s="74">
        <f>A756-A745</f>
        <v>121890.118</v>
      </c>
      <c r="F753" s="25" t="s">
        <v>64</v>
      </c>
      <c r="G753" s="136" t="s">
        <v>109</v>
      </c>
      <c r="H753" s="137" t="s">
        <v>110</v>
      </c>
      <c r="I753" s="137" t="s">
        <v>111</v>
      </c>
      <c r="J753" s="137" t="s">
        <v>112</v>
      </c>
      <c r="K753" s="137" t="s">
        <v>113</v>
      </c>
      <c r="L753" s="137" t="s">
        <v>114</v>
      </c>
      <c r="M753" s="137" t="s">
        <v>65</v>
      </c>
    </row>
    <row r="754">
      <c r="A754" s="25" t="s">
        <v>95</v>
      </c>
      <c r="B754" s="72">
        <f>Projections!BK15</f>
        <v>221316.018</v>
      </c>
      <c r="C754" s="138">
        <f>A753</f>
        <v>46844</v>
      </c>
      <c r="D754" s="98" t="s">
        <v>115</v>
      </c>
      <c r="E754" s="57">
        <f>Projections!BK14</f>
        <v>2672258.998</v>
      </c>
      <c r="F754" s="73" t="s">
        <v>67</v>
      </c>
      <c r="G754" s="139" t="s">
        <v>67</v>
      </c>
      <c r="H754" s="139" t="s">
        <v>67</v>
      </c>
      <c r="I754" s="137" t="s">
        <v>67</v>
      </c>
      <c r="J754" s="137" t="s">
        <v>67</v>
      </c>
      <c r="K754" s="137" t="s">
        <v>67</v>
      </c>
      <c r="L754" s="137" t="s">
        <v>67</v>
      </c>
      <c r="M754" s="137" t="s">
        <v>67</v>
      </c>
    </row>
    <row r="755">
      <c r="A755" s="25" t="s">
        <v>69</v>
      </c>
      <c r="B755" s="119">
        <f>if(B744&gt;B754/10,B744,B744+500)</f>
        <v>17000</v>
      </c>
      <c r="C755" s="138">
        <f>EOMONTH(C754,0)</f>
        <v>46873</v>
      </c>
      <c r="D755" s="25" t="s">
        <v>116</v>
      </c>
      <c r="E755" s="74">
        <f>if(today()&gt;C755,0,B754*12/365/5)</f>
        <v>1455.228612</v>
      </c>
      <c r="F755" s="25" t="s">
        <v>70</v>
      </c>
      <c r="G755" s="140" t="s">
        <v>117</v>
      </c>
      <c r="H755" s="137" t="s">
        <v>117</v>
      </c>
      <c r="I755" s="137" t="s">
        <v>118</v>
      </c>
      <c r="J755" s="137" t="s">
        <v>118</v>
      </c>
      <c r="K755" s="137" t="s">
        <v>118</v>
      </c>
      <c r="L755" s="137" t="s">
        <v>119</v>
      </c>
      <c r="M755" s="137" t="s">
        <v>119</v>
      </c>
    </row>
    <row r="756">
      <c r="A756" s="54">
        <f>F756-C756-B756</f>
        <v>2275332.998</v>
      </c>
      <c r="B756" s="90">
        <f t="shared" ref="B756:D756" si="343">sum(B758:B762)</f>
        <v>314500</v>
      </c>
      <c r="C756" s="141">
        <f t="shared" si="343"/>
        <v>82426</v>
      </c>
      <c r="D756" s="142">
        <f t="shared" si="343"/>
        <v>531500</v>
      </c>
      <c r="E756" s="59"/>
      <c r="F756" s="63">
        <f>sum(F758:F762)</f>
        <v>2672258.998</v>
      </c>
      <c r="G756" s="136" t="s">
        <v>120</v>
      </c>
      <c r="H756" s="137" t="s">
        <v>121</v>
      </c>
      <c r="I756" s="137" t="s">
        <v>111</v>
      </c>
      <c r="J756" s="137" t="s">
        <v>112</v>
      </c>
      <c r="K756" s="137" t="s">
        <v>113</v>
      </c>
      <c r="L756" s="137" t="s">
        <v>114</v>
      </c>
      <c r="M756" s="137" t="s">
        <v>65</v>
      </c>
    </row>
    <row r="757">
      <c r="A757" s="32" t="s">
        <v>72</v>
      </c>
      <c r="B757" s="122" t="s">
        <v>84</v>
      </c>
      <c r="C757" s="143" t="s">
        <v>67</v>
      </c>
      <c r="D757" s="143" t="s">
        <v>122</v>
      </c>
      <c r="E757" s="34">
        <f>today()</f>
        <v>45969</v>
      </c>
      <c r="F757" s="35" t="s">
        <v>64</v>
      </c>
      <c r="G757" s="144" t="s">
        <v>107</v>
      </c>
      <c r="H757" s="144" t="s">
        <v>107</v>
      </c>
      <c r="I757" s="145" t="str">
        <f>I746</f>
        <v>STR Residency</v>
      </c>
      <c r="J757" s="145" t="s">
        <v>112</v>
      </c>
      <c r="K757" s="145" t="s">
        <v>113</v>
      </c>
      <c r="L757" s="145" t="s">
        <v>114</v>
      </c>
      <c r="M757" s="145" t="s">
        <v>65</v>
      </c>
    </row>
    <row r="758">
      <c r="A758" s="53">
        <f t="shared" ref="A758:A762" si="344">F758-C758-B758</f>
        <v>0</v>
      </c>
      <c r="B758" s="69">
        <f>B747+B755/5</f>
        <v>61500</v>
      </c>
      <c r="C758" s="133">
        <f>sumif(G754:M754,"Pending",G758:M758)</f>
        <v>32790</v>
      </c>
      <c r="D758" s="133">
        <f t="shared" ref="D758:D762" si="345">D747+M758</f>
        <v>67500</v>
      </c>
      <c r="E758" s="32" t="s">
        <v>76</v>
      </c>
      <c r="F758" s="150">
        <f>sumif(G754:M754,"Pending",G758:M758)+B758</f>
        <v>94290</v>
      </c>
      <c r="G758" s="146">
        <f>sumif('Bills - CC EMIs'!D:D,A753,'Bills - CC EMIs'!E:E)+SUMIF('Bills - CC EMIs'!D:D,A753,'Bills - CC EMIs'!F:F)+sumif('Bills - CC EMIs'!D:D,A753,'Bills - CC EMIs'!G:G)</f>
        <v>0</v>
      </c>
      <c r="H758" s="146">
        <f>SUMIFS('Bills - Loans'!F:F,'Bills - Loans'!D:D,A753)</f>
        <v>24790</v>
      </c>
      <c r="I758" s="147">
        <v>0.0</v>
      </c>
      <c r="J758" s="137">
        <f>sumif('Bills - Responsibilities'!D:D,A753,'Bills - Responsibilities'!E:E)</f>
        <v>5000</v>
      </c>
      <c r="K758" s="147">
        <v>0.0</v>
      </c>
      <c r="L758" s="147">
        <f>sumif('Bills - Returns'!C:C,A753,'Bills - Returns'!D:D)</f>
        <v>0</v>
      </c>
      <c r="M758" s="147">
        <f>sumif('Bills - Investments'!C:C,A753,'Bills - Investments'!D:D)</f>
        <v>3000</v>
      </c>
    </row>
    <row r="759">
      <c r="A759" s="53">
        <f t="shared" si="344"/>
        <v>2275332.998</v>
      </c>
      <c r="B759" s="69">
        <f>B748+B755/5</f>
        <v>61500</v>
      </c>
      <c r="C759" s="133">
        <f>sumif(G754:M754,"Pending",G759:M759)</f>
        <v>49636</v>
      </c>
      <c r="D759" s="133">
        <f t="shared" si="345"/>
        <v>464000</v>
      </c>
      <c r="E759" s="32" t="s">
        <v>77</v>
      </c>
      <c r="F759" s="90">
        <f>E754-F758-sum(F760:F762)</f>
        <v>2386468.998</v>
      </c>
      <c r="G759" s="148">
        <f>sumif('Bills - CC EMIs'!D:D,A753,'Bills - CC EMIs'!H:H)</f>
        <v>0</v>
      </c>
      <c r="H759" s="147">
        <f>SUMIFS('Bills - Loans'!E:E,'Bills - Loans'!D:D,A753)</f>
        <v>15742</v>
      </c>
      <c r="I759" s="137">
        <f>sumif('Bills - STR Residency'!D:D,A753,'Bills - STR Residency'!E:E)</f>
        <v>2855</v>
      </c>
      <c r="J759" s="147">
        <v>0.0</v>
      </c>
      <c r="K759" s="147">
        <f>sumif('Bills - Utilities'!C:C,A753,'Bills - Utilities'!B:B)</f>
        <v>1039</v>
      </c>
      <c r="L759" s="147">
        <f>sumif('Bills - Utilities'!D:D,B753,'Bills - Utilities'!C:C)</f>
        <v>0</v>
      </c>
      <c r="M759" s="147">
        <f>sumif('Bills - Investments'!C:C,A753,'Bills - Investments'!E:E)</f>
        <v>30000</v>
      </c>
    </row>
    <row r="760">
      <c r="A760" s="53">
        <f t="shared" si="344"/>
        <v>0</v>
      </c>
      <c r="B760" s="69">
        <f>B749+B755/5</f>
        <v>61500</v>
      </c>
      <c r="C760" s="133">
        <f>sumif(G754:M754,"Pending",G760:M760)</f>
        <v>0</v>
      </c>
      <c r="D760" s="133">
        <f t="shared" si="345"/>
        <v>0</v>
      </c>
      <c r="E760" s="32" t="s">
        <v>81</v>
      </c>
      <c r="F760" s="90">
        <f t="shared" ref="F760:F762" si="346">sum(G760:M760)+B760</f>
        <v>61500</v>
      </c>
      <c r="G760" s="148">
        <f t="shared" ref="G760:G762" si="347">(G749+G738+G727)/3</f>
        <v>0</v>
      </c>
      <c r="H760" s="147">
        <f t="shared" ref="H760:H762" si="348">(H749+H738)/2</f>
        <v>0</v>
      </c>
      <c r="I760" s="147">
        <f t="shared" ref="I760:I762" si="349">I749</f>
        <v>0</v>
      </c>
      <c r="J760" s="147">
        <v>0.0</v>
      </c>
      <c r="K760" s="147">
        <v>0.0</v>
      </c>
      <c r="L760" s="147">
        <v>0.0</v>
      </c>
      <c r="M760" s="147">
        <v>0.0</v>
      </c>
    </row>
    <row r="761">
      <c r="A761" s="53">
        <f t="shared" si="344"/>
        <v>0</v>
      </c>
      <c r="B761" s="69">
        <f>B750+B755/5</f>
        <v>68500</v>
      </c>
      <c r="C761" s="133">
        <f>sumif(G754:M754,"Pending",G761:M761)</f>
        <v>0</v>
      </c>
      <c r="D761" s="133">
        <f t="shared" si="345"/>
        <v>0</v>
      </c>
      <c r="E761" s="32" t="s">
        <v>79</v>
      </c>
      <c r="F761" s="90">
        <f t="shared" si="346"/>
        <v>68500</v>
      </c>
      <c r="G761" s="148">
        <f t="shared" si="347"/>
        <v>0</v>
      </c>
      <c r="H761" s="147">
        <f t="shared" si="348"/>
        <v>0</v>
      </c>
      <c r="I761" s="147">
        <f t="shared" si="349"/>
        <v>0</v>
      </c>
      <c r="J761" s="147">
        <v>0.0</v>
      </c>
      <c r="K761" s="147">
        <v>0.0</v>
      </c>
      <c r="L761" s="147">
        <v>0.0</v>
      </c>
      <c r="M761" s="147">
        <v>0.0</v>
      </c>
    </row>
    <row r="762">
      <c r="A762" s="53">
        <f t="shared" si="344"/>
        <v>0</v>
      </c>
      <c r="B762" s="69">
        <f>B751+B755/5</f>
        <v>61500</v>
      </c>
      <c r="C762" s="133">
        <f>sumif(G754:M754,"Pending",G762:M762)</f>
        <v>0</v>
      </c>
      <c r="D762" s="133">
        <f t="shared" si="345"/>
        <v>0</v>
      </c>
      <c r="E762" s="33" t="s">
        <v>91</v>
      </c>
      <c r="F762" s="90">
        <f t="shared" si="346"/>
        <v>61500</v>
      </c>
      <c r="G762" s="148">
        <f t="shared" si="347"/>
        <v>0</v>
      </c>
      <c r="H762" s="147">
        <f t="shared" si="348"/>
        <v>0</v>
      </c>
      <c r="I762" s="147">
        <f t="shared" si="349"/>
        <v>0</v>
      </c>
      <c r="J762" s="147">
        <v>0.0</v>
      </c>
      <c r="K762" s="147">
        <v>0.0</v>
      </c>
      <c r="L762" s="147">
        <v>0.0</v>
      </c>
      <c r="M762" s="147">
        <v>0.0</v>
      </c>
    </row>
    <row r="763">
      <c r="A763" s="24"/>
      <c r="B763" s="24"/>
      <c r="C763" s="24"/>
      <c r="D763" s="24"/>
      <c r="E763" s="24"/>
      <c r="F763" s="25"/>
      <c r="G763" s="25"/>
      <c r="H763" s="24"/>
      <c r="I763" s="25"/>
      <c r="J763" s="25"/>
      <c r="K763" s="25"/>
      <c r="L763" s="25"/>
      <c r="M763" s="24"/>
    </row>
    <row r="764">
      <c r="A764" s="71">
        <f>Projections!BL1</f>
        <v>46874</v>
      </c>
      <c r="B764" s="24"/>
      <c r="C764" s="24"/>
      <c r="D764" s="25" t="s">
        <v>108</v>
      </c>
      <c r="E764" s="74">
        <f>A767-A756</f>
        <v>120390.018</v>
      </c>
      <c r="F764" s="25" t="s">
        <v>64</v>
      </c>
      <c r="G764" s="136" t="s">
        <v>109</v>
      </c>
      <c r="H764" s="137" t="s">
        <v>110</v>
      </c>
      <c r="I764" s="137" t="s">
        <v>111</v>
      </c>
      <c r="J764" s="137" t="s">
        <v>112</v>
      </c>
      <c r="K764" s="137" t="s">
        <v>113</v>
      </c>
      <c r="L764" s="137" t="s">
        <v>114</v>
      </c>
      <c r="M764" s="137" t="s">
        <v>65</v>
      </c>
    </row>
    <row r="765">
      <c r="A765" s="25" t="s">
        <v>95</v>
      </c>
      <c r="B765" s="72">
        <f>Projections!BL15</f>
        <v>221316.018</v>
      </c>
      <c r="C765" s="138">
        <f>A764</f>
        <v>46874</v>
      </c>
      <c r="D765" s="98" t="s">
        <v>115</v>
      </c>
      <c r="E765" s="57">
        <f>Projections!BL14</f>
        <v>2811149.016</v>
      </c>
      <c r="F765" s="73" t="s">
        <v>67</v>
      </c>
      <c r="G765" s="139" t="s">
        <v>67</v>
      </c>
      <c r="H765" s="139" t="s">
        <v>67</v>
      </c>
      <c r="I765" s="137" t="s">
        <v>67</v>
      </c>
      <c r="J765" s="137" t="s">
        <v>67</v>
      </c>
      <c r="K765" s="137" t="s">
        <v>67</v>
      </c>
      <c r="L765" s="137" t="s">
        <v>67</v>
      </c>
      <c r="M765" s="137" t="s">
        <v>67</v>
      </c>
    </row>
    <row r="766">
      <c r="A766" s="25" t="s">
        <v>69</v>
      </c>
      <c r="B766" s="119">
        <f>if(B755&gt;B765/10,B755,B755+500)</f>
        <v>17500</v>
      </c>
      <c r="C766" s="138">
        <f>EOMONTH(C765,0)</f>
        <v>46904</v>
      </c>
      <c r="D766" s="25" t="s">
        <v>116</v>
      </c>
      <c r="E766" s="74">
        <f>if(today()&gt;C766,0,B765*12/365/5)</f>
        <v>1455.228612</v>
      </c>
      <c r="F766" s="25" t="s">
        <v>70</v>
      </c>
      <c r="G766" s="140" t="s">
        <v>117</v>
      </c>
      <c r="H766" s="137" t="s">
        <v>117</v>
      </c>
      <c r="I766" s="137" t="s">
        <v>118</v>
      </c>
      <c r="J766" s="137" t="s">
        <v>118</v>
      </c>
      <c r="K766" s="137" t="s">
        <v>118</v>
      </c>
      <c r="L766" s="137" t="s">
        <v>119</v>
      </c>
      <c r="M766" s="137" t="s">
        <v>119</v>
      </c>
    </row>
    <row r="767">
      <c r="A767" s="54">
        <f>F767-C767-B767</f>
        <v>2395723.016</v>
      </c>
      <c r="B767" s="90">
        <f t="shared" ref="B767:D767" si="350">sum(B769:B773)</f>
        <v>332000</v>
      </c>
      <c r="C767" s="141">
        <f t="shared" si="350"/>
        <v>83426</v>
      </c>
      <c r="D767" s="142">
        <f t="shared" si="350"/>
        <v>565500</v>
      </c>
      <c r="E767" s="59"/>
      <c r="F767" s="63">
        <f>sum(F769:F773)</f>
        <v>2811149.016</v>
      </c>
      <c r="G767" s="136" t="s">
        <v>120</v>
      </c>
      <c r="H767" s="137" t="s">
        <v>121</v>
      </c>
      <c r="I767" s="137" t="s">
        <v>111</v>
      </c>
      <c r="J767" s="137" t="s">
        <v>112</v>
      </c>
      <c r="K767" s="137" t="s">
        <v>113</v>
      </c>
      <c r="L767" s="137" t="s">
        <v>114</v>
      </c>
      <c r="M767" s="137" t="s">
        <v>65</v>
      </c>
    </row>
    <row r="768">
      <c r="A768" s="32" t="s">
        <v>72</v>
      </c>
      <c r="B768" s="122" t="s">
        <v>84</v>
      </c>
      <c r="C768" s="143" t="s">
        <v>67</v>
      </c>
      <c r="D768" s="143" t="s">
        <v>122</v>
      </c>
      <c r="E768" s="34">
        <f>today()</f>
        <v>45969</v>
      </c>
      <c r="F768" s="35" t="s">
        <v>64</v>
      </c>
      <c r="G768" s="144" t="s">
        <v>107</v>
      </c>
      <c r="H768" s="144" t="s">
        <v>107</v>
      </c>
      <c r="I768" s="145" t="str">
        <f>I757</f>
        <v>STR Residency</v>
      </c>
      <c r="J768" s="145" t="s">
        <v>112</v>
      </c>
      <c r="K768" s="145" t="s">
        <v>113</v>
      </c>
      <c r="L768" s="145" t="s">
        <v>114</v>
      </c>
      <c r="M768" s="145" t="s">
        <v>65</v>
      </c>
    </row>
    <row r="769">
      <c r="A769" s="53">
        <f t="shared" ref="A769:A773" si="351">F769-C769-B769</f>
        <v>0</v>
      </c>
      <c r="B769" s="69">
        <f>B758+B766/5</f>
        <v>65000</v>
      </c>
      <c r="C769" s="133">
        <f>sumif(G765:M765,"Pending",G769:M769)</f>
        <v>32790</v>
      </c>
      <c r="D769" s="133">
        <f t="shared" ref="D769:D773" si="352">D758+M769</f>
        <v>70500</v>
      </c>
      <c r="E769" s="32" t="s">
        <v>76</v>
      </c>
      <c r="F769" s="150">
        <f>sumif(G765:M765,"Pending",G769:M769)+B769</f>
        <v>97790</v>
      </c>
      <c r="G769" s="146">
        <f>sumif('Bills - CC EMIs'!D:D,A764,'Bills - CC EMIs'!E:E)+SUMIF('Bills - CC EMIs'!D:D,A764,'Bills - CC EMIs'!F:F)+sumif('Bills - CC EMIs'!D:D,A764,'Bills - CC EMIs'!G:G)</f>
        <v>0</v>
      </c>
      <c r="H769" s="146">
        <f>SUMIFS('Bills - Loans'!F:F,'Bills - Loans'!D:D,A764)</f>
        <v>24790</v>
      </c>
      <c r="I769" s="147">
        <v>0.0</v>
      </c>
      <c r="J769" s="137">
        <f>sumif('Bills - Responsibilities'!D:D,A764,'Bills - Responsibilities'!E:E)</f>
        <v>5000</v>
      </c>
      <c r="K769" s="147">
        <v>0.0</v>
      </c>
      <c r="L769" s="147">
        <f>sumif('Bills - Returns'!C:C,A764,'Bills - Returns'!D:D)</f>
        <v>0</v>
      </c>
      <c r="M769" s="147">
        <f>sumif('Bills - Investments'!C:C,A764,'Bills - Investments'!D:D)</f>
        <v>3000</v>
      </c>
    </row>
    <row r="770">
      <c r="A770" s="53">
        <f t="shared" si="351"/>
        <v>2395723.016</v>
      </c>
      <c r="B770" s="69">
        <f>B759+B766/5</f>
        <v>65000</v>
      </c>
      <c r="C770" s="133">
        <f>sumif(G765:M765,"Pending",G770:M770)</f>
        <v>50636</v>
      </c>
      <c r="D770" s="133">
        <f t="shared" si="352"/>
        <v>495000</v>
      </c>
      <c r="E770" s="32" t="s">
        <v>77</v>
      </c>
      <c r="F770" s="90">
        <f>E765-F769-sum(F771:F773)</f>
        <v>2511359.016</v>
      </c>
      <c r="G770" s="148">
        <f>sumif('Bills - CC EMIs'!D:D,A764,'Bills - CC EMIs'!H:H)</f>
        <v>0</v>
      </c>
      <c r="H770" s="147">
        <f>SUMIFS('Bills - Loans'!E:E,'Bills - Loans'!D:D,A764)</f>
        <v>15742</v>
      </c>
      <c r="I770" s="137">
        <f>sumif('Bills - STR Residency'!D:D,A764,'Bills - STR Residency'!E:E)</f>
        <v>2855</v>
      </c>
      <c r="J770" s="147">
        <v>0.0</v>
      </c>
      <c r="K770" s="147">
        <f>sumif('Bills - Utilities'!C:C,A764,'Bills - Utilities'!B:B)</f>
        <v>1039</v>
      </c>
      <c r="L770" s="147">
        <f>sumif('Bills - Utilities'!D:D,B764,'Bills - Utilities'!C:C)</f>
        <v>0</v>
      </c>
      <c r="M770" s="147">
        <f>sumif('Bills - Investments'!C:C,A764,'Bills - Investments'!E:E)</f>
        <v>31000</v>
      </c>
    </row>
    <row r="771">
      <c r="A771" s="53">
        <f t="shared" si="351"/>
        <v>0</v>
      </c>
      <c r="B771" s="69">
        <f>B760+B766/5</f>
        <v>65000</v>
      </c>
      <c r="C771" s="133">
        <f>sumif(G765:M765,"Pending",G771:M771)</f>
        <v>0</v>
      </c>
      <c r="D771" s="133">
        <f t="shared" si="352"/>
        <v>0</v>
      </c>
      <c r="E771" s="32" t="s">
        <v>81</v>
      </c>
      <c r="F771" s="90">
        <f t="shared" ref="F771:F773" si="353">sum(G771:M771)+B771</f>
        <v>65000</v>
      </c>
      <c r="G771" s="148">
        <f t="shared" ref="G771:G773" si="354">(G760+G749+G738)/3</f>
        <v>0</v>
      </c>
      <c r="H771" s="147">
        <f t="shared" ref="H771:H773" si="355">(H760+H749)/2</f>
        <v>0</v>
      </c>
      <c r="I771" s="147">
        <f t="shared" ref="I771:I773" si="356">I760</f>
        <v>0</v>
      </c>
      <c r="J771" s="147">
        <v>0.0</v>
      </c>
      <c r="K771" s="147">
        <v>0.0</v>
      </c>
      <c r="L771" s="147">
        <v>0.0</v>
      </c>
      <c r="M771" s="147">
        <v>0.0</v>
      </c>
    </row>
    <row r="772">
      <c r="A772" s="53">
        <f t="shared" si="351"/>
        <v>0</v>
      </c>
      <c r="B772" s="69">
        <f>B761+B766/5</f>
        <v>72000</v>
      </c>
      <c r="C772" s="133">
        <f>sumif(G765:M765,"Pending",G772:M772)</f>
        <v>0</v>
      </c>
      <c r="D772" s="133">
        <f t="shared" si="352"/>
        <v>0</v>
      </c>
      <c r="E772" s="32" t="s">
        <v>79</v>
      </c>
      <c r="F772" s="90">
        <f t="shared" si="353"/>
        <v>72000</v>
      </c>
      <c r="G772" s="148">
        <f t="shared" si="354"/>
        <v>0</v>
      </c>
      <c r="H772" s="147">
        <f t="shared" si="355"/>
        <v>0</v>
      </c>
      <c r="I772" s="147">
        <f t="shared" si="356"/>
        <v>0</v>
      </c>
      <c r="J772" s="147">
        <v>0.0</v>
      </c>
      <c r="K772" s="147">
        <v>0.0</v>
      </c>
      <c r="L772" s="147">
        <v>0.0</v>
      </c>
      <c r="M772" s="147">
        <v>0.0</v>
      </c>
    </row>
    <row r="773">
      <c r="A773" s="53">
        <f t="shared" si="351"/>
        <v>0</v>
      </c>
      <c r="B773" s="69">
        <f>B762+B766/5</f>
        <v>65000</v>
      </c>
      <c r="C773" s="133">
        <f>sumif(G765:M765,"Pending",G773:M773)</f>
        <v>0</v>
      </c>
      <c r="D773" s="133">
        <f t="shared" si="352"/>
        <v>0</v>
      </c>
      <c r="E773" s="33" t="s">
        <v>91</v>
      </c>
      <c r="F773" s="90">
        <f t="shared" si="353"/>
        <v>65000</v>
      </c>
      <c r="G773" s="148">
        <f t="shared" si="354"/>
        <v>0</v>
      </c>
      <c r="H773" s="147">
        <f t="shared" si="355"/>
        <v>0</v>
      </c>
      <c r="I773" s="147">
        <f t="shared" si="356"/>
        <v>0</v>
      </c>
      <c r="J773" s="147">
        <v>0.0</v>
      </c>
      <c r="K773" s="147">
        <v>0.0</v>
      </c>
      <c r="L773" s="147">
        <v>0.0</v>
      </c>
      <c r="M773" s="147">
        <v>0.0</v>
      </c>
    </row>
    <row r="774">
      <c r="A774" s="24"/>
      <c r="B774" s="24"/>
      <c r="C774" s="24"/>
      <c r="D774" s="24"/>
      <c r="E774" s="24"/>
      <c r="F774" s="25"/>
      <c r="G774" s="25"/>
      <c r="H774" s="24"/>
      <c r="I774" s="25"/>
      <c r="J774" s="25"/>
      <c r="K774" s="25"/>
      <c r="L774" s="25"/>
      <c r="M774" s="24"/>
    </row>
    <row r="775">
      <c r="A775" s="71">
        <f>Projections!BM1</f>
        <v>46905</v>
      </c>
      <c r="B775" s="24"/>
      <c r="C775" s="24"/>
      <c r="D775" s="25" t="s">
        <v>108</v>
      </c>
      <c r="E775" s="74">
        <f>A778-A767</f>
        <v>118890.018</v>
      </c>
      <c r="F775" s="25" t="s">
        <v>64</v>
      </c>
      <c r="G775" s="136" t="s">
        <v>109</v>
      </c>
      <c r="H775" s="137" t="s">
        <v>110</v>
      </c>
      <c r="I775" s="137" t="s">
        <v>111</v>
      </c>
      <c r="J775" s="137" t="s">
        <v>112</v>
      </c>
      <c r="K775" s="137" t="s">
        <v>113</v>
      </c>
      <c r="L775" s="137" t="s">
        <v>114</v>
      </c>
      <c r="M775" s="137" t="s">
        <v>65</v>
      </c>
    </row>
    <row r="776">
      <c r="A776" s="25" t="s">
        <v>95</v>
      </c>
      <c r="B776" s="72">
        <f>Projections!BM15</f>
        <v>221316.018</v>
      </c>
      <c r="C776" s="138">
        <f>A775</f>
        <v>46905</v>
      </c>
      <c r="D776" s="98" t="s">
        <v>115</v>
      </c>
      <c r="E776" s="57">
        <f>Projections!BM14</f>
        <v>2949039.034</v>
      </c>
      <c r="F776" s="73" t="s">
        <v>67</v>
      </c>
      <c r="G776" s="139" t="s">
        <v>67</v>
      </c>
      <c r="H776" s="139" t="s">
        <v>67</v>
      </c>
      <c r="I776" s="137" t="s">
        <v>67</v>
      </c>
      <c r="J776" s="137" t="s">
        <v>67</v>
      </c>
      <c r="K776" s="137" t="s">
        <v>67</v>
      </c>
      <c r="L776" s="137" t="s">
        <v>67</v>
      </c>
      <c r="M776" s="137" t="s">
        <v>67</v>
      </c>
    </row>
    <row r="777">
      <c r="A777" s="25" t="s">
        <v>69</v>
      </c>
      <c r="B777" s="119">
        <f>if(B766&gt;B776/10,B766,B766+500)</f>
        <v>18000</v>
      </c>
      <c r="C777" s="138">
        <f>EOMONTH(C776,0)</f>
        <v>46934</v>
      </c>
      <c r="D777" s="25" t="s">
        <v>116</v>
      </c>
      <c r="E777" s="74">
        <f>if(today()&gt;C777,0,B776*12/365/5)</f>
        <v>1455.228612</v>
      </c>
      <c r="F777" s="25" t="s">
        <v>70</v>
      </c>
      <c r="G777" s="140" t="s">
        <v>117</v>
      </c>
      <c r="H777" s="137" t="s">
        <v>117</v>
      </c>
      <c r="I777" s="137" t="s">
        <v>118</v>
      </c>
      <c r="J777" s="137" t="s">
        <v>118</v>
      </c>
      <c r="K777" s="137" t="s">
        <v>118</v>
      </c>
      <c r="L777" s="137" t="s">
        <v>119</v>
      </c>
      <c r="M777" s="137" t="s">
        <v>119</v>
      </c>
    </row>
    <row r="778">
      <c r="A778" s="54">
        <f>F778-C778-B778</f>
        <v>2514613.034</v>
      </c>
      <c r="B778" s="90">
        <f t="shared" ref="B778:D778" si="357">sum(B780:B784)</f>
        <v>350000</v>
      </c>
      <c r="C778" s="141">
        <f t="shared" si="357"/>
        <v>84426</v>
      </c>
      <c r="D778" s="142">
        <f t="shared" si="357"/>
        <v>600500</v>
      </c>
      <c r="E778" s="59"/>
      <c r="F778" s="63">
        <f>sum(F780:F784)</f>
        <v>2949039.034</v>
      </c>
      <c r="G778" s="136" t="s">
        <v>120</v>
      </c>
      <c r="H778" s="137" t="s">
        <v>121</v>
      </c>
      <c r="I778" s="137" t="s">
        <v>111</v>
      </c>
      <c r="J778" s="137" t="s">
        <v>112</v>
      </c>
      <c r="K778" s="137" t="s">
        <v>113</v>
      </c>
      <c r="L778" s="137" t="s">
        <v>114</v>
      </c>
      <c r="M778" s="137" t="s">
        <v>65</v>
      </c>
    </row>
    <row r="779">
      <c r="A779" s="32" t="s">
        <v>72</v>
      </c>
      <c r="B779" s="122" t="s">
        <v>84</v>
      </c>
      <c r="C779" s="143" t="s">
        <v>67</v>
      </c>
      <c r="D779" s="143" t="s">
        <v>122</v>
      </c>
      <c r="E779" s="34">
        <f>today()</f>
        <v>45969</v>
      </c>
      <c r="F779" s="35" t="s">
        <v>64</v>
      </c>
      <c r="G779" s="144" t="s">
        <v>107</v>
      </c>
      <c r="H779" s="144" t="s">
        <v>107</v>
      </c>
      <c r="I779" s="145" t="str">
        <f>I768</f>
        <v>STR Residency</v>
      </c>
      <c r="J779" s="145" t="s">
        <v>112</v>
      </c>
      <c r="K779" s="145" t="s">
        <v>113</v>
      </c>
      <c r="L779" s="145" t="s">
        <v>114</v>
      </c>
      <c r="M779" s="145" t="s">
        <v>65</v>
      </c>
    </row>
    <row r="780">
      <c r="A780" s="53">
        <f t="shared" ref="A780:A784" si="358">F780-C780-B780</f>
        <v>0</v>
      </c>
      <c r="B780" s="69">
        <f>B769+B777/5</f>
        <v>68600</v>
      </c>
      <c r="C780" s="133">
        <f>sumif(G776:M776,"Pending",G780:M780)</f>
        <v>32790</v>
      </c>
      <c r="D780" s="133">
        <f t="shared" ref="D780:D784" si="359">D769+M780</f>
        <v>73500</v>
      </c>
      <c r="E780" s="32" t="s">
        <v>76</v>
      </c>
      <c r="F780" s="150">
        <f>sumif(G776:M776,"Pending",G780:M780)+B780</f>
        <v>101390</v>
      </c>
      <c r="G780" s="146">
        <f>sumif('Bills - CC EMIs'!D:D,A775,'Bills - CC EMIs'!E:E)+SUMIF('Bills - CC EMIs'!D:D,A775,'Bills - CC EMIs'!F:F)+sumif('Bills - CC EMIs'!D:D,A775,'Bills - CC EMIs'!G:G)</f>
        <v>0</v>
      </c>
      <c r="H780" s="146">
        <f>SUMIFS('Bills - Loans'!F:F,'Bills - Loans'!D:D,A775)</f>
        <v>24790</v>
      </c>
      <c r="I780" s="147">
        <v>0.0</v>
      </c>
      <c r="J780" s="137">
        <f>sumif('Bills - Responsibilities'!D:D,A775,'Bills - Responsibilities'!E:E)</f>
        <v>5000</v>
      </c>
      <c r="K780" s="147">
        <v>0.0</v>
      </c>
      <c r="L780" s="147">
        <f>sumif('Bills - Returns'!C:C,A775,'Bills - Returns'!D:D)</f>
        <v>0</v>
      </c>
      <c r="M780" s="147">
        <f>sumif('Bills - Investments'!C:C,A775,'Bills - Investments'!D:D)</f>
        <v>3000</v>
      </c>
    </row>
    <row r="781">
      <c r="A781" s="53">
        <f t="shared" si="358"/>
        <v>2514613.034</v>
      </c>
      <c r="B781" s="69">
        <f>B770+B777/5</f>
        <v>68600</v>
      </c>
      <c r="C781" s="133">
        <f>sumif(G776:M776,"Pending",G781:M781)</f>
        <v>51636</v>
      </c>
      <c r="D781" s="133">
        <f t="shared" si="359"/>
        <v>527000</v>
      </c>
      <c r="E781" s="32" t="s">
        <v>77</v>
      </c>
      <c r="F781" s="90">
        <f>E776-F780-sum(F782:F784)</f>
        <v>2634849.034</v>
      </c>
      <c r="G781" s="148">
        <f>sumif('Bills - CC EMIs'!D:D,A775,'Bills - CC EMIs'!H:H)</f>
        <v>0</v>
      </c>
      <c r="H781" s="147">
        <f>SUMIFS('Bills - Loans'!E:E,'Bills - Loans'!D:D,A775)</f>
        <v>15742</v>
      </c>
      <c r="I781" s="137">
        <f>sumif('Bills - STR Residency'!D:D,A775,'Bills - STR Residency'!E:E)</f>
        <v>2855</v>
      </c>
      <c r="J781" s="147">
        <v>0.0</v>
      </c>
      <c r="K781" s="147">
        <f>sumif('Bills - Utilities'!C:C,A775,'Bills - Utilities'!B:B)</f>
        <v>1039</v>
      </c>
      <c r="L781" s="147">
        <f>sumif('Bills - Utilities'!D:D,B775,'Bills - Utilities'!C:C)</f>
        <v>0</v>
      </c>
      <c r="M781" s="147">
        <f>sumif('Bills - Investments'!C:C,A775,'Bills - Investments'!E:E)</f>
        <v>32000</v>
      </c>
    </row>
    <row r="782">
      <c r="A782" s="53">
        <f t="shared" si="358"/>
        <v>0</v>
      </c>
      <c r="B782" s="69">
        <f>B771+B777/5</f>
        <v>68600</v>
      </c>
      <c r="C782" s="133">
        <f>sumif(G776:M776,"Pending",G782:M782)</f>
        <v>0</v>
      </c>
      <c r="D782" s="133">
        <f t="shared" si="359"/>
        <v>0</v>
      </c>
      <c r="E782" s="32" t="s">
        <v>81</v>
      </c>
      <c r="F782" s="90">
        <f t="shared" ref="F782:F784" si="360">sum(G782:M782)+B782</f>
        <v>68600</v>
      </c>
      <c r="G782" s="148">
        <f t="shared" ref="G782:G784" si="361">(G771+G760+G749)/3</f>
        <v>0</v>
      </c>
      <c r="H782" s="147">
        <f t="shared" ref="H782:H784" si="362">(H771+H760)/2</f>
        <v>0</v>
      </c>
      <c r="I782" s="147">
        <f t="shared" ref="I782:I784" si="363">I771</f>
        <v>0</v>
      </c>
      <c r="J782" s="147">
        <v>0.0</v>
      </c>
      <c r="K782" s="147">
        <v>0.0</v>
      </c>
      <c r="L782" s="147">
        <v>0.0</v>
      </c>
      <c r="M782" s="147">
        <v>0.0</v>
      </c>
    </row>
    <row r="783">
      <c r="A783" s="53">
        <f t="shared" si="358"/>
        <v>0</v>
      </c>
      <c r="B783" s="69">
        <f>B772+B777/5</f>
        <v>75600</v>
      </c>
      <c r="C783" s="133">
        <f>sumif(G776:M776,"Pending",G783:M783)</f>
        <v>0</v>
      </c>
      <c r="D783" s="133">
        <f t="shared" si="359"/>
        <v>0</v>
      </c>
      <c r="E783" s="32" t="s">
        <v>79</v>
      </c>
      <c r="F783" s="90">
        <f t="shared" si="360"/>
        <v>75600</v>
      </c>
      <c r="G783" s="148">
        <f t="shared" si="361"/>
        <v>0</v>
      </c>
      <c r="H783" s="147">
        <f t="shared" si="362"/>
        <v>0</v>
      </c>
      <c r="I783" s="147">
        <f t="shared" si="363"/>
        <v>0</v>
      </c>
      <c r="J783" s="147">
        <v>0.0</v>
      </c>
      <c r="K783" s="147">
        <v>0.0</v>
      </c>
      <c r="L783" s="147">
        <v>0.0</v>
      </c>
      <c r="M783" s="147">
        <v>0.0</v>
      </c>
    </row>
    <row r="784">
      <c r="A784" s="53">
        <f t="shared" si="358"/>
        <v>0</v>
      </c>
      <c r="B784" s="69">
        <f>B773+B777/5</f>
        <v>68600</v>
      </c>
      <c r="C784" s="133">
        <f>sumif(G776:M776,"Pending",G784:M784)</f>
        <v>0</v>
      </c>
      <c r="D784" s="133">
        <f t="shared" si="359"/>
        <v>0</v>
      </c>
      <c r="E784" s="33" t="s">
        <v>91</v>
      </c>
      <c r="F784" s="90">
        <f t="shared" si="360"/>
        <v>68600</v>
      </c>
      <c r="G784" s="148">
        <f t="shared" si="361"/>
        <v>0</v>
      </c>
      <c r="H784" s="147">
        <f t="shared" si="362"/>
        <v>0</v>
      </c>
      <c r="I784" s="147">
        <f t="shared" si="363"/>
        <v>0</v>
      </c>
      <c r="J784" s="147">
        <v>0.0</v>
      </c>
      <c r="K784" s="147">
        <v>0.0</v>
      </c>
      <c r="L784" s="147">
        <v>0.0</v>
      </c>
      <c r="M784" s="147">
        <v>0.0</v>
      </c>
    </row>
    <row r="785">
      <c r="A785" s="24"/>
      <c r="B785" s="24"/>
      <c r="C785" s="24"/>
      <c r="D785" s="24"/>
      <c r="E785" s="24"/>
      <c r="F785" s="25"/>
      <c r="G785" s="25"/>
      <c r="H785" s="24"/>
      <c r="I785" s="25"/>
      <c r="J785" s="25"/>
      <c r="K785" s="25"/>
      <c r="L785" s="25"/>
      <c r="M785" s="24"/>
    </row>
    <row r="786">
      <c r="A786" s="71">
        <f>Projections!BN1</f>
        <v>46935</v>
      </c>
      <c r="B786" s="24"/>
      <c r="C786" s="24"/>
      <c r="D786" s="25" t="s">
        <v>108</v>
      </c>
      <c r="E786" s="74">
        <f>A789-A778</f>
        <v>116090.018</v>
      </c>
      <c r="F786" s="25" t="s">
        <v>64</v>
      </c>
      <c r="G786" s="136" t="s">
        <v>109</v>
      </c>
      <c r="H786" s="137" t="s">
        <v>110</v>
      </c>
      <c r="I786" s="137" t="s">
        <v>111</v>
      </c>
      <c r="J786" s="137" t="s">
        <v>112</v>
      </c>
      <c r="K786" s="137" t="s">
        <v>113</v>
      </c>
      <c r="L786" s="137" t="s">
        <v>114</v>
      </c>
      <c r="M786" s="137" t="s">
        <v>65</v>
      </c>
    </row>
    <row r="787">
      <c r="A787" s="25" t="s">
        <v>95</v>
      </c>
      <c r="B787" s="72">
        <f>Projections!BN15</f>
        <v>221316.018</v>
      </c>
      <c r="C787" s="138">
        <f>A786</f>
        <v>46935</v>
      </c>
      <c r="D787" s="98" t="s">
        <v>115</v>
      </c>
      <c r="E787" s="57">
        <f>Projections!BN14</f>
        <v>3085929.052</v>
      </c>
      <c r="F787" s="73" t="s">
        <v>67</v>
      </c>
      <c r="G787" s="139" t="s">
        <v>67</v>
      </c>
      <c r="H787" s="139" t="s">
        <v>67</v>
      </c>
      <c r="I787" s="137" t="s">
        <v>67</v>
      </c>
      <c r="J787" s="137" t="s">
        <v>67</v>
      </c>
      <c r="K787" s="137" t="s">
        <v>67</v>
      </c>
      <c r="L787" s="137" t="s">
        <v>67</v>
      </c>
      <c r="M787" s="137" t="s">
        <v>67</v>
      </c>
    </row>
    <row r="788">
      <c r="A788" s="25" t="s">
        <v>69</v>
      </c>
      <c r="B788" s="119">
        <f>if(B777&gt;B787/10,B777,B777+500)</f>
        <v>18500</v>
      </c>
      <c r="C788" s="138">
        <f>EOMONTH(C787,0)</f>
        <v>46965</v>
      </c>
      <c r="D788" s="25" t="s">
        <v>116</v>
      </c>
      <c r="E788" s="74">
        <f>if(today()&gt;C788,0,B787*12/365/5)</f>
        <v>1455.228612</v>
      </c>
      <c r="F788" s="25" t="s">
        <v>70</v>
      </c>
      <c r="G788" s="140" t="s">
        <v>117</v>
      </c>
      <c r="H788" s="137" t="s">
        <v>117</v>
      </c>
      <c r="I788" s="137" t="s">
        <v>118</v>
      </c>
      <c r="J788" s="137" t="s">
        <v>118</v>
      </c>
      <c r="K788" s="137" t="s">
        <v>118</v>
      </c>
      <c r="L788" s="137" t="s">
        <v>119</v>
      </c>
      <c r="M788" s="137" t="s">
        <v>119</v>
      </c>
    </row>
    <row r="789">
      <c r="A789" s="54">
        <f>F789-C789-B789</f>
        <v>2630703.052</v>
      </c>
      <c r="B789" s="90">
        <f t="shared" ref="B789:D789" si="364">sum(B791:B795)</f>
        <v>368500</v>
      </c>
      <c r="C789" s="141">
        <f t="shared" si="364"/>
        <v>86726</v>
      </c>
      <c r="D789" s="142">
        <f t="shared" si="364"/>
        <v>636500</v>
      </c>
      <c r="E789" s="59"/>
      <c r="F789" s="63">
        <f>sum(F791:F795)</f>
        <v>3085929.052</v>
      </c>
      <c r="G789" s="136" t="s">
        <v>120</v>
      </c>
      <c r="H789" s="137" t="s">
        <v>121</v>
      </c>
      <c r="I789" s="137" t="s">
        <v>111</v>
      </c>
      <c r="J789" s="137" t="s">
        <v>112</v>
      </c>
      <c r="K789" s="137" t="s">
        <v>113</v>
      </c>
      <c r="L789" s="137" t="s">
        <v>114</v>
      </c>
      <c r="M789" s="137" t="s">
        <v>65</v>
      </c>
    </row>
    <row r="790">
      <c r="A790" s="32" t="s">
        <v>72</v>
      </c>
      <c r="B790" s="122" t="s">
        <v>84</v>
      </c>
      <c r="C790" s="143" t="s">
        <v>67</v>
      </c>
      <c r="D790" s="143" t="s">
        <v>122</v>
      </c>
      <c r="E790" s="34">
        <f>today()</f>
        <v>45969</v>
      </c>
      <c r="F790" s="35" t="s">
        <v>64</v>
      </c>
      <c r="G790" s="144" t="s">
        <v>107</v>
      </c>
      <c r="H790" s="144" t="s">
        <v>107</v>
      </c>
      <c r="I790" s="145" t="str">
        <f>I779</f>
        <v>STR Residency</v>
      </c>
      <c r="J790" s="145" t="s">
        <v>112</v>
      </c>
      <c r="K790" s="145" t="s">
        <v>113</v>
      </c>
      <c r="L790" s="145" t="s">
        <v>114</v>
      </c>
      <c r="M790" s="145" t="s">
        <v>65</v>
      </c>
    </row>
    <row r="791">
      <c r="A791" s="53">
        <f t="shared" ref="A791:A795" si="365">F791-C791-B791</f>
        <v>0</v>
      </c>
      <c r="B791" s="69">
        <f>B780+B788/5</f>
        <v>72300</v>
      </c>
      <c r="C791" s="133">
        <f>sumif(G787:M787,"Pending",G791:M791)</f>
        <v>32790</v>
      </c>
      <c r="D791" s="133">
        <f t="shared" ref="D791:D795" si="366">D780+M791</f>
        <v>76500</v>
      </c>
      <c r="E791" s="32" t="s">
        <v>76</v>
      </c>
      <c r="F791" s="150">
        <f>sumif(G787:M787,"Pending",G791:M791)+B791</f>
        <v>105090</v>
      </c>
      <c r="G791" s="146">
        <f>sumif('Bills - CC EMIs'!D:D,A786,'Bills - CC EMIs'!E:E)+SUMIF('Bills - CC EMIs'!D:D,A786,'Bills - CC EMIs'!F:F)+sumif('Bills - CC EMIs'!D:D,A786,'Bills - CC EMIs'!G:G)</f>
        <v>0</v>
      </c>
      <c r="H791" s="146">
        <f>SUMIFS('Bills - Loans'!F:F,'Bills - Loans'!D:D,A786)</f>
        <v>24790</v>
      </c>
      <c r="I791" s="147">
        <v>0.0</v>
      </c>
      <c r="J791" s="137">
        <f>sumif('Bills - Responsibilities'!D:D,A786,'Bills - Responsibilities'!E:E)</f>
        <v>5000</v>
      </c>
      <c r="K791" s="147">
        <v>0.0</v>
      </c>
      <c r="L791" s="147">
        <f>sumif('Bills - Returns'!C:C,A786,'Bills - Returns'!D:D)</f>
        <v>0</v>
      </c>
      <c r="M791" s="147">
        <f>sumif('Bills - Investments'!C:C,A786,'Bills - Investments'!D:D)</f>
        <v>3000</v>
      </c>
    </row>
    <row r="792">
      <c r="A792" s="53">
        <f t="shared" si="365"/>
        <v>2630703.052</v>
      </c>
      <c r="B792" s="69">
        <f>B781+B788/5</f>
        <v>72300</v>
      </c>
      <c r="C792" s="133">
        <f>sumif(G787:M787,"Pending",G792:M792)</f>
        <v>53936</v>
      </c>
      <c r="D792" s="133">
        <f t="shared" si="366"/>
        <v>560000</v>
      </c>
      <c r="E792" s="32" t="s">
        <v>77</v>
      </c>
      <c r="F792" s="90">
        <f>E787-F791-sum(F793:F795)</f>
        <v>2756939.052</v>
      </c>
      <c r="G792" s="148">
        <f>sumif('Bills - CC EMIs'!D:D,A786,'Bills - CC EMIs'!H:H)</f>
        <v>0</v>
      </c>
      <c r="H792" s="147">
        <f>SUMIFS('Bills - Loans'!E:E,'Bills - Loans'!D:D,A786)</f>
        <v>15742</v>
      </c>
      <c r="I792" s="137">
        <f>sumif('Bills - STR Residency'!D:D,A786,'Bills - STR Residency'!E:E)</f>
        <v>2855</v>
      </c>
      <c r="J792" s="147">
        <v>0.0</v>
      </c>
      <c r="K792" s="147">
        <f>sumif('Bills - Utilities'!C:C,A786,'Bills - Utilities'!B:B)</f>
        <v>2339</v>
      </c>
      <c r="L792" s="147">
        <f>sumif('Bills - Utilities'!D:D,B786,'Bills - Utilities'!C:C)</f>
        <v>0</v>
      </c>
      <c r="M792" s="147">
        <f>sumif('Bills - Investments'!C:C,A786,'Bills - Investments'!E:E)</f>
        <v>33000</v>
      </c>
    </row>
    <row r="793">
      <c r="A793" s="53">
        <f t="shared" si="365"/>
        <v>0</v>
      </c>
      <c r="B793" s="69">
        <f>B782+B788/5</f>
        <v>72300</v>
      </c>
      <c r="C793" s="133">
        <f>sumif(G787:M787,"Pending",G793:M793)</f>
        <v>0</v>
      </c>
      <c r="D793" s="133">
        <f t="shared" si="366"/>
        <v>0</v>
      </c>
      <c r="E793" s="32" t="s">
        <v>81</v>
      </c>
      <c r="F793" s="90">
        <f t="shared" ref="F793:F795" si="367">sum(G793:M793)+B793</f>
        <v>72300</v>
      </c>
      <c r="G793" s="148">
        <f t="shared" ref="G793:G795" si="368">(G782+G771+G760)/3</f>
        <v>0</v>
      </c>
      <c r="H793" s="147">
        <f t="shared" ref="H793:H795" si="369">(H782+H771)/2</f>
        <v>0</v>
      </c>
      <c r="I793" s="147">
        <f t="shared" ref="I793:I795" si="370">I782</f>
        <v>0</v>
      </c>
      <c r="J793" s="147">
        <v>0.0</v>
      </c>
      <c r="K793" s="147">
        <v>0.0</v>
      </c>
      <c r="L793" s="147">
        <v>0.0</v>
      </c>
      <c r="M793" s="147">
        <v>0.0</v>
      </c>
    </row>
    <row r="794">
      <c r="A794" s="53">
        <f t="shared" si="365"/>
        <v>0</v>
      </c>
      <c r="B794" s="69">
        <f>B783+B788/5</f>
        <v>79300</v>
      </c>
      <c r="C794" s="133">
        <f>sumif(G787:M787,"Pending",G794:M794)</f>
        <v>0</v>
      </c>
      <c r="D794" s="133">
        <f t="shared" si="366"/>
        <v>0</v>
      </c>
      <c r="E794" s="32" t="s">
        <v>79</v>
      </c>
      <c r="F794" s="90">
        <f t="shared" si="367"/>
        <v>79300</v>
      </c>
      <c r="G794" s="148">
        <f t="shared" si="368"/>
        <v>0</v>
      </c>
      <c r="H794" s="147">
        <f t="shared" si="369"/>
        <v>0</v>
      </c>
      <c r="I794" s="147">
        <f t="shared" si="370"/>
        <v>0</v>
      </c>
      <c r="J794" s="147">
        <v>0.0</v>
      </c>
      <c r="K794" s="147">
        <v>0.0</v>
      </c>
      <c r="L794" s="147">
        <v>0.0</v>
      </c>
      <c r="M794" s="147">
        <v>0.0</v>
      </c>
    </row>
    <row r="795">
      <c r="A795" s="53">
        <f t="shared" si="365"/>
        <v>0</v>
      </c>
      <c r="B795" s="69">
        <f>B784+B788/5</f>
        <v>72300</v>
      </c>
      <c r="C795" s="133">
        <f>sumif(G787:M787,"Pending",G795:M795)</f>
        <v>0</v>
      </c>
      <c r="D795" s="133">
        <f t="shared" si="366"/>
        <v>0</v>
      </c>
      <c r="E795" s="33" t="s">
        <v>91</v>
      </c>
      <c r="F795" s="90">
        <f t="shared" si="367"/>
        <v>72300</v>
      </c>
      <c r="G795" s="148">
        <f t="shared" si="368"/>
        <v>0</v>
      </c>
      <c r="H795" s="147">
        <f t="shared" si="369"/>
        <v>0</v>
      </c>
      <c r="I795" s="147">
        <f t="shared" si="370"/>
        <v>0</v>
      </c>
      <c r="J795" s="147">
        <v>0.0</v>
      </c>
      <c r="K795" s="147">
        <v>0.0</v>
      </c>
      <c r="L795" s="147">
        <v>0.0</v>
      </c>
      <c r="M795" s="147">
        <v>0.0</v>
      </c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</row>
    <row r="797">
      <c r="A797" s="71">
        <f>Projections!BO1</f>
        <v>46966</v>
      </c>
      <c r="B797" s="24"/>
      <c r="C797" s="24"/>
      <c r="D797" s="25" t="s">
        <v>108</v>
      </c>
      <c r="E797" s="74">
        <f>A800-A789</f>
        <v>115890.018</v>
      </c>
      <c r="F797" s="25" t="s">
        <v>64</v>
      </c>
      <c r="G797" s="136" t="s">
        <v>109</v>
      </c>
      <c r="H797" s="137" t="s">
        <v>110</v>
      </c>
      <c r="I797" s="137" t="s">
        <v>111</v>
      </c>
      <c r="J797" s="137" t="s">
        <v>112</v>
      </c>
      <c r="K797" s="137" t="s">
        <v>113</v>
      </c>
      <c r="L797" s="137" t="s">
        <v>114</v>
      </c>
      <c r="M797" s="137" t="s">
        <v>65</v>
      </c>
    </row>
    <row r="798">
      <c r="A798" s="25" t="s">
        <v>95</v>
      </c>
      <c r="B798" s="72">
        <f>Projections!BO15</f>
        <v>221316.018</v>
      </c>
      <c r="C798" s="138">
        <f>A797</f>
        <v>46966</v>
      </c>
      <c r="D798" s="98" t="s">
        <v>115</v>
      </c>
      <c r="E798" s="57">
        <f>Projections!BO14</f>
        <v>3220519.07</v>
      </c>
      <c r="F798" s="73" t="s">
        <v>67</v>
      </c>
      <c r="G798" s="139" t="s">
        <v>67</v>
      </c>
      <c r="H798" s="139" t="s">
        <v>67</v>
      </c>
      <c r="I798" s="137" t="s">
        <v>67</v>
      </c>
      <c r="J798" s="137" t="s">
        <v>67</v>
      </c>
      <c r="K798" s="137" t="s">
        <v>67</v>
      </c>
      <c r="L798" s="137" t="s">
        <v>67</v>
      </c>
      <c r="M798" s="137" t="s">
        <v>67</v>
      </c>
    </row>
    <row r="799">
      <c r="A799" s="25" t="s">
        <v>69</v>
      </c>
      <c r="B799" s="119">
        <f>if(B788&gt;B798/10,B788,B788+500)</f>
        <v>19000</v>
      </c>
      <c r="C799" s="138">
        <f>EOMONTH(C798,0)</f>
        <v>46996</v>
      </c>
      <c r="D799" s="25" t="s">
        <v>116</v>
      </c>
      <c r="E799" s="74">
        <f>if(today()&gt;C799,0,B798*12/365/5)</f>
        <v>1455.228612</v>
      </c>
      <c r="F799" s="25" t="s">
        <v>70</v>
      </c>
      <c r="G799" s="140" t="s">
        <v>117</v>
      </c>
      <c r="H799" s="137" t="s">
        <v>117</v>
      </c>
      <c r="I799" s="137" t="s">
        <v>118</v>
      </c>
      <c r="J799" s="137" t="s">
        <v>118</v>
      </c>
      <c r="K799" s="137" t="s">
        <v>118</v>
      </c>
      <c r="L799" s="137" t="s">
        <v>119</v>
      </c>
      <c r="M799" s="137" t="s">
        <v>119</v>
      </c>
    </row>
    <row r="800">
      <c r="A800" s="54">
        <f>F800-C800-B800</f>
        <v>2746593.07</v>
      </c>
      <c r="B800" s="90">
        <f t="shared" ref="B800:D800" si="371">sum(B802:B806)</f>
        <v>387500</v>
      </c>
      <c r="C800" s="141">
        <f t="shared" si="371"/>
        <v>86426</v>
      </c>
      <c r="D800" s="142">
        <f t="shared" si="371"/>
        <v>673500</v>
      </c>
      <c r="E800" s="59"/>
      <c r="F800" s="63">
        <f>sum(F802:F806)</f>
        <v>3220519.07</v>
      </c>
      <c r="G800" s="136" t="s">
        <v>120</v>
      </c>
      <c r="H800" s="137" t="s">
        <v>121</v>
      </c>
      <c r="I800" s="137" t="s">
        <v>111</v>
      </c>
      <c r="J800" s="137" t="s">
        <v>112</v>
      </c>
      <c r="K800" s="137" t="s">
        <v>113</v>
      </c>
      <c r="L800" s="137" t="s">
        <v>114</v>
      </c>
      <c r="M800" s="137" t="s">
        <v>65</v>
      </c>
    </row>
    <row r="801">
      <c r="A801" s="32" t="s">
        <v>72</v>
      </c>
      <c r="B801" s="122" t="s">
        <v>84</v>
      </c>
      <c r="C801" s="143" t="s">
        <v>67</v>
      </c>
      <c r="D801" s="143" t="s">
        <v>122</v>
      </c>
      <c r="E801" s="34">
        <f>today()</f>
        <v>45969</v>
      </c>
      <c r="F801" s="35" t="s">
        <v>64</v>
      </c>
      <c r="G801" s="144" t="s">
        <v>107</v>
      </c>
      <c r="H801" s="144" t="s">
        <v>107</v>
      </c>
      <c r="I801" s="145" t="str">
        <f>I790</f>
        <v>STR Residency</v>
      </c>
      <c r="J801" s="145" t="s">
        <v>112</v>
      </c>
      <c r="K801" s="145" t="s">
        <v>113</v>
      </c>
      <c r="L801" s="145" t="s">
        <v>114</v>
      </c>
      <c r="M801" s="145" t="s">
        <v>65</v>
      </c>
    </row>
    <row r="802">
      <c r="A802" s="53">
        <f t="shared" ref="A802:A806" si="372">F802-C802-B802</f>
        <v>0</v>
      </c>
      <c r="B802" s="69">
        <f>B791+B799/5</f>
        <v>76100</v>
      </c>
      <c r="C802" s="133">
        <f>sumif(G798:M798,"Pending",G802:M802)</f>
        <v>32790</v>
      </c>
      <c r="D802" s="133">
        <f t="shared" ref="D802:D806" si="373">D791+M802</f>
        <v>79500</v>
      </c>
      <c r="E802" s="32" t="s">
        <v>76</v>
      </c>
      <c r="F802" s="150">
        <f>sumif(G798:M798,"Pending",G802:M802)+B802</f>
        <v>108890</v>
      </c>
      <c r="G802" s="146">
        <f>sumif('Bills - CC EMIs'!D:D,A797,'Bills - CC EMIs'!E:E)+SUMIF('Bills - CC EMIs'!D:D,A797,'Bills - CC EMIs'!F:F)+sumif('Bills - CC EMIs'!D:D,A797,'Bills - CC EMIs'!G:G)</f>
        <v>0</v>
      </c>
      <c r="H802" s="146">
        <f>SUMIFS('Bills - Loans'!F:F,'Bills - Loans'!D:D,A797)</f>
        <v>24790</v>
      </c>
      <c r="I802" s="147">
        <v>0.0</v>
      </c>
      <c r="J802" s="137">
        <f>sumif('Bills - Responsibilities'!D:D,A797,'Bills - Responsibilities'!E:E)</f>
        <v>5000</v>
      </c>
      <c r="K802" s="147">
        <v>0.0</v>
      </c>
      <c r="L802" s="147">
        <f>sumif('Bills - Returns'!C:C,A797,'Bills - Returns'!D:D)</f>
        <v>0</v>
      </c>
      <c r="M802" s="147">
        <f>sumif('Bills - Investments'!C:C,A797,'Bills - Investments'!D:D)</f>
        <v>3000</v>
      </c>
    </row>
    <row r="803">
      <c r="A803" s="53">
        <f t="shared" si="372"/>
        <v>2746593.07</v>
      </c>
      <c r="B803" s="69">
        <f>B792+B799/5</f>
        <v>76100</v>
      </c>
      <c r="C803" s="133">
        <f>sumif(G798:M798,"Pending",G803:M803)</f>
        <v>53636</v>
      </c>
      <c r="D803" s="133">
        <f t="shared" si="373"/>
        <v>594000</v>
      </c>
      <c r="E803" s="32" t="s">
        <v>77</v>
      </c>
      <c r="F803" s="90">
        <f>E798-F802-sum(F804:F806)</f>
        <v>2876329.07</v>
      </c>
      <c r="G803" s="148">
        <f>sumif('Bills - CC EMIs'!D:D,A797,'Bills - CC EMIs'!H:H)</f>
        <v>0</v>
      </c>
      <c r="H803" s="147">
        <f>SUMIFS('Bills - Loans'!E:E,'Bills - Loans'!D:D,A797)</f>
        <v>15742</v>
      </c>
      <c r="I803" s="137">
        <f>sumif('Bills - STR Residency'!D:D,A797,'Bills - STR Residency'!E:E)</f>
        <v>2855</v>
      </c>
      <c r="J803" s="147">
        <v>0.0</v>
      </c>
      <c r="K803" s="147">
        <f>sumif('Bills - Utilities'!C:C,A797,'Bills - Utilities'!B:B)</f>
        <v>1039</v>
      </c>
      <c r="L803" s="147">
        <f>sumif('Bills - Utilities'!D:D,B797,'Bills - Utilities'!C:C)</f>
        <v>0</v>
      </c>
      <c r="M803" s="147">
        <f>sumif('Bills - Investments'!C:C,A797,'Bills - Investments'!E:E)</f>
        <v>34000</v>
      </c>
    </row>
    <row r="804">
      <c r="A804" s="53">
        <f t="shared" si="372"/>
        <v>0</v>
      </c>
      <c r="B804" s="69">
        <f>B793+B799/5</f>
        <v>76100</v>
      </c>
      <c r="C804" s="133">
        <f>sumif(G798:M798,"Pending",G804:M804)</f>
        <v>0</v>
      </c>
      <c r="D804" s="133">
        <f t="shared" si="373"/>
        <v>0</v>
      </c>
      <c r="E804" s="32" t="s">
        <v>81</v>
      </c>
      <c r="F804" s="90">
        <f t="shared" ref="F804:F806" si="374">sum(G804:M804)+B804</f>
        <v>76100</v>
      </c>
      <c r="G804" s="148">
        <f t="shared" ref="G804:G806" si="375">(G793+G782+G771)/3</f>
        <v>0</v>
      </c>
      <c r="H804" s="147">
        <f t="shared" ref="H804:H806" si="376">(H793+H782)/2</f>
        <v>0</v>
      </c>
      <c r="I804" s="147">
        <f t="shared" ref="I804:I806" si="377">I793</f>
        <v>0</v>
      </c>
      <c r="J804" s="147">
        <v>0.0</v>
      </c>
      <c r="K804" s="147">
        <v>0.0</v>
      </c>
      <c r="L804" s="147">
        <v>0.0</v>
      </c>
      <c r="M804" s="147">
        <v>0.0</v>
      </c>
    </row>
    <row r="805">
      <c r="A805" s="53">
        <f t="shared" si="372"/>
        <v>0</v>
      </c>
      <c r="B805" s="69">
        <f>B794+B799/5</f>
        <v>83100</v>
      </c>
      <c r="C805" s="133">
        <f>sumif(G798:M798,"Pending",G805:M805)</f>
        <v>0</v>
      </c>
      <c r="D805" s="133">
        <f t="shared" si="373"/>
        <v>0</v>
      </c>
      <c r="E805" s="32" t="s">
        <v>79</v>
      </c>
      <c r="F805" s="90">
        <f t="shared" si="374"/>
        <v>83100</v>
      </c>
      <c r="G805" s="148">
        <f t="shared" si="375"/>
        <v>0</v>
      </c>
      <c r="H805" s="147">
        <f t="shared" si="376"/>
        <v>0</v>
      </c>
      <c r="I805" s="147">
        <f t="shared" si="377"/>
        <v>0</v>
      </c>
      <c r="J805" s="147">
        <v>0.0</v>
      </c>
      <c r="K805" s="147">
        <v>0.0</v>
      </c>
      <c r="L805" s="147">
        <v>0.0</v>
      </c>
      <c r="M805" s="147">
        <v>0.0</v>
      </c>
    </row>
    <row r="806">
      <c r="A806" s="53">
        <f t="shared" si="372"/>
        <v>0</v>
      </c>
      <c r="B806" s="69">
        <f>B795+B799/5</f>
        <v>76100</v>
      </c>
      <c r="C806" s="133">
        <f>sumif(G798:M798,"Pending",G806:M806)</f>
        <v>0</v>
      </c>
      <c r="D806" s="133">
        <f t="shared" si="373"/>
        <v>0</v>
      </c>
      <c r="E806" s="33" t="s">
        <v>91</v>
      </c>
      <c r="F806" s="90">
        <f t="shared" si="374"/>
        <v>76100</v>
      </c>
      <c r="G806" s="148">
        <f t="shared" si="375"/>
        <v>0</v>
      </c>
      <c r="H806" s="147">
        <f t="shared" si="376"/>
        <v>0</v>
      </c>
      <c r="I806" s="147">
        <f t="shared" si="377"/>
        <v>0</v>
      </c>
      <c r="J806" s="147">
        <v>0.0</v>
      </c>
      <c r="K806" s="147">
        <v>0.0</v>
      </c>
      <c r="L806" s="147">
        <v>0.0</v>
      </c>
      <c r="M806" s="147">
        <v>0.0</v>
      </c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</row>
    <row r="808">
      <c r="A808" s="71">
        <f>Projections!BP1</f>
        <v>46997</v>
      </c>
      <c r="B808" s="24"/>
      <c r="C808" s="24"/>
      <c r="D808" s="25" t="s">
        <v>108</v>
      </c>
      <c r="E808" s="74">
        <f>A811-A800</f>
        <v>114390.018</v>
      </c>
      <c r="F808" s="25" t="s">
        <v>64</v>
      </c>
      <c r="G808" s="136" t="s">
        <v>109</v>
      </c>
      <c r="H808" s="137" t="s">
        <v>110</v>
      </c>
      <c r="I808" s="137" t="s">
        <v>111</v>
      </c>
      <c r="J808" s="137" t="s">
        <v>112</v>
      </c>
      <c r="K808" s="137" t="s">
        <v>113</v>
      </c>
      <c r="L808" s="137" t="s">
        <v>114</v>
      </c>
      <c r="M808" s="137" t="s">
        <v>65</v>
      </c>
    </row>
    <row r="809">
      <c r="A809" s="25" t="s">
        <v>95</v>
      </c>
      <c r="B809" s="72">
        <f>Projections!BP15</f>
        <v>221316.018</v>
      </c>
      <c r="C809" s="138">
        <f>A808</f>
        <v>46997</v>
      </c>
      <c r="D809" s="98" t="s">
        <v>115</v>
      </c>
      <c r="E809" s="57">
        <f>Projections!BP14</f>
        <v>3355409.088</v>
      </c>
      <c r="F809" s="73" t="s">
        <v>67</v>
      </c>
      <c r="G809" s="139" t="s">
        <v>67</v>
      </c>
      <c r="H809" s="139" t="s">
        <v>67</v>
      </c>
      <c r="I809" s="137" t="s">
        <v>67</v>
      </c>
      <c r="J809" s="137" t="s">
        <v>67</v>
      </c>
      <c r="K809" s="137" t="s">
        <v>67</v>
      </c>
      <c r="L809" s="137" t="s">
        <v>67</v>
      </c>
      <c r="M809" s="137" t="s">
        <v>67</v>
      </c>
    </row>
    <row r="810">
      <c r="A810" s="25" t="s">
        <v>69</v>
      </c>
      <c r="B810" s="119">
        <f>if(B799&gt;B809/10,B799,B799+500)</f>
        <v>19500</v>
      </c>
      <c r="C810" s="138">
        <f>EOMONTH(C809,0)</f>
        <v>47026</v>
      </c>
      <c r="D810" s="25" t="s">
        <v>116</v>
      </c>
      <c r="E810" s="74">
        <f>if(today()&gt;C810,0,B809*12/365/5)</f>
        <v>1455.228612</v>
      </c>
      <c r="F810" s="25" t="s">
        <v>70</v>
      </c>
      <c r="G810" s="140" t="s">
        <v>117</v>
      </c>
      <c r="H810" s="137" t="s">
        <v>117</v>
      </c>
      <c r="I810" s="137" t="s">
        <v>118</v>
      </c>
      <c r="J810" s="137" t="s">
        <v>118</v>
      </c>
      <c r="K810" s="137" t="s">
        <v>118</v>
      </c>
      <c r="L810" s="137" t="s">
        <v>119</v>
      </c>
      <c r="M810" s="137" t="s">
        <v>119</v>
      </c>
    </row>
    <row r="811">
      <c r="A811" s="54">
        <f>F811-C811-B811</f>
        <v>2860983.088</v>
      </c>
      <c r="B811" s="90">
        <f t="shared" ref="B811:D811" si="378">sum(B813:B817)</f>
        <v>407000</v>
      </c>
      <c r="C811" s="141">
        <f t="shared" si="378"/>
        <v>87426</v>
      </c>
      <c r="D811" s="142">
        <f t="shared" si="378"/>
        <v>711500</v>
      </c>
      <c r="E811" s="59"/>
      <c r="F811" s="63">
        <f>sum(F813:F817)</f>
        <v>3355409.088</v>
      </c>
      <c r="G811" s="136" t="s">
        <v>120</v>
      </c>
      <c r="H811" s="137" t="s">
        <v>121</v>
      </c>
      <c r="I811" s="137" t="s">
        <v>111</v>
      </c>
      <c r="J811" s="137" t="s">
        <v>112</v>
      </c>
      <c r="K811" s="137" t="s">
        <v>113</v>
      </c>
      <c r="L811" s="137" t="s">
        <v>114</v>
      </c>
      <c r="M811" s="137" t="s">
        <v>65</v>
      </c>
    </row>
    <row r="812">
      <c r="A812" s="32" t="s">
        <v>72</v>
      </c>
      <c r="B812" s="122" t="s">
        <v>84</v>
      </c>
      <c r="C812" s="143" t="s">
        <v>67</v>
      </c>
      <c r="D812" s="143" t="s">
        <v>122</v>
      </c>
      <c r="E812" s="34">
        <f>today()</f>
        <v>45969</v>
      </c>
      <c r="F812" s="35" t="s">
        <v>64</v>
      </c>
      <c r="G812" s="144" t="s">
        <v>107</v>
      </c>
      <c r="H812" s="144" t="s">
        <v>107</v>
      </c>
      <c r="I812" s="145" t="str">
        <f>I801</f>
        <v>STR Residency</v>
      </c>
      <c r="J812" s="145" t="s">
        <v>112</v>
      </c>
      <c r="K812" s="145" t="s">
        <v>113</v>
      </c>
      <c r="L812" s="145" t="s">
        <v>114</v>
      </c>
      <c r="M812" s="145" t="s">
        <v>65</v>
      </c>
    </row>
    <row r="813">
      <c r="A813" s="53">
        <f t="shared" ref="A813:A817" si="379">F813-C813-B813</f>
        <v>0</v>
      </c>
      <c r="B813" s="69">
        <f>B802+B810/5</f>
        <v>80000</v>
      </c>
      <c r="C813" s="133">
        <f>sumif(G809:M809,"Pending",G813:M813)</f>
        <v>32790</v>
      </c>
      <c r="D813" s="133">
        <f t="shared" ref="D813:D817" si="380">D802+M813</f>
        <v>82500</v>
      </c>
      <c r="E813" s="32" t="s">
        <v>76</v>
      </c>
      <c r="F813" s="150">
        <f>sumif(G809:M809,"Pending",G813:M813)+B813</f>
        <v>112790</v>
      </c>
      <c r="G813" s="146">
        <f>sumif('Bills - CC EMIs'!D:D,A808,'Bills - CC EMIs'!E:E)+SUMIF('Bills - CC EMIs'!D:D,A808,'Bills - CC EMIs'!F:F)+sumif('Bills - CC EMIs'!D:D,A808,'Bills - CC EMIs'!G:G)</f>
        <v>0</v>
      </c>
      <c r="H813" s="146">
        <f>SUMIFS('Bills - Loans'!F:F,'Bills - Loans'!D:D,A808)</f>
        <v>24790</v>
      </c>
      <c r="I813" s="147">
        <v>0.0</v>
      </c>
      <c r="J813" s="137">
        <f>sumif('Bills - Responsibilities'!D:D,A808,'Bills - Responsibilities'!E:E)</f>
        <v>5000</v>
      </c>
      <c r="K813" s="147">
        <v>0.0</v>
      </c>
      <c r="L813" s="147">
        <f>sumif('Bills - Returns'!C:C,A808,'Bills - Returns'!D:D)</f>
        <v>0</v>
      </c>
      <c r="M813" s="147">
        <f>sumif('Bills - Investments'!C:C,A808,'Bills - Investments'!D:D)</f>
        <v>3000</v>
      </c>
    </row>
    <row r="814">
      <c r="A814" s="53">
        <f t="shared" si="379"/>
        <v>2860983.088</v>
      </c>
      <c r="B814" s="69">
        <f>B803+B810/5</f>
        <v>80000</v>
      </c>
      <c r="C814" s="133">
        <f>sumif(G809:M809,"Pending",G814:M814)</f>
        <v>54636</v>
      </c>
      <c r="D814" s="133">
        <f t="shared" si="380"/>
        <v>629000</v>
      </c>
      <c r="E814" s="32" t="s">
        <v>77</v>
      </c>
      <c r="F814" s="90">
        <f>E809-F813-sum(F815:F817)</f>
        <v>2995619.088</v>
      </c>
      <c r="G814" s="148">
        <f>sumif('Bills - CC EMIs'!D:D,A808,'Bills - CC EMIs'!H:H)</f>
        <v>0</v>
      </c>
      <c r="H814" s="147">
        <f>SUMIFS('Bills - Loans'!E:E,'Bills - Loans'!D:D,A808)</f>
        <v>15742</v>
      </c>
      <c r="I814" s="137">
        <f>sumif('Bills - STR Residency'!D:D,A808,'Bills - STR Residency'!E:E)</f>
        <v>2855</v>
      </c>
      <c r="J814" s="147">
        <v>0.0</v>
      </c>
      <c r="K814" s="147">
        <f>sumif('Bills - Utilities'!C:C,A808,'Bills - Utilities'!B:B)</f>
        <v>1039</v>
      </c>
      <c r="L814" s="147">
        <f>sumif('Bills - Utilities'!D:D,B808,'Bills - Utilities'!C:C)</f>
        <v>0</v>
      </c>
      <c r="M814" s="147">
        <f>sumif('Bills - Investments'!C:C,A808,'Bills - Investments'!E:E)</f>
        <v>35000</v>
      </c>
    </row>
    <row r="815">
      <c r="A815" s="53">
        <f t="shared" si="379"/>
        <v>0</v>
      </c>
      <c r="B815" s="69">
        <f>B804+B810/5</f>
        <v>80000</v>
      </c>
      <c r="C815" s="133">
        <f>sumif(G809:M809,"Pending",G815:M815)</f>
        <v>0</v>
      </c>
      <c r="D815" s="133">
        <f t="shared" si="380"/>
        <v>0</v>
      </c>
      <c r="E815" s="32" t="s">
        <v>81</v>
      </c>
      <c r="F815" s="90">
        <f t="shared" ref="F815:F817" si="381">sum(G815:M815)+B815</f>
        <v>80000</v>
      </c>
      <c r="G815" s="148">
        <f t="shared" ref="G815:G817" si="382">(G804+G793+G782)/3</f>
        <v>0</v>
      </c>
      <c r="H815" s="147">
        <f t="shared" ref="H815:H817" si="383">(H804+H793)/2</f>
        <v>0</v>
      </c>
      <c r="I815" s="147">
        <f t="shared" ref="I815:I817" si="384">I804</f>
        <v>0</v>
      </c>
      <c r="J815" s="147">
        <v>0.0</v>
      </c>
      <c r="K815" s="147">
        <v>0.0</v>
      </c>
      <c r="L815" s="147">
        <v>0.0</v>
      </c>
      <c r="M815" s="147">
        <v>0.0</v>
      </c>
    </row>
    <row r="816">
      <c r="A816" s="53">
        <f t="shared" si="379"/>
        <v>0</v>
      </c>
      <c r="B816" s="69">
        <f>B805+B810/5</f>
        <v>87000</v>
      </c>
      <c r="C816" s="133">
        <f>sumif(G809:M809,"Pending",G816:M816)</f>
        <v>0</v>
      </c>
      <c r="D816" s="133">
        <f t="shared" si="380"/>
        <v>0</v>
      </c>
      <c r="E816" s="32" t="s">
        <v>79</v>
      </c>
      <c r="F816" s="90">
        <f t="shared" si="381"/>
        <v>87000</v>
      </c>
      <c r="G816" s="148">
        <f t="shared" si="382"/>
        <v>0</v>
      </c>
      <c r="H816" s="147">
        <f t="shared" si="383"/>
        <v>0</v>
      </c>
      <c r="I816" s="147">
        <f t="shared" si="384"/>
        <v>0</v>
      </c>
      <c r="J816" s="147">
        <v>0.0</v>
      </c>
      <c r="K816" s="147">
        <v>0.0</v>
      </c>
      <c r="L816" s="147">
        <v>0.0</v>
      </c>
      <c r="M816" s="147">
        <v>0.0</v>
      </c>
    </row>
    <row r="817">
      <c r="A817" s="53">
        <f t="shared" si="379"/>
        <v>0</v>
      </c>
      <c r="B817" s="69">
        <f>B806+B810/5</f>
        <v>80000</v>
      </c>
      <c r="C817" s="133">
        <f>sumif(G809:M809,"Pending",G817:M817)</f>
        <v>0</v>
      </c>
      <c r="D817" s="133">
        <f t="shared" si="380"/>
        <v>0</v>
      </c>
      <c r="E817" s="33" t="s">
        <v>91</v>
      </c>
      <c r="F817" s="90">
        <f t="shared" si="381"/>
        <v>80000</v>
      </c>
      <c r="G817" s="148">
        <f t="shared" si="382"/>
        <v>0</v>
      </c>
      <c r="H817" s="147">
        <f t="shared" si="383"/>
        <v>0</v>
      </c>
      <c r="I817" s="147">
        <f t="shared" si="384"/>
        <v>0</v>
      </c>
      <c r="J817" s="147">
        <v>0.0</v>
      </c>
      <c r="K817" s="147">
        <v>0.0</v>
      </c>
      <c r="L817" s="147">
        <v>0.0</v>
      </c>
      <c r="M817" s="147">
        <v>0.0</v>
      </c>
    </row>
    <row r="818">
      <c r="A818" s="81"/>
      <c r="B818" s="73"/>
      <c r="C818" s="73"/>
      <c r="D818" s="73"/>
      <c r="E818" s="82"/>
      <c r="F818" s="151"/>
      <c r="G818" s="73"/>
      <c r="H818" s="73"/>
      <c r="I818" s="25"/>
      <c r="J818" s="25"/>
      <c r="K818" s="25"/>
      <c r="L818" s="25"/>
      <c r="M818" s="24"/>
    </row>
    <row r="819">
      <c r="A819" s="71">
        <f>Projections!BQ1</f>
        <v>47027</v>
      </c>
      <c r="B819" s="24"/>
      <c r="C819" s="24"/>
      <c r="D819" s="25" t="s">
        <v>108</v>
      </c>
      <c r="E819" s="74">
        <f>A822-A811</f>
        <v>93192.018</v>
      </c>
      <c r="F819" s="25" t="s">
        <v>64</v>
      </c>
      <c r="G819" s="136" t="s">
        <v>109</v>
      </c>
      <c r="H819" s="137" t="s">
        <v>110</v>
      </c>
      <c r="I819" s="137" t="s">
        <v>111</v>
      </c>
      <c r="J819" s="137" t="s">
        <v>112</v>
      </c>
      <c r="K819" s="137" t="s">
        <v>113</v>
      </c>
      <c r="L819" s="137" t="s">
        <v>114</v>
      </c>
      <c r="M819" s="137" t="s">
        <v>65</v>
      </c>
    </row>
    <row r="820">
      <c r="A820" s="25" t="s">
        <v>95</v>
      </c>
      <c r="B820" s="72">
        <f>Projections!BQ15</f>
        <v>221316.018</v>
      </c>
      <c r="C820" s="138">
        <f>A819</f>
        <v>47027</v>
      </c>
      <c r="D820" s="98" t="s">
        <v>115</v>
      </c>
      <c r="E820" s="57">
        <f>Projections!BQ14</f>
        <v>3489299.106</v>
      </c>
      <c r="F820" s="73" t="s">
        <v>67</v>
      </c>
      <c r="G820" s="139" t="s">
        <v>67</v>
      </c>
      <c r="H820" s="139" t="s">
        <v>67</v>
      </c>
      <c r="I820" s="137" t="s">
        <v>67</v>
      </c>
      <c r="J820" s="137" t="s">
        <v>67</v>
      </c>
      <c r="K820" s="137" t="s">
        <v>67</v>
      </c>
      <c r="L820" s="137" t="s">
        <v>67</v>
      </c>
      <c r="M820" s="137" t="s">
        <v>67</v>
      </c>
    </row>
    <row r="821">
      <c r="A821" s="25" t="s">
        <v>69</v>
      </c>
      <c r="B821" s="119">
        <f>if(B810&gt;B820/10,B810,B810+500)</f>
        <v>20000</v>
      </c>
      <c r="C821" s="138">
        <f>EOMONTH(C820,0)</f>
        <v>47057</v>
      </c>
      <c r="D821" s="25" t="s">
        <v>116</v>
      </c>
      <c r="E821" s="74">
        <f>if(today()&gt;C821,0,B820*12/365/5)</f>
        <v>1455.228612</v>
      </c>
      <c r="F821" s="25" t="s">
        <v>70</v>
      </c>
      <c r="G821" s="140" t="s">
        <v>117</v>
      </c>
      <c r="H821" s="137" t="s">
        <v>117</v>
      </c>
      <c r="I821" s="137" t="s">
        <v>118</v>
      </c>
      <c r="J821" s="137" t="s">
        <v>118</v>
      </c>
      <c r="K821" s="137" t="s">
        <v>118</v>
      </c>
      <c r="L821" s="137" t="s">
        <v>119</v>
      </c>
      <c r="M821" s="137" t="s">
        <v>119</v>
      </c>
    </row>
    <row r="822">
      <c r="A822" s="54">
        <f>F822-C822-B822</f>
        <v>2954175.106</v>
      </c>
      <c r="B822" s="90">
        <f t="shared" ref="B822:D822" si="385">sum(B824:B828)</f>
        <v>427000</v>
      </c>
      <c r="C822" s="141">
        <f t="shared" si="385"/>
        <v>108124</v>
      </c>
      <c r="D822" s="142">
        <f t="shared" si="385"/>
        <v>750500</v>
      </c>
      <c r="E822" s="59"/>
      <c r="F822" s="63">
        <f>sum(F824:F828)</f>
        <v>3489299.106</v>
      </c>
      <c r="G822" s="136" t="s">
        <v>120</v>
      </c>
      <c r="H822" s="137" t="s">
        <v>121</v>
      </c>
      <c r="I822" s="137" t="s">
        <v>111</v>
      </c>
      <c r="J822" s="137" t="s">
        <v>112</v>
      </c>
      <c r="K822" s="137" t="s">
        <v>113</v>
      </c>
      <c r="L822" s="137" t="s">
        <v>114</v>
      </c>
      <c r="M822" s="137" t="s">
        <v>65</v>
      </c>
    </row>
    <row r="823">
      <c r="A823" s="32" t="s">
        <v>72</v>
      </c>
      <c r="B823" s="122" t="s">
        <v>84</v>
      </c>
      <c r="C823" s="143" t="s">
        <v>67</v>
      </c>
      <c r="D823" s="143" t="s">
        <v>122</v>
      </c>
      <c r="E823" s="34">
        <f>today()</f>
        <v>45969</v>
      </c>
      <c r="F823" s="35" t="s">
        <v>64</v>
      </c>
      <c r="G823" s="144" t="s">
        <v>107</v>
      </c>
      <c r="H823" s="144" t="s">
        <v>107</v>
      </c>
      <c r="I823" s="145" t="str">
        <f>I812</f>
        <v>STR Residency</v>
      </c>
      <c r="J823" s="145" t="s">
        <v>112</v>
      </c>
      <c r="K823" s="145" t="s">
        <v>113</v>
      </c>
      <c r="L823" s="145" t="s">
        <v>114</v>
      </c>
      <c r="M823" s="145" t="s">
        <v>65</v>
      </c>
    </row>
    <row r="824">
      <c r="A824" s="53">
        <f t="shared" ref="A824:A828" si="386">F824-C824-B824</f>
        <v>0</v>
      </c>
      <c r="B824" s="69">
        <f>B813+B821/5</f>
        <v>84000</v>
      </c>
      <c r="C824" s="133">
        <f>sumif(G820:M820,"Pending",G824:M824)</f>
        <v>32762</v>
      </c>
      <c r="D824" s="133">
        <f t="shared" ref="D824:D828" si="387">D813+M824</f>
        <v>85500</v>
      </c>
      <c r="E824" s="32" t="s">
        <v>76</v>
      </c>
      <c r="F824" s="150">
        <f>sumif(G820:M820,"Pending",G824:M824)+B824</f>
        <v>116762</v>
      </c>
      <c r="G824" s="146">
        <f>sumif('Bills - CC EMIs'!D:D,A819,'Bills - CC EMIs'!E:E)+SUMIF('Bills - CC EMIs'!D:D,A819,'Bills - CC EMIs'!F:F)+sumif('Bills - CC EMIs'!D:D,A819,'Bills - CC EMIs'!G:G)</f>
        <v>0</v>
      </c>
      <c r="H824" s="146">
        <f>SUMIFS('Bills - Loans'!F:F,'Bills - Loans'!D:D,A819)</f>
        <v>24762</v>
      </c>
      <c r="I824" s="147">
        <v>0.0</v>
      </c>
      <c r="J824" s="137">
        <f>sumif('Bills - Responsibilities'!D:D,A819,'Bills - Responsibilities'!E:E)</f>
        <v>5000</v>
      </c>
      <c r="K824" s="147">
        <v>0.0</v>
      </c>
      <c r="L824" s="147">
        <f>sumif('Bills - Returns'!C:C,A819,'Bills - Returns'!D:D)</f>
        <v>0</v>
      </c>
      <c r="M824" s="147">
        <f>sumif('Bills - Investments'!C:C,A819,'Bills - Investments'!D:D)</f>
        <v>3000</v>
      </c>
    </row>
    <row r="825">
      <c r="A825" s="53">
        <f t="shared" si="386"/>
        <v>2954175.106</v>
      </c>
      <c r="B825" s="69">
        <f>B814+B821/5</f>
        <v>84000</v>
      </c>
      <c r="C825" s="133">
        <f>sumif(G820:M820,"Pending",G825:M825)</f>
        <v>75362</v>
      </c>
      <c r="D825" s="133">
        <f t="shared" si="387"/>
        <v>665000</v>
      </c>
      <c r="E825" s="32" t="s">
        <v>77</v>
      </c>
      <c r="F825" s="90">
        <f>E820-F824-sum(F826:F828)</f>
        <v>3113537.106</v>
      </c>
      <c r="G825" s="148">
        <f>sumif('Bills - CC EMIs'!D:D,A819,'Bills - CC EMIs'!H:H)</f>
        <v>0</v>
      </c>
      <c r="H825" s="147">
        <f>SUMIFS('Bills - Loans'!E:E,'Bills - Loans'!D:D,A819)</f>
        <v>15742</v>
      </c>
      <c r="I825" s="137">
        <f>sumif('Bills - STR Residency'!D:D,A819,'Bills - STR Residency'!E:E)</f>
        <v>2855</v>
      </c>
      <c r="J825" s="147">
        <v>0.0</v>
      </c>
      <c r="K825" s="147">
        <f>sumif('Bills - Utilities'!C:C,A819,'Bills - Utilities'!B:B)</f>
        <v>20765</v>
      </c>
      <c r="L825" s="147">
        <f>sumif('Bills - Utilities'!D:D,B819,'Bills - Utilities'!C:C)</f>
        <v>0</v>
      </c>
      <c r="M825" s="147">
        <f>sumif('Bills - Investments'!C:C,A819,'Bills - Investments'!E:E)</f>
        <v>36000</v>
      </c>
    </row>
    <row r="826">
      <c r="A826" s="53">
        <f t="shared" si="386"/>
        <v>0</v>
      </c>
      <c r="B826" s="69">
        <f>B815+B821/5</f>
        <v>84000</v>
      </c>
      <c r="C826" s="133">
        <f>sumif(G820:M820,"Pending",G826:M826)</f>
        <v>0</v>
      </c>
      <c r="D826" s="133">
        <f t="shared" si="387"/>
        <v>0</v>
      </c>
      <c r="E826" s="32" t="s">
        <v>81</v>
      </c>
      <c r="F826" s="90">
        <f t="shared" ref="F826:F828" si="388">sum(G826:M826)+B826</f>
        <v>84000</v>
      </c>
      <c r="G826" s="148">
        <f t="shared" ref="G826:G828" si="389">(G815+G804+G793)/3</f>
        <v>0</v>
      </c>
      <c r="H826" s="147">
        <f t="shared" ref="H826:H828" si="390">(H815+H804)/2</f>
        <v>0</v>
      </c>
      <c r="I826" s="147">
        <f t="shared" ref="I826:I828" si="391">I815</f>
        <v>0</v>
      </c>
      <c r="J826" s="147">
        <v>0.0</v>
      </c>
      <c r="K826" s="147">
        <v>0.0</v>
      </c>
      <c r="L826" s="147">
        <v>0.0</v>
      </c>
      <c r="M826" s="147">
        <v>0.0</v>
      </c>
    </row>
    <row r="827">
      <c r="A827" s="53">
        <f t="shared" si="386"/>
        <v>0</v>
      </c>
      <c r="B827" s="69">
        <f>B816+B821/5</f>
        <v>91000</v>
      </c>
      <c r="C827" s="133">
        <f>sumif(G820:M820,"Pending",G827:M827)</f>
        <v>0</v>
      </c>
      <c r="D827" s="133">
        <f t="shared" si="387"/>
        <v>0</v>
      </c>
      <c r="E827" s="32" t="s">
        <v>79</v>
      </c>
      <c r="F827" s="90">
        <f t="shared" si="388"/>
        <v>91000</v>
      </c>
      <c r="G827" s="148">
        <f t="shared" si="389"/>
        <v>0</v>
      </c>
      <c r="H827" s="147">
        <f t="shared" si="390"/>
        <v>0</v>
      </c>
      <c r="I827" s="147">
        <f t="shared" si="391"/>
        <v>0</v>
      </c>
      <c r="J827" s="147">
        <v>0.0</v>
      </c>
      <c r="K827" s="147">
        <v>0.0</v>
      </c>
      <c r="L827" s="147">
        <v>0.0</v>
      </c>
      <c r="M827" s="147">
        <v>0.0</v>
      </c>
    </row>
    <row r="828">
      <c r="A828" s="53">
        <f t="shared" si="386"/>
        <v>0</v>
      </c>
      <c r="B828" s="69">
        <f>B817+B821/5</f>
        <v>84000</v>
      </c>
      <c r="C828" s="133">
        <f>sumif(G820:M820,"Pending",G828:M828)</f>
        <v>0</v>
      </c>
      <c r="D828" s="133">
        <f t="shared" si="387"/>
        <v>0</v>
      </c>
      <c r="E828" s="33" t="s">
        <v>91</v>
      </c>
      <c r="F828" s="90">
        <f t="shared" si="388"/>
        <v>84000</v>
      </c>
      <c r="G828" s="148">
        <f t="shared" si="389"/>
        <v>0</v>
      </c>
      <c r="H828" s="147">
        <f t="shared" si="390"/>
        <v>0</v>
      </c>
      <c r="I828" s="147">
        <f t="shared" si="391"/>
        <v>0</v>
      </c>
      <c r="J828" s="147">
        <v>0.0</v>
      </c>
      <c r="K828" s="147">
        <v>0.0</v>
      </c>
      <c r="L828" s="147">
        <v>0.0</v>
      </c>
      <c r="M828" s="147">
        <v>0.0</v>
      </c>
    </row>
    <row r="829">
      <c r="A829" s="81"/>
      <c r="B829" s="73"/>
      <c r="C829" s="73"/>
      <c r="D829" s="73"/>
      <c r="E829" s="82"/>
      <c r="F829" s="151"/>
      <c r="G829" s="73"/>
      <c r="H829" s="73"/>
      <c r="I829" s="25"/>
      <c r="J829" s="25"/>
      <c r="K829" s="25"/>
      <c r="L829" s="25"/>
      <c r="M829" s="24"/>
    </row>
    <row r="830">
      <c r="A830" s="71">
        <f>Projections!BR1</f>
        <v>47058</v>
      </c>
      <c r="B830" s="24"/>
      <c r="C830" s="24"/>
      <c r="D830" s="25" t="s">
        <v>108</v>
      </c>
      <c r="E830" s="74">
        <f>A833-A822</f>
        <v>120680.018</v>
      </c>
      <c r="F830" s="25" t="s">
        <v>64</v>
      </c>
      <c r="G830" s="136" t="s">
        <v>109</v>
      </c>
      <c r="H830" s="137" t="s">
        <v>110</v>
      </c>
      <c r="I830" s="137" t="s">
        <v>111</v>
      </c>
      <c r="J830" s="137" t="s">
        <v>112</v>
      </c>
      <c r="K830" s="137" t="s">
        <v>113</v>
      </c>
      <c r="L830" s="137" t="s">
        <v>114</v>
      </c>
      <c r="M830" s="137" t="s">
        <v>65</v>
      </c>
    </row>
    <row r="831">
      <c r="A831" s="25" t="s">
        <v>95</v>
      </c>
      <c r="B831" s="72">
        <f>Projections!BR15</f>
        <v>221316.018</v>
      </c>
      <c r="C831" s="138">
        <f>A830</f>
        <v>47058</v>
      </c>
      <c r="D831" s="98" t="s">
        <v>115</v>
      </c>
      <c r="E831" s="57">
        <f>Projections!BR14</f>
        <v>3602491.124</v>
      </c>
      <c r="F831" s="73" t="s">
        <v>67</v>
      </c>
      <c r="G831" s="139" t="s">
        <v>67</v>
      </c>
      <c r="H831" s="139" t="s">
        <v>67</v>
      </c>
      <c r="I831" s="137" t="s">
        <v>67</v>
      </c>
      <c r="J831" s="137" t="s">
        <v>67</v>
      </c>
      <c r="K831" s="137" t="s">
        <v>67</v>
      </c>
      <c r="L831" s="137" t="s">
        <v>67</v>
      </c>
      <c r="M831" s="137" t="s">
        <v>67</v>
      </c>
    </row>
    <row r="832">
      <c r="A832" s="25" t="s">
        <v>69</v>
      </c>
      <c r="B832" s="119">
        <f>if(B821&gt;B831/10,B821,B821+500)</f>
        <v>20500</v>
      </c>
      <c r="C832" s="138">
        <f>EOMONTH(C831,0)</f>
        <v>47087</v>
      </c>
      <c r="D832" s="25" t="s">
        <v>116</v>
      </c>
      <c r="E832" s="74">
        <f>if(today()&gt;C832,0,B831*12/365/5)</f>
        <v>1455.228612</v>
      </c>
      <c r="F832" s="25" t="s">
        <v>70</v>
      </c>
      <c r="G832" s="140" t="s">
        <v>117</v>
      </c>
      <c r="H832" s="137" t="s">
        <v>117</v>
      </c>
      <c r="I832" s="137" t="s">
        <v>118</v>
      </c>
      <c r="J832" s="137" t="s">
        <v>118</v>
      </c>
      <c r="K832" s="137" t="s">
        <v>118</v>
      </c>
      <c r="L832" s="137" t="s">
        <v>119</v>
      </c>
      <c r="M832" s="137" t="s">
        <v>119</v>
      </c>
    </row>
    <row r="833">
      <c r="A833" s="54">
        <f>F833-C833-B833</f>
        <v>3074855.124</v>
      </c>
      <c r="B833" s="90">
        <f t="shared" ref="B833:D833" si="392">sum(B835:B839)</f>
        <v>447500</v>
      </c>
      <c r="C833" s="141">
        <f t="shared" si="392"/>
        <v>80136</v>
      </c>
      <c r="D833" s="142">
        <f t="shared" si="392"/>
        <v>790500</v>
      </c>
      <c r="E833" s="59"/>
      <c r="F833" s="63">
        <f>sum(F835:F839)</f>
        <v>3602491.124</v>
      </c>
      <c r="G833" s="136" t="s">
        <v>120</v>
      </c>
      <c r="H833" s="137" t="s">
        <v>121</v>
      </c>
      <c r="I833" s="137" t="s">
        <v>111</v>
      </c>
      <c r="J833" s="137" t="s">
        <v>112</v>
      </c>
      <c r="K833" s="137" t="s">
        <v>113</v>
      </c>
      <c r="L833" s="137" t="s">
        <v>114</v>
      </c>
      <c r="M833" s="137" t="s">
        <v>65</v>
      </c>
    </row>
    <row r="834">
      <c r="A834" s="32" t="s">
        <v>72</v>
      </c>
      <c r="B834" s="122" t="s">
        <v>84</v>
      </c>
      <c r="C834" s="143" t="s">
        <v>67</v>
      </c>
      <c r="D834" s="143" t="s">
        <v>122</v>
      </c>
      <c r="E834" s="34">
        <f>today()</f>
        <v>45969</v>
      </c>
      <c r="F834" s="35" t="s">
        <v>64</v>
      </c>
      <c r="G834" s="144" t="s">
        <v>107</v>
      </c>
      <c r="H834" s="144" t="s">
        <v>107</v>
      </c>
      <c r="I834" s="145" t="str">
        <f>I823</f>
        <v>STR Residency</v>
      </c>
      <c r="J834" s="145" t="s">
        <v>112</v>
      </c>
      <c r="K834" s="145" t="s">
        <v>113</v>
      </c>
      <c r="L834" s="145" t="s">
        <v>114</v>
      </c>
      <c r="M834" s="145" t="s">
        <v>65</v>
      </c>
    </row>
    <row r="835">
      <c r="A835" s="53">
        <f t="shared" ref="A835:A839" si="393">F835-C835-B835</f>
        <v>0</v>
      </c>
      <c r="B835" s="69">
        <f>B824+B832/5</f>
        <v>88100</v>
      </c>
      <c r="C835" s="133">
        <f>sumif(G831:M831,"Pending",G835:M835)</f>
        <v>23500</v>
      </c>
      <c r="D835" s="133">
        <f t="shared" ref="D835:D839" si="394">D824+M835</f>
        <v>88500</v>
      </c>
      <c r="E835" s="32" t="s">
        <v>76</v>
      </c>
      <c r="F835" s="150">
        <f>sumif(G831:M831,"Pending",G835:M835)+B835</f>
        <v>111600</v>
      </c>
      <c r="G835" s="146">
        <f>sumif('Bills - CC EMIs'!D:D,A830,'Bills - CC EMIs'!E:E)+SUMIF('Bills - CC EMIs'!D:D,A830,'Bills - CC EMIs'!F:F)+sumif('Bills - CC EMIs'!D:D,A830,'Bills - CC EMIs'!G:G)</f>
        <v>0</v>
      </c>
      <c r="H835" s="146">
        <f>SUMIFS('Bills - Loans'!F:F,'Bills - Loans'!D:D,A830)</f>
        <v>15500</v>
      </c>
      <c r="I835" s="147">
        <v>0.0</v>
      </c>
      <c r="J835" s="137">
        <f>sumif('Bills - Responsibilities'!D:D,A830,'Bills - Responsibilities'!E:E)</f>
        <v>5000</v>
      </c>
      <c r="K835" s="147">
        <v>0.0</v>
      </c>
      <c r="L835" s="147">
        <f>sumif('Bills - Returns'!C:C,A830,'Bills - Returns'!D:D)</f>
        <v>0</v>
      </c>
      <c r="M835" s="147">
        <f>sumif('Bills - Investments'!C:C,A830,'Bills - Investments'!D:D)</f>
        <v>3000</v>
      </c>
    </row>
    <row r="836">
      <c r="A836" s="53">
        <f t="shared" si="393"/>
        <v>3074855.124</v>
      </c>
      <c r="B836" s="69">
        <f>B825+B832/5</f>
        <v>88100</v>
      </c>
      <c r="C836" s="133">
        <f>sumif(G831:M831,"Pending",G836:M836)</f>
        <v>56636</v>
      </c>
      <c r="D836" s="133">
        <f t="shared" si="394"/>
        <v>702000</v>
      </c>
      <c r="E836" s="32" t="s">
        <v>77</v>
      </c>
      <c r="F836" s="90">
        <f>E831-F835-sum(F837:F839)</f>
        <v>3219591.124</v>
      </c>
      <c r="G836" s="148">
        <f>sumif('Bills - CC EMIs'!D:D,A830,'Bills - CC EMIs'!H:H)</f>
        <v>0</v>
      </c>
      <c r="H836" s="147">
        <f>SUMIFS('Bills - Loans'!E:E,'Bills - Loans'!D:D,A830)</f>
        <v>15742</v>
      </c>
      <c r="I836" s="137">
        <f>sumif('Bills - STR Residency'!D:D,A830,'Bills - STR Residency'!E:E)</f>
        <v>2855</v>
      </c>
      <c r="J836" s="147">
        <v>0.0</v>
      </c>
      <c r="K836" s="147">
        <f>sumif('Bills - Utilities'!C:C,A830,'Bills - Utilities'!B:B)</f>
        <v>1039</v>
      </c>
      <c r="L836" s="147">
        <f>sumif('Bills - Utilities'!D:D,B830,'Bills - Utilities'!C:C)</f>
        <v>0</v>
      </c>
      <c r="M836" s="147">
        <f>sumif('Bills - Investments'!C:C,A830,'Bills - Investments'!E:E)</f>
        <v>37000</v>
      </c>
    </row>
    <row r="837">
      <c r="A837" s="53">
        <f t="shared" si="393"/>
        <v>0</v>
      </c>
      <c r="B837" s="69">
        <f>B826+B832/5</f>
        <v>88100</v>
      </c>
      <c r="C837" s="133">
        <f>sumif(G831:M831,"Pending",G837:M837)</f>
        <v>0</v>
      </c>
      <c r="D837" s="133">
        <f t="shared" si="394"/>
        <v>0</v>
      </c>
      <c r="E837" s="32" t="s">
        <v>81</v>
      </c>
      <c r="F837" s="90">
        <f t="shared" ref="F837:F839" si="395">sum(G837:M837)+B837</f>
        <v>88100</v>
      </c>
      <c r="G837" s="148">
        <f t="shared" ref="G837:G839" si="396">(G826+G815+G804)/3</f>
        <v>0</v>
      </c>
      <c r="H837" s="147">
        <f t="shared" ref="H837:H839" si="397">(H826+H815)/2</f>
        <v>0</v>
      </c>
      <c r="I837" s="147">
        <f t="shared" ref="I837:I839" si="398">I826</f>
        <v>0</v>
      </c>
      <c r="J837" s="147">
        <v>0.0</v>
      </c>
      <c r="K837" s="147">
        <v>0.0</v>
      </c>
      <c r="L837" s="147">
        <v>0.0</v>
      </c>
      <c r="M837" s="147">
        <v>0.0</v>
      </c>
    </row>
    <row r="838">
      <c r="A838" s="53">
        <f t="shared" si="393"/>
        <v>0</v>
      </c>
      <c r="B838" s="69">
        <f>B827+B832/5</f>
        <v>95100</v>
      </c>
      <c r="C838" s="133">
        <f>sumif(G831:M831,"Pending",G838:M838)</f>
        <v>0</v>
      </c>
      <c r="D838" s="133">
        <f t="shared" si="394"/>
        <v>0</v>
      </c>
      <c r="E838" s="32" t="s">
        <v>79</v>
      </c>
      <c r="F838" s="90">
        <f t="shared" si="395"/>
        <v>95100</v>
      </c>
      <c r="G838" s="148">
        <f t="shared" si="396"/>
        <v>0</v>
      </c>
      <c r="H838" s="147">
        <f t="shared" si="397"/>
        <v>0</v>
      </c>
      <c r="I838" s="147">
        <f t="shared" si="398"/>
        <v>0</v>
      </c>
      <c r="J838" s="147">
        <v>0.0</v>
      </c>
      <c r="K838" s="147">
        <v>0.0</v>
      </c>
      <c r="L838" s="147">
        <v>0.0</v>
      </c>
      <c r="M838" s="147">
        <v>0.0</v>
      </c>
    </row>
    <row r="839">
      <c r="A839" s="53">
        <f t="shared" si="393"/>
        <v>0</v>
      </c>
      <c r="B839" s="69">
        <f>B828+B832/5</f>
        <v>88100</v>
      </c>
      <c r="C839" s="133">
        <f>sumif(G831:M831,"Pending",G839:M839)</f>
        <v>0</v>
      </c>
      <c r="D839" s="133">
        <f t="shared" si="394"/>
        <v>0</v>
      </c>
      <c r="E839" s="33" t="s">
        <v>91</v>
      </c>
      <c r="F839" s="90">
        <f t="shared" si="395"/>
        <v>88100</v>
      </c>
      <c r="G839" s="148">
        <f t="shared" si="396"/>
        <v>0</v>
      </c>
      <c r="H839" s="147">
        <f t="shared" si="397"/>
        <v>0</v>
      </c>
      <c r="I839" s="147">
        <f t="shared" si="398"/>
        <v>0</v>
      </c>
      <c r="J839" s="147">
        <v>0.0</v>
      </c>
      <c r="K839" s="147">
        <v>0.0</v>
      </c>
      <c r="L839" s="147">
        <v>0.0</v>
      </c>
      <c r="M839" s="147">
        <v>0.0</v>
      </c>
    </row>
    <row r="840">
      <c r="A840" s="81"/>
      <c r="B840" s="73"/>
      <c r="C840" s="73"/>
      <c r="D840" s="73"/>
      <c r="E840" s="82"/>
      <c r="F840" s="151"/>
      <c r="G840" s="73"/>
      <c r="H840" s="73"/>
      <c r="I840" s="25"/>
      <c r="J840" s="25"/>
      <c r="K840" s="25"/>
      <c r="L840" s="25"/>
      <c r="M840" s="24"/>
    </row>
    <row r="841">
      <c r="A841" s="71">
        <f>Projections!BS1</f>
        <v>47088</v>
      </c>
      <c r="B841" s="24"/>
      <c r="C841" s="24"/>
      <c r="D841" s="25" t="s">
        <v>108</v>
      </c>
      <c r="E841" s="74">
        <f>A844-A833</f>
        <v>119180.018</v>
      </c>
      <c r="F841" s="25" t="s">
        <v>64</v>
      </c>
      <c r="G841" s="136" t="s">
        <v>109</v>
      </c>
      <c r="H841" s="137" t="s">
        <v>110</v>
      </c>
      <c r="I841" s="137" t="s">
        <v>111</v>
      </c>
      <c r="J841" s="137" t="s">
        <v>112</v>
      </c>
      <c r="K841" s="137" t="s">
        <v>113</v>
      </c>
      <c r="L841" s="137" t="s">
        <v>114</v>
      </c>
      <c r="M841" s="137" t="s">
        <v>65</v>
      </c>
    </row>
    <row r="842">
      <c r="A842" s="25" t="s">
        <v>95</v>
      </c>
      <c r="B842" s="72">
        <f>Projections!BS15</f>
        <v>221316.018</v>
      </c>
      <c r="C842" s="138">
        <f>A841</f>
        <v>47088</v>
      </c>
      <c r="D842" s="98" t="s">
        <v>115</v>
      </c>
      <c r="E842" s="57">
        <f>Projections!BS14</f>
        <v>3743671.142</v>
      </c>
      <c r="F842" s="73" t="s">
        <v>67</v>
      </c>
      <c r="G842" s="139" t="s">
        <v>67</v>
      </c>
      <c r="H842" s="139" t="s">
        <v>67</v>
      </c>
      <c r="I842" s="137" t="s">
        <v>67</v>
      </c>
      <c r="J842" s="137" t="s">
        <v>67</v>
      </c>
      <c r="K842" s="137" t="s">
        <v>67</v>
      </c>
      <c r="L842" s="137" t="s">
        <v>67</v>
      </c>
      <c r="M842" s="137" t="s">
        <v>67</v>
      </c>
    </row>
    <row r="843">
      <c r="A843" s="25" t="s">
        <v>69</v>
      </c>
      <c r="B843" s="119">
        <f>if(B832&gt;B842/10,B832,B832+500)</f>
        <v>21000</v>
      </c>
      <c r="C843" s="138">
        <f>EOMONTH(C842,0)</f>
        <v>47118</v>
      </c>
      <c r="D843" s="25" t="s">
        <v>116</v>
      </c>
      <c r="E843" s="74">
        <f>if(today()&gt;C843,0,B842*12/365/5)</f>
        <v>1455.228612</v>
      </c>
      <c r="F843" s="25" t="s">
        <v>70</v>
      </c>
      <c r="G843" s="140" t="s">
        <v>117</v>
      </c>
      <c r="H843" s="137" t="s">
        <v>117</v>
      </c>
      <c r="I843" s="137" t="s">
        <v>118</v>
      </c>
      <c r="J843" s="137" t="s">
        <v>118</v>
      </c>
      <c r="K843" s="137" t="s">
        <v>118</v>
      </c>
      <c r="L843" s="137" t="s">
        <v>119</v>
      </c>
      <c r="M843" s="137" t="s">
        <v>119</v>
      </c>
    </row>
    <row r="844">
      <c r="A844" s="54">
        <f>F844-C844-B844</f>
        <v>3194035.142</v>
      </c>
      <c r="B844" s="90">
        <f t="shared" ref="B844:D844" si="399">sum(B846:B850)</f>
        <v>468500</v>
      </c>
      <c r="C844" s="141">
        <f t="shared" si="399"/>
        <v>81136</v>
      </c>
      <c r="D844" s="142">
        <f t="shared" si="399"/>
        <v>831500</v>
      </c>
      <c r="E844" s="59"/>
      <c r="F844" s="63">
        <f>sum(F846:F850)</f>
        <v>3743671.142</v>
      </c>
      <c r="G844" s="136" t="s">
        <v>120</v>
      </c>
      <c r="H844" s="137" t="s">
        <v>121</v>
      </c>
      <c r="I844" s="137" t="s">
        <v>111</v>
      </c>
      <c r="J844" s="137" t="s">
        <v>112</v>
      </c>
      <c r="K844" s="137" t="s">
        <v>113</v>
      </c>
      <c r="L844" s="137" t="s">
        <v>114</v>
      </c>
      <c r="M844" s="137" t="s">
        <v>65</v>
      </c>
    </row>
    <row r="845">
      <c r="A845" s="32" t="s">
        <v>72</v>
      </c>
      <c r="B845" s="122" t="s">
        <v>84</v>
      </c>
      <c r="C845" s="143" t="s">
        <v>67</v>
      </c>
      <c r="D845" s="143" t="s">
        <v>122</v>
      </c>
      <c r="E845" s="34">
        <f>today()</f>
        <v>45969</v>
      </c>
      <c r="F845" s="35" t="s">
        <v>64</v>
      </c>
      <c r="G845" s="144" t="s">
        <v>107</v>
      </c>
      <c r="H845" s="144" t="s">
        <v>107</v>
      </c>
      <c r="I845" s="145" t="str">
        <f>I834</f>
        <v>STR Residency</v>
      </c>
      <c r="J845" s="145" t="s">
        <v>112</v>
      </c>
      <c r="K845" s="145" t="s">
        <v>113</v>
      </c>
      <c r="L845" s="145" t="s">
        <v>114</v>
      </c>
      <c r="M845" s="145" t="s">
        <v>65</v>
      </c>
    </row>
    <row r="846">
      <c r="A846" s="53">
        <f t="shared" ref="A846:A850" si="400">F846-C846-B846</f>
        <v>0</v>
      </c>
      <c r="B846" s="69">
        <f>B835+B843/5</f>
        <v>92300</v>
      </c>
      <c r="C846" s="133">
        <f>sumif(G842:M842,"Pending",G846:M846)</f>
        <v>23500</v>
      </c>
      <c r="D846" s="133">
        <f t="shared" ref="D846:D850" si="401">D835+M846</f>
        <v>91500</v>
      </c>
      <c r="E846" s="32" t="s">
        <v>76</v>
      </c>
      <c r="F846" s="150">
        <f>sumif(G842:M842,"Pending",G846:M846)+B846</f>
        <v>115800</v>
      </c>
      <c r="G846" s="146">
        <f>sumif('Bills - CC EMIs'!D:D,A841,'Bills - CC EMIs'!E:E)+SUMIF('Bills - CC EMIs'!D:D,A841,'Bills - CC EMIs'!F:F)+sumif('Bills - CC EMIs'!D:D,A841,'Bills - CC EMIs'!G:G)</f>
        <v>0</v>
      </c>
      <c r="H846" s="146">
        <f>SUMIFS('Bills - Loans'!F:F,'Bills - Loans'!D:D,A841)</f>
        <v>15500</v>
      </c>
      <c r="I846" s="147">
        <v>0.0</v>
      </c>
      <c r="J846" s="137">
        <f>sumif('Bills - Responsibilities'!D:D,A841,'Bills - Responsibilities'!E:E)</f>
        <v>5000</v>
      </c>
      <c r="K846" s="147">
        <v>0.0</v>
      </c>
      <c r="L846" s="147">
        <f>sumif('Bills - Returns'!C:C,A841,'Bills - Returns'!D:D)</f>
        <v>0</v>
      </c>
      <c r="M846" s="147">
        <f>sumif('Bills - Investments'!C:C,A841,'Bills - Investments'!D:D)</f>
        <v>3000</v>
      </c>
    </row>
    <row r="847">
      <c r="A847" s="53">
        <f t="shared" si="400"/>
        <v>3194035.142</v>
      </c>
      <c r="B847" s="69">
        <f>B836+B843/5</f>
        <v>92300</v>
      </c>
      <c r="C847" s="133">
        <f>sumif(G842:M842,"Pending",G847:M847)</f>
        <v>57636</v>
      </c>
      <c r="D847" s="133">
        <f t="shared" si="401"/>
        <v>740000</v>
      </c>
      <c r="E847" s="32" t="s">
        <v>77</v>
      </c>
      <c r="F847" s="90">
        <f>E842-F846-sum(F848:F850)</f>
        <v>3343971.142</v>
      </c>
      <c r="G847" s="148">
        <f>sumif('Bills - CC EMIs'!D:D,A841,'Bills - CC EMIs'!H:H)</f>
        <v>0</v>
      </c>
      <c r="H847" s="147">
        <f>SUMIFS('Bills - Loans'!E:E,'Bills - Loans'!D:D,A841)</f>
        <v>15742</v>
      </c>
      <c r="I847" s="137">
        <f>sumif('Bills - STR Residency'!D:D,A841,'Bills - STR Residency'!E:E)</f>
        <v>2855</v>
      </c>
      <c r="J847" s="147">
        <v>0.0</v>
      </c>
      <c r="K847" s="147">
        <f>sumif('Bills - Utilities'!C:C,A841,'Bills - Utilities'!B:B)</f>
        <v>1039</v>
      </c>
      <c r="L847" s="147">
        <f>sumif('Bills - Utilities'!D:D,B841,'Bills - Utilities'!C:C)</f>
        <v>0</v>
      </c>
      <c r="M847" s="147">
        <f>sumif('Bills - Investments'!C:C,A841,'Bills - Investments'!E:E)</f>
        <v>38000</v>
      </c>
    </row>
    <row r="848">
      <c r="A848" s="53">
        <f t="shared" si="400"/>
        <v>0</v>
      </c>
      <c r="B848" s="69">
        <f>B837+B843/5</f>
        <v>92300</v>
      </c>
      <c r="C848" s="133">
        <f>sumif(G842:M842,"Pending",G848:M848)</f>
        <v>0</v>
      </c>
      <c r="D848" s="133">
        <f t="shared" si="401"/>
        <v>0</v>
      </c>
      <c r="E848" s="32" t="s">
        <v>81</v>
      </c>
      <c r="F848" s="90">
        <f t="shared" ref="F848:F850" si="402">sum(G848:M848)+B848</f>
        <v>92300</v>
      </c>
      <c r="G848" s="148">
        <f t="shared" ref="G848:G850" si="403">(G837+G826+G815)/3</f>
        <v>0</v>
      </c>
      <c r="H848" s="147">
        <f t="shared" ref="H848:H850" si="404">(H837+H826)/2</f>
        <v>0</v>
      </c>
      <c r="I848" s="147">
        <f t="shared" ref="I848:I850" si="405">I837</f>
        <v>0</v>
      </c>
      <c r="J848" s="147">
        <v>0.0</v>
      </c>
      <c r="K848" s="147">
        <v>0.0</v>
      </c>
      <c r="L848" s="147">
        <v>0.0</v>
      </c>
      <c r="M848" s="147">
        <v>0.0</v>
      </c>
    </row>
    <row r="849">
      <c r="A849" s="53">
        <f t="shared" si="400"/>
        <v>0</v>
      </c>
      <c r="B849" s="69">
        <f>B838+B843/5</f>
        <v>99300</v>
      </c>
      <c r="C849" s="133">
        <f>sumif(G842:M842,"Pending",G849:M849)</f>
        <v>0</v>
      </c>
      <c r="D849" s="133">
        <f t="shared" si="401"/>
        <v>0</v>
      </c>
      <c r="E849" s="32" t="s">
        <v>79</v>
      </c>
      <c r="F849" s="90">
        <f t="shared" si="402"/>
        <v>99300</v>
      </c>
      <c r="G849" s="148">
        <f t="shared" si="403"/>
        <v>0</v>
      </c>
      <c r="H849" s="147">
        <f t="shared" si="404"/>
        <v>0</v>
      </c>
      <c r="I849" s="147">
        <f t="shared" si="405"/>
        <v>0</v>
      </c>
      <c r="J849" s="147">
        <v>0.0</v>
      </c>
      <c r="K849" s="147">
        <v>0.0</v>
      </c>
      <c r="L849" s="147">
        <v>0.0</v>
      </c>
      <c r="M849" s="147">
        <v>0.0</v>
      </c>
    </row>
    <row r="850">
      <c r="A850" s="53">
        <f t="shared" si="400"/>
        <v>0</v>
      </c>
      <c r="B850" s="69">
        <f>B839+B843/5</f>
        <v>92300</v>
      </c>
      <c r="C850" s="133">
        <f>sumif(G842:M842,"Pending",G850:M850)</f>
        <v>0</v>
      </c>
      <c r="D850" s="133">
        <f t="shared" si="401"/>
        <v>0</v>
      </c>
      <c r="E850" s="33" t="s">
        <v>91</v>
      </c>
      <c r="F850" s="90">
        <f t="shared" si="402"/>
        <v>92300</v>
      </c>
      <c r="G850" s="148">
        <f t="shared" si="403"/>
        <v>0</v>
      </c>
      <c r="H850" s="147">
        <f t="shared" si="404"/>
        <v>0</v>
      </c>
      <c r="I850" s="147">
        <f t="shared" si="405"/>
        <v>0</v>
      </c>
      <c r="J850" s="147">
        <v>0.0</v>
      </c>
      <c r="K850" s="147">
        <v>0.0</v>
      </c>
      <c r="L850" s="147">
        <v>0.0</v>
      </c>
      <c r="M850" s="147">
        <v>0.0</v>
      </c>
    </row>
    <row r="851">
      <c r="A851" s="81"/>
      <c r="B851" s="73"/>
      <c r="C851" s="73"/>
      <c r="D851" s="73"/>
      <c r="E851" s="82"/>
      <c r="F851" s="151"/>
      <c r="G851" s="73"/>
      <c r="H851" s="73"/>
      <c r="I851" s="25"/>
      <c r="J851" s="25"/>
      <c r="K851" s="25"/>
      <c r="L851" s="25"/>
      <c r="M851" s="24"/>
    </row>
    <row r="852">
      <c r="A852" s="71">
        <f>Projections!BT1</f>
        <v>47119</v>
      </c>
      <c r="B852" s="24"/>
      <c r="C852" s="24"/>
      <c r="D852" s="25" t="s">
        <v>108</v>
      </c>
      <c r="E852" s="74">
        <f>A855-A844</f>
        <v>117180.018</v>
      </c>
      <c r="F852" s="25" t="s">
        <v>64</v>
      </c>
      <c r="G852" s="136" t="s">
        <v>109</v>
      </c>
      <c r="H852" s="137" t="s">
        <v>110</v>
      </c>
      <c r="I852" s="137" t="s">
        <v>111</v>
      </c>
      <c r="J852" s="137" t="s">
        <v>112</v>
      </c>
      <c r="K852" s="137" t="s">
        <v>113</v>
      </c>
      <c r="L852" s="137" t="s">
        <v>114</v>
      </c>
      <c r="M852" s="137" t="s">
        <v>65</v>
      </c>
    </row>
    <row r="853">
      <c r="A853" s="25" t="s">
        <v>95</v>
      </c>
      <c r="B853" s="72">
        <f>Projections!BT15</f>
        <v>221316.018</v>
      </c>
      <c r="C853" s="138">
        <f>A852</f>
        <v>47119</v>
      </c>
      <c r="D853" s="98" t="s">
        <v>115</v>
      </c>
      <c r="E853" s="57">
        <f>Projections!BT14</f>
        <v>3883851.16</v>
      </c>
      <c r="F853" s="73" t="s">
        <v>67</v>
      </c>
      <c r="G853" s="139" t="s">
        <v>67</v>
      </c>
      <c r="H853" s="139" t="s">
        <v>67</v>
      </c>
      <c r="I853" s="137" t="s">
        <v>67</v>
      </c>
      <c r="J853" s="137" t="s">
        <v>67</v>
      </c>
      <c r="K853" s="137" t="s">
        <v>67</v>
      </c>
      <c r="L853" s="137" t="s">
        <v>67</v>
      </c>
      <c r="M853" s="137" t="s">
        <v>67</v>
      </c>
    </row>
    <row r="854">
      <c r="A854" s="25" t="s">
        <v>69</v>
      </c>
      <c r="B854" s="119">
        <f>if(B843&gt;B853/10,B843,B843+500)</f>
        <v>21500</v>
      </c>
      <c r="C854" s="138">
        <f>EOMONTH(C853,0)</f>
        <v>47149</v>
      </c>
      <c r="D854" s="25" t="s">
        <v>116</v>
      </c>
      <c r="E854" s="74">
        <f>if(today()&gt;C854,0,B853*12/365/5)</f>
        <v>1455.228612</v>
      </c>
      <c r="F854" s="25" t="s">
        <v>70</v>
      </c>
      <c r="G854" s="140" t="s">
        <v>117</v>
      </c>
      <c r="H854" s="137" t="s">
        <v>117</v>
      </c>
      <c r="I854" s="137" t="s">
        <v>118</v>
      </c>
      <c r="J854" s="137" t="s">
        <v>118</v>
      </c>
      <c r="K854" s="137" t="s">
        <v>118</v>
      </c>
      <c r="L854" s="137" t="s">
        <v>119</v>
      </c>
      <c r="M854" s="137" t="s">
        <v>119</v>
      </c>
    </row>
    <row r="855">
      <c r="A855" s="54">
        <f>F855-C855-B855</f>
        <v>3311215.16</v>
      </c>
      <c r="B855" s="90">
        <f t="shared" ref="B855:D855" si="406">sum(B857:B861)</f>
        <v>490000</v>
      </c>
      <c r="C855" s="141">
        <f t="shared" si="406"/>
        <v>82636</v>
      </c>
      <c r="D855" s="142">
        <f t="shared" si="406"/>
        <v>874000</v>
      </c>
      <c r="E855" s="59"/>
      <c r="F855" s="63">
        <f>sum(F857:F861)</f>
        <v>3883851.16</v>
      </c>
      <c r="G855" s="136" t="s">
        <v>120</v>
      </c>
      <c r="H855" s="137" t="s">
        <v>121</v>
      </c>
      <c r="I855" s="137" t="s">
        <v>111</v>
      </c>
      <c r="J855" s="137" t="s">
        <v>112</v>
      </c>
      <c r="K855" s="137" t="s">
        <v>113</v>
      </c>
      <c r="L855" s="137" t="s">
        <v>114</v>
      </c>
      <c r="M855" s="137" t="s">
        <v>65</v>
      </c>
    </row>
    <row r="856">
      <c r="A856" s="32" t="s">
        <v>72</v>
      </c>
      <c r="B856" s="122" t="s">
        <v>84</v>
      </c>
      <c r="C856" s="143" t="s">
        <v>67</v>
      </c>
      <c r="D856" s="143" t="s">
        <v>122</v>
      </c>
      <c r="E856" s="34">
        <f>today()</f>
        <v>45969</v>
      </c>
      <c r="F856" s="35" t="s">
        <v>64</v>
      </c>
      <c r="G856" s="144" t="s">
        <v>107</v>
      </c>
      <c r="H856" s="144" t="s">
        <v>107</v>
      </c>
      <c r="I856" s="145" t="str">
        <f>I845</f>
        <v>STR Residency</v>
      </c>
      <c r="J856" s="145" t="s">
        <v>112</v>
      </c>
      <c r="K856" s="145" t="s">
        <v>113</v>
      </c>
      <c r="L856" s="145" t="s">
        <v>114</v>
      </c>
      <c r="M856" s="145" t="s">
        <v>65</v>
      </c>
    </row>
    <row r="857">
      <c r="A857" s="53">
        <f t="shared" ref="A857:A861" si="407">F857-C857-B857</f>
        <v>0</v>
      </c>
      <c r="B857" s="69">
        <f>B846+B854/5</f>
        <v>96600</v>
      </c>
      <c r="C857" s="133">
        <f>sumif(G853:M853,"Pending",G857:M857)</f>
        <v>24000</v>
      </c>
      <c r="D857" s="133">
        <f t="shared" ref="D857:D861" si="408">D846+M857</f>
        <v>95000</v>
      </c>
      <c r="E857" s="32" t="s">
        <v>76</v>
      </c>
      <c r="F857" s="150">
        <f>sumif(G853:M853,"Pending",G857:M857)+B857</f>
        <v>120600</v>
      </c>
      <c r="G857" s="146">
        <f>sumif('Bills - CC EMIs'!D:D,A852,'Bills - CC EMIs'!E:E)+SUMIF('Bills - CC EMIs'!D:D,A852,'Bills - CC EMIs'!F:F)+sumif('Bills - CC EMIs'!D:D,A852,'Bills - CC EMIs'!G:G)</f>
        <v>0</v>
      </c>
      <c r="H857" s="146">
        <f>SUMIFS('Bills - Loans'!F:F,'Bills - Loans'!D:D,A852)</f>
        <v>15500</v>
      </c>
      <c r="I857" s="147">
        <v>0.0</v>
      </c>
      <c r="J857" s="137">
        <f>sumif('Bills - Responsibilities'!D:D,A852,'Bills - Responsibilities'!E:E)</f>
        <v>5000</v>
      </c>
      <c r="K857" s="147">
        <v>0.0</v>
      </c>
      <c r="L857" s="147">
        <f>sumif('Bills - Returns'!C:C,A852,'Bills - Returns'!D:D)</f>
        <v>0</v>
      </c>
      <c r="M857" s="147">
        <f>sumif('Bills - Investments'!C:C,A852,'Bills - Investments'!D:D)</f>
        <v>3500</v>
      </c>
    </row>
    <row r="858">
      <c r="A858" s="53">
        <f t="shared" si="407"/>
        <v>3311215.16</v>
      </c>
      <c r="B858" s="69">
        <f>B847+B854/5</f>
        <v>96600</v>
      </c>
      <c r="C858" s="133">
        <f>sumif(G853:M853,"Pending",G858:M858)</f>
        <v>58636</v>
      </c>
      <c r="D858" s="133">
        <f t="shared" si="408"/>
        <v>779000</v>
      </c>
      <c r="E858" s="32" t="s">
        <v>77</v>
      </c>
      <c r="F858" s="90">
        <f>E853-F857-sum(F859:F861)</f>
        <v>3466451.16</v>
      </c>
      <c r="G858" s="148">
        <f>sumif('Bills - CC EMIs'!D:D,A852,'Bills - CC EMIs'!H:H)</f>
        <v>0</v>
      </c>
      <c r="H858" s="147">
        <f>SUMIFS('Bills - Loans'!E:E,'Bills - Loans'!D:D,A852)</f>
        <v>15742</v>
      </c>
      <c r="I858" s="137">
        <f>sumif('Bills - STR Residency'!D:D,A852,'Bills - STR Residency'!E:E)</f>
        <v>2855</v>
      </c>
      <c r="J858" s="147">
        <v>0.0</v>
      </c>
      <c r="K858" s="147">
        <f>sumif('Bills - Utilities'!C:C,A852,'Bills - Utilities'!B:B)</f>
        <v>1039</v>
      </c>
      <c r="L858" s="147">
        <f>sumif('Bills - Utilities'!D:D,B852,'Bills - Utilities'!C:C)</f>
        <v>0</v>
      </c>
      <c r="M858" s="147">
        <f>sumif('Bills - Investments'!C:C,A852,'Bills - Investments'!E:E)</f>
        <v>39000</v>
      </c>
    </row>
    <row r="859">
      <c r="A859" s="53">
        <f t="shared" si="407"/>
        <v>0</v>
      </c>
      <c r="B859" s="69">
        <f>B848+B854/5</f>
        <v>96600</v>
      </c>
      <c r="C859" s="133">
        <f>sumif(G853:M853,"Pending",G859:M859)</f>
        <v>0</v>
      </c>
      <c r="D859" s="133">
        <f t="shared" si="408"/>
        <v>0</v>
      </c>
      <c r="E859" s="32" t="s">
        <v>81</v>
      </c>
      <c r="F859" s="90">
        <f t="shared" ref="F859:F861" si="409">sum(G859:M859)+B859</f>
        <v>96600</v>
      </c>
      <c r="G859" s="148">
        <f t="shared" ref="G859:G861" si="410">(G848+G837+G826)/3</f>
        <v>0</v>
      </c>
      <c r="H859" s="147">
        <f t="shared" ref="H859:H861" si="411">(H848+H837)/2</f>
        <v>0</v>
      </c>
      <c r="I859" s="147">
        <f t="shared" ref="I859:I861" si="412">I848</f>
        <v>0</v>
      </c>
      <c r="J859" s="147">
        <v>0.0</v>
      </c>
      <c r="K859" s="147">
        <v>0.0</v>
      </c>
      <c r="L859" s="147">
        <v>0.0</v>
      </c>
      <c r="M859" s="147">
        <v>0.0</v>
      </c>
    </row>
    <row r="860">
      <c r="A860" s="53">
        <f t="shared" si="407"/>
        <v>0</v>
      </c>
      <c r="B860" s="69">
        <f>B849+B854/5</f>
        <v>103600</v>
      </c>
      <c r="C860" s="133">
        <f>sumif(G853:M853,"Pending",G860:M860)</f>
        <v>0</v>
      </c>
      <c r="D860" s="133">
        <f t="shared" si="408"/>
        <v>0</v>
      </c>
      <c r="E860" s="32" t="s">
        <v>79</v>
      </c>
      <c r="F860" s="90">
        <f t="shared" si="409"/>
        <v>103600</v>
      </c>
      <c r="G860" s="148">
        <f t="shared" si="410"/>
        <v>0</v>
      </c>
      <c r="H860" s="147">
        <f t="shared" si="411"/>
        <v>0</v>
      </c>
      <c r="I860" s="147">
        <f t="shared" si="412"/>
        <v>0</v>
      </c>
      <c r="J860" s="147">
        <v>0.0</v>
      </c>
      <c r="K860" s="147">
        <v>0.0</v>
      </c>
      <c r="L860" s="147">
        <v>0.0</v>
      </c>
      <c r="M860" s="147">
        <v>0.0</v>
      </c>
    </row>
    <row r="861">
      <c r="A861" s="53">
        <f t="shared" si="407"/>
        <v>0</v>
      </c>
      <c r="B861" s="69">
        <f>B850+B854/5</f>
        <v>96600</v>
      </c>
      <c r="C861" s="133">
        <f>sumif(G853:M853,"Pending",G861:M861)</f>
        <v>0</v>
      </c>
      <c r="D861" s="133">
        <f t="shared" si="408"/>
        <v>0</v>
      </c>
      <c r="E861" s="33" t="s">
        <v>91</v>
      </c>
      <c r="F861" s="90">
        <f t="shared" si="409"/>
        <v>96600</v>
      </c>
      <c r="G861" s="148">
        <f t="shared" si="410"/>
        <v>0</v>
      </c>
      <c r="H861" s="147">
        <f t="shared" si="411"/>
        <v>0</v>
      </c>
      <c r="I861" s="147">
        <f t="shared" si="412"/>
        <v>0</v>
      </c>
      <c r="J861" s="147">
        <v>0.0</v>
      </c>
      <c r="K861" s="147">
        <v>0.0</v>
      </c>
      <c r="L861" s="147">
        <v>0.0</v>
      </c>
      <c r="M861" s="147">
        <v>0.0</v>
      </c>
    </row>
    <row r="862">
      <c r="A862" s="81"/>
      <c r="B862" s="73"/>
      <c r="C862" s="73"/>
      <c r="D862" s="73"/>
      <c r="E862" s="82"/>
      <c r="F862" s="151"/>
      <c r="G862" s="73"/>
      <c r="H862" s="73"/>
      <c r="I862" s="25"/>
      <c r="J862" s="25"/>
      <c r="K862" s="25"/>
      <c r="L862" s="25"/>
      <c r="M862" s="24"/>
    </row>
    <row r="863">
      <c r="A863" s="71">
        <f>Projections!BU1</f>
        <v>47150</v>
      </c>
      <c r="B863" s="24"/>
      <c r="C863" s="24"/>
      <c r="D863" s="25" t="s">
        <v>108</v>
      </c>
      <c r="E863" s="74">
        <f>A866-A855</f>
        <v>115680.018</v>
      </c>
      <c r="F863" s="25" t="s">
        <v>64</v>
      </c>
      <c r="G863" s="136" t="s">
        <v>109</v>
      </c>
      <c r="H863" s="137" t="s">
        <v>110</v>
      </c>
      <c r="I863" s="137" t="s">
        <v>111</v>
      </c>
      <c r="J863" s="137" t="s">
        <v>112</v>
      </c>
      <c r="K863" s="137" t="s">
        <v>113</v>
      </c>
      <c r="L863" s="137" t="s">
        <v>114</v>
      </c>
      <c r="M863" s="137" t="s">
        <v>65</v>
      </c>
    </row>
    <row r="864">
      <c r="A864" s="25" t="s">
        <v>95</v>
      </c>
      <c r="B864" s="72">
        <f>Projections!BU15</f>
        <v>221316.018</v>
      </c>
      <c r="C864" s="138">
        <f>A863</f>
        <v>47150</v>
      </c>
      <c r="D864" s="98" t="s">
        <v>115</v>
      </c>
      <c r="E864" s="57">
        <f>Projections!BU14</f>
        <v>4022531.178</v>
      </c>
      <c r="F864" s="73" t="s">
        <v>67</v>
      </c>
      <c r="G864" s="139" t="s">
        <v>67</v>
      </c>
      <c r="H864" s="139" t="s">
        <v>67</v>
      </c>
      <c r="I864" s="137" t="s">
        <v>67</v>
      </c>
      <c r="J864" s="137" t="s">
        <v>67</v>
      </c>
      <c r="K864" s="137" t="s">
        <v>67</v>
      </c>
      <c r="L864" s="137" t="s">
        <v>67</v>
      </c>
      <c r="M864" s="137" t="s">
        <v>67</v>
      </c>
    </row>
    <row r="865">
      <c r="A865" s="25" t="s">
        <v>69</v>
      </c>
      <c r="B865" s="119">
        <f>if(B854&gt;B864/10,B854,B854+500)</f>
        <v>22000</v>
      </c>
      <c r="C865" s="138">
        <f>EOMONTH(C864,0)</f>
        <v>47177</v>
      </c>
      <c r="D865" s="25" t="s">
        <v>116</v>
      </c>
      <c r="E865" s="74">
        <f>if(today()&gt;C865,0,B864*12/365/5)</f>
        <v>1455.228612</v>
      </c>
      <c r="F865" s="25" t="s">
        <v>70</v>
      </c>
      <c r="G865" s="140" t="s">
        <v>117</v>
      </c>
      <c r="H865" s="137" t="s">
        <v>117</v>
      </c>
      <c r="I865" s="137" t="s">
        <v>118</v>
      </c>
      <c r="J865" s="137" t="s">
        <v>118</v>
      </c>
      <c r="K865" s="137" t="s">
        <v>118</v>
      </c>
      <c r="L865" s="137" t="s">
        <v>119</v>
      </c>
      <c r="M865" s="137" t="s">
        <v>119</v>
      </c>
    </row>
    <row r="866">
      <c r="A866" s="54">
        <f>F866-C866-B866</f>
        <v>3426895.178</v>
      </c>
      <c r="B866" s="90">
        <f t="shared" ref="B866:D866" si="413">sum(B868:B872)</f>
        <v>512000</v>
      </c>
      <c r="C866" s="141">
        <f t="shared" si="413"/>
        <v>83636</v>
      </c>
      <c r="D866" s="142">
        <f t="shared" si="413"/>
        <v>917500</v>
      </c>
      <c r="E866" s="59"/>
      <c r="F866" s="63">
        <f>sum(F868:F872)</f>
        <v>4022531.178</v>
      </c>
      <c r="G866" s="136" t="s">
        <v>120</v>
      </c>
      <c r="H866" s="137" t="s">
        <v>121</v>
      </c>
      <c r="I866" s="137" t="s">
        <v>111</v>
      </c>
      <c r="J866" s="137" t="s">
        <v>112</v>
      </c>
      <c r="K866" s="137" t="s">
        <v>113</v>
      </c>
      <c r="L866" s="137" t="s">
        <v>114</v>
      </c>
      <c r="M866" s="137" t="s">
        <v>65</v>
      </c>
    </row>
    <row r="867">
      <c r="A867" s="32" t="s">
        <v>72</v>
      </c>
      <c r="B867" s="122" t="s">
        <v>84</v>
      </c>
      <c r="C867" s="143" t="s">
        <v>67</v>
      </c>
      <c r="D867" s="143" t="s">
        <v>122</v>
      </c>
      <c r="E867" s="34">
        <f>today()</f>
        <v>45969</v>
      </c>
      <c r="F867" s="35" t="s">
        <v>64</v>
      </c>
      <c r="G867" s="144" t="s">
        <v>107</v>
      </c>
      <c r="H867" s="144" t="s">
        <v>107</v>
      </c>
      <c r="I867" s="145" t="str">
        <f>I856</f>
        <v>STR Residency</v>
      </c>
      <c r="J867" s="145" t="s">
        <v>112</v>
      </c>
      <c r="K867" s="145" t="s">
        <v>113</v>
      </c>
      <c r="L867" s="145" t="s">
        <v>114</v>
      </c>
      <c r="M867" s="145" t="s">
        <v>65</v>
      </c>
    </row>
    <row r="868">
      <c r="A868" s="53">
        <f t="shared" ref="A868:A872" si="414">F868-C868-B868</f>
        <v>0</v>
      </c>
      <c r="B868" s="69">
        <f>B857+B865/5</f>
        <v>101000</v>
      </c>
      <c r="C868" s="133">
        <f>sumif(G864:M864,"Pending",G868:M868)</f>
        <v>24000</v>
      </c>
      <c r="D868" s="133">
        <f t="shared" ref="D868:D872" si="415">D857+M868</f>
        <v>98500</v>
      </c>
      <c r="E868" s="32" t="s">
        <v>76</v>
      </c>
      <c r="F868" s="150">
        <f>sumif(G864:M864,"Pending",G868:M868)+B868</f>
        <v>125000</v>
      </c>
      <c r="G868" s="146">
        <f>sumif('Bills - CC EMIs'!D:D,A863,'Bills - CC EMIs'!E:E)+SUMIF('Bills - CC EMIs'!D:D,A863,'Bills - CC EMIs'!F:F)+sumif('Bills - CC EMIs'!D:D,A863,'Bills - CC EMIs'!G:G)</f>
        <v>0</v>
      </c>
      <c r="H868" s="146">
        <f>SUMIFS('Bills - Loans'!F:F,'Bills - Loans'!D:D,A863)</f>
        <v>15500</v>
      </c>
      <c r="I868" s="147">
        <v>0.0</v>
      </c>
      <c r="J868" s="137">
        <f>sumif('Bills - Responsibilities'!D:D,A863,'Bills - Responsibilities'!E:E)</f>
        <v>5000</v>
      </c>
      <c r="K868" s="147">
        <v>0.0</v>
      </c>
      <c r="L868" s="147">
        <f>sumif('Bills - Returns'!C:C,A863,'Bills - Returns'!D:D)</f>
        <v>0</v>
      </c>
      <c r="M868" s="147">
        <f>sumif('Bills - Investments'!C:C,A863,'Bills - Investments'!D:D)</f>
        <v>3500</v>
      </c>
    </row>
    <row r="869">
      <c r="A869" s="53">
        <f t="shared" si="414"/>
        <v>3426895.178</v>
      </c>
      <c r="B869" s="69">
        <f>B858+B865/5</f>
        <v>101000</v>
      </c>
      <c r="C869" s="133">
        <f>sumif(G864:M864,"Pending",G869:M869)</f>
        <v>59636</v>
      </c>
      <c r="D869" s="133">
        <f t="shared" si="415"/>
        <v>819000</v>
      </c>
      <c r="E869" s="32" t="s">
        <v>77</v>
      </c>
      <c r="F869" s="90">
        <f>E864-F868-sum(F870:F872)</f>
        <v>3587531.178</v>
      </c>
      <c r="G869" s="148">
        <f>sumif('Bills - CC EMIs'!D:D,A863,'Bills - CC EMIs'!H:H)</f>
        <v>0</v>
      </c>
      <c r="H869" s="147">
        <f>SUMIFS('Bills - Loans'!E:E,'Bills - Loans'!D:D,A863)</f>
        <v>15742</v>
      </c>
      <c r="I869" s="137">
        <f>sumif('Bills - STR Residency'!D:D,A863,'Bills - STR Residency'!E:E)</f>
        <v>2855</v>
      </c>
      <c r="J869" s="147">
        <v>0.0</v>
      </c>
      <c r="K869" s="147">
        <f>sumif('Bills - Utilities'!C:C,A863,'Bills - Utilities'!B:B)</f>
        <v>1039</v>
      </c>
      <c r="L869" s="147">
        <f>sumif('Bills - Utilities'!D:D,B863,'Bills - Utilities'!C:C)</f>
        <v>0</v>
      </c>
      <c r="M869" s="147">
        <f>sumif('Bills - Investments'!C:C,A863,'Bills - Investments'!E:E)</f>
        <v>40000</v>
      </c>
    </row>
    <row r="870">
      <c r="A870" s="53">
        <f t="shared" si="414"/>
        <v>0</v>
      </c>
      <c r="B870" s="69">
        <f>B859+B865/5</f>
        <v>101000</v>
      </c>
      <c r="C870" s="133">
        <f>sumif(G864:M864,"Pending",G870:M870)</f>
        <v>0</v>
      </c>
      <c r="D870" s="133">
        <f t="shared" si="415"/>
        <v>0</v>
      </c>
      <c r="E870" s="32" t="s">
        <v>81</v>
      </c>
      <c r="F870" s="90">
        <f t="shared" ref="F870:F872" si="416">sum(G870:M870)+B870</f>
        <v>101000</v>
      </c>
      <c r="G870" s="148">
        <f t="shared" ref="G870:G872" si="417">(G859+G848+G837)/3</f>
        <v>0</v>
      </c>
      <c r="H870" s="147">
        <f t="shared" ref="H870:H872" si="418">(H859+H848)/2</f>
        <v>0</v>
      </c>
      <c r="I870" s="147">
        <f t="shared" ref="I870:I872" si="419">I859</f>
        <v>0</v>
      </c>
      <c r="J870" s="147">
        <v>0.0</v>
      </c>
      <c r="K870" s="147">
        <v>0.0</v>
      </c>
      <c r="L870" s="147">
        <v>0.0</v>
      </c>
      <c r="M870" s="147">
        <v>0.0</v>
      </c>
    </row>
    <row r="871">
      <c r="A871" s="53">
        <f t="shared" si="414"/>
        <v>0</v>
      </c>
      <c r="B871" s="69">
        <f>B860+B865/5</f>
        <v>108000</v>
      </c>
      <c r="C871" s="133">
        <f>sumif(G864:M864,"Pending",G871:M871)</f>
        <v>0</v>
      </c>
      <c r="D871" s="133">
        <f t="shared" si="415"/>
        <v>0</v>
      </c>
      <c r="E871" s="32" t="s">
        <v>79</v>
      </c>
      <c r="F871" s="90">
        <f t="shared" si="416"/>
        <v>108000</v>
      </c>
      <c r="G871" s="148">
        <f t="shared" si="417"/>
        <v>0</v>
      </c>
      <c r="H871" s="147">
        <f t="shared" si="418"/>
        <v>0</v>
      </c>
      <c r="I871" s="147">
        <f t="shared" si="419"/>
        <v>0</v>
      </c>
      <c r="J871" s="147">
        <v>0.0</v>
      </c>
      <c r="K871" s="147">
        <v>0.0</v>
      </c>
      <c r="L871" s="147">
        <v>0.0</v>
      </c>
      <c r="M871" s="147">
        <v>0.0</v>
      </c>
    </row>
    <row r="872">
      <c r="A872" s="53">
        <f t="shared" si="414"/>
        <v>0</v>
      </c>
      <c r="B872" s="69">
        <f>B861+B865/5</f>
        <v>101000</v>
      </c>
      <c r="C872" s="133">
        <f>sumif(G864:M864,"Pending",G872:M872)</f>
        <v>0</v>
      </c>
      <c r="D872" s="133">
        <f t="shared" si="415"/>
        <v>0</v>
      </c>
      <c r="E872" s="33" t="s">
        <v>91</v>
      </c>
      <c r="F872" s="90">
        <f t="shared" si="416"/>
        <v>101000</v>
      </c>
      <c r="G872" s="148">
        <f t="shared" si="417"/>
        <v>0</v>
      </c>
      <c r="H872" s="147">
        <f t="shared" si="418"/>
        <v>0</v>
      </c>
      <c r="I872" s="147">
        <f t="shared" si="419"/>
        <v>0</v>
      </c>
      <c r="J872" s="147">
        <v>0.0</v>
      </c>
      <c r="K872" s="147">
        <v>0.0</v>
      </c>
      <c r="L872" s="147">
        <v>0.0</v>
      </c>
      <c r="M872" s="147">
        <v>0.0</v>
      </c>
    </row>
    <row r="873">
      <c r="A873" s="81"/>
      <c r="B873" s="73"/>
      <c r="C873" s="73"/>
      <c r="D873" s="73"/>
      <c r="E873" s="82"/>
      <c r="F873" s="151"/>
      <c r="G873" s="73"/>
      <c r="H873" s="73"/>
      <c r="I873" s="25"/>
      <c r="J873" s="25"/>
      <c r="K873" s="25"/>
      <c r="L873" s="25"/>
      <c r="M873" s="24"/>
    </row>
    <row r="874">
      <c r="A874" s="71">
        <f>Projections!BV1</f>
        <v>47178</v>
      </c>
      <c r="B874" s="24"/>
      <c r="C874" s="24"/>
      <c r="D874" s="25" t="s">
        <v>108</v>
      </c>
      <c r="E874" s="74">
        <f>A877-A866</f>
        <v>114180.018</v>
      </c>
      <c r="F874" s="25" t="s">
        <v>64</v>
      </c>
      <c r="G874" s="136" t="s">
        <v>109</v>
      </c>
      <c r="H874" s="137" t="s">
        <v>110</v>
      </c>
      <c r="I874" s="137" t="s">
        <v>111</v>
      </c>
      <c r="J874" s="137" t="s">
        <v>112</v>
      </c>
      <c r="K874" s="137" t="s">
        <v>113</v>
      </c>
      <c r="L874" s="137" t="s">
        <v>114</v>
      </c>
      <c r="M874" s="137" t="s">
        <v>65</v>
      </c>
    </row>
    <row r="875">
      <c r="A875" s="25" t="s">
        <v>95</v>
      </c>
      <c r="B875" s="72">
        <f>Projections!BV15</f>
        <v>221316.018</v>
      </c>
      <c r="C875" s="138">
        <f>A874</f>
        <v>47178</v>
      </c>
      <c r="D875" s="98" t="s">
        <v>115</v>
      </c>
      <c r="E875" s="57">
        <f>Projections!BV14</f>
        <v>4160211.196</v>
      </c>
      <c r="F875" s="73" t="s">
        <v>67</v>
      </c>
      <c r="G875" s="139" t="s">
        <v>67</v>
      </c>
      <c r="H875" s="139" t="s">
        <v>67</v>
      </c>
      <c r="I875" s="137" t="s">
        <v>67</v>
      </c>
      <c r="J875" s="137" t="s">
        <v>67</v>
      </c>
      <c r="K875" s="137" t="s">
        <v>67</v>
      </c>
      <c r="L875" s="137" t="s">
        <v>67</v>
      </c>
      <c r="M875" s="137" t="s">
        <v>67</v>
      </c>
    </row>
    <row r="876">
      <c r="A876" s="25" t="s">
        <v>69</v>
      </c>
      <c r="B876" s="119">
        <f>if(B865&gt;B875/10,B865,B865+500)</f>
        <v>22500</v>
      </c>
      <c r="C876" s="138">
        <f>EOMONTH(C875,0)</f>
        <v>47208</v>
      </c>
      <c r="D876" s="25" t="s">
        <v>116</v>
      </c>
      <c r="E876" s="74">
        <f>if(today()&gt;C876,0,B875*12/365/5)</f>
        <v>1455.228612</v>
      </c>
      <c r="F876" s="25" t="s">
        <v>70</v>
      </c>
      <c r="G876" s="140" t="s">
        <v>117</v>
      </c>
      <c r="H876" s="137" t="s">
        <v>117</v>
      </c>
      <c r="I876" s="137" t="s">
        <v>118</v>
      </c>
      <c r="J876" s="137" t="s">
        <v>118</v>
      </c>
      <c r="K876" s="137" t="s">
        <v>118</v>
      </c>
      <c r="L876" s="137" t="s">
        <v>119</v>
      </c>
      <c r="M876" s="137" t="s">
        <v>119</v>
      </c>
    </row>
    <row r="877">
      <c r="A877" s="54">
        <f>F877-C877-B877</f>
        <v>3541075.196</v>
      </c>
      <c r="B877" s="90">
        <f t="shared" ref="B877:D877" si="420">sum(B879:B883)</f>
        <v>534500</v>
      </c>
      <c r="C877" s="141">
        <f t="shared" si="420"/>
        <v>84636</v>
      </c>
      <c r="D877" s="142">
        <f t="shared" si="420"/>
        <v>962000</v>
      </c>
      <c r="E877" s="59"/>
      <c r="F877" s="63">
        <f>sum(F879:F883)</f>
        <v>4160211.196</v>
      </c>
      <c r="G877" s="136" t="s">
        <v>120</v>
      </c>
      <c r="H877" s="137" t="s">
        <v>121</v>
      </c>
      <c r="I877" s="137" t="s">
        <v>111</v>
      </c>
      <c r="J877" s="137" t="s">
        <v>112</v>
      </c>
      <c r="K877" s="137" t="s">
        <v>113</v>
      </c>
      <c r="L877" s="137" t="s">
        <v>114</v>
      </c>
      <c r="M877" s="137" t="s">
        <v>65</v>
      </c>
    </row>
    <row r="878">
      <c r="A878" s="32" t="s">
        <v>72</v>
      </c>
      <c r="B878" s="122" t="s">
        <v>84</v>
      </c>
      <c r="C878" s="143" t="s">
        <v>67</v>
      </c>
      <c r="D878" s="143" t="s">
        <v>122</v>
      </c>
      <c r="E878" s="34">
        <f>today()</f>
        <v>45969</v>
      </c>
      <c r="F878" s="35" t="s">
        <v>64</v>
      </c>
      <c r="G878" s="144" t="s">
        <v>107</v>
      </c>
      <c r="H878" s="144" t="s">
        <v>107</v>
      </c>
      <c r="I878" s="145" t="str">
        <f>I867</f>
        <v>STR Residency</v>
      </c>
      <c r="J878" s="145" t="s">
        <v>112</v>
      </c>
      <c r="K878" s="145" t="s">
        <v>113</v>
      </c>
      <c r="L878" s="145" t="s">
        <v>114</v>
      </c>
      <c r="M878" s="145" t="s">
        <v>65</v>
      </c>
    </row>
    <row r="879">
      <c r="A879" s="53">
        <f t="shared" ref="A879:A883" si="421">F879-C879-B879</f>
        <v>0</v>
      </c>
      <c r="B879" s="69">
        <f>B868+B876/5</f>
        <v>105500</v>
      </c>
      <c r="C879" s="133">
        <f>sumif(G875:M875,"Pending",G879:M879)</f>
        <v>24000</v>
      </c>
      <c r="D879" s="133">
        <f t="shared" ref="D879:D883" si="422">D868+M879</f>
        <v>102000</v>
      </c>
      <c r="E879" s="32" t="s">
        <v>76</v>
      </c>
      <c r="F879" s="150">
        <f>sumif(G875:M875,"Pending",G879:M879)+B879</f>
        <v>129500</v>
      </c>
      <c r="G879" s="146">
        <f>sumif('Bills - CC EMIs'!D:D,A874,'Bills - CC EMIs'!E:E)+SUMIF('Bills - CC EMIs'!D:D,A874,'Bills - CC EMIs'!F:F)+sumif('Bills - CC EMIs'!D:D,A874,'Bills - CC EMIs'!G:G)</f>
        <v>0</v>
      </c>
      <c r="H879" s="146">
        <f>SUMIFS('Bills - Loans'!F:F,'Bills - Loans'!D:D,A874)</f>
        <v>15500</v>
      </c>
      <c r="I879" s="147">
        <v>0.0</v>
      </c>
      <c r="J879" s="137">
        <f>sumif('Bills - Responsibilities'!D:D,A874,'Bills - Responsibilities'!E:E)</f>
        <v>5000</v>
      </c>
      <c r="K879" s="147">
        <v>0.0</v>
      </c>
      <c r="L879" s="147">
        <f>sumif('Bills - Returns'!C:C,A874,'Bills - Returns'!D:D)</f>
        <v>0</v>
      </c>
      <c r="M879" s="147">
        <f>sumif('Bills - Investments'!C:C,A874,'Bills - Investments'!D:D)</f>
        <v>3500</v>
      </c>
    </row>
    <row r="880">
      <c r="A880" s="53">
        <f t="shared" si="421"/>
        <v>3541075.196</v>
      </c>
      <c r="B880" s="69">
        <f>B869+B876/5</f>
        <v>105500</v>
      </c>
      <c r="C880" s="133">
        <f>sumif(G875:M875,"Pending",G880:M880)</f>
        <v>60636</v>
      </c>
      <c r="D880" s="133">
        <f t="shared" si="422"/>
        <v>860000</v>
      </c>
      <c r="E880" s="32" t="s">
        <v>77</v>
      </c>
      <c r="F880" s="90">
        <f>E875-F879-sum(F881:F883)</f>
        <v>3707211.196</v>
      </c>
      <c r="G880" s="148">
        <f>sumif('Bills - CC EMIs'!D:D,A874,'Bills - CC EMIs'!H:H)</f>
        <v>0</v>
      </c>
      <c r="H880" s="147">
        <f>SUMIFS('Bills - Loans'!E:E,'Bills - Loans'!D:D,A874)</f>
        <v>15742</v>
      </c>
      <c r="I880" s="137">
        <f>sumif('Bills - STR Residency'!D:D,A874,'Bills - STR Residency'!E:E)</f>
        <v>2855</v>
      </c>
      <c r="J880" s="147">
        <v>0.0</v>
      </c>
      <c r="K880" s="147">
        <f>sumif('Bills - Utilities'!C:C,A874,'Bills - Utilities'!B:B)</f>
        <v>1039</v>
      </c>
      <c r="L880" s="147">
        <f>sumif('Bills - Utilities'!D:D,B874,'Bills - Utilities'!C:C)</f>
        <v>0</v>
      </c>
      <c r="M880" s="147">
        <f>sumif('Bills - Investments'!C:C,A874,'Bills - Investments'!E:E)</f>
        <v>41000</v>
      </c>
    </row>
    <row r="881">
      <c r="A881" s="53">
        <f t="shared" si="421"/>
        <v>0</v>
      </c>
      <c r="B881" s="69">
        <f>B870+B876/5</f>
        <v>105500</v>
      </c>
      <c r="C881" s="133">
        <f>sumif(G875:M875,"Pending",G881:M881)</f>
        <v>0</v>
      </c>
      <c r="D881" s="133">
        <f t="shared" si="422"/>
        <v>0</v>
      </c>
      <c r="E881" s="32" t="s">
        <v>81</v>
      </c>
      <c r="F881" s="90">
        <f t="shared" ref="F881:F883" si="423">sum(G881:M881)+B881</f>
        <v>105500</v>
      </c>
      <c r="G881" s="148">
        <f t="shared" ref="G881:G883" si="424">(G870+G859+G848)/3</f>
        <v>0</v>
      </c>
      <c r="H881" s="147">
        <f t="shared" ref="H881:H883" si="425">(H870+H859)/2</f>
        <v>0</v>
      </c>
      <c r="I881" s="147">
        <f t="shared" ref="I881:I883" si="426">I870</f>
        <v>0</v>
      </c>
      <c r="J881" s="147">
        <v>0.0</v>
      </c>
      <c r="K881" s="147">
        <v>0.0</v>
      </c>
      <c r="L881" s="147">
        <v>0.0</v>
      </c>
      <c r="M881" s="147">
        <v>0.0</v>
      </c>
    </row>
    <row r="882">
      <c r="A882" s="53">
        <f t="shared" si="421"/>
        <v>0</v>
      </c>
      <c r="B882" s="69">
        <f>B871+B876/5</f>
        <v>112500</v>
      </c>
      <c r="C882" s="133">
        <f>sumif(G875:M875,"Pending",G882:M882)</f>
        <v>0</v>
      </c>
      <c r="D882" s="133">
        <f t="shared" si="422"/>
        <v>0</v>
      </c>
      <c r="E882" s="32" t="s">
        <v>79</v>
      </c>
      <c r="F882" s="90">
        <f t="shared" si="423"/>
        <v>112500</v>
      </c>
      <c r="G882" s="148">
        <f t="shared" si="424"/>
        <v>0</v>
      </c>
      <c r="H882" s="147">
        <f t="shared" si="425"/>
        <v>0</v>
      </c>
      <c r="I882" s="147">
        <f t="shared" si="426"/>
        <v>0</v>
      </c>
      <c r="J882" s="147">
        <v>0.0</v>
      </c>
      <c r="K882" s="147">
        <v>0.0</v>
      </c>
      <c r="L882" s="147">
        <v>0.0</v>
      </c>
      <c r="M882" s="147">
        <v>0.0</v>
      </c>
    </row>
    <row r="883">
      <c r="A883" s="53">
        <f t="shared" si="421"/>
        <v>0</v>
      </c>
      <c r="B883" s="69">
        <f>B872+B876/5</f>
        <v>105500</v>
      </c>
      <c r="C883" s="133">
        <f>sumif(G875:M875,"Pending",G883:M883)</f>
        <v>0</v>
      </c>
      <c r="D883" s="133">
        <f t="shared" si="422"/>
        <v>0</v>
      </c>
      <c r="E883" s="33" t="s">
        <v>91</v>
      </c>
      <c r="F883" s="90">
        <f t="shared" si="423"/>
        <v>105500</v>
      </c>
      <c r="G883" s="148">
        <f t="shared" si="424"/>
        <v>0</v>
      </c>
      <c r="H883" s="147">
        <f t="shared" si="425"/>
        <v>0</v>
      </c>
      <c r="I883" s="147">
        <f t="shared" si="426"/>
        <v>0</v>
      </c>
      <c r="J883" s="147">
        <v>0.0</v>
      </c>
      <c r="K883" s="147">
        <v>0.0</v>
      </c>
      <c r="L883" s="147">
        <v>0.0</v>
      </c>
      <c r="M883" s="147">
        <v>0.0</v>
      </c>
    </row>
    <row r="884">
      <c r="A884" s="81"/>
      <c r="B884" s="73"/>
      <c r="C884" s="73"/>
      <c r="D884" s="73"/>
      <c r="E884" s="82"/>
      <c r="F884" s="151"/>
      <c r="G884" s="73"/>
      <c r="H884" s="73"/>
      <c r="I884" s="25"/>
      <c r="J884" s="25"/>
      <c r="K884" s="25"/>
      <c r="L884" s="25"/>
      <c r="M884" s="24"/>
    </row>
    <row r="885">
      <c r="A885" s="71">
        <f>Projections!BW1</f>
        <v>47209</v>
      </c>
      <c r="B885" s="24"/>
      <c r="C885" s="24"/>
      <c r="D885" s="25" t="s">
        <v>108</v>
      </c>
      <c r="E885" s="74">
        <f>A888-A877</f>
        <v>129811.7198</v>
      </c>
      <c r="F885" s="25" t="s">
        <v>64</v>
      </c>
      <c r="G885" s="136" t="s">
        <v>109</v>
      </c>
      <c r="H885" s="137" t="s">
        <v>110</v>
      </c>
      <c r="I885" s="137" t="s">
        <v>111</v>
      </c>
      <c r="J885" s="137" t="s">
        <v>112</v>
      </c>
      <c r="K885" s="137" t="s">
        <v>113</v>
      </c>
      <c r="L885" s="137" t="s">
        <v>114</v>
      </c>
      <c r="M885" s="137" t="s">
        <v>65</v>
      </c>
    </row>
    <row r="886">
      <c r="A886" s="25" t="s">
        <v>95</v>
      </c>
      <c r="B886" s="72">
        <f>Projections!BW15</f>
        <v>243447.6198</v>
      </c>
      <c r="C886" s="138">
        <f>A885</f>
        <v>47209</v>
      </c>
      <c r="D886" s="98" t="s">
        <v>115</v>
      </c>
      <c r="E886" s="57">
        <f>Projections!BW14</f>
        <v>4319022.916</v>
      </c>
      <c r="F886" s="73" t="s">
        <v>67</v>
      </c>
      <c r="G886" s="139" t="s">
        <v>67</v>
      </c>
      <c r="H886" s="139" t="s">
        <v>67</v>
      </c>
      <c r="I886" s="137" t="s">
        <v>67</v>
      </c>
      <c r="J886" s="137" t="s">
        <v>67</v>
      </c>
      <c r="K886" s="137" t="s">
        <v>67</v>
      </c>
      <c r="L886" s="137" t="s">
        <v>67</v>
      </c>
      <c r="M886" s="137" t="s">
        <v>67</v>
      </c>
    </row>
    <row r="887">
      <c r="A887" s="25" t="s">
        <v>69</v>
      </c>
      <c r="B887" s="119">
        <f>if(B876&gt;B886/10,B876,B876+500)</f>
        <v>23000</v>
      </c>
      <c r="C887" s="138">
        <f>EOMONTH(C886,0)</f>
        <v>47238</v>
      </c>
      <c r="D887" s="25" t="s">
        <v>116</v>
      </c>
      <c r="E887" s="74">
        <f>if(today()&gt;C887,0,B886*12/365/5)</f>
        <v>1600.751473</v>
      </c>
      <c r="F887" s="25" t="s">
        <v>70</v>
      </c>
      <c r="G887" s="140" t="s">
        <v>117</v>
      </c>
      <c r="H887" s="137" t="s">
        <v>117</v>
      </c>
      <c r="I887" s="137" t="s">
        <v>118</v>
      </c>
      <c r="J887" s="137" t="s">
        <v>118</v>
      </c>
      <c r="K887" s="137" t="s">
        <v>118</v>
      </c>
      <c r="L887" s="137" t="s">
        <v>119</v>
      </c>
      <c r="M887" s="137" t="s">
        <v>119</v>
      </c>
    </row>
    <row r="888">
      <c r="A888" s="54">
        <f>F888-C888-B888</f>
        <v>3670886.916</v>
      </c>
      <c r="B888" s="90">
        <f t="shared" ref="B888:D888" si="427">sum(B890:B894)</f>
        <v>557500</v>
      </c>
      <c r="C888" s="141">
        <f t="shared" si="427"/>
        <v>90636</v>
      </c>
      <c r="D888" s="142">
        <f t="shared" si="427"/>
        <v>1007500</v>
      </c>
      <c r="E888" s="59"/>
      <c r="F888" s="63">
        <f>sum(F890:F894)</f>
        <v>4319022.916</v>
      </c>
      <c r="G888" s="136" t="s">
        <v>120</v>
      </c>
      <c r="H888" s="137" t="s">
        <v>121</v>
      </c>
      <c r="I888" s="137" t="s">
        <v>111</v>
      </c>
      <c r="J888" s="137" t="s">
        <v>112</v>
      </c>
      <c r="K888" s="137" t="s">
        <v>113</v>
      </c>
      <c r="L888" s="137" t="s">
        <v>114</v>
      </c>
      <c r="M888" s="137" t="s">
        <v>65</v>
      </c>
    </row>
    <row r="889">
      <c r="A889" s="32" t="s">
        <v>72</v>
      </c>
      <c r="B889" s="122" t="s">
        <v>84</v>
      </c>
      <c r="C889" s="143" t="s">
        <v>67</v>
      </c>
      <c r="D889" s="143" t="s">
        <v>122</v>
      </c>
      <c r="E889" s="34">
        <f>today()</f>
        <v>45969</v>
      </c>
      <c r="F889" s="35" t="s">
        <v>64</v>
      </c>
      <c r="G889" s="144" t="s">
        <v>107</v>
      </c>
      <c r="H889" s="144" t="s">
        <v>107</v>
      </c>
      <c r="I889" s="145" t="str">
        <f>I878</f>
        <v>STR Residency</v>
      </c>
      <c r="J889" s="145" t="s">
        <v>112</v>
      </c>
      <c r="K889" s="145" t="s">
        <v>113</v>
      </c>
      <c r="L889" s="145" t="s">
        <v>114</v>
      </c>
      <c r="M889" s="145" t="s">
        <v>65</v>
      </c>
    </row>
    <row r="890">
      <c r="A890" s="53">
        <f t="shared" ref="A890:A894" si="428">F890-C890-B890</f>
        <v>0</v>
      </c>
      <c r="B890" s="69">
        <f>B879+B887/5</f>
        <v>110100</v>
      </c>
      <c r="C890" s="133">
        <f>sumif(G886:M886,"Pending",G890:M890)</f>
        <v>24000</v>
      </c>
      <c r="D890" s="133">
        <f t="shared" ref="D890:D894" si="429">D879+M890</f>
        <v>105500</v>
      </c>
      <c r="E890" s="32" t="s">
        <v>76</v>
      </c>
      <c r="F890" s="150">
        <f>sumif(G886:M886,"Pending",G890:M890)+B890</f>
        <v>134100</v>
      </c>
      <c r="G890" s="146">
        <f>sumif('Bills - CC EMIs'!D:D,A885,'Bills - CC EMIs'!E:E)+SUMIF('Bills - CC EMIs'!D:D,A885,'Bills - CC EMIs'!F:F)+sumif('Bills - CC EMIs'!D:D,A885,'Bills - CC EMIs'!G:G)</f>
        <v>0</v>
      </c>
      <c r="H890" s="146">
        <f>SUMIFS('Bills - Loans'!F:F,'Bills - Loans'!D:D,A885)</f>
        <v>15500</v>
      </c>
      <c r="I890" s="147">
        <v>0.0</v>
      </c>
      <c r="J890" s="137">
        <f>sumif('Bills - Responsibilities'!D:D,A885,'Bills - Responsibilities'!E:E)</f>
        <v>5000</v>
      </c>
      <c r="K890" s="147">
        <v>0.0</v>
      </c>
      <c r="L890" s="147">
        <f>sumif('Bills - Returns'!C:C,A885,'Bills - Returns'!D:D)</f>
        <v>0</v>
      </c>
      <c r="M890" s="147">
        <f>sumif('Bills - Investments'!C:C,A885,'Bills - Investments'!D:D)</f>
        <v>3500</v>
      </c>
    </row>
    <row r="891">
      <c r="A891" s="53">
        <f t="shared" si="428"/>
        <v>3670886.916</v>
      </c>
      <c r="B891" s="69">
        <f>B880+B887/5</f>
        <v>110100</v>
      </c>
      <c r="C891" s="133">
        <f>sumif(G886:M886,"Pending",G891:M891)</f>
        <v>66636</v>
      </c>
      <c r="D891" s="133">
        <f t="shared" si="429"/>
        <v>902000</v>
      </c>
      <c r="E891" s="32" t="s">
        <v>77</v>
      </c>
      <c r="F891" s="90">
        <f>E886-F890-sum(F892:F894)</f>
        <v>3847622.916</v>
      </c>
      <c r="G891" s="148">
        <f>sumif('Bills - CC EMIs'!D:D,A885,'Bills - CC EMIs'!H:H)</f>
        <v>0</v>
      </c>
      <c r="H891" s="147">
        <f>SUMIFS('Bills - Loans'!E:E,'Bills - Loans'!D:D,A885)</f>
        <v>15742</v>
      </c>
      <c r="I891" s="137">
        <f>sumif('Bills - STR Residency'!D:D,A885,'Bills - STR Residency'!E:E)</f>
        <v>7855</v>
      </c>
      <c r="J891" s="147">
        <v>0.0</v>
      </c>
      <c r="K891" s="147">
        <f>sumif('Bills - Utilities'!C:C,A885,'Bills - Utilities'!B:B)</f>
        <v>1039</v>
      </c>
      <c r="L891" s="147">
        <f>sumif('Bills - Utilities'!D:D,B885,'Bills - Utilities'!C:C)</f>
        <v>0</v>
      </c>
      <c r="M891" s="147">
        <f>sumif('Bills - Investments'!C:C,A885,'Bills - Investments'!E:E)</f>
        <v>42000</v>
      </c>
    </row>
    <row r="892">
      <c r="A892" s="53">
        <f t="shared" si="428"/>
        <v>0</v>
      </c>
      <c r="B892" s="69">
        <f>B881+B887/5</f>
        <v>110100</v>
      </c>
      <c r="C892" s="133">
        <f>sumif(G886:M886,"Pending",G892:M892)</f>
        <v>0</v>
      </c>
      <c r="D892" s="133">
        <f t="shared" si="429"/>
        <v>0</v>
      </c>
      <c r="E892" s="32" t="s">
        <v>81</v>
      </c>
      <c r="F892" s="90">
        <f t="shared" ref="F892:F894" si="430">sum(G892:M892)+B892</f>
        <v>110100</v>
      </c>
      <c r="G892" s="148">
        <f t="shared" ref="G892:G894" si="431">(G881+G870+G859)/3</f>
        <v>0</v>
      </c>
      <c r="H892" s="147">
        <f t="shared" ref="H892:H894" si="432">(H881+H870)/2</f>
        <v>0</v>
      </c>
      <c r="I892" s="147">
        <f t="shared" ref="I892:I894" si="433">I881</f>
        <v>0</v>
      </c>
      <c r="J892" s="147">
        <v>0.0</v>
      </c>
      <c r="K892" s="147">
        <v>0.0</v>
      </c>
      <c r="L892" s="147">
        <v>0.0</v>
      </c>
      <c r="M892" s="147">
        <v>0.0</v>
      </c>
    </row>
    <row r="893">
      <c r="A893" s="53">
        <f t="shared" si="428"/>
        <v>0</v>
      </c>
      <c r="B893" s="69">
        <f>B882+B887/5</f>
        <v>117100</v>
      </c>
      <c r="C893" s="133">
        <f>sumif(G886:M886,"Pending",G893:M893)</f>
        <v>0</v>
      </c>
      <c r="D893" s="133">
        <f t="shared" si="429"/>
        <v>0</v>
      </c>
      <c r="E893" s="32" t="s">
        <v>79</v>
      </c>
      <c r="F893" s="90">
        <f t="shared" si="430"/>
        <v>117100</v>
      </c>
      <c r="G893" s="148">
        <f t="shared" si="431"/>
        <v>0</v>
      </c>
      <c r="H893" s="147">
        <f t="shared" si="432"/>
        <v>0</v>
      </c>
      <c r="I893" s="147">
        <f t="shared" si="433"/>
        <v>0</v>
      </c>
      <c r="J893" s="147">
        <v>0.0</v>
      </c>
      <c r="K893" s="147">
        <v>0.0</v>
      </c>
      <c r="L893" s="147">
        <v>0.0</v>
      </c>
      <c r="M893" s="147">
        <v>0.0</v>
      </c>
    </row>
    <row r="894">
      <c r="A894" s="53">
        <f t="shared" si="428"/>
        <v>0</v>
      </c>
      <c r="B894" s="69">
        <f>B883+B887/5</f>
        <v>110100</v>
      </c>
      <c r="C894" s="133">
        <f>sumif(G886:M886,"Pending",G894:M894)</f>
        <v>0</v>
      </c>
      <c r="D894" s="133">
        <f t="shared" si="429"/>
        <v>0</v>
      </c>
      <c r="E894" s="33" t="s">
        <v>91</v>
      </c>
      <c r="F894" s="90">
        <f t="shared" si="430"/>
        <v>110100</v>
      </c>
      <c r="G894" s="148">
        <f t="shared" si="431"/>
        <v>0</v>
      </c>
      <c r="H894" s="147">
        <f t="shared" si="432"/>
        <v>0</v>
      </c>
      <c r="I894" s="147">
        <f t="shared" si="433"/>
        <v>0</v>
      </c>
      <c r="J894" s="147">
        <v>0.0</v>
      </c>
      <c r="K894" s="147">
        <v>0.0</v>
      </c>
      <c r="L894" s="147">
        <v>0.0</v>
      </c>
      <c r="M894" s="147">
        <v>0.0</v>
      </c>
    </row>
    <row r="895">
      <c r="A895" s="81"/>
      <c r="B895" s="73"/>
      <c r="C895" s="73"/>
      <c r="D895" s="73"/>
      <c r="E895" s="82"/>
      <c r="F895" s="151"/>
      <c r="G895" s="73"/>
      <c r="H895" s="73"/>
      <c r="I895" s="25"/>
      <c r="J895" s="25"/>
      <c r="K895" s="25"/>
      <c r="L895" s="25"/>
      <c r="M895" s="24"/>
    </row>
    <row r="896">
      <c r="A896" s="71">
        <f>Projections!BX1</f>
        <v>47239</v>
      </c>
      <c r="B896" s="24"/>
      <c r="C896" s="24"/>
      <c r="D896" s="25" t="s">
        <v>108</v>
      </c>
      <c r="E896" s="74">
        <f>A899-A888</f>
        <v>133311.6198</v>
      </c>
      <c r="F896" s="25" t="s">
        <v>64</v>
      </c>
      <c r="G896" s="136" t="s">
        <v>109</v>
      </c>
      <c r="H896" s="137" t="s">
        <v>110</v>
      </c>
      <c r="I896" s="137" t="s">
        <v>111</v>
      </c>
      <c r="J896" s="137" t="s">
        <v>112</v>
      </c>
      <c r="K896" s="137" t="s">
        <v>113</v>
      </c>
      <c r="L896" s="137" t="s">
        <v>114</v>
      </c>
      <c r="M896" s="137" t="s">
        <v>65</v>
      </c>
    </row>
    <row r="897">
      <c r="A897" s="25" t="s">
        <v>95</v>
      </c>
      <c r="B897" s="72">
        <f>Projections!BX15</f>
        <v>243447.6198</v>
      </c>
      <c r="C897" s="138">
        <f>A896</f>
        <v>47239</v>
      </c>
      <c r="D897" s="98" t="s">
        <v>115</v>
      </c>
      <c r="E897" s="57">
        <f>Projections!BX14</f>
        <v>4471834.536</v>
      </c>
      <c r="F897" s="73" t="s">
        <v>67</v>
      </c>
      <c r="G897" s="139" t="s">
        <v>67</v>
      </c>
      <c r="H897" s="139" t="s">
        <v>67</v>
      </c>
      <c r="I897" s="137" t="s">
        <v>67</v>
      </c>
      <c r="J897" s="137" t="s">
        <v>67</v>
      </c>
      <c r="K897" s="137" t="s">
        <v>67</v>
      </c>
      <c r="L897" s="137" t="s">
        <v>67</v>
      </c>
      <c r="M897" s="137" t="s">
        <v>67</v>
      </c>
    </row>
    <row r="898">
      <c r="A898" s="25" t="s">
        <v>69</v>
      </c>
      <c r="B898" s="119">
        <f>if(B887&gt;B897/10,B887,B887+500)</f>
        <v>23500</v>
      </c>
      <c r="C898" s="138">
        <f>EOMONTH(C897,0)</f>
        <v>47269</v>
      </c>
      <c r="D898" s="25" t="s">
        <v>116</v>
      </c>
      <c r="E898" s="74">
        <f>if(today()&gt;C898,0,B897*12/365/5)</f>
        <v>1600.751473</v>
      </c>
      <c r="F898" s="25" t="s">
        <v>70</v>
      </c>
      <c r="G898" s="140" t="s">
        <v>117</v>
      </c>
      <c r="H898" s="137" t="s">
        <v>117</v>
      </c>
      <c r="I898" s="137" t="s">
        <v>118</v>
      </c>
      <c r="J898" s="137" t="s">
        <v>118</v>
      </c>
      <c r="K898" s="137" t="s">
        <v>118</v>
      </c>
      <c r="L898" s="137" t="s">
        <v>119</v>
      </c>
      <c r="M898" s="137" t="s">
        <v>119</v>
      </c>
    </row>
    <row r="899">
      <c r="A899" s="54">
        <f>F899-C899-B899</f>
        <v>3804198.536</v>
      </c>
      <c r="B899" s="90">
        <f t="shared" ref="B899:D899" si="434">sum(B901:B905)</f>
        <v>581000</v>
      </c>
      <c r="C899" s="141">
        <f t="shared" si="434"/>
        <v>86636</v>
      </c>
      <c r="D899" s="142">
        <f t="shared" si="434"/>
        <v>1054000</v>
      </c>
      <c r="E899" s="59"/>
      <c r="F899" s="63">
        <f>sum(F901:F905)</f>
        <v>4471834.536</v>
      </c>
      <c r="G899" s="136" t="s">
        <v>120</v>
      </c>
      <c r="H899" s="137" t="s">
        <v>121</v>
      </c>
      <c r="I899" s="137" t="s">
        <v>111</v>
      </c>
      <c r="J899" s="137" t="s">
        <v>112</v>
      </c>
      <c r="K899" s="137" t="s">
        <v>113</v>
      </c>
      <c r="L899" s="137" t="s">
        <v>114</v>
      </c>
      <c r="M899" s="137" t="s">
        <v>65</v>
      </c>
    </row>
    <row r="900">
      <c r="A900" s="32" t="s">
        <v>72</v>
      </c>
      <c r="B900" s="122" t="s">
        <v>84</v>
      </c>
      <c r="C900" s="143" t="s">
        <v>67</v>
      </c>
      <c r="D900" s="143" t="s">
        <v>122</v>
      </c>
      <c r="E900" s="34">
        <f>today()</f>
        <v>45969</v>
      </c>
      <c r="F900" s="35" t="s">
        <v>64</v>
      </c>
      <c r="G900" s="144" t="s">
        <v>107</v>
      </c>
      <c r="H900" s="144" t="s">
        <v>107</v>
      </c>
      <c r="I900" s="145" t="str">
        <f>I889</f>
        <v>STR Residency</v>
      </c>
      <c r="J900" s="145" t="s">
        <v>112</v>
      </c>
      <c r="K900" s="145" t="s">
        <v>113</v>
      </c>
      <c r="L900" s="145" t="s">
        <v>114</v>
      </c>
      <c r="M900" s="145" t="s">
        <v>65</v>
      </c>
    </row>
    <row r="901">
      <c r="A901" s="53">
        <f t="shared" ref="A901:A905" si="435">F901-C901-B901</f>
        <v>0</v>
      </c>
      <c r="B901" s="69">
        <f>B890+B898/5</f>
        <v>114800</v>
      </c>
      <c r="C901" s="133">
        <f>sumif(G897:M897,"Pending",G901:M901)</f>
        <v>24000</v>
      </c>
      <c r="D901" s="133">
        <f t="shared" ref="D901:D905" si="436">D890+M901</f>
        <v>109000</v>
      </c>
      <c r="E901" s="32" t="s">
        <v>76</v>
      </c>
      <c r="F901" s="150">
        <f>sumif(G897:M897,"Pending",G901:M901)+B901</f>
        <v>138800</v>
      </c>
      <c r="G901" s="146">
        <f>sumif('Bills - CC EMIs'!D:D,A896,'Bills - CC EMIs'!E:E)+SUMIF('Bills - CC EMIs'!D:D,A896,'Bills - CC EMIs'!F:F)+sumif('Bills - CC EMIs'!D:D,A896,'Bills - CC EMIs'!G:G)</f>
        <v>0</v>
      </c>
      <c r="H901" s="146">
        <f>SUMIFS('Bills - Loans'!F:F,'Bills - Loans'!D:D,A896)</f>
        <v>15500</v>
      </c>
      <c r="I901" s="147">
        <v>0.0</v>
      </c>
      <c r="J901" s="137">
        <f>sumif('Bills - Responsibilities'!D:D,A896,'Bills - Responsibilities'!E:E)</f>
        <v>5000</v>
      </c>
      <c r="K901" s="147">
        <v>0.0</v>
      </c>
      <c r="L901" s="147">
        <f>sumif('Bills - Returns'!C:C,A896,'Bills - Returns'!D:D)</f>
        <v>0</v>
      </c>
      <c r="M901" s="147">
        <f>sumif('Bills - Investments'!C:C,A896,'Bills - Investments'!D:D)</f>
        <v>3500</v>
      </c>
    </row>
    <row r="902">
      <c r="A902" s="53">
        <f t="shared" si="435"/>
        <v>3804198.536</v>
      </c>
      <c r="B902" s="69">
        <f>B891+B898/5</f>
        <v>114800</v>
      </c>
      <c r="C902" s="133">
        <f>sumif(G897:M897,"Pending",G902:M902)</f>
        <v>62636</v>
      </c>
      <c r="D902" s="133">
        <f t="shared" si="436"/>
        <v>945000</v>
      </c>
      <c r="E902" s="32" t="s">
        <v>77</v>
      </c>
      <c r="F902" s="90">
        <f>E897-F901-sum(F903:F905)</f>
        <v>3981634.536</v>
      </c>
      <c r="G902" s="148">
        <f>sumif('Bills - CC EMIs'!D:D,A896,'Bills - CC EMIs'!H:H)</f>
        <v>0</v>
      </c>
      <c r="H902" s="147">
        <f>SUMIFS('Bills - Loans'!E:E,'Bills - Loans'!D:D,A896)</f>
        <v>15742</v>
      </c>
      <c r="I902" s="137">
        <f>sumif('Bills - STR Residency'!D:D,A896,'Bills - STR Residency'!E:E)</f>
        <v>2855</v>
      </c>
      <c r="J902" s="147">
        <v>0.0</v>
      </c>
      <c r="K902" s="147">
        <f>sumif('Bills - Utilities'!C:C,A896,'Bills - Utilities'!B:B)</f>
        <v>1039</v>
      </c>
      <c r="L902" s="147">
        <f>sumif('Bills - Utilities'!D:D,B896,'Bills - Utilities'!C:C)</f>
        <v>0</v>
      </c>
      <c r="M902" s="147">
        <f>sumif('Bills - Investments'!C:C,A896,'Bills - Investments'!E:E)</f>
        <v>43000</v>
      </c>
    </row>
    <row r="903">
      <c r="A903" s="53">
        <f t="shared" si="435"/>
        <v>0</v>
      </c>
      <c r="B903" s="69">
        <f>B892+B898/5</f>
        <v>114800</v>
      </c>
      <c r="C903" s="133">
        <f>sumif(G897:M897,"Pending",G903:M903)</f>
        <v>0</v>
      </c>
      <c r="D903" s="133">
        <f t="shared" si="436"/>
        <v>0</v>
      </c>
      <c r="E903" s="32" t="s">
        <v>81</v>
      </c>
      <c r="F903" s="90">
        <f t="shared" ref="F903:F905" si="437">sum(G903:M903)+B903</f>
        <v>114800</v>
      </c>
      <c r="G903" s="148">
        <f t="shared" ref="G903:G905" si="438">(G892+G881+G870)/3</f>
        <v>0</v>
      </c>
      <c r="H903" s="147">
        <f t="shared" ref="H903:H905" si="439">(H892+H881)/2</f>
        <v>0</v>
      </c>
      <c r="I903" s="147">
        <f t="shared" ref="I903:I905" si="440">I892</f>
        <v>0</v>
      </c>
      <c r="J903" s="147">
        <v>0.0</v>
      </c>
      <c r="K903" s="147">
        <v>0.0</v>
      </c>
      <c r="L903" s="147">
        <v>0.0</v>
      </c>
      <c r="M903" s="147">
        <v>0.0</v>
      </c>
    </row>
    <row r="904">
      <c r="A904" s="53">
        <f t="shared" si="435"/>
        <v>0</v>
      </c>
      <c r="B904" s="69">
        <f>B893+B898/5</f>
        <v>121800</v>
      </c>
      <c r="C904" s="133">
        <f>sumif(G897:M897,"Pending",G904:M904)</f>
        <v>0</v>
      </c>
      <c r="D904" s="133">
        <f t="shared" si="436"/>
        <v>0</v>
      </c>
      <c r="E904" s="32" t="s">
        <v>79</v>
      </c>
      <c r="F904" s="90">
        <f t="shared" si="437"/>
        <v>121800</v>
      </c>
      <c r="G904" s="148">
        <f t="shared" si="438"/>
        <v>0</v>
      </c>
      <c r="H904" s="147">
        <f t="shared" si="439"/>
        <v>0</v>
      </c>
      <c r="I904" s="147">
        <f t="shared" si="440"/>
        <v>0</v>
      </c>
      <c r="J904" s="147">
        <v>0.0</v>
      </c>
      <c r="K904" s="147">
        <v>0.0</v>
      </c>
      <c r="L904" s="147">
        <v>0.0</v>
      </c>
      <c r="M904" s="147">
        <v>0.0</v>
      </c>
    </row>
    <row r="905">
      <c r="A905" s="53">
        <f t="shared" si="435"/>
        <v>0</v>
      </c>
      <c r="B905" s="69">
        <f>B894+B898/5</f>
        <v>114800</v>
      </c>
      <c r="C905" s="133">
        <f>sumif(G897:M897,"Pending",G905:M905)</f>
        <v>0</v>
      </c>
      <c r="D905" s="133">
        <f t="shared" si="436"/>
        <v>0</v>
      </c>
      <c r="E905" s="33" t="s">
        <v>91</v>
      </c>
      <c r="F905" s="90">
        <f t="shared" si="437"/>
        <v>114800</v>
      </c>
      <c r="G905" s="148">
        <f t="shared" si="438"/>
        <v>0</v>
      </c>
      <c r="H905" s="147">
        <f t="shared" si="439"/>
        <v>0</v>
      </c>
      <c r="I905" s="147">
        <f t="shared" si="440"/>
        <v>0</v>
      </c>
      <c r="J905" s="147">
        <v>0.0</v>
      </c>
      <c r="K905" s="147">
        <v>0.0</v>
      </c>
      <c r="L905" s="147">
        <v>0.0</v>
      </c>
      <c r="M905" s="147">
        <v>0.0</v>
      </c>
    </row>
    <row r="906">
      <c r="A906" s="81"/>
      <c r="B906" s="73"/>
      <c r="C906" s="73"/>
      <c r="D906" s="73"/>
      <c r="E906" s="82"/>
      <c r="F906" s="151"/>
      <c r="G906" s="73"/>
      <c r="H906" s="73"/>
      <c r="I906" s="25"/>
      <c r="J906" s="25"/>
      <c r="K906" s="25"/>
      <c r="L906" s="25"/>
      <c r="M906" s="24"/>
    </row>
    <row r="907">
      <c r="A907" s="71">
        <f>Projections!BY1</f>
        <v>47270</v>
      </c>
      <c r="B907" s="24"/>
      <c r="C907" s="24"/>
      <c r="D907" s="25" t="s">
        <v>108</v>
      </c>
      <c r="E907" s="74">
        <f>A910-A899</f>
        <v>131811.6198</v>
      </c>
      <c r="F907" s="25" t="s">
        <v>64</v>
      </c>
      <c r="G907" s="136" t="s">
        <v>109</v>
      </c>
      <c r="H907" s="137" t="s">
        <v>110</v>
      </c>
      <c r="I907" s="137" t="s">
        <v>111</v>
      </c>
      <c r="J907" s="137" t="s">
        <v>112</v>
      </c>
      <c r="K907" s="137" t="s">
        <v>113</v>
      </c>
      <c r="L907" s="137" t="s">
        <v>114</v>
      </c>
      <c r="M907" s="137" t="s">
        <v>65</v>
      </c>
    </row>
    <row r="908">
      <c r="A908" s="25" t="s">
        <v>95</v>
      </c>
      <c r="B908" s="72">
        <f>Projections!BY15</f>
        <v>243447.6198</v>
      </c>
      <c r="C908" s="138">
        <f>A907</f>
        <v>47270</v>
      </c>
      <c r="D908" s="98" t="s">
        <v>115</v>
      </c>
      <c r="E908" s="57">
        <f>Projections!BY14</f>
        <v>4628646.155</v>
      </c>
      <c r="F908" s="73" t="s">
        <v>67</v>
      </c>
      <c r="G908" s="139" t="s">
        <v>67</v>
      </c>
      <c r="H908" s="139" t="s">
        <v>67</v>
      </c>
      <c r="I908" s="137" t="s">
        <v>67</v>
      </c>
      <c r="J908" s="137" t="s">
        <v>67</v>
      </c>
      <c r="K908" s="137" t="s">
        <v>67</v>
      </c>
      <c r="L908" s="137" t="s">
        <v>67</v>
      </c>
      <c r="M908" s="137" t="s">
        <v>67</v>
      </c>
    </row>
    <row r="909">
      <c r="A909" s="25" t="s">
        <v>69</v>
      </c>
      <c r="B909" s="119">
        <f>if(B898&gt;B908/10,B898,B898+500)</f>
        <v>24000</v>
      </c>
      <c r="C909" s="138">
        <f>EOMONTH(C908,0)</f>
        <v>47299</v>
      </c>
      <c r="D909" s="25" t="s">
        <v>116</v>
      </c>
      <c r="E909" s="74">
        <f>if(today()&gt;C909,0,B908*12/365/5)</f>
        <v>1600.751473</v>
      </c>
      <c r="F909" s="25" t="s">
        <v>70</v>
      </c>
      <c r="G909" s="140" t="s">
        <v>117</v>
      </c>
      <c r="H909" s="137" t="s">
        <v>117</v>
      </c>
      <c r="I909" s="137" t="s">
        <v>118</v>
      </c>
      <c r="J909" s="137" t="s">
        <v>118</v>
      </c>
      <c r="K909" s="137" t="s">
        <v>118</v>
      </c>
      <c r="L909" s="137" t="s">
        <v>119</v>
      </c>
      <c r="M909" s="137" t="s">
        <v>119</v>
      </c>
    </row>
    <row r="910">
      <c r="A910" s="54">
        <f>F910-C910-B910</f>
        <v>3936010.155</v>
      </c>
      <c r="B910" s="90">
        <f t="shared" ref="B910:D910" si="441">sum(B912:B916)</f>
        <v>605000</v>
      </c>
      <c r="C910" s="141">
        <f t="shared" si="441"/>
        <v>87636</v>
      </c>
      <c r="D910" s="142">
        <f t="shared" si="441"/>
        <v>1101500</v>
      </c>
      <c r="E910" s="59"/>
      <c r="F910" s="63">
        <f>sum(F912:F916)</f>
        <v>4628646.155</v>
      </c>
      <c r="G910" s="136" t="s">
        <v>120</v>
      </c>
      <c r="H910" s="137" t="s">
        <v>121</v>
      </c>
      <c r="I910" s="137" t="s">
        <v>111</v>
      </c>
      <c r="J910" s="137" t="s">
        <v>112</v>
      </c>
      <c r="K910" s="137" t="s">
        <v>113</v>
      </c>
      <c r="L910" s="137" t="s">
        <v>114</v>
      </c>
      <c r="M910" s="137" t="s">
        <v>65</v>
      </c>
    </row>
    <row r="911">
      <c r="A911" s="32" t="s">
        <v>72</v>
      </c>
      <c r="B911" s="122" t="s">
        <v>84</v>
      </c>
      <c r="C911" s="143" t="s">
        <v>67</v>
      </c>
      <c r="D911" s="143" t="s">
        <v>122</v>
      </c>
      <c r="E911" s="34">
        <f>today()</f>
        <v>45969</v>
      </c>
      <c r="F911" s="35" t="s">
        <v>64</v>
      </c>
      <c r="G911" s="144" t="s">
        <v>107</v>
      </c>
      <c r="H911" s="144" t="s">
        <v>107</v>
      </c>
      <c r="I911" s="145" t="str">
        <f>I900</f>
        <v>STR Residency</v>
      </c>
      <c r="J911" s="145" t="s">
        <v>112</v>
      </c>
      <c r="K911" s="145" t="s">
        <v>113</v>
      </c>
      <c r="L911" s="145" t="s">
        <v>114</v>
      </c>
      <c r="M911" s="145" t="s">
        <v>65</v>
      </c>
    </row>
    <row r="912">
      <c r="A912" s="53">
        <f t="shared" ref="A912:A916" si="442">F912-C912-B912</f>
        <v>0</v>
      </c>
      <c r="B912" s="69">
        <f>B901+B909/5</f>
        <v>119600</v>
      </c>
      <c r="C912" s="133">
        <f>sumif(G908:M908,"Pending",G912:M912)</f>
        <v>24000</v>
      </c>
      <c r="D912" s="133">
        <f t="shared" ref="D912:D916" si="443">D901+M912</f>
        <v>112500</v>
      </c>
      <c r="E912" s="32" t="s">
        <v>76</v>
      </c>
      <c r="F912" s="150">
        <f>sumif(G908:M908,"Pending",G912:M912)+B912</f>
        <v>143600</v>
      </c>
      <c r="G912" s="146">
        <f>sumif('Bills - CC EMIs'!D:D,A907,'Bills - CC EMIs'!E:E)+SUMIF('Bills - CC EMIs'!D:D,A907,'Bills - CC EMIs'!F:F)+sumif('Bills - CC EMIs'!D:D,A907,'Bills - CC EMIs'!G:G)</f>
        <v>0</v>
      </c>
      <c r="H912" s="146">
        <f>SUMIFS('Bills - Loans'!F:F,'Bills - Loans'!D:D,A907)</f>
        <v>15500</v>
      </c>
      <c r="I912" s="147">
        <v>0.0</v>
      </c>
      <c r="J912" s="137">
        <f>sumif('Bills - Responsibilities'!D:D,A907,'Bills - Responsibilities'!E:E)</f>
        <v>5000</v>
      </c>
      <c r="K912" s="147">
        <v>0.0</v>
      </c>
      <c r="L912" s="147">
        <f>sumif('Bills - Returns'!C:C,A907,'Bills - Returns'!D:D)</f>
        <v>0</v>
      </c>
      <c r="M912" s="147">
        <f>sumif('Bills - Investments'!C:C,A907,'Bills - Investments'!D:D)</f>
        <v>3500</v>
      </c>
    </row>
    <row r="913">
      <c r="A913" s="53">
        <f t="shared" si="442"/>
        <v>3936010.155</v>
      </c>
      <c r="B913" s="69">
        <f>B902+B909/5</f>
        <v>119600</v>
      </c>
      <c r="C913" s="133">
        <f>sumif(G908:M908,"Pending",G913:M913)</f>
        <v>63636</v>
      </c>
      <c r="D913" s="133">
        <f t="shared" si="443"/>
        <v>989000</v>
      </c>
      <c r="E913" s="32" t="s">
        <v>77</v>
      </c>
      <c r="F913" s="90">
        <f>E908-F912-sum(F914:F916)</f>
        <v>4119246.155</v>
      </c>
      <c r="G913" s="148">
        <f>sumif('Bills - CC EMIs'!D:D,A907,'Bills - CC EMIs'!H:H)</f>
        <v>0</v>
      </c>
      <c r="H913" s="147">
        <f>SUMIFS('Bills - Loans'!E:E,'Bills - Loans'!D:D,A907)</f>
        <v>15742</v>
      </c>
      <c r="I913" s="137">
        <f>sumif('Bills - STR Residency'!D:D,A907,'Bills - STR Residency'!E:E)</f>
        <v>2855</v>
      </c>
      <c r="J913" s="147">
        <v>0.0</v>
      </c>
      <c r="K913" s="147">
        <f>sumif('Bills - Utilities'!C:C,A907,'Bills - Utilities'!B:B)</f>
        <v>1039</v>
      </c>
      <c r="L913" s="147">
        <f>sumif('Bills - Utilities'!D:D,B907,'Bills - Utilities'!C:C)</f>
        <v>0</v>
      </c>
      <c r="M913" s="147">
        <f>sumif('Bills - Investments'!C:C,A907,'Bills - Investments'!E:E)</f>
        <v>44000</v>
      </c>
    </row>
    <row r="914">
      <c r="A914" s="53">
        <f t="shared" si="442"/>
        <v>0</v>
      </c>
      <c r="B914" s="69">
        <f>B903+B909/5</f>
        <v>119600</v>
      </c>
      <c r="C914" s="133">
        <f>sumif(G908:M908,"Pending",G914:M914)</f>
        <v>0</v>
      </c>
      <c r="D914" s="133">
        <f t="shared" si="443"/>
        <v>0</v>
      </c>
      <c r="E914" s="32" t="s">
        <v>81</v>
      </c>
      <c r="F914" s="90">
        <f t="shared" ref="F914:F916" si="444">sum(G914:M914)+B914</f>
        <v>119600</v>
      </c>
      <c r="G914" s="148">
        <f t="shared" ref="G914:G916" si="445">(G903+G892+G881)/3</f>
        <v>0</v>
      </c>
      <c r="H914" s="147">
        <f t="shared" ref="H914:H916" si="446">(H903+H892)/2</f>
        <v>0</v>
      </c>
      <c r="I914" s="147">
        <f t="shared" ref="I914:I916" si="447">I903</f>
        <v>0</v>
      </c>
      <c r="J914" s="147">
        <v>0.0</v>
      </c>
      <c r="K914" s="147">
        <v>0.0</v>
      </c>
      <c r="L914" s="147">
        <v>0.0</v>
      </c>
      <c r="M914" s="147">
        <v>0.0</v>
      </c>
    </row>
    <row r="915">
      <c r="A915" s="53">
        <f t="shared" si="442"/>
        <v>0</v>
      </c>
      <c r="B915" s="69">
        <f>B904+B909/5</f>
        <v>126600</v>
      </c>
      <c r="C915" s="133">
        <f>sumif(G908:M908,"Pending",G915:M915)</f>
        <v>0</v>
      </c>
      <c r="D915" s="133">
        <f t="shared" si="443"/>
        <v>0</v>
      </c>
      <c r="E915" s="32" t="s">
        <v>79</v>
      </c>
      <c r="F915" s="90">
        <f t="shared" si="444"/>
        <v>126600</v>
      </c>
      <c r="G915" s="148">
        <f t="shared" si="445"/>
        <v>0</v>
      </c>
      <c r="H915" s="147">
        <f t="shared" si="446"/>
        <v>0</v>
      </c>
      <c r="I915" s="147">
        <f t="shared" si="447"/>
        <v>0</v>
      </c>
      <c r="J915" s="147">
        <v>0.0</v>
      </c>
      <c r="K915" s="147">
        <v>0.0</v>
      </c>
      <c r="L915" s="147">
        <v>0.0</v>
      </c>
      <c r="M915" s="147">
        <v>0.0</v>
      </c>
    </row>
    <row r="916">
      <c r="A916" s="53">
        <f t="shared" si="442"/>
        <v>0</v>
      </c>
      <c r="B916" s="69">
        <f>B905+B909/5</f>
        <v>119600</v>
      </c>
      <c r="C916" s="133">
        <f>sumif(G908:M908,"Pending",G916:M916)</f>
        <v>0</v>
      </c>
      <c r="D916" s="133">
        <f t="shared" si="443"/>
        <v>0</v>
      </c>
      <c r="E916" s="33" t="s">
        <v>91</v>
      </c>
      <c r="F916" s="90">
        <f t="shared" si="444"/>
        <v>119600</v>
      </c>
      <c r="G916" s="148">
        <f t="shared" si="445"/>
        <v>0</v>
      </c>
      <c r="H916" s="147">
        <f t="shared" si="446"/>
        <v>0</v>
      </c>
      <c r="I916" s="147">
        <f t="shared" si="447"/>
        <v>0</v>
      </c>
      <c r="J916" s="147">
        <v>0.0</v>
      </c>
      <c r="K916" s="147">
        <v>0.0</v>
      </c>
      <c r="L916" s="147">
        <v>0.0</v>
      </c>
      <c r="M916" s="147">
        <v>0.0</v>
      </c>
    </row>
    <row r="917">
      <c r="A917" s="81"/>
      <c r="B917" s="73"/>
      <c r="C917" s="73"/>
      <c r="D917" s="73"/>
      <c r="E917" s="82"/>
      <c r="F917" s="151"/>
      <c r="G917" s="73"/>
      <c r="H917" s="73"/>
      <c r="I917" s="25"/>
      <c r="J917" s="25"/>
      <c r="K917" s="25"/>
      <c r="L917" s="25"/>
      <c r="M917" s="24"/>
    </row>
    <row r="918">
      <c r="A918" s="71">
        <f>Projections!BZ1</f>
        <v>47300</v>
      </c>
      <c r="B918" s="24"/>
      <c r="C918" s="24"/>
      <c r="D918" s="25" t="s">
        <v>108</v>
      </c>
      <c r="E918" s="74">
        <f>A921-A910</f>
        <v>129011.6198</v>
      </c>
      <c r="F918" s="25" t="s">
        <v>64</v>
      </c>
      <c r="G918" s="136" t="s">
        <v>109</v>
      </c>
      <c r="H918" s="137" t="s">
        <v>110</v>
      </c>
      <c r="I918" s="137" t="s">
        <v>111</v>
      </c>
      <c r="J918" s="137" t="s">
        <v>112</v>
      </c>
      <c r="K918" s="137" t="s">
        <v>113</v>
      </c>
      <c r="L918" s="137" t="s">
        <v>114</v>
      </c>
      <c r="M918" s="137" t="s">
        <v>65</v>
      </c>
    </row>
    <row r="919">
      <c r="A919" s="25" t="s">
        <v>95</v>
      </c>
      <c r="B919" s="72">
        <f>Projections!BZ15</f>
        <v>243447.6198</v>
      </c>
      <c r="C919" s="138">
        <f>A918</f>
        <v>47300</v>
      </c>
      <c r="D919" s="98" t="s">
        <v>115</v>
      </c>
      <c r="E919" s="57">
        <f>Projections!BZ14</f>
        <v>4784457.775</v>
      </c>
      <c r="F919" s="73" t="s">
        <v>67</v>
      </c>
      <c r="G919" s="139" t="s">
        <v>67</v>
      </c>
      <c r="H919" s="139" t="s">
        <v>67</v>
      </c>
      <c r="I919" s="137" t="s">
        <v>67</v>
      </c>
      <c r="J919" s="137" t="s">
        <v>67</v>
      </c>
      <c r="K919" s="137" t="s">
        <v>67</v>
      </c>
      <c r="L919" s="137" t="s">
        <v>67</v>
      </c>
      <c r="M919" s="137" t="s">
        <v>67</v>
      </c>
    </row>
    <row r="920">
      <c r="A920" s="25" t="s">
        <v>69</v>
      </c>
      <c r="B920" s="119">
        <f>if(B909&gt;B919/10,B909,B909+500)</f>
        <v>24500</v>
      </c>
      <c r="C920" s="138">
        <f>EOMONTH(C919,0)</f>
        <v>47330</v>
      </c>
      <c r="D920" s="25" t="s">
        <v>116</v>
      </c>
      <c r="E920" s="74">
        <f>if(today()&gt;C920,0,B919*12/365/5)</f>
        <v>1600.751473</v>
      </c>
      <c r="F920" s="25" t="s">
        <v>70</v>
      </c>
      <c r="G920" s="140" t="s">
        <v>117</v>
      </c>
      <c r="H920" s="137" t="s">
        <v>117</v>
      </c>
      <c r="I920" s="137" t="s">
        <v>118</v>
      </c>
      <c r="J920" s="137" t="s">
        <v>118</v>
      </c>
      <c r="K920" s="137" t="s">
        <v>118</v>
      </c>
      <c r="L920" s="137" t="s">
        <v>119</v>
      </c>
      <c r="M920" s="137" t="s">
        <v>119</v>
      </c>
    </row>
    <row r="921">
      <c r="A921" s="54">
        <f>F921-C921-B921</f>
        <v>4065021.775</v>
      </c>
      <c r="B921" s="90">
        <f t="shared" ref="B921:D921" si="448">sum(B923:B927)</f>
        <v>629500</v>
      </c>
      <c r="C921" s="141">
        <f t="shared" si="448"/>
        <v>89936</v>
      </c>
      <c r="D921" s="142">
        <f t="shared" si="448"/>
        <v>1150000</v>
      </c>
      <c r="E921" s="59"/>
      <c r="F921" s="63">
        <f>sum(F923:F927)</f>
        <v>4784457.775</v>
      </c>
      <c r="G921" s="136" t="s">
        <v>120</v>
      </c>
      <c r="H921" s="137" t="s">
        <v>121</v>
      </c>
      <c r="I921" s="137" t="s">
        <v>111</v>
      </c>
      <c r="J921" s="137" t="s">
        <v>112</v>
      </c>
      <c r="K921" s="137" t="s">
        <v>113</v>
      </c>
      <c r="L921" s="137" t="s">
        <v>114</v>
      </c>
      <c r="M921" s="137" t="s">
        <v>65</v>
      </c>
    </row>
    <row r="922">
      <c r="A922" s="32" t="s">
        <v>72</v>
      </c>
      <c r="B922" s="122" t="s">
        <v>84</v>
      </c>
      <c r="C922" s="143" t="s">
        <v>67</v>
      </c>
      <c r="D922" s="143" t="s">
        <v>122</v>
      </c>
      <c r="E922" s="34">
        <f>today()</f>
        <v>45969</v>
      </c>
      <c r="F922" s="35" t="s">
        <v>64</v>
      </c>
      <c r="G922" s="144" t="s">
        <v>107</v>
      </c>
      <c r="H922" s="144" t="s">
        <v>107</v>
      </c>
      <c r="I922" s="145" t="str">
        <f>I911</f>
        <v>STR Residency</v>
      </c>
      <c r="J922" s="145" t="s">
        <v>112</v>
      </c>
      <c r="K922" s="145" t="s">
        <v>113</v>
      </c>
      <c r="L922" s="145" t="s">
        <v>114</v>
      </c>
      <c r="M922" s="145" t="s">
        <v>65</v>
      </c>
    </row>
    <row r="923">
      <c r="A923" s="53">
        <f t="shared" ref="A923:A927" si="449">F923-C923-B923</f>
        <v>0</v>
      </c>
      <c r="B923" s="69">
        <f>B912+B920/5</f>
        <v>124500</v>
      </c>
      <c r="C923" s="133">
        <f>sumif(G919:M919,"Pending",G923:M923)</f>
        <v>24000</v>
      </c>
      <c r="D923" s="133">
        <f t="shared" ref="D923:D927" si="450">D912+M923</f>
        <v>116000</v>
      </c>
      <c r="E923" s="32" t="s">
        <v>76</v>
      </c>
      <c r="F923" s="150">
        <f>sumif(G919:M919,"Pending",G923:M923)+B923</f>
        <v>148500</v>
      </c>
      <c r="G923" s="146">
        <f>sumif('Bills - CC EMIs'!D:D,A918,'Bills - CC EMIs'!E:E)+SUMIF('Bills - CC EMIs'!D:D,A918,'Bills - CC EMIs'!F:F)+sumif('Bills - CC EMIs'!D:D,A918,'Bills - CC EMIs'!G:G)</f>
        <v>0</v>
      </c>
      <c r="H923" s="146">
        <f>SUMIFS('Bills - Loans'!F:F,'Bills - Loans'!D:D,A918)</f>
        <v>15500</v>
      </c>
      <c r="I923" s="147">
        <v>0.0</v>
      </c>
      <c r="J923" s="137">
        <f>sumif('Bills - Responsibilities'!D:D,A918,'Bills - Responsibilities'!E:E)</f>
        <v>5000</v>
      </c>
      <c r="K923" s="147">
        <v>0.0</v>
      </c>
      <c r="L923" s="147">
        <f>sumif('Bills - Returns'!C:C,A918,'Bills - Returns'!D:D)</f>
        <v>0</v>
      </c>
      <c r="M923" s="147">
        <f>sumif('Bills - Investments'!C:C,A918,'Bills - Investments'!D:D)</f>
        <v>3500</v>
      </c>
    </row>
    <row r="924">
      <c r="A924" s="53">
        <f t="shared" si="449"/>
        <v>4065021.775</v>
      </c>
      <c r="B924" s="69">
        <f>B913+B920/5</f>
        <v>124500</v>
      </c>
      <c r="C924" s="133">
        <f>sumif(G919:M919,"Pending",G924:M924)</f>
        <v>65936</v>
      </c>
      <c r="D924" s="133">
        <f t="shared" si="450"/>
        <v>1034000</v>
      </c>
      <c r="E924" s="32" t="s">
        <v>77</v>
      </c>
      <c r="F924" s="90">
        <f>E919-F923-sum(F925:F927)</f>
        <v>4255457.775</v>
      </c>
      <c r="G924" s="148">
        <f>sumif('Bills - CC EMIs'!D:D,A918,'Bills - CC EMIs'!H:H)</f>
        <v>0</v>
      </c>
      <c r="H924" s="147">
        <f>SUMIFS('Bills - Loans'!E:E,'Bills - Loans'!D:D,A918)</f>
        <v>15742</v>
      </c>
      <c r="I924" s="137">
        <f>sumif('Bills - STR Residency'!D:D,A918,'Bills - STR Residency'!E:E)</f>
        <v>2855</v>
      </c>
      <c r="J924" s="147">
        <v>0.0</v>
      </c>
      <c r="K924" s="147">
        <f>sumif('Bills - Utilities'!C:C,A918,'Bills - Utilities'!B:B)</f>
        <v>2339</v>
      </c>
      <c r="L924" s="147">
        <f>sumif('Bills - Utilities'!D:D,B918,'Bills - Utilities'!C:C)</f>
        <v>0</v>
      </c>
      <c r="M924" s="147">
        <f>sumif('Bills - Investments'!C:C,A918,'Bills - Investments'!E:E)</f>
        <v>45000</v>
      </c>
    </row>
    <row r="925">
      <c r="A925" s="53">
        <f t="shared" si="449"/>
        <v>0</v>
      </c>
      <c r="B925" s="69">
        <f>B914+B920/5</f>
        <v>124500</v>
      </c>
      <c r="C925" s="133">
        <f>sumif(G919:M919,"Pending",G925:M925)</f>
        <v>0</v>
      </c>
      <c r="D925" s="133">
        <f t="shared" si="450"/>
        <v>0</v>
      </c>
      <c r="E925" s="32" t="s">
        <v>81</v>
      </c>
      <c r="F925" s="90">
        <f t="shared" ref="F925:F927" si="451">sum(G925:M925)+B925</f>
        <v>124500</v>
      </c>
      <c r="G925" s="148">
        <f t="shared" ref="G925:G927" si="452">(G914+G903+G892)/3</f>
        <v>0</v>
      </c>
      <c r="H925" s="147">
        <f t="shared" ref="H925:H927" si="453">(H914+H903)/2</f>
        <v>0</v>
      </c>
      <c r="I925" s="147">
        <f t="shared" ref="I925:I927" si="454">I914</f>
        <v>0</v>
      </c>
      <c r="J925" s="147">
        <v>0.0</v>
      </c>
      <c r="K925" s="147">
        <v>0.0</v>
      </c>
      <c r="L925" s="147">
        <v>0.0</v>
      </c>
      <c r="M925" s="147">
        <v>0.0</v>
      </c>
    </row>
    <row r="926">
      <c r="A926" s="53">
        <f t="shared" si="449"/>
        <v>0</v>
      </c>
      <c r="B926" s="69">
        <f>B915+B920/5</f>
        <v>131500</v>
      </c>
      <c r="C926" s="133">
        <f>sumif(G919:M919,"Pending",G926:M926)</f>
        <v>0</v>
      </c>
      <c r="D926" s="133">
        <f t="shared" si="450"/>
        <v>0</v>
      </c>
      <c r="E926" s="32" t="s">
        <v>79</v>
      </c>
      <c r="F926" s="90">
        <f t="shared" si="451"/>
        <v>131500</v>
      </c>
      <c r="G926" s="148">
        <f t="shared" si="452"/>
        <v>0</v>
      </c>
      <c r="H926" s="147">
        <f t="shared" si="453"/>
        <v>0</v>
      </c>
      <c r="I926" s="147">
        <f t="shared" si="454"/>
        <v>0</v>
      </c>
      <c r="J926" s="147">
        <v>0.0</v>
      </c>
      <c r="K926" s="147">
        <v>0.0</v>
      </c>
      <c r="L926" s="147">
        <v>0.0</v>
      </c>
      <c r="M926" s="147">
        <v>0.0</v>
      </c>
    </row>
    <row r="927">
      <c r="A927" s="53">
        <f t="shared" si="449"/>
        <v>0</v>
      </c>
      <c r="B927" s="69">
        <f>B916+B920/5</f>
        <v>124500</v>
      </c>
      <c r="C927" s="133">
        <f>sumif(G919:M919,"Pending",G927:M927)</f>
        <v>0</v>
      </c>
      <c r="D927" s="133">
        <f t="shared" si="450"/>
        <v>0</v>
      </c>
      <c r="E927" s="33" t="s">
        <v>91</v>
      </c>
      <c r="F927" s="90">
        <f t="shared" si="451"/>
        <v>124500</v>
      </c>
      <c r="G927" s="148">
        <f t="shared" si="452"/>
        <v>0</v>
      </c>
      <c r="H927" s="147">
        <f t="shared" si="453"/>
        <v>0</v>
      </c>
      <c r="I927" s="147">
        <f t="shared" si="454"/>
        <v>0</v>
      </c>
      <c r="J927" s="147">
        <v>0.0</v>
      </c>
      <c r="K927" s="147">
        <v>0.0</v>
      </c>
      <c r="L927" s="147">
        <v>0.0</v>
      </c>
      <c r="M927" s="147">
        <v>0.0</v>
      </c>
    </row>
    <row r="928">
      <c r="A928" s="81"/>
      <c r="B928" s="73"/>
      <c r="C928" s="73"/>
      <c r="D928" s="73"/>
      <c r="E928" s="82"/>
      <c r="F928" s="151"/>
      <c r="G928" s="73"/>
      <c r="H928" s="73"/>
      <c r="I928" s="25"/>
      <c r="J928" s="25"/>
      <c r="K928" s="25"/>
      <c r="L928" s="25"/>
      <c r="M928" s="24"/>
    </row>
    <row r="929">
      <c r="A929" s="71">
        <f>Projections!CA1</f>
        <v>47331</v>
      </c>
      <c r="B929" s="24"/>
      <c r="C929" s="24"/>
      <c r="D929" s="25" t="s">
        <v>108</v>
      </c>
      <c r="E929" s="74">
        <f>A932-A921</f>
        <v>124311.6198</v>
      </c>
      <c r="F929" s="25" t="s">
        <v>64</v>
      </c>
      <c r="G929" s="136" t="s">
        <v>109</v>
      </c>
      <c r="H929" s="137" t="s">
        <v>110</v>
      </c>
      <c r="I929" s="137" t="s">
        <v>111</v>
      </c>
      <c r="J929" s="137" t="s">
        <v>112</v>
      </c>
      <c r="K929" s="137" t="s">
        <v>113</v>
      </c>
      <c r="L929" s="137" t="s">
        <v>114</v>
      </c>
      <c r="M929" s="137" t="s">
        <v>65</v>
      </c>
    </row>
    <row r="930">
      <c r="A930" s="25" t="s">
        <v>95</v>
      </c>
      <c r="B930" s="72">
        <f>Projections!CA15</f>
        <v>243447.6198</v>
      </c>
      <c r="C930" s="138">
        <f>A929</f>
        <v>47331</v>
      </c>
      <c r="D930" s="98" t="s">
        <v>115</v>
      </c>
      <c r="E930" s="57">
        <f>Projections!CA14</f>
        <v>4937969.395</v>
      </c>
      <c r="F930" s="73" t="s">
        <v>67</v>
      </c>
      <c r="G930" s="139" t="s">
        <v>67</v>
      </c>
      <c r="H930" s="139" t="s">
        <v>67</v>
      </c>
      <c r="I930" s="137" t="s">
        <v>67</v>
      </c>
      <c r="J930" s="137" t="s">
        <v>67</v>
      </c>
      <c r="K930" s="137" t="s">
        <v>67</v>
      </c>
      <c r="L930" s="137" t="s">
        <v>67</v>
      </c>
      <c r="M930" s="137" t="s">
        <v>67</v>
      </c>
    </row>
    <row r="931">
      <c r="A931" s="25" t="s">
        <v>69</v>
      </c>
      <c r="B931" s="119">
        <f>if(B920&gt;B930/10,B920,B920+500)</f>
        <v>24500</v>
      </c>
      <c r="C931" s="138">
        <f>EOMONTH(C930,0)</f>
        <v>47361</v>
      </c>
      <c r="D931" s="25" t="s">
        <v>116</v>
      </c>
      <c r="E931" s="74">
        <f>if(today()&gt;C931,0,B930*12/365/5)</f>
        <v>1600.751473</v>
      </c>
      <c r="F931" s="25" t="s">
        <v>70</v>
      </c>
      <c r="G931" s="140" t="s">
        <v>117</v>
      </c>
      <c r="H931" s="137" t="s">
        <v>117</v>
      </c>
      <c r="I931" s="137" t="s">
        <v>118</v>
      </c>
      <c r="J931" s="137" t="s">
        <v>118</v>
      </c>
      <c r="K931" s="137" t="s">
        <v>118</v>
      </c>
      <c r="L931" s="137" t="s">
        <v>119</v>
      </c>
      <c r="M931" s="137" t="s">
        <v>119</v>
      </c>
    </row>
    <row r="932">
      <c r="A932" s="54">
        <f>F932-C932-B932</f>
        <v>4189333.395</v>
      </c>
      <c r="B932" s="90">
        <f t="shared" ref="B932:D932" si="455">sum(B934:B938)</f>
        <v>654000</v>
      </c>
      <c r="C932" s="141">
        <f t="shared" si="455"/>
        <v>94636</v>
      </c>
      <c r="D932" s="142">
        <f t="shared" si="455"/>
        <v>1199500</v>
      </c>
      <c r="E932" s="59"/>
      <c r="F932" s="63">
        <f>sum(F934:F938)</f>
        <v>4937969.395</v>
      </c>
      <c r="G932" s="136" t="s">
        <v>120</v>
      </c>
      <c r="H932" s="137" t="s">
        <v>121</v>
      </c>
      <c r="I932" s="137" t="s">
        <v>111</v>
      </c>
      <c r="J932" s="137" t="s">
        <v>112</v>
      </c>
      <c r="K932" s="137" t="s">
        <v>113</v>
      </c>
      <c r="L932" s="137" t="s">
        <v>114</v>
      </c>
      <c r="M932" s="137" t="s">
        <v>65</v>
      </c>
    </row>
    <row r="933">
      <c r="A933" s="32" t="s">
        <v>72</v>
      </c>
      <c r="B933" s="122" t="s">
        <v>84</v>
      </c>
      <c r="C933" s="143" t="s">
        <v>67</v>
      </c>
      <c r="D933" s="143" t="s">
        <v>122</v>
      </c>
      <c r="E933" s="34">
        <f>today()</f>
        <v>45969</v>
      </c>
      <c r="F933" s="35" t="s">
        <v>64</v>
      </c>
      <c r="G933" s="144" t="s">
        <v>107</v>
      </c>
      <c r="H933" s="144" t="s">
        <v>107</v>
      </c>
      <c r="I933" s="145" t="str">
        <f>I922</f>
        <v>STR Residency</v>
      </c>
      <c r="J933" s="145" t="s">
        <v>112</v>
      </c>
      <c r="K933" s="145" t="s">
        <v>113</v>
      </c>
      <c r="L933" s="145" t="s">
        <v>114</v>
      </c>
      <c r="M933" s="145" t="s">
        <v>65</v>
      </c>
    </row>
    <row r="934">
      <c r="A934" s="53">
        <f t="shared" ref="A934:A938" si="456">F934-C934-B934</f>
        <v>0</v>
      </c>
      <c r="B934" s="69">
        <f>B923+B931/5</f>
        <v>129400</v>
      </c>
      <c r="C934" s="133">
        <f>sumif(G930:M930,"Pending",G934:M934)</f>
        <v>24000</v>
      </c>
      <c r="D934" s="133">
        <f t="shared" ref="D934:D938" si="457">D923+M934</f>
        <v>119500</v>
      </c>
      <c r="E934" s="32" t="s">
        <v>76</v>
      </c>
      <c r="F934" s="150">
        <f>sumif(G930:M930,"Pending",G934:M934)+B934</f>
        <v>153400</v>
      </c>
      <c r="G934" s="146">
        <f>sumif('Bills - CC EMIs'!D:D,A929,'Bills - CC EMIs'!E:E)+SUMIF('Bills - CC EMIs'!D:D,A929,'Bills - CC EMIs'!F:F)+sumif('Bills - CC EMIs'!D:D,A929,'Bills - CC EMIs'!G:G)</f>
        <v>0</v>
      </c>
      <c r="H934" s="146">
        <f>SUMIFS('Bills - Loans'!F:F,'Bills - Loans'!D:D,A929)</f>
        <v>15500</v>
      </c>
      <c r="I934" s="147">
        <v>0.0</v>
      </c>
      <c r="J934" s="137">
        <f>sumif('Bills - Responsibilities'!D:D,A929,'Bills - Responsibilities'!E:E)</f>
        <v>5000</v>
      </c>
      <c r="K934" s="147">
        <v>0.0</v>
      </c>
      <c r="L934" s="147">
        <f>sumif('Bills - Returns'!C:C,A929,'Bills - Returns'!D:D)</f>
        <v>0</v>
      </c>
      <c r="M934" s="147">
        <f>sumif('Bills - Investments'!C:C,A929,'Bills - Investments'!D:D)</f>
        <v>3500</v>
      </c>
    </row>
    <row r="935">
      <c r="A935" s="53">
        <f t="shared" si="456"/>
        <v>4189333.395</v>
      </c>
      <c r="B935" s="69">
        <f>B924+B931/5</f>
        <v>129400</v>
      </c>
      <c r="C935" s="133">
        <f>sumif(G930:M930,"Pending",G935:M935)</f>
        <v>70636</v>
      </c>
      <c r="D935" s="133">
        <f t="shared" si="457"/>
        <v>1080000</v>
      </c>
      <c r="E935" s="32" t="s">
        <v>77</v>
      </c>
      <c r="F935" s="90">
        <f>E930-F934-sum(F936:F938)</f>
        <v>4389369.395</v>
      </c>
      <c r="G935" s="148">
        <f>sumif('Bills - CC EMIs'!D:D,A929,'Bills - CC EMIs'!H:H)</f>
        <v>0</v>
      </c>
      <c r="H935" s="147">
        <f>SUMIFS('Bills - Loans'!E:E,'Bills - Loans'!D:D,A929)</f>
        <v>15742</v>
      </c>
      <c r="I935" s="137">
        <f>sumif('Bills - STR Residency'!D:D,A929,'Bills - STR Residency'!E:E)</f>
        <v>2855</v>
      </c>
      <c r="J935" s="147">
        <v>0.0</v>
      </c>
      <c r="K935" s="147">
        <f>sumif('Bills - Utilities'!C:C,A929,'Bills - Utilities'!B:B)</f>
        <v>6039</v>
      </c>
      <c r="L935" s="147">
        <f>sumif('Bills - Utilities'!D:D,B929,'Bills - Utilities'!C:C)</f>
        <v>0</v>
      </c>
      <c r="M935" s="147">
        <f>sumif('Bills - Investments'!C:C,A929,'Bills - Investments'!E:E)</f>
        <v>46000</v>
      </c>
    </row>
    <row r="936">
      <c r="A936" s="53">
        <f t="shared" si="456"/>
        <v>0</v>
      </c>
      <c r="B936" s="69">
        <f>B925+B931/5</f>
        <v>129400</v>
      </c>
      <c r="C936" s="133">
        <f>sumif(G930:M930,"Pending",G936:M936)</f>
        <v>0</v>
      </c>
      <c r="D936" s="133">
        <f t="shared" si="457"/>
        <v>0</v>
      </c>
      <c r="E936" s="32" t="s">
        <v>81</v>
      </c>
      <c r="F936" s="90">
        <f t="shared" ref="F936:F938" si="458">sum(G936:M936)+B936</f>
        <v>129400</v>
      </c>
      <c r="G936" s="148">
        <f t="shared" ref="G936:G938" si="459">(G925+G914+G903)/3</f>
        <v>0</v>
      </c>
      <c r="H936" s="147">
        <f t="shared" ref="H936:H938" si="460">(H925+H914)/2</f>
        <v>0</v>
      </c>
      <c r="I936" s="147">
        <f t="shared" ref="I936:I938" si="461">I925</f>
        <v>0</v>
      </c>
      <c r="J936" s="147">
        <v>0.0</v>
      </c>
      <c r="K936" s="147">
        <v>0.0</v>
      </c>
      <c r="L936" s="147">
        <v>0.0</v>
      </c>
      <c r="M936" s="147">
        <v>0.0</v>
      </c>
    </row>
    <row r="937">
      <c r="A937" s="53">
        <f t="shared" si="456"/>
        <v>0</v>
      </c>
      <c r="B937" s="69">
        <f>B926+B931/5</f>
        <v>136400</v>
      </c>
      <c r="C937" s="133">
        <f>sumif(G930:M930,"Pending",G937:M937)</f>
        <v>0</v>
      </c>
      <c r="D937" s="133">
        <f t="shared" si="457"/>
        <v>0</v>
      </c>
      <c r="E937" s="32" t="s">
        <v>79</v>
      </c>
      <c r="F937" s="90">
        <f t="shared" si="458"/>
        <v>136400</v>
      </c>
      <c r="G937" s="148">
        <f t="shared" si="459"/>
        <v>0</v>
      </c>
      <c r="H937" s="147">
        <f t="shared" si="460"/>
        <v>0</v>
      </c>
      <c r="I937" s="147">
        <f t="shared" si="461"/>
        <v>0</v>
      </c>
      <c r="J937" s="147">
        <v>0.0</v>
      </c>
      <c r="K937" s="147">
        <v>0.0</v>
      </c>
      <c r="L937" s="147">
        <v>0.0</v>
      </c>
      <c r="M937" s="147">
        <v>0.0</v>
      </c>
    </row>
    <row r="938">
      <c r="A938" s="53">
        <f t="shared" si="456"/>
        <v>0</v>
      </c>
      <c r="B938" s="69">
        <f>B927+B931/5</f>
        <v>129400</v>
      </c>
      <c r="C938" s="133">
        <f>sumif(G930:M930,"Pending",G938:M938)</f>
        <v>0</v>
      </c>
      <c r="D938" s="133">
        <f t="shared" si="457"/>
        <v>0</v>
      </c>
      <c r="E938" s="33" t="s">
        <v>91</v>
      </c>
      <c r="F938" s="90">
        <f t="shared" si="458"/>
        <v>129400</v>
      </c>
      <c r="G938" s="148">
        <f t="shared" si="459"/>
        <v>0</v>
      </c>
      <c r="H938" s="147">
        <f t="shared" si="460"/>
        <v>0</v>
      </c>
      <c r="I938" s="147">
        <f t="shared" si="461"/>
        <v>0</v>
      </c>
      <c r="J938" s="147">
        <v>0.0</v>
      </c>
      <c r="K938" s="147">
        <v>0.0</v>
      </c>
      <c r="L938" s="147">
        <v>0.0</v>
      </c>
      <c r="M938" s="147">
        <v>0.0</v>
      </c>
    </row>
    <row r="939">
      <c r="A939" s="81"/>
      <c r="B939" s="73"/>
      <c r="C939" s="73"/>
      <c r="D939" s="73"/>
      <c r="E939" s="82"/>
      <c r="F939" s="151"/>
      <c r="G939" s="73"/>
      <c r="H939" s="73"/>
      <c r="I939" s="25"/>
      <c r="J939" s="25"/>
      <c r="K939" s="25"/>
      <c r="L939" s="25"/>
      <c r="M939" s="24"/>
    </row>
    <row r="940">
      <c r="A940" s="71">
        <f>Projections!CB1</f>
        <v>47362</v>
      </c>
      <c r="B940" s="24"/>
      <c r="C940" s="24"/>
      <c r="D940" s="25" t="s">
        <v>108</v>
      </c>
      <c r="E940" s="74">
        <f>A943-A932</f>
        <v>143811.6198</v>
      </c>
      <c r="F940" s="25" t="s">
        <v>64</v>
      </c>
      <c r="G940" s="136" t="s">
        <v>109</v>
      </c>
      <c r="H940" s="137" t="s">
        <v>110</v>
      </c>
      <c r="I940" s="137" t="s">
        <v>111</v>
      </c>
      <c r="J940" s="137" t="s">
        <v>112</v>
      </c>
      <c r="K940" s="137" t="s">
        <v>113</v>
      </c>
      <c r="L940" s="137" t="s">
        <v>114</v>
      </c>
      <c r="M940" s="137" t="s">
        <v>65</v>
      </c>
    </row>
    <row r="941">
      <c r="A941" s="25" t="s">
        <v>95</v>
      </c>
      <c r="B941" s="72">
        <f>Projections!CB15</f>
        <v>243447.6198</v>
      </c>
      <c r="C941" s="138">
        <f>A940</f>
        <v>47362</v>
      </c>
      <c r="D941" s="98" t="s">
        <v>115</v>
      </c>
      <c r="E941" s="57">
        <f>Projections!CB14</f>
        <v>5086781.015</v>
      </c>
      <c r="F941" s="73" t="s">
        <v>67</v>
      </c>
      <c r="G941" s="139" t="s">
        <v>67</v>
      </c>
      <c r="H941" s="139" t="s">
        <v>67</v>
      </c>
      <c r="I941" s="137" t="s">
        <v>67</v>
      </c>
      <c r="J941" s="137" t="s">
        <v>67</v>
      </c>
      <c r="K941" s="137" t="s">
        <v>67</v>
      </c>
      <c r="L941" s="137" t="s">
        <v>67</v>
      </c>
      <c r="M941" s="137" t="s">
        <v>67</v>
      </c>
    </row>
    <row r="942">
      <c r="A942" s="25" t="s">
        <v>69</v>
      </c>
      <c r="B942" s="119">
        <f>if(B931&gt;B941/10,B931,B931+500)</f>
        <v>24500</v>
      </c>
      <c r="C942" s="138">
        <f>EOMONTH(C941,0)</f>
        <v>47391</v>
      </c>
      <c r="D942" s="25" t="s">
        <v>116</v>
      </c>
      <c r="E942" s="74">
        <f>if(today()&gt;C942,0,B941*12/365/5)</f>
        <v>1600.751473</v>
      </c>
      <c r="F942" s="25" t="s">
        <v>70</v>
      </c>
      <c r="G942" s="140" t="s">
        <v>117</v>
      </c>
      <c r="H942" s="137" t="s">
        <v>117</v>
      </c>
      <c r="I942" s="137" t="s">
        <v>118</v>
      </c>
      <c r="J942" s="137" t="s">
        <v>118</v>
      </c>
      <c r="K942" s="137" t="s">
        <v>118</v>
      </c>
      <c r="L942" s="137" t="s">
        <v>119</v>
      </c>
      <c r="M942" s="137" t="s">
        <v>119</v>
      </c>
    </row>
    <row r="943">
      <c r="A943" s="54">
        <f>F943-C943-B943</f>
        <v>4333145.015</v>
      </c>
      <c r="B943" s="90">
        <f t="shared" ref="B943:D943" si="462">sum(B945:B949)</f>
        <v>678500</v>
      </c>
      <c r="C943" s="141">
        <f t="shared" si="462"/>
        <v>75136</v>
      </c>
      <c r="D943" s="142">
        <f t="shared" si="462"/>
        <v>1250000</v>
      </c>
      <c r="E943" s="59"/>
      <c r="F943" s="63">
        <f>sum(F945:F949)</f>
        <v>5086781.015</v>
      </c>
      <c r="G943" s="136" t="s">
        <v>120</v>
      </c>
      <c r="H943" s="137" t="s">
        <v>121</v>
      </c>
      <c r="I943" s="137" t="s">
        <v>111</v>
      </c>
      <c r="J943" s="137" t="s">
        <v>112</v>
      </c>
      <c r="K943" s="137" t="s">
        <v>113</v>
      </c>
      <c r="L943" s="137" t="s">
        <v>114</v>
      </c>
      <c r="M943" s="137" t="s">
        <v>65</v>
      </c>
    </row>
    <row r="944">
      <c r="A944" s="32" t="s">
        <v>72</v>
      </c>
      <c r="B944" s="122" t="s">
        <v>84</v>
      </c>
      <c r="C944" s="143" t="s">
        <v>67</v>
      </c>
      <c r="D944" s="143" t="s">
        <v>122</v>
      </c>
      <c r="E944" s="34">
        <f>today()</f>
        <v>45969</v>
      </c>
      <c r="F944" s="35" t="s">
        <v>64</v>
      </c>
      <c r="G944" s="144" t="s">
        <v>107</v>
      </c>
      <c r="H944" s="144" t="s">
        <v>107</v>
      </c>
      <c r="I944" s="145" t="str">
        <f>I933</f>
        <v>STR Residency</v>
      </c>
      <c r="J944" s="145" t="s">
        <v>112</v>
      </c>
      <c r="K944" s="145" t="s">
        <v>113</v>
      </c>
      <c r="L944" s="145" t="s">
        <v>114</v>
      </c>
      <c r="M944" s="145" t="s">
        <v>65</v>
      </c>
    </row>
    <row r="945">
      <c r="A945" s="53">
        <f t="shared" ref="A945:A949" si="463">F945-C945-B945</f>
        <v>0</v>
      </c>
      <c r="B945" s="69">
        <f>B934+B942/5</f>
        <v>134300</v>
      </c>
      <c r="C945" s="133">
        <f>sumif(G941:M941,"Pending",G945:M945)</f>
        <v>8500</v>
      </c>
      <c r="D945" s="133">
        <f t="shared" ref="D945:D949" si="464">D934+M945</f>
        <v>123000</v>
      </c>
      <c r="E945" s="32" t="s">
        <v>76</v>
      </c>
      <c r="F945" s="150">
        <f>sumif(G941:M941,"Pending",G945:M945)+B945</f>
        <v>142800</v>
      </c>
      <c r="G945" s="146">
        <f>sumif('Bills - CC EMIs'!D:D,A940,'Bills - CC EMIs'!E:E)+SUMIF('Bills - CC EMIs'!D:D,A940,'Bills - CC EMIs'!F:F)+sumif('Bills - CC EMIs'!D:D,A940,'Bills - CC EMIs'!G:G)</f>
        <v>0</v>
      </c>
      <c r="H945" s="146">
        <f>SUMIFS('Bills - Loans'!F:F,'Bills - Loans'!D:D,A940)</f>
        <v>0</v>
      </c>
      <c r="I945" s="147">
        <v>0.0</v>
      </c>
      <c r="J945" s="137">
        <f>sumif('Bills - Responsibilities'!D:D,A940,'Bills - Responsibilities'!E:E)</f>
        <v>5000</v>
      </c>
      <c r="K945" s="147">
        <v>0.0</v>
      </c>
      <c r="L945" s="147">
        <f>sumif('Bills - Returns'!C:C,A940,'Bills - Returns'!D:D)</f>
        <v>0</v>
      </c>
      <c r="M945" s="147">
        <f>sumif('Bills - Investments'!C:C,A940,'Bills - Investments'!D:D)</f>
        <v>3500</v>
      </c>
    </row>
    <row r="946">
      <c r="A946" s="53">
        <f t="shared" si="463"/>
        <v>4333145.015</v>
      </c>
      <c r="B946" s="69">
        <f>B935+B942/5</f>
        <v>134300</v>
      </c>
      <c r="C946" s="133">
        <f>sumif(G941:M941,"Pending",G946:M946)</f>
        <v>66636</v>
      </c>
      <c r="D946" s="133">
        <f t="shared" si="464"/>
        <v>1127000</v>
      </c>
      <c r="E946" s="32" t="s">
        <v>77</v>
      </c>
      <c r="F946" s="90">
        <f>E941-F945-sum(F947:F949)</f>
        <v>4534081.015</v>
      </c>
      <c r="G946" s="148">
        <f>sumif('Bills - CC EMIs'!D:D,A940,'Bills - CC EMIs'!H:H)</f>
        <v>0</v>
      </c>
      <c r="H946" s="147">
        <f>SUMIFS('Bills - Loans'!E:E,'Bills - Loans'!D:D,A940)</f>
        <v>15742</v>
      </c>
      <c r="I946" s="137">
        <f>sumif('Bills - STR Residency'!D:D,A940,'Bills - STR Residency'!E:E)</f>
        <v>2855</v>
      </c>
      <c r="J946" s="147">
        <v>0.0</v>
      </c>
      <c r="K946" s="147">
        <f>sumif('Bills - Utilities'!C:C,A940,'Bills - Utilities'!B:B)</f>
        <v>1039</v>
      </c>
      <c r="L946" s="147">
        <f>sumif('Bills - Utilities'!D:D,B940,'Bills - Utilities'!C:C)</f>
        <v>0</v>
      </c>
      <c r="M946" s="147">
        <f>sumif('Bills - Investments'!C:C,A940,'Bills - Investments'!E:E)</f>
        <v>47000</v>
      </c>
    </row>
    <row r="947">
      <c r="A947" s="53">
        <f t="shared" si="463"/>
        <v>0</v>
      </c>
      <c r="B947" s="69">
        <f>B936+B942/5</f>
        <v>134300</v>
      </c>
      <c r="C947" s="133">
        <f>sumif(G941:M941,"Pending",G947:M947)</f>
        <v>0</v>
      </c>
      <c r="D947" s="133">
        <f t="shared" si="464"/>
        <v>0</v>
      </c>
      <c r="E947" s="32" t="s">
        <v>81</v>
      </c>
      <c r="F947" s="90">
        <f t="shared" ref="F947:F949" si="465">sum(G947:M947)+B947</f>
        <v>134300</v>
      </c>
      <c r="G947" s="148">
        <f t="shared" ref="G947:G949" si="466">(G936+G925+G914)/3</f>
        <v>0</v>
      </c>
      <c r="H947" s="147">
        <f t="shared" ref="H947:H949" si="467">(H936+H925)/2</f>
        <v>0</v>
      </c>
      <c r="I947" s="147">
        <f t="shared" ref="I947:I949" si="468">I936</f>
        <v>0</v>
      </c>
      <c r="J947" s="147">
        <v>0.0</v>
      </c>
      <c r="K947" s="147">
        <v>0.0</v>
      </c>
      <c r="L947" s="147">
        <v>0.0</v>
      </c>
      <c r="M947" s="147">
        <v>0.0</v>
      </c>
    </row>
    <row r="948">
      <c r="A948" s="53">
        <f t="shared" si="463"/>
        <v>0</v>
      </c>
      <c r="B948" s="69">
        <f>B937+B942/5</f>
        <v>141300</v>
      </c>
      <c r="C948" s="133">
        <f>sumif(G941:M941,"Pending",G948:M948)</f>
        <v>0</v>
      </c>
      <c r="D948" s="133">
        <f t="shared" si="464"/>
        <v>0</v>
      </c>
      <c r="E948" s="32" t="s">
        <v>79</v>
      </c>
      <c r="F948" s="90">
        <f t="shared" si="465"/>
        <v>141300</v>
      </c>
      <c r="G948" s="148">
        <f t="shared" si="466"/>
        <v>0</v>
      </c>
      <c r="H948" s="147">
        <f t="shared" si="467"/>
        <v>0</v>
      </c>
      <c r="I948" s="147">
        <f t="shared" si="468"/>
        <v>0</v>
      </c>
      <c r="J948" s="147">
        <v>0.0</v>
      </c>
      <c r="K948" s="147">
        <v>0.0</v>
      </c>
      <c r="L948" s="147">
        <v>0.0</v>
      </c>
      <c r="M948" s="147">
        <v>0.0</v>
      </c>
    </row>
    <row r="949">
      <c r="A949" s="53">
        <f t="shared" si="463"/>
        <v>0</v>
      </c>
      <c r="B949" s="69">
        <f>B938+B942/5</f>
        <v>134300</v>
      </c>
      <c r="C949" s="133">
        <f>sumif(G941:M941,"Pending",G949:M949)</f>
        <v>0</v>
      </c>
      <c r="D949" s="133">
        <f t="shared" si="464"/>
        <v>0</v>
      </c>
      <c r="E949" s="33" t="s">
        <v>91</v>
      </c>
      <c r="F949" s="90">
        <f t="shared" si="465"/>
        <v>134300</v>
      </c>
      <c r="G949" s="148">
        <f t="shared" si="466"/>
        <v>0</v>
      </c>
      <c r="H949" s="147">
        <f t="shared" si="467"/>
        <v>0</v>
      </c>
      <c r="I949" s="147">
        <f t="shared" si="468"/>
        <v>0</v>
      </c>
      <c r="J949" s="147">
        <v>0.0</v>
      </c>
      <c r="K949" s="147">
        <v>0.0</v>
      </c>
      <c r="L949" s="147">
        <v>0.0</v>
      </c>
      <c r="M949" s="147">
        <v>0.0</v>
      </c>
    </row>
    <row r="950">
      <c r="A950" s="81"/>
      <c r="B950" s="73"/>
      <c r="C950" s="73"/>
      <c r="D950" s="73"/>
      <c r="E950" s="82"/>
      <c r="F950" s="151"/>
      <c r="G950" s="73"/>
      <c r="H950" s="73"/>
      <c r="I950" s="25"/>
      <c r="J950" s="25"/>
      <c r="K950" s="25"/>
      <c r="L950" s="25"/>
      <c r="M950" s="24"/>
    </row>
    <row r="951">
      <c r="A951" s="71">
        <f>Projections!CC1</f>
        <v>47392</v>
      </c>
      <c r="B951" s="24"/>
      <c r="C951" s="24"/>
      <c r="D951" s="25" t="s">
        <v>108</v>
      </c>
      <c r="E951" s="74">
        <f>A954-A943</f>
        <v>128085.6198</v>
      </c>
      <c r="F951" s="25" t="s">
        <v>64</v>
      </c>
      <c r="G951" s="136" t="s">
        <v>109</v>
      </c>
      <c r="H951" s="137" t="s">
        <v>110</v>
      </c>
      <c r="I951" s="137" t="s">
        <v>111</v>
      </c>
      <c r="J951" s="137" t="s">
        <v>112</v>
      </c>
      <c r="K951" s="137" t="s">
        <v>113</v>
      </c>
      <c r="L951" s="137" t="s">
        <v>114</v>
      </c>
      <c r="M951" s="137" t="s">
        <v>65</v>
      </c>
    </row>
    <row r="952">
      <c r="A952" s="25" t="s">
        <v>95</v>
      </c>
      <c r="B952" s="72">
        <f>Projections!CC15</f>
        <v>243447.6198</v>
      </c>
      <c r="C952" s="138">
        <f>A951</f>
        <v>47392</v>
      </c>
      <c r="D952" s="98" t="s">
        <v>115</v>
      </c>
      <c r="E952" s="57">
        <f>Projections!CC14</f>
        <v>5255092.635</v>
      </c>
      <c r="F952" s="73" t="s">
        <v>67</v>
      </c>
      <c r="G952" s="139" t="s">
        <v>67</v>
      </c>
      <c r="H952" s="139" t="s">
        <v>67</v>
      </c>
      <c r="I952" s="137" t="s">
        <v>67</v>
      </c>
      <c r="J952" s="137" t="s">
        <v>67</v>
      </c>
      <c r="K952" s="137" t="s">
        <v>67</v>
      </c>
      <c r="L952" s="137" t="s">
        <v>67</v>
      </c>
      <c r="M952" s="137" t="s">
        <v>67</v>
      </c>
    </row>
    <row r="953">
      <c r="A953" s="25" t="s">
        <v>69</v>
      </c>
      <c r="B953" s="119">
        <f>if(B942&gt;B952/10,B942,B942+500)</f>
        <v>24500</v>
      </c>
      <c r="C953" s="138">
        <f>EOMONTH(C952,0)</f>
        <v>47422</v>
      </c>
      <c r="D953" s="25" t="s">
        <v>116</v>
      </c>
      <c r="E953" s="74">
        <f>if(today()&gt;C953,0,B952*12/365/5)</f>
        <v>1600.751473</v>
      </c>
      <c r="F953" s="25" t="s">
        <v>70</v>
      </c>
      <c r="G953" s="140" t="s">
        <v>117</v>
      </c>
      <c r="H953" s="137" t="s">
        <v>117</v>
      </c>
      <c r="I953" s="137" t="s">
        <v>118</v>
      </c>
      <c r="J953" s="137" t="s">
        <v>118</v>
      </c>
      <c r="K953" s="137" t="s">
        <v>118</v>
      </c>
      <c r="L953" s="137" t="s">
        <v>119</v>
      </c>
      <c r="M953" s="137" t="s">
        <v>119</v>
      </c>
    </row>
    <row r="954">
      <c r="A954" s="54">
        <f>F954-C954-B954</f>
        <v>4461230.635</v>
      </c>
      <c r="B954" s="90">
        <f t="shared" ref="B954:D954" si="469">sum(B956:B960)</f>
        <v>703000</v>
      </c>
      <c r="C954" s="141">
        <f t="shared" si="469"/>
        <v>90862</v>
      </c>
      <c r="D954" s="142">
        <f t="shared" si="469"/>
        <v>1301500</v>
      </c>
      <c r="E954" s="59"/>
      <c r="F954" s="63">
        <f>sum(F956:F960)</f>
        <v>5255092.635</v>
      </c>
      <c r="G954" s="136" t="s">
        <v>120</v>
      </c>
      <c r="H954" s="137" t="s">
        <v>121</v>
      </c>
      <c r="I954" s="137" t="s">
        <v>111</v>
      </c>
      <c r="J954" s="137" t="s">
        <v>112</v>
      </c>
      <c r="K954" s="137" t="s">
        <v>113</v>
      </c>
      <c r="L954" s="137" t="s">
        <v>114</v>
      </c>
      <c r="M954" s="137" t="s">
        <v>65</v>
      </c>
    </row>
    <row r="955">
      <c r="A955" s="32" t="s">
        <v>72</v>
      </c>
      <c r="B955" s="122" t="s">
        <v>84</v>
      </c>
      <c r="C955" s="143" t="s">
        <v>67</v>
      </c>
      <c r="D955" s="143" t="s">
        <v>122</v>
      </c>
      <c r="E955" s="34">
        <f>today()</f>
        <v>45969</v>
      </c>
      <c r="F955" s="35" t="s">
        <v>64</v>
      </c>
      <c r="G955" s="144" t="s">
        <v>107</v>
      </c>
      <c r="H955" s="144" t="s">
        <v>107</v>
      </c>
      <c r="I955" s="145" t="str">
        <f>I944</f>
        <v>STR Residency</v>
      </c>
      <c r="J955" s="145" t="s">
        <v>112</v>
      </c>
      <c r="K955" s="145" t="s">
        <v>113</v>
      </c>
      <c r="L955" s="145" t="s">
        <v>114</v>
      </c>
      <c r="M955" s="145" t="s">
        <v>65</v>
      </c>
    </row>
    <row r="956">
      <c r="A956" s="53">
        <f t="shared" ref="A956:A960" si="470">F956-C956-B956</f>
        <v>0</v>
      </c>
      <c r="B956" s="69">
        <f>B945+B953/5</f>
        <v>139200</v>
      </c>
      <c r="C956" s="133">
        <f>sumif(G952:M952,"Pending",G956:M956)</f>
        <v>8500</v>
      </c>
      <c r="D956" s="133">
        <f t="shared" ref="D956:D960" si="471">D945+M956</f>
        <v>126500</v>
      </c>
      <c r="E956" s="32" t="s">
        <v>76</v>
      </c>
      <c r="F956" s="150">
        <f>sumif(G952:M952,"Pending",G956:M956)+B956</f>
        <v>147700</v>
      </c>
      <c r="G956" s="146">
        <f>sumif('Bills - CC EMIs'!D:D,A951,'Bills - CC EMIs'!E:E)+SUMIF('Bills - CC EMIs'!D:D,A951,'Bills - CC EMIs'!F:F)+sumif('Bills - CC EMIs'!D:D,A951,'Bills - CC EMIs'!G:G)</f>
        <v>0</v>
      </c>
      <c r="H956" s="146">
        <f>SUMIFS('Bills - Loans'!F:F,'Bills - Loans'!D:D,A951)</f>
        <v>0</v>
      </c>
      <c r="I956" s="147">
        <v>0.0</v>
      </c>
      <c r="J956" s="137">
        <f>sumif('Bills - Responsibilities'!D:D,A951,'Bills - Responsibilities'!E:E)</f>
        <v>5000</v>
      </c>
      <c r="K956" s="147">
        <v>0.0</v>
      </c>
      <c r="L956" s="147">
        <f>sumif('Bills - Returns'!C:C,A951,'Bills - Returns'!D:D)</f>
        <v>0</v>
      </c>
      <c r="M956" s="147">
        <f>sumif('Bills - Investments'!C:C,A951,'Bills - Investments'!D:D)</f>
        <v>3500</v>
      </c>
    </row>
    <row r="957">
      <c r="A957" s="53">
        <f t="shared" si="470"/>
        <v>4461230.635</v>
      </c>
      <c r="B957" s="69">
        <f>B946+B953/5</f>
        <v>139200</v>
      </c>
      <c r="C957" s="133">
        <f>sumif(G952:M952,"Pending",G957:M957)</f>
        <v>82362</v>
      </c>
      <c r="D957" s="133">
        <f t="shared" si="471"/>
        <v>1175000</v>
      </c>
      <c r="E957" s="32" t="s">
        <v>77</v>
      </c>
      <c r="F957" s="90">
        <f>E952-F956-sum(F958:F960)</f>
        <v>4682792.635</v>
      </c>
      <c r="G957" s="148">
        <f>sumif('Bills - CC EMIs'!D:D,A951,'Bills - CC EMIs'!H:H)</f>
        <v>0</v>
      </c>
      <c r="H957" s="147">
        <f>SUMIFS('Bills - Loans'!E:E,'Bills - Loans'!D:D,A951)</f>
        <v>15742</v>
      </c>
      <c r="I957" s="137">
        <f>sumif('Bills - STR Residency'!D:D,A951,'Bills - STR Residency'!E:E)</f>
        <v>2855</v>
      </c>
      <c r="J957" s="147">
        <v>0.0</v>
      </c>
      <c r="K957" s="147">
        <f>sumif('Bills - Utilities'!C:C,A951,'Bills - Utilities'!B:B)</f>
        <v>15765</v>
      </c>
      <c r="L957" s="147">
        <f>sumif('Bills - Utilities'!D:D,B951,'Bills - Utilities'!C:C)</f>
        <v>0</v>
      </c>
      <c r="M957" s="147">
        <f>sumif('Bills - Investments'!C:C,A951,'Bills - Investments'!E:E)</f>
        <v>48000</v>
      </c>
    </row>
    <row r="958">
      <c r="A958" s="53">
        <f t="shared" si="470"/>
        <v>0</v>
      </c>
      <c r="B958" s="69">
        <f>B947+B953/5</f>
        <v>139200</v>
      </c>
      <c r="C958" s="133">
        <f>sumif(G952:M952,"Pending",G958:M958)</f>
        <v>0</v>
      </c>
      <c r="D958" s="133">
        <f t="shared" si="471"/>
        <v>0</v>
      </c>
      <c r="E958" s="32" t="s">
        <v>81</v>
      </c>
      <c r="F958" s="90">
        <f t="shared" ref="F958:F960" si="472">sum(G958:M958)+B958</f>
        <v>139200</v>
      </c>
      <c r="G958" s="148">
        <f t="shared" ref="G958:G960" si="473">(G947+G936+G925)/3</f>
        <v>0</v>
      </c>
      <c r="H958" s="147">
        <f t="shared" ref="H958:H960" si="474">(H947+H936)/2</f>
        <v>0</v>
      </c>
      <c r="I958" s="147">
        <f t="shared" ref="I958:I960" si="475">I947</f>
        <v>0</v>
      </c>
      <c r="J958" s="147">
        <v>0.0</v>
      </c>
      <c r="K958" s="147">
        <v>0.0</v>
      </c>
      <c r="L958" s="147">
        <v>0.0</v>
      </c>
      <c r="M958" s="147">
        <v>0.0</v>
      </c>
    </row>
    <row r="959">
      <c r="A959" s="53">
        <f t="shared" si="470"/>
        <v>0</v>
      </c>
      <c r="B959" s="69">
        <f>B948+B953/5</f>
        <v>146200</v>
      </c>
      <c r="C959" s="133">
        <f>sumif(G952:M952,"Pending",G959:M959)</f>
        <v>0</v>
      </c>
      <c r="D959" s="133">
        <f t="shared" si="471"/>
        <v>0</v>
      </c>
      <c r="E959" s="32" t="s">
        <v>79</v>
      </c>
      <c r="F959" s="90">
        <f t="shared" si="472"/>
        <v>146200</v>
      </c>
      <c r="G959" s="148">
        <f t="shared" si="473"/>
        <v>0</v>
      </c>
      <c r="H959" s="147">
        <f t="shared" si="474"/>
        <v>0</v>
      </c>
      <c r="I959" s="147">
        <f t="shared" si="475"/>
        <v>0</v>
      </c>
      <c r="J959" s="147">
        <v>0.0</v>
      </c>
      <c r="K959" s="147">
        <v>0.0</v>
      </c>
      <c r="L959" s="147">
        <v>0.0</v>
      </c>
      <c r="M959" s="147">
        <v>0.0</v>
      </c>
    </row>
    <row r="960">
      <c r="A960" s="53">
        <f t="shared" si="470"/>
        <v>0</v>
      </c>
      <c r="B960" s="69">
        <f>B949+B953/5</f>
        <v>139200</v>
      </c>
      <c r="C960" s="133">
        <f>sumif(G952:M952,"Pending",G960:M960)</f>
        <v>0</v>
      </c>
      <c r="D960" s="133">
        <f t="shared" si="471"/>
        <v>0</v>
      </c>
      <c r="E960" s="33" t="s">
        <v>91</v>
      </c>
      <c r="F960" s="90">
        <f t="shared" si="472"/>
        <v>139200</v>
      </c>
      <c r="G960" s="148">
        <f t="shared" si="473"/>
        <v>0</v>
      </c>
      <c r="H960" s="147">
        <f t="shared" si="474"/>
        <v>0</v>
      </c>
      <c r="I960" s="147">
        <f t="shared" si="475"/>
        <v>0</v>
      </c>
      <c r="J960" s="147">
        <v>0.0</v>
      </c>
      <c r="K960" s="147">
        <v>0.0</v>
      </c>
      <c r="L960" s="147">
        <v>0.0</v>
      </c>
      <c r="M960" s="147">
        <v>0.0</v>
      </c>
    </row>
    <row r="961">
      <c r="A961" s="81"/>
      <c r="B961" s="73"/>
      <c r="C961" s="73"/>
      <c r="D961" s="73"/>
      <c r="E961" s="82"/>
      <c r="F961" s="151"/>
      <c r="G961" s="73"/>
      <c r="H961" s="73"/>
      <c r="I961" s="25"/>
      <c r="J961" s="25"/>
      <c r="K961" s="25"/>
      <c r="L961" s="25"/>
      <c r="M961" s="24"/>
    </row>
    <row r="962">
      <c r="A962" s="71">
        <f>Projections!CD1</f>
        <v>47423</v>
      </c>
      <c r="B962" s="24"/>
      <c r="C962" s="24"/>
      <c r="D962" s="25" t="s">
        <v>108</v>
      </c>
      <c r="E962" s="74">
        <f>A965-A954</f>
        <v>141811.6198</v>
      </c>
      <c r="F962" s="25" t="s">
        <v>64</v>
      </c>
      <c r="G962" s="136" t="s">
        <v>109</v>
      </c>
      <c r="H962" s="137" t="s">
        <v>110</v>
      </c>
      <c r="I962" s="137" t="s">
        <v>111</v>
      </c>
      <c r="J962" s="137" t="s">
        <v>112</v>
      </c>
      <c r="K962" s="137" t="s">
        <v>113</v>
      </c>
      <c r="L962" s="137" t="s">
        <v>114</v>
      </c>
      <c r="M962" s="137" t="s">
        <v>65</v>
      </c>
    </row>
    <row r="963">
      <c r="A963" s="25" t="s">
        <v>95</v>
      </c>
      <c r="B963" s="72">
        <f>Projections!CD15</f>
        <v>243447.6198</v>
      </c>
      <c r="C963" s="138">
        <f>A962</f>
        <v>47423</v>
      </c>
      <c r="D963" s="98" t="s">
        <v>115</v>
      </c>
      <c r="E963" s="57">
        <f>Projections!CD14</f>
        <v>5407678.254</v>
      </c>
      <c r="F963" s="73" t="s">
        <v>67</v>
      </c>
      <c r="G963" s="139" t="s">
        <v>67</v>
      </c>
      <c r="H963" s="139" t="s">
        <v>67</v>
      </c>
      <c r="I963" s="137" t="s">
        <v>67</v>
      </c>
      <c r="J963" s="137" t="s">
        <v>67</v>
      </c>
      <c r="K963" s="137" t="s">
        <v>67</v>
      </c>
      <c r="L963" s="137" t="s">
        <v>67</v>
      </c>
      <c r="M963" s="137" t="s">
        <v>67</v>
      </c>
    </row>
    <row r="964">
      <c r="A964" s="25" t="s">
        <v>69</v>
      </c>
      <c r="B964" s="119">
        <f>if(B953&gt;B963/10,B953,B953+500)</f>
        <v>24500</v>
      </c>
      <c r="C964" s="138">
        <f>EOMONTH(C963,0)</f>
        <v>47452</v>
      </c>
      <c r="D964" s="25" t="s">
        <v>116</v>
      </c>
      <c r="E964" s="74">
        <f>if(today()&gt;C964,0,B963*12/365/5)</f>
        <v>1600.751473</v>
      </c>
      <c r="F964" s="25" t="s">
        <v>70</v>
      </c>
      <c r="G964" s="140" t="s">
        <v>117</v>
      </c>
      <c r="H964" s="137" t="s">
        <v>117</v>
      </c>
      <c r="I964" s="137" t="s">
        <v>118</v>
      </c>
      <c r="J964" s="137" t="s">
        <v>118</v>
      </c>
      <c r="K964" s="137" t="s">
        <v>118</v>
      </c>
      <c r="L964" s="137" t="s">
        <v>119</v>
      </c>
      <c r="M964" s="137" t="s">
        <v>119</v>
      </c>
    </row>
    <row r="965">
      <c r="A965" s="54">
        <f>F965-C965-B965</f>
        <v>4603042.254</v>
      </c>
      <c r="B965" s="90">
        <f t="shared" ref="B965:D965" si="476">sum(B967:B971)</f>
        <v>727500</v>
      </c>
      <c r="C965" s="141">
        <f t="shared" si="476"/>
        <v>77136</v>
      </c>
      <c r="D965" s="142">
        <f t="shared" si="476"/>
        <v>1354000</v>
      </c>
      <c r="E965" s="59"/>
      <c r="F965" s="63">
        <f>sum(F967:F971)</f>
        <v>5407678.254</v>
      </c>
      <c r="G965" s="136" t="s">
        <v>120</v>
      </c>
      <c r="H965" s="137" t="s">
        <v>121</v>
      </c>
      <c r="I965" s="137" t="s">
        <v>111</v>
      </c>
      <c r="J965" s="137" t="s">
        <v>112</v>
      </c>
      <c r="K965" s="137" t="s">
        <v>113</v>
      </c>
      <c r="L965" s="137" t="s">
        <v>114</v>
      </c>
      <c r="M965" s="137" t="s">
        <v>65</v>
      </c>
    </row>
    <row r="966">
      <c r="A966" s="32" t="s">
        <v>72</v>
      </c>
      <c r="B966" s="122" t="s">
        <v>84</v>
      </c>
      <c r="C966" s="143" t="s">
        <v>67</v>
      </c>
      <c r="D966" s="143" t="s">
        <v>122</v>
      </c>
      <c r="E966" s="34">
        <f>today()</f>
        <v>45969</v>
      </c>
      <c r="F966" s="35" t="s">
        <v>64</v>
      </c>
      <c r="G966" s="144" t="s">
        <v>107</v>
      </c>
      <c r="H966" s="144" t="s">
        <v>107</v>
      </c>
      <c r="I966" s="145" t="str">
        <f>I955</f>
        <v>STR Residency</v>
      </c>
      <c r="J966" s="145" t="s">
        <v>112</v>
      </c>
      <c r="K966" s="145" t="s">
        <v>113</v>
      </c>
      <c r="L966" s="145" t="s">
        <v>114</v>
      </c>
      <c r="M966" s="145" t="s">
        <v>65</v>
      </c>
    </row>
    <row r="967">
      <c r="A967" s="53">
        <f t="shared" ref="A967:A971" si="477">F967-C967-B967</f>
        <v>0</v>
      </c>
      <c r="B967" s="69">
        <f>B956+B964/5</f>
        <v>144100</v>
      </c>
      <c r="C967" s="133">
        <f>sumif(G963:M963,"Pending",G967:M967)</f>
        <v>8500</v>
      </c>
      <c r="D967" s="133">
        <f t="shared" ref="D967:D971" si="478">D956+M967</f>
        <v>130000</v>
      </c>
      <c r="E967" s="32" t="s">
        <v>76</v>
      </c>
      <c r="F967" s="150">
        <f>sumif(G963:M963,"Pending",G967:M967)+B967</f>
        <v>152600</v>
      </c>
      <c r="G967" s="146">
        <f>sumif('Bills - CC EMIs'!D:D,A962,'Bills - CC EMIs'!E:E)+SUMIF('Bills - CC EMIs'!D:D,A962,'Bills - CC EMIs'!F:F)+sumif('Bills - CC EMIs'!D:D,A962,'Bills - CC EMIs'!G:G)</f>
        <v>0</v>
      </c>
      <c r="H967" s="146">
        <f>SUMIFS('Bills - Loans'!F:F,'Bills - Loans'!D:D,A962)</f>
        <v>0</v>
      </c>
      <c r="I967" s="147">
        <v>0.0</v>
      </c>
      <c r="J967" s="137">
        <f>sumif('Bills - Responsibilities'!D:D,A962,'Bills - Responsibilities'!E:E)</f>
        <v>5000</v>
      </c>
      <c r="K967" s="147">
        <v>0.0</v>
      </c>
      <c r="L967" s="147">
        <f>sumif('Bills - Returns'!C:C,A962,'Bills - Returns'!D:D)</f>
        <v>0</v>
      </c>
      <c r="M967" s="147">
        <f>sumif('Bills - Investments'!C:C,A962,'Bills - Investments'!D:D)</f>
        <v>3500</v>
      </c>
    </row>
    <row r="968">
      <c r="A968" s="53">
        <f t="shared" si="477"/>
        <v>4603042.254</v>
      </c>
      <c r="B968" s="69">
        <f>B957+B964/5</f>
        <v>144100</v>
      </c>
      <c r="C968" s="133">
        <f>sumif(G963:M963,"Pending",G968:M968)</f>
        <v>68636</v>
      </c>
      <c r="D968" s="133">
        <f t="shared" si="478"/>
        <v>1224000</v>
      </c>
      <c r="E968" s="32" t="s">
        <v>77</v>
      </c>
      <c r="F968" s="90">
        <f>E963-F967-sum(F969:F971)</f>
        <v>4815778.254</v>
      </c>
      <c r="G968" s="148">
        <f>sumif('Bills - CC EMIs'!D:D,A962,'Bills - CC EMIs'!H:H)</f>
        <v>0</v>
      </c>
      <c r="H968" s="147">
        <f>SUMIFS('Bills - Loans'!E:E,'Bills - Loans'!D:D,A962)</f>
        <v>15742</v>
      </c>
      <c r="I968" s="137">
        <f>sumif('Bills - STR Residency'!D:D,A962,'Bills - STR Residency'!E:E)</f>
        <v>2855</v>
      </c>
      <c r="J968" s="147">
        <v>0.0</v>
      </c>
      <c r="K968" s="147">
        <f>sumif('Bills - Utilities'!C:C,A962,'Bills - Utilities'!B:B)</f>
        <v>1039</v>
      </c>
      <c r="L968" s="147">
        <f>sumif('Bills - Utilities'!D:D,B962,'Bills - Utilities'!C:C)</f>
        <v>0</v>
      </c>
      <c r="M968" s="147">
        <f>sumif('Bills - Investments'!C:C,A962,'Bills - Investments'!E:E)</f>
        <v>49000</v>
      </c>
    </row>
    <row r="969">
      <c r="A969" s="53">
        <f t="shared" si="477"/>
        <v>0</v>
      </c>
      <c r="B969" s="69">
        <f>B958+B964/5</f>
        <v>144100</v>
      </c>
      <c r="C969" s="133">
        <f>sumif(G963:M963,"Pending",G969:M969)</f>
        <v>0</v>
      </c>
      <c r="D969" s="133">
        <f t="shared" si="478"/>
        <v>0</v>
      </c>
      <c r="E969" s="32" t="s">
        <v>81</v>
      </c>
      <c r="F969" s="90">
        <f t="shared" ref="F969:F971" si="479">sum(G969:M969)+B969</f>
        <v>144100</v>
      </c>
      <c r="G969" s="148">
        <f t="shared" ref="G969:G971" si="480">(G958+G947+G936)/3</f>
        <v>0</v>
      </c>
      <c r="H969" s="147">
        <f t="shared" ref="H969:H971" si="481">(H958+H947)/2</f>
        <v>0</v>
      </c>
      <c r="I969" s="147">
        <f t="shared" ref="I969:I971" si="482">I958</f>
        <v>0</v>
      </c>
      <c r="J969" s="147">
        <v>0.0</v>
      </c>
      <c r="K969" s="147">
        <v>0.0</v>
      </c>
      <c r="L969" s="147">
        <v>0.0</v>
      </c>
      <c r="M969" s="147">
        <v>0.0</v>
      </c>
    </row>
    <row r="970">
      <c r="A970" s="53">
        <f t="shared" si="477"/>
        <v>0</v>
      </c>
      <c r="B970" s="69">
        <f>B959+B964/5</f>
        <v>151100</v>
      </c>
      <c r="C970" s="133">
        <f>sumif(G963:M963,"Pending",G970:M970)</f>
        <v>0</v>
      </c>
      <c r="D970" s="133">
        <f t="shared" si="478"/>
        <v>0</v>
      </c>
      <c r="E970" s="32" t="s">
        <v>79</v>
      </c>
      <c r="F970" s="90">
        <f t="shared" si="479"/>
        <v>151100</v>
      </c>
      <c r="G970" s="148">
        <f t="shared" si="480"/>
        <v>0</v>
      </c>
      <c r="H970" s="147">
        <f t="shared" si="481"/>
        <v>0</v>
      </c>
      <c r="I970" s="147">
        <f t="shared" si="482"/>
        <v>0</v>
      </c>
      <c r="J970" s="147">
        <v>0.0</v>
      </c>
      <c r="K970" s="147">
        <v>0.0</v>
      </c>
      <c r="L970" s="147">
        <v>0.0</v>
      </c>
      <c r="M970" s="147">
        <v>0.0</v>
      </c>
    </row>
    <row r="971">
      <c r="A971" s="53">
        <f t="shared" si="477"/>
        <v>0</v>
      </c>
      <c r="B971" s="69">
        <f>B960+B964/5</f>
        <v>144100</v>
      </c>
      <c r="C971" s="133">
        <f>sumif(G963:M963,"Pending",G971:M971)</f>
        <v>0</v>
      </c>
      <c r="D971" s="133">
        <f t="shared" si="478"/>
        <v>0</v>
      </c>
      <c r="E971" s="33" t="s">
        <v>91</v>
      </c>
      <c r="F971" s="90">
        <f t="shared" si="479"/>
        <v>144100</v>
      </c>
      <c r="G971" s="148">
        <f t="shared" si="480"/>
        <v>0</v>
      </c>
      <c r="H971" s="147">
        <f t="shared" si="481"/>
        <v>0</v>
      </c>
      <c r="I971" s="147">
        <f t="shared" si="482"/>
        <v>0</v>
      </c>
      <c r="J971" s="147">
        <v>0.0</v>
      </c>
      <c r="K971" s="147">
        <v>0.0</v>
      </c>
      <c r="L971" s="147">
        <v>0.0</v>
      </c>
      <c r="M971" s="147">
        <v>0.0</v>
      </c>
    </row>
    <row r="972">
      <c r="A972" s="81"/>
      <c r="B972" s="73"/>
      <c r="C972" s="73"/>
      <c r="D972" s="73"/>
      <c r="E972" s="82"/>
      <c r="F972" s="151"/>
      <c r="G972" s="73"/>
      <c r="H972" s="73"/>
      <c r="I972" s="25"/>
      <c r="J972" s="25"/>
      <c r="K972" s="25"/>
      <c r="L972" s="25"/>
      <c r="M972" s="24"/>
    </row>
    <row r="973">
      <c r="A973" s="71">
        <f>Projections!CE1</f>
        <v>47453</v>
      </c>
      <c r="B973" s="24"/>
      <c r="C973" s="24"/>
      <c r="D973" s="25" t="s">
        <v>108</v>
      </c>
      <c r="E973" s="74">
        <f>A976-A965</f>
        <v>140811.6198</v>
      </c>
      <c r="F973" s="25" t="s">
        <v>64</v>
      </c>
      <c r="G973" s="136" t="s">
        <v>109</v>
      </c>
      <c r="H973" s="137" t="s">
        <v>110</v>
      </c>
      <c r="I973" s="137" t="s">
        <v>111</v>
      </c>
      <c r="J973" s="137" t="s">
        <v>112</v>
      </c>
      <c r="K973" s="137" t="s">
        <v>113</v>
      </c>
      <c r="L973" s="137" t="s">
        <v>114</v>
      </c>
      <c r="M973" s="137" t="s">
        <v>65</v>
      </c>
    </row>
    <row r="974">
      <c r="A974" s="25" t="s">
        <v>95</v>
      </c>
      <c r="B974" s="72">
        <f>Projections!CE15</f>
        <v>243447.6198</v>
      </c>
      <c r="C974" s="138">
        <f>A973</f>
        <v>47453</v>
      </c>
      <c r="D974" s="98" t="s">
        <v>115</v>
      </c>
      <c r="E974" s="57">
        <f>Projections!CE14</f>
        <v>5573989.874</v>
      </c>
      <c r="F974" s="73" t="s">
        <v>67</v>
      </c>
      <c r="G974" s="139" t="s">
        <v>67</v>
      </c>
      <c r="H974" s="139" t="s">
        <v>67</v>
      </c>
      <c r="I974" s="137" t="s">
        <v>67</v>
      </c>
      <c r="J974" s="137" t="s">
        <v>67</v>
      </c>
      <c r="K974" s="137" t="s">
        <v>67</v>
      </c>
      <c r="L974" s="137" t="s">
        <v>67</v>
      </c>
      <c r="M974" s="137" t="s">
        <v>67</v>
      </c>
    </row>
    <row r="975">
      <c r="A975" s="25" t="s">
        <v>69</v>
      </c>
      <c r="B975" s="119">
        <f>if(B964&gt;B974/10,B964,B964+500)</f>
        <v>24500</v>
      </c>
      <c r="C975" s="138">
        <f>EOMONTH(C974,0)</f>
        <v>47483</v>
      </c>
      <c r="D975" s="25" t="s">
        <v>116</v>
      </c>
      <c r="E975" s="74">
        <f>if(today()&gt;C975,0,B974*12/365/5)</f>
        <v>1600.751473</v>
      </c>
      <c r="F975" s="25" t="s">
        <v>70</v>
      </c>
      <c r="G975" s="140" t="s">
        <v>117</v>
      </c>
      <c r="H975" s="137" t="s">
        <v>117</v>
      </c>
      <c r="I975" s="137" t="s">
        <v>118</v>
      </c>
      <c r="J975" s="137" t="s">
        <v>118</v>
      </c>
      <c r="K975" s="137" t="s">
        <v>118</v>
      </c>
      <c r="L975" s="137" t="s">
        <v>119</v>
      </c>
      <c r="M975" s="137" t="s">
        <v>119</v>
      </c>
    </row>
    <row r="976">
      <c r="A976" s="54">
        <f>F976-C976-B976</f>
        <v>4743853.874</v>
      </c>
      <c r="B976" s="90">
        <f t="shared" ref="B976:D976" si="483">sum(B978:B982)</f>
        <v>752000</v>
      </c>
      <c r="C976" s="141">
        <f t="shared" si="483"/>
        <v>78136</v>
      </c>
      <c r="D976" s="142">
        <f t="shared" si="483"/>
        <v>1407500</v>
      </c>
      <c r="E976" s="59"/>
      <c r="F976" s="63">
        <f>sum(F978:F982)</f>
        <v>5573989.874</v>
      </c>
      <c r="G976" s="136" t="s">
        <v>120</v>
      </c>
      <c r="H976" s="137" t="s">
        <v>121</v>
      </c>
      <c r="I976" s="137" t="s">
        <v>111</v>
      </c>
      <c r="J976" s="137" t="s">
        <v>112</v>
      </c>
      <c r="K976" s="137" t="s">
        <v>113</v>
      </c>
      <c r="L976" s="137" t="s">
        <v>114</v>
      </c>
      <c r="M976" s="137" t="s">
        <v>65</v>
      </c>
    </row>
    <row r="977">
      <c r="A977" s="32" t="s">
        <v>72</v>
      </c>
      <c r="B977" s="122" t="s">
        <v>84</v>
      </c>
      <c r="C977" s="143" t="s">
        <v>67</v>
      </c>
      <c r="D977" s="143" t="s">
        <v>122</v>
      </c>
      <c r="E977" s="34">
        <f>today()</f>
        <v>45969</v>
      </c>
      <c r="F977" s="35" t="s">
        <v>64</v>
      </c>
      <c r="G977" s="144" t="s">
        <v>107</v>
      </c>
      <c r="H977" s="144" t="s">
        <v>107</v>
      </c>
      <c r="I977" s="145" t="str">
        <f>I966</f>
        <v>STR Residency</v>
      </c>
      <c r="J977" s="145" t="s">
        <v>112</v>
      </c>
      <c r="K977" s="145" t="s">
        <v>113</v>
      </c>
      <c r="L977" s="145" t="s">
        <v>114</v>
      </c>
      <c r="M977" s="145" t="s">
        <v>65</v>
      </c>
    </row>
    <row r="978">
      <c r="A978" s="53">
        <f t="shared" ref="A978:A982" si="484">F978-C978-B978</f>
        <v>0</v>
      </c>
      <c r="B978" s="69">
        <f>B967+B975/5</f>
        <v>149000</v>
      </c>
      <c r="C978" s="133">
        <f>sumif(G974:M974,"Pending",G978:M978)</f>
        <v>8500</v>
      </c>
      <c r="D978" s="133">
        <f t="shared" ref="D978:D982" si="485">D967+M978</f>
        <v>133500</v>
      </c>
      <c r="E978" s="32" t="s">
        <v>76</v>
      </c>
      <c r="F978" s="150">
        <f>sumif(G974:M974,"Pending",G978:M978)+B978</f>
        <v>157500</v>
      </c>
      <c r="G978" s="146">
        <f>sumif('Bills - CC EMIs'!D:D,A973,'Bills - CC EMIs'!E:E)+SUMIF('Bills - CC EMIs'!D:D,A973,'Bills - CC EMIs'!F:F)+sumif('Bills - CC EMIs'!D:D,A973,'Bills - CC EMIs'!G:G)</f>
        <v>0</v>
      </c>
      <c r="H978" s="146">
        <f>SUMIFS('Bills - Loans'!F:F,'Bills - Loans'!D:D,A973)</f>
        <v>0</v>
      </c>
      <c r="I978" s="147">
        <v>0.0</v>
      </c>
      <c r="J978" s="137">
        <f>sumif('Bills - Responsibilities'!D:D,A973,'Bills - Responsibilities'!E:E)</f>
        <v>5000</v>
      </c>
      <c r="K978" s="147">
        <v>0.0</v>
      </c>
      <c r="L978" s="147">
        <f>sumif('Bills - Returns'!C:C,A973,'Bills - Returns'!D:D)</f>
        <v>0</v>
      </c>
      <c r="M978" s="147">
        <f>sumif('Bills - Investments'!C:C,A973,'Bills - Investments'!D:D)</f>
        <v>3500</v>
      </c>
    </row>
    <row r="979">
      <c r="A979" s="53">
        <f t="shared" si="484"/>
        <v>4743853.874</v>
      </c>
      <c r="B979" s="69">
        <f>B968+B975/5</f>
        <v>149000</v>
      </c>
      <c r="C979" s="133">
        <f>sumif(G974:M974,"Pending",G979:M979)</f>
        <v>69636</v>
      </c>
      <c r="D979" s="133">
        <f t="shared" si="485"/>
        <v>1274000</v>
      </c>
      <c r="E979" s="32" t="s">
        <v>77</v>
      </c>
      <c r="F979" s="90">
        <f>E974-F978-sum(F980:F982)</f>
        <v>4962489.874</v>
      </c>
      <c r="G979" s="148">
        <f>sumif('Bills - CC EMIs'!D:D,A973,'Bills - CC EMIs'!H:H)</f>
        <v>0</v>
      </c>
      <c r="H979" s="147">
        <f>SUMIFS('Bills - Loans'!E:E,'Bills - Loans'!D:D,A973)</f>
        <v>15742</v>
      </c>
      <c r="I979" s="137">
        <f>sumif('Bills - STR Residency'!D:D,A973,'Bills - STR Residency'!E:E)</f>
        <v>2855</v>
      </c>
      <c r="J979" s="147">
        <v>0.0</v>
      </c>
      <c r="K979" s="147">
        <f>sumif('Bills - Utilities'!C:C,A973,'Bills - Utilities'!B:B)</f>
        <v>1039</v>
      </c>
      <c r="L979" s="147">
        <f>sumif('Bills - Utilities'!D:D,B973,'Bills - Utilities'!C:C)</f>
        <v>0</v>
      </c>
      <c r="M979" s="147">
        <f>sumif('Bills - Investments'!C:C,A973,'Bills - Investments'!E:E)</f>
        <v>50000</v>
      </c>
    </row>
    <row r="980">
      <c r="A980" s="53">
        <f t="shared" si="484"/>
        <v>0</v>
      </c>
      <c r="B980" s="69">
        <f>B969+B975/5</f>
        <v>149000</v>
      </c>
      <c r="C980" s="133">
        <f>sumif(G974:M974,"Pending",G980:M980)</f>
        <v>0</v>
      </c>
      <c r="D980" s="133">
        <f t="shared" si="485"/>
        <v>0</v>
      </c>
      <c r="E980" s="32" t="s">
        <v>81</v>
      </c>
      <c r="F980" s="90">
        <f t="shared" ref="F980:F982" si="486">sum(G980:M980)+B980</f>
        <v>149000</v>
      </c>
      <c r="G980" s="148">
        <f t="shared" ref="G980:G982" si="487">(G969+G958+G947)/3</f>
        <v>0</v>
      </c>
      <c r="H980" s="147">
        <f t="shared" ref="H980:H982" si="488">(H969+H958)/2</f>
        <v>0</v>
      </c>
      <c r="I980" s="147">
        <f t="shared" ref="I980:I982" si="489">I969</f>
        <v>0</v>
      </c>
      <c r="J980" s="147">
        <v>0.0</v>
      </c>
      <c r="K980" s="147">
        <v>0.0</v>
      </c>
      <c r="L980" s="147">
        <v>0.0</v>
      </c>
      <c r="M980" s="147">
        <v>0.0</v>
      </c>
    </row>
    <row r="981">
      <c r="A981" s="53">
        <f t="shared" si="484"/>
        <v>0</v>
      </c>
      <c r="B981" s="69">
        <f>B970+B975/5</f>
        <v>156000</v>
      </c>
      <c r="C981" s="133">
        <f>sumif(G974:M974,"Pending",G981:M981)</f>
        <v>0</v>
      </c>
      <c r="D981" s="133">
        <f t="shared" si="485"/>
        <v>0</v>
      </c>
      <c r="E981" s="32" t="s">
        <v>79</v>
      </c>
      <c r="F981" s="90">
        <f t="shared" si="486"/>
        <v>156000</v>
      </c>
      <c r="G981" s="148">
        <f t="shared" si="487"/>
        <v>0</v>
      </c>
      <c r="H981" s="147">
        <f t="shared" si="488"/>
        <v>0</v>
      </c>
      <c r="I981" s="147">
        <f t="shared" si="489"/>
        <v>0</v>
      </c>
      <c r="J981" s="147">
        <v>0.0</v>
      </c>
      <c r="K981" s="147">
        <v>0.0</v>
      </c>
      <c r="L981" s="147">
        <v>0.0</v>
      </c>
      <c r="M981" s="147">
        <v>0.0</v>
      </c>
    </row>
    <row r="982">
      <c r="A982" s="53">
        <f t="shared" si="484"/>
        <v>0</v>
      </c>
      <c r="B982" s="69">
        <f>B971+B975/5</f>
        <v>149000</v>
      </c>
      <c r="C982" s="133">
        <f>sumif(G974:M974,"Pending",G982:M982)</f>
        <v>0</v>
      </c>
      <c r="D982" s="133">
        <f t="shared" si="485"/>
        <v>0</v>
      </c>
      <c r="E982" s="33" t="s">
        <v>91</v>
      </c>
      <c r="F982" s="90">
        <f t="shared" si="486"/>
        <v>149000</v>
      </c>
      <c r="G982" s="148">
        <f t="shared" si="487"/>
        <v>0</v>
      </c>
      <c r="H982" s="147">
        <f t="shared" si="488"/>
        <v>0</v>
      </c>
      <c r="I982" s="147">
        <f t="shared" si="489"/>
        <v>0</v>
      </c>
      <c r="J982" s="147">
        <v>0.0</v>
      </c>
      <c r="K982" s="147">
        <v>0.0</v>
      </c>
      <c r="L982" s="147">
        <v>0.0</v>
      </c>
      <c r="M982" s="147">
        <v>0.0</v>
      </c>
    </row>
    <row r="983">
      <c r="A983" s="81"/>
      <c r="B983" s="73"/>
      <c r="C983" s="73"/>
      <c r="D983" s="73"/>
      <c r="E983" s="82"/>
      <c r="F983" s="151"/>
      <c r="G983" s="73"/>
      <c r="H983" s="73"/>
      <c r="I983" s="25"/>
      <c r="J983" s="25"/>
      <c r="K983" s="25"/>
      <c r="L983" s="25"/>
      <c r="M983" s="24"/>
    </row>
    <row r="984">
      <c r="A984" s="71">
        <f>Projections!CF1</f>
        <v>47484</v>
      </c>
      <c r="B984" s="24"/>
      <c r="C984" s="24"/>
      <c r="D984" s="25" t="s">
        <v>108</v>
      </c>
      <c r="E984" s="74">
        <f>A987-A976</f>
        <v>139311.6198</v>
      </c>
      <c r="F984" s="25" t="s">
        <v>64</v>
      </c>
      <c r="G984" s="136" t="s">
        <v>109</v>
      </c>
      <c r="H984" s="137" t="s">
        <v>110</v>
      </c>
      <c r="I984" s="137" t="s">
        <v>111</v>
      </c>
      <c r="J984" s="137" t="s">
        <v>112</v>
      </c>
      <c r="K984" s="137" t="s">
        <v>113</v>
      </c>
      <c r="L984" s="137" t="s">
        <v>114</v>
      </c>
      <c r="M984" s="137" t="s">
        <v>65</v>
      </c>
    </row>
    <row r="985">
      <c r="A985" s="25" t="s">
        <v>95</v>
      </c>
      <c r="B985" s="72">
        <f>Projections!CF15</f>
        <v>243447.6198</v>
      </c>
      <c r="C985" s="138">
        <f>A984</f>
        <v>47484</v>
      </c>
      <c r="D985" s="98" t="s">
        <v>115</v>
      </c>
      <c r="E985" s="57">
        <f>Projections!CF14</f>
        <v>5739301.494</v>
      </c>
      <c r="F985" s="73" t="s">
        <v>67</v>
      </c>
      <c r="G985" s="139" t="s">
        <v>67</v>
      </c>
      <c r="H985" s="139" t="s">
        <v>67</v>
      </c>
      <c r="I985" s="137" t="s">
        <v>67</v>
      </c>
      <c r="J985" s="137" t="s">
        <v>67</v>
      </c>
      <c r="K985" s="137" t="s">
        <v>67</v>
      </c>
      <c r="L985" s="137" t="s">
        <v>67</v>
      </c>
      <c r="M985" s="137" t="s">
        <v>67</v>
      </c>
    </row>
    <row r="986">
      <c r="A986" s="25" t="s">
        <v>69</v>
      </c>
      <c r="B986" s="119">
        <f>if(B975&gt;B985/10,B975,B975+500)</f>
        <v>24500</v>
      </c>
      <c r="C986" s="138">
        <f>EOMONTH(C985,0)</f>
        <v>47514</v>
      </c>
      <c r="D986" s="25" t="s">
        <v>116</v>
      </c>
      <c r="E986" s="74">
        <f>if(today()&gt;C986,0,B985*12/365/5)</f>
        <v>1600.751473</v>
      </c>
      <c r="F986" s="25" t="s">
        <v>70</v>
      </c>
      <c r="G986" s="140" t="s">
        <v>117</v>
      </c>
      <c r="H986" s="137" t="s">
        <v>117</v>
      </c>
      <c r="I986" s="137" t="s">
        <v>118</v>
      </c>
      <c r="J986" s="137" t="s">
        <v>118</v>
      </c>
      <c r="K986" s="137" t="s">
        <v>118</v>
      </c>
      <c r="L986" s="137" t="s">
        <v>119</v>
      </c>
      <c r="M986" s="137" t="s">
        <v>119</v>
      </c>
    </row>
    <row r="987">
      <c r="A987" s="54">
        <f>F987-C987-B987</f>
        <v>4883165.494</v>
      </c>
      <c r="B987" s="90">
        <f t="shared" ref="B987:D987" si="490">sum(B989:B993)</f>
        <v>776500</v>
      </c>
      <c r="C987" s="141">
        <f t="shared" si="490"/>
        <v>79636</v>
      </c>
      <c r="D987" s="142">
        <f t="shared" si="490"/>
        <v>1462500</v>
      </c>
      <c r="E987" s="59"/>
      <c r="F987" s="63">
        <f>sum(F989:F993)</f>
        <v>5739301.494</v>
      </c>
      <c r="G987" s="136" t="s">
        <v>120</v>
      </c>
      <c r="H987" s="137" t="s">
        <v>121</v>
      </c>
      <c r="I987" s="137" t="s">
        <v>111</v>
      </c>
      <c r="J987" s="137" t="s">
        <v>112</v>
      </c>
      <c r="K987" s="137" t="s">
        <v>113</v>
      </c>
      <c r="L987" s="137" t="s">
        <v>114</v>
      </c>
      <c r="M987" s="137" t="s">
        <v>65</v>
      </c>
    </row>
    <row r="988">
      <c r="A988" s="32" t="s">
        <v>72</v>
      </c>
      <c r="B988" s="122" t="s">
        <v>84</v>
      </c>
      <c r="C988" s="143" t="s">
        <v>67</v>
      </c>
      <c r="D988" s="143" t="s">
        <v>122</v>
      </c>
      <c r="E988" s="34">
        <f>today()</f>
        <v>45969</v>
      </c>
      <c r="F988" s="35" t="s">
        <v>64</v>
      </c>
      <c r="G988" s="144" t="s">
        <v>107</v>
      </c>
      <c r="H988" s="144" t="s">
        <v>107</v>
      </c>
      <c r="I988" s="145" t="str">
        <f>I977</f>
        <v>STR Residency</v>
      </c>
      <c r="J988" s="145" t="s">
        <v>112</v>
      </c>
      <c r="K988" s="145" t="s">
        <v>113</v>
      </c>
      <c r="L988" s="145" t="s">
        <v>114</v>
      </c>
      <c r="M988" s="145" t="s">
        <v>65</v>
      </c>
    </row>
    <row r="989">
      <c r="A989" s="53">
        <f t="shared" ref="A989:A993" si="491">F989-C989-B989</f>
        <v>0</v>
      </c>
      <c r="B989" s="69">
        <f>B978+B986/5</f>
        <v>153900</v>
      </c>
      <c r="C989" s="133">
        <f>sumif(G985:M985,"Pending",G989:M989)</f>
        <v>9000</v>
      </c>
      <c r="D989" s="133">
        <f t="shared" ref="D989:D993" si="492">D978+M989</f>
        <v>137500</v>
      </c>
      <c r="E989" s="32" t="s">
        <v>76</v>
      </c>
      <c r="F989" s="150">
        <f>sumif(G985:M985,"Pending",G989:M989)+B989</f>
        <v>162900</v>
      </c>
      <c r="G989" s="146">
        <f>sumif('Bills - CC EMIs'!D:D,A984,'Bills - CC EMIs'!E:E)+SUMIF('Bills - CC EMIs'!D:D,A984,'Bills - CC EMIs'!F:F)+sumif('Bills - CC EMIs'!D:D,A984,'Bills - CC EMIs'!G:G)</f>
        <v>0</v>
      </c>
      <c r="H989" s="146">
        <f>SUMIFS('Bills - Loans'!F:F,'Bills - Loans'!D:D,A984)</f>
        <v>0</v>
      </c>
      <c r="I989" s="147">
        <v>0.0</v>
      </c>
      <c r="J989" s="137">
        <f>sumif('Bills - Responsibilities'!D:D,A984,'Bills - Responsibilities'!E:E)</f>
        <v>5000</v>
      </c>
      <c r="K989" s="147">
        <v>0.0</v>
      </c>
      <c r="L989" s="147">
        <f>sumif('Bills - Returns'!C:C,A984,'Bills - Returns'!D:D)</f>
        <v>0</v>
      </c>
      <c r="M989" s="147">
        <f>sumif('Bills - Investments'!C:C,A984,'Bills - Investments'!D:D)</f>
        <v>4000</v>
      </c>
    </row>
    <row r="990">
      <c r="A990" s="53">
        <f t="shared" si="491"/>
        <v>4883165.494</v>
      </c>
      <c r="B990" s="69">
        <f>B979+B986/5</f>
        <v>153900</v>
      </c>
      <c r="C990" s="133">
        <f>sumif(G985:M985,"Pending",G990:M990)</f>
        <v>70636</v>
      </c>
      <c r="D990" s="133">
        <f t="shared" si="492"/>
        <v>1325000</v>
      </c>
      <c r="E990" s="32" t="s">
        <v>77</v>
      </c>
      <c r="F990" s="90">
        <f>E985-F989-sum(F991:F993)</f>
        <v>5107701.494</v>
      </c>
      <c r="G990" s="148">
        <f>sumif('Bills - CC EMIs'!D:D,A984,'Bills - CC EMIs'!H:H)</f>
        <v>0</v>
      </c>
      <c r="H990" s="147">
        <f>SUMIFS('Bills - Loans'!E:E,'Bills - Loans'!D:D,A984)</f>
        <v>15742</v>
      </c>
      <c r="I990" s="137">
        <f>sumif('Bills - STR Residency'!D:D,A984,'Bills - STR Residency'!E:E)</f>
        <v>2855</v>
      </c>
      <c r="J990" s="147">
        <v>0.0</v>
      </c>
      <c r="K990" s="147">
        <f>sumif('Bills - Utilities'!C:C,A984,'Bills - Utilities'!B:B)</f>
        <v>1039</v>
      </c>
      <c r="L990" s="147">
        <f>sumif('Bills - Utilities'!D:D,B984,'Bills - Utilities'!C:C)</f>
        <v>0</v>
      </c>
      <c r="M990" s="147">
        <f>sumif('Bills - Investments'!C:C,A984,'Bills - Investments'!E:E)</f>
        <v>51000</v>
      </c>
    </row>
    <row r="991">
      <c r="A991" s="53">
        <f t="shared" si="491"/>
        <v>0</v>
      </c>
      <c r="B991" s="69">
        <f>B980+B986/5</f>
        <v>153900</v>
      </c>
      <c r="C991" s="133">
        <f>sumif(G985:M985,"Pending",G991:M991)</f>
        <v>0</v>
      </c>
      <c r="D991" s="133">
        <f t="shared" si="492"/>
        <v>0</v>
      </c>
      <c r="E991" s="32" t="s">
        <v>81</v>
      </c>
      <c r="F991" s="90">
        <f t="shared" ref="F991:F993" si="493">sum(G991:M991)+B991</f>
        <v>153900</v>
      </c>
      <c r="G991" s="148">
        <f t="shared" ref="G991:G993" si="494">(G980+G969+G958)/3</f>
        <v>0</v>
      </c>
      <c r="H991" s="147">
        <f t="shared" ref="H991:H993" si="495">(H980+H969)/2</f>
        <v>0</v>
      </c>
      <c r="I991" s="147">
        <f t="shared" ref="I991:I993" si="496">I980</f>
        <v>0</v>
      </c>
      <c r="J991" s="147">
        <v>0.0</v>
      </c>
      <c r="K991" s="147">
        <v>0.0</v>
      </c>
      <c r="L991" s="147">
        <v>0.0</v>
      </c>
      <c r="M991" s="147">
        <v>0.0</v>
      </c>
    </row>
    <row r="992">
      <c r="A992" s="53">
        <f t="shared" si="491"/>
        <v>0</v>
      </c>
      <c r="B992" s="69">
        <f>B981+B986/5</f>
        <v>160900</v>
      </c>
      <c r="C992" s="133">
        <f>sumif(G985:M985,"Pending",G992:M992)</f>
        <v>0</v>
      </c>
      <c r="D992" s="133">
        <f t="shared" si="492"/>
        <v>0</v>
      </c>
      <c r="E992" s="32" t="s">
        <v>79</v>
      </c>
      <c r="F992" s="90">
        <f t="shared" si="493"/>
        <v>160900</v>
      </c>
      <c r="G992" s="148">
        <f t="shared" si="494"/>
        <v>0</v>
      </c>
      <c r="H992" s="147">
        <f t="shared" si="495"/>
        <v>0</v>
      </c>
      <c r="I992" s="147">
        <f t="shared" si="496"/>
        <v>0</v>
      </c>
      <c r="J992" s="147">
        <v>0.0</v>
      </c>
      <c r="K992" s="147">
        <v>0.0</v>
      </c>
      <c r="L992" s="147">
        <v>0.0</v>
      </c>
      <c r="M992" s="147">
        <v>0.0</v>
      </c>
    </row>
    <row r="993">
      <c r="A993" s="53">
        <f t="shared" si="491"/>
        <v>0</v>
      </c>
      <c r="B993" s="69">
        <f>B982+B986/5</f>
        <v>153900</v>
      </c>
      <c r="C993" s="133">
        <f>sumif(G985:M985,"Pending",G993:M993)</f>
        <v>0</v>
      </c>
      <c r="D993" s="133">
        <f t="shared" si="492"/>
        <v>0</v>
      </c>
      <c r="E993" s="33" t="s">
        <v>91</v>
      </c>
      <c r="F993" s="90">
        <f t="shared" si="493"/>
        <v>153900</v>
      </c>
      <c r="G993" s="148">
        <f t="shared" si="494"/>
        <v>0</v>
      </c>
      <c r="H993" s="147">
        <f t="shared" si="495"/>
        <v>0</v>
      </c>
      <c r="I993" s="147">
        <f t="shared" si="496"/>
        <v>0</v>
      </c>
      <c r="J993" s="147">
        <v>0.0</v>
      </c>
      <c r="K993" s="147">
        <v>0.0</v>
      </c>
      <c r="L993" s="147">
        <v>0.0</v>
      </c>
      <c r="M993" s="147">
        <v>0.0</v>
      </c>
    </row>
    <row r="994">
      <c r="A994" s="81"/>
      <c r="B994" s="73"/>
      <c r="C994" s="73"/>
      <c r="D994" s="73"/>
      <c r="E994" s="82"/>
      <c r="F994" s="151"/>
      <c r="G994" s="73"/>
      <c r="H994" s="73"/>
      <c r="I994" s="25"/>
      <c r="J994" s="25"/>
      <c r="K994" s="25"/>
      <c r="L994" s="25"/>
      <c r="M994" s="24"/>
    </row>
    <row r="995">
      <c r="A995" s="71">
        <f>Projections!CG1</f>
        <v>47515</v>
      </c>
      <c r="B995" s="24"/>
      <c r="C995" s="24"/>
      <c r="D995" s="25" t="s">
        <v>108</v>
      </c>
      <c r="E995" s="74">
        <f>A998-A987</f>
        <v>138311.6198</v>
      </c>
      <c r="F995" s="25" t="s">
        <v>64</v>
      </c>
      <c r="G995" s="136" t="s">
        <v>109</v>
      </c>
      <c r="H995" s="137" t="s">
        <v>110</v>
      </c>
      <c r="I995" s="137" t="s">
        <v>111</v>
      </c>
      <c r="J995" s="137" t="s">
        <v>112</v>
      </c>
      <c r="K995" s="137" t="s">
        <v>113</v>
      </c>
      <c r="L995" s="137" t="s">
        <v>114</v>
      </c>
      <c r="M995" s="137" t="s">
        <v>65</v>
      </c>
    </row>
    <row r="996">
      <c r="A996" s="25" t="s">
        <v>95</v>
      </c>
      <c r="B996" s="72">
        <f>Projections!CG15</f>
        <v>243447.6198</v>
      </c>
      <c r="C996" s="138">
        <f>A995</f>
        <v>47515</v>
      </c>
      <c r="D996" s="98" t="s">
        <v>115</v>
      </c>
      <c r="E996" s="57">
        <f>Projections!CG14</f>
        <v>5903113.114</v>
      </c>
      <c r="F996" s="73" t="s">
        <v>67</v>
      </c>
      <c r="G996" s="139" t="s">
        <v>67</v>
      </c>
      <c r="H996" s="139" t="s">
        <v>67</v>
      </c>
      <c r="I996" s="137" t="s">
        <v>67</v>
      </c>
      <c r="J996" s="137" t="s">
        <v>67</v>
      </c>
      <c r="K996" s="137" t="s">
        <v>67</v>
      </c>
      <c r="L996" s="137" t="s">
        <v>67</v>
      </c>
      <c r="M996" s="137" t="s">
        <v>67</v>
      </c>
    </row>
    <row r="997">
      <c r="A997" s="25" t="s">
        <v>69</v>
      </c>
      <c r="B997" s="119">
        <f>if(B986&gt;B996/10,B986,B986+500)</f>
        <v>24500</v>
      </c>
      <c r="C997" s="138">
        <f>EOMONTH(C996,0)</f>
        <v>47542</v>
      </c>
      <c r="D997" s="25" t="s">
        <v>116</v>
      </c>
      <c r="E997" s="74">
        <f>if(today()&gt;C997,0,B996*12/365/5)</f>
        <v>1600.751473</v>
      </c>
      <c r="F997" s="25" t="s">
        <v>70</v>
      </c>
      <c r="G997" s="140" t="s">
        <v>117</v>
      </c>
      <c r="H997" s="137" t="s">
        <v>117</v>
      </c>
      <c r="I997" s="137" t="s">
        <v>118</v>
      </c>
      <c r="J997" s="137" t="s">
        <v>118</v>
      </c>
      <c r="K997" s="137" t="s">
        <v>118</v>
      </c>
      <c r="L997" s="137" t="s">
        <v>119</v>
      </c>
      <c r="M997" s="137" t="s">
        <v>119</v>
      </c>
    </row>
    <row r="998">
      <c r="A998" s="54">
        <f>F998-C998-B998</f>
        <v>5021477.114</v>
      </c>
      <c r="B998" s="90">
        <f t="shared" ref="B998:D998" si="497">sum(B1000:B1004)</f>
        <v>801000</v>
      </c>
      <c r="C998" s="141">
        <f t="shared" si="497"/>
        <v>80636</v>
      </c>
      <c r="D998" s="142">
        <f t="shared" si="497"/>
        <v>1518500</v>
      </c>
      <c r="E998" s="59"/>
      <c r="F998" s="63">
        <f>sum(F1000:F1004)</f>
        <v>5903113.114</v>
      </c>
      <c r="G998" s="136" t="s">
        <v>120</v>
      </c>
      <c r="H998" s="137" t="s">
        <v>121</v>
      </c>
      <c r="I998" s="137" t="s">
        <v>111</v>
      </c>
      <c r="J998" s="137" t="s">
        <v>112</v>
      </c>
      <c r="K998" s="137" t="s">
        <v>113</v>
      </c>
      <c r="L998" s="137" t="s">
        <v>114</v>
      </c>
      <c r="M998" s="137" t="s">
        <v>65</v>
      </c>
    </row>
    <row r="999">
      <c r="A999" s="32" t="s">
        <v>72</v>
      </c>
      <c r="B999" s="122" t="s">
        <v>84</v>
      </c>
      <c r="C999" s="143" t="s">
        <v>67</v>
      </c>
      <c r="D999" s="143" t="s">
        <v>122</v>
      </c>
      <c r="E999" s="34">
        <f>today()</f>
        <v>45969</v>
      </c>
      <c r="F999" s="35" t="s">
        <v>64</v>
      </c>
      <c r="G999" s="144" t="s">
        <v>107</v>
      </c>
      <c r="H999" s="144" t="s">
        <v>107</v>
      </c>
      <c r="I999" s="145" t="str">
        <f>I988</f>
        <v>STR Residency</v>
      </c>
      <c r="J999" s="145" t="s">
        <v>112</v>
      </c>
      <c r="K999" s="145" t="s">
        <v>113</v>
      </c>
      <c r="L999" s="145" t="s">
        <v>114</v>
      </c>
      <c r="M999" s="145" t="s">
        <v>65</v>
      </c>
    </row>
    <row r="1000">
      <c r="A1000" s="53">
        <f t="shared" ref="A1000:A1004" si="498">F1000-C1000-B1000</f>
        <v>0</v>
      </c>
      <c r="B1000" s="69">
        <f>B989+B997/5</f>
        <v>158800</v>
      </c>
      <c r="C1000" s="133">
        <f>sumif(G996:M996,"Pending",G1000:M1000)</f>
        <v>9000</v>
      </c>
      <c r="D1000" s="133">
        <f t="shared" ref="D1000:D1004" si="499">D989+M1000</f>
        <v>141500</v>
      </c>
      <c r="E1000" s="32" t="s">
        <v>76</v>
      </c>
      <c r="F1000" s="150">
        <f>sumif(G996:M996,"Pending",G1000:M1000)+B1000</f>
        <v>167800</v>
      </c>
      <c r="G1000" s="146">
        <f>sumif('Bills - CC EMIs'!D:D,A995,'Bills - CC EMIs'!E:E)+SUMIF('Bills - CC EMIs'!D:D,A995,'Bills - CC EMIs'!F:F)+sumif('Bills - CC EMIs'!D:D,A995,'Bills - CC EMIs'!G:G)</f>
        <v>0</v>
      </c>
      <c r="H1000" s="146">
        <f>SUMIFS('Bills - Loans'!F:F,'Bills - Loans'!D:D,A995)</f>
        <v>0</v>
      </c>
      <c r="I1000" s="147">
        <v>0.0</v>
      </c>
      <c r="J1000" s="137">
        <f>sumif('Bills - Responsibilities'!D:D,A995,'Bills - Responsibilities'!E:E)</f>
        <v>5000</v>
      </c>
      <c r="K1000" s="147">
        <v>0.0</v>
      </c>
      <c r="L1000" s="147">
        <f>sumif('Bills - Returns'!C:C,A995,'Bills - Returns'!D:D)</f>
        <v>0</v>
      </c>
      <c r="M1000" s="147">
        <f>sumif('Bills - Investments'!C:C,A995,'Bills - Investments'!D:D)</f>
        <v>4000</v>
      </c>
    </row>
    <row r="1001">
      <c r="A1001" s="53">
        <f t="shared" si="498"/>
        <v>5021477.114</v>
      </c>
      <c r="B1001" s="69">
        <f>B990+B997/5</f>
        <v>158800</v>
      </c>
      <c r="C1001" s="133">
        <f>sumif(G996:M996,"Pending",G1001:M1001)</f>
        <v>71636</v>
      </c>
      <c r="D1001" s="133">
        <f t="shared" si="499"/>
        <v>1377000</v>
      </c>
      <c r="E1001" s="32" t="s">
        <v>77</v>
      </c>
      <c r="F1001" s="90">
        <f>E996-F1000-sum(F1002:F1004)</f>
        <v>5251913.114</v>
      </c>
      <c r="G1001" s="148">
        <f>sumif('Bills - CC EMIs'!D:D,A995,'Bills - CC EMIs'!H:H)</f>
        <v>0</v>
      </c>
      <c r="H1001" s="147">
        <f>SUMIFS('Bills - Loans'!E:E,'Bills - Loans'!D:D,A995)</f>
        <v>15742</v>
      </c>
      <c r="I1001" s="137">
        <f>sumif('Bills - STR Residency'!D:D,A995,'Bills - STR Residency'!E:E)</f>
        <v>2855</v>
      </c>
      <c r="J1001" s="147">
        <v>0.0</v>
      </c>
      <c r="K1001" s="147">
        <f>sumif('Bills - Utilities'!C:C,A995,'Bills - Utilities'!B:B)</f>
        <v>1039</v>
      </c>
      <c r="L1001" s="147">
        <f>sumif('Bills - Utilities'!D:D,B995,'Bills - Utilities'!C:C)</f>
        <v>0</v>
      </c>
      <c r="M1001" s="147">
        <f>sumif('Bills - Investments'!C:C,A995,'Bills - Investments'!E:E)</f>
        <v>52000</v>
      </c>
    </row>
    <row r="1002">
      <c r="A1002" s="53">
        <f t="shared" si="498"/>
        <v>0</v>
      </c>
      <c r="B1002" s="69">
        <f>B991+B997/5</f>
        <v>158800</v>
      </c>
      <c r="C1002" s="133">
        <f>sumif(G996:M996,"Pending",G1002:M1002)</f>
        <v>0</v>
      </c>
      <c r="D1002" s="133">
        <f t="shared" si="499"/>
        <v>0</v>
      </c>
      <c r="E1002" s="32" t="s">
        <v>81</v>
      </c>
      <c r="F1002" s="90">
        <f t="shared" ref="F1002:F1004" si="500">sum(G1002:M1002)+B1002</f>
        <v>158800</v>
      </c>
      <c r="G1002" s="148">
        <f t="shared" ref="G1002:G1004" si="501">(G991+G980+G969)/3</f>
        <v>0</v>
      </c>
      <c r="H1002" s="147">
        <f t="shared" ref="H1002:H1004" si="502">(H991+H980)/2</f>
        <v>0</v>
      </c>
      <c r="I1002" s="147">
        <f t="shared" ref="I1002:I1004" si="503">I991</f>
        <v>0</v>
      </c>
      <c r="J1002" s="147">
        <v>0.0</v>
      </c>
      <c r="K1002" s="147">
        <v>0.0</v>
      </c>
      <c r="L1002" s="147">
        <v>0.0</v>
      </c>
      <c r="M1002" s="147">
        <v>0.0</v>
      </c>
    </row>
    <row r="1003">
      <c r="A1003" s="53">
        <f t="shared" si="498"/>
        <v>0</v>
      </c>
      <c r="B1003" s="69">
        <f>B992+B997/5</f>
        <v>165800</v>
      </c>
      <c r="C1003" s="133">
        <f>sumif(G996:M996,"Pending",G1003:M1003)</f>
        <v>0</v>
      </c>
      <c r="D1003" s="133">
        <f t="shared" si="499"/>
        <v>0</v>
      </c>
      <c r="E1003" s="32" t="s">
        <v>79</v>
      </c>
      <c r="F1003" s="90">
        <f t="shared" si="500"/>
        <v>165800</v>
      </c>
      <c r="G1003" s="148">
        <f t="shared" si="501"/>
        <v>0</v>
      </c>
      <c r="H1003" s="147">
        <f t="shared" si="502"/>
        <v>0</v>
      </c>
      <c r="I1003" s="147">
        <f t="shared" si="503"/>
        <v>0</v>
      </c>
      <c r="J1003" s="147">
        <v>0.0</v>
      </c>
      <c r="K1003" s="147">
        <v>0.0</v>
      </c>
      <c r="L1003" s="147">
        <v>0.0</v>
      </c>
      <c r="M1003" s="147">
        <v>0.0</v>
      </c>
    </row>
    <row r="1004">
      <c r="A1004" s="53">
        <f t="shared" si="498"/>
        <v>0</v>
      </c>
      <c r="B1004" s="69">
        <f>B993+B997/5</f>
        <v>158800</v>
      </c>
      <c r="C1004" s="133">
        <f>sumif(G996:M996,"Pending",G1004:M1004)</f>
        <v>0</v>
      </c>
      <c r="D1004" s="133">
        <f t="shared" si="499"/>
        <v>0</v>
      </c>
      <c r="E1004" s="33" t="s">
        <v>91</v>
      </c>
      <c r="F1004" s="90">
        <f t="shared" si="500"/>
        <v>158800</v>
      </c>
      <c r="G1004" s="148">
        <f t="shared" si="501"/>
        <v>0</v>
      </c>
      <c r="H1004" s="147">
        <f t="shared" si="502"/>
        <v>0</v>
      </c>
      <c r="I1004" s="147">
        <f t="shared" si="503"/>
        <v>0</v>
      </c>
      <c r="J1004" s="147">
        <v>0.0</v>
      </c>
      <c r="K1004" s="147">
        <v>0.0</v>
      </c>
      <c r="L1004" s="147">
        <v>0.0</v>
      </c>
      <c r="M1004" s="147">
        <v>0.0</v>
      </c>
    </row>
    <row r="1005">
      <c r="A1005" s="81"/>
      <c r="B1005" s="73"/>
      <c r="C1005" s="73"/>
      <c r="D1005" s="73"/>
      <c r="E1005" s="82"/>
      <c r="F1005" s="151"/>
      <c r="G1005" s="73"/>
      <c r="H1005" s="73"/>
      <c r="I1005" s="25"/>
      <c r="J1005" s="25"/>
      <c r="K1005" s="25"/>
      <c r="L1005" s="25"/>
      <c r="M1005" s="24"/>
    </row>
    <row r="1006">
      <c r="A1006" s="71">
        <f>Projections!CH1</f>
        <v>47543</v>
      </c>
      <c r="B1006" s="24"/>
      <c r="C1006" s="24"/>
      <c r="D1006" s="25" t="s">
        <v>108</v>
      </c>
      <c r="E1006" s="74">
        <f>A1009-A998</f>
        <v>137311.6198</v>
      </c>
      <c r="F1006" s="25" t="s">
        <v>64</v>
      </c>
      <c r="G1006" s="136" t="s">
        <v>109</v>
      </c>
      <c r="H1006" s="137" t="s">
        <v>110</v>
      </c>
      <c r="I1006" s="137" t="s">
        <v>111</v>
      </c>
      <c r="J1006" s="137" t="s">
        <v>112</v>
      </c>
      <c r="K1006" s="137" t="s">
        <v>113</v>
      </c>
      <c r="L1006" s="137" t="s">
        <v>114</v>
      </c>
      <c r="M1006" s="137" t="s">
        <v>65</v>
      </c>
    </row>
    <row r="1007">
      <c r="A1007" s="25" t="s">
        <v>95</v>
      </c>
      <c r="B1007" s="72">
        <f>Projections!CH15</f>
        <v>243447.6198</v>
      </c>
      <c r="C1007" s="138">
        <f>A1006</f>
        <v>47543</v>
      </c>
      <c r="D1007" s="98" t="s">
        <v>115</v>
      </c>
      <c r="E1007" s="57">
        <f>Projections!CH14</f>
        <v>6065924.734</v>
      </c>
      <c r="F1007" s="73" t="s">
        <v>67</v>
      </c>
      <c r="G1007" s="139" t="s">
        <v>67</v>
      </c>
      <c r="H1007" s="139" t="s">
        <v>67</v>
      </c>
      <c r="I1007" s="137" t="s">
        <v>67</v>
      </c>
      <c r="J1007" s="137" t="s">
        <v>67</v>
      </c>
      <c r="K1007" s="137" t="s">
        <v>67</v>
      </c>
      <c r="L1007" s="137" t="s">
        <v>67</v>
      </c>
      <c r="M1007" s="137" t="s">
        <v>67</v>
      </c>
    </row>
    <row r="1008">
      <c r="A1008" s="25" t="s">
        <v>69</v>
      </c>
      <c r="B1008" s="119">
        <f>if(B997&gt;B1007/10,B997,B997+500)</f>
        <v>24500</v>
      </c>
      <c r="C1008" s="138">
        <f>EOMONTH(C1007,0)</f>
        <v>47573</v>
      </c>
      <c r="D1008" s="25" t="s">
        <v>116</v>
      </c>
      <c r="E1008" s="74">
        <f>if(today()&gt;C1008,0,B1007*12/365/5)</f>
        <v>1600.751473</v>
      </c>
      <c r="F1008" s="25" t="s">
        <v>70</v>
      </c>
      <c r="G1008" s="140" t="s">
        <v>117</v>
      </c>
      <c r="H1008" s="137" t="s">
        <v>117</v>
      </c>
      <c r="I1008" s="137" t="s">
        <v>118</v>
      </c>
      <c r="J1008" s="137" t="s">
        <v>118</v>
      </c>
      <c r="K1008" s="137" t="s">
        <v>118</v>
      </c>
      <c r="L1008" s="137" t="s">
        <v>119</v>
      </c>
      <c r="M1008" s="137" t="s">
        <v>119</v>
      </c>
    </row>
    <row r="1009">
      <c r="A1009" s="54">
        <f>F1009-C1009-B1009</f>
        <v>5158788.734</v>
      </c>
      <c r="B1009" s="90">
        <f t="shared" ref="B1009:D1009" si="504">sum(B1011:B1015)</f>
        <v>825500</v>
      </c>
      <c r="C1009" s="141">
        <f t="shared" si="504"/>
        <v>81636</v>
      </c>
      <c r="D1009" s="142">
        <f t="shared" si="504"/>
        <v>1575500</v>
      </c>
      <c r="E1009" s="59"/>
      <c r="F1009" s="63">
        <f>sum(F1011:F1015)</f>
        <v>6065924.734</v>
      </c>
      <c r="G1009" s="136" t="s">
        <v>120</v>
      </c>
      <c r="H1009" s="137" t="s">
        <v>121</v>
      </c>
      <c r="I1009" s="137" t="s">
        <v>111</v>
      </c>
      <c r="J1009" s="137" t="s">
        <v>112</v>
      </c>
      <c r="K1009" s="137" t="s">
        <v>113</v>
      </c>
      <c r="L1009" s="137" t="s">
        <v>114</v>
      </c>
      <c r="M1009" s="137" t="s">
        <v>65</v>
      </c>
    </row>
    <row r="1010">
      <c r="A1010" s="32" t="s">
        <v>72</v>
      </c>
      <c r="B1010" s="122" t="s">
        <v>84</v>
      </c>
      <c r="C1010" s="143" t="s">
        <v>67</v>
      </c>
      <c r="D1010" s="143" t="s">
        <v>122</v>
      </c>
      <c r="E1010" s="34">
        <f>today()</f>
        <v>45969</v>
      </c>
      <c r="F1010" s="35" t="s">
        <v>64</v>
      </c>
      <c r="G1010" s="144" t="s">
        <v>107</v>
      </c>
      <c r="H1010" s="144" t="s">
        <v>107</v>
      </c>
      <c r="I1010" s="145" t="str">
        <f>I999</f>
        <v>STR Residency</v>
      </c>
      <c r="J1010" s="145" t="s">
        <v>112</v>
      </c>
      <c r="K1010" s="145" t="s">
        <v>113</v>
      </c>
      <c r="L1010" s="145" t="s">
        <v>114</v>
      </c>
      <c r="M1010" s="145" t="s">
        <v>65</v>
      </c>
    </row>
    <row r="1011">
      <c r="A1011" s="53">
        <f t="shared" ref="A1011:A1015" si="505">F1011-C1011-B1011</f>
        <v>0</v>
      </c>
      <c r="B1011" s="69">
        <f>B1000+B1008/5</f>
        <v>163700</v>
      </c>
      <c r="C1011" s="133">
        <f>sumif(G1007:M1007,"Pending",G1011:M1011)</f>
        <v>9000</v>
      </c>
      <c r="D1011" s="133">
        <f t="shared" ref="D1011:D1015" si="506">D1000+M1011</f>
        <v>145500</v>
      </c>
      <c r="E1011" s="32" t="s">
        <v>76</v>
      </c>
      <c r="F1011" s="150">
        <f>sumif(G1007:M1007,"Pending",G1011:M1011)+B1011</f>
        <v>172700</v>
      </c>
      <c r="G1011" s="146">
        <f>sumif('Bills - CC EMIs'!D:D,A1006,'Bills - CC EMIs'!E:E)+SUMIF('Bills - CC EMIs'!D:D,A1006,'Bills - CC EMIs'!F:F)+sumif('Bills - CC EMIs'!D:D,A1006,'Bills - CC EMIs'!G:G)</f>
        <v>0</v>
      </c>
      <c r="H1011" s="146">
        <f>SUMIFS('Bills - Loans'!F:F,'Bills - Loans'!D:D,A1006)</f>
        <v>0</v>
      </c>
      <c r="I1011" s="147">
        <v>0.0</v>
      </c>
      <c r="J1011" s="137">
        <f>sumif('Bills - Responsibilities'!D:D,A1006,'Bills - Responsibilities'!E:E)</f>
        <v>5000</v>
      </c>
      <c r="K1011" s="147">
        <v>0.0</v>
      </c>
      <c r="L1011" s="147">
        <f>sumif('Bills - Returns'!C:C,A1006,'Bills - Returns'!D:D)</f>
        <v>0</v>
      </c>
      <c r="M1011" s="147">
        <f>sumif('Bills - Investments'!C:C,A1006,'Bills - Investments'!D:D)</f>
        <v>4000</v>
      </c>
    </row>
    <row r="1012">
      <c r="A1012" s="53">
        <f t="shared" si="505"/>
        <v>5158788.734</v>
      </c>
      <c r="B1012" s="69">
        <f>B1001+B1008/5</f>
        <v>163700</v>
      </c>
      <c r="C1012" s="133">
        <f>sumif(G1007:M1007,"Pending",G1012:M1012)</f>
        <v>72636</v>
      </c>
      <c r="D1012" s="133">
        <f t="shared" si="506"/>
        <v>1430000</v>
      </c>
      <c r="E1012" s="32" t="s">
        <v>77</v>
      </c>
      <c r="F1012" s="90">
        <f>E1007-F1011-sum(F1013:F1015)</f>
        <v>5395124.734</v>
      </c>
      <c r="G1012" s="148">
        <f>sumif('Bills - CC EMIs'!D:D,A1006,'Bills - CC EMIs'!H:H)</f>
        <v>0</v>
      </c>
      <c r="H1012" s="147">
        <f>SUMIFS('Bills - Loans'!E:E,'Bills - Loans'!D:D,A1006)</f>
        <v>15742</v>
      </c>
      <c r="I1012" s="137">
        <f>sumif('Bills - STR Residency'!D:D,A1006,'Bills - STR Residency'!E:E)</f>
        <v>2855</v>
      </c>
      <c r="J1012" s="147">
        <v>0.0</v>
      </c>
      <c r="K1012" s="147">
        <f>sumif('Bills - Utilities'!C:C,A1006,'Bills - Utilities'!B:B)</f>
        <v>1039</v>
      </c>
      <c r="L1012" s="147">
        <f>sumif('Bills - Utilities'!D:D,B1006,'Bills - Utilities'!C:C)</f>
        <v>0</v>
      </c>
      <c r="M1012" s="147">
        <f>sumif('Bills - Investments'!C:C,A1006,'Bills - Investments'!E:E)</f>
        <v>53000</v>
      </c>
    </row>
    <row r="1013">
      <c r="A1013" s="53">
        <f t="shared" si="505"/>
        <v>0</v>
      </c>
      <c r="B1013" s="69">
        <f>B1002+B1008/5</f>
        <v>163700</v>
      </c>
      <c r="C1013" s="133">
        <f>sumif(G1007:M1007,"Pending",G1013:M1013)</f>
        <v>0</v>
      </c>
      <c r="D1013" s="133">
        <f t="shared" si="506"/>
        <v>0</v>
      </c>
      <c r="E1013" s="32" t="s">
        <v>81</v>
      </c>
      <c r="F1013" s="90">
        <f t="shared" ref="F1013:F1015" si="507">sum(G1013:M1013)+B1013</f>
        <v>163700</v>
      </c>
      <c r="G1013" s="148">
        <f t="shared" ref="G1013:G1015" si="508">(G1002+G991+G980)/3</f>
        <v>0</v>
      </c>
      <c r="H1013" s="147">
        <f t="shared" ref="H1013:H1015" si="509">(H1002+H991)/2</f>
        <v>0</v>
      </c>
      <c r="I1013" s="147">
        <f t="shared" ref="I1013:I1015" si="510">I1002</f>
        <v>0</v>
      </c>
      <c r="J1013" s="147">
        <v>0.0</v>
      </c>
      <c r="K1013" s="147">
        <v>0.0</v>
      </c>
      <c r="L1013" s="147">
        <v>0.0</v>
      </c>
      <c r="M1013" s="147">
        <v>0.0</v>
      </c>
    </row>
    <row r="1014">
      <c r="A1014" s="53">
        <f t="shared" si="505"/>
        <v>0</v>
      </c>
      <c r="B1014" s="69">
        <f>B1003+B1008/5</f>
        <v>170700</v>
      </c>
      <c r="C1014" s="133">
        <f>sumif(G1007:M1007,"Pending",G1014:M1014)</f>
        <v>0</v>
      </c>
      <c r="D1014" s="133">
        <f t="shared" si="506"/>
        <v>0</v>
      </c>
      <c r="E1014" s="32" t="s">
        <v>79</v>
      </c>
      <c r="F1014" s="90">
        <f t="shared" si="507"/>
        <v>170700</v>
      </c>
      <c r="G1014" s="148">
        <f t="shared" si="508"/>
        <v>0</v>
      </c>
      <c r="H1014" s="147">
        <f t="shared" si="509"/>
        <v>0</v>
      </c>
      <c r="I1014" s="147">
        <f t="shared" si="510"/>
        <v>0</v>
      </c>
      <c r="J1014" s="147">
        <v>0.0</v>
      </c>
      <c r="K1014" s="147">
        <v>0.0</v>
      </c>
      <c r="L1014" s="147">
        <v>0.0</v>
      </c>
      <c r="M1014" s="147">
        <v>0.0</v>
      </c>
    </row>
    <row r="1015">
      <c r="A1015" s="53">
        <f t="shared" si="505"/>
        <v>0</v>
      </c>
      <c r="B1015" s="69">
        <f>B1004+B1008/5</f>
        <v>163700</v>
      </c>
      <c r="C1015" s="133">
        <f>sumif(G1007:M1007,"Pending",G1015:M1015)</f>
        <v>0</v>
      </c>
      <c r="D1015" s="133">
        <f t="shared" si="506"/>
        <v>0</v>
      </c>
      <c r="E1015" s="33" t="s">
        <v>91</v>
      </c>
      <c r="F1015" s="90">
        <f t="shared" si="507"/>
        <v>163700</v>
      </c>
      <c r="G1015" s="148">
        <f t="shared" si="508"/>
        <v>0</v>
      </c>
      <c r="H1015" s="147">
        <f t="shared" si="509"/>
        <v>0</v>
      </c>
      <c r="I1015" s="147">
        <f t="shared" si="510"/>
        <v>0</v>
      </c>
      <c r="J1015" s="147">
        <v>0.0</v>
      </c>
      <c r="K1015" s="147">
        <v>0.0</v>
      </c>
      <c r="L1015" s="147">
        <v>0.0</v>
      </c>
      <c r="M1015" s="147">
        <v>0.0</v>
      </c>
    </row>
    <row r="1016">
      <c r="A1016" s="81"/>
      <c r="B1016" s="73"/>
      <c r="C1016" s="73"/>
      <c r="D1016" s="73"/>
      <c r="E1016" s="82"/>
      <c r="F1016" s="151"/>
      <c r="G1016" s="73"/>
      <c r="H1016" s="73"/>
      <c r="I1016" s="25"/>
      <c r="J1016" s="25"/>
      <c r="K1016" s="25"/>
      <c r="L1016" s="25"/>
      <c r="M1016" s="24"/>
    </row>
    <row r="1017">
      <c r="A1017" s="71">
        <f>Projections!CI1</f>
        <v>47574</v>
      </c>
      <c r="B1017" s="24"/>
      <c r="C1017" s="24"/>
      <c r="D1017" s="25" t="s">
        <v>108</v>
      </c>
      <c r="E1017" s="74">
        <f>A1020-A1009</f>
        <v>163128.4818</v>
      </c>
      <c r="F1017" s="25" t="s">
        <v>64</v>
      </c>
      <c r="G1017" s="136" t="s">
        <v>109</v>
      </c>
      <c r="H1017" s="137" t="s">
        <v>110</v>
      </c>
      <c r="I1017" s="137" t="s">
        <v>111</v>
      </c>
      <c r="J1017" s="137" t="s">
        <v>112</v>
      </c>
      <c r="K1017" s="137" t="s">
        <v>113</v>
      </c>
      <c r="L1017" s="137" t="s">
        <v>114</v>
      </c>
      <c r="M1017" s="137" t="s">
        <v>65</v>
      </c>
    </row>
    <row r="1018">
      <c r="A1018" s="25" t="s">
        <v>95</v>
      </c>
      <c r="B1018" s="72">
        <f>Projections!CI15</f>
        <v>267792.3818</v>
      </c>
      <c r="C1018" s="138">
        <f>A1017</f>
        <v>47574</v>
      </c>
      <c r="D1018" s="98" t="s">
        <v>115</v>
      </c>
      <c r="E1018" s="57">
        <f>Projections!CI14</f>
        <v>6252081.215</v>
      </c>
      <c r="F1018" s="73" t="s">
        <v>67</v>
      </c>
      <c r="G1018" s="139" t="s">
        <v>67</v>
      </c>
      <c r="H1018" s="139" t="s">
        <v>67</v>
      </c>
      <c r="I1018" s="137" t="s">
        <v>67</v>
      </c>
      <c r="J1018" s="137" t="s">
        <v>67</v>
      </c>
      <c r="K1018" s="137" t="s">
        <v>67</v>
      </c>
      <c r="L1018" s="137" t="s">
        <v>67</v>
      </c>
      <c r="M1018" s="137" t="s">
        <v>67</v>
      </c>
    </row>
    <row r="1019">
      <c r="A1019" s="25" t="s">
        <v>69</v>
      </c>
      <c r="B1019" s="119">
        <f>if(B1008&gt;B1018/10,B1008,B1008+500)</f>
        <v>25000</v>
      </c>
      <c r="C1019" s="138">
        <f>EOMONTH(C1018,0)</f>
        <v>47603</v>
      </c>
      <c r="D1019" s="25" t="s">
        <v>116</v>
      </c>
      <c r="E1019" s="74">
        <f>if(today()&gt;C1019,0,B1018*12/365/5)</f>
        <v>1760.82662</v>
      </c>
      <c r="F1019" s="25" t="s">
        <v>70</v>
      </c>
      <c r="G1019" s="140" t="s">
        <v>117</v>
      </c>
      <c r="H1019" s="137" t="s">
        <v>117</v>
      </c>
      <c r="I1019" s="137" t="s">
        <v>118</v>
      </c>
      <c r="J1019" s="137" t="s">
        <v>118</v>
      </c>
      <c r="K1019" s="137" t="s">
        <v>118</v>
      </c>
      <c r="L1019" s="137" t="s">
        <v>119</v>
      </c>
      <c r="M1019" s="137" t="s">
        <v>119</v>
      </c>
    </row>
    <row r="1020">
      <c r="A1020" s="54">
        <f>F1020-C1020-B1020</f>
        <v>5321917.215</v>
      </c>
      <c r="B1020" s="90">
        <f t="shared" ref="B1020:D1020" si="511">sum(B1022:B1026)</f>
        <v>850500</v>
      </c>
      <c r="C1020" s="141">
        <f t="shared" si="511"/>
        <v>79664</v>
      </c>
      <c r="D1020" s="142">
        <f t="shared" si="511"/>
        <v>1633500</v>
      </c>
      <c r="E1020" s="59"/>
      <c r="F1020" s="63">
        <f>sum(F1022:F1026)</f>
        <v>6252081.215</v>
      </c>
      <c r="G1020" s="136" t="s">
        <v>120</v>
      </c>
      <c r="H1020" s="137" t="s">
        <v>121</v>
      </c>
      <c r="I1020" s="137" t="s">
        <v>111</v>
      </c>
      <c r="J1020" s="137" t="s">
        <v>112</v>
      </c>
      <c r="K1020" s="137" t="s">
        <v>113</v>
      </c>
      <c r="L1020" s="137" t="s">
        <v>114</v>
      </c>
      <c r="M1020" s="137" t="s">
        <v>65</v>
      </c>
    </row>
    <row r="1021">
      <c r="A1021" s="32" t="s">
        <v>72</v>
      </c>
      <c r="B1021" s="122" t="s">
        <v>84</v>
      </c>
      <c r="C1021" s="143" t="s">
        <v>67</v>
      </c>
      <c r="D1021" s="143" t="s">
        <v>122</v>
      </c>
      <c r="E1021" s="34">
        <f>today()</f>
        <v>45969</v>
      </c>
      <c r="F1021" s="35" t="s">
        <v>64</v>
      </c>
      <c r="G1021" s="144" t="s">
        <v>107</v>
      </c>
      <c r="H1021" s="144" t="s">
        <v>107</v>
      </c>
      <c r="I1021" s="145" t="str">
        <f>I1010</f>
        <v>STR Residency</v>
      </c>
      <c r="J1021" s="145" t="s">
        <v>112</v>
      </c>
      <c r="K1021" s="145" t="s">
        <v>113</v>
      </c>
      <c r="L1021" s="145" t="s">
        <v>114</v>
      </c>
      <c r="M1021" s="145" t="s">
        <v>65</v>
      </c>
    </row>
    <row r="1022">
      <c r="A1022" s="53">
        <f t="shared" ref="A1022:A1026" si="512">F1022-C1022-B1022</f>
        <v>0</v>
      </c>
      <c r="B1022" s="69">
        <f>B1011+B1019/5</f>
        <v>168700</v>
      </c>
      <c r="C1022" s="133">
        <f>sumif(G1018:M1018,"Pending",G1022:M1022)</f>
        <v>9000</v>
      </c>
      <c r="D1022" s="133">
        <f t="shared" ref="D1022:D1026" si="513">D1011+M1022</f>
        <v>149500</v>
      </c>
      <c r="E1022" s="32" t="s">
        <v>76</v>
      </c>
      <c r="F1022" s="150">
        <f>sumif(G1018:M1018,"Pending",G1022:M1022)+B1022</f>
        <v>177700</v>
      </c>
      <c r="G1022" s="146">
        <f>sumif('Bills - CC EMIs'!D:D,A1017,'Bills - CC EMIs'!E:E)+SUMIF('Bills - CC EMIs'!D:D,A1017,'Bills - CC EMIs'!F:F)+sumif('Bills - CC EMIs'!D:D,A1017,'Bills - CC EMIs'!G:G)</f>
        <v>0</v>
      </c>
      <c r="H1022" s="146">
        <f>SUMIFS('Bills - Loans'!F:F,'Bills - Loans'!D:D,A1017)</f>
        <v>0</v>
      </c>
      <c r="I1022" s="147">
        <v>0.0</v>
      </c>
      <c r="J1022" s="137">
        <f>sumif('Bills - Responsibilities'!D:D,A1017,'Bills - Responsibilities'!E:E)</f>
        <v>5000</v>
      </c>
      <c r="K1022" s="147">
        <v>0.0</v>
      </c>
      <c r="L1022" s="147">
        <f>sumif('Bills - Returns'!C:C,A1017,'Bills - Returns'!D:D)</f>
        <v>0</v>
      </c>
      <c r="M1022" s="147">
        <f>sumif('Bills - Investments'!C:C,A1017,'Bills - Investments'!D:D)</f>
        <v>4000</v>
      </c>
    </row>
    <row r="1023">
      <c r="A1023" s="53">
        <f t="shared" si="512"/>
        <v>5321917.215</v>
      </c>
      <c r="B1023" s="69">
        <f>B1012+B1019/5</f>
        <v>168700</v>
      </c>
      <c r="C1023" s="133">
        <f>sumif(G1018:M1018,"Pending",G1023:M1023)</f>
        <v>70664</v>
      </c>
      <c r="D1023" s="133">
        <f t="shared" si="513"/>
        <v>1484000</v>
      </c>
      <c r="E1023" s="32" t="s">
        <v>77</v>
      </c>
      <c r="F1023" s="90">
        <f>E1018-F1022-sum(F1024:F1026)</f>
        <v>5561281.215</v>
      </c>
      <c r="G1023" s="148">
        <f>sumif('Bills - CC EMIs'!D:D,A1017,'Bills - CC EMIs'!H:H)</f>
        <v>0</v>
      </c>
      <c r="H1023" s="147">
        <f>SUMIFS('Bills - Loans'!E:E,'Bills - Loans'!D:D,A1017)</f>
        <v>12770</v>
      </c>
      <c r="I1023" s="137">
        <f>sumif('Bills - STR Residency'!D:D,A1017,'Bills - STR Residency'!E:E)</f>
        <v>2855</v>
      </c>
      <c r="J1023" s="147">
        <v>0.0</v>
      </c>
      <c r="K1023" s="147">
        <f>sumif('Bills - Utilities'!C:C,A1017,'Bills - Utilities'!B:B)</f>
        <v>1039</v>
      </c>
      <c r="L1023" s="147">
        <f>sumif('Bills - Utilities'!D:D,B1017,'Bills - Utilities'!C:C)</f>
        <v>0</v>
      </c>
      <c r="M1023" s="147">
        <f>sumif('Bills - Investments'!C:C,A1017,'Bills - Investments'!E:E)</f>
        <v>54000</v>
      </c>
    </row>
    <row r="1024">
      <c r="A1024" s="53">
        <f t="shared" si="512"/>
        <v>0</v>
      </c>
      <c r="B1024" s="69">
        <f>B1013+B1019/5</f>
        <v>168700</v>
      </c>
      <c r="C1024" s="133">
        <f>sumif(G1018:M1018,"Pending",G1024:M1024)</f>
        <v>0</v>
      </c>
      <c r="D1024" s="133">
        <f t="shared" si="513"/>
        <v>0</v>
      </c>
      <c r="E1024" s="32" t="s">
        <v>81</v>
      </c>
      <c r="F1024" s="90">
        <f t="shared" ref="F1024:F1026" si="514">sum(G1024:M1024)+B1024</f>
        <v>168700</v>
      </c>
      <c r="G1024" s="148">
        <f t="shared" ref="G1024:G1026" si="515">(G1013+G1002+G991)/3</f>
        <v>0</v>
      </c>
      <c r="H1024" s="147">
        <f t="shared" ref="H1024:H1026" si="516">(H1013+H1002)/2</f>
        <v>0</v>
      </c>
      <c r="I1024" s="147">
        <f t="shared" ref="I1024:I1026" si="517">I1013</f>
        <v>0</v>
      </c>
      <c r="J1024" s="147">
        <v>0.0</v>
      </c>
      <c r="K1024" s="147">
        <v>0.0</v>
      </c>
      <c r="L1024" s="147">
        <v>0.0</v>
      </c>
      <c r="M1024" s="147">
        <v>0.0</v>
      </c>
    </row>
    <row r="1025">
      <c r="A1025" s="53">
        <f t="shared" si="512"/>
        <v>0</v>
      </c>
      <c r="B1025" s="69">
        <f>B1014+B1019/5</f>
        <v>175700</v>
      </c>
      <c r="C1025" s="133">
        <f>sumif(G1018:M1018,"Pending",G1025:M1025)</f>
        <v>0</v>
      </c>
      <c r="D1025" s="133">
        <f t="shared" si="513"/>
        <v>0</v>
      </c>
      <c r="E1025" s="32" t="s">
        <v>79</v>
      </c>
      <c r="F1025" s="90">
        <f t="shared" si="514"/>
        <v>175700</v>
      </c>
      <c r="G1025" s="148">
        <f t="shared" si="515"/>
        <v>0</v>
      </c>
      <c r="H1025" s="147">
        <f t="shared" si="516"/>
        <v>0</v>
      </c>
      <c r="I1025" s="147">
        <f t="shared" si="517"/>
        <v>0</v>
      </c>
      <c r="J1025" s="147">
        <v>0.0</v>
      </c>
      <c r="K1025" s="147">
        <v>0.0</v>
      </c>
      <c r="L1025" s="147">
        <v>0.0</v>
      </c>
      <c r="M1025" s="147">
        <v>0.0</v>
      </c>
    </row>
    <row r="1026">
      <c r="A1026" s="53">
        <f t="shared" si="512"/>
        <v>0</v>
      </c>
      <c r="B1026" s="69">
        <f>B1015+B1019/5</f>
        <v>168700</v>
      </c>
      <c r="C1026" s="133">
        <f>sumif(G1018:M1018,"Pending",G1026:M1026)</f>
        <v>0</v>
      </c>
      <c r="D1026" s="133">
        <f t="shared" si="513"/>
        <v>0</v>
      </c>
      <c r="E1026" s="33" t="s">
        <v>91</v>
      </c>
      <c r="F1026" s="90">
        <f t="shared" si="514"/>
        <v>168700</v>
      </c>
      <c r="G1026" s="148">
        <f t="shared" si="515"/>
        <v>0</v>
      </c>
      <c r="H1026" s="147">
        <f t="shared" si="516"/>
        <v>0</v>
      </c>
      <c r="I1026" s="147">
        <f t="shared" si="517"/>
        <v>0</v>
      </c>
      <c r="J1026" s="147">
        <v>0.0</v>
      </c>
      <c r="K1026" s="147">
        <v>0.0</v>
      </c>
      <c r="L1026" s="147">
        <v>0.0</v>
      </c>
      <c r="M1026" s="147">
        <v>0.0</v>
      </c>
    </row>
    <row r="1027">
      <c r="A1027" s="81"/>
      <c r="B1027" s="73"/>
      <c r="C1027" s="73"/>
      <c r="D1027" s="73"/>
      <c r="E1027" s="82"/>
      <c r="F1027" s="151"/>
      <c r="G1027" s="73"/>
      <c r="H1027" s="73"/>
      <c r="I1027" s="25"/>
      <c r="J1027" s="25"/>
      <c r="K1027" s="25"/>
      <c r="L1027" s="25"/>
      <c r="M1027" s="24"/>
    </row>
    <row r="1028">
      <c r="A1028" s="71">
        <f>Projections!CJ1</f>
        <v>47604</v>
      </c>
      <c r="B1028" s="24"/>
      <c r="C1028" s="24"/>
      <c r="D1028" s="25" t="s">
        <v>108</v>
      </c>
      <c r="E1028" s="74">
        <f>A1031-A1020</f>
        <v>156628.3818</v>
      </c>
      <c r="F1028" s="25" t="s">
        <v>64</v>
      </c>
      <c r="G1028" s="136" t="s">
        <v>109</v>
      </c>
      <c r="H1028" s="137" t="s">
        <v>110</v>
      </c>
      <c r="I1028" s="137" t="s">
        <v>111</v>
      </c>
      <c r="J1028" s="137" t="s">
        <v>112</v>
      </c>
      <c r="K1028" s="137" t="s">
        <v>113</v>
      </c>
      <c r="L1028" s="137" t="s">
        <v>114</v>
      </c>
      <c r="M1028" s="137" t="s">
        <v>65</v>
      </c>
    </row>
    <row r="1029">
      <c r="A1029" s="25" t="s">
        <v>95</v>
      </c>
      <c r="B1029" s="72">
        <f>Projections!CJ15</f>
        <v>267792.3818</v>
      </c>
      <c r="C1029" s="138">
        <f>A1028</f>
        <v>47604</v>
      </c>
      <c r="D1029" s="98" t="s">
        <v>115</v>
      </c>
      <c r="E1029" s="57">
        <f>Projections!CJ14</f>
        <v>6440209.597</v>
      </c>
      <c r="F1029" s="73" t="s">
        <v>67</v>
      </c>
      <c r="G1029" s="139" t="s">
        <v>67</v>
      </c>
      <c r="H1029" s="139" t="s">
        <v>67</v>
      </c>
      <c r="I1029" s="137" t="s">
        <v>67</v>
      </c>
      <c r="J1029" s="137" t="s">
        <v>67</v>
      </c>
      <c r="K1029" s="137" t="s">
        <v>67</v>
      </c>
      <c r="L1029" s="137" t="s">
        <v>67</v>
      </c>
      <c r="M1029" s="137" t="s">
        <v>67</v>
      </c>
    </row>
    <row r="1030">
      <c r="A1030" s="25" t="s">
        <v>69</v>
      </c>
      <c r="B1030" s="119">
        <f>if(B1019&gt;B1029/10,B1019,B1019+500)</f>
        <v>25500</v>
      </c>
      <c r="C1030" s="138">
        <f>EOMONTH(C1029,0)</f>
        <v>47634</v>
      </c>
      <c r="D1030" s="25" t="s">
        <v>116</v>
      </c>
      <c r="E1030" s="74">
        <f>if(today()&gt;C1030,0,B1029*12/365/5)</f>
        <v>1760.82662</v>
      </c>
      <c r="F1030" s="25" t="s">
        <v>70</v>
      </c>
      <c r="G1030" s="140" t="s">
        <v>117</v>
      </c>
      <c r="H1030" s="137" t="s">
        <v>117</v>
      </c>
      <c r="I1030" s="137" t="s">
        <v>118</v>
      </c>
      <c r="J1030" s="137" t="s">
        <v>118</v>
      </c>
      <c r="K1030" s="137" t="s">
        <v>118</v>
      </c>
      <c r="L1030" s="137" t="s">
        <v>119</v>
      </c>
      <c r="M1030" s="137" t="s">
        <v>119</v>
      </c>
    </row>
    <row r="1031">
      <c r="A1031" s="54">
        <f>F1031-C1031-B1031</f>
        <v>5478545.597</v>
      </c>
      <c r="B1031" s="90">
        <f t="shared" ref="B1031:D1031" si="518">sum(B1033:B1037)</f>
        <v>876000</v>
      </c>
      <c r="C1031" s="141">
        <f t="shared" si="518"/>
        <v>85664</v>
      </c>
      <c r="D1031" s="142">
        <f t="shared" si="518"/>
        <v>1692500</v>
      </c>
      <c r="E1031" s="59"/>
      <c r="F1031" s="63">
        <f>sum(F1033:F1037)</f>
        <v>6440209.597</v>
      </c>
      <c r="G1031" s="136" t="s">
        <v>120</v>
      </c>
      <c r="H1031" s="137" t="s">
        <v>121</v>
      </c>
      <c r="I1031" s="137" t="s">
        <v>111</v>
      </c>
      <c r="J1031" s="137" t="s">
        <v>112</v>
      </c>
      <c r="K1031" s="137" t="s">
        <v>113</v>
      </c>
      <c r="L1031" s="137" t="s">
        <v>114</v>
      </c>
      <c r="M1031" s="137" t="s">
        <v>65</v>
      </c>
    </row>
    <row r="1032">
      <c r="A1032" s="32" t="s">
        <v>72</v>
      </c>
      <c r="B1032" s="122" t="s">
        <v>84</v>
      </c>
      <c r="C1032" s="143" t="s">
        <v>67</v>
      </c>
      <c r="D1032" s="143" t="s">
        <v>122</v>
      </c>
      <c r="E1032" s="34">
        <f>today()</f>
        <v>45969</v>
      </c>
      <c r="F1032" s="35" t="s">
        <v>64</v>
      </c>
      <c r="G1032" s="144" t="s">
        <v>107</v>
      </c>
      <c r="H1032" s="144" t="s">
        <v>107</v>
      </c>
      <c r="I1032" s="145" t="str">
        <f>I1021</f>
        <v>STR Residency</v>
      </c>
      <c r="J1032" s="145" t="s">
        <v>112</v>
      </c>
      <c r="K1032" s="145" t="s">
        <v>113</v>
      </c>
      <c r="L1032" s="145" t="s">
        <v>114</v>
      </c>
      <c r="M1032" s="145" t="s">
        <v>65</v>
      </c>
    </row>
    <row r="1033">
      <c r="A1033" s="53">
        <f t="shared" ref="A1033:A1037" si="519">F1033-C1033-B1033</f>
        <v>0</v>
      </c>
      <c r="B1033" s="69">
        <f>B1022+B1030/5</f>
        <v>173800</v>
      </c>
      <c r="C1033" s="133">
        <f>sumif(G1029:M1029,"Pending",G1033:M1033)</f>
        <v>9000</v>
      </c>
      <c r="D1033" s="133">
        <f t="shared" ref="D1033:D1037" si="520">D1022+M1033</f>
        <v>153500</v>
      </c>
      <c r="E1033" s="32" t="s">
        <v>76</v>
      </c>
      <c r="F1033" s="150">
        <f>sumif(G1029:M1029,"Pending",G1033:M1033)+B1033</f>
        <v>182800</v>
      </c>
      <c r="G1033" s="146">
        <f>sumif('Bills - CC EMIs'!D:D,A1028,'Bills - CC EMIs'!E:E)+SUMIF('Bills - CC EMIs'!D:D,A1028,'Bills - CC EMIs'!F:F)+sumif('Bills - CC EMIs'!D:D,A1028,'Bills - CC EMIs'!G:G)</f>
        <v>0</v>
      </c>
      <c r="H1033" s="146">
        <f>SUMIFS('Bills - Loans'!F:F,'Bills - Loans'!D:D,A1028)</f>
        <v>0</v>
      </c>
      <c r="I1033" s="147">
        <v>0.0</v>
      </c>
      <c r="J1033" s="137">
        <f>sumif('Bills - Responsibilities'!D:D,A1028,'Bills - Responsibilities'!E:E)</f>
        <v>5000</v>
      </c>
      <c r="K1033" s="147">
        <v>0.0</v>
      </c>
      <c r="L1033" s="147">
        <f>sumif('Bills - Returns'!C:C,A1028,'Bills - Returns'!D:D)</f>
        <v>0</v>
      </c>
      <c r="M1033" s="147">
        <f>sumif('Bills - Investments'!C:C,A1028,'Bills - Investments'!D:D)</f>
        <v>4000</v>
      </c>
    </row>
    <row r="1034">
      <c r="A1034" s="53">
        <f t="shared" si="519"/>
        <v>5478545.597</v>
      </c>
      <c r="B1034" s="69">
        <f>B1023+B1030/5</f>
        <v>173800</v>
      </c>
      <c r="C1034" s="133">
        <f>sumif(G1029:M1029,"Pending",G1034:M1034)</f>
        <v>76664</v>
      </c>
      <c r="D1034" s="133">
        <f t="shared" si="520"/>
        <v>1539000</v>
      </c>
      <c r="E1034" s="32" t="s">
        <v>77</v>
      </c>
      <c r="F1034" s="90">
        <f>E1029-F1033-sum(F1035:F1037)</f>
        <v>5729009.597</v>
      </c>
      <c r="G1034" s="148">
        <f>sumif('Bills - CC EMIs'!D:D,A1028,'Bills - CC EMIs'!H:H)</f>
        <v>0</v>
      </c>
      <c r="H1034" s="147">
        <f>SUMIFS('Bills - Loans'!E:E,'Bills - Loans'!D:D,A1028)</f>
        <v>12770</v>
      </c>
      <c r="I1034" s="137">
        <f>sumif('Bills - STR Residency'!D:D,A1028,'Bills - STR Residency'!E:E)</f>
        <v>7855</v>
      </c>
      <c r="J1034" s="147">
        <v>0.0</v>
      </c>
      <c r="K1034" s="147">
        <f>sumif('Bills - Utilities'!C:C,A1028,'Bills - Utilities'!B:B)</f>
        <v>1039</v>
      </c>
      <c r="L1034" s="147">
        <f>sumif('Bills - Utilities'!D:D,B1028,'Bills - Utilities'!C:C)</f>
        <v>0</v>
      </c>
      <c r="M1034" s="147">
        <f>sumif('Bills - Investments'!C:C,A1028,'Bills - Investments'!E:E)</f>
        <v>55000</v>
      </c>
    </row>
    <row r="1035">
      <c r="A1035" s="53">
        <f t="shared" si="519"/>
        <v>0</v>
      </c>
      <c r="B1035" s="69">
        <f>B1024+B1030/5</f>
        <v>173800</v>
      </c>
      <c r="C1035" s="133">
        <f>sumif(G1029:M1029,"Pending",G1035:M1035)</f>
        <v>0</v>
      </c>
      <c r="D1035" s="133">
        <f t="shared" si="520"/>
        <v>0</v>
      </c>
      <c r="E1035" s="32" t="s">
        <v>81</v>
      </c>
      <c r="F1035" s="90">
        <f t="shared" ref="F1035:F1037" si="521">sum(G1035:M1035)+B1035</f>
        <v>173800</v>
      </c>
      <c r="G1035" s="148">
        <f t="shared" ref="G1035:G1037" si="522">(G1024+G1013+G1002)/3</f>
        <v>0</v>
      </c>
      <c r="H1035" s="147">
        <f t="shared" ref="H1035:H1037" si="523">(H1024+H1013)/2</f>
        <v>0</v>
      </c>
      <c r="I1035" s="147">
        <f t="shared" ref="I1035:I1037" si="524">I1024</f>
        <v>0</v>
      </c>
      <c r="J1035" s="147">
        <v>0.0</v>
      </c>
      <c r="K1035" s="147">
        <v>0.0</v>
      </c>
      <c r="L1035" s="147">
        <v>0.0</v>
      </c>
      <c r="M1035" s="147">
        <v>0.0</v>
      </c>
    </row>
    <row r="1036">
      <c r="A1036" s="53">
        <f t="shared" si="519"/>
        <v>0</v>
      </c>
      <c r="B1036" s="69">
        <f>B1025+B1030/5</f>
        <v>180800</v>
      </c>
      <c r="C1036" s="133">
        <f>sumif(G1029:M1029,"Pending",G1036:M1036)</f>
        <v>0</v>
      </c>
      <c r="D1036" s="133">
        <f t="shared" si="520"/>
        <v>0</v>
      </c>
      <c r="E1036" s="32" t="s">
        <v>79</v>
      </c>
      <c r="F1036" s="90">
        <f t="shared" si="521"/>
        <v>180800</v>
      </c>
      <c r="G1036" s="148">
        <f t="shared" si="522"/>
        <v>0</v>
      </c>
      <c r="H1036" s="147">
        <f t="shared" si="523"/>
        <v>0</v>
      </c>
      <c r="I1036" s="147">
        <f t="shared" si="524"/>
        <v>0</v>
      </c>
      <c r="J1036" s="147">
        <v>0.0</v>
      </c>
      <c r="K1036" s="147">
        <v>0.0</v>
      </c>
      <c r="L1036" s="147">
        <v>0.0</v>
      </c>
      <c r="M1036" s="147">
        <v>0.0</v>
      </c>
    </row>
    <row r="1037">
      <c r="A1037" s="53">
        <f t="shared" si="519"/>
        <v>0</v>
      </c>
      <c r="B1037" s="69">
        <f>B1026+B1030/5</f>
        <v>173800</v>
      </c>
      <c r="C1037" s="133">
        <f>sumif(G1029:M1029,"Pending",G1037:M1037)</f>
        <v>0</v>
      </c>
      <c r="D1037" s="133">
        <f t="shared" si="520"/>
        <v>0</v>
      </c>
      <c r="E1037" s="33" t="s">
        <v>91</v>
      </c>
      <c r="F1037" s="90">
        <f t="shared" si="521"/>
        <v>173800</v>
      </c>
      <c r="G1037" s="148">
        <f t="shared" si="522"/>
        <v>0</v>
      </c>
      <c r="H1037" s="147">
        <f t="shared" si="523"/>
        <v>0</v>
      </c>
      <c r="I1037" s="147">
        <f t="shared" si="524"/>
        <v>0</v>
      </c>
      <c r="J1037" s="147">
        <v>0.0</v>
      </c>
      <c r="K1037" s="147">
        <v>0.0</v>
      </c>
      <c r="L1037" s="147">
        <v>0.0</v>
      </c>
      <c r="M1037" s="147">
        <v>0.0</v>
      </c>
    </row>
    <row r="1038">
      <c r="A1038" s="81"/>
      <c r="B1038" s="73"/>
      <c r="C1038" s="73"/>
      <c r="D1038" s="73"/>
      <c r="E1038" s="82"/>
      <c r="F1038" s="151"/>
      <c r="G1038" s="73"/>
      <c r="H1038" s="73"/>
      <c r="I1038" s="25"/>
      <c r="J1038" s="25"/>
      <c r="K1038" s="25"/>
      <c r="L1038" s="25"/>
      <c r="M1038" s="24"/>
    </row>
    <row r="1039">
      <c r="A1039" s="71">
        <f>Projections!CK1</f>
        <v>47635</v>
      </c>
      <c r="B1039" s="24"/>
      <c r="C1039" s="24"/>
      <c r="D1039" s="25" t="s">
        <v>108</v>
      </c>
      <c r="E1039" s="74">
        <f>A1042-A1031</f>
        <v>155128.3818</v>
      </c>
      <c r="F1039" s="25" t="s">
        <v>64</v>
      </c>
      <c r="G1039" s="136" t="s">
        <v>109</v>
      </c>
      <c r="H1039" s="137" t="s">
        <v>110</v>
      </c>
      <c r="I1039" s="137" t="s">
        <v>111</v>
      </c>
      <c r="J1039" s="137" t="s">
        <v>112</v>
      </c>
      <c r="K1039" s="137" t="s">
        <v>113</v>
      </c>
      <c r="L1039" s="137" t="s">
        <v>114</v>
      </c>
      <c r="M1039" s="137" t="s">
        <v>65</v>
      </c>
    </row>
    <row r="1040">
      <c r="A1040" s="25" t="s">
        <v>95</v>
      </c>
      <c r="B1040" s="72">
        <f>Projections!CK15</f>
        <v>267792.3818</v>
      </c>
      <c r="C1040" s="138">
        <f>A1039</f>
        <v>47635</v>
      </c>
      <c r="D1040" s="98" t="s">
        <v>115</v>
      </c>
      <c r="E1040" s="57">
        <f>Projections!CK14</f>
        <v>6622337.979</v>
      </c>
      <c r="F1040" s="73" t="s">
        <v>67</v>
      </c>
      <c r="G1040" s="139" t="s">
        <v>67</v>
      </c>
      <c r="H1040" s="139" t="s">
        <v>67</v>
      </c>
      <c r="I1040" s="137" t="s">
        <v>67</v>
      </c>
      <c r="J1040" s="137" t="s">
        <v>67</v>
      </c>
      <c r="K1040" s="137" t="s">
        <v>67</v>
      </c>
      <c r="L1040" s="137" t="s">
        <v>67</v>
      </c>
      <c r="M1040" s="137" t="s">
        <v>67</v>
      </c>
    </row>
    <row r="1041">
      <c r="A1041" s="25" t="s">
        <v>69</v>
      </c>
      <c r="B1041" s="119">
        <f>if(B1030&gt;B1040/10,B1030,B1030+500)</f>
        <v>26000</v>
      </c>
      <c r="C1041" s="138">
        <f>EOMONTH(C1040,0)</f>
        <v>47664</v>
      </c>
      <c r="D1041" s="25" t="s">
        <v>116</v>
      </c>
      <c r="E1041" s="74">
        <f>if(today()&gt;C1041,0,B1040*12/365/5)</f>
        <v>1760.82662</v>
      </c>
      <c r="F1041" s="25" t="s">
        <v>70</v>
      </c>
      <c r="G1041" s="140" t="s">
        <v>117</v>
      </c>
      <c r="H1041" s="137" t="s">
        <v>117</v>
      </c>
      <c r="I1041" s="137" t="s">
        <v>118</v>
      </c>
      <c r="J1041" s="137" t="s">
        <v>118</v>
      </c>
      <c r="K1041" s="137" t="s">
        <v>118</v>
      </c>
      <c r="L1041" s="137" t="s">
        <v>119</v>
      </c>
      <c r="M1041" s="137" t="s">
        <v>119</v>
      </c>
    </row>
    <row r="1042">
      <c r="A1042" s="54">
        <f>F1042-C1042-B1042</f>
        <v>5633673.979</v>
      </c>
      <c r="B1042" s="90">
        <f t="shared" ref="B1042:D1042" si="525">sum(B1044:B1048)</f>
        <v>902000</v>
      </c>
      <c r="C1042" s="141">
        <f t="shared" si="525"/>
        <v>86664</v>
      </c>
      <c r="D1042" s="142">
        <f t="shared" si="525"/>
        <v>1752500</v>
      </c>
      <c r="E1042" s="59"/>
      <c r="F1042" s="63">
        <f>sum(F1044:F1048)</f>
        <v>6622337.979</v>
      </c>
      <c r="G1042" s="136" t="s">
        <v>120</v>
      </c>
      <c r="H1042" s="137" t="s">
        <v>121</v>
      </c>
      <c r="I1042" s="137" t="s">
        <v>111</v>
      </c>
      <c r="J1042" s="137" t="s">
        <v>112</v>
      </c>
      <c r="K1042" s="137" t="s">
        <v>113</v>
      </c>
      <c r="L1042" s="137" t="s">
        <v>114</v>
      </c>
      <c r="M1042" s="137" t="s">
        <v>65</v>
      </c>
    </row>
    <row r="1043">
      <c r="A1043" s="32" t="s">
        <v>72</v>
      </c>
      <c r="B1043" s="122" t="s">
        <v>84</v>
      </c>
      <c r="C1043" s="143" t="s">
        <v>67</v>
      </c>
      <c r="D1043" s="143" t="s">
        <v>122</v>
      </c>
      <c r="E1043" s="34">
        <f>today()</f>
        <v>45969</v>
      </c>
      <c r="F1043" s="35" t="s">
        <v>64</v>
      </c>
      <c r="G1043" s="144" t="s">
        <v>107</v>
      </c>
      <c r="H1043" s="144" t="s">
        <v>107</v>
      </c>
      <c r="I1043" s="145" t="str">
        <f>I1032</f>
        <v>STR Residency</v>
      </c>
      <c r="J1043" s="145" t="s">
        <v>112</v>
      </c>
      <c r="K1043" s="145" t="s">
        <v>113</v>
      </c>
      <c r="L1043" s="145" t="s">
        <v>114</v>
      </c>
      <c r="M1043" s="145" t="s">
        <v>65</v>
      </c>
    </row>
    <row r="1044">
      <c r="A1044" s="53">
        <f t="shared" ref="A1044:A1048" si="526">F1044-C1044-B1044</f>
        <v>0</v>
      </c>
      <c r="B1044" s="69">
        <f>B1033+B1041/5</f>
        <v>179000</v>
      </c>
      <c r="C1044" s="133">
        <f>sumif(G1040:M1040,"Pending",G1044:M1044)</f>
        <v>9000</v>
      </c>
      <c r="D1044" s="133">
        <f t="shared" ref="D1044:D1048" si="527">D1033+M1044</f>
        <v>157500</v>
      </c>
      <c r="E1044" s="32" t="s">
        <v>76</v>
      </c>
      <c r="F1044" s="150">
        <f>sumif(G1040:M1040,"Pending",G1044:M1044)+B1044</f>
        <v>188000</v>
      </c>
      <c r="G1044" s="146">
        <f>sumif('Bills - CC EMIs'!D:D,A1039,'Bills - CC EMIs'!E:E)+SUMIF('Bills - CC EMIs'!D:D,A1039,'Bills - CC EMIs'!F:F)+sumif('Bills - CC EMIs'!D:D,A1039,'Bills - CC EMIs'!G:G)</f>
        <v>0</v>
      </c>
      <c r="H1044" s="146">
        <f>SUMIFS('Bills - Loans'!F:F,'Bills - Loans'!D:D,A1039)</f>
        <v>0</v>
      </c>
      <c r="I1044" s="147">
        <v>0.0</v>
      </c>
      <c r="J1044" s="137">
        <f>sumif('Bills - Responsibilities'!D:D,A1039,'Bills - Responsibilities'!E:E)</f>
        <v>5000</v>
      </c>
      <c r="K1044" s="147">
        <v>0.0</v>
      </c>
      <c r="L1044" s="147">
        <f>sumif('Bills - Returns'!C:C,A1039,'Bills - Returns'!D:D)</f>
        <v>0</v>
      </c>
      <c r="M1044" s="147">
        <f>sumif('Bills - Investments'!C:C,A1039,'Bills - Investments'!D:D)</f>
        <v>4000</v>
      </c>
    </row>
    <row r="1045">
      <c r="A1045" s="53">
        <f t="shared" si="526"/>
        <v>5633673.979</v>
      </c>
      <c r="B1045" s="69">
        <f>B1034+B1041/5</f>
        <v>179000</v>
      </c>
      <c r="C1045" s="133">
        <f>sumif(G1040:M1040,"Pending",G1045:M1045)</f>
        <v>77664</v>
      </c>
      <c r="D1045" s="133">
        <f t="shared" si="527"/>
        <v>1595000</v>
      </c>
      <c r="E1045" s="32" t="s">
        <v>77</v>
      </c>
      <c r="F1045" s="90">
        <f>E1040-F1044-sum(F1046:F1048)</f>
        <v>5890337.979</v>
      </c>
      <c r="G1045" s="148">
        <f>sumif('Bills - CC EMIs'!D:D,A1039,'Bills - CC EMIs'!H:H)</f>
        <v>0</v>
      </c>
      <c r="H1045" s="147">
        <f>SUMIFS('Bills - Loans'!E:E,'Bills - Loans'!D:D,A1039)</f>
        <v>12770</v>
      </c>
      <c r="I1045" s="137">
        <f>sumif('Bills - STR Residency'!D:D,A1039,'Bills - STR Residency'!E:E)</f>
        <v>2855</v>
      </c>
      <c r="J1045" s="147">
        <v>0.0</v>
      </c>
      <c r="K1045" s="147">
        <f>sumif('Bills - Utilities'!C:C,A1039,'Bills - Utilities'!B:B)</f>
        <v>6039</v>
      </c>
      <c r="L1045" s="147">
        <f>sumif('Bills - Utilities'!D:D,B1039,'Bills - Utilities'!C:C)</f>
        <v>0</v>
      </c>
      <c r="M1045" s="147">
        <f>sumif('Bills - Investments'!C:C,A1039,'Bills - Investments'!E:E)</f>
        <v>56000</v>
      </c>
    </row>
    <row r="1046">
      <c r="A1046" s="53">
        <f t="shared" si="526"/>
        <v>0</v>
      </c>
      <c r="B1046" s="69">
        <f>B1035+B1041/5</f>
        <v>179000</v>
      </c>
      <c r="C1046" s="133">
        <f>sumif(G1040:M1040,"Pending",G1046:M1046)</f>
        <v>0</v>
      </c>
      <c r="D1046" s="133">
        <f t="shared" si="527"/>
        <v>0</v>
      </c>
      <c r="E1046" s="32" t="s">
        <v>81</v>
      </c>
      <c r="F1046" s="90">
        <f t="shared" ref="F1046:F1048" si="528">sum(G1046:M1046)+B1046</f>
        <v>179000</v>
      </c>
      <c r="G1046" s="148">
        <f t="shared" ref="G1046:G1048" si="529">(G1035+G1024+G1013)/3</f>
        <v>0</v>
      </c>
      <c r="H1046" s="147">
        <f t="shared" ref="H1046:H1048" si="530">(H1035+H1024)/2</f>
        <v>0</v>
      </c>
      <c r="I1046" s="147">
        <f t="shared" ref="I1046:I1048" si="531">I1035</f>
        <v>0</v>
      </c>
      <c r="J1046" s="147">
        <v>0.0</v>
      </c>
      <c r="K1046" s="147">
        <v>0.0</v>
      </c>
      <c r="L1046" s="147">
        <v>0.0</v>
      </c>
      <c r="M1046" s="147">
        <v>0.0</v>
      </c>
    </row>
    <row r="1047">
      <c r="A1047" s="53">
        <f t="shared" si="526"/>
        <v>0</v>
      </c>
      <c r="B1047" s="69">
        <f>B1036+B1041/5</f>
        <v>186000</v>
      </c>
      <c r="C1047" s="133">
        <f>sumif(G1040:M1040,"Pending",G1047:M1047)</f>
        <v>0</v>
      </c>
      <c r="D1047" s="133">
        <f t="shared" si="527"/>
        <v>0</v>
      </c>
      <c r="E1047" s="32" t="s">
        <v>79</v>
      </c>
      <c r="F1047" s="90">
        <f t="shared" si="528"/>
        <v>186000</v>
      </c>
      <c r="G1047" s="148">
        <f t="shared" si="529"/>
        <v>0</v>
      </c>
      <c r="H1047" s="147">
        <f t="shared" si="530"/>
        <v>0</v>
      </c>
      <c r="I1047" s="147">
        <f t="shared" si="531"/>
        <v>0</v>
      </c>
      <c r="J1047" s="147">
        <v>0.0</v>
      </c>
      <c r="K1047" s="147">
        <v>0.0</v>
      </c>
      <c r="L1047" s="147">
        <v>0.0</v>
      </c>
      <c r="M1047" s="147">
        <v>0.0</v>
      </c>
    </row>
    <row r="1048">
      <c r="A1048" s="53">
        <f t="shared" si="526"/>
        <v>0</v>
      </c>
      <c r="B1048" s="69">
        <f>B1037+B1041/5</f>
        <v>179000</v>
      </c>
      <c r="C1048" s="133">
        <f>sumif(G1040:M1040,"Pending",G1048:M1048)</f>
        <v>0</v>
      </c>
      <c r="D1048" s="133">
        <f t="shared" si="527"/>
        <v>0</v>
      </c>
      <c r="E1048" s="33" t="s">
        <v>91</v>
      </c>
      <c r="F1048" s="90">
        <f t="shared" si="528"/>
        <v>179000</v>
      </c>
      <c r="G1048" s="148">
        <f t="shared" si="529"/>
        <v>0</v>
      </c>
      <c r="H1048" s="147">
        <f t="shared" si="530"/>
        <v>0</v>
      </c>
      <c r="I1048" s="147">
        <f t="shared" si="531"/>
        <v>0</v>
      </c>
      <c r="J1048" s="147">
        <v>0.0</v>
      </c>
      <c r="K1048" s="147">
        <v>0.0</v>
      </c>
      <c r="L1048" s="147">
        <v>0.0</v>
      </c>
      <c r="M1048" s="147">
        <v>0.0</v>
      </c>
    </row>
    <row r="1049">
      <c r="A1049" s="81"/>
      <c r="B1049" s="73"/>
      <c r="C1049" s="73"/>
      <c r="D1049" s="73"/>
      <c r="E1049" s="82"/>
      <c r="F1049" s="151"/>
      <c r="G1049" s="73"/>
      <c r="H1049" s="73"/>
      <c r="I1049" s="25"/>
      <c r="J1049" s="25"/>
      <c r="K1049" s="25"/>
      <c r="L1049" s="25"/>
      <c r="M1049" s="24"/>
    </row>
    <row r="1050">
      <c r="A1050" s="71">
        <f>Projections!CL1</f>
        <v>47665</v>
      </c>
      <c r="B1050" s="24"/>
      <c r="C1050" s="24"/>
      <c r="D1050" s="25" t="s">
        <v>108</v>
      </c>
      <c r="E1050" s="74">
        <f>A1053-A1042</f>
        <v>157328.3818</v>
      </c>
      <c r="F1050" s="25" t="s">
        <v>64</v>
      </c>
      <c r="G1050" s="136" t="s">
        <v>109</v>
      </c>
      <c r="H1050" s="137" t="s">
        <v>110</v>
      </c>
      <c r="I1050" s="137" t="s">
        <v>111</v>
      </c>
      <c r="J1050" s="137" t="s">
        <v>112</v>
      </c>
      <c r="K1050" s="137" t="s">
        <v>113</v>
      </c>
      <c r="L1050" s="137" t="s">
        <v>114</v>
      </c>
      <c r="M1050" s="137" t="s">
        <v>65</v>
      </c>
    </row>
    <row r="1051">
      <c r="A1051" s="25" t="s">
        <v>95</v>
      </c>
      <c r="B1051" s="72">
        <f>Projections!CL15</f>
        <v>267792.3818</v>
      </c>
      <c r="C1051" s="138">
        <f>A1050</f>
        <v>47665</v>
      </c>
      <c r="D1051" s="98" t="s">
        <v>115</v>
      </c>
      <c r="E1051" s="57">
        <f>Projections!CL14</f>
        <v>6803466.361</v>
      </c>
      <c r="F1051" s="73" t="s">
        <v>67</v>
      </c>
      <c r="G1051" s="139" t="s">
        <v>67</v>
      </c>
      <c r="H1051" s="139" t="s">
        <v>67</v>
      </c>
      <c r="I1051" s="137" t="s">
        <v>67</v>
      </c>
      <c r="J1051" s="137" t="s">
        <v>67</v>
      </c>
      <c r="K1051" s="137" t="s">
        <v>67</v>
      </c>
      <c r="L1051" s="137" t="s">
        <v>67</v>
      </c>
      <c r="M1051" s="137" t="s">
        <v>67</v>
      </c>
    </row>
    <row r="1052">
      <c r="A1052" s="25" t="s">
        <v>69</v>
      </c>
      <c r="B1052" s="119">
        <f>if(B1041&gt;B1051/10,B1041,B1041+500)</f>
        <v>26500</v>
      </c>
      <c r="C1052" s="138">
        <f>EOMONTH(C1051,0)</f>
        <v>47695</v>
      </c>
      <c r="D1052" s="25" t="s">
        <v>116</v>
      </c>
      <c r="E1052" s="74">
        <f>if(today()&gt;C1052,0,B1051*12/365/5)</f>
        <v>1760.82662</v>
      </c>
      <c r="F1052" s="25" t="s">
        <v>70</v>
      </c>
      <c r="G1052" s="140" t="s">
        <v>117</v>
      </c>
      <c r="H1052" s="137" t="s">
        <v>117</v>
      </c>
      <c r="I1052" s="137" t="s">
        <v>118</v>
      </c>
      <c r="J1052" s="137" t="s">
        <v>118</v>
      </c>
      <c r="K1052" s="137" t="s">
        <v>118</v>
      </c>
      <c r="L1052" s="137" t="s">
        <v>119</v>
      </c>
      <c r="M1052" s="137" t="s">
        <v>119</v>
      </c>
    </row>
    <row r="1053">
      <c r="A1053" s="54">
        <f>F1053-C1053-B1053</f>
        <v>5791002.361</v>
      </c>
      <c r="B1053" s="90">
        <f t="shared" ref="B1053:D1053" si="532">sum(B1055:B1059)</f>
        <v>928500</v>
      </c>
      <c r="C1053" s="141">
        <f t="shared" si="532"/>
        <v>83964</v>
      </c>
      <c r="D1053" s="142">
        <f t="shared" si="532"/>
        <v>1813500</v>
      </c>
      <c r="E1053" s="59"/>
      <c r="F1053" s="63">
        <f>sum(F1055:F1059)</f>
        <v>6803466.361</v>
      </c>
      <c r="G1053" s="136" t="s">
        <v>120</v>
      </c>
      <c r="H1053" s="137" t="s">
        <v>121</v>
      </c>
      <c r="I1053" s="137" t="s">
        <v>111</v>
      </c>
      <c r="J1053" s="137" t="s">
        <v>112</v>
      </c>
      <c r="K1053" s="137" t="s">
        <v>113</v>
      </c>
      <c r="L1053" s="137" t="s">
        <v>114</v>
      </c>
      <c r="M1053" s="137" t="s">
        <v>65</v>
      </c>
    </row>
    <row r="1054">
      <c r="A1054" s="32" t="s">
        <v>72</v>
      </c>
      <c r="B1054" s="122" t="s">
        <v>84</v>
      </c>
      <c r="C1054" s="143" t="s">
        <v>67</v>
      </c>
      <c r="D1054" s="143" t="s">
        <v>122</v>
      </c>
      <c r="E1054" s="34">
        <f>today()</f>
        <v>45969</v>
      </c>
      <c r="F1054" s="35" t="s">
        <v>64</v>
      </c>
      <c r="G1054" s="144" t="s">
        <v>107</v>
      </c>
      <c r="H1054" s="144" t="s">
        <v>107</v>
      </c>
      <c r="I1054" s="145" t="str">
        <f>I1043</f>
        <v>STR Residency</v>
      </c>
      <c r="J1054" s="145" t="s">
        <v>112</v>
      </c>
      <c r="K1054" s="145" t="s">
        <v>113</v>
      </c>
      <c r="L1054" s="145" t="s">
        <v>114</v>
      </c>
      <c r="M1054" s="145" t="s">
        <v>65</v>
      </c>
    </row>
    <row r="1055">
      <c r="A1055" s="53">
        <f t="shared" ref="A1055:A1059" si="533">F1055-C1055-B1055</f>
        <v>0</v>
      </c>
      <c r="B1055" s="69">
        <f>B1044+B1052/5</f>
        <v>184300</v>
      </c>
      <c r="C1055" s="133">
        <f>sumif(G1051:M1051,"Pending",G1055:M1055)</f>
        <v>9000</v>
      </c>
      <c r="D1055" s="133">
        <f t="shared" ref="D1055:D1059" si="534">D1044+M1055</f>
        <v>161500</v>
      </c>
      <c r="E1055" s="32" t="s">
        <v>76</v>
      </c>
      <c r="F1055" s="150">
        <f>sumif(G1051:M1051,"Pending",G1055:M1055)+B1055</f>
        <v>193300</v>
      </c>
      <c r="G1055" s="146">
        <f>sumif('Bills - CC EMIs'!D:D,A1050,'Bills - CC EMIs'!E:E)+SUMIF('Bills - CC EMIs'!D:D,A1050,'Bills - CC EMIs'!F:F)+sumif('Bills - CC EMIs'!D:D,A1050,'Bills - CC EMIs'!G:G)</f>
        <v>0</v>
      </c>
      <c r="H1055" s="146">
        <f>SUMIFS('Bills - Loans'!F:F,'Bills - Loans'!D:D,A1050)</f>
        <v>0</v>
      </c>
      <c r="I1055" s="147">
        <v>0.0</v>
      </c>
      <c r="J1055" s="137">
        <f>sumif('Bills - Responsibilities'!D:D,A1050,'Bills - Responsibilities'!E:E)</f>
        <v>5000</v>
      </c>
      <c r="K1055" s="147">
        <v>0.0</v>
      </c>
      <c r="L1055" s="147">
        <f>sumif('Bills - Returns'!C:C,A1050,'Bills - Returns'!D:D)</f>
        <v>0</v>
      </c>
      <c r="M1055" s="147">
        <f>sumif('Bills - Investments'!C:C,A1050,'Bills - Investments'!D:D)</f>
        <v>4000</v>
      </c>
    </row>
    <row r="1056">
      <c r="A1056" s="53">
        <f t="shared" si="533"/>
        <v>5791002.361</v>
      </c>
      <c r="B1056" s="69">
        <f>B1045+B1052/5</f>
        <v>184300</v>
      </c>
      <c r="C1056" s="133">
        <f>sumif(G1051:M1051,"Pending",G1056:M1056)</f>
        <v>74964</v>
      </c>
      <c r="D1056" s="133">
        <f t="shared" si="534"/>
        <v>1652000</v>
      </c>
      <c r="E1056" s="32" t="s">
        <v>77</v>
      </c>
      <c r="F1056" s="90">
        <f>E1051-F1055-sum(F1057:F1059)</f>
        <v>6050266.361</v>
      </c>
      <c r="G1056" s="148">
        <f>sumif('Bills - CC EMIs'!D:D,A1050,'Bills - CC EMIs'!H:H)</f>
        <v>0</v>
      </c>
      <c r="H1056" s="147">
        <f>SUMIFS('Bills - Loans'!E:E,'Bills - Loans'!D:D,A1050)</f>
        <v>12770</v>
      </c>
      <c r="I1056" s="137">
        <f>sumif('Bills - STR Residency'!D:D,A1050,'Bills - STR Residency'!E:E)</f>
        <v>2855</v>
      </c>
      <c r="J1056" s="147">
        <v>0.0</v>
      </c>
      <c r="K1056" s="147">
        <f>sumif('Bills - Utilities'!C:C,A1050,'Bills - Utilities'!B:B)</f>
        <v>2339</v>
      </c>
      <c r="L1056" s="147">
        <f>sumif('Bills - Utilities'!D:D,B1050,'Bills - Utilities'!C:C)</f>
        <v>0</v>
      </c>
      <c r="M1056" s="147">
        <f>sumif('Bills - Investments'!C:C,A1050,'Bills - Investments'!E:E)</f>
        <v>57000</v>
      </c>
    </row>
    <row r="1057">
      <c r="A1057" s="53">
        <f t="shared" si="533"/>
        <v>0</v>
      </c>
      <c r="B1057" s="69">
        <f>B1046+B1052/5</f>
        <v>184300</v>
      </c>
      <c r="C1057" s="133">
        <f>sumif(G1051:M1051,"Pending",G1057:M1057)</f>
        <v>0</v>
      </c>
      <c r="D1057" s="133">
        <f t="shared" si="534"/>
        <v>0</v>
      </c>
      <c r="E1057" s="32" t="s">
        <v>81</v>
      </c>
      <c r="F1057" s="90">
        <f t="shared" ref="F1057:F1059" si="535">sum(G1057:M1057)+B1057</f>
        <v>184300</v>
      </c>
      <c r="G1057" s="148">
        <f t="shared" ref="G1057:G1059" si="536">(G1046+G1035+G1024)/3</f>
        <v>0</v>
      </c>
      <c r="H1057" s="147">
        <f t="shared" ref="H1057:H1059" si="537">(H1046+H1035)/2</f>
        <v>0</v>
      </c>
      <c r="I1057" s="147">
        <f t="shared" ref="I1057:I1059" si="538">I1046</f>
        <v>0</v>
      </c>
      <c r="J1057" s="147">
        <v>0.0</v>
      </c>
      <c r="K1057" s="147">
        <v>0.0</v>
      </c>
      <c r="L1057" s="147">
        <v>0.0</v>
      </c>
      <c r="M1057" s="147">
        <v>0.0</v>
      </c>
    </row>
    <row r="1058">
      <c r="A1058" s="53">
        <f t="shared" si="533"/>
        <v>0</v>
      </c>
      <c r="B1058" s="69">
        <f>B1047+B1052/5</f>
        <v>191300</v>
      </c>
      <c r="C1058" s="133">
        <f>sumif(G1051:M1051,"Pending",G1058:M1058)</f>
        <v>0</v>
      </c>
      <c r="D1058" s="133">
        <f t="shared" si="534"/>
        <v>0</v>
      </c>
      <c r="E1058" s="32" t="s">
        <v>79</v>
      </c>
      <c r="F1058" s="90">
        <f t="shared" si="535"/>
        <v>191300</v>
      </c>
      <c r="G1058" s="148">
        <f t="shared" si="536"/>
        <v>0</v>
      </c>
      <c r="H1058" s="147">
        <f t="shared" si="537"/>
        <v>0</v>
      </c>
      <c r="I1058" s="147">
        <f t="shared" si="538"/>
        <v>0</v>
      </c>
      <c r="J1058" s="147">
        <v>0.0</v>
      </c>
      <c r="K1058" s="147">
        <v>0.0</v>
      </c>
      <c r="L1058" s="147">
        <v>0.0</v>
      </c>
      <c r="M1058" s="147">
        <v>0.0</v>
      </c>
    </row>
    <row r="1059">
      <c r="A1059" s="53">
        <f t="shared" si="533"/>
        <v>0</v>
      </c>
      <c r="B1059" s="69">
        <f>B1048+B1052/5</f>
        <v>184300</v>
      </c>
      <c r="C1059" s="133">
        <f>sumif(G1051:M1051,"Pending",G1059:M1059)</f>
        <v>0</v>
      </c>
      <c r="D1059" s="133">
        <f t="shared" si="534"/>
        <v>0</v>
      </c>
      <c r="E1059" s="33" t="s">
        <v>91</v>
      </c>
      <c r="F1059" s="90">
        <f t="shared" si="535"/>
        <v>184300</v>
      </c>
      <c r="G1059" s="148">
        <f t="shared" si="536"/>
        <v>0</v>
      </c>
      <c r="H1059" s="147">
        <f t="shared" si="537"/>
        <v>0</v>
      </c>
      <c r="I1059" s="147">
        <f t="shared" si="538"/>
        <v>0</v>
      </c>
      <c r="J1059" s="147">
        <v>0.0</v>
      </c>
      <c r="K1059" s="147">
        <v>0.0</v>
      </c>
      <c r="L1059" s="147">
        <v>0.0</v>
      </c>
      <c r="M1059" s="147">
        <v>0.0</v>
      </c>
    </row>
    <row r="1060">
      <c r="A1060" s="81"/>
      <c r="B1060" s="73"/>
      <c r="C1060" s="73"/>
      <c r="D1060" s="73"/>
      <c r="E1060" s="82"/>
      <c r="F1060" s="151"/>
      <c r="G1060" s="73"/>
      <c r="H1060" s="73"/>
      <c r="I1060" s="25"/>
      <c r="J1060" s="25"/>
      <c r="K1060" s="25"/>
      <c r="L1060" s="25"/>
      <c r="M1060" s="24"/>
    </row>
    <row r="1061">
      <c r="A1061" s="71">
        <f>Projections!CM1</f>
        <v>47696</v>
      </c>
      <c r="B1061" s="24"/>
      <c r="C1061" s="24"/>
      <c r="D1061" s="25" t="s">
        <v>108</v>
      </c>
      <c r="E1061" s="74">
        <f>A1064-A1053</f>
        <v>157128.3818</v>
      </c>
      <c r="F1061" s="25" t="s">
        <v>64</v>
      </c>
      <c r="G1061" s="136" t="s">
        <v>109</v>
      </c>
      <c r="H1061" s="137" t="s">
        <v>110</v>
      </c>
      <c r="I1061" s="137" t="s">
        <v>111</v>
      </c>
      <c r="J1061" s="137" t="s">
        <v>112</v>
      </c>
      <c r="K1061" s="137" t="s">
        <v>113</v>
      </c>
      <c r="L1061" s="137" t="s">
        <v>114</v>
      </c>
      <c r="M1061" s="137" t="s">
        <v>65</v>
      </c>
    </row>
    <row r="1062">
      <c r="A1062" s="25" t="s">
        <v>95</v>
      </c>
      <c r="B1062" s="72">
        <f>Projections!CM15</f>
        <v>267792.3818</v>
      </c>
      <c r="C1062" s="138">
        <f>A1061</f>
        <v>47696</v>
      </c>
      <c r="D1062" s="98" t="s">
        <v>115</v>
      </c>
      <c r="E1062" s="57">
        <f>Projections!CM14</f>
        <v>6987294.743</v>
      </c>
      <c r="F1062" s="73" t="s">
        <v>67</v>
      </c>
      <c r="G1062" s="139" t="s">
        <v>67</v>
      </c>
      <c r="H1062" s="139" t="s">
        <v>67</v>
      </c>
      <c r="I1062" s="137" t="s">
        <v>67</v>
      </c>
      <c r="J1062" s="137" t="s">
        <v>67</v>
      </c>
      <c r="K1062" s="137" t="s">
        <v>67</v>
      </c>
      <c r="L1062" s="137" t="s">
        <v>67</v>
      </c>
      <c r="M1062" s="137" t="s">
        <v>67</v>
      </c>
    </row>
    <row r="1063">
      <c r="A1063" s="25" t="s">
        <v>69</v>
      </c>
      <c r="B1063" s="119">
        <f>if(B1052&gt;B1062/10,B1052,B1052+500)</f>
        <v>27000</v>
      </c>
      <c r="C1063" s="138">
        <f>EOMONTH(C1062,0)</f>
        <v>47726</v>
      </c>
      <c r="D1063" s="25" t="s">
        <v>116</v>
      </c>
      <c r="E1063" s="74">
        <f>if(today()&gt;C1063,0,B1062*12/365/5)</f>
        <v>1760.82662</v>
      </c>
      <c r="F1063" s="25" t="s">
        <v>70</v>
      </c>
      <c r="G1063" s="140" t="s">
        <v>117</v>
      </c>
      <c r="H1063" s="137" t="s">
        <v>117</v>
      </c>
      <c r="I1063" s="137" t="s">
        <v>118</v>
      </c>
      <c r="J1063" s="137" t="s">
        <v>118</v>
      </c>
      <c r="K1063" s="137" t="s">
        <v>118</v>
      </c>
      <c r="L1063" s="137" t="s">
        <v>119</v>
      </c>
      <c r="M1063" s="137" t="s">
        <v>119</v>
      </c>
    </row>
    <row r="1064">
      <c r="A1064" s="54">
        <f>F1064-C1064-B1064</f>
        <v>5948130.743</v>
      </c>
      <c r="B1064" s="90">
        <f t="shared" ref="B1064:D1064" si="539">sum(B1066:B1070)</f>
        <v>955500</v>
      </c>
      <c r="C1064" s="141">
        <f t="shared" si="539"/>
        <v>83664</v>
      </c>
      <c r="D1064" s="142">
        <f t="shared" si="539"/>
        <v>1875500</v>
      </c>
      <c r="E1064" s="59"/>
      <c r="F1064" s="63">
        <f>sum(F1066:F1070)</f>
        <v>6987294.743</v>
      </c>
      <c r="G1064" s="136" t="s">
        <v>120</v>
      </c>
      <c r="H1064" s="137" t="s">
        <v>121</v>
      </c>
      <c r="I1064" s="137" t="s">
        <v>111</v>
      </c>
      <c r="J1064" s="137" t="s">
        <v>112</v>
      </c>
      <c r="K1064" s="137" t="s">
        <v>113</v>
      </c>
      <c r="L1064" s="137" t="s">
        <v>114</v>
      </c>
      <c r="M1064" s="137" t="s">
        <v>65</v>
      </c>
    </row>
    <row r="1065">
      <c r="A1065" s="32" t="s">
        <v>72</v>
      </c>
      <c r="B1065" s="122" t="s">
        <v>84</v>
      </c>
      <c r="C1065" s="143" t="s">
        <v>67</v>
      </c>
      <c r="D1065" s="143" t="s">
        <v>122</v>
      </c>
      <c r="E1065" s="34">
        <f>today()</f>
        <v>45969</v>
      </c>
      <c r="F1065" s="35" t="s">
        <v>64</v>
      </c>
      <c r="G1065" s="144" t="s">
        <v>107</v>
      </c>
      <c r="H1065" s="144" t="s">
        <v>107</v>
      </c>
      <c r="I1065" s="145" t="str">
        <f>I1054</f>
        <v>STR Residency</v>
      </c>
      <c r="J1065" s="145" t="s">
        <v>112</v>
      </c>
      <c r="K1065" s="145" t="s">
        <v>113</v>
      </c>
      <c r="L1065" s="145" t="s">
        <v>114</v>
      </c>
      <c r="M1065" s="145" t="s">
        <v>65</v>
      </c>
    </row>
    <row r="1066">
      <c r="A1066" s="53">
        <f t="shared" ref="A1066:A1070" si="540">F1066-C1066-B1066</f>
        <v>0</v>
      </c>
      <c r="B1066" s="69">
        <f>B1055+B1063/5</f>
        <v>189700</v>
      </c>
      <c r="C1066" s="133">
        <f>sumif(G1062:M1062,"Pending",G1066:M1066)</f>
        <v>9000</v>
      </c>
      <c r="D1066" s="133">
        <f t="shared" ref="D1066:D1070" si="541">D1055+M1066</f>
        <v>165500</v>
      </c>
      <c r="E1066" s="32" t="s">
        <v>76</v>
      </c>
      <c r="F1066" s="150">
        <f>sumif(G1062:M1062,"Pending",G1066:M1066)+B1066</f>
        <v>198700</v>
      </c>
      <c r="G1066" s="146">
        <f>sumif('Bills - CC EMIs'!D:D,A1061,'Bills - CC EMIs'!E:E)+SUMIF('Bills - CC EMIs'!D:D,A1061,'Bills - CC EMIs'!F:F)+sumif('Bills - CC EMIs'!D:D,A1061,'Bills - CC EMIs'!G:G)</f>
        <v>0</v>
      </c>
      <c r="H1066" s="146">
        <f>SUMIFS('Bills - Loans'!F:F,'Bills - Loans'!D:D,A1061)</f>
        <v>0</v>
      </c>
      <c r="I1066" s="147">
        <v>0.0</v>
      </c>
      <c r="J1066" s="137">
        <f>sumif('Bills - Responsibilities'!D:D,A1061,'Bills - Responsibilities'!E:E)</f>
        <v>5000</v>
      </c>
      <c r="K1066" s="147">
        <v>0.0</v>
      </c>
      <c r="L1066" s="147">
        <f>sumif('Bills - Returns'!C:C,A1061,'Bills - Returns'!D:D)</f>
        <v>0</v>
      </c>
      <c r="M1066" s="147">
        <f>sumif('Bills - Investments'!C:C,A1061,'Bills - Investments'!D:D)</f>
        <v>4000</v>
      </c>
    </row>
    <row r="1067">
      <c r="A1067" s="53">
        <f t="shared" si="540"/>
        <v>5948130.743</v>
      </c>
      <c r="B1067" s="69">
        <f>B1056+B1063/5</f>
        <v>189700</v>
      </c>
      <c r="C1067" s="133">
        <f>sumif(G1062:M1062,"Pending",G1067:M1067)</f>
        <v>74664</v>
      </c>
      <c r="D1067" s="133">
        <f t="shared" si="541"/>
        <v>1710000</v>
      </c>
      <c r="E1067" s="32" t="s">
        <v>77</v>
      </c>
      <c r="F1067" s="90">
        <f>E1062-F1066-sum(F1068:F1070)</f>
        <v>6212494.743</v>
      </c>
      <c r="G1067" s="148">
        <f>sumif('Bills - CC EMIs'!D:D,A1061,'Bills - CC EMIs'!H:H)</f>
        <v>0</v>
      </c>
      <c r="H1067" s="147">
        <f>SUMIFS('Bills - Loans'!E:E,'Bills - Loans'!D:D,A1061)</f>
        <v>12770</v>
      </c>
      <c r="I1067" s="137">
        <f>sumif('Bills - STR Residency'!D:D,A1061,'Bills - STR Residency'!E:E)</f>
        <v>2855</v>
      </c>
      <c r="J1067" s="147">
        <v>0.0</v>
      </c>
      <c r="K1067" s="147">
        <f>sumif('Bills - Utilities'!C:C,A1061,'Bills - Utilities'!B:B)</f>
        <v>1039</v>
      </c>
      <c r="L1067" s="147">
        <f>sumif('Bills - Utilities'!D:D,B1061,'Bills - Utilities'!C:C)</f>
        <v>0</v>
      </c>
      <c r="M1067" s="147">
        <f>sumif('Bills - Investments'!C:C,A1061,'Bills - Investments'!E:E)</f>
        <v>58000</v>
      </c>
    </row>
    <row r="1068">
      <c r="A1068" s="53">
        <f t="shared" si="540"/>
        <v>0</v>
      </c>
      <c r="B1068" s="69">
        <f>B1057+B1063/5</f>
        <v>189700</v>
      </c>
      <c r="C1068" s="133">
        <f>sumif(G1062:M1062,"Pending",G1068:M1068)</f>
        <v>0</v>
      </c>
      <c r="D1068" s="133">
        <f t="shared" si="541"/>
        <v>0</v>
      </c>
      <c r="E1068" s="32" t="s">
        <v>81</v>
      </c>
      <c r="F1068" s="90">
        <f t="shared" ref="F1068:F1070" si="542">sum(G1068:M1068)+B1068</f>
        <v>189700</v>
      </c>
      <c r="G1068" s="148">
        <f t="shared" ref="G1068:G1070" si="543">(G1057+G1046+G1035)/3</f>
        <v>0</v>
      </c>
      <c r="H1068" s="147">
        <f t="shared" ref="H1068:H1070" si="544">(H1057+H1046)/2</f>
        <v>0</v>
      </c>
      <c r="I1068" s="147">
        <f t="shared" ref="I1068:I1070" si="545">I1057</f>
        <v>0</v>
      </c>
      <c r="J1068" s="147">
        <v>0.0</v>
      </c>
      <c r="K1068" s="147">
        <v>0.0</v>
      </c>
      <c r="L1068" s="147">
        <v>0.0</v>
      </c>
      <c r="M1068" s="147">
        <v>0.0</v>
      </c>
    </row>
    <row r="1069">
      <c r="A1069" s="53">
        <f t="shared" si="540"/>
        <v>0</v>
      </c>
      <c r="B1069" s="69">
        <f>B1058+B1063/5</f>
        <v>196700</v>
      </c>
      <c r="C1069" s="133">
        <f>sumif(G1062:M1062,"Pending",G1069:M1069)</f>
        <v>0</v>
      </c>
      <c r="D1069" s="133">
        <f t="shared" si="541"/>
        <v>0</v>
      </c>
      <c r="E1069" s="32" t="s">
        <v>79</v>
      </c>
      <c r="F1069" s="90">
        <f t="shared" si="542"/>
        <v>196700</v>
      </c>
      <c r="G1069" s="148">
        <f t="shared" si="543"/>
        <v>0</v>
      </c>
      <c r="H1069" s="147">
        <f t="shared" si="544"/>
        <v>0</v>
      </c>
      <c r="I1069" s="147">
        <f t="shared" si="545"/>
        <v>0</v>
      </c>
      <c r="J1069" s="147">
        <v>0.0</v>
      </c>
      <c r="K1069" s="147">
        <v>0.0</v>
      </c>
      <c r="L1069" s="147">
        <v>0.0</v>
      </c>
      <c r="M1069" s="147">
        <v>0.0</v>
      </c>
    </row>
    <row r="1070">
      <c r="A1070" s="53">
        <f t="shared" si="540"/>
        <v>0</v>
      </c>
      <c r="B1070" s="69">
        <f>B1059+B1063/5</f>
        <v>189700</v>
      </c>
      <c r="C1070" s="133">
        <f>sumif(G1062:M1062,"Pending",G1070:M1070)</f>
        <v>0</v>
      </c>
      <c r="D1070" s="133">
        <f t="shared" si="541"/>
        <v>0</v>
      </c>
      <c r="E1070" s="33" t="s">
        <v>91</v>
      </c>
      <c r="F1070" s="90">
        <f t="shared" si="542"/>
        <v>189700</v>
      </c>
      <c r="G1070" s="148">
        <f t="shared" si="543"/>
        <v>0</v>
      </c>
      <c r="H1070" s="147">
        <f t="shared" si="544"/>
        <v>0</v>
      </c>
      <c r="I1070" s="147">
        <f t="shared" si="545"/>
        <v>0</v>
      </c>
      <c r="J1070" s="147">
        <v>0.0</v>
      </c>
      <c r="K1070" s="147">
        <v>0.0</v>
      </c>
      <c r="L1070" s="147">
        <v>0.0</v>
      </c>
      <c r="M1070" s="147">
        <v>0.0</v>
      </c>
    </row>
    <row r="1071">
      <c r="A1071" s="81"/>
      <c r="B1071" s="73"/>
      <c r="C1071" s="73"/>
      <c r="D1071" s="73"/>
      <c r="E1071" s="82"/>
      <c r="F1071" s="151"/>
      <c r="G1071" s="73"/>
      <c r="H1071" s="73"/>
      <c r="I1071" s="25"/>
      <c r="J1071" s="25"/>
      <c r="K1071" s="25"/>
      <c r="L1071" s="25"/>
      <c r="M1071" s="24"/>
    </row>
    <row r="1072">
      <c r="A1072" s="71">
        <f>Projections!CN1</f>
        <v>47727</v>
      </c>
      <c r="B1072" s="24"/>
      <c r="C1072" s="24"/>
      <c r="D1072" s="25" t="s">
        <v>108</v>
      </c>
      <c r="E1072" s="74">
        <f>A1075-A1064</f>
        <v>156128.3818</v>
      </c>
      <c r="F1072" s="25" t="s">
        <v>64</v>
      </c>
      <c r="G1072" s="136" t="s">
        <v>109</v>
      </c>
      <c r="H1072" s="137" t="s">
        <v>110</v>
      </c>
      <c r="I1072" s="137" t="s">
        <v>111</v>
      </c>
      <c r="J1072" s="137" t="s">
        <v>112</v>
      </c>
      <c r="K1072" s="137" t="s">
        <v>113</v>
      </c>
      <c r="L1072" s="137" t="s">
        <v>114</v>
      </c>
      <c r="M1072" s="137" t="s">
        <v>65</v>
      </c>
    </row>
    <row r="1073">
      <c r="A1073" s="25" t="s">
        <v>95</v>
      </c>
      <c r="B1073" s="72">
        <f>Projections!CN15</f>
        <v>267792.3818</v>
      </c>
      <c r="C1073" s="138">
        <f>A1072</f>
        <v>47727</v>
      </c>
      <c r="D1073" s="98" t="s">
        <v>115</v>
      </c>
      <c r="E1073" s="57">
        <f>Projections!CN14</f>
        <v>7171423.124</v>
      </c>
      <c r="F1073" s="73" t="s">
        <v>67</v>
      </c>
      <c r="G1073" s="139" t="s">
        <v>67</v>
      </c>
      <c r="H1073" s="139" t="s">
        <v>67</v>
      </c>
      <c r="I1073" s="137" t="s">
        <v>67</v>
      </c>
      <c r="J1073" s="137" t="s">
        <v>67</v>
      </c>
      <c r="K1073" s="137" t="s">
        <v>67</v>
      </c>
      <c r="L1073" s="137" t="s">
        <v>67</v>
      </c>
      <c r="M1073" s="137" t="s">
        <v>67</v>
      </c>
    </row>
    <row r="1074">
      <c r="A1074" s="25" t="s">
        <v>69</v>
      </c>
      <c r="B1074" s="119">
        <f>if(B1063&gt;B1073/10,B1063,B1063+500)</f>
        <v>27000</v>
      </c>
      <c r="C1074" s="138">
        <f>EOMONTH(C1073,0)</f>
        <v>47756</v>
      </c>
      <c r="D1074" s="25" t="s">
        <v>116</v>
      </c>
      <c r="E1074" s="74">
        <f>if(today()&gt;C1074,0,B1073*12/365/5)</f>
        <v>1760.82662</v>
      </c>
      <c r="F1074" s="25" t="s">
        <v>70</v>
      </c>
      <c r="G1074" s="140" t="s">
        <v>117</v>
      </c>
      <c r="H1074" s="137" t="s">
        <v>117</v>
      </c>
      <c r="I1074" s="137" t="s">
        <v>118</v>
      </c>
      <c r="J1074" s="137" t="s">
        <v>118</v>
      </c>
      <c r="K1074" s="137" t="s">
        <v>118</v>
      </c>
      <c r="L1074" s="137" t="s">
        <v>119</v>
      </c>
      <c r="M1074" s="137" t="s">
        <v>119</v>
      </c>
    </row>
    <row r="1075">
      <c r="A1075" s="54">
        <f>F1075-C1075-B1075</f>
        <v>6104259.124</v>
      </c>
      <c r="B1075" s="90">
        <f t="shared" ref="B1075:D1075" si="546">sum(B1077:B1081)</f>
        <v>982500</v>
      </c>
      <c r="C1075" s="141">
        <f t="shared" si="546"/>
        <v>84664</v>
      </c>
      <c r="D1075" s="142">
        <f t="shared" si="546"/>
        <v>1938500</v>
      </c>
      <c r="E1075" s="59"/>
      <c r="F1075" s="63">
        <f>sum(F1077:F1081)</f>
        <v>7171423.124</v>
      </c>
      <c r="G1075" s="136" t="s">
        <v>120</v>
      </c>
      <c r="H1075" s="137" t="s">
        <v>121</v>
      </c>
      <c r="I1075" s="137" t="s">
        <v>111</v>
      </c>
      <c r="J1075" s="137" t="s">
        <v>112</v>
      </c>
      <c r="K1075" s="137" t="s">
        <v>113</v>
      </c>
      <c r="L1075" s="137" t="s">
        <v>114</v>
      </c>
      <c r="M1075" s="137" t="s">
        <v>65</v>
      </c>
    </row>
    <row r="1076">
      <c r="A1076" s="32" t="s">
        <v>72</v>
      </c>
      <c r="B1076" s="122" t="s">
        <v>84</v>
      </c>
      <c r="C1076" s="143" t="s">
        <v>67</v>
      </c>
      <c r="D1076" s="143" t="s">
        <v>122</v>
      </c>
      <c r="E1076" s="34">
        <f>today()</f>
        <v>45969</v>
      </c>
      <c r="F1076" s="35" t="s">
        <v>64</v>
      </c>
      <c r="G1076" s="144" t="s">
        <v>107</v>
      </c>
      <c r="H1076" s="144" t="s">
        <v>107</v>
      </c>
      <c r="I1076" s="145" t="str">
        <f>I1065</f>
        <v>STR Residency</v>
      </c>
      <c r="J1076" s="145" t="s">
        <v>112</v>
      </c>
      <c r="K1076" s="145" t="s">
        <v>113</v>
      </c>
      <c r="L1076" s="145" t="s">
        <v>114</v>
      </c>
      <c r="M1076" s="145" t="s">
        <v>65</v>
      </c>
    </row>
    <row r="1077">
      <c r="A1077" s="53">
        <f t="shared" ref="A1077:A1081" si="547">F1077-C1077-B1077</f>
        <v>0</v>
      </c>
      <c r="B1077" s="69">
        <f>B1066+B1074/5</f>
        <v>195100</v>
      </c>
      <c r="C1077" s="133">
        <f>sumif(G1073:M1073,"Pending",G1077:M1077)</f>
        <v>9000</v>
      </c>
      <c r="D1077" s="133">
        <f t="shared" ref="D1077:D1081" si="548">D1066+M1077</f>
        <v>169500</v>
      </c>
      <c r="E1077" s="32" t="s">
        <v>76</v>
      </c>
      <c r="F1077" s="150">
        <f>sumif(G1073:M1073,"Pending",G1077:M1077)+B1077</f>
        <v>204100</v>
      </c>
      <c r="G1077" s="146">
        <f>sumif('Bills - CC EMIs'!D:D,A1072,'Bills - CC EMIs'!E:E)+SUMIF('Bills - CC EMIs'!D:D,A1072,'Bills - CC EMIs'!F:F)+sumif('Bills - CC EMIs'!D:D,A1072,'Bills - CC EMIs'!G:G)</f>
        <v>0</v>
      </c>
      <c r="H1077" s="146">
        <f>SUMIFS('Bills - Loans'!F:F,'Bills - Loans'!D:D,A1072)</f>
        <v>0</v>
      </c>
      <c r="I1077" s="147">
        <v>0.0</v>
      </c>
      <c r="J1077" s="137">
        <f>sumif('Bills - Responsibilities'!D:D,A1072,'Bills - Responsibilities'!E:E)</f>
        <v>5000</v>
      </c>
      <c r="K1077" s="147">
        <v>0.0</v>
      </c>
      <c r="L1077" s="147">
        <f>sumif('Bills - Returns'!C:C,A1072,'Bills - Returns'!D:D)</f>
        <v>0</v>
      </c>
      <c r="M1077" s="147">
        <f>sumif('Bills - Investments'!C:C,A1072,'Bills - Investments'!D:D)</f>
        <v>4000</v>
      </c>
    </row>
    <row r="1078">
      <c r="A1078" s="53">
        <f t="shared" si="547"/>
        <v>6104259.124</v>
      </c>
      <c r="B1078" s="69">
        <f>B1067+B1074/5</f>
        <v>195100</v>
      </c>
      <c r="C1078" s="133">
        <f>sumif(G1073:M1073,"Pending",G1078:M1078)</f>
        <v>75664</v>
      </c>
      <c r="D1078" s="133">
        <f t="shared" si="548"/>
        <v>1769000</v>
      </c>
      <c r="E1078" s="32" t="s">
        <v>77</v>
      </c>
      <c r="F1078" s="90">
        <f>E1073-F1077-sum(F1079:F1081)</f>
        <v>6375023.124</v>
      </c>
      <c r="G1078" s="148">
        <f>sumif('Bills - CC EMIs'!D:D,A1072,'Bills - CC EMIs'!H:H)</f>
        <v>0</v>
      </c>
      <c r="H1078" s="147">
        <f>SUMIFS('Bills - Loans'!E:E,'Bills - Loans'!D:D,A1072)</f>
        <v>12770</v>
      </c>
      <c r="I1078" s="137">
        <f>sumif('Bills - STR Residency'!D:D,A1072,'Bills - STR Residency'!E:E)</f>
        <v>2855</v>
      </c>
      <c r="J1078" s="147">
        <v>0.0</v>
      </c>
      <c r="K1078" s="147">
        <f>sumif('Bills - Utilities'!C:C,A1072,'Bills - Utilities'!B:B)</f>
        <v>1039</v>
      </c>
      <c r="L1078" s="147">
        <f>sumif('Bills - Utilities'!D:D,B1072,'Bills - Utilities'!C:C)</f>
        <v>0</v>
      </c>
      <c r="M1078" s="147">
        <f>sumif('Bills - Investments'!C:C,A1072,'Bills - Investments'!E:E)</f>
        <v>59000</v>
      </c>
    </row>
    <row r="1079">
      <c r="A1079" s="53">
        <f t="shared" si="547"/>
        <v>0</v>
      </c>
      <c r="B1079" s="69">
        <f>B1068+B1074/5</f>
        <v>195100</v>
      </c>
      <c r="C1079" s="133">
        <f>sumif(G1073:M1073,"Pending",G1079:M1079)</f>
        <v>0</v>
      </c>
      <c r="D1079" s="133">
        <f t="shared" si="548"/>
        <v>0</v>
      </c>
      <c r="E1079" s="32" t="s">
        <v>81</v>
      </c>
      <c r="F1079" s="90">
        <f t="shared" ref="F1079:F1081" si="549">sum(G1079:M1079)+B1079</f>
        <v>195100</v>
      </c>
      <c r="G1079" s="148">
        <f t="shared" ref="G1079:G1081" si="550">(G1068+G1057+G1046)/3</f>
        <v>0</v>
      </c>
      <c r="H1079" s="147">
        <f t="shared" ref="H1079:H1081" si="551">(H1068+H1057)/2</f>
        <v>0</v>
      </c>
      <c r="I1079" s="147">
        <f t="shared" ref="I1079:I1081" si="552">I1068</f>
        <v>0</v>
      </c>
      <c r="J1079" s="147">
        <v>0.0</v>
      </c>
      <c r="K1079" s="147">
        <v>0.0</v>
      </c>
      <c r="L1079" s="147">
        <v>0.0</v>
      </c>
      <c r="M1079" s="147">
        <v>0.0</v>
      </c>
    </row>
    <row r="1080">
      <c r="A1080" s="53">
        <f t="shared" si="547"/>
        <v>0</v>
      </c>
      <c r="B1080" s="69">
        <f>B1069+B1074/5</f>
        <v>202100</v>
      </c>
      <c r="C1080" s="133">
        <f>sumif(G1073:M1073,"Pending",G1080:M1080)</f>
        <v>0</v>
      </c>
      <c r="D1080" s="133">
        <f t="shared" si="548"/>
        <v>0</v>
      </c>
      <c r="E1080" s="32" t="s">
        <v>79</v>
      </c>
      <c r="F1080" s="90">
        <f t="shared" si="549"/>
        <v>202100</v>
      </c>
      <c r="G1080" s="148">
        <f t="shared" si="550"/>
        <v>0</v>
      </c>
      <c r="H1080" s="147">
        <f t="shared" si="551"/>
        <v>0</v>
      </c>
      <c r="I1080" s="147">
        <f t="shared" si="552"/>
        <v>0</v>
      </c>
      <c r="J1080" s="147">
        <v>0.0</v>
      </c>
      <c r="K1080" s="147">
        <v>0.0</v>
      </c>
      <c r="L1080" s="147">
        <v>0.0</v>
      </c>
      <c r="M1080" s="147">
        <v>0.0</v>
      </c>
    </row>
    <row r="1081">
      <c r="A1081" s="53">
        <f t="shared" si="547"/>
        <v>0</v>
      </c>
      <c r="B1081" s="69">
        <f>B1070+B1074/5</f>
        <v>195100</v>
      </c>
      <c r="C1081" s="133">
        <f>sumif(G1073:M1073,"Pending",G1081:M1081)</f>
        <v>0</v>
      </c>
      <c r="D1081" s="133">
        <f t="shared" si="548"/>
        <v>0</v>
      </c>
      <c r="E1081" s="33" t="s">
        <v>91</v>
      </c>
      <c r="F1081" s="90">
        <f t="shared" si="549"/>
        <v>195100</v>
      </c>
      <c r="G1081" s="148">
        <f t="shared" si="550"/>
        <v>0</v>
      </c>
      <c r="H1081" s="147">
        <f t="shared" si="551"/>
        <v>0</v>
      </c>
      <c r="I1081" s="147">
        <f t="shared" si="552"/>
        <v>0</v>
      </c>
      <c r="J1081" s="147">
        <v>0.0</v>
      </c>
      <c r="K1081" s="147">
        <v>0.0</v>
      </c>
      <c r="L1081" s="147">
        <v>0.0</v>
      </c>
      <c r="M1081" s="147">
        <v>0.0</v>
      </c>
    </row>
    <row r="1082">
      <c r="A1082" s="81"/>
      <c r="B1082" s="73"/>
      <c r="C1082" s="73"/>
      <c r="D1082" s="73"/>
      <c r="E1082" s="82"/>
      <c r="F1082" s="151"/>
      <c r="G1082" s="73"/>
      <c r="H1082" s="73"/>
      <c r="I1082" s="25"/>
      <c r="J1082" s="25"/>
      <c r="K1082" s="25"/>
      <c r="L1082" s="25"/>
      <c r="M1082" s="24"/>
    </row>
    <row r="1083">
      <c r="A1083" s="71">
        <f>Projections!CO1</f>
        <v>47757</v>
      </c>
      <c r="B1083" s="24"/>
      <c r="C1083" s="24"/>
      <c r="D1083" s="25" t="s">
        <v>108</v>
      </c>
      <c r="E1083" s="74">
        <f>A1086-A1075</f>
        <v>140402.3818</v>
      </c>
      <c r="F1083" s="25" t="s">
        <v>64</v>
      </c>
      <c r="G1083" s="136" t="s">
        <v>109</v>
      </c>
      <c r="H1083" s="137" t="s">
        <v>110</v>
      </c>
      <c r="I1083" s="137" t="s">
        <v>111</v>
      </c>
      <c r="J1083" s="137" t="s">
        <v>112</v>
      </c>
      <c r="K1083" s="137" t="s">
        <v>113</v>
      </c>
      <c r="L1083" s="137" t="s">
        <v>114</v>
      </c>
      <c r="M1083" s="137" t="s">
        <v>65</v>
      </c>
    </row>
    <row r="1084">
      <c r="A1084" s="25" t="s">
        <v>95</v>
      </c>
      <c r="B1084" s="72">
        <f>Projections!CO15</f>
        <v>267792.3818</v>
      </c>
      <c r="C1084" s="138">
        <f>A1083</f>
        <v>47757</v>
      </c>
      <c r="D1084" s="98" t="s">
        <v>115</v>
      </c>
      <c r="E1084" s="57">
        <f>Projections!CO14</f>
        <v>7354551.506</v>
      </c>
      <c r="F1084" s="73" t="s">
        <v>67</v>
      </c>
      <c r="G1084" s="139" t="s">
        <v>67</v>
      </c>
      <c r="H1084" s="139" t="s">
        <v>67</v>
      </c>
      <c r="I1084" s="137" t="s">
        <v>67</v>
      </c>
      <c r="J1084" s="137" t="s">
        <v>67</v>
      </c>
      <c r="K1084" s="137" t="s">
        <v>67</v>
      </c>
      <c r="L1084" s="137" t="s">
        <v>67</v>
      </c>
      <c r="M1084" s="137" t="s">
        <v>67</v>
      </c>
    </row>
    <row r="1085">
      <c r="A1085" s="25" t="s">
        <v>69</v>
      </c>
      <c r="B1085" s="119">
        <f>if(B1074&gt;B1084/10,B1074,B1074+500)</f>
        <v>27000</v>
      </c>
      <c r="C1085" s="138">
        <f>EOMONTH(C1084,0)</f>
        <v>47787</v>
      </c>
      <c r="D1085" s="25" t="s">
        <v>116</v>
      </c>
      <c r="E1085" s="74">
        <f>if(today()&gt;C1085,0,B1084*12/365/5)</f>
        <v>1760.82662</v>
      </c>
      <c r="F1085" s="25" t="s">
        <v>70</v>
      </c>
      <c r="G1085" s="140" t="s">
        <v>117</v>
      </c>
      <c r="H1085" s="137" t="s">
        <v>117</v>
      </c>
      <c r="I1085" s="137" t="s">
        <v>118</v>
      </c>
      <c r="J1085" s="137" t="s">
        <v>118</v>
      </c>
      <c r="K1085" s="137" t="s">
        <v>118</v>
      </c>
      <c r="L1085" s="137" t="s">
        <v>119</v>
      </c>
      <c r="M1085" s="137" t="s">
        <v>119</v>
      </c>
    </row>
    <row r="1086">
      <c r="A1086" s="54">
        <f>F1086-C1086-B1086</f>
        <v>6244661.506</v>
      </c>
      <c r="B1086" s="90">
        <f t="shared" ref="B1086:D1086" si="553">sum(B1088:B1092)</f>
        <v>1009500</v>
      </c>
      <c r="C1086" s="141">
        <f t="shared" si="553"/>
        <v>100390</v>
      </c>
      <c r="D1086" s="142">
        <f t="shared" si="553"/>
        <v>2002500</v>
      </c>
      <c r="E1086" s="59"/>
      <c r="F1086" s="63">
        <f>sum(F1088:F1092)</f>
        <v>7354551.506</v>
      </c>
      <c r="G1086" s="136" t="s">
        <v>120</v>
      </c>
      <c r="H1086" s="137" t="s">
        <v>121</v>
      </c>
      <c r="I1086" s="137" t="s">
        <v>111</v>
      </c>
      <c r="J1086" s="137" t="s">
        <v>112</v>
      </c>
      <c r="K1086" s="137" t="s">
        <v>113</v>
      </c>
      <c r="L1086" s="137" t="s">
        <v>114</v>
      </c>
      <c r="M1086" s="137" t="s">
        <v>65</v>
      </c>
    </row>
    <row r="1087">
      <c r="A1087" s="32" t="s">
        <v>72</v>
      </c>
      <c r="B1087" s="122" t="s">
        <v>84</v>
      </c>
      <c r="C1087" s="143" t="s">
        <v>67</v>
      </c>
      <c r="D1087" s="143" t="s">
        <v>122</v>
      </c>
      <c r="E1087" s="34">
        <f>today()</f>
        <v>45969</v>
      </c>
      <c r="F1087" s="35" t="s">
        <v>64</v>
      </c>
      <c r="G1087" s="144" t="s">
        <v>107</v>
      </c>
      <c r="H1087" s="144" t="s">
        <v>107</v>
      </c>
      <c r="I1087" s="145" t="str">
        <f>I1076</f>
        <v>STR Residency</v>
      </c>
      <c r="J1087" s="145" t="s">
        <v>112</v>
      </c>
      <c r="K1087" s="145" t="s">
        <v>113</v>
      </c>
      <c r="L1087" s="145" t="s">
        <v>114</v>
      </c>
      <c r="M1087" s="145" t="s">
        <v>65</v>
      </c>
    </row>
    <row r="1088">
      <c r="A1088" s="53">
        <f t="shared" ref="A1088:A1092" si="554">F1088-C1088-B1088</f>
        <v>0</v>
      </c>
      <c r="B1088" s="69">
        <f>B1077+B1085/5</f>
        <v>200500</v>
      </c>
      <c r="C1088" s="133">
        <f>sumif(G1084:M1084,"Pending",G1088:M1088)</f>
        <v>9000</v>
      </c>
      <c r="D1088" s="133">
        <f t="shared" ref="D1088:D1092" si="555">D1077+M1088</f>
        <v>173500</v>
      </c>
      <c r="E1088" s="32" t="s">
        <v>76</v>
      </c>
      <c r="F1088" s="150">
        <f>sumif(G1084:M1084,"Pending",G1088:M1088)+B1088</f>
        <v>209500</v>
      </c>
      <c r="G1088" s="146">
        <f>sumif('Bills - CC EMIs'!D:D,A1083,'Bills - CC EMIs'!E:E)+SUMIF('Bills - CC EMIs'!D:D,A1083,'Bills - CC EMIs'!F:F)+sumif('Bills - CC EMIs'!D:D,A1083,'Bills - CC EMIs'!G:G)</f>
        <v>0</v>
      </c>
      <c r="H1088" s="146">
        <f>SUMIFS('Bills - Loans'!F:F,'Bills - Loans'!D:D,A1083)</f>
        <v>0</v>
      </c>
      <c r="I1088" s="147">
        <v>0.0</v>
      </c>
      <c r="J1088" s="137">
        <f>sumif('Bills - Responsibilities'!D:D,A1083,'Bills - Responsibilities'!E:E)</f>
        <v>5000</v>
      </c>
      <c r="K1088" s="147">
        <v>0.0</v>
      </c>
      <c r="L1088" s="147">
        <f>sumif('Bills - Returns'!C:C,A1083,'Bills - Returns'!D:D)</f>
        <v>0</v>
      </c>
      <c r="M1088" s="147">
        <f>sumif('Bills - Investments'!C:C,A1083,'Bills - Investments'!D:D)</f>
        <v>4000</v>
      </c>
    </row>
    <row r="1089">
      <c r="A1089" s="53">
        <f t="shared" si="554"/>
        <v>6244661.506</v>
      </c>
      <c r="B1089" s="69">
        <f>B1078+B1085/5</f>
        <v>200500</v>
      </c>
      <c r="C1089" s="133">
        <f>sumif(G1084:M1084,"Pending",G1089:M1089)</f>
        <v>91390</v>
      </c>
      <c r="D1089" s="133">
        <f t="shared" si="555"/>
        <v>1829000</v>
      </c>
      <c r="E1089" s="32" t="s">
        <v>77</v>
      </c>
      <c r="F1089" s="90">
        <f>E1084-F1088-sum(F1090:F1092)</f>
        <v>6536551.506</v>
      </c>
      <c r="G1089" s="148">
        <f>sumif('Bills - CC EMIs'!D:D,A1083,'Bills - CC EMIs'!H:H)</f>
        <v>0</v>
      </c>
      <c r="H1089" s="147">
        <f>SUMIFS('Bills - Loans'!E:E,'Bills - Loans'!D:D,A1083)</f>
        <v>12770</v>
      </c>
      <c r="I1089" s="137">
        <f>sumif('Bills - STR Residency'!D:D,A1083,'Bills - STR Residency'!E:E)</f>
        <v>2855</v>
      </c>
      <c r="J1089" s="147">
        <v>0.0</v>
      </c>
      <c r="K1089" s="147">
        <f>sumif('Bills - Utilities'!C:C,A1083,'Bills - Utilities'!B:B)</f>
        <v>15765</v>
      </c>
      <c r="L1089" s="147">
        <f>sumif('Bills - Utilities'!D:D,B1083,'Bills - Utilities'!C:C)</f>
        <v>0</v>
      </c>
      <c r="M1089" s="147">
        <f>sumif('Bills - Investments'!C:C,A1083,'Bills - Investments'!E:E)</f>
        <v>60000</v>
      </c>
    </row>
    <row r="1090">
      <c r="A1090" s="53">
        <f t="shared" si="554"/>
        <v>0</v>
      </c>
      <c r="B1090" s="69">
        <f>B1079+B1085/5</f>
        <v>200500</v>
      </c>
      <c r="C1090" s="133">
        <f>sumif(G1084:M1084,"Pending",G1090:M1090)</f>
        <v>0</v>
      </c>
      <c r="D1090" s="133">
        <f t="shared" si="555"/>
        <v>0</v>
      </c>
      <c r="E1090" s="32" t="s">
        <v>81</v>
      </c>
      <c r="F1090" s="90">
        <f t="shared" ref="F1090:F1092" si="556">sum(G1090:M1090)+B1090</f>
        <v>200500</v>
      </c>
      <c r="G1090" s="148">
        <f t="shared" ref="G1090:G1092" si="557">(G1079+G1068+G1057)/3</f>
        <v>0</v>
      </c>
      <c r="H1090" s="147">
        <f t="shared" ref="H1090:H1092" si="558">(H1079+H1068)/2</f>
        <v>0</v>
      </c>
      <c r="I1090" s="147">
        <f t="shared" ref="I1090:I1092" si="559">I1079</f>
        <v>0</v>
      </c>
      <c r="J1090" s="147">
        <v>0.0</v>
      </c>
      <c r="K1090" s="147">
        <v>0.0</v>
      </c>
      <c r="L1090" s="147">
        <v>0.0</v>
      </c>
      <c r="M1090" s="147">
        <v>0.0</v>
      </c>
    </row>
    <row r="1091">
      <c r="A1091" s="53">
        <f t="shared" si="554"/>
        <v>0</v>
      </c>
      <c r="B1091" s="69">
        <f>B1080+B1085/5</f>
        <v>207500</v>
      </c>
      <c r="C1091" s="133">
        <f>sumif(G1084:M1084,"Pending",G1091:M1091)</f>
        <v>0</v>
      </c>
      <c r="D1091" s="133">
        <f t="shared" si="555"/>
        <v>0</v>
      </c>
      <c r="E1091" s="32" t="s">
        <v>79</v>
      </c>
      <c r="F1091" s="90">
        <f t="shared" si="556"/>
        <v>207500</v>
      </c>
      <c r="G1091" s="148">
        <f t="shared" si="557"/>
        <v>0</v>
      </c>
      <c r="H1091" s="147">
        <f t="shared" si="558"/>
        <v>0</v>
      </c>
      <c r="I1091" s="147">
        <f t="shared" si="559"/>
        <v>0</v>
      </c>
      <c r="J1091" s="147">
        <v>0.0</v>
      </c>
      <c r="K1091" s="147">
        <v>0.0</v>
      </c>
      <c r="L1091" s="147">
        <v>0.0</v>
      </c>
      <c r="M1091" s="147">
        <v>0.0</v>
      </c>
    </row>
    <row r="1092">
      <c r="A1092" s="53">
        <f t="shared" si="554"/>
        <v>0</v>
      </c>
      <c r="B1092" s="69">
        <f>B1081+B1085/5</f>
        <v>200500</v>
      </c>
      <c r="C1092" s="133">
        <f>sumif(G1084:M1084,"Pending",G1092:M1092)</f>
        <v>0</v>
      </c>
      <c r="D1092" s="133">
        <f t="shared" si="555"/>
        <v>0</v>
      </c>
      <c r="E1092" s="33" t="s">
        <v>91</v>
      </c>
      <c r="F1092" s="90">
        <f t="shared" si="556"/>
        <v>200500</v>
      </c>
      <c r="G1092" s="148">
        <f t="shared" si="557"/>
        <v>0</v>
      </c>
      <c r="H1092" s="147">
        <f t="shared" si="558"/>
        <v>0</v>
      </c>
      <c r="I1092" s="147">
        <f t="shared" si="559"/>
        <v>0</v>
      </c>
      <c r="J1092" s="147">
        <v>0.0</v>
      </c>
      <c r="K1092" s="147">
        <v>0.0</v>
      </c>
      <c r="L1092" s="147">
        <v>0.0</v>
      </c>
      <c r="M1092" s="147">
        <v>0.0</v>
      </c>
    </row>
    <row r="1093">
      <c r="A1093" s="81"/>
      <c r="B1093" s="73"/>
      <c r="C1093" s="73"/>
      <c r="D1093" s="73"/>
      <c r="E1093" s="82"/>
      <c r="F1093" s="151"/>
      <c r="G1093" s="73"/>
      <c r="H1093" s="73"/>
      <c r="I1093" s="25"/>
      <c r="J1093" s="25"/>
      <c r="K1093" s="25"/>
      <c r="L1093" s="25"/>
      <c r="M1093" s="24"/>
    </row>
    <row r="1094">
      <c r="A1094" s="71">
        <f>Projections!CP1</f>
        <v>47788</v>
      </c>
      <c r="B1094" s="24"/>
      <c r="C1094" s="24"/>
      <c r="D1094" s="25" t="s">
        <v>108</v>
      </c>
      <c r="E1094" s="74">
        <f>A1097-A1086</f>
        <v>166898.3818</v>
      </c>
      <c r="F1094" s="25" t="s">
        <v>64</v>
      </c>
      <c r="G1094" s="136" t="s">
        <v>109</v>
      </c>
      <c r="H1094" s="137" t="s">
        <v>110</v>
      </c>
      <c r="I1094" s="137" t="s">
        <v>111</v>
      </c>
      <c r="J1094" s="137" t="s">
        <v>112</v>
      </c>
      <c r="K1094" s="137" t="s">
        <v>113</v>
      </c>
      <c r="L1094" s="137" t="s">
        <v>114</v>
      </c>
      <c r="M1094" s="137" t="s">
        <v>65</v>
      </c>
    </row>
    <row r="1095">
      <c r="A1095" s="25" t="s">
        <v>95</v>
      </c>
      <c r="B1095" s="72">
        <f>Projections!CP15</f>
        <v>267792.3818</v>
      </c>
      <c r="C1095" s="138">
        <f>A1094</f>
        <v>47788</v>
      </c>
      <c r="D1095" s="98" t="s">
        <v>115</v>
      </c>
      <c r="E1095" s="57">
        <f>Projections!CP14</f>
        <v>7521953.888</v>
      </c>
      <c r="F1095" s="73" t="s">
        <v>67</v>
      </c>
      <c r="G1095" s="139" t="s">
        <v>67</v>
      </c>
      <c r="H1095" s="139" t="s">
        <v>67</v>
      </c>
      <c r="I1095" s="137" t="s">
        <v>67</v>
      </c>
      <c r="J1095" s="137" t="s">
        <v>67</v>
      </c>
      <c r="K1095" s="137" t="s">
        <v>67</v>
      </c>
      <c r="L1095" s="137" t="s">
        <v>67</v>
      </c>
      <c r="M1095" s="137" t="s">
        <v>67</v>
      </c>
    </row>
    <row r="1096">
      <c r="A1096" s="25" t="s">
        <v>69</v>
      </c>
      <c r="B1096" s="119">
        <f>if(B1085&gt;B1095/10,B1085,B1085+500)</f>
        <v>27000</v>
      </c>
      <c r="C1096" s="138">
        <f>EOMONTH(C1095,0)</f>
        <v>47817</v>
      </c>
      <c r="D1096" s="25" t="s">
        <v>116</v>
      </c>
      <c r="E1096" s="74">
        <f>if(today()&gt;C1096,0,B1095*12/365/5)</f>
        <v>1760.82662</v>
      </c>
      <c r="F1096" s="25" t="s">
        <v>70</v>
      </c>
      <c r="G1096" s="140" t="s">
        <v>117</v>
      </c>
      <c r="H1096" s="137" t="s">
        <v>117</v>
      </c>
      <c r="I1096" s="137" t="s">
        <v>118</v>
      </c>
      <c r="J1096" s="137" t="s">
        <v>118</v>
      </c>
      <c r="K1096" s="137" t="s">
        <v>118</v>
      </c>
      <c r="L1096" s="137" t="s">
        <v>119</v>
      </c>
      <c r="M1096" s="137" t="s">
        <v>119</v>
      </c>
    </row>
    <row r="1097">
      <c r="A1097" s="54">
        <f>F1097-C1097-B1097</f>
        <v>6411559.888</v>
      </c>
      <c r="B1097" s="90">
        <f t="shared" ref="B1097:D1097" si="560">sum(B1099:B1103)</f>
        <v>1036500</v>
      </c>
      <c r="C1097" s="141">
        <f t="shared" si="560"/>
        <v>73894</v>
      </c>
      <c r="D1097" s="142">
        <f t="shared" si="560"/>
        <v>2067500</v>
      </c>
      <c r="E1097" s="59"/>
      <c r="F1097" s="63">
        <f>sum(F1099:F1103)</f>
        <v>7521953.888</v>
      </c>
      <c r="G1097" s="136" t="s">
        <v>120</v>
      </c>
      <c r="H1097" s="137" t="s">
        <v>121</v>
      </c>
      <c r="I1097" s="137" t="s">
        <v>111</v>
      </c>
      <c r="J1097" s="137" t="s">
        <v>112</v>
      </c>
      <c r="K1097" s="137" t="s">
        <v>113</v>
      </c>
      <c r="L1097" s="137" t="s">
        <v>114</v>
      </c>
      <c r="M1097" s="137" t="s">
        <v>65</v>
      </c>
    </row>
    <row r="1098">
      <c r="A1098" s="32" t="s">
        <v>72</v>
      </c>
      <c r="B1098" s="122" t="s">
        <v>84</v>
      </c>
      <c r="C1098" s="143" t="s">
        <v>67</v>
      </c>
      <c r="D1098" s="143" t="s">
        <v>122</v>
      </c>
      <c r="E1098" s="34">
        <f>today()</f>
        <v>45969</v>
      </c>
      <c r="F1098" s="35" t="s">
        <v>64</v>
      </c>
      <c r="G1098" s="144" t="s">
        <v>107</v>
      </c>
      <c r="H1098" s="144" t="s">
        <v>107</v>
      </c>
      <c r="I1098" s="145" t="str">
        <f>I1087</f>
        <v>STR Residency</v>
      </c>
      <c r="J1098" s="145" t="s">
        <v>112</v>
      </c>
      <c r="K1098" s="145" t="s">
        <v>113</v>
      </c>
      <c r="L1098" s="145" t="s">
        <v>114</v>
      </c>
      <c r="M1098" s="145" t="s">
        <v>65</v>
      </c>
    </row>
    <row r="1099">
      <c r="A1099" s="53">
        <f t="shared" ref="A1099:A1103" si="561">F1099-C1099-B1099</f>
        <v>0</v>
      </c>
      <c r="B1099" s="69">
        <f>B1088+B1096/5</f>
        <v>205900</v>
      </c>
      <c r="C1099" s="133">
        <f>sumif(G1095:M1095,"Pending",G1099:M1099)</f>
        <v>9000</v>
      </c>
      <c r="D1099" s="133">
        <f t="shared" ref="D1099:D1103" si="562">D1088+M1099</f>
        <v>177500</v>
      </c>
      <c r="E1099" s="32" t="s">
        <v>76</v>
      </c>
      <c r="F1099" s="150">
        <f>sumif(G1095:M1095,"Pending",G1099:M1099)+B1099</f>
        <v>214900</v>
      </c>
      <c r="G1099" s="146">
        <f>sumif('Bills - CC EMIs'!D:D,A1094,'Bills - CC EMIs'!E:E)+SUMIF('Bills - CC EMIs'!D:D,A1094,'Bills - CC EMIs'!F:F)+sumif('Bills - CC EMIs'!D:D,A1094,'Bills - CC EMIs'!G:G)</f>
        <v>0</v>
      </c>
      <c r="H1099" s="146">
        <f>SUMIFS('Bills - Loans'!F:F,'Bills - Loans'!D:D,A1094)</f>
        <v>0</v>
      </c>
      <c r="I1099" s="147">
        <v>0.0</v>
      </c>
      <c r="J1099" s="137">
        <f>sumif('Bills - Responsibilities'!D:D,A1094,'Bills - Responsibilities'!E:E)</f>
        <v>5000</v>
      </c>
      <c r="K1099" s="147">
        <v>0.0</v>
      </c>
      <c r="L1099" s="147">
        <f>sumif('Bills - Returns'!C:C,A1094,'Bills - Returns'!D:D)</f>
        <v>0</v>
      </c>
      <c r="M1099" s="147">
        <f>sumif('Bills - Investments'!C:C,A1094,'Bills - Investments'!D:D)</f>
        <v>4000</v>
      </c>
    </row>
    <row r="1100">
      <c r="A1100" s="53">
        <f t="shared" si="561"/>
        <v>6411559.888</v>
      </c>
      <c r="B1100" s="69">
        <f>B1089+B1096/5</f>
        <v>205900</v>
      </c>
      <c r="C1100" s="133">
        <f>sumif(G1095:M1095,"Pending",G1100:M1100)</f>
        <v>64894</v>
      </c>
      <c r="D1100" s="133">
        <f t="shared" si="562"/>
        <v>1890000</v>
      </c>
      <c r="E1100" s="32" t="s">
        <v>77</v>
      </c>
      <c r="F1100" s="90">
        <f>E1095-F1099-sum(F1101:F1103)</f>
        <v>6682353.888</v>
      </c>
      <c r="G1100" s="148">
        <f>sumif('Bills - CC EMIs'!D:D,A1094,'Bills - CC EMIs'!H:H)</f>
        <v>0</v>
      </c>
      <c r="H1100" s="147">
        <f>SUMIFS('Bills - Loans'!E:E,'Bills - Loans'!D:D,A1094)</f>
        <v>0</v>
      </c>
      <c r="I1100" s="137">
        <f>sumif('Bills - STR Residency'!D:D,A1094,'Bills - STR Residency'!E:E)</f>
        <v>2855</v>
      </c>
      <c r="J1100" s="147">
        <v>0.0</v>
      </c>
      <c r="K1100" s="147">
        <f>sumif('Bills - Utilities'!C:C,A1094,'Bills - Utilities'!B:B)</f>
        <v>1039</v>
      </c>
      <c r="L1100" s="147">
        <f>sumif('Bills - Utilities'!D:D,B1094,'Bills - Utilities'!C:C)</f>
        <v>0</v>
      </c>
      <c r="M1100" s="147">
        <f>sumif('Bills - Investments'!C:C,A1094,'Bills - Investments'!E:E)</f>
        <v>61000</v>
      </c>
    </row>
    <row r="1101">
      <c r="A1101" s="53">
        <f t="shared" si="561"/>
        <v>0</v>
      </c>
      <c r="B1101" s="69">
        <f>B1090+B1096/5</f>
        <v>205900</v>
      </c>
      <c r="C1101" s="133">
        <f>sumif(G1095:M1095,"Pending",G1101:M1101)</f>
        <v>0</v>
      </c>
      <c r="D1101" s="133">
        <f t="shared" si="562"/>
        <v>0</v>
      </c>
      <c r="E1101" s="32" t="s">
        <v>81</v>
      </c>
      <c r="F1101" s="90">
        <f t="shared" ref="F1101:F1103" si="563">sum(G1101:M1101)+B1101</f>
        <v>205900</v>
      </c>
      <c r="G1101" s="148">
        <f t="shared" ref="G1101:G1103" si="564">(G1090+G1079+G1068)/3</f>
        <v>0</v>
      </c>
      <c r="H1101" s="147">
        <f t="shared" ref="H1101:H1103" si="565">(H1090+H1079)/2</f>
        <v>0</v>
      </c>
      <c r="I1101" s="147">
        <f t="shared" ref="I1101:I1103" si="566">I1090</f>
        <v>0</v>
      </c>
      <c r="J1101" s="147">
        <v>0.0</v>
      </c>
      <c r="K1101" s="147">
        <v>0.0</v>
      </c>
      <c r="L1101" s="147">
        <v>0.0</v>
      </c>
      <c r="M1101" s="147">
        <v>0.0</v>
      </c>
    </row>
    <row r="1102">
      <c r="A1102" s="53">
        <f t="shared" si="561"/>
        <v>0</v>
      </c>
      <c r="B1102" s="69">
        <f>B1091+B1096/5</f>
        <v>212900</v>
      </c>
      <c r="C1102" s="133">
        <f>sumif(G1095:M1095,"Pending",G1102:M1102)</f>
        <v>0</v>
      </c>
      <c r="D1102" s="133">
        <f t="shared" si="562"/>
        <v>0</v>
      </c>
      <c r="E1102" s="32" t="s">
        <v>79</v>
      </c>
      <c r="F1102" s="90">
        <f t="shared" si="563"/>
        <v>212900</v>
      </c>
      <c r="G1102" s="148">
        <f t="shared" si="564"/>
        <v>0</v>
      </c>
      <c r="H1102" s="147">
        <f t="shared" si="565"/>
        <v>0</v>
      </c>
      <c r="I1102" s="147">
        <f t="shared" si="566"/>
        <v>0</v>
      </c>
      <c r="J1102" s="147">
        <v>0.0</v>
      </c>
      <c r="K1102" s="147">
        <v>0.0</v>
      </c>
      <c r="L1102" s="147">
        <v>0.0</v>
      </c>
      <c r="M1102" s="147">
        <v>0.0</v>
      </c>
    </row>
    <row r="1103">
      <c r="A1103" s="53">
        <f t="shared" si="561"/>
        <v>0</v>
      </c>
      <c r="B1103" s="69">
        <f>B1092+B1096/5</f>
        <v>205900</v>
      </c>
      <c r="C1103" s="133">
        <f>sumif(G1095:M1095,"Pending",G1103:M1103)</f>
        <v>0</v>
      </c>
      <c r="D1103" s="133">
        <f t="shared" si="562"/>
        <v>0</v>
      </c>
      <c r="E1103" s="33" t="s">
        <v>91</v>
      </c>
      <c r="F1103" s="90">
        <f t="shared" si="563"/>
        <v>205900</v>
      </c>
      <c r="G1103" s="148">
        <f t="shared" si="564"/>
        <v>0</v>
      </c>
      <c r="H1103" s="147">
        <f t="shared" si="565"/>
        <v>0</v>
      </c>
      <c r="I1103" s="147">
        <f t="shared" si="566"/>
        <v>0</v>
      </c>
      <c r="J1103" s="147">
        <v>0.0</v>
      </c>
      <c r="K1103" s="147">
        <v>0.0</v>
      </c>
      <c r="L1103" s="147">
        <v>0.0</v>
      </c>
      <c r="M1103" s="147">
        <v>0.0</v>
      </c>
    </row>
    <row r="1104">
      <c r="A1104" s="81"/>
      <c r="B1104" s="73"/>
      <c r="C1104" s="73"/>
      <c r="D1104" s="73"/>
      <c r="E1104" s="82"/>
      <c r="F1104" s="151"/>
      <c r="G1104" s="73"/>
      <c r="H1104" s="73"/>
      <c r="I1104" s="25"/>
      <c r="J1104" s="25"/>
      <c r="K1104" s="25"/>
      <c r="L1104" s="25"/>
      <c r="M1104" s="24"/>
    </row>
    <row r="1105">
      <c r="A1105" s="81"/>
      <c r="B1105" s="73"/>
      <c r="C1105" s="73"/>
      <c r="D1105" s="73"/>
      <c r="E1105" s="82"/>
      <c r="F1105" s="151"/>
      <c r="G1105" s="73"/>
      <c r="H1105" s="73"/>
      <c r="I1105" s="25"/>
      <c r="J1105" s="25"/>
      <c r="K1105" s="25"/>
      <c r="L1105" s="25"/>
      <c r="M1105" s="24"/>
    </row>
    <row r="1106">
      <c r="A1106" s="81"/>
      <c r="B1106" s="73"/>
      <c r="C1106" s="73"/>
      <c r="D1106" s="73"/>
      <c r="E1106" s="82"/>
      <c r="F1106" s="151"/>
      <c r="G1106" s="73"/>
      <c r="H1106" s="73"/>
      <c r="I1106" s="25"/>
      <c r="J1106" s="25"/>
      <c r="K1106" s="25"/>
      <c r="L1106" s="25"/>
      <c r="M1106" s="24"/>
    </row>
    <row r="1107">
      <c r="A1107" s="81"/>
      <c r="B1107" s="73"/>
      <c r="C1107" s="73"/>
      <c r="D1107" s="73"/>
      <c r="E1107" s="82"/>
      <c r="F1107" s="151"/>
      <c r="G1107" s="73"/>
      <c r="H1107" s="73"/>
      <c r="I1107" s="25"/>
      <c r="J1107" s="25"/>
      <c r="K1107" s="25"/>
      <c r="L1107" s="25"/>
      <c r="M1107" s="24"/>
    </row>
    <row r="1108">
      <c r="A1108" s="81"/>
      <c r="B1108" s="73"/>
      <c r="C1108" s="73"/>
      <c r="D1108" s="73"/>
      <c r="E1108" s="82"/>
      <c r="F1108" s="151"/>
      <c r="G1108" s="73"/>
      <c r="H1108" s="73"/>
      <c r="I1108" s="25"/>
      <c r="J1108" s="25"/>
      <c r="K1108" s="25"/>
      <c r="L1108" s="25"/>
      <c r="M1108" s="24"/>
    </row>
    <row r="1109">
      <c r="A1109" s="81"/>
      <c r="B1109" s="73"/>
      <c r="C1109" s="73"/>
      <c r="D1109" s="73"/>
      <c r="E1109" s="82"/>
      <c r="F1109" s="151"/>
      <c r="G1109" s="73"/>
      <c r="H1109" s="73"/>
      <c r="I1109" s="25"/>
      <c r="J1109" s="25"/>
      <c r="K1109" s="25"/>
      <c r="L1109" s="25"/>
      <c r="M1109" s="24"/>
    </row>
    <row r="1110">
      <c r="A1110" s="81"/>
      <c r="B1110" s="73"/>
      <c r="C1110" s="73"/>
      <c r="D1110" s="73"/>
      <c r="E1110" s="82"/>
      <c r="F1110" s="151"/>
      <c r="G1110" s="73"/>
      <c r="H1110" s="73"/>
      <c r="I1110" s="25"/>
      <c r="J1110" s="25"/>
      <c r="K1110" s="25"/>
      <c r="L1110" s="25"/>
      <c r="M1110" s="24"/>
    </row>
    <row r="1111">
      <c r="A1111" s="81"/>
      <c r="B1111" s="73"/>
      <c r="C1111" s="73"/>
      <c r="D1111" s="73"/>
      <c r="E1111" s="82"/>
      <c r="F1111" s="151"/>
      <c r="G1111" s="73"/>
      <c r="H1111" s="73"/>
      <c r="I1111" s="25"/>
      <c r="J1111" s="25"/>
      <c r="K1111" s="25"/>
      <c r="L1111" s="25"/>
      <c r="M1111" s="24"/>
    </row>
    <row r="1112">
      <c r="A1112" s="81"/>
      <c r="B1112" s="73"/>
      <c r="C1112" s="73"/>
      <c r="D1112" s="73"/>
      <c r="E1112" s="82"/>
      <c r="F1112" s="151"/>
      <c r="G1112" s="73"/>
      <c r="H1112" s="73"/>
      <c r="I1112" s="25"/>
      <c r="J1112" s="25"/>
      <c r="K1112" s="25"/>
      <c r="L1112" s="25"/>
      <c r="M1112" s="24"/>
    </row>
    <row r="1113">
      <c r="A1113" s="81"/>
      <c r="B1113" s="73"/>
      <c r="C1113" s="73"/>
      <c r="D1113" s="73"/>
      <c r="E1113" s="82"/>
      <c r="F1113" s="151"/>
      <c r="G1113" s="73"/>
      <c r="H1113" s="73"/>
      <c r="I1113" s="25"/>
      <c r="J1113" s="25"/>
      <c r="K1113" s="25"/>
      <c r="L1113" s="25"/>
      <c r="M1113" s="24"/>
    </row>
    <row r="1114">
      <c r="A1114" s="81"/>
      <c r="B1114" s="73"/>
      <c r="C1114" s="73"/>
      <c r="D1114" s="73"/>
      <c r="E1114" s="82"/>
      <c r="F1114" s="151"/>
      <c r="G1114" s="73"/>
      <c r="H1114" s="73"/>
      <c r="I1114" s="25"/>
      <c r="J1114" s="25"/>
      <c r="K1114" s="25"/>
      <c r="L1114" s="25"/>
      <c r="M1114" s="24"/>
    </row>
  </sheetData>
  <conditionalFormatting sqref="A1:M1114">
    <cfRule type="cellIs" dxfId="12" priority="1" operator="equal">
      <formula>"Pending"</formula>
    </cfRule>
  </conditionalFormatting>
  <conditionalFormatting sqref="A1:M1114">
    <cfRule type="cellIs" dxfId="13" priority="2" operator="equal">
      <formula>"Paid"</formula>
    </cfRule>
  </conditionalFormatting>
  <conditionalFormatting sqref="A1:M1114">
    <cfRule type="cellIs" dxfId="14" priority="3" operator="equal">
      <formula>"Alternative"</formula>
    </cfRule>
  </conditionalFormatting>
  <conditionalFormatting sqref="A1:M1114">
    <cfRule type="cellIs" dxfId="15" priority="4" operator="equal">
      <formula>"Planned"</formula>
    </cfRule>
  </conditionalFormatting>
  <conditionalFormatting sqref="G142:M151 F154 G158:M164 F167 G171:M180 F183 G187:M196 F199 G203:M212 F215 G219:M223 F226 G230:M234 F237 G241:M245 F248 G252:M256 G258:H258 F259 G260:H261 G263:M267 G269:H278 F270 I274:M278 G280:H289 F281 I285:M289 G291:H300 I291:M294 F292 I296:M300 G302:H311 I302:M305 F303 I307:M311 G313:H322 I313:M316 F314 I318:M322 G324:H333 I324:M327 F325 I329:M333 G335:H344 I335:M338 F336 I340:M344 G346:H355 I346:M349 F347 I351:M355 G357:H366 I357:M360 F358 I362:M366 G368:H377 I368:M371 F369 I373:M377 G379:H388 I379:M382 F380 I384:M388 G390:H399 I390:M393 F391 I395:M399 G401:H410 I401:M404 F402 I406:M410 G412:H421 I412:M415 F413 I417:M421 G423:H432 I423:M426 F424 I428:M432 G434:H443 I434:M437 F435 I439:M443 G445:H454 I445:M448 F446 I450:M454 G456:H465 I456:M459 F457 I461:M465 G467:H476 I467:M470 F468 I472:M476 G478:H487 I478:M481 F479 I483:M487 G489:H498 I489:M492 F490 I494:M498 G500:H509 I500:M503 F501 I505:M509 G511:H520 I511:M514 F512 I516:M520 G522:H531 I522:M525 F523 I527:M531 G533:H542 I533:M536 F534 I538:M542 G544:H553 I544:M547 F545 I549:M553 G555:H564 I555:M558 F556 I560:M564 G566:H575 I566:M569 F567 I571:M575 G577:H586 I577:M580 F578 I582:M586 G588:H597 I588:M591 F589 I593:M597 G599:H608 I599:M602 F600 I604:M608 G610:H619 I610:M613 F611 I615:M619 G621:H630 I621:M624 F622 I626:M630 G632:H641 I632:M635 F633 I637:M641 G643:H652 I643:M646 F644 I648:M652 G654:H663 I654:M657 F655 I659:M663 G665:H674 I665:M668 F666 I670:M674 G676:H685 I676:M679 F677 I681:M685 G687:H696 I687:M690 F688 I692:M696 G698:H707 I698:M701 F699 I703:M707 G709:H718 I709:M712 F710 I714:M718 G720:H729 I720:M723 F721 I725:M729 G731:H740 I731:M734 F732 I736:M740 G742:H751 I742:M745 F743 I747:M751 G753:H762 I753:M756 F754 I758:M762 G764:H773 I764:M767 F765 I769:M773 G775:H784 I775:M778 F776 I780:M784 G786:H795 I786:M789 F787 I791:M795 G797:H806 I797:M800 F798 I802:M806 G808:H1114 I808:M811 F809 I813:M1114 F820 F831 F842 F853 F864 F875 F886 F897 F908 F919 F930 F941 F952 F963 F974 F985 F996 F1007 F1018 F1029 F1040 F1051 F1062 F1073 F1084 F1095">
    <cfRule type="cellIs" dxfId="16" priority="5" operator="greaterThan">
      <formula>0</formula>
    </cfRule>
  </conditionalFormatting>
  <conditionalFormatting sqref="G142:M151 F154 G158:M164 F167 G171:M180 F183 G187:M196 F199 G203:M212 F215 G219:M223 F226 G230:M234 F237 G241:M245 F248 G252:M256 G258:H258 F259 G260:H261 G263:M267 G269:H278 F270 I274:M278 G280:H289 F281 I285:M289 G291:H300 I291:M294 F292 I296:M300 G302:H311 I302:M305 F303 I307:M311 G313:H322 I313:M316 F314 I318:M322 G324:H333 I324:M327 F325 I329:M333 G335:H344 I335:M338 F336 I340:M344 G346:H355 I346:M349 F347 I351:M355 G357:H366 I357:M360 F358 I362:M366 G368:H377 I368:M371 F369 I373:M377 G379:H388 I379:M382 F380 I384:M388 G390:H399 I390:M393 F391 I395:M399 G401:H410 I401:M404 F402 I406:M410 G412:H421 I412:M415 F413 I417:M421 G423:H432 I423:M426 F424 I428:M432 G434:H443 I434:M437 F435 I439:M443 G445:H454 I445:M448 F446 I450:M454 G456:H465 I456:M459 F457 I461:M465 G467:H476 I467:M470 F468 I472:M476 G478:H487 I478:M481 F479 I483:M487 G489:H498 I489:M492 F490 I494:M498 G500:H509 I500:M503 F501 I505:M509 G511:H520 I511:M514 F512 I516:M520 G522:H531 I522:M525 F523 I527:M531 G533:H542 I533:M536 F534 I538:M542 G544:H553 I544:M547 F545 I549:M553 G555:H564 I555:M558 F556 I560:M564 G566:H575 I566:M569 F567 I571:M575 G577:H586 I577:M580 F578 I582:M586 G588:H597 I588:M591 F589 I593:M597 G599:H608 I599:M602 F600 I604:M608 G610:H619 I610:M613 F611 I615:M619 G621:H630 I621:M624 F622 I626:M630 G632:H641 I632:M635 F633 I637:M641 G643:H652 I643:M646 F644 I648:M652 G654:H663 I654:M657 F655 I659:M663 G665:H674 I665:M668 F666 I670:M674 G676:H685 I676:M679 F677 I681:M685 G687:H696 I687:M690 F688 I692:M696 G698:H707 I698:M701 F699 I703:M707 G709:H718 I709:M712 F710 I714:M718 G720:H729 I720:M723 F721 I725:M729 G731:H740 I731:M734 F732 I736:M740 G742:H751 I742:M745 F743 I747:M751 G753:H762 I753:M756 F754 I758:M762 G764:H773 I764:M767 F765 I769:M773 G775:H784 I775:M778 F776 I780:M784 G786:H795 I786:M789 F787 I791:M795 G797:H806 I797:M800 F798 I802:M806 G808:H1114 I808:M811 F809 I813:M1114 F820 F831 F842 F853 F864 F875 F886 F897 F908 F919 F930 F941 F952 F963 F974 F985 F996 F1007 F1018 F1029 F1040 F1051 F1062 F1073 F1084 F1095">
    <cfRule type="cellIs" dxfId="17" priority="6" operator="lessThan">
      <formula>0</formula>
    </cfRule>
  </conditionalFormatting>
  <conditionalFormatting sqref="A1:M1114">
    <cfRule type="cellIs" dxfId="2" priority="7" operator="equal">
      <formula>"Carry Forward"</formula>
    </cfRule>
  </conditionalFormatting>
  <conditionalFormatting sqref="A1:M1114">
    <cfRule type="cellIs" dxfId="18" priority="8" operator="equal">
      <formula>"NA"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0.0" topLeftCell="F11" activePane="bottomRight" state="frozen"/>
      <selection activeCell="F1" sqref="F1" pane="topRight"/>
      <selection activeCell="A11" sqref="A11" pane="bottomLeft"/>
      <selection activeCell="F11" sqref="F11" pane="bottomRight"/>
    </sheetView>
  </sheetViews>
  <sheetFormatPr customHeight="1" defaultColWidth="12.63" defaultRowHeight="15.75"/>
  <cols>
    <col customWidth="1" min="1" max="1" width="10.13"/>
    <col customWidth="1" min="2" max="2" width="10.63"/>
    <col customWidth="1" min="3" max="3" width="13.13"/>
    <col customWidth="1" min="4" max="4" width="10.63"/>
    <col customWidth="1" min="5" max="5" width="24.75"/>
    <col customWidth="1" min="6" max="6" width="9.13"/>
    <col customWidth="1" min="7" max="7" width="10.75"/>
    <col customWidth="1" min="8" max="8" width="7.63"/>
    <col customWidth="1" min="9" max="9" width="7.25"/>
    <col customWidth="1" min="10" max="10" width="8.75"/>
    <col customWidth="1" min="11" max="11" width="14.88"/>
    <col customWidth="1" min="12" max="12" width="9.38"/>
    <col customWidth="1" min="13" max="13" width="13.13"/>
    <col customWidth="1" min="14" max="14" width="10.13"/>
    <col customWidth="1" min="15" max="15" width="5.63"/>
    <col customWidth="1" min="16" max="16" width="11.63"/>
    <col customWidth="1" min="17" max="17" width="2.0"/>
    <col customWidth="1" min="18" max="19" width="8.75"/>
    <col customWidth="1" min="20" max="20" width="8.13"/>
  </cols>
  <sheetData>
    <row r="1">
      <c r="A1" s="152"/>
      <c r="B1" s="153"/>
      <c r="C1" s="153"/>
      <c r="D1" s="154"/>
      <c r="E1" s="154"/>
      <c r="F1" s="155"/>
      <c r="G1" s="155"/>
      <c r="H1" s="155"/>
      <c r="I1" s="155"/>
      <c r="J1" s="155"/>
      <c r="K1" s="155"/>
      <c r="L1" s="156"/>
      <c r="M1" s="155"/>
    </row>
    <row r="2">
      <c r="A2" s="152"/>
      <c r="B2" s="153"/>
      <c r="C2" s="153"/>
      <c r="D2" s="154"/>
      <c r="E2" s="154"/>
      <c r="F2" s="155"/>
      <c r="G2" s="155"/>
      <c r="H2" s="155"/>
      <c r="I2" s="155"/>
      <c r="J2" s="155"/>
      <c r="K2" s="155"/>
      <c r="L2" s="155"/>
      <c r="M2" s="155"/>
    </row>
    <row r="3">
      <c r="A3" s="152"/>
      <c r="B3" s="153"/>
      <c r="C3" s="153"/>
      <c r="D3" s="154"/>
      <c r="E3" s="154"/>
      <c r="F3" s="155"/>
      <c r="G3" s="155"/>
      <c r="H3" s="155"/>
      <c r="I3" s="155"/>
      <c r="J3" s="155"/>
      <c r="K3" s="156" t="s">
        <v>123</v>
      </c>
      <c r="L3" s="155"/>
      <c r="M3" s="157">
        <v>45812.0</v>
      </c>
    </row>
    <row r="4">
      <c r="A4" s="152"/>
      <c r="B4" s="153"/>
      <c r="C4" s="153"/>
      <c r="D4" s="154"/>
      <c r="E4" s="154"/>
      <c r="F4" s="155"/>
      <c r="G4" s="155"/>
      <c r="H4" s="156"/>
      <c r="I4" s="155"/>
      <c r="J4" s="155"/>
      <c r="K4" s="156" t="s">
        <v>124</v>
      </c>
      <c r="L4" s="155">
        <f t="shared" ref="L4:M4" si="1">L$6/$G$6%</f>
        <v>92</v>
      </c>
      <c r="M4" s="155">
        <f t="shared" si="1"/>
        <v>8</v>
      </c>
    </row>
    <row r="5">
      <c r="A5" s="152"/>
      <c r="B5" s="153"/>
      <c r="C5" s="153"/>
      <c r="D5" s="154"/>
      <c r="E5" s="154"/>
      <c r="F5" s="155"/>
      <c r="G5" s="155"/>
      <c r="H5" s="155"/>
      <c r="I5" s="156"/>
      <c r="J5" s="156"/>
      <c r="K5" s="155"/>
      <c r="L5" s="156" t="s">
        <v>125</v>
      </c>
      <c r="M5" s="156" t="s">
        <v>126</v>
      </c>
    </row>
    <row r="6">
      <c r="A6" s="152"/>
      <c r="B6" s="153"/>
      <c r="C6" s="153"/>
      <c r="D6" s="154"/>
      <c r="E6" s="154"/>
      <c r="F6" s="155"/>
      <c r="G6" s="155">
        <f>sum(L6:AH6)</f>
        <v>250000</v>
      </c>
      <c r="H6" s="156"/>
      <c r="I6" s="156"/>
      <c r="J6" s="156"/>
      <c r="K6" s="156" t="s">
        <v>65</v>
      </c>
      <c r="L6" s="156">
        <v>230000.0</v>
      </c>
      <c r="M6" s="156">
        <v>20000.0</v>
      </c>
    </row>
    <row r="7">
      <c r="A7" s="152"/>
      <c r="B7" s="153"/>
      <c r="C7" s="153"/>
      <c r="D7" s="154"/>
      <c r="E7" s="154"/>
      <c r="F7" s="155"/>
      <c r="G7" s="155"/>
      <c r="H7" s="156"/>
      <c r="I7" s="155"/>
      <c r="J7" s="155"/>
      <c r="K7" s="156" t="s">
        <v>127</v>
      </c>
      <c r="L7" s="158">
        <f t="shared" ref="L7:M7" si="2">round(L6+B9,0)</f>
        <v>242012</v>
      </c>
      <c r="M7" s="158">
        <f t="shared" si="2"/>
        <v>20631</v>
      </c>
    </row>
    <row r="8">
      <c r="A8" s="159"/>
      <c r="B8" s="160"/>
      <c r="C8" s="160"/>
      <c r="D8" s="161"/>
      <c r="E8" s="161"/>
      <c r="F8" s="156"/>
      <c r="G8" s="156"/>
      <c r="H8" s="156"/>
      <c r="I8" s="156"/>
      <c r="J8" s="156"/>
      <c r="K8" s="156"/>
      <c r="L8" s="156"/>
      <c r="M8" s="155"/>
    </row>
    <row r="9">
      <c r="A9" s="159"/>
      <c r="B9" s="160">
        <f t="shared" ref="B9:C9" si="3">sum(B11:B1003)</f>
        <v>12011.84272</v>
      </c>
      <c r="C9" s="160">
        <f t="shared" si="3"/>
        <v>631.36728</v>
      </c>
      <c r="D9" s="161"/>
      <c r="E9" s="161"/>
      <c r="F9" s="156"/>
      <c r="G9" s="156"/>
      <c r="H9" s="156"/>
      <c r="I9" s="156"/>
      <c r="J9" s="156"/>
      <c r="K9" s="156"/>
      <c r="L9" s="156"/>
      <c r="M9" s="155"/>
    </row>
    <row r="10">
      <c r="A10" s="159" t="s">
        <v>128</v>
      </c>
      <c r="B10" s="153" t="str">
        <f t="shared" ref="B10:C10" si="4">L10</f>
        <v>Aditya</v>
      </c>
      <c r="C10" s="153" t="str">
        <f t="shared" si="4"/>
        <v>Laxmi Narayana</v>
      </c>
      <c r="D10" s="161" t="s">
        <v>129</v>
      </c>
      <c r="E10" s="161" t="s">
        <v>130</v>
      </c>
      <c r="F10" s="156" t="s">
        <v>65</v>
      </c>
      <c r="G10" s="156" t="s">
        <v>131</v>
      </c>
      <c r="H10" s="156" t="s">
        <v>132</v>
      </c>
      <c r="I10" s="156" t="s">
        <v>133</v>
      </c>
      <c r="J10" s="156" t="s">
        <v>134</v>
      </c>
      <c r="K10" s="156" t="s">
        <v>135</v>
      </c>
      <c r="L10" s="156" t="str">
        <f t="shared" ref="L10:M10" si="5">L5</f>
        <v>Aditya</v>
      </c>
      <c r="M10" s="155" t="str">
        <f t="shared" si="5"/>
        <v>Laxmi Narayana</v>
      </c>
    </row>
    <row r="11">
      <c r="A11" s="162">
        <f>if(H11&gt;0,M11*10%,0)</f>
        <v>0</v>
      </c>
      <c r="B11" s="153">
        <v>3047.08</v>
      </c>
      <c r="C11" s="153">
        <v>0.0</v>
      </c>
      <c r="D11" s="163">
        <v>45811.0</v>
      </c>
      <c r="E11" s="161" t="s">
        <v>136</v>
      </c>
      <c r="F11" s="156"/>
      <c r="G11" s="156"/>
      <c r="H11" s="156">
        <v>3273.4</v>
      </c>
      <c r="I11" s="156">
        <v>146.32</v>
      </c>
      <c r="J11" s="156">
        <v>80.0</v>
      </c>
      <c r="K11" s="155">
        <v>3047.08</v>
      </c>
      <c r="L11" s="155">
        <v>3047.08</v>
      </c>
      <c r="M11" s="156">
        <v>0.0</v>
      </c>
      <c r="P11" s="164">
        <v>45811.0</v>
      </c>
      <c r="Q11" s="165">
        <v>4.0</v>
      </c>
      <c r="R11" s="166">
        <v>3273.4</v>
      </c>
      <c r="S11" s="166">
        <v>3047.08</v>
      </c>
      <c r="T11" s="167">
        <v>146.32</v>
      </c>
      <c r="AI11" s="168"/>
    </row>
    <row r="12">
      <c r="A12" s="152">
        <v>23.673120000000004</v>
      </c>
      <c r="B12" s="153">
        <v>2746.08192</v>
      </c>
      <c r="C12" s="153">
        <v>213.05808000000002</v>
      </c>
      <c r="D12" s="163">
        <v>45812.0</v>
      </c>
      <c r="E12" s="161" t="s">
        <v>137</v>
      </c>
      <c r="F12" s="156">
        <v>238560.0</v>
      </c>
      <c r="G12" s="156">
        <v>47616.76646706587</v>
      </c>
      <c r="H12" s="156">
        <v>3091.3</v>
      </c>
      <c r="I12" s="156">
        <v>92.16</v>
      </c>
      <c r="J12" s="156">
        <v>40.0</v>
      </c>
      <c r="K12" s="156">
        <v>2959.15</v>
      </c>
      <c r="L12" s="155">
        <v>2722.4088</v>
      </c>
      <c r="M12" s="155">
        <v>236.73120000000003</v>
      </c>
      <c r="P12" s="164">
        <v>45812.0</v>
      </c>
      <c r="Q12" s="169">
        <v>2.0</v>
      </c>
      <c r="R12" s="170">
        <v>3091.3</v>
      </c>
      <c r="S12" s="170">
        <v>2959.15</v>
      </c>
      <c r="T12" s="171">
        <v>92.16</v>
      </c>
      <c r="AI12" s="168"/>
    </row>
    <row r="13">
      <c r="A13" s="152">
        <v>0.0</v>
      </c>
      <c r="B13" s="153">
        <v>-584.9728</v>
      </c>
      <c r="C13" s="153">
        <v>-50.867200000000004</v>
      </c>
      <c r="D13" s="163">
        <v>45813.0</v>
      </c>
      <c r="E13" s="161" t="s">
        <v>138</v>
      </c>
      <c r="F13" s="156">
        <v>187800.0</v>
      </c>
      <c r="G13" s="156">
        <v>37485.02994011976</v>
      </c>
      <c r="H13" s="156">
        <v>-521.6</v>
      </c>
      <c r="I13" s="156">
        <v>74.24</v>
      </c>
      <c r="J13" s="156">
        <v>40.0</v>
      </c>
      <c r="K13" s="155">
        <v>-635.84</v>
      </c>
      <c r="L13" s="155">
        <v>-584.9728</v>
      </c>
      <c r="M13" s="155">
        <v>-50.867200000000004</v>
      </c>
      <c r="P13" s="164">
        <v>45813.0</v>
      </c>
      <c r="Q13" s="169">
        <v>2.0</v>
      </c>
      <c r="R13" s="172">
        <v>-521.6</v>
      </c>
      <c r="S13" s="172">
        <v>-635.84</v>
      </c>
      <c r="T13" s="171">
        <v>74.24</v>
      </c>
      <c r="AI13" s="168"/>
    </row>
    <row r="14">
      <c r="A14" s="152">
        <v>63.46624</v>
      </c>
      <c r="B14" s="153">
        <v>7362.08384</v>
      </c>
      <c r="C14" s="153">
        <v>571.19616</v>
      </c>
      <c r="D14" s="163">
        <v>45814.0</v>
      </c>
      <c r="E14" s="161" t="s">
        <v>139</v>
      </c>
      <c r="F14" s="156"/>
      <c r="G14" s="156"/>
      <c r="H14" s="156">
        <v>8195.0</v>
      </c>
      <c r="I14" s="156">
        <v>181.72</v>
      </c>
      <c r="J14" s="156">
        <v>80.0</v>
      </c>
      <c r="K14" s="155">
        <v>7933.28</v>
      </c>
      <c r="L14" s="155">
        <v>7298.6176000000005</v>
      </c>
      <c r="M14" s="155">
        <v>634.6623999999999</v>
      </c>
      <c r="P14" s="164">
        <v>45814.0</v>
      </c>
      <c r="Q14" s="169">
        <v>4.0</v>
      </c>
      <c r="R14" s="170">
        <v>8195.0</v>
      </c>
      <c r="S14" s="170">
        <v>7933.28</v>
      </c>
      <c r="T14" s="171">
        <v>181.72</v>
      </c>
      <c r="AI14" s="168"/>
    </row>
    <row r="15">
      <c r="A15" s="152">
        <v>17.114</v>
      </c>
      <c r="B15" s="153">
        <v>1985.224</v>
      </c>
      <c r="C15" s="153">
        <v>154.02599999999998</v>
      </c>
      <c r="D15" s="163">
        <v>45817.0</v>
      </c>
      <c r="E15" s="161" t="s">
        <v>140</v>
      </c>
      <c r="F15" s="156"/>
      <c r="G15" s="156"/>
      <c r="H15" s="156">
        <v>2276.4</v>
      </c>
      <c r="I15" s="156">
        <v>97.15</v>
      </c>
      <c r="J15" s="156">
        <v>40.0</v>
      </c>
      <c r="K15" s="155">
        <v>2139.25</v>
      </c>
      <c r="L15" s="155">
        <v>1968.11</v>
      </c>
      <c r="M15" s="155">
        <v>171.14</v>
      </c>
      <c r="P15" s="164">
        <v>45817.0</v>
      </c>
      <c r="Q15" s="169">
        <v>2.0</v>
      </c>
      <c r="R15" s="170">
        <v>2276.4</v>
      </c>
      <c r="S15" s="170">
        <v>2139.25</v>
      </c>
      <c r="T15" s="173" t="s">
        <v>141</v>
      </c>
      <c r="AI15" s="168"/>
    </row>
    <row r="16">
      <c r="A16" s="162">
        <f t="shared" ref="A16:A1003" si="7">if(H16&gt;0,M16*10%,0)</f>
        <v>6.7064</v>
      </c>
      <c r="B16" s="174">
        <f t="shared" ref="B16:B1003" si="8">L16+A16</f>
        <v>777.9424</v>
      </c>
      <c r="C16" s="174">
        <f t="shared" ref="C16:C1003" si="9">M16-A16</f>
        <v>60.3576</v>
      </c>
      <c r="D16" s="175">
        <v>45820.0</v>
      </c>
      <c r="E16" s="176"/>
      <c r="F16" s="177"/>
      <c r="G16" s="177"/>
      <c r="H16" s="178">
        <v>1250.98</v>
      </c>
      <c r="I16" s="177"/>
      <c r="J16" s="177"/>
      <c r="K16" s="179">
        <v>838.3</v>
      </c>
      <c r="L16" s="180">
        <f t="shared" ref="L16:M16" si="6">$K16*L$4/100</f>
        <v>771.236</v>
      </c>
      <c r="M16" s="180">
        <f t="shared" si="6"/>
        <v>67.064</v>
      </c>
      <c r="P16" s="164">
        <v>45820.0</v>
      </c>
      <c r="Q16" s="169">
        <v>6.0</v>
      </c>
      <c r="R16" s="170">
        <v>1250.98</v>
      </c>
      <c r="S16" s="172">
        <v>838.3</v>
      </c>
      <c r="T16" s="173" t="s">
        <v>142</v>
      </c>
      <c r="AI16" s="168"/>
    </row>
    <row r="17">
      <c r="A17" s="162">
        <f t="shared" si="7"/>
        <v>25.36336</v>
      </c>
      <c r="B17" s="174">
        <f t="shared" si="8"/>
        <v>2942.14976</v>
      </c>
      <c r="C17" s="174">
        <f t="shared" si="9"/>
        <v>228.27024</v>
      </c>
      <c r="D17" s="175">
        <v>45832.0</v>
      </c>
      <c r="E17" s="176"/>
      <c r="F17" s="177"/>
      <c r="G17" s="177"/>
      <c r="H17" s="178">
        <v>3691.37</v>
      </c>
      <c r="I17" s="177"/>
      <c r="J17" s="177"/>
      <c r="K17" s="179">
        <v>3170.42</v>
      </c>
      <c r="L17" s="180">
        <f t="shared" ref="L17:M17" si="10">$K17*L$4/100</f>
        <v>2916.7864</v>
      </c>
      <c r="M17" s="180">
        <f t="shared" si="10"/>
        <v>253.6336</v>
      </c>
      <c r="P17" s="164">
        <v>45832.0</v>
      </c>
      <c r="Q17" s="169">
        <v>8.0</v>
      </c>
      <c r="R17" s="170">
        <v>3691.37</v>
      </c>
      <c r="S17" s="170">
        <v>3170.42</v>
      </c>
      <c r="T17" s="173" t="s">
        <v>143</v>
      </c>
      <c r="AI17" s="168"/>
    </row>
    <row r="18">
      <c r="A18" s="162">
        <f t="shared" si="7"/>
        <v>0</v>
      </c>
      <c r="B18" s="174">
        <f t="shared" si="8"/>
        <v>-6263.7464</v>
      </c>
      <c r="C18" s="174">
        <f t="shared" si="9"/>
        <v>-544.6736</v>
      </c>
      <c r="D18" s="175">
        <v>45835.0</v>
      </c>
      <c r="E18" s="176"/>
      <c r="F18" s="177"/>
      <c r="G18" s="177"/>
      <c r="H18" s="178">
        <v>-6280.08</v>
      </c>
      <c r="I18" s="177"/>
      <c r="J18" s="177"/>
      <c r="K18" s="179">
        <v>-6808.42</v>
      </c>
      <c r="L18" s="180">
        <f t="shared" ref="L18:M18" si="11">$K18*L$4/100</f>
        <v>-6263.7464</v>
      </c>
      <c r="M18" s="180">
        <f t="shared" si="11"/>
        <v>-544.6736</v>
      </c>
      <c r="P18" s="181">
        <v>45835.0</v>
      </c>
      <c r="Q18" s="182">
        <v>8.0</v>
      </c>
      <c r="R18" s="183">
        <v>-6280.08</v>
      </c>
      <c r="S18" s="183">
        <v>-6808.42</v>
      </c>
      <c r="T18" s="184" t="s">
        <v>144</v>
      </c>
      <c r="AI18" s="168"/>
    </row>
    <row r="19">
      <c r="A19" s="162">
        <f t="shared" si="7"/>
        <v>0</v>
      </c>
      <c r="B19" s="174">
        <f t="shared" si="8"/>
        <v>0</v>
      </c>
      <c r="C19" s="174">
        <f t="shared" si="9"/>
        <v>0</v>
      </c>
      <c r="D19" s="185"/>
      <c r="E19" s="176"/>
      <c r="F19" s="177"/>
      <c r="G19" s="177"/>
      <c r="H19" s="177"/>
      <c r="I19" s="177"/>
      <c r="J19" s="177"/>
      <c r="K19" s="180">
        <v>0.0</v>
      </c>
      <c r="L19" s="180">
        <f t="shared" ref="L19:M19" si="12">$K19*L$4/100</f>
        <v>0</v>
      </c>
      <c r="M19" s="180">
        <f t="shared" si="12"/>
        <v>0</v>
      </c>
      <c r="AI19" s="168"/>
    </row>
    <row r="20">
      <c r="A20" s="162">
        <f t="shared" si="7"/>
        <v>0</v>
      </c>
      <c r="B20" s="174">
        <f t="shared" si="8"/>
        <v>0</v>
      </c>
      <c r="C20" s="174">
        <f t="shared" si="9"/>
        <v>0</v>
      </c>
      <c r="D20" s="185"/>
      <c r="E20" s="176"/>
      <c r="F20" s="177"/>
      <c r="G20" s="177"/>
      <c r="H20" s="177"/>
      <c r="I20" s="177"/>
      <c r="J20" s="177"/>
      <c r="K20" s="180">
        <v>0.0</v>
      </c>
      <c r="L20" s="180">
        <f t="shared" ref="L20:M20" si="13">$K20*L$4/100</f>
        <v>0</v>
      </c>
      <c r="M20" s="180">
        <f t="shared" si="13"/>
        <v>0</v>
      </c>
      <c r="AI20" s="168"/>
    </row>
    <row r="21">
      <c r="A21" s="162">
        <f t="shared" si="7"/>
        <v>0</v>
      </c>
      <c r="B21" s="174">
        <f t="shared" si="8"/>
        <v>0</v>
      </c>
      <c r="C21" s="174">
        <f t="shared" si="9"/>
        <v>0</v>
      </c>
      <c r="D21" s="185"/>
      <c r="E21" s="176"/>
      <c r="F21" s="177"/>
      <c r="G21" s="177"/>
      <c r="H21" s="177"/>
      <c r="I21" s="177"/>
      <c r="J21" s="177"/>
      <c r="K21" s="180">
        <v>0.0</v>
      </c>
      <c r="L21" s="180">
        <f t="shared" ref="L21:M21" si="14">$K21*L$4/100</f>
        <v>0</v>
      </c>
      <c r="M21" s="180">
        <f t="shared" si="14"/>
        <v>0</v>
      </c>
      <c r="AI21" s="168"/>
    </row>
    <row r="22">
      <c r="A22" s="152">
        <f t="shared" si="7"/>
        <v>0</v>
      </c>
      <c r="B22" s="153">
        <f t="shared" si="8"/>
        <v>0</v>
      </c>
      <c r="C22" s="153">
        <f t="shared" si="9"/>
        <v>0</v>
      </c>
      <c r="D22" s="186"/>
      <c r="E22" s="161"/>
      <c r="F22" s="156"/>
      <c r="G22" s="156"/>
      <c r="H22" s="156"/>
      <c r="I22" s="156"/>
      <c r="J22" s="156"/>
      <c r="K22" s="155">
        <v>0.0</v>
      </c>
      <c r="L22" s="155">
        <f t="shared" ref="L22:M22" si="15">$K22*L$4/100</f>
        <v>0</v>
      </c>
      <c r="M22" s="155">
        <f t="shared" si="15"/>
        <v>0</v>
      </c>
      <c r="AI22" s="168"/>
    </row>
    <row r="23">
      <c r="A23" s="152">
        <f t="shared" si="7"/>
        <v>0</v>
      </c>
      <c r="B23" s="153">
        <f t="shared" si="8"/>
        <v>0</v>
      </c>
      <c r="C23" s="153">
        <f t="shared" si="9"/>
        <v>0</v>
      </c>
      <c r="D23" s="186"/>
      <c r="E23" s="161"/>
      <c r="F23" s="156"/>
      <c r="G23" s="156"/>
      <c r="H23" s="156"/>
      <c r="I23" s="156"/>
      <c r="J23" s="156"/>
      <c r="K23" s="155">
        <v>0.0</v>
      </c>
      <c r="L23" s="155">
        <f t="shared" ref="L23:M23" si="16">$K23*L$4/100</f>
        <v>0</v>
      </c>
      <c r="M23" s="155">
        <f t="shared" si="16"/>
        <v>0</v>
      </c>
      <c r="AI23" s="168"/>
    </row>
    <row r="24">
      <c r="A24" s="152">
        <f t="shared" si="7"/>
        <v>0</v>
      </c>
      <c r="B24" s="153">
        <f t="shared" si="8"/>
        <v>0</v>
      </c>
      <c r="C24" s="153">
        <f t="shared" si="9"/>
        <v>0</v>
      </c>
      <c r="D24" s="186"/>
      <c r="E24" s="161"/>
      <c r="F24" s="156"/>
      <c r="G24" s="156"/>
      <c r="H24" s="156"/>
      <c r="I24" s="156"/>
      <c r="J24" s="156"/>
      <c r="K24" s="155">
        <v>0.0</v>
      </c>
      <c r="L24" s="155">
        <f t="shared" ref="L24:M24" si="17">$K24*L$4/100</f>
        <v>0</v>
      </c>
      <c r="M24" s="155">
        <f t="shared" si="17"/>
        <v>0</v>
      </c>
      <c r="AI24" s="168"/>
    </row>
    <row r="25">
      <c r="A25" s="152">
        <f t="shared" si="7"/>
        <v>0</v>
      </c>
      <c r="B25" s="153">
        <f t="shared" si="8"/>
        <v>0</v>
      </c>
      <c r="C25" s="153">
        <f t="shared" si="9"/>
        <v>0</v>
      </c>
      <c r="D25" s="186"/>
      <c r="E25" s="161"/>
      <c r="F25" s="156"/>
      <c r="G25" s="156"/>
      <c r="H25" s="156"/>
      <c r="I25" s="156"/>
      <c r="J25" s="156"/>
      <c r="K25" s="155">
        <v>0.0</v>
      </c>
      <c r="L25" s="155">
        <f t="shared" ref="L25:M25" si="18">$K25*L$4/100</f>
        <v>0</v>
      </c>
      <c r="M25" s="155">
        <f t="shared" si="18"/>
        <v>0</v>
      </c>
      <c r="AI25" s="168"/>
    </row>
    <row r="26">
      <c r="A26" s="152">
        <f t="shared" si="7"/>
        <v>0</v>
      </c>
      <c r="B26" s="153">
        <f t="shared" si="8"/>
        <v>0</v>
      </c>
      <c r="C26" s="153">
        <f t="shared" si="9"/>
        <v>0</v>
      </c>
      <c r="D26" s="186"/>
      <c r="E26" s="161"/>
      <c r="F26" s="156"/>
      <c r="G26" s="156"/>
      <c r="H26" s="156"/>
      <c r="I26" s="156"/>
      <c r="J26" s="156"/>
      <c r="K26" s="155">
        <v>0.0</v>
      </c>
      <c r="L26" s="155">
        <f t="shared" ref="L26:M26" si="19">$K26*L$4/100</f>
        <v>0</v>
      </c>
      <c r="M26" s="155">
        <f t="shared" si="19"/>
        <v>0</v>
      </c>
      <c r="AI26" s="168"/>
    </row>
    <row r="27">
      <c r="A27" s="152">
        <f t="shared" si="7"/>
        <v>0</v>
      </c>
      <c r="B27" s="153">
        <f t="shared" si="8"/>
        <v>0</v>
      </c>
      <c r="C27" s="153">
        <f t="shared" si="9"/>
        <v>0</v>
      </c>
      <c r="D27" s="186"/>
      <c r="E27" s="161"/>
      <c r="F27" s="156"/>
      <c r="G27" s="156"/>
      <c r="H27" s="156"/>
      <c r="I27" s="156"/>
      <c r="J27" s="156"/>
      <c r="K27" s="155">
        <v>0.0</v>
      </c>
      <c r="L27" s="155">
        <f t="shared" ref="L27:M27" si="20">$K27*L$4/100</f>
        <v>0</v>
      </c>
      <c r="M27" s="155">
        <f t="shared" si="20"/>
        <v>0</v>
      </c>
      <c r="AI27" s="168"/>
    </row>
    <row r="28">
      <c r="A28" s="152">
        <f t="shared" si="7"/>
        <v>0</v>
      </c>
      <c r="B28" s="153">
        <f t="shared" si="8"/>
        <v>0</v>
      </c>
      <c r="C28" s="153">
        <f t="shared" si="9"/>
        <v>0</v>
      </c>
      <c r="D28" s="186"/>
      <c r="E28" s="161"/>
      <c r="F28" s="156"/>
      <c r="G28" s="156"/>
      <c r="H28" s="156"/>
      <c r="I28" s="156"/>
      <c r="J28" s="156"/>
      <c r="K28" s="155">
        <v>0.0</v>
      </c>
      <c r="L28" s="155">
        <f t="shared" ref="L28:M28" si="21">$K28*L$4/100</f>
        <v>0</v>
      </c>
      <c r="M28" s="155">
        <f t="shared" si="21"/>
        <v>0</v>
      </c>
      <c r="AI28" s="168"/>
    </row>
    <row r="29">
      <c r="A29" s="152">
        <f t="shared" si="7"/>
        <v>0</v>
      </c>
      <c r="B29" s="153">
        <f t="shared" si="8"/>
        <v>0</v>
      </c>
      <c r="C29" s="153">
        <f t="shared" si="9"/>
        <v>0</v>
      </c>
      <c r="D29" s="186"/>
      <c r="E29" s="161"/>
      <c r="F29" s="156"/>
      <c r="G29" s="156"/>
      <c r="H29" s="156"/>
      <c r="I29" s="156"/>
      <c r="J29" s="156"/>
      <c r="K29" s="155">
        <v>0.0</v>
      </c>
      <c r="L29" s="155">
        <f t="shared" ref="L29:M29" si="22">$K29*L$4/100</f>
        <v>0</v>
      </c>
      <c r="M29" s="155">
        <f t="shared" si="22"/>
        <v>0</v>
      </c>
      <c r="AI29" s="168"/>
    </row>
    <row r="30">
      <c r="A30" s="152">
        <f t="shared" si="7"/>
        <v>0</v>
      </c>
      <c r="B30" s="153">
        <f t="shared" si="8"/>
        <v>0</v>
      </c>
      <c r="C30" s="153">
        <f t="shared" si="9"/>
        <v>0</v>
      </c>
      <c r="D30" s="186"/>
      <c r="E30" s="161"/>
      <c r="F30" s="156"/>
      <c r="G30" s="156"/>
      <c r="H30" s="156"/>
      <c r="I30" s="156"/>
      <c r="J30" s="156"/>
      <c r="K30" s="155">
        <v>0.0</v>
      </c>
      <c r="L30" s="155">
        <f t="shared" ref="L30:M30" si="23">$K30*L$4/100</f>
        <v>0</v>
      </c>
      <c r="M30" s="155">
        <f t="shared" si="23"/>
        <v>0</v>
      </c>
      <c r="AI30" s="168"/>
    </row>
    <row r="31">
      <c r="A31" s="152">
        <f t="shared" si="7"/>
        <v>0</v>
      </c>
      <c r="B31" s="153">
        <f t="shared" si="8"/>
        <v>0</v>
      </c>
      <c r="C31" s="153">
        <f t="shared" si="9"/>
        <v>0</v>
      </c>
      <c r="D31" s="186"/>
      <c r="E31" s="161"/>
      <c r="F31" s="156"/>
      <c r="G31" s="156"/>
      <c r="H31" s="156"/>
      <c r="I31" s="156"/>
      <c r="J31" s="156"/>
      <c r="K31" s="155">
        <v>0.0</v>
      </c>
      <c r="L31" s="155">
        <f t="shared" ref="L31:M31" si="24">$K31*L$4/100</f>
        <v>0</v>
      </c>
      <c r="M31" s="155">
        <f t="shared" si="24"/>
        <v>0</v>
      </c>
      <c r="AI31" s="168"/>
    </row>
    <row r="32">
      <c r="A32" s="152">
        <f t="shared" si="7"/>
        <v>0</v>
      </c>
      <c r="B32" s="153">
        <f t="shared" si="8"/>
        <v>0</v>
      </c>
      <c r="C32" s="153">
        <f t="shared" si="9"/>
        <v>0</v>
      </c>
      <c r="D32" s="186"/>
      <c r="E32" s="161"/>
      <c r="F32" s="156"/>
      <c r="G32" s="156"/>
      <c r="H32" s="156"/>
      <c r="I32" s="156"/>
      <c r="J32" s="156"/>
      <c r="K32" s="155">
        <v>0.0</v>
      </c>
      <c r="L32" s="155">
        <f t="shared" ref="L32:M32" si="25">$K32*L$4/100</f>
        <v>0</v>
      </c>
      <c r="M32" s="155">
        <f t="shared" si="25"/>
        <v>0</v>
      </c>
      <c r="AI32" s="168"/>
    </row>
    <row r="33">
      <c r="A33" s="152">
        <f t="shared" si="7"/>
        <v>0</v>
      </c>
      <c r="B33" s="153">
        <f t="shared" si="8"/>
        <v>0</v>
      </c>
      <c r="C33" s="153">
        <f t="shared" si="9"/>
        <v>0</v>
      </c>
      <c r="D33" s="186"/>
      <c r="E33" s="161"/>
      <c r="F33" s="156"/>
      <c r="G33" s="156"/>
      <c r="H33" s="156"/>
      <c r="I33" s="156"/>
      <c r="J33" s="156"/>
      <c r="K33" s="155">
        <v>0.0</v>
      </c>
      <c r="L33" s="155">
        <f t="shared" ref="L33:M33" si="26">$K33*L$4/100</f>
        <v>0</v>
      </c>
      <c r="M33" s="155">
        <f t="shared" si="26"/>
        <v>0</v>
      </c>
      <c r="AI33" s="168"/>
    </row>
    <row r="34">
      <c r="A34" s="152">
        <f t="shared" si="7"/>
        <v>0</v>
      </c>
      <c r="B34" s="153">
        <f t="shared" si="8"/>
        <v>0</v>
      </c>
      <c r="C34" s="153">
        <f t="shared" si="9"/>
        <v>0</v>
      </c>
      <c r="D34" s="186"/>
      <c r="E34" s="161"/>
      <c r="F34" s="156"/>
      <c r="G34" s="156"/>
      <c r="H34" s="156"/>
      <c r="I34" s="156"/>
      <c r="J34" s="156"/>
      <c r="K34" s="155">
        <v>0.0</v>
      </c>
      <c r="L34" s="155">
        <f t="shared" ref="L34:M34" si="27">$K34*L$4/100</f>
        <v>0</v>
      </c>
      <c r="M34" s="155">
        <f t="shared" si="27"/>
        <v>0</v>
      </c>
      <c r="AI34" s="168"/>
    </row>
    <row r="35">
      <c r="A35" s="152">
        <f t="shared" si="7"/>
        <v>0</v>
      </c>
      <c r="B35" s="153">
        <f t="shared" si="8"/>
        <v>0</v>
      </c>
      <c r="C35" s="153">
        <f t="shared" si="9"/>
        <v>0</v>
      </c>
      <c r="D35" s="186"/>
      <c r="E35" s="161"/>
      <c r="F35" s="156"/>
      <c r="G35" s="156"/>
      <c r="H35" s="156"/>
      <c r="I35" s="156"/>
      <c r="J35" s="156"/>
      <c r="K35" s="155">
        <v>0.0</v>
      </c>
      <c r="L35" s="155">
        <f t="shared" ref="L35:M35" si="28">$K35*L$4/100</f>
        <v>0</v>
      </c>
      <c r="M35" s="155">
        <f t="shared" si="28"/>
        <v>0</v>
      </c>
      <c r="AI35" s="168"/>
    </row>
    <row r="36">
      <c r="A36" s="152">
        <f t="shared" si="7"/>
        <v>0</v>
      </c>
      <c r="B36" s="153">
        <f t="shared" si="8"/>
        <v>0</v>
      </c>
      <c r="C36" s="153">
        <f t="shared" si="9"/>
        <v>0</v>
      </c>
      <c r="D36" s="186"/>
      <c r="E36" s="161"/>
      <c r="F36" s="156"/>
      <c r="G36" s="156"/>
      <c r="H36" s="156"/>
      <c r="I36" s="156"/>
      <c r="J36" s="156"/>
      <c r="K36" s="155">
        <v>0.0</v>
      </c>
      <c r="L36" s="155">
        <f t="shared" ref="L36:M36" si="29">$K36*L$4/100</f>
        <v>0</v>
      </c>
      <c r="M36" s="155">
        <f t="shared" si="29"/>
        <v>0</v>
      </c>
    </row>
    <row r="37">
      <c r="A37" s="152">
        <f t="shared" si="7"/>
        <v>0</v>
      </c>
      <c r="B37" s="153">
        <f t="shared" si="8"/>
        <v>0</v>
      </c>
      <c r="C37" s="153">
        <f t="shared" si="9"/>
        <v>0</v>
      </c>
      <c r="D37" s="186"/>
      <c r="E37" s="161"/>
      <c r="F37" s="156"/>
      <c r="G37" s="156"/>
      <c r="H37" s="156"/>
      <c r="I37" s="156"/>
      <c r="J37" s="156"/>
      <c r="K37" s="155">
        <v>0.0</v>
      </c>
      <c r="L37" s="155">
        <f t="shared" ref="L37:M37" si="30">$K37*L$4/100</f>
        <v>0</v>
      </c>
      <c r="M37" s="155">
        <f t="shared" si="30"/>
        <v>0</v>
      </c>
    </row>
    <row r="38">
      <c r="A38" s="152">
        <f t="shared" si="7"/>
        <v>0</v>
      </c>
      <c r="B38" s="153">
        <f t="shared" si="8"/>
        <v>0</v>
      </c>
      <c r="C38" s="153">
        <f t="shared" si="9"/>
        <v>0</v>
      </c>
      <c r="D38" s="186"/>
      <c r="E38" s="161"/>
      <c r="F38" s="156"/>
      <c r="G38" s="156"/>
      <c r="H38" s="156"/>
      <c r="I38" s="156"/>
      <c r="J38" s="156"/>
      <c r="K38" s="155">
        <v>0.0</v>
      </c>
      <c r="L38" s="155">
        <f t="shared" ref="L38:M38" si="31">$K38*L$4/100</f>
        <v>0</v>
      </c>
      <c r="M38" s="155">
        <f t="shared" si="31"/>
        <v>0</v>
      </c>
    </row>
    <row r="39">
      <c r="A39" s="152">
        <f t="shared" si="7"/>
        <v>0</v>
      </c>
      <c r="B39" s="153">
        <f t="shared" si="8"/>
        <v>0</v>
      </c>
      <c r="C39" s="153">
        <f t="shared" si="9"/>
        <v>0</v>
      </c>
      <c r="D39" s="186"/>
      <c r="E39" s="161"/>
      <c r="F39" s="156"/>
      <c r="G39" s="156"/>
      <c r="H39" s="156"/>
      <c r="I39" s="156"/>
      <c r="J39" s="156"/>
      <c r="K39" s="155">
        <v>0.0</v>
      </c>
      <c r="L39" s="155">
        <f t="shared" ref="L39:M39" si="32">$K39*L$4/100</f>
        <v>0</v>
      </c>
      <c r="M39" s="155">
        <f t="shared" si="32"/>
        <v>0</v>
      </c>
    </row>
    <row r="40">
      <c r="A40" s="152">
        <f t="shared" si="7"/>
        <v>0</v>
      </c>
      <c r="B40" s="153">
        <f t="shared" si="8"/>
        <v>0</v>
      </c>
      <c r="C40" s="153">
        <f t="shared" si="9"/>
        <v>0</v>
      </c>
      <c r="D40" s="186"/>
      <c r="E40" s="161"/>
      <c r="F40" s="156"/>
      <c r="G40" s="156"/>
      <c r="H40" s="156"/>
      <c r="I40" s="156"/>
      <c r="J40" s="156"/>
      <c r="K40" s="155">
        <v>0.0</v>
      </c>
      <c r="L40" s="155">
        <f t="shared" ref="L40:M40" si="33">$K40*L$4/100</f>
        <v>0</v>
      </c>
      <c r="M40" s="155">
        <f t="shared" si="33"/>
        <v>0</v>
      </c>
    </row>
    <row r="41">
      <c r="A41" s="152">
        <f t="shared" si="7"/>
        <v>0</v>
      </c>
      <c r="B41" s="153">
        <f t="shared" si="8"/>
        <v>0</v>
      </c>
      <c r="C41" s="153">
        <f t="shared" si="9"/>
        <v>0</v>
      </c>
      <c r="D41" s="186"/>
      <c r="E41" s="161"/>
      <c r="F41" s="156"/>
      <c r="G41" s="156"/>
      <c r="H41" s="156"/>
      <c r="I41" s="156"/>
      <c r="J41" s="156"/>
      <c r="K41" s="155">
        <v>0.0</v>
      </c>
      <c r="L41" s="155">
        <f t="shared" ref="L41:M41" si="34">$K41*L$4/100</f>
        <v>0</v>
      </c>
      <c r="M41" s="155">
        <f t="shared" si="34"/>
        <v>0</v>
      </c>
    </row>
    <row r="42">
      <c r="A42" s="152">
        <f t="shared" si="7"/>
        <v>0</v>
      </c>
      <c r="B42" s="153">
        <f t="shared" si="8"/>
        <v>0</v>
      </c>
      <c r="C42" s="153">
        <f t="shared" si="9"/>
        <v>0</v>
      </c>
      <c r="D42" s="186"/>
      <c r="E42" s="161"/>
      <c r="F42" s="156"/>
      <c r="G42" s="156"/>
      <c r="H42" s="156"/>
      <c r="I42" s="156"/>
      <c r="J42" s="156"/>
      <c r="K42" s="155">
        <v>0.0</v>
      </c>
      <c r="L42" s="155">
        <f t="shared" ref="L42:M42" si="35">$K42*L$4/100</f>
        <v>0</v>
      </c>
      <c r="M42" s="155">
        <f t="shared" si="35"/>
        <v>0</v>
      </c>
    </row>
    <row r="43">
      <c r="A43" s="152">
        <f t="shared" si="7"/>
        <v>0</v>
      </c>
      <c r="B43" s="153">
        <f t="shared" si="8"/>
        <v>0</v>
      </c>
      <c r="C43" s="153">
        <f t="shared" si="9"/>
        <v>0</v>
      </c>
      <c r="D43" s="186"/>
      <c r="E43" s="161"/>
      <c r="F43" s="156"/>
      <c r="G43" s="156"/>
      <c r="H43" s="156"/>
      <c r="I43" s="156"/>
      <c r="J43" s="156"/>
      <c r="K43" s="155">
        <v>0.0</v>
      </c>
      <c r="L43" s="155">
        <f t="shared" ref="L43:M43" si="36">$K43*L$4/100</f>
        <v>0</v>
      </c>
      <c r="M43" s="155">
        <f t="shared" si="36"/>
        <v>0</v>
      </c>
    </row>
    <row r="44">
      <c r="A44" s="152">
        <f t="shared" si="7"/>
        <v>0</v>
      </c>
      <c r="B44" s="153">
        <f t="shared" si="8"/>
        <v>0</v>
      </c>
      <c r="C44" s="153">
        <f t="shared" si="9"/>
        <v>0</v>
      </c>
      <c r="D44" s="186"/>
      <c r="E44" s="161"/>
      <c r="F44" s="156"/>
      <c r="G44" s="156"/>
      <c r="H44" s="156"/>
      <c r="I44" s="156"/>
      <c r="J44" s="156"/>
      <c r="K44" s="155">
        <v>0.0</v>
      </c>
      <c r="L44" s="155">
        <f t="shared" ref="L44:M44" si="37">$K44*L$4/100</f>
        <v>0</v>
      </c>
      <c r="M44" s="155">
        <f t="shared" si="37"/>
        <v>0</v>
      </c>
    </row>
    <row r="45">
      <c r="A45" s="152">
        <f t="shared" si="7"/>
        <v>0</v>
      </c>
      <c r="B45" s="153">
        <f t="shared" si="8"/>
        <v>0</v>
      </c>
      <c r="C45" s="153">
        <f t="shared" si="9"/>
        <v>0</v>
      </c>
      <c r="D45" s="186"/>
      <c r="E45" s="161"/>
      <c r="F45" s="156"/>
      <c r="G45" s="156"/>
      <c r="H45" s="156"/>
      <c r="I45" s="156"/>
      <c r="J45" s="156"/>
      <c r="K45" s="155">
        <v>0.0</v>
      </c>
      <c r="L45" s="155">
        <f t="shared" ref="L45:M45" si="38">$K45*L$4/100</f>
        <v>0</v>
      </c>
      <c r="M45" s="155">
        <f t="shared" si="38"/>
        <v>0</v>
      </c>
    </row>
    <row r="46">
      <c r="A46" s="152">
        <f t="shared" si="7"/>
        <v>0</v>
      </c>
      <c r="B46" s="153">
        <f t="shared" si="8"/>
        <v>0</v>
      </c>
      <c r="C46" s="153">
        <f t="shared" si="9"/>
        <v>0</v>
      </c>
      <c r="D46" s="186"/>
      <c r="E46" s="161"/>
      <c r="F46" s="156"/>
      <c r="G46" s="156"/>
      <c r="H46" s="156"/>
      <c r="I46" s="156"/>
      <c r="J46" s="156"/>
      <c r="K46" s="155">
        <v>0.0</v>
      </c>
      <c r="L46" s="155">
        <f t="shared" ref="L46:M46" si="39">$K46*L$4/100</f>
        <v>0</v>
      </c>
      <c r="M46" s="155">
        <f t="shared" si="39"/>
        <v>0</v>
      </c>
    </row>
    <row r="47">
      <c r="A47" s="152">
        <f t="shared" si="7"/>
        <v>0</v>
      </c>
      <c r="B47" s="153">
        <f t="shared" si="8"/>
        <v>0</v>
      </c>
      <c r="C47" s="153">
        <f t="shared" si="9"/>
        <v>0</v>
      </c>
      <c r="D47" s="186"/>
      <c r="E47" s="161"/>
      <c r="F47" s="156"/>
      <c r="G47" s="156"/>
      <c r="H47" s="156"/>
      <c r="I47" s="156"/>
      <c r="J47" s="156"/>
      <c r="K47" s="155">
        <v>0.0</v>
      </c>
      <c r="L47" s="155">
        <f t="shared" ref="L47:M47" si="40">$K47*L$4/100</f>
        <v>0</v>
      </c>
      <c r="M47" s="155">
        <f t="shared" si="40"/>
        <v>0</v>
      </c>
    </row>
    <row r="48">
      <c r="A48" s="152">
        <f t="shared" si="7"/>
        <v>0</v>
      </c>
      <c r="B48" s="153">
        <f t="shared" si="8"/>
        <v>0</v>
      </c>
      <c r="C48" s="153">
        <f t="shared" si="9"/>
        <v>0</v>
      </c>
      <c r="D48" s="186"/>
      <c r="E48" s="161"/>
      <c r="F48" s="156"/>
      <c r="G48" s="156"/>
      <c r="H48" s="156"/>
      <c r="I48" s="156"/>
      <c r="J48" s="156"/>
      <c r="K48" s="155">
        <v>0.0</v>
      </c>
      <c r="L48" s="155">
        <f t="shared" ref="L48:M48" si="41">$K48*L$4/100</f>
        <v>0</v>
      </c>
      <c r="M48" s="155">
        <f t="shared" si="41"/>
        <v>0</v>
      </c>
    </row>
    <row r="49">
      <c r="A49" s="152">
        <f t="shared" si="7"/>
        <v>0</v>
      </c>
      <c r="B49" s="153">
        <f t="shared" si="8"/>
        <v>0</v>
      </c>
      <c r="C49" s="153">
        <f t="shared" si="9"/>
        <v>0</v>
      </c>
      <c r="D49" s="186"/>
      <c r="E49" s="161"/>
      <c r="F49" s="156"/>
      <c r="G49" s="156"/>
      <c r="H49" s="156"/>
      <c r="I49" s="156"/>
      <c r="J49" s="156"/>
      <c r="K49" s="155">
        <v>0.0</v>
      </c>
      <c r="L49" s="155">
        <f t="shared" ref="L49:M49" si="42">$K49*L$4/100</f>
        <v>0</v>
      </c>
      <c r="M49" s="155">
        <f t="shared" si="42"/>
        <v>0</v>
      </c>
    </row>
    <row r="50">
      <c r="A50" s="152">
        <f t="shared" si="7"/>
        <v>0</v>
      </c>
      <c r="B50" s="153">
        <f t="shared" si="8"/>
        <v>0</v>
      </c>
      <c r="C50" s="153">
        <f t="shared" si="9"/>
        <v>0</v>
      </c>
      <c r="D50" s="186"/>
      <c r="E50" s="161"/>
      <c r="F50" s="156"/>
      <c r="G50" s="156"/>
      <c r="H50" s="156"/>
      <c r="I50" s="156"/>
      <c r="J50" s="156"/>
      <c r="K50" s="155">
        <v>0.0</v>
      </c>
      <c r="L50" s="155">
        <f t="shared" ref="L50:M50" si="43">$K50*L$4/100</f>
        <v>0</v>
      </c>
      <c r="M50" s="155">
        <f t="shared" si="43"/>
        <v>0</v>
      </c>
    </row>
    <row r="51">
      <c r="A51" s="152">
        <f t="shared" si="7"/>
        <v>0</v>
      </c>
      <c r="B51" s="153">
        <f t="shared" si="8"/>
        <v>0</v>
      </c>
      <c r="C51" s="153">
        <f t="shared" si="9"/>
        <v>0</v>
      </c>
      <c r="D51" s="186"/>
      <c r="E51" s="161"/>
      <c r="F51" s="156"/>
      <c r="G51" s="156"/>
      <c r="H51" s="156"/>
      <c r="I51" s="156"/>
      <c r="J51" s="156"/>
      <c r="K51" s="155">
        <v>0.0</v>
      </c>
      <c r="L51" s="155">
        <f t="shared" ref="L51:M51" si="44">$K51*L$4/100</f>
        <v>0</v>
      </c>
      <c r="M51" s="155">
        <f t="shared" si="44"/>
        <v>0</v>
      </c>
    </row>
    <row r="52">
      <c r="A52" s="152">
        <f t="shared" si="7"/>
        <v>0</v>
      </c>
      <c r="B52" s="153">
        <f t="shared" si="8"/>
        <v>0</v>
      </c>
      <c r="C52" s="153">
        <f t="shared" si="9"/>
        <v>0</v>
      </c>
      <c r="D52" s="186"/>
      <c r="E52" s="161"/>
      <c r="F52" s="156"/>
      <c r="G52" s="156"/>
      <c r="H52" s="156"/>
      <c r="I52" s="156"/>
      <c r="J52" s="156"/>
      <c r="K52" s="155">
        <v>0.0</v>
      </c>
      <c r="L52" s="155">
        <f t="shared" ref="L52:M52" si="45">$K52*L$4/100</f>
        <v>0</v>
      </c>
      <c r="M52" s="155">
        <f t="shared" si="45"/>
        <v>0</v>
      </c>
    </row>
    <row r="53">
      <c r="A53" s="152">
        <f t="shared" si="7"/>
        <v>0</v>
      </c>
      <c r="B53" s="153">
        <f t="shared" si="8"/>
        <v>0</v>
      </c>
      <c r="C53" s="153">
        <f t="shared" si="9"/>
        <v>0</v>
      </c>
      <c r="D53" s="186"/>
      <c r="E53" s="161"/>
      <c r="F53" s="156"/>
      <c r="G53" s="156"/>
      <c r="H53" s="156"/>
      <c r="I53" s="156"/>
      <c r="J53" s="156"/>
      <c r="K53" s="155">
        <v>0.0</v>
      </c>
      <c r="L53" s="155">
        <f t="shared" ref="L53:M53" si="46">$K53*L$4/100</f>
        <v>0</v>
      </c>
      <c r="M53" s="155">
        <f t="shared" si="46"/>
        <v>0</v>
      </c>
    </row>
    <row r="54">
      <c r="A54" s="152">
        <f t="shared" si="7"/>
        <v>0</v>
      </c>
      <c r="B54" s="153">
        <f t="shared" si="8"/>
        <v>0</v>
      </c>
      <c r="C54" s="153">
        <f t="shared" si="9"/>
        <v>0</v>
      </c>
      <c r="D54" s="186"/>
      <c r="E54" s="161"/>
      <c r="F54" s="156"/>
      <c r="G54" s="156"/>
      <c r="H54" s="156"/>
      <c r="I54" s="156"/>
      <c r="J54" s="156"/>
      <c r="K54" s="155">
        <v>0.0</v>
      </c>
      <c r="L54" s="155">
        <f t="shared" ref="L54:M54" si="47">$K54*L$4/100</f>
        <v>0</v>
      </c>
      <c r="M54" s="155">
        <f t="shared" si="47"/>
        <v>0</v>
      </c>
    </row>
    <row r="55">
      <c r="A55" s="152">
        <f t="shared" si="7"/>
        <v>0</v>
      </c>
      <c r="B55" s="153">
        <f t="shared" si="8"/>
        <v>0</v>
      </c>
      <c r="C55" s="153">
        <f t="shared" si="9"/>
        <v>0</v>
      </c>
      <c r="D55" s="186"/>
      <c r="E55" s="161"/>
      <c r="F55" s="156"/>
      <c r="G55" s="156"/>
      <c r="H55" s="156"/>
      <c r="I55" s="156"/>
      <c r="J55" s="156"/>
      <c r="K55" s="155">
        <v>0.0</v>
      </c>
      <c r="L55" s="155">
        <f t="shared" ref="L55:M55" si="48">$K55*L$4/100</f>
        <v>0</v>
      </c>
      <c r="M55" s="155">
        <f t="shared" si="48"/>
        <v>0</v>
      </c>
    </row>
    <row r="56">
      <c r="A56" s="152">
        <f t="shared" si="7"/>
        <v>0</v>
      </c>
      <c r="B56" s="153">
        <f t="shared" si="8"/>
        <v>0</v>
      </c>
      <c r="C56" s="153">
        <f t="shared" si="9"/>
        <v>0</v>
      </c>
      <c r="D56" s="186"/>
      <c r="E56" s="161"/>
      <c r="F56" s="156"/>
      <c r="G56" s="156"/>
      <c r="H56" s="156"/>
      <c r="I56" s="156"/>
      <c r="J56" s="156"/>
      <c r="K56" s="155">
        <v>0.0</v>
      </c>
      <c r="L56" s="155">
        <f t="shared" ref="L56:M56" si="49">$K56*L$4/100</f>
        <v>0</v>
      </c>
      <c r="M56" s="155">
        <f t="shared" si="49"/>
        <v>0</v>
      </c>
    </row>
    <row r="57">
      <c r="A57" s="152">
        <f t="shared" si="7"/>
        <v>0</v>
      </c>
      <c r="B57" s="153">
        <f t="shared" si="8"/>
        <v>0</v>
      </c>
      <c r="C57" s="153">
        <f t="shared" si="9"/>
        <v>0</v>
      </c>
      <c r="D57" s="186"/>
      <c r="E57" s="161"/>
      <c r="F57" s="156"/>
      <c r="G57" s="156"/>
      <c r="H57" s="156"/>
      <c r="I57" s="156"/>
      <c r="J57" s="156"/>
      <c r="K57" s="155">
        <v>0.0</v>
      </c>
      <c r="L57" s="155">
        <f t="shared" ref="L57:M57" si="50">$K57*L$4/100</f>
        <v>0</v>
      </c>
      <c r="M57" s="155">
        <f t="shared" si="50"/>
        <v>0</v>
      </c>
    </row>
    <row r="58">
      <c r="A58" s="152">
        <f t="shared" si="7"/>
        <v>0</v>
      </c>
      <c r="B58" s="153">
        <f t="shared" si="8"/>
        <v>0</v>
      </c>
      <c r="C58" s="153">
        <f t="shared" si="9"/>
        <v>0</v>
      </c>
      <c r="D58" s="186"/>
      <c r="E58" s="161"/>
      <c r="F58" s="156"/>
      <c r="G58" s="156"/>
      <c r="H58" s="156"/>
      <c r="I58" s="156"/>
      <c r="J58" s="156"/>
      <c r="K58" s="155">
        <v>0.0</v>
      </c>
      <c r="L58" s="155">
        <f t="shared" ref="L58:M58" si="51">$K58*L$4/100</f>
        <v>0</v>
      </c>
      <c r="M58" s="155">
        <f t="shared" si="51"/>
        <v>0</v>
      </c>
    </row>
    <row r="59">
      <c r="A59" s="152">
        <f t="shared" si="7"/>
        <v>0</v>
      </c>
      <c r="B59" s="153">
        <f t="shared" si="8"/>
        <v>0</v>
      </c>
      <c r="C59" s="153">
        <f t="shared" si="9"/>
        <v>0</v>
      </c>
      <c r="D59" s="186"/>
      <c r="E59" s="161"/>
      <c r="F59" s="156"/>
      <c r="G59" s="156"/>
      <c r="H59" s="156"/>
      <c r="I59" s="156"/>
      <c r="J59" s="156"/>
      <c r="K59" s="155">
        <v>0.0</v>
      </c>
      <c r="L59" s="155">
        <f t="shared" ref="L59:M59" si="52">$K59*L$4/100</f>
        <v>0</v>
      </c>
      <c r="M59" s="155">
        <f t="shared" si="52"/>
        <v>0</v>
      </c>
    </row>
    <row r="60">
      <c r="A60" s="152">
        <f t="shared" si="7"/>
        <v>0</v>
      </c>
      <c r="B60" s="153">
        <f t="shared" si="8"/>
        <v>0</v>
      </c>
      <c r="C60" s="153">
        <f t="shared" si="9"/>
        <v>0</v>
      </c>
      <c r="D60" s="186"/>
      <c r="E60" s="161"/>
      <c r="F60" s="156"/>
      <c r="G60" s="156"/>
      <c r="H60" s="156"/>
      <c r="I60" s="156"/>
      <c r="J60" s="156"/>
      <c r="K60" s="155">
        <v>0.0</v>
      </c>
      <c r="L60" s="155">
        <f t="shared" ref="L60:M60" si="53">$K60*L$4/100</f>
        <v>0</v>
      </c>
      <c r="M60" s="155">
        <f t="shared" si="53"/>
        <v>0</v>
      </c>
    </row>
    <row r="61">
      <c r="A61" s="152">
        <f t="shared" si="7"/>
        <v>0</v>
      </c>
      <c r="B61" s="153">
        <f t="shared" si="8"/>
        <v>0</v>
      </c>
      <c r="C61" s="153">
        <f t="shared" si="9"/>
        <v>0</v>
      </c>
      <c r="D61" s="186"/>
      <c r="E61" s="161"/>
      <c r="F61" s="156"/>
      <c r="G61" s="156"/>
      <c r="H61" s="156"/>
      <c r="I61" s="156"/>
      <c r="J61" s="156"/>
      <c r="K61" s="155">
        <v>0.0</v>
      </c>
      <c r="L61" s="155">
        <f t="shared" ref="L61:M61" si="54">$K61*L$4/100</f>
        <v>0</v>
      </c>
      <c r="M61" s="155">
        <f t="shared" si="54"/>
        <v>0</v>
      </c>
    </row>
    <row r="62">
      <c r="A62" s="152">
        <f t="shared" si="7"/>
        <v>0</v>
      </c>
      <c r="B62" s="153">
        <f t="shared" si="8"/>
        <v>0</v>
      </c>
      <c r="C62" s="153">
        <f t="shared" si="9"/>
        <v>0</v>
      </c>
      <c r="D62" s="186"/>
      <c r="E62" s="161"/>
      <c r="F62" s="156"/>
      <c r="G62" s="156"/>
      <c r="H62" s="156"/>
      <c r="I62" s="156"/>
      <c r="J62" s="156"/>
      <c r="K62" s="155">
        <v>0.0</v>
      </c>
      <c r="L62" s="155">
        <f t="shared" ref="L62:M62" si="55">$K62*L$4/100</f>
        <v>0</v>
      </c>
      <c r="M62" s="155">
        <f t="shared" si="55"/>
        <v>0</v>
      </c>
    </row>
    <row r="63">
      <c r="A63" s="152">
        <f t="shared" si="7"/>
        <v>0</v>
      </c>
      <c r="B63" s="153">
        <f t="shared" si="8"/>
        <v>0</v>
      </c>
      <c r="C63" s="153">
        <f t="shared" si="9"/>
        <v>0</v>
      </c>
      <c r="D63" s="186"/>
      <c r="E63" s="161"/>
      <c r="F63" s="156"/>
      <c r="G63" s="156"/>
      <c r="H63" s="156"/>
      <c r="I63" s="156"/>
      <c r="J63" s="156"/>
      <c r="K63" s="155">
        <v>0.0</v>
      </c>
      <c r="L63" s="155">
        <f t="shared" ref="L63:M63" si="56">$K63*L$4/100</f>
        <v>0</v>
      </c>
      <c r="M63" s="155">
        <f t="shared" si="56"/>
        <v>0</v>
      </c>
    </row>
    <row r="64">
      <c r="A64" s="152">
        <f t="shared" si="7"/>
        <v>0</v>
      </c>
      <c r="B64" s="153">
        <f t="shared" si="8"/>
        <v>0</v>
      </c>
      <c r="C64" s="153">
        <f t="shared" si="9"/>
        <v>0</v>
      </c>
      <c r="D64" s="186"/>
      <c r="E64" s="161"/>
      <c r="F64" s="156"/>
      <c r="G64" s="156"/>
      <c r="H64" s="156"/>
      <c r="I64" s="156"/>
      <c r="J64" s="156"/>
      <c r="K64" s="155">
        <v>0.0</v>
      </c>
      <c r="L64" s="155">
        <f t="shared" ref="L64:M64" si="57">$K64*L$4/100</f>
        <v>0</v>
      </c>
      <c r="M64" s="155">
        <f t="shared" si="57"/>
        <v>0</v>
      </c>
    </row>
    <row r="65">
      <c r="A65" s="152">
        <f t="shared" si="7"/>
        <v>0</v>
      </c>
      <c r="B65" s="153">
        <f t="shared" si="8"/>
        <v>0</v>
      </c>
      <c r="C65" s="153">
        <f t="shared" si="9"/>
        <v>0</v>
      </c>
      <c r="D65" s="186"/>
      <c r="E65" s="161"/>
      <c r="F65" s="156"/>
      <c r="G65" s="156"/>
      <c r="H65" s="156"/>
      <c r="I65" s="156"/>
      <c r="J65" s="156"/>
      <c r="K65" s="155">
        <v>0.0</v>
      </c>
      <c r="L65" s="155">
        <f t="shared" ref="L65:M65" si="58">$K65*L$4/100</f>
        <v>0</v>
      </c>
      <c r="M65" s="155">
        <f t="shared" si="58"/>
        <v>0</v>
      </c>
    </row>
    <row r="66">
      <c r="A66" s="152">
        <f t="shared" si="7"/>
        <v>0</v>
      </c>
      <c r="B66" s="153">
        <f t="shared" si="8"/>
        <v>0</v>
      </c>
      <c r="C66" s="153">
        <f t="shared" si="9"/>
        <v>0</v>
      </c>
      <c r="D66" s="186"/>
      <c r="E66" s="161"/>
      <c r="F66" s="156"/>
      <c r="G66" s="156"/>
      <c r="H66" s="156"/>
      <c r="I66" s="156"/>
      <c r="J66" s="156"/>
      <c r="K66" s="155">
        <v>0.0</v>
      </c>
      <c r="L66" s="155">
        <f t="shared" ref="L66:M66" si="59">$K66*L$4/100</f>
        <v>0</v>
      </c>
      <c r="M66" s="155">
        <f t="shared" si="59"/>
        <v>0</v>
      </c>
    </row>
    <row r="67">
      <c r="A67" s="152">
        <f t="shared" si="7"/>
        <v>0</v>
      </c>
      <c r="B67" s="153">
        <f t="shared" si="8"/>
        <v>0</v>
      </c>
      <c r="C67" s="153">
        <f t="shared" si="9"/>
        <v>0</v>
      </c>
      <c r="D67" s="186"/>
      <c r="E67" s="161"/>
      <c r="F67" s="156"/>
      <c r="G67" s="156"/>
      <c r="H67" s="156"/>
      <c r="I67" s="156"/>
      <c r="J67" s="156"/>
      <c r="K67" s="155">
        <v>0.0</v>
      </c>
      <c r="L67" s="155">
        <f t="shared" ref="L67:M67" si="60">$K67*L$4/100</f>
        <v>0</v>
      </c>
      <c r="M67" s="155">
        <f t="shared" si="60"/>
        <v>0</v>
      </c>
    </row>
    <row r="68">
      <c r="A68" s="152">
        <f t="shared" si="7"/>
        <v>0</v>
      </c>
      <c r="B68" s="153">
        <f t="shared" si="8"/>
        <v>0</v>
      </c>
      <c r="C68" s="153">
        <f t="shared" si="9"/>
        <v>0</v>
      </c>
      <c r="D68" s="186"/>
      <c r="E68" s="161"/>
      <c r="F68" s="156"/>
      <c r="G68" s="156"/>
      <c r="H68" s="156"/>
      <c r="I68" s="156"/>
      <c r="J68" s="156"/>
      <c r="K68" s="155">
        <v>0.0</v>
      </c>
      <c r="L68" s="155">
        <f t="shared" ref="L68:M68" si="61">$K68*L$4/100</f>
        <v>0</v>
      </c>
      <c r="M68" s="155">
        <f t="shared" si="61"/>
        <v>0</v>
      </c>
    </row>
    <row r="69">
      <c r="A69" s="152">
        <f t="shared" si="7"/>
        <v>0</v>
      </c>
      <c r="B69" s="153">
        <f t="shared" si="8"/>
        <v>0</v>
      </c>
      <c r="C69" s="153">
        <f t="shared" si="9"/>
        <v>0</v>
      </c>
      <c r="D69" s="186"/>
      <c r="E69" s="161"/>
      <c r="F69" s="156"/>
      <c r="G69" s="156"/>
      <c r="H69" s="156"/>
      <c r="I69" s="156"/>
      <c r="J69" s="156"/>
      <c r="K69" s="155">
        <v>0.0</v>
      </c>
      <c r="L69" s="155">
        <f t="shared" ref="L69:M69" si="62">$K69*L$4/100</f>
        <v>0</v>
      </c>
      <c r="M69" s="155">
        <f t="shared" si="62"/>
        <v>0</v>
      </c>
    </row>
    <row r="70">
      <c r="A70" s="152">
        <f t="shared" si="7"/>
        <v>0</v>
      </c>
      <c r="B70" s="153">
        <f t="shared" si="8"/>
        <v>0</v>
      </c>
      <c r="C70" s="153">
        <f t="shared" si="9"/>
        <v>0</v>
      </c>
      <c r="D70" s="186"/>
      <c r="E70" s="161"/>
      <c r="F70" s="156"/>
      <c r="G70" s="156"/>
      <c r="H70" s="156"/>
      <c r="I70" s="156"/>
      <c r="J70" s="156"/>
      <c r="K70" s="155">
        <v>0.0</v>
      </c>
      <c r="L70" s="155">
        <f t="shared" ref="L70:M70" si="63">$K70*L$4/100</f>
        <v>0</v>
      </c>
      <c r="M70" s="155">
        <f t="shared" si="63"/>
        <v>0</v>
      </c>
    </row>
    <row r="71">
      <c r="A71" s="152">
        <f t="shared" si="7"/>
        <v>0</v>
      </c>
      <c r="B71" s="153">
        <f t="shared" si="8"/>
        <v>0</v>
      </c>
      <c r="C71" s="153">
        <f t="shared" si="9"/>
        <v>0</v>
      </c>
      <c r="D71" s="186"/>
      <c r="E71" s="161"/>
      <c r="F71" s="156"/>
      <c r="G71" s="156"/>
      <c r="H71" s="156"/>
      <c r="I71" s="156"/>
      <c r="J71" s="156"/>
      <c r="K71" s="155">
        <v>0.0</v>
      </c>
      <c r="L71" s="155">
        <f t="shared" ref="L71:M71" si="64">$K71*L$4/100</f>
        <v>0</v>
      </c>
      <c r="M71" s="155">
        <f t="shared" si="64"/>
        <v>0</v>
      </c>
    </row>
    <row r="72">
      <c r="A72" s="152">
        <f t="shared" si="7"/>
        <v>0</v>
      </c>
      <c r="B72" s="153">
        <f t="shared" si="8"/>
        <v>0</v>
      </c>
      <c r="C72" s="153">
        <f t="shared" si="9"/>
        <v>0</v>
      </c>
      <c r="D72" s="186"/>
      <c r="E72" s="161"/>
      <c r="F72" s="156"/>
      <c r="G72" s="156"/>
      <c r="H72" s="156"/>
      <c r="I72" s="156"/>
      <c r="J72" s="156"/>
      <c r="K72" s="155">
        <v>0.0</v>
      </c>
      <c r="L72" s="155">
        <f t="shared" ref="L72:M72" si="65">$K72*L$4/100</f>
        <v>0</v>
      </c>
      <c r="M72" s="155">
        <f t="shared" si="65"/>
        <v>0</v>
      </c>
    </row>
    <row r="73">
      <c r="A73" s="152">
        <f t="shared" si="7"/>
        <v>0</v>
      </c>
      <c r="B73" s="153">
        <f t="shared" si="8"/>
        <v>0</v>
      </c>
      <c r="C73" s="153">
        <f t="shared" si="9"/>
        <v>0</v>
      </c>
      <c r="D73" s="186"/>
      <c r="E73" s="161"/>
      <c r="F73" s="156"/>
      <c r="G73" s="156"/>
      <c r="H73" s="156"/>
      <c r="I73" s="156"/>
      <c r="J73" s="156"/>
      <c r="K73" s="155">
        <v>0.0</v>
      </c>
      <c r="L73" s="155">
        <f t="shared" ref="L73:M73" si="66">$K73*L$4/100</f>
        <v>0</v>
      </c>
      <c r="M73" s="155">
        <f t="shared" si="66"/>
        <v>0</v>
      </c>
    </row>
    <row r="74">
      <c r="A74" s="152">
        <f t="shared" si="7"/>
        <v>0</v>
      </c>
      <c r="B74" s="153">
        <f t="shared" si="8"/>
        <v>0</v>
      </c>
      <c r="C74" s="153">
        <f t="shared" si="9"/>
        <v>0</v>
      </c>
      <c r="D74" s="186"/>
      <c r="E74" s="161"/>
      <c r="F74" s="156"/>
      <c r="G74" s="156"/>
      <c r="H74" s="156"/>
      <c r="I74" s="156"/>
      <c r="J74" s="156"/>
      <c r="K74" s="155">
        <v>0.0</v>
      </c>
      <c r="L74" s="155">
        <f t="shared" ref="L74:M74" si="67">$K74*L$4/100</f>
        <v>0</v>
      </c>
      <c r="M74" s="155">
        <f t="shared" si="67"/>
        <v>0</v>
      </c>
    </row>
    <row r="75">
      <c r="A75" s="152">
        <f t="shared" si="7"/>
        <v>0</v>
      </c>
      <c r="B75" s="153">
        <f t="shared" si="8"/>
        <v>0</v>
      </c>
      <c r="C75" s="153">
        <f t="shared" si="9"/>
        <v>0</v>
      </c>
      <c r="D75" s="186"/>
      <c r="E75" s="161"/>
      <c r="F75" s="156"/>
      <c r="G75" s="156"/>
      <c r="H75" s="156"/>
      <c r="I75" s="156"/>
      <c r="J75" s="156"/>
      <c r="K75" s="155">
        <v>0.0</v>
      </c>
      <c r="L75" s="155">
        <f t="shared" ref="L75:M75" si="68">$K75*L$4/100</f>
        <v>0</v>
      </c>
      <c r="M75" s="155">
        <f t="shared" si="68"/>
        <v>0</v>
      </c>
    </row>
    <row r="76">
      <c r="A76" s="152">
        <f t="shared" si="7"/>
        <v>0</v>
      </c>
      <c r="B76" s="153">
        <f t="shared" si="8"/>
        <v>0</v>
      </c>
      <c r="C76" s="153">
        <f t="shared" si="9"/>
        <v>0</v>
      </c>
      <c r="D76" s="186"/>
      <c r="E76" s="161"/>
      <c r="F76" s="156"/>
      <c r="G76" s="156"/>
      <c r="H76" s="156"/>
      <c r="I76" s="156"/>
      <c r="J76" s="156"/>
      <c r="K76" s="155">
        <v>0.0</v>
      </c>
      <c r="L76" s="155">
        <f t="shared" ref="L76:M76" si="69">$K76*L$4/100</f>
        <v>0</v>
      </c>
      <c r="M76" s="155">
        <f t="shared" si="69"/>
        <v>0</v>
      </c>
    </row>
    <row r="77">
      <c r="A77" s="152">
        <f t="shared" si="7"/>
        <v>0</v>
      </c>
      <c r="B77" s="153">
        <f t="shared" si="8"/>
        <v>0</v>
      </c>
      <c r="C77" s="153">
        <f t="shared" si="9"/>
        <v>0</v>
      </c>
      <c r="D77" s="186"/>
      <c r="E77" s="161"/>
      <c r="F77" s="156"/>
      <c r="G77" s="156"/>
      <c r="H77" s="156"/>
      <c r="I77" s="156"/>
      <c r="J77" s="156"/>
      <c r="K77" s="155">
        <v>0.0</v>
      </c>
      <c r="L77" s="155">
        <f t="shared" ref="L77:M77" si="70">$K77*L$4/100</f>
        <v>0</v>
      </c>
      <c r="M77" s="155">
        <f t="shared" si="70"/>
        <v>0</v>
      </c>
    </row>
    <row r="78">
      <c r="A78" s="152">
        <f t="shared" si="7"/>
        <v>0</v>
      </c>
      <c r="B78" s="153">
        <f t="shared" si="8"/>
        <v>0</v>
      </c>
      <c r="C78" s="153">
        <f t="shared" si="9"/>
        <v>0</v>
      </c>
      <c r="D78" s="186"/>
      <c r="E78" s="161"/>
      <c r="F78" s="156"/>
      <c r="G78" s="156"/>
      <c r="H78" s="156"/>
      <c r="I78" s="156"/>
      <c r="J78" s="156"/>
      <c r="K78" s="155">
        <v>0.0</v>
      </c>
      <c r="L78" s="155">
        <f t="shared" ref="L78:M78" si="71">$K78*L$4/100</f>
        <v>0</v>
      </c>
      <c r="M78" s="155">
        <f t="shared" si="71"/>
        <v>0</v>
      </c>
    </row>
    <row r="79">
      <c r="A79" s="152">
        <f t="shared" si="7"/>
        <v>0</v>
      </c>
      <c r="B79" s="153">
        <f t="shared" si="8"/>
        <v>0</v>
      </c>
      <c r="C79" s="153">
        <f t="shared" si="9"/>
        <v>0</v>
      </c>
      <c r="D79" s="186"/>
      <c r="E79" s="161"/>
      <c r="F79" s="156"/>
      <c r="G79" s="156"/>
      <c r="H79" s="156"/>
      <c r="I79" s="156"/>
      <c r="J79" s="156"/>
      <c r="K79" s="155">
        <v>0.0</v>
      </c>
      <c r="L79" s="155">
        <f t="shared" ref="L79:M79" si="72">$K79*L$4/100</f>
        <v>0</v>
      </c>
      <c r="M79" s="155">
        <f t="shared" si="72"/>
        <v>0</v>
      </c>
    </row>
    <row r="80">
      <c r="A80" s="152">
        <f t="shared" si="7"/>
        <v>0</v>
      </c>
      <c r="B80" s="153">
        <f t="shared" si="8"/>
        <v>0</v>
      </c>
      <c r="C80" s="153">
        <f t="shared" si="9"/>
        <v>0</v>
      </c>
      <c r="D80" s="186"/>
      <c r="E80" s="161"/>
      <c r="F80" s="156"/>
      <c r="G80" s="156"/>
      <c r="H80" s="156"/>
      <c r="I80" s="156"/>
      <c r="J80" s="156"/>
      <c r="K80" s="155">
        <v>0.0</v>
      </c>
      <c r="L80" s="155">
        <f t="shared" ref="L80:M80" si="73">$K80*L$4/100</f>
        <v>0</v>
      </c>
      <c r="M80" s="155">
        <f t="shared" si="73"/>
        <v>0</v>
      </c>
    </row>
    <row r="81">
      <c r="A81" s="152">
        <f t="shared" si="7"/>
        <v>0</v>
      </c>
      <c r="B81" s="153">
        <f t="shared" si="8"/>
        <v>0</v>
      </c>
      <c r="C81" s="153">
        <f t="shared" si="9"/>
        <v>0</v>
      </c>
      <c r="D81" s="186"/>
      <c r="E81" s="161"/>
      <c r="F81" s="156"/>
      <c r="G81" s="156"/>
      <c r="H81" s="156"/>
      <c r="I81" s="156"/>
      <c r="J81" s="156"/>
      <c r="K81" s="155">
        <v>0.0</v>
      </c>
      <c r="L81" s="155">
        <f t="shared" ref="L81:M81" si="74">$K81*L$4/100</f>
        <v>0</v>
      </c>
      <c r="M81" s="155">
        <f t="shared" si="74"/>
        <v>0</v>
      </c>
    </row>
    <row r="82">
      <c r="A82" s="152">
        <f t="shared" si="7"/>
        <v>0</v>
      </c>
      <c r="B82" s="153">
        <f t="shared" si="8"/>
        <v>0</v>
      </c>
      <c r="C82" s="153">
        <f t="shared" si="9"/>
        <v>0</v>
      </c>
      <c r="D82" s="186"/>
      <c r="E82" s="161"/>
      <c r="F82" s="156"/>
      <c r="G82" s="156"/>
      <c r="H82" s="156"/>
      <c r="I82" s="156"/>
      <c r="J82" s="156"/>
      <c r="K82" s="155">
        <v>0.0</v>
      </c>
      <c r="L82" s="155">
        <f t="shared" ref="L82:M82" si="75">$K82*L$4/100</f>
        <v>0</v>
      </c>
      <c r="M82" s="155">
        <f t="shared" si="75"/>
        <v>0</v>
      </c>
    </row>
    <row r="83">
      <c r="A83" s="152">
        <f t="shared" si="7"/>
        <v>0</v>
      </c>
      <c r="B83" s="153">
        <f t="shared" si="8"/>
        <v>0</v>
      </c>
      <c r="C83" s="153">
        <f t="shared" si="9"/>
        <v>0</v>
      </c>
      <c r="D83" s="186"/>
      <c r="E83" s="161"/>
      <c r="F83" s="156"/>
      <c r="G83" s="156"/>
      <c r="H83" s="156"/>
      <c r="I83" s="156"/>
      <c r="J83" s="156"/>
      <c r="K83" s="155">
        <v>0.0</v>
      </c>
      <c r="L83" s="155">
        <f t="shared" ref="L83:M83" si="76">$K83*L$4/100</f>
        <v>0</v>
      </c>
      <c r="M83" s="155">
        <f t="shared" si="76"/>
        <v>0</v>
      </c>
    </row>
    <row r="84">
      <c r="A84" s="152">
        <f t="shared" si="7"/>
        <v>0</v>
      </c>
      <c r="B84" s="153">
        <f t="shared" si="8"/>
        <v>0</v>
      </c>
      <c r="C84" s="153">
        <f t="shared" si="9"/>
        <v>0</v>
      </c>
      <c r="D84" s="186"/>
      <c r="E84" s="161"/>
      <c r="F84" s="156"/>
      <c r="G84" s="156"/>
      <c r="H84" s="156"/>
      <c r="I84" s="156"/>
      <c r="J84" s="156"/>
      <c r="K84" s="155">
        <v>0.0</v>
      </c>
      <c r="L84" s="155">
        <f t="shared" ref="L84:M84" si="77">$K84*L$4/100</f>
        <v>0</v>
      </c>
      <c r="M84" s="155">
        <f t="shared" si="77"/>
        <v>0</v>
      </c>
    </row>
    <row r="85">
      <c r="A85" s="152">
        <f t="shared" si="7"/>
        <v>0</v>
      </c>
      <c r="B85" s="153">
        <f t="shared" si="8"/>
        <v>0</v>
      </c>
      <c r="C85" s="153">
        <f t="shared" si="9"/>
        <v>0</v>
      </c>
      <c r="D85" s="186"/>
      <c r="E85" s="161"/>
      <c r="F85" s="156"/>
      <c r="G85" s="156"/>
      <c r="H85" s="156"/>
      <c r="I85" s="156"/>
      <c r="J85" s="156"/>
      <c r="K85" s="155">
        <v>0.0</v>
      </c>
      <c r="L85" s="155">
        <f t="shared" ref="L85:M85" si="78">$K85*L$4/100</f>
        <v>0</v>
      </c>
      <c r="M85" s="155">
        <f t="shared" si="78"/>
        <v>0</v>
      </c>
    </row>
    <row r="86">
      <c r="A86" s="152">
        <f t="shared" si="7"/>
        <v>0</v>
      </c>
      <c r="B86" s="153">
        <f t="shared" si="8"/>
        <v>0</v>
      </c>
      <c r="C86" s="153">
        <f t="shared" si="9"/>
        <v>0</v>
      </c>
      <c r="D86" s="186"/>
      <c r="E86" s="161"/>
      <c r="F86" s="156"/>
      <c r="G86" s="156"/>
      <c r="H86" s="156"/>
      <c r="I86" s="156"/>
      <c r="J86" s="156"/>
      <c r="K86" s="155">
        <v>0.0</v>
      </c>
      <c r="L86" s="155">
        <f t="shared" ref="L86:M86" si="79">$K86*L$4/100</f>
        <v>0</v>
      </c>
      <c r="M86" s="155">
        <f t="shared" si="79"/>
        <v>0</v>
      </c>
    </row>
    <row r="87">
      <c r="A87" s="152">
        <f t="shared" si="7"/>
        <v>0</v>
      </c>
      <c r="B87" s="153">
        <f t="shared" si="8"/>
        <v>0</v>
      </c>
      <c r="C87" s="153">
        <f t="shared" si="9"/>
        <v>0</v>
      </c>
      <c r="D87" s="186"/>
      <c r="E87" s="161"/>
      <c r="F87" s="156"/>
      <c r="G87" s="156"/>
      <c r="H87" s="156"/>
      <c r="I87" s="156"/>
      <c r="J87" s="156"/>
      <c r="K87" s="155">
        <v>0.0</v>
      </c>
      <c r="L87" s="155">
        <f t="shared" ref="L87:M87" si="80">$K87*L$4/100</f>
        <v>0</v>
      </c>
      <c r="M87" s="155">
        <f t="shared" si="80"/>
        <v>0</v>
      </c>
    </row>
    <row r="88">
      <c r="A88" s="152">
        <f t="shared" si="7"/>
        <v>0</v>
      </c>
      <c r="B88" s="153">
        <f t="shared" si="8"/>
        <v>0</v>
      </c>
      <c r="C88" s="153">
        <f t="shared" si="9"/>
        <v>0</v>
      </c>
      <c r="D88" s="186"/>
      <c r="E88" s="161"/>
      <c r="F88" s="156"/>
      <c r="G88" s="156"/>
      <c r="H88" s="156"/>
      <c r="I88" s="156"/>
      <c r="J88" s="156"/>
      <c r="K88" s="155">
        <v>0.0</v>
      </c>
      <c r="L88" s="155">
        <f t="shared" ref="L88:M88" si="81">$K88*L$4/100</f>
        <v>0</v>
      </c>
      <c r="M88" s="155">
        <f t="shared" si="81"/>
        <v>0</v>
      </c>
    </row>
    <row r="89">
      <c r="A89" s="152">
        <f t="shared" si="7"/>
        <v>0</v>
      </c>
      <c r="B89" s="153">
        <f t="shared" si="8"/>
        <v>0</v>
      </c>
      <c r="C89" s="153">
        <f t="shared" si="9"/>
        <v>0</v>
      </c>
      <c r="D89" s="186"/>
      <c r="E89" s="161"/>
      <c r="F89" s="156"/>
      <c r="G89" s="156"/>
      <c r="H89" s="156"/>
      <c r="I89" s="156"/>
      <c r="J89" s="156"/>
      <c r="K89" s="155">
        <v>0.0</v>
      </c>
      <c r="L89" s="155">
        <f t="shared" ref="L89:M89" si="82">$K89*L$4/100</f>
        <v>0</v>
      </c>
      <c r="M89" s="155">
        <f t="shared" si="82"/>
        <v>0</v>
      </c>
    </row>
    <row r="90">
      <c r="A90" s="152">
        <f t="shared" si="7"/>
        <v>0</v>
      </c>
      <c r="B90" s="153">
        <f t="shared" si="8"/>
        <v>0</v>
      </c>
      <c r="C90" s="153">
        <f t="shared" si="9"/>
        <v>0</v>
      </c>
      <c r="D90" s="186"/>
      <c r="E90" s="161"/>
      <c r="F90" s="156"/>
      <c r="G90" s="156"/>
      <c r="H90" s="156"/>
      <c r="I90" s="156"/>
      <c r="J90" s="156"/>
      <c r="K90" s="155">
        <v>0.0</v>
      </c>
      <c r="L90" s="155">
        <f t="shared" ref="L90:M90" si="83">$K90*L$4/100</f>
        <v>0</v>
      </c>
      <c r="M90" s="155">
        <f t="shared" si="83"/>
        <v>0</v>
      </c>
    </row>
    <row r="91">
      <c r="A91" s="152">
        <f t="shared" si="7"/>
        <v>0</v>
      </c>
      <c r="B91" s="153">
        <f t="shared" si="8"/>
        <v>0</v>
      </c>
      <c r="C91" s="153">
        <f t="shared" si="9"/>
        <v>0</v>
      </c>
      <c r="D91" s="186"/>
      <c r="E91" s="161"/>
      <c r="F91" s="156"/>
      <c r="G91" s="156"/>
      <c r="H91" s="156"/>
      <c r="I91" s="156"/>
      <c r="J91" s="156"/>
      <c r="K91" s="155">
        <v>0.0</v>
      </c>
      <c r="L91" s="155">
        <f t="shared" ref="L91:M91" si="84">$K91*L$4/100</f>
        <v>0</v>
      </c>
      <c r="M91" s="155">
        <f t="shared" si="84"/>
        <v>0</v>
      </c>
    </row>
    <row r="92">
      <c r="A92" s="152">
        <f t="shared" si="7"/>
        <v>0</v>
      </c>
      <c r="B92" s="153">
        <f t="shared" si="8"/>
        <v>0</v>
      </c>
      <c r="C92" s="153">
        <f t="shared" si="9"/>
        <v>0</v>
      </c>
      <c r="D92" s="186"/>
      <c r="E92" s="161"/>
      <c r="F92" s="156"/>
      <c r="G92" s="156"/>
      <c r="H92" s="156"/>
      <c r="I92" s="156"/>
      <c r="J92" s="156"/>
      <c r="K92" s="155">
        <v>0.0</v>
      </c>
      <c r="L92" s="155">
        <f t="shared" ref="L92:M92" si="85">$K92*L$4/100</f>
        <v>0</v>
      </c>
      <c r="M92" s="155">
        <f t="shared" si="85"/>
        <v>0</v>
      </c>
    </row>
    <row r="93">
      <c r="A93" s="152">
        <f t="shared" si="7"/>
        <v>0</v>
      </c>
      <c r="B93" s="153">
        <f t="shared" si="8"/>
        <v>0</v>
      </c>
      <c r="C93" s="153">
        <f t="shared" si="9"/>
        <v>0</v>
      </c>
      <c r="D93" s="186"/>
      <c r="E93" s="161"/>
      <c r="F93" s="156"/>
      <c r="G93" s="156"/>
      <c r="H93" s="156"/>
      <c r="I93" s="156"/>
      <c r="J93" s="156"/>
      <c r="K93" s="155">
        <v>0.0</v>
      </c>
      <c r="L93" s="155">
        <f t="shared" ref="L93:M93" si="86">$K93*L$4/100</f>
        <v>0</v>
      </c>
      <c r="M93" s="155">
        <f t="shared" si="86"/>
        <v>0</v>
      </c>
    </row>
    <row r="94">
      <c r="A94" s="152">
        <f t="shared" si="7"/>
        <v>0</v>
      </c>
      <c r="B94" s="153">
        <f t="shared" si="8"/>
        <v>0</v>
      </c>
      <c r="C94" s="153">
        <f t="shared" si="9"/>
        <v>0</v>
      </c>
      <c r="D94" s="186"/>
      <c r="E94" s="161"/>
      <c r="F94" s="156"/>
      <c r="G94" s="156"/>
      <c r="H94" s="156"/>
      <c r="I94" s="156"/>
      <c r="J94" s="156"/>
      <c r="K94" s="155">
        <v>0.0</v>
      </c>
      <c r="L94" s="155">
        <f t="shared" ref="L94:M94" si="87">$K94*L$4/100</f>
        <v>0</v>
      </c>
      <c r="M94" s="155">
        <f t="shared" si="87"/>
        <v>0</v>
      </c>
    </row>
    <row r="95">
      <c r="A95" s="152">
        <f t="shared" si="7"/>
        <v>0</v>
      </c>
      <c r="B95" s="153">
        <f t="shared" si="8"/>
        <v>0</v>
      </c>
      <c r="C95" s="153">
        <f t="shared" si="9"/>
        <v>0</v>
      </c>
      <c r="D95" s="186"/>
      <c r="E95" s="161"/>
      <c r="F95" s="156"/>
      <c r="G95" s="156"/>
      <c r="H95" s="156"/>
      <c r="I95" s="156"/>
      <c r="J95" s="156"/>
      <c r="K95" s="155">
        <v>0.0</v>
      </c>
      <c r="L95" s="155">
        <f t="shared" ref="L95:M95" si="88">$K95*L$4/100</f>
        <v>0</v>
      </c>
      <c r="M95" s="155">
        <f t="shared" si="88"/>
        <v>0</v>
      </c>
    </row>
    <row r="96">
      <c r="A96" s="152">
        <f t="shared" si="7"/>
        <v>0</v>
      </c>
      <c r="B96" s="153">
        <f t="shared" si="8"/>
        <v>0</v>
      </c>
      <c r="C96" s="153">
        <f t="shared" si="9"/>
        <v>0</v>
      </c>
      <c r="D96" s="186"/>
      <c r="E96" s="161"/>
      <c r="F96" s="156"/>
      <c r="G96" s="156"/>
      <c r="H96" s="156"/>
      <c r="I96" s="156"/>
      <c r="J96" s="156"/>
      <c r="K96" s="155">
        <v>0.0</v>
      </c>
      <c r="L96" s="155">
        <f t="shared" ref="L96:M96" si="89">$K96*L$4/100</f>
        <v>0</v>
      </c>
      <c r="M96" s="155">
        <f t="shared" si="89"/>
        <v>0</v>
      </c>
    </row>
    <row r="97">
      <c r="A97" s="152">
        <f t="shared" si="7"/>
        <v>0</v>
      </c>
      <c r="B97" s="153">
        <f t="shared" si="8"/>
        <v>0</v>
      </c>
      <c r="C97" s="153">
        <f t="shared" si="9"/>
        <v>0</v>
      </c>
      <c r="D97" s="186"/>
      <c r="E97" s="161"/>
      <c r="F97" s="156"/>
      <c r="G97" s="156"/>
      <c r="H97" s="156"/>
      <c r="I97" s="156"/>
      <c r="J97" s="156"/>
      <c r="K97" s="155">
        <v>0.0</v>
      </c>
      <c r="L97" s="155">
        <f t="shared" ref="L97:M97" si="90">$K97*L$4/100</f>
        <v>0</v>
      </c>
      <c r="M97" s="155">
        <f t="shared" si="90"/>
        <v>0</v>
      </c>
    </row>
    <row r="98">
      <c r="A98" s="152">
        <f t="shared" si="7"/>
        <v>0</v>
      </c>
      <c r="B98" s="153">
        <f t="shared" si="8"/>
        <v>0</v>
      </c>
      <c r="C98" s="153">
        <f t="shared" si="9"/>
        <v>0</v>
      </c>
      <c r="D98" s="186"/>
      <c r="E98" s="161"/>
      <c r="F98" s="156"/>
      <c r="G98" s="156"/>
      <c r="H98" s="156"/>
      <c r="I98" s="156"/>
      <c r="J98" s="156"/>
      <c r="K98" s="155">
        <v>0.0</v>
      </c>
      <c r="L98" s="155">
        <f t="shared" ref="L98:M98" si="91">$K98*L$4/100</f>
        <v>0</v>
      </c>
      <c r="M98" s="155">
        <f t="shared" si="91"/>
        <v>0</v>
      </c>
    </row>
    <row r="99">
      <c r="A99" s="152">
        <f t="shared" si="7"/>
        <v>0</v>
      </c>
      <c r="B99" s="153">
        <f t="shared" si="8"/>
        <v>0</v>
      </c>
      <c r="C99" s="153">
        <f t="shared" si="9"/>
        <v>0</v>
      </c>
      <c r="D99" s="186"/>
      <c r="E99" s="161"/>
      <c r="F99" s="156"/>
      <c r="G99" s="156"/>
      <c r="H99" s="156"/>
      <c r="I99" s="156"/>
      <c r="J99" s="156"/>
      <c r="K99" s="155">
        <v>0.0</v>
      </c>
      <c r="L99" s="155">
        <f t="shared" ref="L99:M99" si="92">$K99*L$4/100</f>
        <v>0</v>
      </c>
      <c r="M99" s="155">
        <f t="shared" si="92"/>
        <v>0</v>
      </c>
    </row>
    <row r="100">
      <c r="A100" s="152">
        <f t="shared" si="7"/>
        <v>0</v>
      </c>
      <c r="B100" s="153">
        <f t="shared" si="8"/>
        <v>0</v>
      </c>
      <c r="C100" s="153">
        <f t="shared" si="9"/>
        <v>0</v>
      </c>
      <c r="D100" s="186"/>
      <c r="E100" s="161"/>
      <c r="F100" s="156"/>
      <c r="G100" s="156"/>
      <c r="H100" s="156"/>
      <c r="I100" s="156"/>
      <c r="J100" s="156"/>
      <c r="K100" s="155">
        <v>0.0</v>
      </c>
      <c r="L100" s="155">
        <f t="shared" ref="L100:M100" si="93">$K100*L$4/100</f>
        <v>0</v>
      </c>
      <c r="M100" s="155">
        <f t="shared" si="93"/>
        <v>0</v>
      </c>
    </row>
    <row r="101">
      <c r="A101" s="152">
        <f t="shared" si="7"/>
        <v>0</v>
      </c>
      <c r="B101" s="153">
        <f t="shared" si="8"/>
        <v>0</v>
      </c>
      <c r="C101" s="153">
        <f t="shared" si="9"/>
        <v>0</v>
      </c>
      <c r="D101" s="186"/>
      <c r="E101" s="161"/>
      <c r="F101" s="156"/>
      <c r="G101" s="156"/>
      <c r="H101" s="156"/>
      <c r="I101" s="156"/>
      <c r="J101" s="156"/>
      <c r="K101" s="155">
        <v>0.0</v>
      </c>
      <c r="L101" s="155">
        <f t="shared" ref="L101:M101" si="94">$K101*L$4/100</f>
        <v>0</v>
      </c>
      <c r="M101" s="155">
        <f t="shared" si="94"/>
        <v>0</v>
      </c>
    </row>
    <row r="102">
      <c r="A102" s="152">
        <f t="shared" si="7"/>
        <v>0</v>
      </c>
      <c r="B102" s="153">
        <f t="shared" si="8"/>
        <v>0</v>
      </c>
      <c r="C102" s="153">
        <f t="shared" si="9"/>
        <v>0</v>
      </c>
      <c r="D102" s="186"/>
      <c r="E102" s="161"/>
      <c r="F102" s="156"/>
      <c r="G102" s="156"/>
      <c r="H102" s="156"/>
      <c r="I102" s="156"/>
      <c r="J102" s="156"/>
      <c r="K102" s="155">
        <v>0.0</v>
      </c>
      <c r="L102" s="155">
        <f t="shared" ref="L102:M102" si="95">$K102*L$4/100</f>
        <v>0</v>
      </c>
      <c r="M102" s="155">
        <f t="shared" si="95"/>
        <v>0</v>
      </c>
    </row>
    <row r="103">
      <c r="A103" s="152">
        <f t="shared" si="7"/>
        <v>0</v>
      </c>
      <c r="B103" s="153">
        <f t="shared" si="8"/>
        <v>0</v>
      </c>
      <c r="C103" s="153">
        <f t="shared" si="9"/>
        <v>0</v>
      </c>
      <c r="D103" s="186"/>
      <c r="E103" s="161"/>
      <c r="F103" s="156"/>
      <c r="G103" s="156"/>
      <c r="H103" s="156"/>
      <c r="I103" s="156"/>
      <c r="J103" s="156"/>
      <c r="K103" s="155">
        <v>0.0</v>
      </c>
      <c r="L103" s="155">
        <f t="shared" ref="L103:M103" si="96">$K103*L$4/100</f>
        <v>0</v>
      </c>
      <c r="M103" s="155">
        <f t="shared" si="96"/>
        <v>0</v>
      </c>
    </row>
    <row r="104">
      <c r="A104" s="152">
        <f t="shared" si="7"/>
        <v>0</v>
      </c>
      <c r="B104" s="153">
        <f t="shared" si="8"/>
        <v>0</v>
      </c>
      <c r="C104" s="153">
        <f t="shared" si="9"/>
        <v>0</v>
      </c>
      <c r="D104" s="186"/>
      <c r="E104" s="161"/>
      <c r="F104" s="156"/>
      <c r="G104" s="156"/>
      <c r="H104" s="156"/>
      <c r="I104" s="156"/>
      <c r="J104" s="156"/>
      <c r="K104" s="155">
        <v>0.0</v>
      </c>
      <c r="L104" s="155">
        <f t="shared" ref="L104:M104" si="97">$K104*L$4/100</f>
        <v>0</v>
      </c>
      <c r="M104" s="155">
        <f t="shared" si="97"/>
        <v>0</v>
      </c>
    </row>
    <row r="105">
      <c r="A105" s="152">
        <f t="shared" si="7"/>
        <v>0</v>
      </c>
      <c r="B105" s="153">
        <f t="shared" si="8"/>
        <v>0</v>
      </c>
      <c r="C105" s="153">
        <f t="shared" si="9"/>
        <v>0</v>
      </c>
      <c r="D105" s="186"/>
      <c r="E105" s="161"/>
      <c r="F105" s="156"/>
      <c r="G105" s="156"/>
      <c r="H105" s="156"/>
      <c r="I105" s="156"/>
      <c r="J105" s="156"/>
      <c r="K105" s="155">
        <v>0.0</v>
      </c>
      <c r="L105" s="155">
        <f t="shared" ref="L105:M105" si="98">$K105*L$4/100</f>
        <v>0</v>
      </c>
      <c r="M105" s="155">
        <f t="shared" si="98"/>
        <v>0</v>
      </c>
    </row>
    <row r="106">
      <c r="A106" s="152">
        <f t="shared" si="7"/>
        <v>0</v>
      </c>
      <c r="B106" s="153">
        <f t="shared" si="8"/>
        <v>0</v>
      </c>
      <c r="C106" s="153">
        <f t="shared" si="9"/>
        <v>0</v>
      </c>
      <c r="D106" s="186"/>
      <c r="E106" s="161"/>
      <c r="F106" s="156"/>
      <c r="G106" s="156"/>
      <c r="H106" s="156"/>
      <c r="I106" s="156"/>
      <c r="J106" s="156"/>
      <c r="K106" s="155">
        <v>0.0</v>
      </c>
      <c r="L106" s="155">
        <f t="shared" ref="L106:M106" si="99">$K106*L$4/100</f>
        <v>0</v>
      </c>
      <c r="M106" s="155">
        <f t="shared" si="99"/>
        <v>0</v>
      </c>
    </row>
    <row r="107">
      <c r="A107" s="152">
        <f t="shared" si="7"/>
        <v>0</v>
      </c>
      <c r="B107" s="153">
        <f t="shared" si="8"/>
        <v>0</v>
      </c>
      <c r="C107" s="153">
        <f t="shared" si="9"/>
        <v>0</v>
      </c>
      <c r="D107" s="186"/>
      <c r="E107" s="161"/>
      <c r="F107" s="156"/>
      <c r="G107" s="156"/>
      <c r="H107" s="156"/>
      <c r="I107" s="156"/>
      <c r="J107" s="156"/>
      <c r="K107" s="155">
        <v>0.0</v>
      </c>
      <c r="L107" s="155">
        <f t="shared" ref="L107:M107" si="100">$K107*L$4/100</f>
        <v>0</v>
      </c>
      <c r="M107" s="155">
        <f t="shared" si="100"/>
        <v>0</v>
      </c>
    </row>
    <row r="108">
      <c r="A108" s="152">
        <f t="shared" si="7"/>
        <v>0</v>
      </c>
      <c r="B108" s="153">
        <f t="shared" si="8"/>
        <v>0</v>
      </c>
      <c r="C108" s="153">
        <f t="shared" si="9"/>
        <v>0</v>
      </c>
      <c r="D108" s="186"/>
      <c r="E108" s="161"/>
      <c r="F108" s="156"/>
      <c r="G108" s="156"/>
      <c r="H108" s="156"/>
      <c r="I108" s="156"/>
      <c r="J108" s="156"/>
      <c r="K108" s="155">
        <v>0.0</v>
      </c>
      <c r="L108" s="155">
        <f t="shared" ref="L108:M108" si="101">$K108*L$4/100</f>
        <v>0</v>
      </c>
      <c r="M108" s="155">
        <f t="shared" si="101"/>
        <v>0</v>
      </c>
    </row>
    <row r="109">
      <c r="A109" s="152">
        <f t="shared" si="7"/>
        <v>0</v>
      </c>
      <c r="B109" s="153">
        <f t="shared" si="8"/>
        <v>0</v>
      </c>
      <c r="C109" s="153">
        <f t="shared" si="9"/>
        <v>0</v>
      </c>
      <c r="D109" s="186"/>
      <c r="E109" s="161"/>
      <c r="F109" s="156"/>
      <c r="G109" s="156"/>
      <c r="H109" s="156"/>
      <c r="I109" s="156"/>
      <c r="J109" s="156"/>
      <c r="K109" s="155">
        <v>0.0</v>
      </c>
      <c r="L109" s="155">
        <f t="shared" ref="L109:M109" si="102">$K109*L$4/100</f>
        <v>0</v>
      </c>
      <c r="M109" s="155">
        <f t="shared" si="102"/>
        <v>0</v>
      </c>
    </row>
    <row r="110">
      <c r="A110" s="152">
        <f t="shared" si="7"/>
        <v>0</v>
      </c>
      <c r="B110" s="153">
        <f t="shared" si="8"/>
        <v>0</v>
      </c>
      <c r="C110" s="153">
        <f t="shared" si="9"/>
        <v>0</v>
      </c>
      <c r="D110" s="186"/>
      <c r="E110" s="161"/>
      <c r="F110" s="156"/>
      <c r="G110" s="156"/>
      <c r="H110" s="156"/>
      <c r="I110" s="156"/>
      <c r="J110" s="156"/>
      <c r="K110" s="155">
        <v>0.0</v>
      </c>
      <c r="L110" s="155">
        <f t="shared" ref="L110:M110" si="103">$K110*L$4/100</f>
        <v>0</v>
      </c>
      <c r="M110" s="155">
        <f t="shared" si="103"/>
        <v>0</v>
      </c>
    </row>
    <row r="111">
      <c r="A111" s="152">
        <f t="shared" si="7"/>
        <v>0</v>
      </c>
      <c r="B111" s="153">
        <f t="shared" si="8"/>
        <v>0</v>
      </c>
      <c r="C111" s="153">
        <f t="shared" si="9"/>
        <v>0</v>
      </c>
      <c r="D111" s="186"/>
      <c r="E111" s="161"/>
      <c r="F111" s="156"/>
      <c r="G111" s="156"/>
      <c r="H111" s="156"/>
      <c r="I111" s="156"/>
      <c r="J111" s="156"/>
      <c r="K111" s="155">
        <v>0.0</v>
      </c>
      <c r="L111" s="155">
        <f t="shared" ref="L111:M111" si="104">$K111*L$4/100</f>
        <v>0</v>
      </c>
      <c r="M111" s="155">
        <f t="shared" si="104"/>
        <v>0</v>
      </c>
    </row>
    <row r="112">
      <c r="A112" s="152">
        <f t="shared" si="7"/>
        <v>0</v>
      </c>
      <c r="B112" s="153">
        <f t="shared" si="8"/>
        <v>0</v>
      </c>
      <c r="C112" s="153">
        <f t="shared" si="9"/>
        <v>0</v>
      </c>
      <c r="D112" s="186"/>
      <c r="E112" s="161"/>
      <c r="F112" s="156"/>
      <c r="G112" s="156"/>
      <c r="H112" s="156"/>
      <c r="I112" s="156"/>
      <c r="J112" s="156"/>
      <c r="K112" s="155">
        <v>0.0</v>
      </c>
      <c r="L112" s="155">
        <f t="shared" ref="L112:M112" si="105">$K112*L$4/100</f>
        <v>0</v>
      </c>
      <c r="M112" s="155">
        <f t="shared" si="105"/>
        <v>0</v>
      </c>
    </row>
    <row r="113">
      <c r="A113" s="152">
        <f t="shared" si="7"/>
        <v>0</v>
      </c>
      <c r="B113" s="153">
        <f t="shared" si="8"/>
        <v>0</v>
      </c>
      <c r="C113" s="153">
        <f t="shared" si="9"/>
        <v>0</v>
      </c>
      <c r="D113" s="186"/>
      <c r="E113" s="161"/>
      <c r="F113" s="156"/>
      <c r="G113" s="156"/>
      <c r="H113" s="156"/>
      <c r="I113" s="156"/>
      <c r="J113" s="156"/>
      <c r="K113" s="155">
        <v>0.0</v>
      </c>
      <c r="L113" s="155">
        <f t="shared" ref="L113:M113" si="106">$K113*L$4/100</f>
        <v>0</v>
      </c>
      <c r="M113" s="155">
        <f t="shared" si="106"/>
        <v>0</v>
      </c>
    </row>
    <row r="114">
      <c r="A114" s="152">
        <f t="shared" si="7"/>
        <v>0</v>
      </c>
      <c r="B114" s="153">
        <f t="shared" si="8"/>
        <v>0</v>
      </c>
      <c r="C114" s="153">
        <f t="shared" si="9"/>
        <v>0</v>
      </c>
      <c r="D114" s="186"/>
      <c r="E114" s="161"/>
      <c r="F114" s="156"/>
      <c r="G114" s="156"/>
      <c r="H114" s="156"/>
      <c r="I114" s="156"/>
      <c r="J114" s="156"/>
      <c r="K114" s="155">
        <v>0.0</v>
      </c>
      <c r="L114" s="155">
        <f t="shared" ref="L114:M114" si="107">$K114*L$4/100</f>
        <v>0</v>
      </c>
      <c r="M114" s="155">
        <f t="shared" si="107"/>
        <v>0</v>
      </c>
    </row>
    <row r="115">
      <c r="A115" s="152">
        <f t="shared" si="7"/>
        <v>0</v>
      </c>
      <c r="B115" s="153">
        <f t="shared" si="8"/>
        <v>0</v>
      </c>
      <c r="C115" s="153">
        <f t="shared" si="9"/>
        <v>0</v>
      </c>
      <c r="D115" s="186"/>
      <c r="E115" s="161"/>
      <c r="F115" s="156"/>
      <c r="G115" s="156"/>
      <c r="H115" s="156"/>
      <c r="I115" s="156"/>
      <c r="J115" s="156"/>
      <c r="K115" s="155">
        <v>0.0</v>
      </c>
      <c r="L115" s="155">
        <f t="shared" ref="L115:M115" si="108">$K115*L$4/100</f>
        <v>0</v>
      </c>
      <c r="M115" s="155">
        <f t="shared" si="108"/>
        <v>0</v>
      </c>
    </row>
    <row r="116">
      <c r="A116" s="152">
        <f t="shared" si="7"/>
        <v>0</v>
      </c>
      <c r="B116" s="153">
        <f t="shared" si="8"/>
        <v>0</v>
      </c>
      <c r="C116" s="153">
        <f t="shared" si="9"/>
        <v>0</v>
      </c>
      <c r="D116" s="186"/>
      <c r="E116" s="161"/>
      <c r="F116" s="156"/>
      <c r="G116" s="156"/>
      <c r="H116" s="156"/>
      <c r="I116" s="156"/>
      <c r="J116" s="156"/>
      <c r="K116" s="155">
        <v>0.0</v>
      </c>
      <c r="L116" s="155">
        <f t="shared" ref="L116:M116" si="109">$K116*L$4/100</f>
        <v>0</v>
      </c>
      <c r="M116" s="155">
        <f t="shared" si="109"/>
        <v>0</v>
      </c>
    </row>
    <row r="117">
      <c r="A117" s="152">
        <f t="shared" si="7"/>
        <v>0</v>
      </c>
      <c r="B117" s="153">
        <f t="shared" si="8"/>
        <v>0</v>
      </c>
      <c r="C117" s="153">
        <f t="shared" si="9"/>
        <v>0</v>
      </c>
      <c r="D117" s="186"/>
      <c r="E117" s="161"/>
      <c r="F117" s="156"/>
      <c r="G117" s="156"/>
      <c r="H117" s="156"/>
      <c r="I117" s="156"/>
      <c r="J117" s="156"/>
      <c r="K117" s="155">
        <v>0.0</v>
      </c>
      <c r="L117" s="155">
        <f t="shared" ref="L117:M117" si="110">$K117*L$4/100</f>
        <v>0</v>
      </c>
      <c r="M117" s="155">
        <f t="shared" si="110"/>
        <v>0</v>
      </c>
    </row>
    <row r="118">
      <c r="A118" s="152">
        <f t="shared" si="7"/>
        <v>0</v>
      </c>
      <c r="B118" s="153">
        <f t="shared" si="8"/>
        <v>0</v>
      </c>
      <c r="C118" s="153">
        <f t="shared" si="9"/>
        <v>0</v>
      </c>
      <c r="D118" s="186"/>
      <c r="E118" s="161"/>
      <c r="F118" s="156"/>
      <c r="G118" s="156"/>
      <c r="H118" s="156"/>
      <c r="I118" s="156"/>
      <c r="J118" s="156"/>
      <c r="K118" s="155">
        <v>0.0</v>
      </c>
      <c r="L118" s="155">
        <f t="shared" ref="L118:M118" si="111">$K118*L$4/100</f>
        <v>0</v>
      </c>
      <c r="M118" s="155">
        <f t="shared" si="111"/>
        <v>0</v>
      </c>
    </row>
    <row r="119">
      <c r="A119" s="152">
        <f t="shared" si="7"/>
        <v>0</v>
      </c>
      <c r="B119" s="153">
        <f t="shared" si="8"/>
        <v>0</v>
      </c>
      <c r="C119" s="153">
        <f t="shared" si="9"/>
        <v>0</v>
      </c>
      <c r="D119" s="186"/>
      <c r="E119" s="161"/>
      <c r="F119" s="156"/>
      <c r="G119" s="156"/>
      <c r="H119" s="156"/>
      <c r="I119" s="156"/>
      <c r="J119" s="156"/>
      <c r="K119" s="155">
        <v>0.0</v>
      </c>
      <c r="L119" s="155">
        <f t="shared" ref="L119:M119" si="112">$K119*L$4/100</f>
        <v>0</v>
      </c>
      <c r="M119" s="155">
        <f t="shared" si="112"/>
        <v>0</v>
      </c>
    </row>
    <row r="120">
      <c r="A120" s="152">
        <f t="shared" si="7"/>
        <v>0</v>
      </c>
      <c r="B120" s="153">
        <f t="shared" si="8"/>
        <v>0</v>
      </c>
      <c r="C120" s="153">
        <f t="shared" si="9"/>
        <v>0</v>
      </c>
      <c r="D120" s="186"/>
      <c r="E120" s="161"/>
      <c r="F120" s="156"/>
      <c r="G120" s="156"/>
      <c r="H120" s="156"/>
      <c r="I120" s="156"/>
      <c r="J120" s="156"/>
      <c r="K120" s="155">
        <v>0.0</v>
      </c>
      <c r="L120" s="155">
        <f t="shared" ref="L120:M120" si="113">$K120*L$4/100</f>
        <v>0</v>
      </c>
      <c r="M120" s="155">
        <f t="shared" si="113"/>
        <v>0</v>
      </c>
    </row>
    <row r="121">
      <c r="A121" s="152">
        <f t="shared" si="7"/>
        <v>0</v>
      </c>
      <c r="B121" s="153">
        <f t="shared" si="8"/>
        <v>0</v>
      </c>
      <c r="C121" s="153">
        <f t="shared" si="9"/>
        <v>0</v>
      </c>
      <c r="D121" s="186"/>
      <c r="E121" s="161"/>
      <c r="F121" s="156"/>
      <c r="G121" s="156"/>
      <c r="H121" s="156"/>
      <c r="I121" s="156"/>
      <c r="J121" s="156"/>
      <c r="K121" s="155">
        <v>0.0</v>
      </c>
      <c r="L121" s="155">
        <f t="shared" ref="L121:M121" si="114">$K121*L$4/100</f>
        <v>0</v>
      </c>
      <c r="M121" s="155">
        <f t="shared" si="114"/>
        <v>0</v>
      </c>
    </row>
    <row r="122">
      <c r="A122" s="152">
        <f t="shared" si="7"/>
        <v>0</v>
      </c>
      <c r="B122" s="153">
        <f t="shared" si="8"/>
        <v>0</v>
      </c>
      <c r="C122" s="153">
        <f t="shared" si="9"/>
        <v>0</v>
      </c>
      <c r="D122" s="186"/>
      <c r="E122" s="161"/>
      <c r="F122" s="156"/>
      <c r="G122" s="156"/>
      <c r="H122" s="156"/>
      <c r="I122" s="156"/>
      <c r="J122" s="156"/>
      <c r="K122" s="155">
        <v>0.0</v>
      </c>
      <c r="L122" s="155">
        <f t="shared" ref="L122:M122" si="115">$K122*L$4/100</f>
        <v>0</v>
      </c>
      <c r="M122" s="155">
        <f t="shared" si="115"/>
        <v>0</v>
      </c>
    </row>
    <row r="123">
      <c r="A123" s="152">
        <f t="shared" si="7"/>
        <v>0</v>
      </c>
      <c r="B123" s="153">
        <f t="shared" si="8"/>
        <v>0</v>
      </c>
      <c r="C123" s="153">
        <f t="shared" si="9"/>
        <v>0</v>
      </c>
      <c r="D123" s="186"/>
      <c r="E123" s="161"/>
      <c r="F123" s="156"/>
      <c r="G123" s="156"/>
      <c r="H123" s="156"/>
      <c r="I123" s="156"/>
      <c r="J123" s="156"/>
      <c r="K123" s="155">
        <v>0.0</v>
      </c>
      <c r="L123" s="155">
        <f t="shared" ref="L123:M123" si="116">$K123*L$4/100</f>
        <v>0</v>
      </c>
      <c r="M123" s="155">
        <f t="shared" si="116"/>
        <v>0</v>
      </c>
    </row>
    <row r="124">
      <c r="A124" s="152">
        <f t="shared" si="7"/>
        <v>0</v>
      </c>
      <c r="B124" s="153">
        <f t="shared" si="8"/>
        <v>0</v>
      </c>
      <c r="C124" s="153">
        <f t="shared" si="9"/>
        <v>0</v>
      </c>
      <c r="D124" s="186"/>
      <c r="E124" s="161"/>
      <c r="F124" s="156"/>
      <c r="G124" s="156"/>
      <c r="H124" s="156"/>
      <c r="I124" s="156"/>
      <c r="J124" s="156"/>
      <c r="K124" s="155">
        <v>0.0</v>
      </c>
      <c r="L124" s="155">
        <f t="shared" ref="L124:M124" si="117">$K124*L$4/100</f>
        <v>0</v>
      </c>
      <c r="M124" s="155">
        <f t="shared" si="117"/>
        <v>0</v>
      </c>
    </row>
    <row r="125">
      <c r="A125" s="152">
        <f t="shared" si="7"/>
        <v>0</v>
      </c>
      <c r="B125" s="153">
        <f t="shared" si="8"/>
        <v>0</v>
      </c>
      <c r="C125" s="153">
        <f t="shared" si="9"/>
        <v>0</v>
      </c>
      <c r="D125" s="186"/>
      <c r="E125" s="161"/>
      <c r="F125" s="156"/>
      <c r="G125" s="156"/>
      <c r="H125" s="156"/>
      <c r="I125" s="156"/>
      <c r="J125" s="156"/>
      <c r="K125" s="155">
        <v>0.0</v>
      </c>
      <c r="L125" s="155">
        <f t="shared" ref="L125:M125" si="118">$K125*L$4/100</f>
        <v>0</v>
      </c>
      <c r="M125" s="155">
        <f t="shared" si="118"/>
        <v>0</v>
      </c>
    </row>
    <row r="126">
      <c r="A126" s="152">
        <f t="shared" si="7"/>
        <v>0</v>
      </c>
      <c r="B126" s="153">
        <f t="shared" si="8"/>
        <v>0</v>
      </c>
      <c r="C126" s="153">
        <f t="shared" si="9"/>
        <v>0</v>
      </c>
      <c r="D126" s="186"/>
      <c r="E126" s="161"/>
      <c r="F126" s="156"/>
      <c r="G126" s="156"/>
      <c r="H126" s="156"/>
      <c r="I126" s="156"/>
      <c r="J126" s="156"/>
      <c r="K126" s="155">
        <v>0.0</v>
      </c>
      <c r="L126" s="155">
        <f t="shared" ref="L126:M126" si="119">$K126*L$4/100</f>
        <v>0</v>
      </c>
      <c r="M126" s="155">
        <f t="shared" si="119"/>
        <v>0</v>
      </c>
    </row>
    <row r="127">
      <c r="A127" s="152">
        <f t="shared" si="7"/>
        <v>0</v>
      </c>
      <c r="B127" s="153">
        <f t="shared" si="8"/>
        <v>0</v>
      </c>
      <c r="C127" s="153">
        <f t="shared" si="9"/>
        <v>0</v>
      </c>
      <c r="D127" s="186"/>
      <c r="E127" s="161"/>
      <c r="F127" s="156"/>
      <c r="G127" s="156"/>
      <c r="H127" s="156"/>
      <c r="I127" s="156"/>
      <c r="J127" s="156"/>
      <c r="K127" s="155">
        <v>0.0</v>
      </c>
      <c r="L127" s="155">
        <f t="shared" ref="L127:M127" si="120">$K127*L$4/100</f>
        <v>0</v>
      </c>
      <c r="M127" s="155">
        <f t="shared" si="120"/>
        <v>0</v>
      </c>
    </row>
    <row r="128">
      <c r="A128" s="152">
        <f t="shared" si="7"/>
        <v>0</v>
      </c>
      <c r="B128" s="153">
        <f t="shared" si="8"/>
        <v>0</v>
      </c>
      <c r="C128" s="153">
        <f t="shared" si="9"/>
        <v>0</v>
      </c>
      <c r="D128" s="186"/>
      <c r="E128" s="161"/>
      <c r="F128" s="156"/>
      <c r="G128" s="156"/>
      <c r="H128" s="156"/>
      <c r="I128" s="156"/>
      <c r="J128" s="156"/>
      <c r="K128" s="155">
        <v>0.0</v>
      </c>
      <c r="L128" s="155">
        <f t="shared" ref="L128:M128" si="121">$K128*L$4/100</f>
        <v>0</v>
      </c>
      <c r="M128" s="155">
        <f t="shared" si="121"/>
        <v>0</v>
      </c>
    </row>
    <row r="129">
      <c r="A129" s="152">
        <f t="shared" si="7"/>
        <v>0</v>
      </c>
      <c r="B129" s="153">
        <f t="shared" si="8"/>
        <v>0</v>
      </c>
      <c r="C129" s="153">
        <f t="shared" si="9"/>
        <v>0</v>
      </c>
      <c r="D129" s="186"/>
      <c r="E129" s="161"/>
      <c r="F129" s="156"/>
      <c r="G129" s="156"/>
      <c r="H129" s="156"/>
      <c r="I129" s="156"/>
      <c r="J129" s="156"/>
      <c r="K129" s="155">
        <v>0.0</v>
      </c>
      <c r="L129" s="155">
        <f t="shared" ref="L129:M129" si="122">$K129*L$4/100</f>
        <v>0</v>
      </c>
      <c r="M129" s="155">
        <f t="shared" si="122"/>
        <v>0</v>
      </c>
    </row>
    <row r="130">
      <c r="A130" s="152">
        <f t="shared" si="7"/>
        <v>0</v>
      </c>
      <c r="B130" s="153">
        <f t="shared" si="8"/>
        <v>0</v>
      </c>
      <c r="C130" s="153">
        <f t="shared" si="9"/>
        <v>0</v>
      </c>
      <c r="D130" s="186"/>
      <c r="E130" s="161"/>
      <c r="F130" s="156"/>
      <c r="G130" s="156"/>
      <c r="H130" s="156"/>
      <c r="I130" s="156"/>
      <c r="J130" s="156"/>
      <c r="K130" s="155">
        <v>0.0</v>
      </c>
      <c r="L130" s="155">
        <f t="shared" ref="L130:M130" si="123">$K130*L$4/100</f>
        <v>0</v>
      </c>
      <c r="M130" s="155">
        <f t="shared" si="123"/>
        <v>0</v>
      </c>
    </row>
    <row r="131">
      <c r="A131" s="152">
        <f t="shared" si="7"/>
        <v>0</v>
      </c>
      <c r="B131" s="153">
        <f t="shared" si="8"/>
        <v>0</v>
      </c>
      <c r="C131" s="153">
        <f t="shared" si="9"/>
        <v>0</v>
      </c>
      <c r="D131" s="186"/>
      <c r="E131" s="161"/>
      <c r="F131" s="156"/>
      <c r="G131" s="156"/>
      <c r="H131" s="156"/>
      <c r="I131" s="156"/>
      <c r="J131" s="156"/>
      <c r="K131" s="155">
        <v>0.0</v>
      </c>
      <c r="L131" s="155">
        <f t="shared" ref="L131:M131" si="124">$K131*L$4/100</f>
        <v>0</v>
      </c>
      <c r="M131" s="155">
        <f t="shared" si="124"/>
        <v>0</v>
      </c>
    </row>
    <row r="132">
      <c r="A132" s="152">
        <f t="shared" si="7"/>
        <v>0</v>
      </c>
      <c r="B132" s="153">
        <f t="shared" si="8"/>
        <v>0</v>
      </c>
      <c r="C132" s="153">
        <f t="shared" si="9"/>
        <v>0</v>
      </c>
      <c r="D132" s="186"/>
      <c r="E132" s="161"/>
      <c r="F132" s="156"/>
      <c r="G132" s="156"/>
      <c r="H132" s="156"/>
      <c r="I132" s="156"/>
      <c r="J132" s="156"/>
      <c r="K132" s="155">
        <v>0.0</v>
      </c>
      <c r="L132" s="155">
        <f t="shared" ref="L132:M132" si="125">$K132*L$4/100</f>
        <v>0</v>
      </c>
      <c r="M132" s="155">
        <f t="shared" si="125"/>
        <v>0</v>
      </c>
    </row>
    <row r="133">
      <c r="A133" s="152">
        <f t="shared" si="7"/>
        <v>0</v>
      </c>
      <c r="B133" s="153">
        <f t="shared" si="8"/>
        <v>0</v>
      </c>
      <c r="C133" s="153">
        <f t="shared" si="9"/>
        <v>0</v>
      </c>
      <c r="D133" s="186"/>
      <c r="E133" s="161"/>
      <c r="F133" s="156"/>
      <c r="G133" s="156"/>
      <c r="H133" s="156"/>
      <c r="I133" s="156"/>
      <c r="J133" s="156"/>
      <c r="K133" s="155">
        <v>0.0</v>
      </c>
      <c r="L133" s="155">
        <f t="shared" ref="L133:M133" si="126">$K133*L$4/100</f>
        <v>0</v>
      </c>
      <c r="M133" s="155">
        <f t="shared" si="126"/>
        <v>0</v>
      </c>
    </row>
    <row r="134">
      <c r="A134" s="152">
        <f t="shared" si="7"/>
        <v>0</v>
      </c>
      <c r="B134" s="153">
        <f t="shared" si="8"/>
        <v>0</v>
      </c>
      <c r="C134" s="153">
        <f t="shared" si="9"/>
        <v>0</v>
      </c>
      <c r="D134" s="186"/>
      <c r="E134" s="161"/>
      <c r="F134" s="156"/>
      <c r="G134" s="156"/>
      <c r="H134" s="156"/>
      <c r="I134" s="156"/>
      <c r="J134" s="156"/>
      <c r="K134" s="155">
        <v>0.0</v>
      </c>
      <c r="L134" s="155">
        <f t="shared" ref="L134:M134" si="127">$K134*L$4/100</f>
        <v>0</v>
      </c>
      <c r="M134" s="155">
        <f t="shared" si="127"/>
        <v>0</v>
      </c>
    </row>
    <row r="135">
      <c r="A135" s="152">
        <f t="shared" si="7"/>
        <v>0</v>
      </c>
      <c r="B135" s="153">
        <f t="shared" si="8"/>
        <v>0</v>
      </c>
      <c r="C135" s="153">
        <f t="shared" si="9"/>
        <v>0</v>
      </c>
      <c r="D135" s="186"/>
      <c r="E135" s="161"/>
      <c r="F135" s="156"/>
      <c r="G135" s="156"/>
      <c r="H135" s="156"/>
      <c r="I135" s="156"/>
      <c r="J135" s="156"/>
      <c r="K135" s="155">
        <v>0.0</v>
      </c>
      <c r="L135" s="155">
        <f t="shared" ref="L135:M135" si="128">$K135*L$4/100</f>
        <v>0</v>
      </c>
      <c r="M135" s="155">
        <f t="shared" si="128"/>
        <v>0</v>
      </c>
    </row>
    <row r="136">
      <c r="A136" s="152">
        <f t="shared" si="7"/>
        <v>0</v>
      </c>
      <c r="B136" s="153">
        <f t="shared" si="8"/>
        <v>0</v>
      </c>
      <c r="C136" s="153">
        <f t="shared" si="9"/>
        <v>0</v>
      </c>
      <c r="D136" s="186"/>
      <c r="E136" s="161"/>
      <c r="F136" s="156"/>
      <c r="G136" s="156"/>
      <c r="H136" s="156"/>
      <c r="I136" s="156"/>
      <c r="J136" s="156"/>
      <c r="K136" s="155">
        <v>0.0</v>
      </c>
      <c r="L136" s="155">
        <f t="shared" ref="L136:M136" si="129">$K136*L$4/100</f>
        <v>0</v>
      </c>
      <c r="M136" s="155">
        <f t="shared" si="129"/>
        <v>0</v>
      </c>
    </row>
    <row r="137">
      <c r="A137" s="152">
        <f t="shared" si="7"/>
        <v>0</v>
      </c>
      <c r="B137" s="153">
        <f t="shared" si="8"/>
        <v>0</v>
      </c>
      <c r="C137" s="153">
        <f t="shared" si="9"/>
        <v>0</v>
      </c>
      <c r="D137" s="186"/>
      <c r="E137" s="161"/>
      <c r="F137" s="156"/>
      <c r="G137" s="156"/>
      <c r="H137" s="156"/>
      <c r="I137" s="156"/>
      <c r="J137" s="156"/>
      <c r="K137" s="155">
        <v>0.0</v>
      </c>
      <c r="L137" s="155">
        <f t="shared" ref="L137:M137" si="130">$K137*L$4/100</f>
        <v>0</v>
      </c>
      <c r="M137" s="155">
        <f t="shared" si="130"/>
        <v>0</v>
      </c>
    </row>
    <row r="138">
      <c r="A138" s="152">
        <f t="shared" si="7"/>
        <v>0</v>
      </c>
      <c r="B138" s="153">
        <f t="shared" si="8"/>
        <v>0</v>
      </c>
      <c r="C138" s="153">
        <f t="shared" si="9"/>
        <v>0</v>
      </c>
      <c r="D138" s="186"/>
      <c r="E138" s="161"/>
      <c r="F138" s="156"/>
      <c r="G138" s="156"/>
      <c r="H138" s="156"/>
      <c r="I138" s="156"/>
      <c r="J138" s="156"/>
      <c r="K138" s="155">
        <v>0.0</v>
      </c>
      <c r="L138" s="155">
        <f t="shared" ref="L138:M138" si="131">$K138*L$4/100</f>
        <v>0</v>
      </c>
      <c r="M138" s="155">
        <f t="shared" si="131"/>
        <v>0</v>
      </c>
    </row>
    <row r="139">
      <c r="A139" s="152">
        <f t="shared" si="7"/>
        <v>0</v>
      </c>
      <c r="B139" s="153">
        <f t="shared" si="8"/>
        <v>0</v>
      </c>
      <c r="C139" s="153">
        <f t="shared" si="9"/>
        <v>0</v>
      </c>
      <c r="D139" s="186"/>
      <c r="E139" s="161"/>
      <c r="F139" s="156"/>
      <c r="G139" s="156"/>
      <c r="H139" s="156"/>
      <c r="I139" s="156"/>
      <c r="J139" s="156"/>
      <c r="K139" s="155">
        <v>0.0</v>
      </c>
      <c r="L139" s="155">
        <f t="shared" ref="L139:M139" si="132">$K139*L$4/100</f>
        <v>0</v>
      </c>
      <c r="M139" s="155">
        <f t="shared" si="132"/>
        <v>0</v>
      </c>
    </row>
    <row r="140">
      <c r="A140" s="152">
        <f t="shared" si="7"/>
        <v>0</v>
      </c>
      <c r="B140" s="153">
        <f t="shared" si="8"/>
        <v>0</v>
      </c>
      <c r="C140" s="153">
        <f t="shared" si="9"/>
        <v>0</v>
      </c>
      <c r="D140" s="186"/>
      <c r="E140" s="161"/>
      <c r="F140" s="156"/>
      <c r="G140" s="156"/>
      <c r="H140" s="156"/>
      <c r="I140" s="156"/>
      <c r="J140" s="156"/>
      <c r="K140" s="155">
        <v>0.0</v>
      </c>
      <c r="L140" s="155">
        <f t="shared" ref="L140:M140" si="133">$K140*L$4/100</f>
        <v>0</v>
      </c>
      <c r="M140" s="155">
        <f t="shared" si="133"/>
        <v>0</v>
      </c>
    </row>
    <row r="141">
      <c r="A141" s="152">
        <f t="shared" si="7"/>
        <v>0</v>
      </c>
      <c r="B141" s="153">
        <f t="shared" si="8"/>
        <v>0</v>
      </c>
      <c r="C141" s="153">
        <f t="shared" si="9"/>
        <v>0</v>
      </c>
      <c r="D141" s="186"/>
      <c r="E141" s="161"/>
      <c r="F141" s="156"/>
      <c r="G141" s="156"/>
      <c r="H141" s="156"/>
      <c r="I141" s="156"/>
      <c r="J141" s="156"/>
      <c r="K141" s="155">
        <v>0.0</v>
      </c>
      <c r="L141" s="155">
        <f t="shared" ref="L141:M141" si="134">$K141*L$4/100</f>
        <v>0</v>
      </c>
      <c r="M141" s="155">
        <f t="shared" si="134"/>
        <v>0</v>
      </c>
    </row>
    <row r="142">
      <c r="A142" s="152">
        <f t="shared" si="7"/>
        <v>0</v>
      </c>
      <c r="B142" s="153">
        <f t="shared" si="8"/>
        <v>0</v>
      </c>
      <c r="C142" s="153">
        <f t="shared" si="9"/>
        <v>0</v>
      </c>
      <c r="D142" s="186"/>
      <c r="E142" s="161"/>
      <c r="F142" s="156"/>
      <c r="G142" s="156"/>
      <c r="H142" s="156"/>
      <c r="I142" s="156"/>
      <c r="J142" s="156"/>
      <c r="K142" s="155">
        <v>0.0</v>
      </c>
      <c r="L142" s="155">
        <f t="shared" ref="L142:M142" si="135">$K142*L$4/100</f>
        <v>0</v>
      </c>
      <c r="M142" s="155">
        <f t="shared" si="135"/>
        <v>0</v>
      </c>
    </row>
    <row r="143">
      <c r="A143" s="152">
        <f t="shared" si="7"/>
        <v>0</v>
      </c>
      <c r="B143" s="153">
        <f t="shared" si="8"/>
        <v>0</v>
      </c>
      <c r="C143" s="153">
        <f t="shared" si="9"/>
        <v>0</v>
      </c>
      <c r="D143" s="186"/>
      <c r="E143" s="161"/>
      <c r="F143" s="156"/>
      <c r="G143" s="156"/>
      <c r="H143" s="156"/>
      <c r="I143" s="156"/>
      <c r="J143" s="156"/>
      <c r="K143" s="155">
        <v>0.0</v>
      </c>
      <c r="L143" s="155">
        <f t="shared" ref="L143:M143" si="136">$K143*L$4/100</f>
        <v>0</v>
      </c>
      <c r="M143" s="155">
        <f t="shared" si="136"/>
        <v>0</v>
      </c>
    </row>
    <row r="144">
      <c r="A144" s="152">
        <f t="shared" si="7"/>
        <v>0</v>
      </c>
      <c r="B144" s="153">
        <f t="shared" si="8"/>
        <v>0</v>
      </c>
      <c r="C144" s="153">
        <f t="shared" si="9"/>
        <v>0</v>
      </c>
      <c r="D144" s="186"/>
      <c r="E144" s="161"/>
      <c r="F144" s="156"/>
      <c r="G144" s="156"/>
      <c r="H144" s="156"/>
      <c r="I144" s="156"/>
      <c r="J144" s="156"/>
      <c r="K144" s="155">
        <v>0.0</v>
      </c>
      <c r="L144" s="155">
        <f t="shared" ref="L144:M144" si="137">$K144*L$4/100</f>
        <v>0</v>
      </c>
      <c r="M144" s="155">
        <f t="shared" si="137"/>
        <v>0</v>
      </c>
    </row>
    <row r="145">
      <c r="A145" s="152">
        <f t="shared" si="7"/>
        <v>0</v>
      </c>
      <c r="B145" s="153">
        <f t="shared" si="8"/>
        <v>0</v>
      </c>
      <c r="C145" s="153">
        <f t="shared" si="9"/>
        <v>0</v>
      </c>
      <c r="D145" s="186"/>
      <c r="E145" s="161"/>
      <c r="F145" s="156"/>
      <c r="G145" s="156"/>
      <c r="H145" s="156"/>
      <c r="I145" s="156"/>
      <c r="J145" s="156"/>
      <c r="K145" s="155">
        <v>0.0</v>
      </c>
      <c r="L145" s="155">
        <f t="shared" ref="L145:M145" si="138">$K145*L$4/100</f>
        <v>0</v>
      </c>
      <c r="M145" s="155">
        <f t="shared" si="138"/>
        <v>0</v>
      </c>
    </row>
    <row r="146">
      <c r="A146" s="152">
        <f t="shared" si="7"/>
        <v>0</v>
      </c>
      <c r="B146" s="153">
        <f t="shared" si="8"/>
        <v>0</v>
      </c>
      <c r="C146" s="153">
        <f t="shared" si="9"/>
        <v>0</v>
      </c>
      <c r="D146" s="186"/>
      <c r="E146" s="161"/>
      <c r="F146" s="156"/>
      <c r="G146" s="156"/>
      <c r="H146" s="156"/>
      <c r="I146" s="156"/>
      <c r="J146" s="156"/>
      <c r="K146" s="155">
        <v>0.0</v>
      </c>
      <c r="L146" s="155">
        <f t="shared" ref="L146:M146" si="139">$K146*L$4/100</f>
        <v>0</v>
      </c>
      <c r="M146" s="155">
        <f t="shared" si="139"/>
        <v>0</v>
      </c>
    </row>
    <row r="147">
      <c r="A147" s="152">
        <f t="shared" si="7"/>
        <v>0</v>
      </c>
      <c r="B147" s="153">
        <f t="shared" si="8"/>
        <v>0</v>
      </c>
      <c r="C147" s="153">
        <f t="shared" si="9"/>
        <v>0</v>
      </c>
      <c r="D147" s="186"/>
      <c r="E147" s="161"/>
      <c r="F147" s="156"/>
      <c r="G147" s="156"/>
      <c r="H147" s="156"/>
      <c r="I147" s="156"/>
      <c r="J147" s="156"/>
      <c r="K147" s="155">
        <v>0.0</v>
      </c>
      <c r="L147" s="155">
        <f t="shared" ref="L147:M147" si="140">$K147*L$4/100</f>
        <v>0</v>
      </c>
      <c r="M147" s="155">
        <f t="shared" si="140"/>
        <v>0</v>
      </c>
    </row>
    <row r="148">
      <c r="A148" s="152">
        <f t="shared" si="7"/>
        <v>0</v>
      </c>
      <c r="B148" s="153">
        <f t="shared" si="8"/>
        <v>0</v>
      </c>
      <c r="C148" s="153">
        <f t="shared" si="9"/>
        <v>0</v>
      </c>
      <c r="D148" s="186"/>
      <c r="E148" s="161"/>
      <c r="F148" s="156"/>
      <c r="G148" s="156"/>
      <c r="H148" s="156"/>
      <c r="I148" s="156"/>
      <c r="J148" s="156"/>
      <c r="K148" s="155">
        <v>0.0</v>
      </c>
      <c r="L148" s="155">
        <f t="shared" ref="L148:M148" si="141">$K148*L$4/100</f>
        <v>0</v>
      </c>
      <c r="M148" s="155">
        <f t="shared" si="141"/>
        <v>0</v>
      </c>
    </row>
    <row r="149">
      <c r="A149" s="152">
        <f t="shared" si="7"/>
        <v>0</v>
      </c>
      <c r="B149" s="153">
        <f t="shared" si="8"/>
        <v>0</v>
      </c>
      <c r="C149" s="153">
        <f t="shared" si="9"/>
        <v>0</v>
      </c>
      <c r="D149" s="186"/>
      <c r="E149" s="161"/>
      <c r="F149" s="156"/>
      <c r="G149" s="156"/>
      <c r="H149" s="156"/>
      <c r="I149" s="156"/>
      <c r="J149" s="156"/>
      <c r="K149" s="155">
        <v>0.0</v>
      </c>
      <c r="L149" s="155">
        <f t="shared" ref="L149:M149" si="142">$K149*L$4/100</f>
        <v>0</v>
      </c>
      <c r="M149" s="155">
        <f t="shared" si="142"/>
        <v>0</v>
      </c>
    </row>
    <row r="150">
      <c r="A150" s="152">
        <f t="shared" si="7"/>
        <v>0</v>
      </c>
      <c r="B150" s="153">
        <f t="shared" si="8"/>
        <v>0</v>
      </c>
      <c r="C150" s="153">
        <f t="shared" si="9"/>
        <v>0</v>
      </c>
      <c r="D150" s="186"/>
      <c r="E150" s="161"/>
      <c r="F150" s="156"/>
      <c r="G150" s="156"/>
      <c r="H150" s="156"/>
      <c r="I150" s="156"/>
      <c r="J150" s="156"/>
      <c r="K150" s="155">
        <v>0.0</v>
      </c>
      <c r="L150" s="155">
        <f t="shared" ref="L150:M150" si="143">$K150*L$4/100</f>
        <v>0</v>
      </c>
      <c r="M150" s="155">
        <f t="shared" si="143"/>
        <v>0</v>
      </c>
    </row>
    <row r="151">
      <c r="A151" s="152">
        <f t="shared" si="7"/>
        <v>0</v>
      </c>
      <c r="B151" s="153">
        <f t="shared" si="8"/>
        <v>0</v>
      </c>
      <c r="C151" s="153">
        <f t="shared" si="9"/>
        <v>0</v>
      </c>
      <c r="D151" s="186"/>
      <c r="E151" s="161"/>
      <c r="F151" s="156"/>
      <c r="G151" s="156"/>
      <c r="H151" s="156"/>
      <c r="I151" s="156"/>
      <c r="J151" s="156"/>
      <c r="K151" s="155">
        <v>0.0</v>
      </c>
      <c r="L151" s="155">
        <f t="shared" ref="L151:M151" si="144">$K151*L$4/100</f>
        <v>0</v>
      </c>
      <c r="M151" s="155">
        <f t="shared" si="144"/>
        <v>0</v>
      </c>
    </row>
    <row r="152">
      <c r="A152" s="152">
        <f t="shared" si="7"/>
        <v>0</v>
      </c>
      <c r="B152" s="153">
        <f t="shared" si="8"/>
        <v>0</v>
      </c>
      <c r="C152" s="153">
        <f t="shared" si="9"/>
        <v>0</v>
      </c>
      <c r="D152" s="186"/>
      <c r="E152" s="161"/>
      <c r="F152" s="156"/>
      <c r="G152" s="156"/>
      <c r="H152" s="156"/>
      <c r="I152" s="156"/>
      <c r="J152" s="156"/>
      <c r="K152" s="155">
        <v>0.0</v>
      </c>
      <c r="L152" s="155">
        <f t="shared" ref="L152:M152" si="145">$K152*L$4/100</f>
        <v>0</v>
      </c>
      <c r="M152" s="155">
        <f t="shared" si="145"/>
        <v>0</v>
      </c>
    </row>
    <row r="153">
      <c r="A153" s="152">
        <f t="shared" si="7"/>
        <v>0</v>
      </c>
      <c r="B153" s="153">
        <f t="shared" si="8"/>
        <v>0</v>
      </c>
      <c r="C153" s="153">
        <f t="shared" si="9"/>
        <v>0</v>
      </c>
      <c r="D153" s="186"/>
      <c r="E153" s="161"/>
      <c r="F153" s="156"/>
      <c r="G153" s="156"/>
      <c r="H153" s="156"/>
      <c r="I153" s="156"/>
      <c r="J153" s="156"/>
      <c r="K153" s="155">
        <v>0.0</v>
      </c>
      <c r="L153" s="155">
        <f t="shared" ref="L153:M153" si="146">$K153*L$4/100</f>
        <v>0</v>
      </c>
      <c r="M153" s="155">
        <f t="shared" si="146"/>
        <v>0</v>
      </c>
    </row>
    <row r="154">
      <c r="A154" s="152">
        <f t="shared" si="7"/>
        <v>0</v>
      </c>
      <c r="B154" s="153">
        <f t="shared" si="8"/>
        <v>0</v>
      </c>
      <c r="C154" s="153">
        <f t="shared" si="9"/>
        <v>0</v>
      </c>
      <c r="D154" s="186"/>
      <c r="E154" s="161"/>
      <c r="F154" s="156"/>
      <c r="G154" s="156"/>
      <c r="H154" s="156"/>
      <c r="I154" s="156"/>
      <c r="J154" s="156"/>
      <c r="K154" s="155">
        <v>0.0</v>
      </c>
      <c r="L154" s="155">
        <f t="shared" ref="L154:M154" si="147">$K154*L$4/100</f>
        <v>0</v>
      </c>
      <c r="M154" s="155">
        <f t="shared" si="147"/>
        <v>0</v>
      </c>
    </row>
    <row r="155">
      <c r="A155" s="152">
        <f t="shared" si="7"/>
        <v>0</v>
      </c>
      <c r="B155" s="153">
        <f t="shared" si="8"/>
        <v>0</v>
      </c>
      <c r="C155" s="153">
        <f t="shared" si="9"/>
        <v>0</v>
      </c>
      <c r="D155" s="186"/>
      <c r="E155" s="161"/>
      <c r="F155" s="156"/>
      <c r="G155" s="156"/>
      <c r="H155" s="156"/>
      <c r="I155" s="156"/>
      <c r="J155" s="156"/>
      <c r="K155" s="155">
        <v>0.0</v>
      </c>
      <c r="L155" s="155">
        <f t="shared" ref="L155:M155" si="148">$K155*L$4/100</f>
        <v>0</v>
      </c>
      <c r="M155" s="155">
        <f t="shared" si="148"/>
        <v>0</v>
      </c>
    </row>
    <row r="156">
      <c r="A156" s="152">
        <f t="shared" si="7"/>
        <v>0</v>
      </c>
      <c r="B156" s="153">
        <f t="shared" si="8"/>
        <v>0</v>
      </c>
      <c r="C156" s="153">
        <f t="shared" si="9"/>
        <v>0</v>
      </c>
      <c r="D156" s="186"/>
      <c r="E156" s="161"/>
      <c r="F156" s="156"/>
      <c r="G156" s="156"/>
      <c r="H156" s="156"/>
      <c r="I156" s="156"/>
      <c r="J156" s="156"/>
      <c r="K156" s="155">
        <v>0.0</v>
      </c>
      <c r="L156" s="155">
        <f t="shared" ref="L156:M156" si="149">$K156*L$4/100</f>
        <v>0</v>
      </c>
      <c r="M156" s="155">
        <f t="shared" si="149"/>
        <v>0</v>
      </c>
    </row>
    <row r="157">
      <c r="A157" s="152">
        <f t="shared" si="7"/>
        <v>0</v>
      </c>
      <c r="B157" s="153">
        <f t="shared" si="8"/>
        <v>0</v>
      </c>
      <c r="C157" s="153">
        <f t="shared" si="9"/>
        <v>0</v>
      </c>
      <c r="D157" s="186"/>
      <c r="E157" s="161"/>
      <c r="F157" s="156"/>
      <c r="G157" s="156"/>
      <c r="H157" s="156"/>
      <c r="I157" s="156"/>
      <c r="J157" s="156"/>
      <c r="K157" s="155">
        <v>0.0</v>
      </c>
      <c r="L157" s="155">
        <f t="shared" ref="L157:M157" si="150">$K157*L$4/100</f>
        <v>0</v>
      </c>
      <c r="M157" s="155">
        <f t="shared" si="150"/>
        <v>0</v>
      </c>
    </row>
    <row r="158">
      <c r="A158" s="152">
        <f t="shared" si="7"/>
        <v>0</v>
      </c>
      <c r="B158" s="153">
        <f t="shared" si="8"/>
        <v>0</v>
      </c>
      <c r="C158" s="153">
        <f t="shared" si="9"/>
        <v>0</v>
      </c>
      <c r="D158" s="186"/>
      <c r="E158" s="161"/>
      <c r="F158" s="156"/>
      <c r="G158" s="156"/>
      <c r="H158" s="156"/>
      <c r="I158" s="156"/>
      <c r="J158" s="156"/>
      <c r="K158" s="155">
        <v>0.0</v>
      </c>
      <c r="L158" s="155">
        <f t="shared" ref="L158:M158" si="151">$K158*L$4/100</f>
        <v>0</v>
      </c>
      <c r="M158" s="155">
        <f t="shared" si="151"/>
        <v>0</v>
      </c>
    </row>
    <row r="159">
      <c r="A159" s="152">
        <f t="shared" si="7"/>
        <v>0</v>
      </c>
      <c r="B159" s="153">
        <f t="shared" si="8"/>
        <v>0</v>
      </c>
      <c r="C159" s="153">
        <f t="shared" si="9"/>
        <v>0</v>
      </c>
      <c r="D159" s="186"/>
      <c r="E159" s="161"/>
      <c r="F159" s="156"/>
      <c r="G159" s="156"/>
      <c r="H159" s="156"/>
      <c r="I159" s="156"/>
      <c r="J159" s="156"/>
      <c r="K159" s="155">
        <v>0.0</v>
      </c>
      <c r="L159" s="155">
        <f t="shared" ref="L159:M159" si="152">$K159*L$4/100</f>
        <v>0</v>
      </c>
      <c r="M159" s="155">
        <f t="shared" si="152"/>
        <v>0</v>
      </c>
    </row>
    <row r="160">
      <c r="A160" s="152">
        <f t="shared" si="7"/>
        <v>0</v>
      </c>
      <c r="B160" s="153">
        <f t="shared" si="8"/>
        <v>0</v>
      </c>
      <c r="C160" s="153">
        <f t="shared" si="9"/>
        <v>0</v>
      </c>
      <c r="D160" s="186"/>
      <c r="E160" s="161"/>
      <c r="F160" s="156"/>
      <c r="G160" s="156"/>
      <c r="H160" s="156"/>
      <c r="I160" s="156"/>
      <c r="J160" s="156"/>
      <c r="K160" s="155">
        <v>0.0</v>
      </c>
      <c r="L160" s="155">
        <f t="shared" ref="L160:M160" si="153">$K160*L$4/100</f>
        <v>0</v>
      </c>
      <c r="M160" s="155">
        <f t="shared" si="153"/>
        <v>0</v>
      </c>
    </row>
    <row r="161">
      <c r="A161" s="152">
        <f t="shared" si="7"/>
        <v>0</v>
      </c>
      <c r="B161" s="153">
        <f t="shared" si="8"/>
        <v>0</v>
      </c>
      <c r="C161" s="153">
        <f t="shared" si="9"/>
        <v>0</v>
      </c>
      <c r="D161" s="186"/>
      <c r="E161" s="161"/>
      <c r="F161" s="156"/>
      <c r="G161" s="156"/>
      <c r="H161" s="156"/>
      <c r="I161" s="156"/>
      <c r="J161" s="156"/>
      <c r="K161" s="155">
        <v>0.0</v>
      </c>
      <c r="L161" s="155">
        <f t="shared" ref="L161:M161" si="154">$K161*L$4/100</f>
        <v>0</v>
      </c>
      <c r="M161" s="155">
        <f t="shared" si="154"/>
        <v>0</v>
      </c>
    </row>
    <row r="162">
      <c r="A162" s="152">
        <f t="shared" si="7"/>
        <v>0</v>
      </c>
      <c r="B162" s="153">
        <f t="shared" si="8"/>
        <v>0</v>
      </c>
      <c r="C162" s="153">
        <f t="shared" si="9"/>
        <v>0</v>
      </c>
      <c r="D162" s="186"/>
      <c r="E162" s="161"/>
      <c r="F162" s="156"/>
      <c r="G162" s="156"/>
      <c r="H162" s="156"/>
      <c r="I162" s="156"/>
      <c r="J162" s="156"/>
      <c r="K162" s="155">
        <v>0.0</v>
      </c>
      <c r="L162" s="155">
        <f t="shared" ref="L162:M162" si="155">$K162*L$4/100</f>
        <v>0</v>
      </c>
      <c r="M162" s="155">
        <f t="shared" si="155"/>
        <v>0</v>
      </c>
    </row>
    <row r="163">
      <c r="A163" s="152">
        <f t="shared" si="7"/>
        <v>0</v>
      </c>
      <c r="B163" s="153">
        <f t="shared" si="8"/>
        <v>0</v>
      </c>
      <c r="C163" s="153">
        <f t="shared" si="9"/>
        <v>0</v>
      </c>
      <c r="D163" s="186"/>
      <c r="E163" s="161"/>
      <c r="F163" s="156"/>
      <c r="G163" s="156"/>
      <c r="H163" s="156"/>
      <c r="I163" s="156"/>
      <c r="J163" s="156"/>
      <c r="K163" s="155">
        <v>0.0</v>
      </c>
      <c r="L163" s="155">
        <f t="shared" ref="L163:M163" si="156">$K163*L$4/100</f>
        <v>0</v>
      </c>
      <c r="M163" s="155">
        <f t="shared" si="156"/>
        <v>0</v>
      </c>
    </row>
    <row r="164">
      <c r="A164" s="152">
        <f t="shared" si="7"/>
        <v>0</v>
      </c>
      <c r="B164" s="153">
        <f t="shared" si="8"/>
        <v>0</v>
      </c>
      <c r="C164" s="153">
        <f t="shared" si="9"/>
        <v>0</v>
      </c>
      <c r="D164" s="186"/>
      <c r="E164" s="161"/>
      <c r="F164" s="156"/>
      <c r="G164" s="156"/>
      <c r="H164" s="156"/>
      <c r="I164" s="156"/>
      <c r="J164" s="156"/>
      <c r="K164" s="155">
        <v>0.0</v>
      </c>
      <c r="L164" s="155">
        <f t="shared" ref="L164:M164" si="157">$K164*L$4/100</f>
        <v>0</v>
      </c>
      <c r="M164" s="155">
        <f t="shared" si="157"/>
        <v>0</v>
      </c>
    </row>
    <row r="165">
      <c r="A165" s="152">
        <f t="shared" si="7"/>
        <v>0</v>
      </c>
      <c r="B165" s="153">
        <f t="shared" si="8"/>
        <v>0</v>
      </c>
      <c r="C165" s="153">
        <f t="shared" si="9"/>
        <v>0</v>
      </c>
      <c r="D165" s="186"/>
      <c r="E165" s="161"/>
      <c r="F165" s="156"/>
      <c r="G165" s="156"/>
      <c r="H165" s="156"/>
      <c r="I165" s="156"/>
      <c r="J165" s="156"/>
      <c r="K165" s="155">
        <v>0.0</v>
      </c>
      <c r="L165" s="155">
        <f t="shared" ref="L165:M165" si="158">$K165*L$4/100</f>
        <v>0</v>
      </c>
      <c r="M165" s="155">
        <f t="shared" si="158"/>
        <v>0</v>
      </c>
    </row>
    <row r="166">
      <c r="A166" s="152">
        <f t="shared" si="7"/>
        <v>0</v>
      </c>
      <c r="B166" s="153">
        <f t="shared" si="8"/>
        <v>0</v>
      </c>
      <c r="C166" s="153">
        <f t="shared" si="9"/>
        <v>0</v>
      </c>
      <c r="D166" s="186"/>
      <c r="E166" s="161"/>
      <c r="F166" s="156"/>
      <c r="G166" s="156"/>
      <c r="H166" s="156"/>
      <c r="I166" s="156"/>
      <c r="J166" s="156"/>
      <c r="K166" s="155">
        <v>0.0</v>
      </c>
      <c r="L166" s="155">
        <f t="shared" ref="L166:M166" si="159">$K166*L$4/100</f>
        <v>0</v>
      </c>
      <c r="M166" s="155">
        <f t="shared" si="159"/>
        <v>0</v>
      </c>
    </row>
    <row r="167">
      <c r="A167" s="152">
        <f t="shared" si="7"/>
        <v>0</v>
      </c>
      <c r="B167" s="153">
        <f t="shared" si="8"/>
        <v>0</v>
      </c>
      <c r="C167" s="153">
        <f t="shared" si="9"/>
        <v>0</v>
      </c>
      <c r="D167" s="186"/>
      <c r="E167" s="161"/>
      <c r="F167" s="156"/>
      <c r="G167" s="156"/>
      <c r="H167" s="156"/>
      <c r="I167" s="156"/>
      <c r="J167" s="156"/>
      <c r="K167" s="155">
        <v>0.0</v>
      </c>
      <c r="L167" s="155">
        <f t="shared" ref="L167:M167" si="160">$K167*L$4/100</f>
        <v>0</v>
      </c>
      <c r="M167" s="155">
        <f t="shared" si="160"/>
        <v>0</v>
      </c>
    </row>
    <row r="168">
      <c r="A168" s="152">
        <f t="shared" si="7"/>
        <v>0</v>
      </c>
      <c r="B168" s="153">
        <f t="shared" si="8"/>
        <v>0</v>
      </c>
      <c r="C168" s="153">
        <f t="shared" si="9"/>
        <v>0</v>
      </c>
      <c r="D168" s="186"/>
      <c r="E168" s="161"/>
      <c r="F168" s="156"/>
      <c r="G168" s="156"/>
      <c r="H168" s="156"/>
      <c r="I168" s="156"/>
      <c r="J168" s="156"/>
      <c r="K168" s="155">
        <v>0.0</v>
      </c>
      <c r="L168" s="155">
        <f t="shared" ref="L168:M168" si="161">$K168*L$4/100</f>
        <v>0</v>
      </c>
      <c r="M168" s="155">
        <f t="shared" si="161"/>
        <v>0</v>
      </c>
    </row>
    <row r="169">
      <c r="A169" s="152">
        <f t="shared" si="7"/>
        <v>0</v>
      </c>
      <c r="B169" s="153">
        <f t="shared" si="8"/>
        <v>0</v>
      </c>
      <c r="C169" s="153">
        <f t="shared" si="9"/>
        <v>0</v>
      </c>
      <c r="D169" s="186"/>
      <c r="E169" s="161"/>
      <c r="F169" s="156"/>
      <c r="G169" s="156"/>
      <c r="H169" s="156"/>
      <c r="I169" s="156"/>
      <c r="J169" s="156"/>
      <c r="K169" s="155">
        <v>0.0</v>
      </c>
      <c r="L169" s="155">
        <f t="shared" ref="L169:M169" si="162">$K169*L$4/100</f>
        <v>0</v>
      </c>
      <c r="M169" s="155">
        <f t="shared" si="162"/>
        <v>0</v>
      </c>
    </row>
    <row r="170">
      <c r="A170" s="152">
        <f t="shared" si="7"/>
        <v>0</v>
      </c>
      <c r="B170" s="153">
        <f t="shared" si="8"/>
        <v>0</v>
      </c>
      <c r="C170" s="153">
        <f t="shared" si="9"/>
        <v>0</v>
      </c>
      <c r="D170" s="186"/>
      <c r="E170" s="161"/>
      <c r="F170" s="156"/>
      <c r="G170" s="156"/>
      <c r="H170" s="156"/>
      <c r="I170" s="156"/>
      <c r="J170" s="156"/>
      <c r="K170" s="155">
        <v>0.0</v>
      </c>
      <c r="L170" s="155">
        <f t="shared" ref="L170:M170" si="163">$K170*L$4/100</f>
        <v>0</v>
      </c>
      <c r="M170" s="155">
        <f t="shared" si="163"/>
        <v>0</v>
      </c>
    </row>
    <row r="171">
      <c r="A171" s="152">
        <f t="shared" si="7"/>
        <v>0</v>
      </c>
      <c r="B171" s="153">
        <f t="shared" si="8"/>
        <v>0</v>
      </c>
      <c r="C171" s="153">
        <f t="shared" si="9"/>
        <v>0</v>
      </c>
      <c r="D171" s="186"/>
      <c r="E171" s="161"/>
      <c r="F171" s="156"/>
      <c r="G171" s="156"/>
      <c r="H171" s="156"/>
      <c r="I171" s="156"/>
      <c r="J171" s="156"/>
      <c r="K171" s="155">
        <v>0.0</v>
      </c>
      <c r="L171" s="155">
        <f t="shared" ref="L171:M171" si="164">$K171*L$4/100</f>
        <v>0</v>
      </c>
      <c r="M171" s="155">
        <f t="shared" si="164"/>
        <v>0</v>
      </c>
    </row>
    <row r="172">
      <c r="A172" s="152">
        <f t="shared" si="7"/>
        <v>0</v>
      </c>
      <c r="B172" s="153">
        <f t="shared" si="8"/>
        <v>0</v>
      </c>
      <c r="C172" s="153">
        <f t="shared" si="9"/>
        <v>0</v>
      </c>
      <c r="D172" s="186"/>
      <c r="E172" s="161"/>
      <c r="F172" s="156"/>
      <c r="G172" s="156"/>
      <c r="H172" s="156"/>
      <c r="I172" s="156"/>
      <c r="J172" s="156"/>
      <c r="K172" s="155">
        <v>0.0</v>
      </c>
      <c r="L172" s="155">
        <f t="shared" ref="L172:M172" si="165">$K172*L$4/100</f>
        <v>0</v>
      </c>
      <c r="M172" s="155">
        <f t="shared" si="165"/>
        <v>0</v>
      </c>
    </row>
    <row r="173">
      <c r="A173" s="152">
        <f t="shared" si="7"/>
        <v>0</v>
      </c>
      <c r="B173" s="153">
        <f t="shared" si="8"/>
        <v>0</v>
      </c>
      <c r="C173" s="153">
        <f t="shared" si="9"/>
        <v>0</v>
      </c>
      <c r="D173" s="186"/>
      <c r="E173" s="161"/>
      <c r="F173" s="156"/>
      <c r="G173" s="156"/>
      <c r="H173" s="156"/>
      <c r="I173" s="156"/>
      <c r="J173" s="156"/>
      <c r="K173" s="155">
        <v>0.0</v>
      </c>
      <c r="L173" s="155">
        <f t="shared" ref="L173:M173" si="166">$K173*L$4/100</f>
        <v>0</v>
      </c>
      <c r="M173" s="155">
        <f t="shared" si="166"/>
        <v>0</v>
      </c>
    </row>
    <row r="174">
      <c r="A174" s="152">
        <f t="shared" si="7"/>
        <v>0</v>
      </c>
      <c r="B174" s="153">
        <f t="shared" si="8"/>
        <v>0</v>
      </c>
      <c r="C174" s="153">
        <f t="shared" si="9"/>
        <v>0</v>
      </c>
      <c r="D174" s="186"/>
      <c r="E174" s="161"/>
      <c r="F174" s="156"/>
      <c r="G174" s="156"/>
      <c r="H174" s="156"/>
      <c r="I174" s="156"/>
      <c r="J174" s="156"/>
      <c r="K174" s="155">
        <v>0.0</v>
      </c>
      <c r="L174" s="155">
        <f t="shared" ref="L174:M174" si="167">$K174*L$4/100</f>
        <v>0</v>
      </c>
      <c r="M174" s="155">
        <f t="shared" si="167"/>
        <v>0</v>
      </c>
    </row>
    <row r="175">
      <c r="A175" s="152">
        <f t="shared" si="7"/>
        <v>0</v>
      </c>
      <c r="B175" s="153">
        <f t="shared" si="8"/>
        <v>0</v>
      </c>
      <c r="C175" s="153">
        <f t="shared" si="9"/>
        <v>0</v>
      </c>
      <c r="D175" s="186"/>
      <c r="E175" s="161"/>
      <c r="F175" s="156"/>
      <c r="G175" s="156"/>
      <c r="H175" s="156"/>
      <c r="I175" s="156"/>
      <c r="J175" s="156"/>
      <c r="K175" s="155">
        <v>0.0</v>
      </c>
      <c r="L175" s="155">
        <f t="shared" ref="L175:M175" si="168">$K175*L$4/100</f>
        <v>0</v>
      </c>
      <c r="M175" s="155">
        <f t="shared" si="168"/>
        <v>0</v>
      </c>
    </row>
    <row r="176">
      <c r="A176" s="152">
        <f t="shared" si="7"/>
        <v>0</v>
      </c>
      <c r="B176" s="153">
        <f t="shared" si="8"/>
        <v>0</v>
      </c>
      <c r="C176" s="153">
        <f t="shared" si="9"/>
        <v>0</v>
      </c>
      <c r="D176" s="186"/>
      <c r="E176" s="161"/>
      <c r="F176" s="156"/>
      <c r="G176" s="156"/>
      <c r="H176" s="156"/>
      <c r="I176" s="156"/>
      <c r="J176" s="156"/>
      <c r="K176" s="155">
        <v>0.0</v>
      </c>
      <c r="L176" s="155">
        <f t="shared" ref="L176:M176" si="169">$K176*L$4/100</f>
        <v>0</v>
      </c>
      <c r="M176" s="155">
        <f t="shared" si="169"/>
        <v>0</v>
      </c>
    </row>
    <row r="177">
      <c r="A177" s="152">
        <f t="shared" si="7"/>
        <v>0</v>
      </c>
      <c r="B177" s="153">
        <f t="shared" si="8"/>
        <v>0</v>
      </c>
      <c r="C177" s="153">
        <f t="shared" si="9"/>
        <v>0</v>
      </c>
      <c r="D177" s="186"/>
      <c r="E177" s="161"/>
      <c r="F177" s="156"/>
      <c r="G177" s="156"/>
      <c r="H177" s="156"/>
      <c r="I177" s="156"/>
      <c r="J177" s="156"/>
      <c r="K177" s="155">
        <v>0.0</v>
      </c>
      <c r="L177" s="155">
        <f t="shared" ref="L177:M177" si="170">$K177*L$4/100</f>
        <v>0</v>
      </c>
      <c r="M177" s="155">
        <f t="shared" si="170"/>
        <v>0</v>
      </c>
    </row>
    <row r="178">
      <c r="A178" s="152">
        <f t="shared" si="7"/>
        <v>0</v>
      </c>
      <c r="B178" s="153">
        <f t="shared" si="8"/>
        <v>0</v>
      </c>
      <c r="C178" s="153">
        <f t="shared" si="9"/>
        <v>0</v>
      </c>
      <c r="D178" s="186"/>
      <c r="E178" s="161"/>
      <c r="F178" s="156"/>
      <c r="G178" s="156"/>
      <c r="H178" s="156"/>
      <c r="I178" s="156"/>
      <c r="J178" s="156"/>
      <c r="K178" s="155">
        <v>0.0</v>
      </c>
      <c r="L178" s="155">
        <f t="shared" ref="L178:M178" si="171">$K178*L$4/100</f>
        <v>0</v>
      </c>
      <c r="M178" s="155">
        <f t="shared" si="171"/>
        <v>0</v>
      </c>
    </row>
    <row r="179">
      <c r="A179" s="152">
        <f t="shared" si="7"/>
        <v>0</v>
      </c>
      <c r="B179" s="153">
        <f t="shared" si="8"/>
        <v>0</v>
      </c>
      <c r="C179" s="153">
        <f t="shared" si="9"/>
        <v>0</v>
      </c>
      <c r="D179" s="186"/>
      <c r="E179" s="161"/>
      <c r="F179" s="156"/>
      <c r="G179" s="156"/>
      <c r="H179" s="156"/>
      <c r="I179" s="156"/>
      <c r="J179" s="156"/>
      <c r="K179" s="155">
        <v>0.0</v>
      </c>
      <c r="L179" s="155">
        <f t="shared" ref="L179:M179" si="172">$K179*L$4/100</f>
        <v>0</v>
      </c>
      <c r="M179" s="155">
        <f t="shared" si="172"/>
        <v>0</v>
      </c>
    </row>
    <row r="180">
      <c r="A180" s="152">
        <f t="shared" si="7"/>
        <v>0</v>
      </c>
      <c r="B180" s="153">
        <f t="shared" si="8"/>
        <v>0</v>
      </c>
      <c r="C180" s="153">
        <f t="shared" si="9"/>
        <v>0</v>
      </c>
      <c r="D180" s="186"/>
      <c r="E180" s="161"/>
      <c r="F180" s="156"/>
      <c r="G180" s="156"/>
      <c r="H180" s="156"/>
      <c r="I180" s="156"/>
      <c r="J180" s="156"/>
      <c r="K180" s="155">
        <v>0.0</v>
      </c>
      <c r="L180" s="155">
        <f t="shared" ref="L180:M180" si="173">$K180*L$4/100</f>
        <v>0</v>
      </c>
      <c r="M180" s="155">
        <f t="shared" si="173"/>
        <v>0</v>
      </c>
    </row>
    <row r="181">
      <c r="A181" s="152">
        <f t="shared" si="7"/>
        <v>0</v>
      </c>
      <c r="B181" s="153">
        <f t="shared" si="8"/>
        <v>0</v>
      </c>
      <c r="C181" s="153">
        <f t="shared" si="9"/>
        <v>0</v>
      </c>
      <c r="D181" s="186"/>
      <c r="E181" s="161"/>
      <c r="F181" s="156"/>
      <c r="G181" s="156"/>
      <c r="H181" s="156"/>
      <c r="I181" s="156"/>
      <c r="J181" s="156"/>
      <c r="K181" s="155">
        <v>0.0</v>
      </c>
      <c r="L181" s="155">
        <f t="shared" ref="L181:M181" si="174">$K181*L$4/100</f>
        <v>0</v>
      </c>
      <c r="M181" s="155">
        <f t="shared" si="174"/>
        <v>0</v>
      </c>
    </row>
    <row r="182">
      <c r="A182" s="152">
        <f t="shared" si="7"/>
        <v>0</v>
      </c>
      <c r="B182" s="153">
        <f t="shared" si="8"/>
        <v>0</v>
      </c>
      <c r="C182" s="153">
        <f t="shared" si="9"/>
        <v>0</v>
      </c>
      <c r="D182" s="186"/>
      <c r="E182" s="161"/>
      <c r="F182" s="156"/>
      <c r="G182" s="156"/>
      <c r="H182" s="156"/>
      <c r="I182" s="156"/>
      <c r="J182" s="156"/>
      <c r="K182" s="155">
        <v>0.0</v>
      </c>
      <c r="L182" s="155">
        <f t="shared" ref="L182:M182" si="175">$K182*L$4/100</f>
        <v>0</v>
      </c>
      <c r="M182" s="155">
        <f t="shared" si="175"/>
        <v>0</v>
      </c>
    </row>
    <row r="183">
      <c r="A183" s="152">
        <f t="shared" si="7"/>
        <v>0</v>
      </c>
      <c r="B183" s="153">
        <f t="shared" si="8"/>
        <v>0</v>
      </c>
      <c r="C183" s="153">
        <f t="shared" si="9"/>
        <v>0</v>
      </c>
      <c r="D183" s="186"/>
      <c r="E183" s="161"/>
      <c r="F183" s="156"/>
      <c r="G183" s="156"/>
      <c r="H183" s="156"/>
      <c r="I183" s="156"/>
      <c r="J183" s="156"/>
      <c r="K183" s="155">
        <v>0.0</v>
      </c>
      <c r="L183" s="155">
        <f t="shared" ref="L183:M183" si="176">$K183*L$4/100</f>
        <v>0</v>
      </c>
      <c r="M183" s="155">
        <f t="shared" si="176"/>
        <v>0</v>
      </c>
    </row>
    <row r="184">
      <c r="A184" s="152">
        <f t="shared" si="7"/>
        <v>0</v>
      </c>
      <c r="B184" s="153">
        <f t="shared" si="8"/>
        <v>0</v>
      </c>
      <c r="C184" s="153">
        <f t="shared" si="9"/>
        <v>0</v>
      </c>
      <c r="D184" s="186"/>
      <c r="E184" s="161"/>
      <c r="F184" s="156"/>
      <c r="G184" s="156"/>
      <c r="H184" s="156"/>
      <c r="I184" s="156"/>
      <c r="J184" s="156"/>
      <c r="K184" s="155">
        <v>0.0</v>
      </c>
      <c r="L184" s="155">
        <f t="shared" ref="L184:M184" si="177">$K184*L$4/100</f>
        <v>0</v>
      </c>
      <c r="M184" s="155">
        <f t="shared" si="177"/>
        <v>0</v>
      </c>
    </row>
    <row r="185">
      <c r="A185" s="152">
        <f t="shared" si="7"/>
        <v>0</v>
      </c>
      <c r="B185" s="153">
        <f t="shared" si="8"/>
        <v>0</v>
      </c>
      <c r="C185" s="153">
        <f t="shared" si="9"/>
        <v>0</v>
      </c>
      <c r="D185" s="186"/>
      <c r="E185" s="161"/>
      <c r="F185" s="156"/>
      <c r="G185" s="156"/>
      <c r="H185" s="156"/>
      <c r="I185" s="156"/>
      <c r="J185" s="156"/>
      <c r="K185" s="155">
        <v>0.0</v>
      </c>
      <c r="L185" s="155">
        <f t="shared" ref="L185:M185" si="178">$K185*L$4/100</f>
        <v>0</v>
      </c>
      <c r="M185" s="155">
        <f t="shared" si="178"/>
        <v>0</v>
      </c>
    </row>
    <row r="186">
      <c r="A186" s="152">
        <f t="shared" si="7"/>
        <v>0</v>
      </c>
      <c r="B186" s="153">
        <f t="shared" si="8"/>
        <v>0</v>
      </c>
      <c r="C186" s="153">
        <f t="shared" si="9"/>
        <v>0</v>
      </c>
      <c r="D186" s="186"/>
      <c r="E186" s="161"/>
      <c r="F186" s="156"/>
      <c r="G186" s="156"/>
      <c r="H186" s="156"/>
      <c r="I186" s="156"/>
      <c r="J186" s="156"/>
      <c r="K186" s="155">
        <v>0.0</v>
      </c>
      <c r="L186" s="155">
        <f t="shared" ref="L186:M186" si="179">$K186*L$4/100</f>
        <v>0</v>
      </c>
      <c r="M186" s="155">
        <f t="shared" si="179"/>
        <v>0</v>
      </c>
    </row>
    <row r="187">
      <c r="A187" s="152">
        <f t="shared" si="7"/>
        <v>0</v>
      </c>
      <c r="B187" s="153">
        <f t="shared" si="8"/>
        <v>0</v>
      </c>
      <c r="C187" s="153">
        <f t="shared" si="9"/>
        <v>0</v>
      </c>
      <c r="D187" s="186"/>
      <c r="E187" s="161"/>
      <c r="F187" s="156"/>
      <c r="G187" s="156"/>
      <c r="H187" s="156"/>
      <c r="I187" s="156"/>
      <c r="J187" s="156"/>
      <c r="K187" s="155">
        <v>0.0</v>
      </c>
      <c r="L187" s="155">
        <f t="shared" ref="L187:M187" si="180">$K187*L$4/100</f>
        <v>0</v>
      </c>
      <c r="M187" s="155">
        <f t="shared" si="180"/>
        <v>0</v>
      </c>
    </row>
    <row r="188">
      <c r="A188" s="152">
        <f t="shared" si="7"/>
        <v>0</v>
      </c>
      <c r="B188" s="153">
        <f t="shared" si="8"/>
        <v>0</v>
      </c>
      <c r="C188" s="153">
        <f t="shared" si="9"/>
        <v>0</v>
      </c>
      <c r="D188" s="186"/>
      <c r="E188" s="161"/>
      <c r="F188" s="156"/>
      <c r="G188" s="156"/>
      <c r="H188" s="156"/>
      <c r="I188" s="156"/>
      <c r="J188" s="156"/>
      <c r="K188" s="155">
        <v>0.0</v>
      </c>
      <c r="L188" s="155">
        <f t="shared" ref="L188:M188" si="181">$K188*L$4/100</f>
        <v>0</v>
      </c>
      <c r="M188" s="155">
        <f t="shared" si="181"/>
        <v>0</v>
      </c>
    </row>
    <row r="189">
      <c r="A189" s="152">
        <f t="shared" si="7"/>
        <v>0</v>
      </c>
      <c r="B189" s="153">
        <f t="shared" si="8"/>
        <v>0</v>
      </c>
      <c r="C189" s="153">
        <f t="shared" si="9"/>
        <v>0</v>
      </c>
      <c r="D189" s="186"/>
      <c r="E189" s="161"/>
      <c r="F189" s="156"/>
      <c r="G189" s="156"/>
      <c r="H189" s="156"/>
      <c r="I189" s="156"/>
      <c r="J189" s="156"/>
      <c r="K189" s="155">
        <v>0.0</v>
      </c>
      <c r="L189" s="155">
        <f t="shared" ref="L189:M189" si="182">$K189*L$4/100</f>
        <v>0</v>
      </c>
      <c r="M189" s="155">
        <f t="shared" si="182"/>
        <v>0</v>
      </c>
    </row>
    <row r="190">
      <c r="A190" s="152">
        <f t="shared" si="7"/>
        <v>0</v>
      </c>
      <c r="B190" s="153">
        <f t="shared" si="8"/>
        <v>0</v>
      </c>
      <c r="C190" s="153">
        <f t="shared" si="9"/>
        <v>0</v>
      </c>
      <c r="D190" s="186"/>
      <c r="E190" s="161"/>
      <c r="F190" s="156"/>
      <c r="G190" s="156"/>
      <c r="H190" s="156"/>
      <c r="I190" s="156"/>
      <c r="J190" s="156"/>
      <c r="K190" s="155">
        <v>0.0</v>
      </c>
      <c r="L190" s="155">
        <f t="shared" ref="L190:M190" si="183">$K190*L$4/100</f>
        <v>0</v>
      </c>
      <c r="M190" s="155">
        <f t="shared" si="183"/>
        <v>0</v>
      </c>
    </row>
    <row r="191">
      <c r="A191" s="152">
        <f t="shared" si="7"/>
        <v>0</v>
      </c>
      <c r="B191" s="153">
        <f t="shared" si="8"/>
        <v>0</v>
      </c>
      <c r="C191" s="153">
        <f t="shared" si="9"/>
        <v>0</v>
      </c>
      <c r="D191" s="186"/>
      <c r="E191" s="161"/>
      <c r="F191" s="156"/>
      <c r="G191" s="156"/>
      <c r="H191" s="156"/>
      <c r="I191" s="156"/>
      <c r="J191" s="156"/>
      <c r="K191" s="155">
        <v>0.0</v>
      </c>
      <c r="L191" s="155">
        <f t="shared" ref="L191:M191" si="184">$K191*L$4/100</f>
        <v>0</v>
      </c>
      <c r="M191" s="155">
        <f t="shared" si="184"/>
        <v>0</v>
      </c>
    </row>
    <row r="192">
      <c r="A192" s="152">
        <f t="shared" si="7"/>
        <v>0</v>
      </c>
      <c r="B192" s="153">
        <f t="shared" si="8"/>
        <v>0</v>
      </c>
      <c r="C192" s="153">
        <f t="shared" si="9"/>
        <v>0</v>
      </c>
      <c r="D192" s="186"/>
      <c r="E192" s="161"/>
      <c r="F192" s="156"/>
      <c r="G192" s="156"/>
      <c r="H192" s="156"/>
      <c r="I192" s="156"/>
      <c r="J192" s="156"/>
      <c r="K192" s="155">
        <v>0.0</v>
      </c>
      <c r="L192" s="155">
        <f t="shared" ref="L192:M192" si="185">$K192*L$4/100</f>
        <v>0</v>
      </c>
      <c r="M192" s="155">
        <f t="shared" si="185"/>
        <v>0</v>
      </c>
    </row>
    <row r="193">
      <c r="A193" s="152">
        <f t="shared" si="7"/>
        <v>0</v>
      </c>
      <c r="B193" s="153">
        <f t="shared" si="8"/>
        <v>0</v>
      </c>
      <c r="C193" s="153">
        <f t="shared" si="9"/>
        <v>0</v>
      </c>
      <c r="D193" s="186"/>
      <c r="E193" s="161"/>
      <c r="F193" s="156"/>
      <c r="G193" s="156"/>
      <c r="H193" s="156"/>
      <c r="I193" s="156"/>
      <c r="J193" s="156"/>
      <c r="K193" s="155">
        <v>0.0</v>
      </c>
      <c r="L193" s="155">
        <f t="shared" ref="L193:M193" si="186">$K193*L$4/100</f>
        <v>0</v>
      </c>
      <c r="M193" s="155">
        <f t="shared" si="186"/>
        <v>0</v>
      </c>
    </row>
    <row r="194">
      <c r="A194" s="152">
        <f t="shared" si="7"/>
        <v>0</v>
      </c>
      <c r="B194" s="153">
        <f t="shared" si="8"/>
        <v>0</v>
      </c>
      <c r="C194" s="153">
        <f t="shared" si="9"/>
        <v>0</v>
      </c>
      <c r="D194" s="186"/>
      <c r="E194" s="161"/>
      <c r="F194" s="156"/>
      <c r="G194" s="156"/>
      <c r="H194" s="156"/>
      <c r="I194" s="156"/>
      <c r="J194" s="156"/>
      <c r="K194" s="155">
        <v>0.0</v>
      </c>
      <c r="L194" s="155">
        <f t="shared" ref="L194:M194" si="187">$K194*L$4/100</f>
        <v>0</v>
      </c>
      <c r="M194" s="155">
        <f t="shared" si="187"/>
        <v>0</v>
      </c>
    </row>
    <row r="195">
      <c r="A195" s="152">
        <f t="shared" si="7"/>
        <v>0</v>
      </c>
      <c r="B195" s="153">
        <f t="shared" si="8"/>
        <v>0</v>
      </c>
      <c r="C195" s="153">
        <f t="shared" si="9"/>
        <v>0</v>
      </c>
      <c r="D195" s="186"/>
      <c r="E195" s="161"/>
      <c r="F195" s="156"/>
      <c r="G195" s="156"/>
      <c r="H195" s="156"/>
      <c r="I195" s="156"/>
      <c r="J195" s="156"/>
      <c r="K195" s="155">
        <v>0.0</v>
      </c>
      <c r="L195" s="155">
        <f t="shared" ref="L195:M195" si="188">$K195*L$4/100</f>
        <v>0</v>
      </c>
      <c r="M195" s="155">
        <f t="shared" si="188"/>
        <v>0</v>
      </c>
    </row>
    <row r="196">
      <c r="A196" s="152">
        <f t="shared" si="7"/>
        <v>0</v>
      </c>
      <c r="B196" s="153">
        <f t="shared" si="8"/>
        <v>0</v>
      </c>
      <c r="C196" s="153">
        <f t="shared" si="9"/>
        <v>0</v>
      </c>
      <c r="D196" s="186"/>
      <c r="E196" s="161"/>
      <c r="F196" s="156"/>
      <c r="G196" s="156"/>
      <c r="H196" s="156"/>
      <c r="I196" s="156"/>
      <c r="J196" s="156"/>
      <c r="K196" s="155">
        <v>0.0</v>
      </c>
      <c r="L196" s="155">
        <f t="shared" ref="L196:M196" si="189">$K196*L$4/100</f>
        <v>0</v>
      </c>
      <c r="M196" s="155">
        <f t="shared" si="189"/>
        <v>0</v>
      </c>
    </row>
    <row r="197">
      <c r="A197" s="152">
        <f t="shared" si="7"/>
        <v>0</v>
      </c>
      <c r="B197" s="153">
        <f t="shared" si="8"/>
        <v>0</v>
      </c>
      <c r="C197" s="153">
        <f t="shared" si="9"/>
        <v>0</v>
      </c>
      <c r="D197" s="186"/>
      <c r="E197" s="161"/>
      <c r="F197" s="156"/>
      <c r="G197" s="156"/>
      <c r="H197" s="156"/>
      <c r="I197" s="156"/>
      <c r="J197" s="156"/>
      <c r="K197" s="155">
        <v>0.0</v>
      </c>
      <c r="L197" s="155">
        <f t="shared" ref="L197:M197" si="190">$K197*L$4/100</f>
        <v>0</v>
      </c>
      <c r="M197" s="155">
        <f t="shared" si="190"/>
        <v>0</v>
      </c>
    </row>
    <row r="198">
      <c r="A198" s="152">
        <f t="shared" si="7"/>
        <v>0</v>
      </c>
      <c r="B198" s="153">
        <f t="shared" si="8"/>
        <v>0</v>
      </c>
      <c r="C198" s="153">
        <f t="shared" si="9"/>
        <v>0</v>
      </c>
      <c r="D198" s="186"/>
      <c r="E198" s="161"/>
      <c r="F198" s="156"/>
      <c r="G198" s="156"/>
      <c r="H198" s="156"/>
      <c r="I198" s="156"/>
      <c r="J198" s="156"/>
      <c r="K198" s="155">
        <v>0.0</v>
      </c>
      <c r="L198" s="155">
        <f t="shared" ref="L198:M198" si="191">$K198*L$4/100</f>
        <v>0</v>
      </c>
      <c r="M198" s="155">
        <f t="shared" si="191"/>
        <v>0</v>
      </c>
    </row>
    <row r="199">
      <c r="A199" s="152">
        <f t="shared" si="7"/>
        <v>0</v>
      </c>
      <c r="B199" s="153">
        <f t="shared" si="8"/>
        <v>0</v>
      </c>
      <c r="C199" s="153">
        <f t="shared" si="9"/>
        <v>0</v>
      </c>
      <c r="D199" s="186"/>
      <c r="E199" s="161"/>
      <c r="F199" s="156"/>
      <c r="G199" s="156"/>
      <c r="H199" s="156"/>
      <c r="I199" s="156"/>
      <c r="J199" s="156"/>
      <c r="K199" s="155">
        <v>0.0</v>
      </c>
      <c r="L199" s="155">
        <f t="shared" ref="L199:M199" si="192">$K199*L$4/100</f>
        <v>0</v>
      </c>
      <c r="M199" s="155">
        <f t="shared" si="192"/>
        <v>0</v>
      </c>
    </row>
    <row r="200">
      <c r="A200" s="152">
        <f t="shared" si="7"/>
        <v>0</v>
      </c>
      <c r="B200" s="153">
        <f t="shared" si="8"/>
        <v>0</v>
      </c>
      <c r="C200" s="153">
        <f t="shared" si="9"/>
        <v>0</v>
      </c>
      <c r="D200" s="186"/>
      <c r="E200" s="161"/>
      <c r="F200" s="156"/>
      <c r="G200" s="156"/>
      <c r="H200" s="156"/>
      <c r="I200" s="156"/>
      <c r="J200" s="156"/>
      <c r="K200" s="155">
        <v>0.0</v>
      </c>
      <c r="L200" s="155">
        <f t="shared" ref="L200:M200" si="193">$K200*L$4/100</f>
        <v>0</v>
      </c>
      <c r="M200" s="155">
        <f t="shared" si="193"/>
        <v>0</v>
      </c>
    </row>
    <row r="201">
      <c r="A201" s="152">
        <f t="shared" si="7"/>
        <v>0</v>
      </c>
      <c r="B201" s="153">
        <f t="shared" si="8"/>
        <v>0</v>
      </c>
      <c r="C201" s="153">
        <f t="shared" si="9"/>
        <v>0</v>
      </c>
      <c r="D201" s="186"/>
      <c r="E201" s="161"/>
      <c r="F201" s="156"/>
      <c r="G201" s="156"/>
      <c r="H201" s="156"/>
      <c r="I201" s="156"/>
      <c r="J201" s="156"/>
      <c r="K201" s="155">
        <v>0.0</v>
      </c>
      <c r="L201" s="155">
        <f t="shared" ref="L201:M201" si="194">$K201*L$4/100</f>
        <v>0</v>
      </c>
      <c r="M201" s="155">
        <f t="shared" si="194"/>
        <v>0</v>
      </c>
    </row>
    <row r="202">
      <c r="A202" s="152">
        <f t="shared" si="7"/>
        <v>0</v>
      </c>
      <c r="B202" s="153">
        <f t="shared" si="8"/>
        <v>0</v>
      </c>
      <c r="C202" s="153">
        <f t="shared" si="9"/>
        <v>0</v>
      </c>
      <c r="D202" s="186"/>
      <c r="E202" s="161"/>
      <c r="F202" s="156"/>
      <c r="G202" s="156"/>
      <c r="H202" s="156"/>
      <c r="I202" s="156"/>
      <c r="J202" s="156"/>
      <c r="K202" s="155">
        <v>0.0</v>
      </c>
      <c r="L202" s="155">
        <f t="shared" ref="L202:M202" si="195">$K202*L$4/100</f>
        <v>0</v>
      </c>
      <c r="M202" s="155">
        <f t="shared" si="195"/>
        <v>0</v>
      </c>
    </row>
    <row r="203">
      <c r="A203" s="152">
        <f t="shared" si="7"/>
        <v>0</v>
      </c>
      <c r="B203" s="153">
        <f t="shared" si="8"/>
        <v>0</v>
      </c>
      <c r="C203" s="153">
        <f t="shared" si="9"/>
        <v>0</v>
      </c>
      <c r="D203" s="186"/>
      <c r="E203" s="161"/>
      <c r="F203" s="156"/>
      <c r="G203" s="156"/>
      <c r="H203" s="156"/>
      <c r="I203" s="156"/>
      <c r="J203" s="156"/>
      <c r="K203" s="155">
        <v>0.0</v>
      </c>
      <c r="L203" s="155">
        <f t="shared" ref="L203:M203" si="196">$K203*L$4/100</f>
        <v>0</v>
      </c>
      <c r="M203" s="155">
        <f t="shared" si="196"/>
        <v>0</v>
      </c>
    </row>
    <row r="204">
      <c r="A204" s="152">
        <f t="shared" si="7"/>
        <v>0</v>
      </c>
      <c r="B204" s="153">
        <f t="shared" si="8"/>
        <v>0</v>
      </c>
      <c r="C204" s="153">
        <f t="shared" si="9"/>
        <v>0</v>
      </c>
      <c r="D204" s="186"/>
      <c r="E204" s="161"/>
      <c r="F204" s="156"/>
      <c r="G204" s="156"/>
      <c r="H204" s="156"/>
      <c r="I204" s="156"/>
      <c r="J204" s="156"/>
      <c r="K204" s="155">
        <v>0.0</v>
      </c>
      <c r="L204" s="155">
        <f t="shared" ref="L204:M204" si="197">$K204*L$4/100</f>
        <v>0</v>
      </c>
      <c r="M204" s="155">
        <f t="shared" si="197"/>
        <v>0</v>
      </c>
    </row>
    <row r="205">
      <c r="A205" s="152">
        <f t="shared" si="7"/>
        <v>0</v>
      </c>
      <c r="B205" s="153">
        <f t="shared" si="8"/>
        <v>0</v>
      </c>
      <c r="C205" s="153">
        <f t="shared" si="9"/>
        <v>0</v>
      </c>
      <c r="D205" s="186"/>
      <c r="E205" s="161"/>
      <c r="F205" s="156"/>
      <c r="G205" s="156"/>
      <c r="H205" s="156"/>
      <c r="I205" s="156"/>
      <c r="J205" s="156"/>
      <c r="K205" s="155">
        <v>0.0</v>
      </c>
      <c r="L205" s="155">
        <f t="shared" ref="L205:M205" si="198">$K205*L$4/100</f>
        <v>0</v>
      </c>
      <c r="M205" s="155">
        <f t="shared" si="198"/>
        <v>0</v>
      </c>
    </row>
    <row r="206">
      <c r="A206" s="152">
        <f t="shared" si="7"/>
        <v>0</v>
      </c>
      <c r="B206" s="153">
        <f t="shared" si="8"/>
        <v>0</v>
      </c>
      <c r="C206" s="153">
        <f t="shared" si="9"/>
        <v>0</v>
      </c>
      <c r="D206" s="186"/>
      <c r="E206" s="161"/>
      <c r="F206" s="156"/>
      <c r="G206" s="156"/>
      <c r="H206" s="156"/>
      <c r="I206" s="156"/>
      <c r="J206" s="156"/>
      <c r="K206" s="155">
        <v>0.0</v>
      </c>
      <c r="L206" s="155">
        <f t="shared" ref="L206:M206" si="199">$K206*L$4/100</f>
        <v>0</v>
      </c>
      <c r="M206" s="155">
        <f t="shared" si="199"/>
        <v>0</v>
      </c>
    </row>
    <row r="207">
      <c r="A207" s="152">
        <f t="shared" si="7"/>
        <v>0</v>
      </c>
      <c r="B207" s="153">
        <f t="shared" si="8"/>
        <v>0</v>
      </c>
      <c r="C207" s="153">
        <f t="shared" si="9"/>
        <v>0</v>
      </c>
      <c r="D207" s="186"/>
      <c r="E207" s="161"/>
      <c r="F207" s="156"/>
      <c r="G207" s="156"/>
      <c r="H207" s="156"/>
      <c r="I207" s="156"/>
      <c r="J207" s="156"/>
      <c r="K207" s="155">
        <v>0.0</v>
      </c>
      <c r="L207" s="155">
        <f t="shared" ref="L207:M207" si="200">$K207*L$4/100</f>
        <v>0</v>
      </c>
      <c r="M207" s="155">
        <f t="shared" si="200"/>
        <v>0</v>
      </c>
    </row>
    <row r="208">
      <c r="A208" s="152">
        <f t="shared" si="7"/>
        <v>0</v>
      </c>
      <c r="B208" s="153">
        <f t="shared" si="8"/>
        <v>0</v>
      </c>
      <c r="C208" s="153">
        <f t="shared" si="9"/>
        <v>0</v>
      </c>
      <c r="D208" s="186"/>
      <c r="E208" s="161"/>
      <c r="F208" s="156"/>
      <c r="G208" s="156"/>
      <c r="H208" s="156"/>
      <c r="I208" s="156"/>
      <c r="J208" s="156"/>
      <c r="K208" s="155">
        <v>0.0</v>
      </c>
      <c r="L208" s="155">
        <f t="shared" ref="L208:M208" si="201">$K208*L$4/100</f>
        <v>0</v>
      </c>
      <c r="M208" s="155">
        <f t="shared" si="201"/>
        <v>0</v>
      </c>
    </row>
    <row r="209">
      <c r="A209" s="152">
        <f t="shared" si="7"/>
        <v>0</v>
      </c>
      <c r="B209" s="153">
        <f t="shared" si="8"/>
        <v>0</v>
      </c>
      <c r="C209" s="153">
        <f t="shared" si="9"/>
        <v>0</v>
      </c>
      <c r="D209" s="186"/>
      <c r="E209" s="161"/>
      <c r="F209" s="156"/>
      <c r="G209" s="156"/>
      <c r="H209" s="156"/>
      <c r="I209" s="156"/>
      <c r="J209" s="156"/>
      <c r="K209" s="155">
        <v>0.0</v>
      </c>
      <c r="L209" s="155">
        <f t="shared" ref="L209:M209" si="202">$K209*L$4/100</f>
        <v>0</v>
      </c>
      <c r="M209" s="155">
        <f t="shared" si="202"/>
        <v>0</v>
      </c>
    </row>
    <row r="210">
      <c r="A210" s="152">
        <f t="shared" si="7"/>
        <v>0</v>
      </c>
      <c r="B210" s="153">
        <f t="shared" si="8"/>
        <v>0</v>
      </c>
      <c r="C210" s="153">
        <f t="shared" si="9"/>
        <v>0</v>
      </c>
      <c r="D210" s="186"/>
      <c r="E210" s="161"/>
      <c r="F210" s="156"/>
      <c r="G210" s="156"/>
      <c r="H210" s="156"/>
      <c r="I210" s="156"/>
      <c r="J210" s="156"/>
      <c r="K210" s="155">
        <v>0.0</v>
      </c>
      <c r="L210" s="155">
        <f t="shared" ref="L210:M210" si="203">$K210*L$4/100</f>
        <v>0</v>
      </c>
      <c r="M210" s="155">
        <f t="shared" si="203"/>
        <v>0</v>
      </c>
    </row>
    <row r="211">
      <c r="A211" s="152">
        <f t="shared" si="7"/>
        <v>0</v>
      </c>
      <c r="B211" s="153">
        <f t="shared" si="8"/>
        <v>0</v>
      </c>
      <c r="C211" s="153">
        <f t="shared" si="9"/>
        <v>0</v>
      </c>
      <c r="D211" s="186"/>
      <c r="E211" s="161"/>
      <c r="F211" s="156"/>
      <c r="G211" s="156"/>
      <c r="H211" s="156"/>
      <c r="I211" s="156"/>
      <c r="J211" s="156"/>
      <c r="K211" s="155">
        <v>0.0</v>
      </c>
      <c r="L211" s="155">
        <f t="shared" ref="L211:M211" si="204">$K211*L$4/100</f>
        <v>0</v>
      </c>
      <c r="M211" s="155">
        <f t="shared" si="204"/>
        <v>0</v>
      </c>
    </row>
    <row r="212">
      <c r="A212" s="152">
        <f t="shared" si="7"/>
        <v>0</v>
      </c>
      <c r="B212" s="153">
        <f t="shared" si="8"/>
        <v>0</v>
      </c>
      <c r="C212" s="153">
        <f t="shared" si="9"/>
        <v>0</v>
      </c>
      <c r="D212" s="186"/>
      <c r="E212" s="161"/>
      <c r="F212" s="156"/>
      <c r="G212" s="156"/>
      <c r="H212" s="156"/>
      <c r="I212" s="156"/>
      <c r="J212" s="156"/>
      <c r="K212" s="155">
        <v>0.0</v>
      </c>
      <c r="L212" s="155">
        <f t="shared" ref="L212:M212" si="205">$K212*L$4/100</f>
        <v>0</v>
      </c>
      <c r="M212" s="155">
        <f t="shared" si="205"/>
        <v>0</v>
      </c>
    </row>
    <row r="213">
      <c r="A213" s="152">
        <f t="shared" si="7"/>
        <v>0</v>
      </c>
      <c r="B213" s="153">
        <f t="shared" si="8"/>
        <v>0</v>
      </c>
      <c r="C213" s="153">
        <f t="shared" si="9"/>
        <v>0</v>
      </c>
      <c r="D213" s="186"/>
      <c r="E213" s="161"/>
      <c r="F213" s="156"/>
      <c r="G213" s="156"/>
      <c r="H213" s="156"/>
      <c r="I213" s="156"/>
      <c r="J213" s="156"/>
      <c r="K213" s="155">
        <v>0.0</v>
      </c>
      <c r="L213" s="155">
        <f t="shared" ref="L213:M213" si="206">$K213*L$4/100</f>
        <v>0</v>
      </c>
      <c r="M213" s="155">
        <f t="shared" si="206"/>
        <v>0</v>
      </c>
    </row>
    <row r="214">
      <c r="A214" s="152">
        <f t="shared" si="7"/>
        <v>0</v>
      </c>
      <c r="B214" s="153">
        <f t="shared" si="8"/>
        <v>0</v>
      </c>
      <c r="C214" s="153">
        <f t="shared" si="9"/>
        <v>0</v>
      </c>
      <c r="D214" s="186"/>
      <c r="E214" s="161"/>
      <c r="F214" s="156"/>
      <c r="G214" s="156"/>
      <c r="H214" s="156"/>
      <c r="I214" s="156"/>
      <c r="J214" s="156"/>
      <c r="K214" s="155">
        <v>0.0</v>
      </c>
      <c r="L214" s="155">
        <f t="shared" ref="L214:M214" si="207">$K214*L$4/100</f>
        <v>0</v>
      </c>
      <c r="M214" s="155">
        <f t="shared" si="207"/>
        <v>0</v>
      </c>
    </row>
    <row r="215">
      <c r="A215" s="152">
        <f t="shared" si="7"/>
        <v>0</v>
      </c>
      <c r="B215" s="153">
        <f t="shared" si="8"/>
        <v>0</v>
      </c>
      <c r="C215" s="153">
        <f t="shared" si="9"/>
        <v>0</v>
      </c>
      <c r="D215" s="186"/>
      <c r="E215" s="161"/>
      <c r="F215" s="156"/>
      <c r="G215" s="156"/>
      <c r="H215" s="156"/>
      <c r="I215" s="156"/>
      <c r="J215" s="156"/>
      <c r="K215" s="155">
        <v>0.0</v>
      </c>
      <c r="L215" s="155">
        <f t="shared" ref="L215:M215" si="208">$K215*L$4/100</f>
        <v>0</v>
      </c>
      <c r="M215" s="155">
        <f t="shared" si="208"/>
        <v>0</v>
      </c>
    </row>
    <row r="216">
      <c r="A216" s="152">
        <f t="shared" si="7"/>
        <v>0</v>
      </c>
      <c r="B216" s="153">
        <f t="shared" si="8"/>
        <v>0</v>
      </c>
      <c r="C216" s="153">
        <f t="shared" si="9"/>
        <v>0</v>
      </c>
      <c r="D216" s="186"/>
      <c r="E216" s="161"/>
      <c r="F216" s="156"/>
      <c r="G216" s="156"/>
      <c r="H216" s="156"/>
      <c r="I216" s="156"/>
      <c r="J216" s="156"/>
      <c r="K216" s="155">
        <v>0.0</v>
      </c>
      <c r="L216" s="155">
        <f t="shared" ref="L216:M216" si="209">$K216*L$4/100</f>
        <v>0</v>
      </c>
      <c r="M216" s="155">
        <f t="shared" si="209"/>
        <v>0</v>
      </c>
    </row>
    <row r="217">
      <c r="A217" s="152">
        <f t="shared" si="7"/>
        <v>0</v>
      </c>
      <c r="B217" s="153">
        <f t="shared" si="8"/>
        <v>0</v>
      </c>
      <c r="C217" s="153">
        <f t="shared" si="9"/>
        <v>0</v>
      </c>
      <c r="D217" s="186"/>
      <c r="E217" s="161"/>
      <c r="F217" s="156"/>
      <c r="G217" s="156"/>
      <c r="H217" s="156"/>
      <c r="I217" s="156"/>
      <c r="J217" s="156"/>
      <c r="K217" s="155">
        <v>0.0</v>
      </c>
      <c r="L217" s="155">
        <f t="shared" ref="L217:M217" si="210">$K217*L$4/100</f>
        <v>0</v>
      </c>
      <c r="M217" s="155">
        <f t="shared" si="210"/>
        <v>0</v>
      </c>
    </row>
    <row r="218">
      <c r="A218" s="152">
        <f t="shared" si="7"/>
        <v>0</v>
      </c>
      <c r="B218" s="153">
        <f t="shared" si="8"/>
        <v>0</v>
      </c>
      <c r="C218" s="153">
        <f t="shared" si="9"/>
        <v>0</v>
      </c>
      <c r="D218" s="186"/>
      <c r="E218" s="161"/>
      <c r="F218" s="156"/>
      <c r="G218" s="156"/>
      <c r="H218" s="156"/>
      <c r="I218" s="156"/>
      <c r="J218" s="156"/>
      <c r="K218" s="155">
        <v>0.0</v>
      </c>
      <c r="L218" s="155">
        <f t="shared" ref="L218:M218" si="211">$K218*L$4/100</f>
        <v>0</v>
      </c>
      <c r="M218" s="155">
        <f t="shared" si="211"/>
        <v>0</v>
      </c>
    </row>
    <row r="219">
      <c r="A219" s="152">
        <f t="shared" si="7"/>
        <v>0</v>
      </c>
      <c r="B219" s="153">
        <f t="shared" si="8"/>
        <v>0</v>
      </c>
      <c r="C219" s="153">
        <f t="shared" si="9"/>
        <v>0</v>
      </c>
      <c r="D219" s="186"/>
      <c r="E219" s="161"/>
      <c r="F219" s="156"/>
      <c r="G219" s="156"/>
      <c r="H219" s="156"/>
      <c r="I219" s="156"/>
      <c r="J219" s="156"/>
      <c r="K219" s="155">
        <v>0.0</v>
      </c>
      <c r="L219" s="155">
        <f t="shared" ref="L219:M219" si="212">$K219*L$4/100</f>
        <v>0</v>
      </c>
      <c r="M219" s="155">
        <f t="shared" si="212"/>
        <v>0</v>
      </c>
    </row>
    <row r="220">
      <c r="A220" s="152">
        <f t="shared" si="7"/>
        <v>0</v>
      </c>
      <c r="B220" s="153">
        <f t="shared" si="8"/>
        <v>0</v>
      </c>
      <c r="C220" s="153">
        <f t="shared" si="9"/>
        <v>0</v>
      </c>
      <c r="D220" s="186"/>
      <c r="E220" s="161"/>
      <c r="F220" s="156"/>
      <c r="G220" s="156"/>
      <c r="H220" s="156"/>
      <c r="I220" s="156"/>
      <c r="J220" s="156"/>
      <c r="K220" s="155">
        <v>0.0</v>
      </c>
      <c r="L220" s="155">
        <f t="shared" ref="L220:M220" si="213">$K220*L$4/100</f>
        <v>0</v>
      </c>
      <c r="M220" s="155">
        <f t="shared" si="213"/>
        <v>0</v>
      </c>
    </row>
    <row r="221">
      <c r="A221" s="152">
        <f t="shared" si="7"/>
        <v>0</v>
      </c>
      <c r="B221" s="153">
        <f t="shared" si="8"/>
        <v>0</v>
      </c>
      <c r="C221" s="153">
        <f t="shared" si="9"/>
        <v>0</v>
      </c>
      <c r="D221" s="186"/>
      <c r="E221" s="161"/>
      <c r="F221" s="156"/>
      <c r="G221" s="156"/>
      <c r="H221" s="156"/>
      <c r="I221" s="156"/>
      <c r="J221" s="156"/>
      <c r="K221" s="155">
        <v>0.0</v>
      </c>
      <c r="L221" s="155">
        <f t="shared" ref="L221:M221" si="214">$K221*L$4/100</f>
        <v>0</v>
      </c>
      <c r="M221" s="155">
        <f t="shared" si="214"/>
        <v>0</v>
      </c>
    </row>
    <row r="222">
      <c r="A222" s="152">
        <f t="shared" si="7"/>
        <v>0</v>
      </c>
      <c r="B222" s="153">
        <f t="shared" si="8"/>
        <v>0</v>
      </c>
      <c r="C222" s="153">
        <f t="shared" si="9"/>
        <v>0</v>
      </c>
      <c r="D222" s="186"/>
      <c r="E222" s="161"/>
      <c r="F222" s="156"/>
      <c r="G222" s="156"/>
      <c r="H222" s="156"/>
      <c r="I222" s="156"/>
      <c r="J222" s="156"/>
      <c r="K222" s="155">
        <v>0.0</v>
      </c>
      <c r="L222" s="155">
        <f t="shared" ref="L222:M222" si="215">$K222*L$4/100</f>
        <v>0</v>
      </c>
      <c r="M222" s="155">
        <f t="shared" si="215"/>
        <v>0</v>
      </c>
    </row>
    <row r="223">
      <c r="A223" s="152">
        <f t="shared" si="7"/>
        <v>0</v>
      </c>
      <c r="B223" s="153">
        <f t="shared" si="8"/>
        <v>0</v>
      </c>
      <c r="C223" s="153">
        <f t="shared" si="9"/>
        <v>0</v>
      </c>
      <c r="D223" s="186"/>
      <c r="E223" s="161"/>
      <c r="F223" s="156"/>
      <c r="G223" s="156"/>
      <c r="H223" s="156"/>
      <c r="I223" s="156"/>
      <c r="J223" s="156"/>
      <c r="K223" s="155">
        <v>0.0</v>
      </c>
      <c r="L223" s="155">
        <f t="shared" ref="L223:M223" si="216">$K223*L$4/100</f>
        <v>0</v>
      </c>
      <c r="M223" s="155">
        <f t="shared" si="216"/>
        <v>0</v>
      </c>
    </row>
    <row r="224">
      <c r="A224" s="152">
        <f t="shared" si="7"/>
        <v>0</v>
      </c>
      <c r="B224" s="153">
        <f t="shared" si="8"/>
        <v>0</v>
      </c>
      <c r="C224" s="153">
        <f t="shared" si="9"/>
        <v>0</v>
      </c>
      <c r="D224" s="186"/>
      <c r="E224" s="161"/>
      <c r="F224" s="156"/>
      <c r="G224" s="156"/>
      <c r="H224" s="156"/>
      <c r="I224" s="156"/>
      <c r="J224" s="156"/>
      <c r="K224" s="155">
        <v>0.0</v>
      </c>
      <c r="L224" s="155">
        <f t="shared" ref="L224:M224" si="217">$K224*L$4/100</f>
        <v>0</v>
      </c>
      <c r="M224" s="155">
        <f t="shared" si="217"/>
        <v>0</v>
      </c>
    </row>
    <row r="225">
      <c r="A225" s="152">
        <f t="shared" si="7"/>
        <v>0</v>
      </c>
      <c r="B225" s="153">
        <f t="shared" si="8"/>
        <v>0</v>
      </c>
      <c r="C225" s="153">
        <f t="shared" si="9"/>
        <v>0</v>
      </c>
      <c r="D225" s="186"/>
      <c r="E225" s="161"/>
      <c r="F225" s="156"/>
      <c r="G225" s="156"/>
      <c r="H225" s="156"/>
      <c r="I225" s="156"/>
      <c r="J225" s="156"/>
      <c r="K225" s="155">
        <v>0.0</v>
      </c>
      <c r="L225" s="155">
        <f t="shared" ref="L225:M225" si="218">$K225*L$4/100</f>
        <v>0</v>
      </c>
      <c r="M225" s="155">
        <f t="shared" si="218"/>
        <v>0</v>
      </c>
    </row>
    <row r="226">
      <c r="A226" s="152">
        <f t="shared" si="7"/>
        <v>0</v>
      </c>
      <c r="B226" s="153">
        <f t="shared" si="8"/>
        <v>0</v>
      </c>
      <c r="C226" s="153">
        <f t="shared" si="9"/>
        <v>0</v>
      </c>
      <c r="D226" s="186"/>
      <c r="E226" s="161"/>
      <c r="F226" s="156"/>
      <c r="G226" s="156"/>
      <c r="H226" s="156"/>
      <c r="I226" s="156"/>
      <c r="J226" s="156"/>
      <c r="K226" s="155">
        <v>0.0</v>
      </c>
      <c r="L226" s="155">
        <f t="shared" ref="L226:M226" si="219">$K226*L$4/100</f>
        <v>0</v>
      </c>
      <c r="M226" s="155">
        <f t="shared" si="219"/>
        <v>0</v>
      </c>
    </row>
    <row r="227">
      <c r="A227" s="152">
        <f t="shared" si="7"/>
        <v>0</v>
      </c>
      <c r="B227" s="153">
        <f t="shared" si="8"/>
        <v>0</v>
      </c>
      <c r="C227" s="153">
        <f t="shared" si="9"/>
        <v>0</v>
      </c>
      <c r="D227" s="186"/>
      <c r="E227" s="161"/>
      <c r="F227" s="156"/>
      <c r="G227" s="156"/>
      <c r="H227" s="156"/>
      <c r="I227" s="156"/>
      <c r="J227" s="156"/>
      <c r="K227" s="155">
        <v>0.0</v>
      </c>
      <c r="L227" s="155">
        <f t="shared" ref="L227:M227" si="220">$K227*L$4/100</f>
        <v>0</v>
      </c>
      <c r="M227" s="155">
        <f t="shared" si="220"/>
        <v>0</v>
      </c>
    </row>
    <row r="228">
      <c r="A228" s="152">
        <f t="shared" si="7"/>
        <v>0</v>
      </c>
      <c r="B228" s="153">
        <f t="shared" si="8"/>
        <v>0</v>
      </c>
      <c r="C228" s="153">
        <f t="shared" si="9"/>
        <v>0</v>
      </c>
      <c r="D228" s="186"/>
      <c r="E228" s="161"/>
      <c r="F228" s="156"/>
      <c r="G228" s="156"/>
      <c r="H228" s="156"/>
      <c r="I228" s="156"/>
      <c r="J228" s="156"/>
      <c r="K228" s="155">
        <v>0.0</v>
      </c>
      <c r="L228" s="155">
        <f t="shared" ref="L228:M228" si="221">$K228*L$4/100</f>
        <v>0</v>
      </c>
      <c r="M228" s="155">
        <f t="shared" si="221"/>
        <v>0</v>
      </c>
    </row>
    <row r="229">
      <c r="A229" s="152">
        <f t="shared" si="7"/>
        <v>0</v>
      </c>
      <c r="B229" s="153">
        <f t="shared" si="8"/>
        <v>0</v>
      </c>
      <c r="C229" s="153">
        <f t="shared" si="9"/>
        <v>0</v>
      </c>
      <c r="D229" s="186"/>
      <c r="E229" s="161"/>
      <c r="F229" s="156"/>
      <c r="G229" s="156"/>
      <c r="H229" s="156"/>
      <c r="I229" s="156"/>
      <c r="J229" s="156"/>
      <c r="K229" s="155">
        <v>0.0</v>
      </c>
      <c r="L229" s="155">
        <f t="shared" ref="L229:M229" si="222">$K229*L$4/100</f>
        <v>0</v>
      </c>
      <c r="M229" s="155">
        <f t="shared" si="222"/>
        <v>0</v>
      </c>
    </row>
    <row r="230">
      <c r="A230" s="152">
        <f t="shared" si="7"/>
        <v>0</v>
      </c>
      <c r="B230" s="153">
        <f t="shared" si="8"/>
        <v>0</v>
      </c>
      <c r="C230" s="153">
        <f t="shared" si="9"/>
        <v>0</v>
      </c>
      <c r="D230" s="186"/>
      <c r="E230" s="161"/>
      <c r="F230" s="156"/>
      <c r="G230" s="156"/>
      <c r="H230" s="156"/>
      <c r="I230" s="156"/>
      <c r="J230" s="156"/>
      <c r="K230" s="155">
        <v>0.0</v>
      </c>
      <c r="L230" s="155">
        <f t="shared" ref="L230:M230" si="223">$K230*L$4/100</f>
        <v>0</v>
      </c>
      <c r="M230" s="155">
        <f t="shared" si="223"/>
        <v>0</v>
      </c>
    </row>
    <row r="231">
      <c r="A231" s="152">
        <f t="shared" si="7"/>
        <v>0</v>
      </c>
      <c r="B231" s="153">
        <f t="shared" si="8"/>
        <v>0</v>
      </c>
      <c r="C231" s="153">
        <f t="shared" si="9"/>
        <v>0</v>
      </c>
      <c r="D231" s="186"/>
      <c r="E231" s="161"/>
      <c r="F231" s="156"/>
      <c r="G231" s="156"/>
      <c r="H231" s="156"/>
      <c r="I231" s="156"/>
      <c r="J231" s="156"/>
      <c r="K231" s="155">
        <v>0.0</v>
      </c>
      <c r="L231" s="155">
        <f t="shared" ref="L231:M231" si="224">$K231*L$4/100</f>
        <v>0</v>
      </c>
      <c r="M231" s="155">
        <f t="shared" si="224"/>
        <v>0</v>
      </c>
    </row>
    <row r="232">
      <c r="A232" s="152">
        <f t="shared" si="7"/>
        <v>0</v>
      </c>
      <c r="B232" s="153">
        <f t="shared" si="8"/>
        <v>0</v>
      </c>
      <c r="C232" s="153">
        <f t="shared" si="9"/>
        <v>0</v>
      </c>
      <c r="D232" s="186"/>
      <c r="E232" s="161"/>
      <c r="F232" s="156"/>
      <c r="G232" s="156"/>
      <c r="H232" s="156"/>
      <c r="I232" s="156"/>
      <c r="J232" s="156"/>
      <c r="K232" s="155">
        <v>0.0</v>
      </c>
      <c r="L232" s="155">
        <f t="shared" ref="L232:M232" si="225">$K232*L$4/100</f>
        <v>0</v>
      </c>
      <c r="M232" s="155">
        <f t="shared" si="225"/>
        <v>0</v>
      </c>
    </row>
    <row r="233">
      <c r="A233" s="152">
        <f t="shared" si="7"/>
        <v>0</v>
      </c>
      <c r="B233" s="153">
        <f t="shared" si="8"/>
        <v>0</v>
      </c>
      <c r="C233" s="153">
        <f t="shared" si="9"/>
        <v>0</v>
      </c>
      <c r="D233" s="186"/>
      <c r="E233" s="161"/>
      <c r="F233" s="156"/>
      <c r="G233" s="156"/>
      <c r="H233" s="156"/>
      <c r="I233" s="156"/>
      <c r="J233" s="156"/>
      <c r="K233" s="155">
        <v>0.0</v>
      </c>
      <c r="L233" s="155">
        <f t="shared" ref="L233:M233" si="226">$K233*L$4/100</f>
        <v>0</v>
      </c>
      <c r="M233" s="155">
        <f t="shared" si="226"/>
        <v>0</v>
      </c>
    </row>
    <row r="234">
      <c r="A234" s="152">
        <f t="shared" si="7"/>
        <v>0</v>
      </c>
      <c r="B234" s="153">
        <f t="shared" si="8"/>
        <v>0</v>
      </c>
      <c r="C234" s="153">
        <f t="shared" si="9"/>
        <v>0</v>
      </c>
      <c r="D234" s="186"/>
      <c r="E234" s="161"/>
      <c r="F234" s="156"/>
      <c r="G234" s="156"/>
      <c r="H234" s="156"/>
      <c r="I234" s="156"/>
      <c r="J234" s="156"/>
      <c r="K234" s="155">
        <v>0.0</v>
      </c>
      <c r="L234" s="155">
        <f t="shared" ref="L234:M234" si="227">$K234*L$4/100</f>
        <v>0</v>
      </c>
      <c r="M234" s="155">
        <f t="shared" si="227"/>
        <v>0</v>
      </c>
    </row>
    <row r="235">
      <c r="A235" s="152">
        <f t="shared" si="7"/>
        <v>0</v>
      </c>
      <c r="B235" s="153">
        <f t="shared" si="8"/>
        <v>0</v>
      </c>
      <c r="C235" s="153">
        <f t="shared" si="9"/>
        <v>0</v>
      </c>
      <c r="D235" s="186"/>
      <c r="E235" s="161"/>
      <c r="F235" s="156"/>
      <c r="G235" s="156"/>
      <c r="H235" s="156"/>
      <c r="I235" s="156"/>
      <c r="J235" s="156"/>
      <c r="K235" s="155">
        <v>0.0</v>
      </c>
      <c r="L235" s="155">
        <f t="shared" ref="L235:M235" si="228">$K235*L$4/100</f>
        <v>0</v>
      </c>
      <c r="M235" s="155">
        <f t="shared" si="228"/>
        <v>0</v>
      </c>
    </row>
    <row r="236">
      <c r="A236" s="152">
        <f t="shared" si="7"/>
        <v>0</v>
      </c>
      <c r="B236" s="153">
        <f t="shared" si="8"/>
        <v>0</v>
      </c>
      <c r="C236" s="153">
        <f t="shared" si="9"/>
        <v>0</v>
      </c>
      <c r="D236" s="186"/>
      <c r="E236" s="161"/>
      <c r="F236" s="156"/>
      <c r="G236" s="156"/>
      <c r="H236" s="156"/>
      <c r="I236" s="156"/>
      <c r="J236" s="156"/>
      <c r="K236" s="155">
        <v>0.0</v>
      </c>
      <c r="L236" s="155">
        <f t="shared" ref="L236:M236" si="229">$K236*L$4/100</f>
        <v>0</v>
      </c>
      <c r="M236" s="155">
        <f t="shared" si="229"/>
        <v>0</v>
      </c>
    </row>
    <row r="237">
      <c r="A237" s="152">
        <f t="shared" si="7"/>
        <v>0</v>
      </c>
      <c r="B237" s="153">
        <f t="shared" si="8"/>
        <v>0</v>
      </c>
      <c r="C237" s="153">
        <f t="shared" si="9"/>
        <v>0</v>
      </c>
      <c r="D237" s="186"/>
      <c r="E237" s="161"/>
      <c r="F237" s="156"/>
      <c r="G237" s="156"/>
      <c r="H237" s="156"/>
      <c r="I237" s="156"/>
      <c r="J237" s="156"/>
      <c r="K237" s="155">
        <v>0.0</v>
      </c>
      <c r="L237" s="155">
        <f t="shared" ref="L237:M237" si="230">$K237*L$4/100</f>
        <v>0</v>
      </c>
      <c r="M237" s="155">
        <f t="shared" si="230"/>
        <v>0</v>
      </c>
    </row>
    <row r="238">
      <c r="A238" s="152">
        <f t="shared" si="7"/>
        <v>0</v>
      </c>
      <c r="B238" s="153">
        <f t="shared" si="8"/>
        <v>0</v>
      </c>
      <c r="C238" s="153">
        <f t="shared" si="9"/>
        <v>0</v>
      </c>
      <c r="D238" s="186"/>
      <c r="E238" s="161"/>
      <c r="F238" s="156"/>
      <c r="G238" s="156"/>
      <c r="H238" s="156"/>
      <c r="I238" s="156"/>
      <c r="J238" s="156"/>
      <c r="K238" s="155">
        <v>0.0</v>
      </c>
      <c r="L238" s="155">
        <f t="shared" ref="L238:M238" si="231">$K238*L$4/100</f>
        <v>0</v>
      </c>
      <c r="M238" s="155">
        <f t="shared" si="231"/>
        <v>0</v>
      </c>
    </row>
    <row r="239">
      <c r="A239" s="152">
        <f t="shared" si="7"/>
        <v>0</v>
      </c>
      <c r="B239" s="153">
        <f t="shared" si="8"/>
        <v>0</v>
      </c>
      <c r="C239" s="153">
        <f t="shared" si="9"/>
        <v>0</v>
      </c>
      <c r="D239" s="186"/>
      <c r="E239" s="161"/>
      <c r="F239" s="156"/>
      <c r="G239" s="156"/>
      <c r="H239" s="156"/>
      <c r="I239" s="156"/>
      <c r="J239" s="156"/>
      <c r="K239" s="155">
        <v>0.0</v>
      </c>
      <c r="L239" s="155">
        <f t="shared" ref="L239:M239" si="232">$K239*L$4/100</f>
        <v>0</v>
      </c>
      <c r="M239" s="155">
        <f t="shared" si="232"/>
        <v>0</v>
      </c>
    </row>
    <row r="240">
      <c r="A240" s="152">
        <f t="shared" si="7"/>
        <v>0</v>
      </c>
      <c r="B240" s="153">
        <f t="shared" si="8"/>
        <v>0</v>
      </c>
      <c r="C240" s="153">
        <f t="shared" si="9"/>
        <v>0</v>
      </c>
      <c r="D240" s="186"/>
      <c r="E240" s="161"/>
      <c r="F240" s="156"/>
      <c r="G240" s="156"/>
      <c r="H240" s="156"/>
      <c r="I240" s="156"/>
      <c r="J240" s="156"/>
      <c r="K240" s="155">
        <v>0.0</v>
      </c>
      <c r="L240" s="155">
        <f t="shared" ref="L240:M240" si="233">$K240*L$4/100</f>
        <v>0</v>
      </c>
      <c r="M240" s="155">
        <f t="shared" si="233"/>
        <v>0</v>
      </c>
    </row>
    <row r="241">
      <c r="A241" s="152">
        <f t="shared" si="7"/>
        <v>0</v>
      </c>
      <c r="B241" s="153">
        <f t="shared" si="8"/>
        <v>0</v>
      </c>
      <c r="C241" s="153">
        <f t="shared" si="9"/>
        <v>0</v>
      </c>
      <c r="D241" s="186"/>
      <c r="E241" s="161"/>
      <c r="F241" s="156"/>
      <c r="G241" s="156"/>
      <c r="H241" s="156"/>
      <c r="I241" s="156"/>
      <c r="J241" s="156"/>
      <c r="K241" s="155">
        <v>0.0</v>
      </c>
      <c r="L241" s="155">
        <f t="shared" ref="L241:M241" si="234">$K241*L$4/100</f>
        <v>0</v>
      </c>
      <c r="M241" s="155">
        <f t="shared" si="234"/>
        <v>0</v>
      </c>
    </row>
    <row r="242">
      <c r="A242" s="152">
        <f t="shared" si="7"/>
        <v>0</v>
      </c>
      <c r="B242" s="153">
        <f t="shared" si="8"/>
        <v>0</v>
      </c>
      <c r="C242" s="153">
        <f t="shared" si="9"/>
        <v>0</v>
      </c>
      <c r="D242" s="186"/>
      <c r="E242" s="161"/>
      <c r="F242" s="156"/>
      <c r="G242" s="156"/>
      <c r="H242" s="156"/>
      <c r="I242" s="156"/>
      <c r="J242" s="156"/>
      <c r="K242" s="155">
        <v>0.0</v>
      </c>
      <c r="L242" s="155">
        <f t="shared" ref="L242:M242" si="235">$K242*L$4/100</f>
        <v>0</v>
      </c>
      <c r="M242" s="155">
        <f t="shared" si="235"/>
        <v>0</v>
      </c>
    </row>
    <row r="243">
      <c r="A243" s="152">
        <f t="shared" si="7"/>
        <v>0</v>
      </c>
      <c r="B243" s="153">
        <f t="shared" si="8"/>
        <v>0</v>
      </c>
      <c r="C243" s="153">
        <f t="shared" si="9"/>
        <v>0</v>
      </c>
      <c r="D243" s="186"/>
      <c r="E243" s="161"/>
      <c r="F243" s="156"/>
      <c r="G243" s="156"/>
      <c r="H243" s="156"/>
      <c r="I243" s="156"/>
      <c r="J243" s="156"/>
      <c r="K243" s="155">
        <v>0.0</v>
      </c>
      <c r="L243" s="155">
        <f t="shared" ref="L243:M243" si="236">$K243*L$4/100</f>
        <v>0</v>
      </c>
      <c r="M243" s="155">
        <f t="shared" si="236"/>
        <v>0</v>
      </c>
    </row>
    <row r="244">
      <c r="A244" s="152">
        <f t="shared" si="7"/>
        <v>0</v>
      </c>
      <c r="B244" s="153">
        <f t="shared" si="8"/>
        <v>0</v>
      </c>
      <c r="C244" s="153">
        <f t="shared" si="9"/>
        <v>0</v>
      </c>
      <c r="D244" s="186"/>
      <c r="E244" s="161"/>
      <c r="F244" s="156"/>
      <c r="G244" s="156"/>
      <c r="H244" s="156"/>
      <c r="I244" s="156"/>
      <c r="J244" s="156"/>
      <c r="K244" s="155">
        <v>0.0</v>
      </c>
      <c r="L244" s="155">
        <f t="shared" ref="L244:M244" si="237">$K244*L$4/100</f>
        <v>0</v>
      </c>
      <c r="M244" s="155">
        <f t="shared" si="237"/>
        <v>0</v>
      </c>
    </row>
    <row r="245">
      <c r="A245" s="152">
        <f t="shared" si="7"/>
        <v>0</v>
      </c>
      <c r="B245" s="153">
        <f t="shared" si="8"/>
        <v>0</v>
      </c>
      <c r="C245" s="153">
        <f t="shared" si="9"/>
        <v>0</v>
      </c>
      <c r="D245" s="186"/>
      <c r="E245" s="161"/>
      <c r="F245" s="156"/>
      <c r="G245" s="156"/>
      <c r="H245" s="156"/>
      <c r="I245" s="156"/>
      <c r="J245" s="156"/>
      <c r="K245" s="155">
        <v>0.0</v>
      </c>
      <c r="L245" s="155">
        <f t="shared" ref="L245:M245" si="238">$K245*L$4/100</f>
        <v>0</v>
      </c>
      <c r="M245" s="155">
        <f t="shared" si="238"/>
        <v>0</v>
      </c>
    </row>
    <row r="246">
      <c r="A246" s="152">
        <f t="shared" si="7"/>
        <v>0</v>
      </c>
      <c r="B246" s="153">
        <f t="shared" si="8"/>
        <v>0</v>
      </c>
      <c r="C246" s="153">
        <f t="shared" si="9"/>
        <v>0</v>
      </c>
      <c r="D246" s="186"/>
      <c r="E246" s="161"/>
      <c r="F246" s="156"/>
      <c r="G246" s="156"/>
      <c r="H246" s="156"/>
      <c r="I246" s="156"/>
      <c r="J246" s="156"/>
      <c r="K246" s="155">
        <v>0.0</v>
      </c>
      <c r="L246" s="155">
        <f t="shared" ref="L246:M246" si="239">$K246*L$4/100</f>
        <v>0</v>
      </c>
      <c r="M246" s="155">
        <f t="shared" si="239"/>
        <v>0</v>
      </c>
    </row>
    <row r="247">
      <c r="A247" s="152">
        <f t="shared" si="7"/>
        <v>0</v>
      </c>
      <c r="B247" s="153">
        <f t="shared" si="8"/>
        <v>0</v>
      </c>
      <c r="C247" s="153">
        <f t="shared" si="9"/>
        <v>0</v>
      </c>
      <c r="D247" s="186"/>
      <c r="E247" s="161"/>
      <c r="F247" s="156"/>
      <c r="G247" s="156"/>
      <c r="H247" s="156"/>
      <c r="I247" s="156"/>
      <c r="J247" s="156"/>
      <c r="K247" s="155">
        <v>0.0</v>
      </c>
      <c r="L247" s="155">
        <f t="shared" ref="L247:M247" si="240">$K247*L$4/100</f>
        <v>0</v>
      </c>
      <c r="M247" s="155">
        <f t="shared" si="240"/>
        <v>0</v>
      </c>
    </row>
    <row r="248">
      <c r="A248" s="152">
        <f t="shared" si="7"/>
        <v>0</v>
      </c>
      <c r="B248" s="153">
        <f t="shared" si="8"/>
        <v>0</v>
      </c>
      <c r="C248" s="153">
        <f t="shared" si="9"/>
        <v>0</v>
      </c>
      <c r="D248" s="186"/>
      <c r="E248" s="161"/>
      <c r="F248" s="156"/>
      <c r="G248" s="156"/>
      <c r="H248" s="156"/>
      <c r="I248" s="156"/>
      <c r="J248" s="156"/>
      <c r="K248" s="155">
        <v>0.0</v>
      </c>
      <c r="L248" s="155">
        <f t="shared" ref="L248:M248" si="241">$K248*L$4/100</f>
        <v>0</v>
      </c>
      <c r="M248" s="155">
        <f t="shared" si="241"/>
        <v>0</v>
      </c>
    </row>
    <row r="249">
      <c r="A249" s="152">
        <f t="shared" si="7"/>
        <v>0</v>
      </c>
      <c r="B249" s="153">
        <f t="shared" si="8"/>
        <v>0</v>
      </c>
      <c r="C249" s="153">
        <f t="shared" si="9"/>
        <v>0</v>
      </c>
      <c r="D249" s="186"/>
      <c r="E249" s="161"/>
      <c r="F249" s="156"/>
      <c r="G249" s="156"/>
      <c r="H249" s="156"/>
      <c r="I249" s="156"/>
      <c r="J249" s="156"/>
      <c r="K249" s="155">
        <v>0.0</v>
      </c>
      <c r="L249" s="155">
        <f t="shared" ref="L249:M249" si="242">$K249*L$4/100</f>
        <v>0</v>
      </c>
      <c r="M249" s="155">
        <f t="shared" si="242"/>
        <v>0</v>
      </c>
    </row>
    <row r="250">
      <c r="A250" s="152">
        <f t="shared" si="7"/>
        <v>0</v>
      </c>
      <c r="B250" s="153">
        <f t="shared" si="8"/>
        <v>0</v>
      </c>
      <c r="C250" s="153">
        <f t="shared" si="9"/>
        <v>0</v>
      </c>
      <c r="D250" s="186"/>
      <c r="E250" s="161"/>
      <c r="F250" s="156"/>
      <c r="G250" s="156"/>
      <c r="H250" s="156"/>
      <c r="I250" s="156"/>
      <c r="J250" s="156"/>
      <c r="K250" s="155">
        <v>0.0</v>
      </c>
      <c r="L250" s="155">
        <f t="shared" ref="L250:M250" si="243">$K250*L$4/100</f>
        <v>0</v>
      </c>
      <c r="M250" s="155">
        <f t="shared" si="243"/>
        <v>0</v>
      </c>
    </row>
    <row r="251">
      <c r="A251" s="152">
        <f t="shared" si="7"/>
        <v>0</v>
      </c>
      <c r="B251" s="153">
        <f t="shared" si="8"/>
        <v>0</v>
      </c>
      <c r="C251" s="153">
        <f t="shared" si="9"/>
        <v>0</v>
      </c>
      <c r="D251" s="186"/>
      <c r="E251" s="161"/>
      <c r="F251" s="156"/>
      <c r="G251" s="156"/>
      <c r="H251" s="156"/>
      <c r="I251" s="156"/>
      <c r="J251" s="156"/>
      <c r="K251" s="155">
        <v>0.0</v>
      </c>
      <c r="L251" s="155">
        <f t="shared" ref="L251:M251" si="244">$K251*L$4/100</f>
        <v>0</v>
      </c>
      <c r="M251" s="155">
        <f t="shared" si="244"/>
        <v>0</v>
      </c>
    </row>
    <row r="252">
      <c r="A252" s="152">
        <f t="shared" si="7"/>
        <v>0</v>
      </c>
      <c r="B252" s="153">
        <f t="shared" si="8"/>
        <v>0</v>
      </c>
      <c r="C252" s="153">
        <f t="shared" si="9"/>
        <v>0</v>
      </c>
      <c r="D252" s="186"/>
      <c r="E252" s="161"/>
      <c r="F252" s="156"/>
      <c r="G252" s="156"/>
      <c r="H252" s="156"/>
      <c r="I252" s="156"/>
      <c r="J252" s="156"/>
      <c r="K252" s="155">
        <v>0.0</v>
      </c>
      <c r="L252" s="155">
        <f t="shared" ref="L252:M252" si="245">$K252*L$4/100</f>
        <v>0</v>
      </c>
      <c r="M252" s="155">
        <f t="shared" si="245"/>
        <v>0</v>
      </c>
    </row>
    <row r="253">
      <c r="A253" s="152">
        <f t="shared" si="7"/>
        <v>0</v>
      </c>
      <c r="B253" s="153">
        <f t="shared" si="8"/>
        <v>0</v>
      </c>
      <c r="C253" s="153">
        <f t="shared" si="9"/>
        <v>0</v>
      </c>
      <c r="D253" s="186"/>
      <c r="E253" s="161"/>
      <c r="F253" s="156"/>
      <c r="G253" s="156"/>
      <c r="H253" s="156"/>
      <c r="I253" s="156"/>
      <c r="J253" s="156"/>
      <c r="K253" s="155">
        <v>0.0</v>
      </c>
      <c r="L253" s="155">
        <f t="shared" ref="L253:M253" si="246">$K253*L$4/100</f>
        <v>0</v>
      </c>
      <c r="M253" s="155">
        <f t="shared" si="246"/>
        <v>0</v>
      </c>
    </row>
    <row r="254">
      <c r="A254" s="152">
        <f t="shared" si="7"/>
        <v>0</v>
      </c>
      <c r="B254" s="153">
        <f t="shared" si="8"/>
        <v>0</v>
      </c>
      <c r="C254" s="153">
        <f t="shared" si="9"/>
        <v>0</v>
      </c>
      <c r="D254" s="186"/>
      <c r="E254" s="161"/>
      <c r="F254" s="156"/>
      <c r="G254" s="156"/>
      <c r="H254" s="156"/>
      <c r="I254" s="156"/>
      <c r="J254" s="156"/>
      <c r="K254" s="155">
        <v>0.0</v>
      </c>
      <c r="L254" s="155">
        <f t="shared" ref="L254:M254" si="247">$K254*L$4/100</f>
        <v>0</v>
      </c>
      <c r="M254" s="155">
        <f t="shared" si="247"/>
        <v>0</v>
      </c>
    </row>
    <row r="255">
      <c r="A255" s="152">
        <f t="shared" si="7"/>
        <v>0</v>
      </c>
      <c r="B255" s="153">
        <f t="shared" si="8"/>
        <v>0</v>
      </c>
      <c r="C255" s="153">
        <f t="shared" si="9"/>
        <v>0</v>
      </c>
      <c r="D255" s="186"/>
      <c r="E255" s="161"/>
      <c r="F255" s="156"/>
      <c r="G255" s="156"/>
      <c r="H255" s="156"/>
      <c r="I255" s="156"/>
      <c r="J255" s="156"/>
      <c r="K255" s="155">
        <v>0.0</v>
      </c>
      <c r="L255" s="155">
        <f t="shared" ref="L255:M255" si="248">$K255*L$4/100</f>
        <v>0</v>
      </c>
      <c r="M255" s="155">
        <f t="shared" si="248"/>
        <v>0</v>
      </c>
    </row>
    <row r="256">
      <c r="A256" s="152">
        <f t="shared" si="7"/>
        <v>0</v>
      </c>
      <c r="B256" s="153">
        <f t="shared" si="8"/>
        <v>0</v>
      </c>
      <c r="C256" s="153">
        <f t="shared" si="9"/>
        <v>0</v>
      </c>
      <c r="D256" s="186"/>
      <c r="E256" s="161"/>
      <c r="F256" s="156"/>
      <c r="G256" s="156"/>
      <c r="H256" s="156"/>
      <c r="I256" s="156"/>
      <c r="J256" s="156"/>
      <c r="K256" s="155">
        <v>0.0</v>
      </c>
      <c r="L256" s="155">
        <f t="shared" ref="L256:M256" si="249">$K256*L$4/100</f>
        <v>0</v>
      </c>
      <c r="M256" s="155">
        <f t="shared" si="249"/>
        <v>0</v>
      </c>
    </row>
    <row r="257">
      <c r="A257" s="152">
        <f t="shared" si="7"/>
        <v>0</v>
      </c>
      <c r="B257" s="153">
        <f t="shared" si="8"/>
        <v>0</v>
      </c>
      <c r="C257" s="153">
        <f t="shared" si="9"/>
        <v>0</v>
      </c>
      <c r="D257" s="186"/>
      <c r="E257" s="161"/>
      <c r="F257" s="156"/>
      <c r="G257" s="156"/>
      <c r="H257" s="156"/>
      <c r="I257" s="156"/>
      <c r="J257" s="156"/>
      <c r="K257" s="155">
        <v>0.0</v>
      </c>
      <c r="L257" s="155">
        <f t="shared" ref="L257:M257" si="250">$K257*L$4/100</f>
        <v>0</v>
      </c>
      <c r="M257" s="155">
        <f t="shared" si="250"/>
        <v>0</v>
      </c>
    </row>
    <row r="258">
      <c r="A258" s="152">
        <f t="shared" si="7"/>
        <v>0</v>
      </c>
      <c r="B258" s="153">
        <f t="shared" si="8"/>
        <v>0</v>
      </c>
      <c r="C258" s="153">
        <f t="shared" si="9"/>
        <v>0</v>
      </c>
      <c r="D258" s="186"/>
      <c r="E258" s="161"/>
      <c r="F258" s="156"/>
      <c r="G258" s="156"/>
      <c r="H258" s="156"/>
      <c r="I258" s="156"/>
      <c r="J258" s="156"/>
      <c r="K258" s="155">
        <v>0.0</v>
      </c>
      <c r="L258" s="155">
        <f t="shared" ref="L258:M258" si="251">$K258*L$4/100</f>
        <v>0</v>
      </c>
      <c r="M258" s="155">
        <f t="shared" si="251"/>
        <v>0</v>
      </c>
    </row>
    <row r="259">
      <c r="A259" s="152">
        <f t="shared" si="7"/>
        <v>0</v>
      </c>
      <c r="B259" s="153">
        <f t="shared" si="8"/>
        <v>0</v>
      </c>
      <c r="C259" s="153">
        <f t="shared" si="9"/>
        <v>0</v>
      </c>
      <c r="D259" s="186"/>
      <c r="E259" s="161"/>
      <c r="F259" s="156"/>
      <c r="G259" s="156"/>
      <c r="H259" s="156"/>
      <c r="I259" s="156"/>
      <c r="J259" s="156"/>
      <c r="K259" s="155">
        <v>0.0</v>
      </c>
      <c r="L259" s="155">
        <f t="shared" ref="L259:M259" si="252">$K259*L$4/100</f>
        <v>0</v>
      </c>
      <c r="M259" s="155">
        <f t="shared" si="252"/>
        <v>0</v>
      </c>
    </row>
    <row r="260">
      <c r="A260" s="152">
        <f t="shared" si="7"/>
        <v>0</v>
      </c>
      <c r="B260" s="153">
        <f t="shared" si="8"/>
        <v>0</v>
      </c>
      <c r="C260" s="153">
        <f t="shared" si="9"/>
        <v>0</v>
      </c>
      <c r="D260" s="186"/>
      <c r="E260" s="161"/>
      <c r="F260" s="156"/>
      <c r="G260" s="156"/>
      <c r="H260" s="156"/>
      <c r="I260" s="156"/>
      <c r="J260" s="156"/>
      <c r="K260" s="155">
        <v>0.0</v>
      </c>
      <c r="L260" s="155">
        <f t="shared" ref="L260:M260" si="253">$K260*L$4/100</f>
        <v>0</v>
      </c>
      <c r="M260" s="155">
        <f t="shared" si="253"/>
        <v>0</v>
      </c>
    </row>
    <row r="261">
      <c r="A261" s="152">
        <f t="shared" si="7"/>
        <v>0</v>
      </c>
      <c r="B261" s="153">
        <f t="shared" si="8"/>
        <v>0</v>
      </c>
      <c r="C261" s="153">
        <f t="shared" si="9"/>
        <v>0</v>
      </c>
      <c r="D261" s="186"/>
      <c r="E261" s="161"/>
      <c r="F261" s="156"/>
      <c r="G261" s="156"/>
      <c r="H261" s="156"/>
      <c r="I261" s="156"/>
      <c r="J261" s="156"/>
      <c r="K261" s="155">
        <v>0.0</v>
      </c>
      <c r="L261" s="155">
        <f t="shared" ref="L261:M261" si="254">$K261*L$4/100</f>
        <v>0</v>
      </c>
      <c r="M261" s="155">
        <f t="shared" si="254"/>
        <v>0</v>
      </c>
    </row>
    <row r="262">
      <c r="A262" s="152">
        <f t="shared" si="7"/>
        <v>0</v>
      </c>
      <c r="B262" s="153">
        <f t="shared" si="8"/>
        <v>0</v>
      </c>
      <c r="C262" s="153">
        <f t="shared" si="9"/>
        <v>0</v>
      </c>
      <c r="D262" s="186"/>
      <c r="E262" s="161"/>
      <c r="F262" s="156"/>
      <c r="G262" s="156"/>
      <c r="H262" s="156"/>
      <c r="I262" s="156"/>
      <c r="J262" s="156"/>
      <c r="K262" s="155">
        <v>0.0</v>
      </c>
      <c r="L262" s="155">
        <f t="shared" ref="L262:M262" si="255">$K262*L$4/100</f>
        <v>0</v>
      </c>
      <c r="M262" s="155">
        <f t="shared" si="255"/>
        <v>0</v>
      </c>
    </row>
    <row r="263">
      <c r="A263" s="152">
        <f t="shared" si="7"/>
        <v>0</v>
      </c>
      <c r="B263" s="153">
        <f t="shared" si="8"/>
        <v>0</v>
      </c>
      <c r="C263" s="153">
        <f t="shared" si="9"/>
        <v>0</v>
      </c>
      <c r="D263" s="186"/>
      <c r="E263" s="161"/>
      <c r="F263" s="156"/>
      <c r="G263" s="156"/>
      <c r="H263" s="156"/>
      <c r="I263" s="156"/>
      <c r="J263" s="156"/>
      <c r="K263" s="155">
        <v>0.0</v>
      </c>
      <c r="L263" s="155">
        <f t="shared" ref="L263:M263" si="256">$K263*L$4/100</f>
        <v>0</v>
      </c>
      <c r="M263" s="155">
        <f t="shared" si="256"/>
        <v>0</v>
      </c>
    </row>
    <row r="264">
      <c r="A264" s="152">
        <f t="shared" si="7"/>
        <v>0</v>
      </c>
      <c r="B264" s="153">
        <f t="shared" si="8"/>
        <v>0</v>
      </c>
      <c r="C264" s="153">
        <f t="shared" si="9"/>
        <v>0</v>
      </c>
      <c r="D264" s="186"/>
      <c r="E264" s="161"/>
      <c r="F264" s="156"/>
      <c r="G264" s="156"/>
      <c r="H264" s="156"/>
      <c r="I264" s="156"/>
      <c r="J264" s="156"/>
      <c r="K264" s="155">
        <v>0.0</v>
      </c>
      <c r="L264" s="155">
        <f t="shared" ref="L264:M264" si="257">$K264*L$4/100</f>
        <v>0</v>
      </c>
      <c r="M264" s="155">
        <f t="shared" si="257"/>
        <v>0</v>
      </c>
    </row>
    <row r="265">
      <c r="A265" s="152">
        <f t="shared" si="7"/>
        <v>0</v>
      </c>
      <c r="B265" s="153">
        <f t="shared" si="8"/>
        <v>0</v>
      </c>
      <c r="C265" s="153">
        <f t="shared" si="9"/>
        <v>0</v>
      </c>
      <c r="D265" s="186"/>
      <c r="E265" s="161"/>
      <c r="F265" s="156"/>
      <c r="G265" s="156"/>
      <c r="H265" s="156"/>
      <c r="I265" s="156"/>
      <c r="J265" s="156"/>
      <c r="K265" s="155">
        <v>0.0</v>
      </c>
      <c r="L265" s="155">
        <f t="shared" ref="L265:M265" si="258">$K265*L$4/100</f>
        <v>0</v>
      </c>
      <c r="M265" s="155">
        <f t="shared" si="258"/>
        <v>0</v>
      </c>
    </row>
    <row r="266">
      <c r="A266" s="152">
        <f t="shared" si="7"/>
        <v>0</v>
      </c>
      <c r="B266" s="153">
        <f t="shared" si="8"/>
        <v>0</v>
      </c>
      <c r="C266" s="153">
        <f t="shared" si="9"/>
        <v>0</v>
      </c>
      <c r="D266" s="186"/>
      <c r="E266" s="161"/>
      <c r="F266" s="156"/>
      <c r="G266" s="156"/>
      <c r="H266" s="156"/>
      <c r="I266" s="156"/>
      <c r="J266" s="156"/>
      <c r="K266" s="155">
        <v>0.0</v>
      </c>
      <c r="L266" s="155">
        <f t="shared" ref="L266:M266" si="259">$K266*L$4/100</f>
        <v>0</v>
      </c>
      <c r="M266" s="155">
        <f t="shared" si="259"/>
        <v>0</v>
      </c>
    </row>
    <row r="267">
      <c r="A267" s="152">
        <f t="shared" si="7"/>
        <v>0</v>
      </c>
      <c r="B267" s="153">
        <f t="shared" si="8"/>
        <v>0</v>
      </c>
      <c r="C267" s="153">
        <f t="shared" si="9"/>
        <v>0</v>
      </c>
      <c r="D267" s="186"/>
      <c r="E267" s="161"/>
      <c r="F267" s="156"/>
      <c r="G267" s="156"/>
      <c r="H267" s="156"/>
      <c r="I267" s="156"/>
      <c r="J267" s="156"/>
      <c r="K267" s="155">
        <v>0.0</v>
      </c>
      <c r="L267" s="155">
        <f t="shared" ref="L267:M267" si="260">$K267*L$4/100</f>
        <v>0</v>
      </c>
      <c r="M267" s="155">
        <f t="shared" si="260"/>
        <v>0</v>
      </c>
    </row>
    <row r="268">
      <c r="A268" s="152">
        <f t="shared" si="7"/>
        <v>0</v>
      </c>
      <c r="B268" s="153">
        <f t="shared" si="8"/>
        <v>0</v>
      </c>
      <c r="C268" s="153">
        <f t="shared" si="9"/>
        <v>0</v>
      </c>
      <c r="D268" s="186"/>
      <c r="E268" s="161"/>
      <c r="F268" s="156"/>
      <c r="G268" s="156"/>
      <c r="H268" s="156"/>
      <c r="I268" s="156"/>
      <c r="J268" s="156"/>
      <c r="K268" s="155">
        <v>0.0</v>
      </c>
      <c r="L268" s="155">
        <f t="shared" ref="L268:M268" si="261">$K268*L$4/100</f>
        <v>0</v>
      </c>
      <c r="M268" s="155">
        <f t="shared" si="261"/>
        <v>0</v>
      </c>
    </row>
    <row r="269">
      <c r="A269" s="152">
        <f t="shared" si="7"/>
        <v>0</v>
      </c>
      <c r="B269" s="153">
        <f t="shared" si="8"/>
        <v>0</v>
      </c>
      <c r="C269" s="153">
        <f t="shared" si="9"/>
        <v>0</v>
      </c>
      <c r="D269" s="186"/>
      <c r="E269" s="161"/>
      <c r="F269" s="156"/>
      <c r="G269" s="156"/>
      <c r="H269" s="156"/>
      <c r="I269" s="156"/>
      <c r="J269" s="156"/>
      <c r="K269" s="155">
        <v>0.0</v>
      </c>
      <c r="L269" s="155">
        <f t="shared" ref="L269:M269" si="262">$K269*L$4/100</f>
        <v>0</v>
      </c>
      <c r="M269" s="155">
        <f t="shared" si="262"/>
        <v>0</v>
      </c>
    </row>
    <row r="270">
      <c r="A270" s="152">
        <f t="shared" si="7"/>
        <v>0</v>
      </c>
      <c r="B270" s="153">
        <f t="shared" si="8"/>
        <v>0</v>
      </c>
      <c r="C270" s="153">
        <f t="shared" si="9"/>
        <v>0</v>
      </c>
      <c r="D270" s="186"/>
      <c r="E270" s="161"/>
      <c r="F270" s="156"/>
      <c r="G270" s="156"/>
      <c r="H270" s="156"/>
      <c r="I270" s="156"/>
      <c r="J270" s="156"/>
      <c r="K270" s="155">
        <v>0.0</v>
      </c>
      <c r="L270" s="155">
        <f t="shared" ref="L270:M270" si="263">$K270*L$4/100</f>
        <v>0</v>
      </c>
      <c r="M270" s="155">
        <f t="shared" si="263"/>
        <v>0</v>
      </c>
    </row>
    <row r="271">
      <c r="A271" s="152">
        <f t="shared" si="7"/>
        <v>0</v>
      </c>
      <c r="B271" s="153">
        <f t="shared" si="8"/>
        <v>0</v>
      </c>
      <c r="C271" s="153">
        <f t="shared" si="9"/>
        <v>0</v>
      </c>
      <c r="D271" s="186"/>
      <c r="E271" s="161"/>
      <c r="F271" s="156"/>
      <c r="G271" s="156"/>
      <c r="H271" s="156"/>
      <c r="I271" s="156"/>
      <c r="J271" s="156"/>
      <c r="K271" s="155">
        <v>0.0</v>
      </c>
      <c r="L271" s="155">
        <f t="shared" ref="L271:M271" si="264">$K271*L$4/100</f>
        <v>0</v>
      </c>
      <c r="M271" s="155">
        <f t="shared" si="264"/>
        <v>0</v>
      </c>
    </row>
    <row r="272">
      <c r="A272" s="152">
        <f t="shared" si="7"/>
        <v>0</v>
      </c>
      <c r="B272" s="153">
        <f t="shared" si="8"/>
        <v>0</v>
      </c>
      <c r="C272" s="153">
        <f t="shared" si="9"/>
        <v>0</v>
      </c>
      <c r="D272" s="186"/>
      <c r="E272" s="161"/>
      <c r="F272" s="156"/>
      <c r="G272" s="156"/>
      <c r="H272" s="156"/>
      <c r="I272" s="156"/>
      <c r="J272" s="156"/>
      <c r="K272" s="155">
        <v>0.0</v>
      </c>
      <c r="L272" s="155">
        <f t="shared" ref="L272:M272" si="265">$K272*L$4/100</f>
        <v>0</v>
      </c>
      <c r="M272" s="155">
        <f t="shared" si="265"/>
        <v>0</v>
      </c>
    </row>
    <row r="273">
      <c r="A273" s="152">
        <f t="shared" si="7"/>
        <v>0</v>
      </c>
      <c r="B273" s="153">
        <f t="shared" si="8"/>
        <v>0</v>
      </c>
      <c r="C273" s="153">
        <f t="shared" si="9"/>
        <v>0</v>
      </c>
      <c r="D273" s="186"/>
      <c r="E273" s="161"/>
      <c r="F273" s="156"/>
      <c r="G273" s="156"/>
      <c r="H273" s="156"/>
      <c r="I273" s="156"/>
      <c r="J273" s="156"/>
      <c r="K273" s="155">
        <v>0.0</v>
      </c>
      <c r="L273" s="155">
        <f t="shared" ref="L273:M273" si="266">$K273*L$4/100</f>
        <v>0</v>
      </c>
      <c r="M273" s="155">
        <f t="shared" si="266"/>
        <v>0</v>
      </c>
    </row>
    <row r="274">
      <c r="A274" s="152">
        <f t="shared" si="7"/>
        <v>0</v>
      </c>
      <c r="B274" s="153">
        <f t="shared" si="8"/>
        <v>0</v>
      </c>
      <c r="C274" s="153">
        <f t="shared" si="9"/>
        <v>0</v>
      </c>
      <c r="D274" s="186"/>
      <c r="E274" s="161"/>
      <c r="F274" s="156"/>
      <c r="G274" s="156"/>
      <c r="H274" s="156"/>
      <c r="I274" s="156"/>
      <c r="J274" s="156"/>
      <c r="K274" s="155">
        <v>0.0</v>
      </c>
      <c r="L274" s="155">
        <f t="shared" ref="L274:M274" si="267">$K274*L$4/100</f>
        <v>0</v>
      </c>
      <c r="M274" s="155">
        <f t="shared" si="267"/>
        <v>0</v>
      </c>
    </row>
    <row r="275">
      <c r="A275" s="152">
        <f t="shared" si="7"/>
        <v>0</v>
      </c>
      <c r="B275" s="153">
        <f t="shared" si="8"/>
        <v>0</v>
      </c>
      <c r="C275" s="153">
        <f t="shared" si="9"/>
        <v>0</v>
      </c>
      <c r="D275" s="186"/>
      <c r="E275" s="161"/>
      <c r="F275" s="156"/>
      <c r="G275" s="156"/>
      <c r="H275" s="156"/>
      <c r="I275" s="156"/>
      <c r="J275" s="156"/>
      <c r="K275" s="155">
        <v>0.0</v>
      </c>
      <c r="L275" s="155">
        <f t="shared" ref="L275:M275" si="268">$K275*L$4/100</f>
        <v>0</v>
      </c>
      <c r="M275" s="155">
        <f t="shared" si="268"/>
        <v>0</v>
      </c>
    </row>
    <row r="276">
      <c r="A276" s="152">
        <f t="shared" si="7"/>
        <v>0</v>
      </c>
      <c r="B276" s="153">
        <f t="shared" si="8"/>
        <v>0</v>
      </c>
      <c r="C276" s="153">
        <f t="shared" si="9"/>
        <v>0</v>
      </c>
      <c r="D276" s="186"/>
      <c r="E276" s="161"/>
      <c r="F276" s="156"/>
      <c r="G276" s="156"/>
      <c r="H276" s="156"/>
      <c r="I276" s="156"/>
      <c r="J276" s="156"/>
      <c r="K276" s="155">
        <v>0.0</v>
      </c>
      <c r="L276" s="155">
        <f t="shared" ref="L276:M276" si="269">$K276*L$4/100</f>
        <v>0</v>
      </c>
      <c r="M276" s="155">
        <f t="shared" si="269"/>
        <v>0</v>
      </c>
    </row>
    <row r="277">
      <c r="A277" s="152">
        <f t="shared" si="7"/>
        <v>0</v>
      </c>
      <c r="B277" s="153">
        <f t="shared" si="8"/>
        <v>0</v>
      </c>
      <c r="C277" s="153">
        <f t="shared" si="9"/>
        <v>0</v>
      </c>
      <c r="D277" s="186"/>
      <c r="E277" s="161"/>
      <c r="F277" s="156"/>
      <c r="G277" s="156"/>
      <c r="H277" s="156"/>
      <c r="I277" s="156"/>
      <c r="J277" s="156"/>
      <c r="K277" s="155">
        <v>0.0</v>
      </c>
      <c r="L277" s="155">
        <f t="shared" ref="L277:M277" si="270">$K277*L$4/100</f>
        <v>0</v>
      </c>
      <c r="M277" s="155">
        <f t="shared" si="270"/>
        <v>0</v>
      </c>
    </row>
    <row r="278">
      <c r="A278" s="152">
        <f t="shared" si="7"/>
        <v>0</v>
      </c>
      <c r="B278" s="153">
        <f t="shared" si="8"/>
        <v>0</v>
      </c>
      <c r="C278" s="153">
        <f t="shared" si="9"/>
        <v>0</v>
      </c>
      <c r="D278" s="186"/>
      <c r="E278" s="161"/>
      <c r="F278" s="156"/>
      <c r="G278" s="156"/>
      <c r="H278" s="156"/>
      <c r="I278" s="156"/>
      <c r="J278" s="156"/>
      <c r="K278" s="155">
        <v>0.0</v>
      </c>
      <c r="L278" s="155">
        <f t="shared" ref="L278:M278" si="271">$K278*L$4/100</f>
        <v>0</v>
      </c>
      <c r="M278" s="155">
        <f t="shared" si="271"/>
        <v>0</v>
      </c>
    </row>
    <row r="279">
      <c r="A279" s="152">
        <f t="shared" si="7"/>
        <v>0</v>
      </c>
      <c r="B279" s="153">
        <f t="shared" si="8"/>
        <v>0</v>
      </c>
      <c r="C279" s="153">
        <f t="shared" si="9"/>
        <v>0</v>
      </c>
      <c r="D279" s="186"/>
      <c r="E279" s="161"/>
      <c r="F279" s="156"/>
      <c r="G279" s="156"/>
      <c r="H279" s="156"/>
      <c r="I279" s="156"/>
      <c r="J279" s="156"/>
      <c r="K279" s="155">
        <v>0.0</v>
      </c>
      <c r="L279" s="155">
        <f t="shared" ref="L279:M279" si="272">$K279*L$4/100</f>
        <v>0</v>
      </c>
      <c r="M279" s="155">
        <f t="shared" si="272"/>
        <v>0</v>
      </c>
    </row>
    <row r="280">
      <c r="A280" s="152">
        <f t="shared" si="7"/>
        <v>0</v>
      </c>
      <c r="B280" s="153">
        <f t="shared" si="8"/>
        <v>0</v>
      </c>
      <c r="C280" s="153">
        <f t="shared" si="9"/>
        <v>0</v>
      </c>
      <c r="D280" s="186"/>
      <c r="E280" s="161"/>
      <c r="F280" s="156"/>
      <c r="G280" s="156"/>
      <c r="H280" s="156"/>
      <c r="I280" s="156"/>
      <c r="J280" s="156"/>
      <c r="K280" s="155">
        <v>0.0</v>
      </c>
      <c r="L280" s="155">
        <f t="shared" ref="L280:M280" si="273">$K280*L$4/100</f>
        <v>0</v>
      </c>
      <c r="M280" s="155">
        <f t="shared" si="273"/>
        <v>0</v>
      </c>
    </row>
    <row r="281">
      <c r="A281" s="152">
        <f t="shared" si="7"/>
        <v>0</v>
      </c>
      <c r="B281" s="153">
        <f t="shared" si="8"/>
        <v>0</v>
      </c>
      <c r="C281" s="153">
        <f t="shared" si="9"/>
        <v>0</v>
      </c>
      <c r="D281" s="186"/>
      <c r="E281" s="161"/>
      <c r="F281" s="156"/>
      <c r="G281" s="156"/>
      <c r="H281" s="156"/>
      <c r="I281" s="156"/>
      <c r="J281" s="156"/>
      <c r="K281" s="155">
        <v>0.0</v>
      </c>
      <c r="L281" s="155">
        <f t="shared" ref="L281:M281" si="274">$K281*L$4/100</f>
        <v>0</v>
      </c>
      <c r="M281" s="155">
        <f t="shared" si="274"/>
        <v>0</v>
      </c>
    </row>
    <row r="282">
      <c r="A282" s="152">
        <f t="shared" si="7"/>
        <v>0</v>
      </c>
      <c r="B282" s="153">
        <f t="shared" si="8"/>
        <v>0</v>
      </c>
      <c r="C282" s="153">
        <f t="shared" si="9"/>
        <v>0</v>
      </c>
      <c r="D282" s="186"/>
      <c r="E282" s="161"/>
      <c r="F282" s="156"/>
      <c r="G282" s="156"/>
      <c r="H282" s="156"/>
      <c r="I282" s="156"/>
      <c r="J282" s="156"/>
      <c r="K282" s="155">
        <v>0.0</v>
      </c>
      <c r="L282" s="155">
        <f t="shared" ref="L282:M282" si="275">$K282*L$4/100</f>
        <v>0</v>
      </c>
      <c r="M282" s="155">
        <f t="shared" si="275"/>
        <v>0</v>
      </c>
    </row>
    <row r="283">
      <c r="A283" s="152">
        <f t="shared" si="7"/>
        <v>0</v>
      </c>
      <c r="B283" s="153">
        <f t="shared" si="8"/>
        <v>0</v>
      </c>
      <c r="C283" s="153">
        <f t="shared" si="9"/>
        <v>0</v>
      </c>
      <c r="D283" s="186"/>
      <c r="E283" s="161"/>
      <c r="F283" s="156"/>
      <c r="G283" s="156"/>
      <c r="H283" s="156"/>
      <c r="I283" s="156"/>
      <c r="J283" s="156"/>
      <c r="K283" s="155">
        <v>0.0</v>
      </c>
      <c r="L283" s="155">
        <f t="shared" ref="L283:M283" si="276">$K283*L$4/100</f>
        <v>0</v>
      </c>
      <c r="M283" s="155">
        <f t="shared" si="276"/>
        <v>0</v>
      </c>
    </row>
    <row r="284">
      <c r="A284" s="152">
        <f t="shared" si="7"/>
        <v>0</v>
      </c>
      <c r="B284" s="153">
        <f t="shared" si="8"/>
        <v>0</v>
      </c>
      <c r="C284" s="153">
        <f t="shared" si="9"/>
        <v>0</v>
      </c>
      <c r="D284" s="186"/>
      <c r="E284" s="161"/>
      <c r="F284" s="156"/>
      <c r="G284" s="156"/>
      <c r="H284" s="156"/>
      <c r="I284" s="156"/>
      <c r="J284" s="156"/>
      <c r="K284" s="155">
        <v>0.0</v>
      </c>
      <c r="L284" s="155">
        <f t="shared" ref="L284:M284" si="277">$K284*L$4/100</f>
        <v>0</v>
      </c>
      <c r="M284" s="155">
        <f t="shared" si="277"/>
        <v>0</v>
      </c>
    </row>
    <row r="285">
      <c r="A285" s="152">
        <f t="shared" si="7"/>
        <v>0</v>
      </c>
      <c r="B285" s="153">
        <f t="shared" si="8"/>
        <v>0</v>
      </c>
      <c r="C285" s="153">
        <f t="shared" si="9"/>
        <v>0</v>
      </c>
      <c r="D285" s="186"/>
      <c r="E285" s="161"/>
      <c r="F285" s="156"/>
      <c r="G285" s="156"/>
      <c r="H285" s="156"/>
      <c r="I285" s="156"/>
      <c r="J285" s="156"/>
      <c r="K285" s="155">
        <v>0.0</v>
      </c>
      <c r="L285" s="155">
        <f t="shared" ref="L285:M285" si="278">$K285*L$4/100</f>
        <v>0</v>
      </c>
      <c r="M285" s="155">
        <f t="shared" si="278"/>
        <v>0</v>
      </c>
    </row>
    <row r="286">
      <c r="A286" s="152">
        <f t="shared" si="7"/>
        <v>0</v>
      </c>
      <c r="B286" s="153">
        <f t="shared" si="8"/>
        <v>0</v>
      </c>
      <c r="C286" s="153">
        <f t="shared" si="9"/>
        <v>0</v>
      </c>
      <c r="D286" s="186"/>
      <c r="E286" s="161"/>
      <c r="F286" s="156"/>
      <c r="G286" s="156"/>
      <c r="H286" s="156"/>
      <c r="I286" s="156"/>
      <c r="J286" s="156"/>
      <c r="K286" s="155">
        <v>0.0</v>
      </c>
      <c r="L286" s="155">
        <f t="shared" ref="L286:M286" si="279">$K286*L$4/100</f>
        <v>0</v>
      </c>
      <c r="M286" s="155">
        <f t="shared" si="279"/>
        <v>0</v>
      </c>
    </row>
    <row r="287">
      <c r="A287" s="152">
        <f t="shared" si="7"/>
        <v>0</v>
      </c>
      <c r="B287" s="153">
        <f t="shared" si="8"/>
        <v>0</v>
      </c>
      <c r="C287" s="153">
        <f t="shared" si="9"/>
        <v>0</v>
      </c>
      <c r="D287" s="186"/>
      <c r="E287" s="161"/>
      <c r="F287" s="156"/>
      <c r="G287" s="156"/>
      <c r="H287" s="156"/>
      <c r="I287" s="156"/>
      <c r="J287" s="156"/>
      <c r="K287" s="155">
        <v>0.0</v>
      </c>
      <c r="L287" s="155">
        <f t="shared" ref="L287:M287" si="280">$K287*L$4/100</f>
        <v>0</v>
      </c>
      <c r="M287" s="155">
        <f t="shared" si="280"/>
        <v>0</v>
      </c>
    </row>
    <row r="288">
      <c r="A288" s="152">
        <f t="shared" si="7"/>
        <v>0</v>
      </c>
      <c r="B288" s="153">
        <f t="shared" si="8"/>
        <v>0</v>
      </c>
      <c r="C288" s="153">
        <f t="shared" si="9"/>
        <v>0</v>
      </c>
      <c r="D288" s="186"/>
      <c r="E288" s="161"/>
      <c r="F288" s="156"/>
      <c r="G288" s="156"/>
      <c r="H288" s="156"/>
      <c r="I288" s="156"/>
      <c r="J288" s="156"/>
      <c r="K288" s="155">
        <v>0.0</v>
      </c>
      <c r="L288" s="155">
        <f t="shared" ref="L288:M288" si="281">$K288*L$4/100</f>
        <v>0</v>
      </c>
      <c r="M288" s="155">
        <f t="shared" si="281"/>
        <v>0</v>
      </c>
    </row>
    <row r="289">
      <c r="A289" s="152">
        <f t="shared" si="7"/>
        <v>0</v>
      </c>
      <c r="B289" s="153">
        <f t="shared" si="8"/>
        <v>0</v>
      </c>
      <c r="C289" s="153">
        <f t="shared" si="9"/>
        <v>0</v>
      </c>
      <c r="D289" s="186"/>
      <c r="E289" s="161"/>
      <c r="F289" s="156"/>
      <c r="G289" s="156"/>
      <c r="H289" s="156"/>
      <c r="I289" s="156"/>
      <c r="J289" s="156"/>
      <c r="K289" s="155">
        <v>0.0</v>
      </c>
      <c r="L289" s="155">
        <f t="shared" ref="L289:M289" si="282">$K289*L$4/100</f>
        <v>0</v>
      </c>
      <c r="M289" s="155">
        <f t="shared" si="282"/>
        <v>0</v>
      </c>
    </row>
    <row r="290">
      <c r="A290" s="152">
        <f t="shared" si="7"/>
        <v>0</v>
      </c>
      <c r="B290" s="153">
        <f t="shared" si="8"/>
        <v>0</v>
      </c>
      <c r="C290" s="153">
        <f t="shared" si="9"/>
        <v>0</v>
      </c>
      <c r="D290" s="186"/>
      <c r="E290" s="161"/>
      <c r="F290" s="156"/>
      <c r="G290" s="156"/>
      <c r="H290" s="156"/>
      <c r="I290" s="156"/>
      <c r="J290" s="156"/>
      <c r="K290" s="155">
        <v>0.0</v>
      </c>
      <c r="L290" s="155">
        <f t="shared" ref="L290:M290" si="283">$K290*L$4/100</f>
        <v>0</v>
      </c>
      <c r="M290" s="155">
        <f t="shared" si="283"/>
        <v>0</v>
      </c>
    </row>
    <row r="291">
      <c r="A291" s="152">
        <f t="shared" si="7"/>
        <v>0</v>
      </c>
      <c r="B291" s="153">
        <f t="shared" si="8"/>
        <v>0</v>
      </c>
      <c r="C291" s="153">
        <f t="shared" si="9"/>
        <v>0</v>
      </c>
      <c r="D291" s="186"/>
      <c r="E291" s="161"/>
      <c r="F291" s="156"/>
      <c r="G291" s="156"/>
      <c r="H291" s="156"/>
      <c r="I291" s="156"/>
      <c r="J291" s="156"/>
      <c r="K291" s="155">
        <v>0.0</v>
      </c>
      <c r="L291" s="155">
        <f t="shared" ref="L291:M291" si="284">$K291*L$4/100</f>
        <v>0</v>
      </c>
      <c r="M291" s="155">
        <f t="shared" si="284"/>
        <v>0</v>
      </c>
    </row>
    <row r="292">
      <c r="A292" s="152">
        <f t="shared" si="7"/>
        <v>0</v>
      </c>
      <c r="B292" s="153">
        <f t="shared" si="8"/>
        <v>0</v>
      </c>
      <c r="C292" s="153">
        <f t="shared" si="9"/>
        <v>0</v>
      </c>
      <c r="D292" s="186"/>
      <c r="E292" s="161"/>
      <c r="F292" s="156"/>
      <c r="G292" s="156"/>
      <c r="H292" s="156"/>
      <c r="I292" s="156"/>
      <c r="J292" s="156"/>
      <c r="K292" s="155">
        <v>0.0</v>
      </c>
      <c r="L292" s="155">
        <f t="shared" ref="L292:M292" si="285">$K292*L$4/100</f>
        <v>0</v>
      </c>
      <c r="M292" s="155">
        <f t="shared" si="285"/>
        <v>0</v>
      </c>
    </row>
    <row r="293">
      <c r="A293" s="152">
        <f t="shared" si="7"/>
        <v>0</v>
      </c>
      <c r="B293" s="153">
        <f t="shared" si="8"/>
        <v>0</v>
      </c>
      <c r="C293" s="153">
        <f t="shared" si="9"/>
        <v>0</v>
      </c>
      <c r="D293" s="186"/>
      <c r="E293" s="161"/>
      <c r="F293" s="156"/>
      <c r="G293" s="156"/>
      <c r="H293" s="156"/>
      <c r="I293" s="156"/>
      <c r="J293" s="156"/>
      <c r="K293" s="155">
        <v>0.0</v>
      </c>
      <c r="L293" s="155">
        <f t="shared" ref="L293:M293" si="286">$K293*L$4/100</f>
        <v>0</v>
      </c>
      <c r="M293" s="155">
        <f t="shared" si="286"/>
        <v>0</v>
      </c>
    </row>
    <row r="294">
      <c r="A294" s="152">
        <f t="shared" si="7"/>
        <v>0</v>
      </c>
      <c r="B294" s="153">
        <f t="shared" si="8"/>
        <v>0</v>
      </c>
      <c r="C294" s="153">
        <f t="shared" si="9"/>
        <v>0</v>
      </c>
      <c r="D294" s="186"/>
      <c r="E294" s="161"/>
      <c r="F294" s="156"/>
      <c r="G294" s="156"/>
      <c r="H294" s="156"/>
      <c r="I294" s="156"/>
      <c r="J294" s="156"/>
      <c r="K294" s="155">
        <v>0.0</v>
      </c>
      <c r="L294" s="155">
        <f t="shared" ref="L294:M294" si="287">$K294*L$4/100</f>
        <v>0</v>
      </c>
      <c r="M294" s="155">
        <f t="shared" si="287"/>
        <v>0</v>
      </c>
    </row>
    <row r="295">
      <c r="A295" s="152">
        <f t="shared" si="7"/>
        <v>0</v>
      </c>
      <c r="B295" s="153">
        <f t="shared" si="8"/>
        <v>0</v>
      </c>
      <c r="C295" s="153">
        <f t="shared" si="9"/>
        <v>0</v>
      </c>
      <c r="D295" s="186"/>
      <c r="E295" s="161"/>
      <c r="F295" s="156"/>
      <c r="G295" s="156"/>
      <c r="H295" s="156"/>
      <c r="I295" s="156"/>
      <c r="J295" s="156"/>
      <c r="K295" s="155">
        <v>0.0</v>
      </c>
      <c r="L295" s="155">
        <f t="shared" ref="L295:M295" si="288">$K295*L$4/100</f>
        <v>0</v>
      </c>
      <c r="M295" s="155">
        <f t="shared" si="288"/>
        <v>0</v>
      </c>
    </row>
    <row r="296">
      <c r="A296" s="152">
        <f t="shared" si="7"/>
        <v>0</v>
      </c>
      <c r="B296" s="153">
        <f t="shared" si="8"/>
        <v>0</v>
      </c>
      <c r="C296" s="153">
        <f t="shared" si="9"/>
        <v>0</v>
      </c>
      <c r="D296" s="186"/>
      <c r="E296" s="161"/>
      <c r="F296" s="156"/>
      <c r="G296" s="156"/>
      <c r="H296" s="156"/>
      <c r="I296" s="156"/>
      <c r="J296" s="156"/>
      <c r="K296" s="155">
        <v>0.0</v>
      </c>
      <c r="L296" s="155">
        <f t="shared" ref="L296:M296" si="289">$K296*L$4/100</f>
        <v>0</v>
      </c>
      <c r="M296" s="155">
        <f t="shared" si="289"/>
        <v>0</v>
      </c>
    </row>
    <row r="297">
      <c r="A297" s="152">
        <f t="shared" si="7"/>
        <v>0</v>
      </c>
      <c r="B297" s="153">
        <f t="shared" si="8"/>
        <v>0</v>
      </c>
      <c r="C297" s="153">
        <f t="shared" si="9"/>
        <v>0</v>
      </c>
      <c r="D297" s="186"/>
      <c r="E297" s="161"/>
      <c r="F297" s="156"/>
      <c r="G297" s="156"/>
      <c r="H297" s="156"/>
      <c r="I297" s="156"/>
      <c r="J297" s="156"/>
      <c r="K297" s="155">
        <v>0.0</v>
      </c>
      <c r="L297" s="155">
        <f t="shared" ref="L297:M297" si="290">$K297*L$4/100</f>
        <v>0</v>
      </c>
      <c r="M297" s="155">
        <f t="shared" si="290"/>
        <v>0</v>
      </c>
    </row>
    <row r="298">
      <c r="A298" s="152">
        <f t="shared" si="7"/>
        <v>0</v>
      </c>
      <c r="B298" s="153">
        <f t="shared" si="8"/>
        <v>0</v>
      </c>
      <c r="C298" s="153">
        <f t="shared" si="9"/>
        <v>0</v>
      </c>
      <c r="D298" s="186"/>
      <c r="E298" s="161"/>
      <c r="F298" s="156"/>
      <c r="G298" s="156"/>
      <c r="H298" s="156"/>
      <c r="I298" s="156"/>
      <c r="J298" s="156"/>
      <c r="K298" s="155">
        <v>0.0</v>
      </c>
      <c r="L298" s="155">
        <f t="shared" ref="L298:M298" si="291">$K298*L$4/100</f>
        <v>0</v>
      </c>
      <c r="M298" s="155">
        <f t="shared" si="291"/>
        <v>0</v>
      </c>
    </row>
    <row r="299">
      <c r="A299" s="152">
        <f t="shared" si="7"/>
        <v>0</v>
      </c>
      <c r="B299" s="153">
        <f t="shared" si="8"/>
        <v>0</v>
      </c>
      <c r="C299" s="153">
        <f t="shared" si="9"/>
        <v>0</v>
      </c>
      <c r="D299" s="186"/>
      <c r="E299" s="161"/>
      <c r="F299" s="156"/>
      <c r="G299" s="156"/>
      <c r="H299" s="156"/>
      <c r="I299" s="156"/>
      <c r="J299" s="156"/>
      <c r="K299" s="155">
        <v>0.0</v>
      </c>
      <c r="L299" s="155">
        <f t="shared" ref="L299:M299" si="292">$K299*L$4/100</f>
        <v>0</v>
      </c>
      <c r="M299" s="155">
        <f t="shared" si="292"/>
        <v>0</v>
      </c>
    </row>
    <row r="300">
      <c r="A300" s="152">
        <f t="shared" si="7"/>
        <v>0</v>
      </c>
      <c r="B300" s="153">
        <f t="shared" si="8"/>
        <v>0</v>
      </c>
      <c r="C300" s="153">
        <f t="shared" si="9"/>
        <v>0</v>
      </c>
      <c r="D300" s="186"/>
      <c r="E300" s="161"/>
      <c r="F300" s="156"/>
      <c r="G300" s="156"/>
      <c r="H300" s="156"/>
      <c r="I300" s="156"/>
      <c r="J300" s="156"/>
      <c r="K300" s="155">
        <v>0.0</v>
      </c>
      <c r="L300" s="155">
        <f t="shared" ref="L300:M300" si="293">$K300*L$4/100</f>
        <v>0</v>
      </c>
      <c r="M300" s="155">
        <f t="shared" si="293"/>
        <v>0</v>
      </c>
    </row>
    <row r="301">
      <c r="A301" s="152">
        <f t="shared" si="7"/>
        <v>0</v>
      </c>
      <c r="B301" s="153">
        <f t="shared" si="8"/>
        <v>0</v>
      </c>
      <c r="C301" s="153">
        <f t="shared" si="9"/>
        <v>0</v>
      </c>
      <c r="D301" s="186"/>
      <c r="E301" s="161"/>
      <c r="F301" s="156"/>
      <c r="G301" s="156"/>
      <c r="H301" s="156"/>
      <c r="I301" s="156"/>
      <c r="J301" s="156"/>
      <c r="K301" s="155">
        <v>0.0</v>
      </c>
      <c r="L301" s="155">
        <f t="shared" ref="L301:M301" si="294">$K301*L$4/100</f>
        <v>0</v>
      </c>
      <c r="M301" s="155">
        <f t="shared" si="294"/>
        <v>0</v>
      </c>
    </row>
    <row r="302">
      <c r="A302" s="152">
        <f t="shared" si="7"/>
        <v>0</v>
      </c>
      <c r="B302" s="153">
        <f t="shared" si="8"/>
        <v>0</v>
      </c>
      <c r="C302" s="153">
        <f t="shared" si="9"/>
        <v>0</v>
      </c>
      <c r="D302" s="186"/>
      <c r="E302" s="161"/>
      <c r="F302" s="156"/>
      <c r="G302" s="156"/>
      <c r="H302" s="156"/>
      <c r="I302" s="156"/>
      <c r="J302" s="156"/>
      <c r="K302" s="155">
        <v>0.0</v>
      </c>
      <c r="L302" s="155">
        <f t="shared" ref="L302:M302" si="295">$K302*L$4/100</f>
        <v>0</v>
      </c>
      <c r="M302" s="155">
        <f t="shared" si="295"/>
        <v>0</v>
      </c>
    </row>
    <row r="303">
      <c r="A303" s="152">
        <f t="shared" si="7"/>
        <v>0</v>
      </c>
      <c r="B303" s="153">
        <f t="shared" si="8"/>
        <v>0</v>
      </c>
      <c r="C303" s="153">
        <f t="shared" si="9"/>
        <v>0</v>
      </c>
      <c r="D303" s="186"/>
      <c r="E303" s="161"/>
      <c r="F303" s="156"/>
      <c r="G303" s="156"/>
      <c r="H303" s="156"/>
      <c r="I303" s="156"/>
      <c r="J303" s="156"/>
      <c r="K303" s="155">
        <v>0.0</v>
      </c>
      <c r="L303" s="155">
        <f t="shared" ref="L303:M303" si="296">$K303*L$4/100</f>
        <v>0</v>
      </c>
      <c r="M303" s="155">
        <f t="shared" si="296"/>
        <v>0</v>
      </c>
    </row>
    <row r="304">
      <c r="A304" s="152">
        <f t="shared" si="7"/>
        <v>0</v>
      </c>
      <c r="B304" s="153">
        <f t="shared" si="8"/>
        <v>0</v>
      </c>
      <c r="C304" s="153">
        <f t="shared" si="9"/>
        <v>0</v>
      </c>
      <c r="D304" s="186"/>
      <c r="E304" s="161"/>
      <c r="F304" s="156"/>
      <c r="G304" s="156"/>
      <c r="H304" s="156"/>
      <c r="I304" s="156"/>
      <c r="J304" s="156"/>
      <c r="K304" s="155">
        <v>0.0</v>
      </c>
      <c r="L304" s="155">
        <f t="shared" ref="L304:M304" si="297">$K304*L$4/100</f>
        <v>0</v>
      </c>
      <c r="M304" s="155">
        <f t="shared" si="297"/>
        <v>0</v>
      </c>
    </row>
    <row r="305">
      <c r="A305" s="152">
        <f t="shared" si="7"/>
        <v>0</v>
      </c>
      <c r="B305" s="153">
        <f t="shared" si="8"/>
        <v>0</v>
      </c>
      <c r="C305" s="153">
        <f t="shared" si="9"/>
        <v>0</v>
      </c>
      <c r="D305" s="186"/>
      <c r="E305" s="161"/>
      <c r="F305" s="156"/>
      <c r="G305" s="156"/>
      <c r="H305" s="156"/>
      <c r="I305" s="156"/>
      <c r="J305" s="156"/>
      <c r="K305" s="155">
        <v>0.0</v>
      </c>
      <c r="L305" s="155">
        <f t="shared" ref="L305:M305" si="298">$K305*L$4/100</f>
        <v>0</v>
      </c>
      <c r="M305" s="155">
        <f t="shared" si="298"/>
        <v>0</v>
      </c>
    </row>
    <row r="306">
      <c r="A306" s="152">
        <f t="shared" si="7"/>
        <v>0</v>
      </c>
      <c r="B306" s="153">
        <f t="shared" si="8"/>
        <v>0</v>
      </c>
      <c r="C306" s="153">
        <f t="shared" si="9"/>
        <v>0</v>
      </c>
      <c r="D306" s="186"/>
      <c r="E306" s="161"/>
      <c r="F306" s="156"/>
      <c r="G306" s="156"/>
      <c r="H306" s="156"/>
      <c r="I306" s="156"/>
      <c r="J306" s="156"/>
      <c r="K306" s="155">
        <v>0.0</v>
      </c>
      <c r="L306" s="155">
        <f t="shared" ref="L306:M306" si="299">$K306*L$4/100</f>
        <v>0</v>
      </c>
      <c r="M306" s="155">
        <f t="shared" si="299"/>
        <v>0</v>
      </c>
    </row>
    <row r="307">
      <c r="A307" s="152">
        <f t="shared" si="7"/>
        <v>0</v>
      </c>
      <c r="B307" s="153">
        <f t="shared" si="8"/>
        <v>0</v>
      </c>
      <c r="C307" s="153">
        <f t="shared" si="9"/>
        <v>0</v>
      </c>
      <c r="D307" s="186"/>
      <c r="E307" s="161"/>
      <c r="F307" s="156"/>
      <c r="G307" s="156"/>
      <c r="H307" s="156"/>
      <c r="I307" s="156"/>
      <c r="J307" s="156"/>
      <c r="K307" s="155">
        <v>0.0</v>
      </c>
      <c r="L307" s="155">
        <f t="shared" ref="L307:M307" si="300">$K307*L$4/100</f>
        <v>0</v>
      </c>
      <c r="M307" s="155">
        <f t="shared" si="300"/>
        <v>0</v>
      </c>
    </row>
    <row r="308">
      <c r="A308" s="152">
        <f t="shared" si="7"/>
        <v>0</v>
      </c>
      <c r="B308" s="153">
        <f t="shared" si="8"/>
        <v>0</v>
      </c>
      <c r="C308" s="153">
        <f t="shared" si="9"/>
        <v>0</v>
      </c>
      <c r="D308" s="186"/>
      <c r="E308" s="161"/>
      <c r="F308" s="156"/>
      <c r="G308" s="156"/>
      <c r="H308" s="156"/>
      <c r="I308" s="156"/>
      <c r="J308" s="156"/>
      <c r="K308" s="155">
        <v>0.0</v>
      </c>
      <c r="L308" s="155">
        <f t="shared" ref="L308:M308" si="301">$K308*L$4/100</f>
        <v>0</v>
      </c>
      <c r="M308" s="155">
        <f t="shared" si="301"/>
        <v>0</v>
      </c>
    </row>
    <row r="309">
      <c r="A309" s="152">
        <f t="shared" si="7"/>
        <v>0</v>
      </c>
      <c r="B309" s="153">
        <f t="shared" si="8"/>
        <v>0</v>
      </c>
      <c r="C309" s="153">
        <f t="shared" si="9"/>
        <v>0</v>
      </c>
      <c r="D309" s="186"/>
      <c r="E309" s="161"/>
      <c r="F309" s="156"/>
      <c r="G309" s="156"/>
      <c r="H309" s="156"/>
      <c r="I309" s="156"/>
      <c r="J309" s="156"/>
      <c r="K309" s="155">
        <v>0.0</v>
      </c>
      <c r="L309" s="155">
        <f t="shared" ref="L309:M309" si="302">$K309*L$4/100</f>
        <v>0</v>
      </c>
      <c r="M309" s="155">
        <f t="shared" si="302"/>
        <v>0</v>
      </c>
    </row>
    <row r="310">
      <c r="A310" s="152">
        <f t="shared" si="7"/>
        <v>0</v>
      </c>
      <c r="B310" s="153">
        <f t="shared" si="8"/>
        <v>0</v>
      </c>
      <c r="C310" s="153">
        <f t="shared" si="9"/>
        <v>0</v>
      </c>
      <c r="D310" s="186"/>
      <c r="E310" s="161"/>
      <c r="F310" s="156"/>
      <c r="G310" s="156"/>
      <c r="H310" s="156"/>
      <c r="I310" s="156"/>
      <c r="J310" s="156"/>
      <c r="K310" s="155">
        <v>0.0</v>
      </c>
      <c r="L310" s="155">
        <f t="shared" ref="L310:M310" si="303">$K310*L$4/100</f>
        <v>0</v>
      </c>
      <c r="M310" s="155">
        <f t="shared" si="303"/>
        <v>0</v>
      </c>
    </row>
    <row r="311">
      <c r="A311" s="152">
        <f t="shared" si="7"/>
        <v>0</v>
      </c>
      <c r="B311" s="153">
        <f t="shared" si="8"/>
        <v>0</v>
      </c>
      <c r="C311" s="153">
        <f t="shared" si="9"/>
        <v>0</v>
      </c>
      <c r="D311" s="186"/>
      <c r="E311" s="161"/>
      <c r="F311" s="156"/>
      <c r="G311" s="156"/>
      <c r="H311" s="156"/>
      <c r="I311" s="156"/>
      <c r="J311" s="156"/>
      <c r="K311" s="155">
        <v>0.0</v>
      </c>
      <c r="L311" s="155">
        <f t="shared" ref="L311:M311" si="304">$K311*L$4/100</f>
        <v>0</v>
      </c>
      <c r="M311" s="155">
        <f t="shared" si="304"/>
        <v>0</v>
      </c>
    </row>
    <row r="312">
      <c r="A312" s="152">
        <f t="shared" si="7"/>
        <v>0</v>
      </c>
      <c r="B312" s="153">
        <f t="shared" si="8"/>
        <v>0</v>
      </c>
      <c r="C312" s="153">
        <f t="shared" si="9"/>
        <v>0</v>
      </c>
      <c r="D312" s="186"/>
      <c r="E312" s="161"/>
      <c r="F312" s="156"/>
      <c r="G312" s="156"/>
      <c r="H312" s="156"/>
      <c r="I312" s="156"/>
      <c r="J312" s="156"/>
      <c r="K312" s="155">
        <v>0.0</v>
      </c>
      <c r="L312" s="155">
        <f t="shared" ref="L312:M312" si="305">$K312*L$4/100</f>
        <v>0</v>
      </c>
      <c r="M312" s="155">
        <f t="shared" si="305"/>
        <v>0</v>
      </c>
    </row>
    <row r="313">
      <c r="A313" s="152">
        <f t="shared" si="7"/>
        <v>0</v>
      </c>
      <c r="B313" s="153">
        <f t="shared" si="8"/>
        <v>0</v>
      </c>
      <c r="C313" s="153">
        <f t="shared" si="9"/>
        <v>0</v>
      </c>
      <c r="D313" s="186"/>
      <c r="E313" s="161"/>
      <c r="F313" s="156"/>
      <c r="G313" s="156"/>
      <c r="H313" s="156"/>
      <c r="I313" s="156"/>
      <c r="J313" s="156"/>
      <c r="K313" s="155">
        <v>0.0</v>
      </c>
      <c r="L313" s="155">
        <f t="shared" ref="L313:M313" si="306">$K313*L$4/100</f>
        <v>0</v>
      </c>
      <c r="M313" s="155">
        <f t="shared" si="306"/>
        <v>0</v>
      </c>
    </row>
    <row r="314">
      <c r="A314" s="152">
        <f t="shared" si="7"/>
        <v>0</v>
      </c>
      <c r="B314" s="153">
        <f t="shared" si="8"/>
        <v>0</v>
      </c>
      <c r="C314" s="153">
        <f t="shared" si="9"/>
        <v>0</v>
      </c>
      <c r="D314" s="186"/>
      <c r="E314" s="161"/>
      <c r="F314" s="156"/>
      <c r="G314" s="156"/>
      <c r="H314" s="156"/>
      <c r="I314" s="156"/>
      <c r="J314" s="156"/>
      <c r="K314" s="155">
        <v>0.0</v>
      </c>
      <c r="L314" s="155">
        <f t="shared" ref="L314:M314" si="307">$K314*L$4/100</f>
        <v>0</v>
      </c>
      <c r="M314" s="155">
        <f t="shared" si="307"/>
        <v>0</v>
      </c>
    </row>
    <row r="315">
      <c r="A315" s="152">
        <f t="shared" si="7"/>
        <v>0</v>
      </c>
      <c r="B315" s="153">
        <f t="shared" si="8"/>
        <v>0</v>
      </c>
      <c r="C315" s="153">
        <f t="shared" si="9"/>
        <v>0</v>
      </c>
      <c r="D315" s="186"/>
      <c r="E315" s="161"/>
      <c r="F315" s="156"/>
      <c r="G315" s="156"/>
      <c r="H315" s="156"/>
      <c r="I315" s="156"/>
      <c r="J315" s="156"/>
      <c r="K315" s="155">
        <v>0.0</v>
      </c>
      <c r="L315" s="155">
        <f t="shared" ref="L315:M315" si="308">$K315*L$4/100</f>
        <v>0</v>
      </c>
      <c r="M315" s="155">
        <f t="shared" si="308"/>
        <v>0</v>
      </c>
    </row>
    <row r="316">
      <c r="A316" s="152">
        <f t="shared" si="7"/>
        <v>0</v>
      </c>
      <c r="B316" s="153">
        <f t="shared" si="8"/>
        <v>0</v>
      </c>
      <c r="C316" s="153">
        <f t="shared" si="9"/>
        <v>0</v>
      </c>
      <c r="D316" s="186"/>
      <c r="E316" s="161"/>
      <c r="F316" s="156"/>
      <c r="G316" s="156"/>
      <c r="H316" s="156"/>
      <c r="I316" s="156"/>
      <c r="J316" s="156"/>
      <c r="K316" s="155">
        <v>0.0</v>
      </c>
      <c r="L316" s="155">
        <f t="shared" ref="L316:M316" si="309">$K316*L$4/100</f>
        <v>0</v>
      </c>
      <c r="M316" s="155">
        <f t="shared" si="309"/>
        <v>0</v>
      </c>
    </row>
    <row r="317">
      <c r="A317" s="152">
        <f t="shared" si="7"/>
        <v>0</v>
      </c>
      <c r="B317" s="153">
        <f t="shared" si="8"/>
        <v>0</v>
      </c>
      <c r="C317" s="153">
        <f t="shared" si="9"/>
        <v>0</v>
      </c>
      <c r="D317" s="186"/>
      <c r="E317" s="161"/>
      <c r="F317" s="156"/>
      <c r="G317" s="156"/>
      <c r="H317" s="156"/>
      <c r="I317" s="156"/>
      <c r="J317" s="156"/>
      <c r="K317" s="155">
        <v>0.0</v>
      </c>
      <c r="L317" s="155">
        <f t="shared" ref="L317:M317" si="310">$K317*L$4/100</f>
        <v>0</v>
      </c>
      <c r="M317" s="155">
        <f t="shared" si="310"/>
        <v>0</v>
      </c>
    </row>
    <row r="318">
      <c r="A318" s="152">
        <f t="shared" si="7"/>
        <v>0</v>
      </c>
      <c r="B318" s="153">
        <f t="shared" si="8"/>
        <v>0</v>
      </c>
      <c r="C318" s="153">
        <f t="shared" si="9"/>
        <v>0</v>
      </c>
      <c r="D318" s="186"/>
      <c r="E318" s="161"/>
      <c r="F318" s="156"/>
      <c r="G318" s="156"/>
      <c r="H318" s="156"/>
      <c r="I318" s="156"/>
      <c r="J318" s="156"/>
      <c r="K318" s="155">
        <v>0.0</v>
      </c>
      <c r="L318" s="155">
        <f t="shared" ref="L318:M318" si="311">$K318*L$4/100</f>
        <v>0</v>
      </c>
      <c r="M318" s="155">
        <f t="shared" si="311"/>
        <v>0</v>
      </c>
    </row>
    <row r="319">
      <c r="A319" s="152">
        <f t="shared" si="7"/>
        <v>0</v>
      </c>
      <c r="B319" s="153">
        <f t="shared" si="8"/>
        <v>0</v>
      </c>
      <c r="C319" s="153">
        <f t="shared" si="9"/>
        <v>0</v>
      </c>
      <c r="D319" s="186"/>
      <c r="E319" s="161"/>
      <c r="F319" s="156"/>
      <c r="G319" s="156"/>
      <c r="H319" s="156"/>
      <c r="I319" s="156"/>
      <c r="J319" s="156"/>
      <c r="K319" s="155">
        <v>0.0</v>
      </c>
      <c r="L319" s="155">
        <f t="shared" ref="L319:M319" si="312">$K319*L$4/100</f>
        <v>0</v>
      </c>
      <c r="M319" s="155">
        <f t="shared" si="312"/>
        <v>0</v>
      </c>
    </row>
    <row r="320">
      <c r="A320" s="152">
        <f t="shared" si="7"/>
        <v>0</v>
      </c>
      <c r="B320" s="153">
        <f t="shared" si="8"/>
        <v>0</v>
      </c>
      <c r="C320" s="153">
        <f t="shared" si="9"/>
        <v>0</v>
      </c>
      <c r="D320" s="186"/>
      <c r="E320" s="161"/>
      <c r="F320" s="156"/>
      <c r="G320" s="156"/>
      <c r="H320" s="156"/>
      <c r="I320" s="156"/>
      <c r="J320" s="156"/>
      <c r="K320" s="155">
        <v>0.0</v>
      </c>
      <c r="L320" s="155">
        <f t="shared" ref="L320:M320" si="313">$K320*L$4/100</f>
        <v>0</v>
      </c>
      <c r="M320" s="155">
        <f t="shared" si="313"/>
        <v>0</v>
      </c>
    </row>
    <row r="321">
      <c r="A321" s="152">
        <f t="shared" si="7"/>
        <v>0</v>
      </c>
      <c r="B321" s="153">
        <f t="shared" si="8"/>
        <v>0</v>
      </c>
      <c r="C321" s="153">
        <f t="shared" si="9"/>
        <v>0</v>
      </c>
      <c r="D321" s="186"/>
      <c r="E321" s="161"/>
      <c r="F321" s="156"/>
      <c r="G321" s="156"/>
      <c r="H321" s="156"/>
      <c r="I321" s="156"/>
      <c r="J321" s="156"/>
      <c r="K321" s="155">
        <v>0.0</v>
      </c>
      <c r="L321" s="155">
        <f t="shared" ref="L321:M321" si="314">$K321*L$4/100</f>
        <v>0</v>
      </c>
      <c r="M321" s="155">
        <f t="shared" si="314"/>
        <v>0</v>
      </c>
    </row>
    <row r="322">
      <c r="A322" s="152">
        <f t="shared" si="7"/>
        <v>0</v>
      </c>
      <c r="B322" s="153">
        <f t="shared" si="8"/>
        <v>0</v>
      </c>
      <c r="C322" s="153">
        <f t="shared" si="9"/>
        <v>0</v>
      </c>
      <c r="D322" s="186"/>
      <c r="E322" s="161"/>
      <c r="F322" s="156"/>
      <c r="G322" s="156"/>
      <c r="H322" s="156"/>
      <c r="I322" s="156"/>
      <c r="J322" s="156"/>
      <c r="K322" s="155">
        <v>0.0</v>
      </c>
      <c r="L322" s="155">
        <f t="shared" ref="L322:M322" si="315">$K322*L$4/100</f>
        <v>0</v>
      </c>
      <c r="M322" s="155">
        <f t="shared" si="315"/>
        <v>0</v>
      </c>
    </row>
    <row r="323">
      <c r="A323" s="152">
        <f t="shared" si="7"/>
        <v>0</v>
      </c>
      <c r="B323" s="153">
        <f t="shared" si="8"/>
        <v>0</v>
      </c>
      <c r="C323" s="153">
        <f t="shared" si="9"/>
        <v>0</v>
      </c>
      <c r="D323" s="186"/>
      <c r="E323" s="161"/>
      <c r="F323" s="156"/>
      <c r="G323" s="156"/>
      <c r="H323" s="156"/>
      <c r="I323" s="156"/>
      <c r="J323" s="156"/>
      <c r="K323" s="155">
        <v>0.0</v>
      </c>
      <c r="L323" s="155">
        <f t="shared" ref="L323:M323" si="316">$K323*L$4/100</f>
        <v>0</v>
      </c>
      <c r="M323" s="155">
        <f t="shared" si="316"/>
        <v>0</v>
      </c>
    </row>
    <row r="324">
      <c r="A324" s="152">
        <f t="shared" si="7"/>
        <v>0</v>
      </c>
      <c r="B324" s="153">
        <f t="shared" si="8"/>
        <v>0</v>
      </c>
      <c r="C324" s="153">
        <f t="shared" si="9"/>
        <v>0</v>
      </c>
      <c r="D324" s="186"/>
      <c r="E324" s="161"/>
      <c r="F324" s="156"/>
      <c r="G324" s="156"/>
      <c r="H324" s="156"/>
      <c r="I324" s="156"/>
      <c r="J324" s="156"/>
      <c r="K324" s="155">
        <v>0.0</v>
      </c>
      <c r="L324" s="155">
        <f t="shared" ref="L324:M324" si="317">$K324*L$4/100</f>
        <v>0</v>
      </c>
      <c r="M324" s="155">
        <f t="shared" si="317"/>
        <v>0</v>
      </c>
    </row>
    <row r="325">
      <c r="A325" s="152">
        <f t="shared" si="7"/>
        <v>0</v>
      </c>
      <c r="B325" s="153">
        <f t="shared" si="8"/>
        <v>0</v>
      </c>
      <c r="C325" s="153">
        <f t="shared" si="9"/>
        <v>0</v>
      </c>
      <c r="D325" s="186"/>
      <c r="E325" s="161"/>
      <c r="F325" s="156"/>
      <c r="G325" s="156"/>
      <c r="H325" s="156"/>
      <c r="I325" s="156"/>
      <c r="J325" s="156"/>
      <c r="K325" s="155">
        <v>0.0</v>
      </c>
      <c r="L325" s="155">
        <f t="shared" ref="L325:M325" si="318">$K325*L$4/100</f>
        <v>0</v>
      </c>
      <c r="M325" s="155">
        <f t="shared" si="318"/>
        <v>0</v>
      </c>
    </row>
    <row r="326">
      <c r="A326" s="152">
        <f t="shared" si="7"/>
        <v>0</v>
      </c>
      <c r="B326" s="153">
        <f t="shared" si="8"/>
        <v>0</v>
      </c>
      <c r="C326" s="153">
        <f t="shared" si="9"/>
        <v>0</v>
      </c>
      <c r="D326" s="186"/>
      <c r="E326" s="161"/>
      <c r="F326" s="156"/>
      <c r="G326" s="156"/>
      <c r="H326" s="156"/>
      <c r="I326" s="156"/>
      <c r="J326" s="156"/>
      <c r="K326" s="155">
        <v>0.0</v>
      </c>
      <c r="L326" s="155">
        <f t="shared" ref="L326:M326" si="319">$K326*L$4/100</f>
        <v>0</v>
      </c>
      <c r="M326" s="155">
        <f t="shared" si="319"/>
        <v>0</v>
      </c>
    </row>
    <row r="327">
      <c r="A327" s="152">
        <f t="shared" si="7"/>
        <v>0</v>
      </c>
      <c r="B327" s="153">
        <f t="shared" si="8"/>
        <v>0</v>
      </c>
      <c r="C327" s="153">
        <f t="shared" si="9"/>
        <v>0</v>
      </c>
      <c r="D327" s="186"/>
      <c r="E327" s="161"/>
      <c r="F327" s="156"/>
      <c r="G327" s="156"/>
      <c r="H327" s="156"/>
      <c r="I327" s="156"/>
      <c r="J327" s="156"/>
      <c r="K327" s="155">
        <v>0.0</v>
      </c>
      <c r="L327" s="155">
        <f t="shared" ref="L327:M327" si="320">$K327*L$4/100</f>
        <v>0</v>
      </c>
      <c r="M327" s="155">
        <f t="shared" si="320"/>
        <v>0</v>
      </c>
    </row>
    <row r="328">
      <c r="A328" s="152">
        <f t="shared" si="7"/>
        <v>0</v>
      </c>
      <c r="B328" s="153">
        <f t="shared" si="8"/>
        <v>0</v>
      </c>
      <c r="C328" s="153">
        <f t="shared" si="9"/>
        <v>0</v>
      </c>
      <c r="D328" s="186"/>
      <c r="E328" s="161"/>
      <c r="F328" s="156"/>
      <c r="G328" s="156"/>
      <c r="H328" s="156"/>
      <c r="I328" s="156"/>
      <c r="J328" s="156"/>
      <c r="K328" s="155">
        <v>0.0</v>
      </c>
      <c r="L328" s="155">
        <f t="shared" ref="L328:M328" si="321">$K328*L$4/100</f>
        <v>0</v>
      </c>
      <c r="M328" s="155">
        <f t="shared" si="321"/>
        <v>0</v>
      </c>
    </row>
    <row r="329">
      <c r="A329" s="152">
        <f t="shared" si="7"/>
        <v>0</v>
      </c>
      <c r="B329" s="153">
        <f t="shared" si="8"/>
        <v>0</v>
      </c>
      <c r="C329" s="153">
        <f t="shared" si="9"/>
        <v>0</v>
      </c>
      <c r="D329" s="186"/>
      <c r="E329" s="161"/>
      <c r="F329" s="156"/>
      <c r="G329" s="156"/>
      <c r="H329" s="156"/>
      <c r="I329" s="156"/>
      <c r="J329" s="156"/>
      <c r="K329" s="155">
        <v>0.0</v>
      </c>
      <c r="L329" s="155">
        <f t="shared" ref="L329:M329" si="322">$K329*L$4/100</f>
        <v>0</v>
      </c>
      <c r="M329" s="155">
        <f t="shared" si="322"/>
        <v>0</v>
      </c>
    </row>
    <row r="330">
      <c r="A330" s="152">
        <f t="shared" si="7"/>
        <v>0</v>
      </c>
      <c r="B330" s="153">
        <f t="shared" si="8"/>
        <v>0</v>
      </c>
      <c r="C330" s="153">
        <f t="shared" si="9"/>
        <v>0</v>
      </c>
      <c r="D330" s="186"/>
      <c r="E330" s="161"/>
      <c r="F330" s="156"/>
      <c r="G330" s="156"/>
      <c r="H330" s="156"/>
      <c r="I330" s="156"/>
      <c r="J330" s="156"/>
      <c r="K330" s="155">
        <v>0.0</v>
      </c>
      <c r="L330" s="155">
        <f t="shared" ref="L330:M330" si="323">$K330*L$4/100</f>
        <v>0</v>
      </c>
      <c r="M330" s="155">
        <f t="shared" si="323"/>
        <v>0</v>
      </c>
    </row>
    <row r="331">
      <c r="A331" s="152">
        <f t="shared" si="7"/>
        <v>0</v>
      </c>
      <c r="B331" s="153">
        <f t="shared" si="8"/>
        <v>0</v>
      </c>
      <c r="C331" s="153">
        <f t="shared" si="9"/>
        <v>0</v>
      </c>
      <c r="D331" s="186"/>
      <c r="E331" s="161"/>
      <c r="F331" s="156"/>
      <c r="G331" s="156"/>
      <c r="H331" s="156"/>
      <c r="I331" s="156"/>
      <c r="J331" s="156"/>
      <c r="K331" s="155">
        <v>0.0</v>
      </c>
      <c r="L331" s="155">
        <f t="shared" ref="L331:M331" si="324">$K331*L$4/100</f>
        <v>0</v>
      </c>
      <c r="M331" s="155">
        <f t="shared" si="324"/>
        <v>0</v>
      </c>
    </row>
    <row r="332">
      <c r="A332" s="152">
        <f t="shared" si="7"/>
        <v>0</v>
      </c>
      <c r="B332" s="153">
        <f t="shared" si="8"/>
        <v>0</v>
      </c>
      <c r="C332" s="153">
        <f t="shared" si="9"/>
        <v>0</v>
      </c>
      <c r="D332" s="186"/>
      <c r="E332" s="161"/>
      <c r="F332" s="156"/>
      <c r="G332" s="156"/>
      <c r="H332" s="156"/>
      <c r="I332" s="156"/>
      <c r="J332" s="156"/>
      <c r="K332" s="155">
        <v>0.0</v>
      </c>
      <c r="L332" s="155">
        <f t="shared" ref="L332:M332" si="325">$K332*L$4/100</f>
        <v>0</v>
      </c>
      <c r="M332" s="155">
        <f t="shared" si="325"/>
        <v>0</v>
      </c>
    </row>
    <row r="333">
      <c r="A333" s="152">
        <f t="shared" si="7"/>
        <v>0</v>
      </c>
      <c r="B333" s="153">
        <f t="shared" si="8"/>
        <v>0</v>
      </c>
      <c r="C333" s="153">
        <f t="shared" si="9"/>
        <v>0</v>
      </c>
      <c r="D333" s="186"/>
      <c r="E333" s="161"/>
      <c r="F333" s="156"/>
      <c r="G333" s="156"/>
      <c r="H333" s="156"/>
      <c r="I333" s="156"/>
      <c r="J333" s="156"/>
      <c r="K333" s="155">
        <v>0.0</v>
      </c>
      <c r="L333" s="155">
        <f t="shared" ref="L333:M333" si="326">$K333*L$4/100</f>
        <v>0</v>
      </c>
      <c r="M333" s="155">
        <f t="shared" si="326"/>
        <v>0</v>
      </c>
    </row>
    <row r="334">
      <c r="A334" s="152">
        <f t="shared" si="7"/>
        <v>0</v>
      </c>
      <c r="B334" s="153">
        <f t="shared" si="8"/>
        <v>0</v>
      </c>
      <c r="C334" s="153">
        <f t="shared" si="9"/>
        <v>0</v>
      </c>
      <c r="D334" s="186"/>
      <c r="E334" s="161"/>
      <c r="F334" s="156"/>
      <c r="G334" s="156"/>
      <c r="H334" s="156"/>
      <c r="I334" s="156"/>
      <c r="J334" s="156"/>
      <c r="K334" s="155">
        <v>0.0</v>
      </c>
      <c r="L334" s="155">
        <f t="shared" ref="L334:M334" si="327">$K334*L$4/100</f>
        <v>0</v>
      </c>
      <c r="M334" s="155">
        <f t="shared" si="327"/>
        <v>0</v>
      </c>
    </row>
    <row r="335">
      <c r="A335" s="152">
        <f t="shared" si="7"/>
        <v>0</v>
      </c>
      <c r="B335" s="153">
        <f t="shared" si="8"/>
        <v>0</v>
      </c>
      <c r="C335" s="153">
        <f t="shared" si="9"/>
        <v>0</v>
      </c>
      <c r="D335" s="186"/>
      <c r="E335" s="161"/>
      <c r="F335" s="156"/>
      <c r="G335" s="156"/>
      <c r="H335" s="156"/>
      <c r="I335" s="156"/>
      <c r="J335" s="156"/>
      <c r="K335" s="155">
        <v>0.0</v>
      </c>
      <c r="L335" s="155">
        <f t="shared" ref="L335:M335" si="328">$K335*L$4/100</f>
        <v>0</v>
      </c>
      <c r="M335" s="155">
        <f t="shared" si="328"/>
        <v>0</v>
      </c>
    </row>
    <row r="336">
      <c r="A336" s="152">
        <f t="shared" si="7"/>
        <v>0</v>
      </c>
      <c r="B336" s="153">
        <f t="shared" si="8"/>
        <v>0</v>
      </c>
      <c r="C336" s="153">
        <f t="shared" si="9"/>
        <v>0</v>
      </c>
      <c r="D336" s="186"/>
      <c r="E336" s="161"/>
      <c r="F336" s="156"/>
      <c r="G336" s="156"/>
      <c r="H336" s="156"/>
      <c r="I336" s="156"/>
      <c r="J336" s="156"/>
      <c r="K336" s="155">
        <v>0.0</v>
      </c>
      <c r="L336" s="155">
        <f t="shared" ref="L336:M336" si="329">$K336*L$4/100</f>
        <v>0</v>
      </c>
      <c r="M336" s="155">
        <f t="shared" si="329"/>
        <v>0</v>
      </c>
    </row>
    <row r="337">
      <c r="A337" s="152">
        <f t="shared" si="7"/>
        <v>0</v>
      </c>
      <c r="B337" s="153">
        <f t="shared" si="8"/>
        <v>0</v>
      </c>
      <c r="C337" s="153">
        <f t="shared" si="9"/>
        <v>0</v>
      </c>
      <c r="D337" s="186"/>
      <c r="E337" s="161"/>
      <c r="F337" s="156"/>
      <c r="G337" s="156"/>
      <c r="H337" s="156"/>
      <c r="I337" s="156"/>
      <c r="J337" s="156"/>
      <c r="K337" s="155">
        <v>0.0</v>
      </c>
      <c r="L337" s="155">
        <f t="shared" ref="L337:M337" si="330">$K337*L$4/100</f>
        <v>0</v>
      </c>
      <c r="M337" s="155">
        <f t="shared" si="330"/>
        <v>0</v>
      </c>
    </row>
    <row r="338">
      <c r="A338" s="152">
        <f t="shared" si="7"/>
        <v>0</v>
      </c>
      <c r="B338" s="153">
        <f t="shared" si="8"/>
        <v>0</v>
      </c>
      <c r="C338" s="153">
        <f t="shared" si="9"/>
        <v>0</v>
      </c>
      <c r="D338" s="186"/>
      <c r="E338" s="161"/>
      <c r="F338" s="156"/>
      <c r="G338" s="156"/>
      <c r="H338" s="156"/>
      <c r="I338" s="156"/>
      <c r="J338" s="156"/>
      <c r="K338" s="155">
        <v>0.0</v>
      </c>
      <c r="L338" s="155">
        <f t="shared" ref="L338:M338" si="331">$K338*L$4/100</f>
        <v>0</v>
      </c>
      <c r="M338" s="155">
        <f t="shared" si="331"/>
        <v>0</v>
      </c>
    </row>
    <row r="339">
      <c r="A339" s="152">
        <f t="shared" si="7"/>
        <v>0</v>
      </c>
      <c r="B339" s="153">
        <f t="shared" si="8"/>
        <v>0</v>
      </c>
      <c r="C339" s="153">
        <f t="shared" si="9"/>
        <v>0</v>
      </c>
      <c r="D339" s="186"/>
      <c r="E339" s="161"/>
      <c r="F339" s="156"/>
      <c r="G339" s="156"/>
      <c r="H339" s="156"/>
      <c r="I339" s="156"/>
      <c r="J339" s="156"/>
      <c r="K339" s="155">
        <v>0.0</v>
      </c>
      <c r="L339" s="155">
        <f t="shared" ref="L339:M339" si="332">$K339*L$4/100</f>
        <v>0</v>
      </c>
      <c r="M339" s="155">
        <f t="shared" si="332"/>
        <v>0</v>
      </c>
    </row>
    <row r="340">
      <c r="A340" s="152">
        <f t="shared" si="7"/>
        <v>0</v>
      </c>
      <c r="B340" s="153">
        <f t="shared" si="8"/>
        <v>0</v>
      </c>
      <c r="C340" s="153">
        <f t="shared" si="9"/>
        <v>0</v>
      </c>
      <c r="D340" s="186"/>
      <c r="E340" s="161"/>
      <c r="F340" s="156"/>
      <c r="G340" s="156"/>
      <c r="H340" s="156"/>
      <c r="I340" s="156"/>
      <c r="J340" s="156"/>
      <c r="K340" s="155">
        <v>0.0</v>
      </c>
      <c r="L340" s="155">
        <f t="shared" ref="L340:M340" si="333">$K340*L$4/100</f>
        <v>0</v>
      </c>
      <c r="M340" s="155">
        <f t="shared" si="333"/>
        <v>0</v>
      </c>
    </row>
    <row r="341">
      <c r="A341" s="152">
        <f t="shared" si="7"/>
        <v>0</v>
      </c>
      <c r="B341" s="153">
        <f t="shared" si="8"/>
        <v>0</v>
      </c>
      <c r="C341" s="153">
        <f t="shared" si="9"/>
        <v>0</v>
      </c>
      <c r="D341" s="186"/>
      <c r="E341" s="161"/>
      <c r="F341" s="156"/>
      <c r="G341" s="156"/>
      <c r="H341" s="156"/>
      <c r="I341" s="156"/>
      <c r="J341" s="156"/>
      <c r="K341" s="155">
        <v>0.0</v>
      </c>
      <c r="L341" s="155">
        <f t="shared" ref="L341:M341" si="334">$K341*L$4/100</f>
        <v>0</v>
      </c>
      <c r="M341" s="155">
        <f t="shared" si="334"/>
        <v>0</v>
      </c>
    </row>
    <row r="342">
      <c r="A342" s="152">
        <f t="shared" si="7"/>
        <v>0</v>
      </c>
      <c r="B342" s="153">
        <f t="shared" si="8"/>
        <v>0</v>
      </c>
      <c r="C342" s="153">
        <f t="shared" si="9"/>
        <v>0</v>
      </c>
      <c r="D342" s="186"/>
      <c r="E342" s="161"/>
      <c r="F342" s="156"/>
      <c r="G342" s="156"/>
      <c r="H342" s="156"/>
      <c r="I342" s="156"/>
      <c r="J342" s="156"/>
      <c r="K342" s="155">
        <v>0.0</v>
      </c>
      <c r="L342" s="155">
        <f t="shared" ref="L342:M342" si="335">$K342*L$4/100</f>
        <v>0</v>
      </c>
      <c r="M342" s="155">
        <f t="shared" si="335"/>
        <v>0</v>
      </c>
    </row>
    <row r="343">
      <c r="A343" s="152">
        <f t="shared" si="7"/>
        <v>0</v>
      </c>
      <c r="B343" s="153">
        <f t="shared" si="8"/>
        <v>0</v>
      </c>
      <c r="C343" s="153">
        <f t="shared" si="9"/>
        <v>0</v>
      </c>
      <c r="D343" s="186"/>
      <c r="E343" s="161"/>
      <c r="F343" s="156"/>
      <c r="G343" s="156"/>
      <c r="H343" s="156"/>
      <c r="I343" s="156"/>
      <c r="J343" s="156"/>
      <c r="K343" s="155">
        <v>0.0</v>
      </c>
      <c r="L343" s="155">
        <f t="shared" ref="L343:M343" si="336">$K343*L$4/100</f>
        <v>0</v>
      </c>
      <c r="M343" s="155">
        <f t="shared" si="336"/>
        <v>0</v>
      </c>
    </row>
    <row r="344">
      <c r="A344" s="152">
        <f t="shared" si="7"/>
        <v>0</v>
      </c>
      <c r="B344" s="153">
        <f t="shared" si="8"/>
        <v>0</v>
      </c>
      <c r="C344" s="153">
        <f t="shared" si="9"/>
        <v>0</v>
      </c>
      <c r="D344" s="186"/>
      <c r="E344" s="161"/>
      <c r="F344" s="156"/>
      <c r="G344" s="156"/>
      <c r="H344" s="156"/>
      <c r="I344" s="156"/>
      <c r="J344" s="156"/>
      <c r="K344" s="155">
        <v>0.0</v>
      </c>
      <c r="L344" s="155">
        <f t="shared" ref="L344:M344" si="337">$K344*L$4/100</f>
        <v>0</v>
      </c>
      <c r="M344" s="155">
        <f t="shared" si="337"/>
        <v>0</v>
      </c>
    </row>
    <row r="345">
      <c r="A345" s="152">
        <f t="shared" si="7"/>
        <v>0</v>
      </c>
      <c r="B345" s="153">
        <f t="shared" si="8"/>
        <v>0</v>
      </c>
      <c r="C345" s="153">
        <f t="shared" si="9"/>
        <v>0</v>
      </c>
      <c r="D345" s="186"/>
      <c r="E345" s="161"/>
      <c r="F345" s="156"/>
      <c r="G345" s="156"/>
      <c r="H345" s="156"/>
      <c r="I345" s="156"/>
      <c r="J345" s="156"/>
      <c r="K345" s="155">
        <v>0.0</v>
      </c>
      <c r="L345" s="155">
        <f t="shared" ref="L345:M345" si="338">$K345*L$4/100</f>
        <v>0</v>
      </c>
      <c r="M345" s="155">
        <f t="shared" si="338"/>
        <v>0</v>
      </c>
    </row>
    <row r="346">
      <c r="A346" s="152">
        <f t="shared" si="7"/>
        <v>0</v>
      </c>
      <c r="B346" s="153">
        <f t="shared" si="8"/>
        <v>0</v>
      </c>
      <c r="C346" s="153">
        <f t="shared" si="9"/>
        <v>0</v>
      </c>
      <c r="D346" s="186"/>
      <c r="E346" s="161"/>
      <c r="F346" s="156"/>
      <c r="G346" s="156"/>
      <c r="H346" s="156"/>
      <c r="I346" s="156"/>
      <c r="J346" s="156"/>
      <c r="K346" s="155">
        <v>0.0</v>
      </c>
      <c r="L346" s="155">
        <f t="shared" ref="L346:M346" si="339">$K346*L$4/100</f>
        <v>0</v>
      </c>
      <c r="M346" s="155">
        <f t="shared" si="339"/>
        <v>0</v>
      </c>
    </row>
    <row r="347">
      <c r="A347" s="152">
        <f t="shared" si="7"/>
        <v>0</v>
      </c>
      <c r="B347" s="153">
        <f t="shared" si="8"/>
        <v>0</v>
      </c>
      <c r="C347" s="153">
        <f t="shared" si="9"/>
        <v>0</v>
      </c>
      <c r="D347" s="186"/>
      <c r="E347" s="161"/>
      <c r="F347" s="156"/>
      <c r="G347" s="156"/>
      <c r="H347" s="156"/>
      <c r="I347" s="156"/>
      <c r="J347" s="156"/>
      <c r="K347" s="155">
        <v>0.0</v>
      </c>
      <c r="L347" s="155">
        <f t="shared" ref="L347:M347" si="340">$K347*L$4/100</f>
        <v>0</v>
      </c>
      <c r="M347" s="155">
        <f t="shared" si="340"/>
        <v>0</v>
      </c>
    </row>
    <row r="348">
      <c r="A348" s="152">
        <f t="shared" si="7"/>
        <v>0</v>
      </c>
      <c r="B348" s="153">
        <f t="shared" si="8"/>
        <v>0</v>
      </c>
      <c r="C348" s="153">
        <f t="shared" si="9"/>
        <v>0</v>
      </c>
      <c r="D348" s="186"/>
      <c r="E348" s="161"/>
      <c r="F348" s="156"/>
      <c r="G348" s="156"/>
      <c r="H348" s="156"/>
      <c r="I348" s="156"/>
      <c r="J348" s="156"/>
      <c r="K348" s="155">
        <v>0.0</v>
      </c>
      <c r="L348" s="155">
        <f t="shared" ref="L348:M348" si="341">$K348*L$4/100</f>
        <v>0</v>
      </c>
      <c r="M348" s="155">
        <f t="shared" si="341"/>
        <v>0</v>
      </c>
    </row>
    <row r="349">
      <c r="A349" s="152">
        <f t="shared" si="7"/>
        <v>0</v>
      </c>
      <c r="B349" s="153">
        <f t="shared" si="8"/>
        <v>0</v>
      </c>
      <c r="C349" s="153">
        <f t="shared" si="9"/>
        <v>0</v>
      </c>
      <c r="D349" s="186"/>
      <c r="E349" s="161"/>
      <c r="F349" s="156"/>
      <c r="G349" s="156"/>
      <c r="H349" s="156"/>
      <c r="I349" s="156"/>
      <c r="J349" s="156"/>
      <c r="K349" s="155">
        <v>0.0</v>
      </c>
      <c r="L349" s="155">
        <f t="shared" ref="L349:M349" si="342">$K349*L$4/100</f>
        <v>0</v>
      </c>
      <c r="M349" s="155">
        <f t="shared" si="342"/>
        <v>0</v>
      </c>
    </row>
    <row r="350">
      <c r="A350" s="152">
        <f t="shared" si="7"/>
        <v>0</v>
      </c>
      <c r="B350" s="153">
        <f t="shared" si="8"/>
        <v>0</v>
      </c>
      <c r="C350" s="153">
        <f t="shared" si="9"/>
        <v>0</v>
      </c>
      <c r="D350" s="186"/>
      <c r="E350" s="161"/>
      <c r="F350" s="156"/>
      <c r="G350" s="156"/>
      <c r="H350" s="156"/>
      <c r="I350" s="156"/>
      <c r="J350" s="156"/>
      <c r="K350" s="155">
        <v>0.0</v>
      </c>
      <c r="L350" s="155">
        <f t="shared" ref="L350:M350" si="343">$K350*L$4/100</f>
        <v>0</v>
      </c>
      <c r="M350" s="155">
        <f t="shared" si="343"/>
        <v>0</v>
      </c>
    </row>
    <row r="351">
      <c r="A351" s="152">
        <f t="shared" si="7"/>
        <v>0</v>
      </c>
      <c r="B351" s="153">
        <f t="shared" si="8"/>
        <v>0</v>
      </c>
      <c r="C351" s="153">
        <f t="shared" si="9"/>
        <v>0</v>
      </c>
      <c r="D351" s="186"/>
      <c r="E351" s="161"/>
      <c r="F351" s="156"/>
      <c r="G351" s="156"/>
      <c r="H351" s="156"/>
      <c r="I351" s="156"/>
      <c r="J351" s="156"/>
      <c r="K351" s="155">
        <v>0.0</v>
      </c>
      <c r="L351" s="155">
        <f t="shared" ref="L351:M351" si="344">$K351*L$4/100</f>
        <v>0</v>
      </c>
      <c r="M351" s="155">
        <f t="shared" si="344"/>
        <v>0</v>
      </c>
    </row>
    <row r="352">
      <c r="A352" s="152">
        <f t="shared" si="7"/>
        <v>0</v>
      </c>
      <c r="B352" s="153">
        <f t="shared" si="8"/>
        <v>0</v>
      </c>
      <c r="C352" s="153">
        <f t="shared" si="9"/>
        <v>0</v>
      </c>
      <c r="D352" s="186"/>
      <c r="E352" s="161"/>
      <c r="F352" s="156"/>
      <c r="G352" s="156"/>
      <c r="H352" s="156"/>
      <c r="I352" s="156"/>
      <c r="J352" s="156"/>
      <c r="K352" s="155">
        <v>0.0</v>
      </c>
      <c r="L352" s="155">
        <f t="shared" ref="L352:M352" si="345">$K352*L$4/100</f>
        <v>0</v>
      </c>
      <c r="M352" s="155">
        <f t="shared" si="345"/>
        <v>0</v>
      </c>
    </row>
    <row r="353">
      <c r="A353" s="152">
        <f t="shared" si="7"/>
        <v>0</v>
      </c>
      <c r="B353" s="153">
        <f t="shared" si="8"/>
        <v>0</v>
      </c>
      <c r="C353" s="153">
        <f t="shared" si="9"/>
        <v>0</v>
      </c>
      <c r="D353" s="186"/>
      <c r="E353" s="161"/>
      <c r="F353" s="156"/>
      <c r="G353" s="156"/>
      <c r="H353" s="156"/>
      <c r="I353" s="156"/>
      <c r="J353" s="156"/>
      <c r="K353" s="155">
        <v>0.0</v>
      </c>
      <c r="L353" s="155">
        <f t="shared" ref="L353:M353" si="346">$K353*L$4/100</f>
        <v>0</v>
      </c>
      <c r="M353" s="155">
        <f t="shared" si="346"/>
        <v>0</v>
      </c>
    </row>
    <row r="354">
      <c r="A354" s="152">
        <f t="shared" si="7"/>
        <v>0</v>
      </c>
      <c r="B354" s="153">
        <f t="shared" si="8"/>
        <v>0</v>
      </c>
      <c r="C354" s="153">
        <f t="shared" si="9"/>
        <v>0</v>
      </c>
      <c r="D354" s="186"/>
      <c r="E354" s="161"/>
      <c r="F354" s="156"/>
      <c r="G354" s="156"/>
      <c r="H354" s="156"/>
      <c r="I354" s="156"/>
      <c r="J354" s="156"/>
      <c r="K354" s="155">
        <v>0.0</v>
      </c>
      <c r="L354" s="155">
        <f t="shared" ref="L354:M354" si="347">$K354*L$4/100</f>
        <v>0</v>
      </c>
      <c r="M354" s="155">
        <f t="shared" si="347"/>
        <v>0</v>
      </c>
    </row>
    <row r="355">
      <c r="A355" s="152">
        <f t="shared" si="7"/>
        <v>0</v>
      </c>
      <c r="B355" s="153">
        <f t="shared" si="8"/>
        <v>0</v>
      </c>
      <c r="C355" s="153">
        <f t="shared" si="9"/>
        <v>0</v>
      </c>
      <c r="D355" s="186"/>
      <c r="E355" s="161"/>
      <c r="F355" s="156"/>
      <c r="G355" s="156"/>
      <c r="H355" s="156"/>
      <c r="I355" s="156"/>
      <c r="J355" s="156"/>
      <c r="K355" s="155">
        <v>0.0</v>
      </c>
      <c r="L355" s="155">
        <f t="shared" ref="L355:M355" si="348">$K355*L$4/100</f>
        <v>0</v>
      </c>
      <c r="M355" s="155">
        <f t="shared" si="348"/>
        <v>0</v>
      </c>
    </row>
    <row r="356">
      <c r="A356" s="152">
        <f t="shared" si="7"/>
        <v>0</v>
      </c>
      <c r="B356" s="153">
        <f t="shared" si="8"/>
        <v>0</v>
      </c>
      <c r="C356" s="153">
        <f t="shared" si="9"/>
        <v>0</v>
      </c>
      <c r="D356" s="186"/>
      <c r="E356" s="161"/>
      <c r="F356" s="156"/>
      <c r="G356" s="156"/>
      <c r="H356" s="156"/>
      <c r="I356" s="156"/>
      <c r="J356" s="156"/>
      <c r="K356" s="155">
        <v>0.0</v>
      </c>
      <c r="L356" s="155">
        <f t="shared" ref="L356:M356" si="349">$K356*L$4/100</f>
        <v>0</v>
      </c>
      <c r="M356" s="155">
        <f t="shared" si="349"/>
        <v>0</v>
      </c>
    </row>
    <row r="357">
      <c r="A357" s="152">
        <f t="shared" si="7"/>
        <v>0</v>
      </c>
      <c r="B357" s="153">
        <f t="shared" si="8"/>
        <v>0</v>
      </c>
      <c r="C357" s="153">
        <f t="shared" si="9"/>
        <v>0</v>
      </c>
      <c r="D357" s="186"/>
      <c r="E357" s="161"/>
      <c r="F357" s="156"/>
      <c r="G357" s="156"/>
      <c r="H357" s="156"/>
      <c r="I357" s="156"/>
      <c r="J357" s="156"/>
      <c r="K357" s="155">
        <v>0.0</v>
      </c>
      <c r="L357" s="155">
        <f t="shared" ref="L357:M357" si="350">$K357*L$4/100</f>
        <v>0</v>
      </c>
      <c r="M357" s="155">
        <f t="shared" si="350"/>
        <v>0</v>
      </c>
    </row>
    <row r="358">
      <c r="A358" s="152">
        <f t="shared" si="7"/>
        <v>0</v>
      </c>
      <c r="B358" s="153">
        <f t="shared" si="8"/>
        <v>0</v>
      </c>
      <c r="C358" s="153">
        <f t="shared" si="9"/>
        <v>0</v>
      </c>
      <c r="D358" s="186"/>
      <c r="E358" s="161"/>
      <c r="F358" s="156"/>
      <c r="G358" s="156"/>
      <c r="H358" s="156"/>
      <c r="I358" s="156"/>
      <c r="J358" s="156"/>
      <c r="K358" s="155">
        <v>0.0</v>
      </c>
      <c r="L358" s="155">
        <f t="shared" ref="L358:M358" si="351">$K358*L$4/100</f>
        <v>0</v>
      </c>
      <c r="M358" s="155">
        <f t="shared" si="351"/>
        <v>0</v>
      </c>
    </row>
    <row r="359">
      <c r="A359" s="152">
        <f t="shared" si="7"/>
        <v>0</v>
      </c>
      <c r="B359" s="153">
        <f t="shared" si="8"/>
        <v>0</v>
      </c>
      <c r="C359" s="153">
        <f t="shared" si="9"/>
        <v>0</v>
      </c>
      <c r="D359" s="186"/>
      <c r="E359" s="161"/>
      <c r="F359" s="156"/>
      <c r="G359" s="156"/>
      <c r="H359" s="156"/>
      <c r="I359" s="156"/>
      <c r="J359" s="156"/>
      <c r="K359" s="155">
        <v>0.0</v>
      </c>
      <c r="L359" s="155">
        <f t="shared" ref="L359:M359" si="352">$K359*L$4/100</f>
        <v>0</v>
      </c>
      <c r="M359" s="155">
        <f t="shared" si="352"/>
        <v>0</v>
      </c>
    </row>
    <row r="360">
      <c r="A360" s="152">
        <f t="shared" si="7"/>
        <v>0</v>
      </c>
      <c r="B360" s="153">
        <f t="shared" si="8"/>
        <v>0</v>
      </c>
      <c r="C360" s="153">
        <f t="shared" si="9"/>
        <v>0</v>
      </c>
      <c r="D360" s="186"/>
      <c r="E360" s="161"/>
      <c r="F360" s="156"/>
      <c r="G360" s="156"/>
      <c r="H360" s="156"/>
      <c r="I360" s="156"/>
      <c r="J360" s="156"/>
      <c r="K360" s="155">
        <v>0.0</v>
      </c>
      <c r="L360" s="155">
        <f t="shared" ref="L360:M360" si="353">$K360*L$4/100</f>
        <v>0</v>
      </c>
      <c r="M360" s="155">
        <f t="shared" si="353"/>
        <v>0</v>
      </c>
    </row>
    <row r="361">
      <c r="A361" s="152">
        <f t="shared" si="7"/>
        <v>0</v>
      </c>
      <c r="B361" s="153">
        <f t="shared" si="8"/>
        <v>0</v>
      </c>
      <c r="C361" s="153">
        <f t="shared" si="9"/>
        <v>0</v>
      </c>
      <c r="D361" s="186"/>
      <c r="E361" s="161"/>
      <c r="F361" s="156"/>
      <c r="G361" s="156"/>
      <c r="H361" s="156"/>
      <c r="I361" s="156"/>
      <c r="J361" s="156"/>
      <c r="K361" s="155">
        <v>0.0</v>
      </c>
      <c r="L361" s="155">
        <f t="shared" ref="L361:M361" si="354">$K361*L$4/100</f>
        <v>0</v>
      </c>
      <c r="M361" s="155">
        <f t="shared" si="354"/>
        <v>0</v>
      </c>
    </row>
    <row r="362">
      <c r="A362" s="152">
        <f t="shared" si="7"/>
        <v>0</v>
      </c>
      <c r="B362" s="153">
        <f t="shared" si="8"/>
        <v>0</v>
      </c>
      <c r="C362" s="153">
        <f t="shared" si="9"/>
        <v>0</v>
      </c>
      <c r="D362" s="186"/>
      <c r="E362" s="161"/>
      <c r="F362" s="156"/>
      <c r="G362" s="156"/>
      <c r="H362" s="156"/>
      <c r="I362" s="156"/>
      <c r="J362" s="156"/>
      <c r="K362" s="155">
        <v>0.0</v>
      </c>
      <c r="L362" s="155">
        <f t="shared" ref="L362:M362" si="355">$K362*L$4/100</f>
        <v>0</v>
      </c>
      <c r="M362" s="155">
        <f t="shared" si="355"/>
        <v>0</v>
      </c>
    </row>
    <row r="363">
      <c r="A363" s="152">
        <f t="shared" si="7"/>
        <v>0</v>
      </c>
      <c r="B363" s="153">
        <f t="shared" si="8"/>
        <v>0</v>
      </c>
      <c r="C363" s="153">
        <f t="shared" si="9"/>
        <v>0</v>
      </c>
      <c r="D363" s="186"/>
      <c r="E363" s="161"/>
      <c r="F363" s="156"/>
      <c r="G363" s="156"/>
      <c r="H363" s="156"/>
      <c r="I363" s="156"/>
      <c r="J363" s="156"/>
      <c r="K363" s="155">
        <v>0.0</v>
      </c>
      <c r="L363" s="155">
        <f t="shared" ref="L363:M363" si="356">$K363*L$4/100</f>
        <v>0</v>
      </c>
      <c r="M363" s="155">
        <f t="shared" si="356"/>
        <v>0</v>
      </c>
    </row>
    <row r="364">
      <c r="A364" s="152">
        <f t="shared" si="7"/>
        <v>0</v>
      </c>
      <c r="B364" s="153">
        <f t="shared" si="8"/>
        <v>0</v>
      </c>
      <c r="C364" s="153">
        <f t="shared" si="9"/>
        <v>0</v>
      </c>
      <c r="D364" s="186"/>
      <c r="E364" s="161"/>
      <c r="F364" s="156"/>
      <c r="G364" s="156"/>
      <c r="H364" s="156"/>
      <c r="I364" s="156"/>
      <c r="J364" s="156"/>
      <c r="K364" s="155">
        <v>0.0</v>
      </c>
      <c r="L364" s="155">
        <f t="shared" ref="L364:M364" si="357">$K364*L$4/100</f>
        <v>0</v>
      </c>
      <c r="M364" s="155">
        <f t="shared" si="357"/>
        <v>0</v>
      </c>
    </row>
    <row r="365">
      <c r="A365" s="152">
        <f t="shared" si="7"/>
        <v>0</v>
      </c>
      <c r="B365" s="153">
        <f t="shared" si="8"/>
        <v>0</v>
      </c>
      <c r="C365" s="153">
        <f t="shared" si="9"/>
        <v>0</v>
      </c>
      <c r="D365" s="186"/>
      <c r="E365" s="161"/>
      <c r="F365" s="156"/>
      <c r="G365" s="156"/>
      <c r="H365" s="156"/>
      <c r="I365" s="156"/>
      <c r="J365" s="156"/>
      <c r="K365" s="155">
        <v>0.0</v>
      </c>
      <c r="L365" s="155">
        <f t="shared" ref="L365:M365" si="358">$K365*L$4/100</f>
        <v>0</v>
      </c>
      <c r="M365" s="155">
        <f t="shared" si="358"/>
        <v>0</v>
      </c>
    </row>
    <row r="366">
      <c r="A366" s="152">
        <f t="shared" si="7"/>
        <v>0</v>
      </c>
      <c r="B366" s="153">
        <f t="shared" si="8"/>
        <v>0</v>
      </c>
      <c r="C366" s="153">
        <f t="shared" si="9"/>
        <v>0</v>
      </c>
      <c r="D366" s="186"/>
      <c r="E366" s="161"/>
      <c r="F366" s="156"/>
      <c r="G366" s="156"/>
      <c r="H366" s="156"/>
      <c r="I366" s="156"/>
      <c r="J366" s="156"/>
      <c r="K366" s="155">
        <v>0.0</v>
      </c>
      <c r="L366" s="155">
        <f t="shared" ref="L366:M366" si="359">$K366*L$4/100</f>
        <v>0</v>
      </c>
      <c r="M366" s="155">
        <f t="shared" si="359"/>
        <v>0</v>
      </c>
    </row>
    <row r="367">
      <c r="A367" s="152">
        <f t="shared" si="7"/>
        <v>0</v>
      </c>
      <c r="B367" s="153">
        <f t="shared" si="8"/>
        <v>0</v>
      </c>
      <c r="C367" s="153">
        <f t="shared" si="9"/>
        <v>0</v>
      </c>
      <c r="D367" s="186"/>
      <c r="E367" s="161"/>
      <c r="F367" s="156"/>
      <c r="G367" s="156"/>
      <c r="H367" s="156"/>
      <c r="I367" s="156"/>
      <c r="J367" s="156"/>
      <c r="K367" s="155">
        <v>0.0</v>
      </c>
      <c r="L367" s="155">
        <f t="shared" ref="L367:M367" si="360">$K367*L$4/100</f>
        <v>0</v>
      </c>
      <c r="M367" s="155">
        <f t="shared" si="360"/>
        <v>0</v>
      </c>
    </row>
    <row r="368">
      <c r="A368" s="152">
        <f t="shared" si="7"/>
        <v>0</v>
      </c>
      <c r="B368" s="153">
        <f t="shared" si="8"/>
        <v>0</v>
      </c>
      <c r="C368" s="153">
        <f t="shared" si="9"/>
        <v>0</v>
      </c>
      <c r="D368" s="186"/>
      <c r="E368" s="161"/>
      <c r="F368" s="156"/>
      <c r="G368" s="156"/>
      <c r="H368" s="156"/>
      <c r="I368" s="156"/>
      <c r="J368" s="156"/>
      <c r="K368" s="155">
        <v>0.0</v>
      </c>
      <c r="L368" s="155">
        <f t="shared" ref="L368:M368" si="361">$K368*L$4/100</f>
        <v>0</v>
      </c>
      <c r="M368" s="155">
        <f t="shared" si="361"/>
        <v>0</v>
      </c>
    </row>
    <row r="369">
      <c r="A369" s="152">
        <f t="shared" si="7"/>
        <v>0</v>
      </c>
      <c r="B369" s="153">
        <f t="shared" si="8"/>
        <v>0</v>
      </c>
      <c r="C369" s="153">
        <f t="shared" si="9"/>
        <v>0</v>
      </c>
      <c r="D369" s="186"/>
      <c r="E369" s="161"/>
      <c r="F369" s="156"/>
      <c r="G369" s="156"/>
      <c r="H369" s="156"/>
      <c r="I369" s="156"/>
      <c r="J369" s="156"/>
      <c r="K369" s="155">
        <v>0.0</v>
      </c>
      <c r="L369" s="155">
        <f t="shared" ref="L369:M369" si="362">$K369*L$4/100</f>
        <v>0</v>
      </c>
      <c r="M369" s="155">
        <f t="shared" si="362"/>
        <v>0</v>
      </c>
    </row>
    <row r="370">
      <c r="A370" s="152">
        <f t="shared" si="7"/>
        <v>0</v>
      </c>
      <c r="B370" s="153">
        <f t="shared" si="8"/>
        <v>0</v>
      </c>
      <c r="C370" s="153">
        <f t="shared" si="9"/>
        <v>0</v>
      </c>
      <c r="D370" s="186"/>
      <c r="E370" s="161"/>
      <c r="F370" s="156"/>
      <c r="G370" s="156"/>
      <c r="H370" s="156"/>
      <c r="I370" s="156"/>
      <c r="J370" s="156"/>
      <c r="K370" s="155">
        <v>0.0</v>
      </c>
      <c r="L370" s="155">
        <f t="shared" ref="L370:M370" si="363">$K370*L$4/100</f>
        <v>0</v>
      </c>
      <c r="M370" s="155">
        <f t="shared" si="363"/>
        <v>0</v>
      </c>
    </row>
    <row r="371">
      <c r="A371" s="152">
        <f t="shared" si="7"/>
        <v>0</v>
      </c>
      <c r="B371" s="153">
        <f t="shared" si="8"/>
        <v>0</v>
      </c>
      <c r="C371" s="153">
        <f t="shared" si="9"/>
        <v>0</v>
      </c>
      <c r="D371" s="186"/>
      <c r="E371" s="161"/>
      <c r="F371" s="156"/>
      <c r="G371" s="156"/>
      <c r="H371" s="156"/>
      <c r="I371" s="156"/>
      <c r="J371" s="156"/>
      <c r="K371" s="155">
        <v>0.0</v>
      </c>
      <c r="L371" s="155">
        <f t="shared" ref="L371:M371" si="364">$K371*L$4/100</f>
        <v>0</v>
      </c>
      <c r="M371" s="155">
        <f t="shared" si="364"/>
        <v>0</v>
      </c>
    </row>
    <row r="372">
      <c r="A372" s="152">
        <f t="shared" si="7"/>
        <v>0</v>
      </c>
      <c r="B372" s="153">
        <f t="shared" si="8"/>
        <v>0</v>
      </c>
      <c r="C372" s="153">
        <f t="shared" si="9"/>
        <v>0</v>
      </c>
      <c r="D372" s="186"/>
      <c r="E372" s="161"/>
      <c r="F372" s="156"/>
      <c r="G372" s="156"/>
      <c r="H372" s="156"/>
      <c r="I372" s="156"/>
      <c r="J372" s="156"/>
      <c r="K372" s="155">
        <v>0.0</v>
      </c>
      <c r="L372" s="155">
        <f t="shared" ref="L372:M372" si="365">$K372*L$4/100</f>
        <v>0</v>
      </c>
      <c r="M372" s="155">
        <f t="shared" si="365"/>
        <v>0</v>
      </c>
    </row>
    <row r="373">
      <c r="A373" s="152">
        <f t="shared" si="7"/>
        <v>0</v>
      </c>
      <c r="B373" s="153">
        <f t="shared" si="8"/>
        <v>0</v>
      </c>
      <c r="C373" s="153">
        <f t="shared" si="9"/>
        <v>0</v>
      </c>
      <c r="D373" s="186"/>
      <c r="E373" s="161"/>
      <c r="F373" s="156"/>
      <c r="G373" s="156"/>
      <c r="H373" s="156"/>
      <c r="I373" s="156"/>
      <c r="J373" s="156"/>
      <c r="K373" s="155">
        <v>0.0</v>
      </c>
      <c r="L373" s="155">
        <f t="shared" ref="L373:M373" si="366">$K373*L$4/100</f>
        <v>0</v>
      </c>
      <c r="M373" s="155">
        <f t="shared" si="366"/>
        <v>0</v>
      </c>
    </row>
    <row r="374">
      <c r="A374" s="152">
        <f t="shared" si="7"/>
        <v>0</v>
      </c>
      <c r="B374" s="153">
        <f t="shared" si="8"/>
        <v>0</v>
      </c>
      <c r="C374" s="153">
        <f t="shared" si="9"/>
        <v>0</v>
      </c>
      <c r="D374" s="186"/>
      <c r="E374" s="161"/>
      <c r="F374" s="156"/>
      <c r="G374" s="156"/>
      <c r="H374" s="156"/>
      <c r="I374" s="156"/>
      <c r="J374" s="156"/>
      <c r="K374" s="155">
        <v>0.0</v>
      </c>
      <c r="L374" s="155">
        <f t="shared" ref="L374:M374" si="367">$K374*L$4/100</f>
        <v>0</v>
      </c>
      <c r="M374" s="155">
        <f t="shared" si="367"/>
        <v>0</v>
      </c>
    </row>
    <row r="375">
      <c r="A375" s="152">
        <f t="shared" si="7"/>
        <v>0</v>
      </c>
      <c r="B375" s="153">
        <f t="shared" si="8"/>
        <v>0</v>
      </c>
      <c r="C375" s="153">
        <f t="shared" si="9"/>
        <v>0</v>
      </c>
      <c r="D375" s="186"/>
      <c r="E375" s="161"/>
      <c r="F375" s="156"/>
      <c r="G375" s="156"/>
      <c r="H375" s="156"/>
      <c r="I375" s="156"/>
      <c r="J375" s="156"/>
      <c r="K375" s="155">
        <v>0.0</v>
      </c>
      <c r="L375" s="155">
        <f t="shared" ref="L375:M375" si="368">$K375*L$4/100</f>
        <v>0</v>
      </c>
      <c r="M375" s="155">
        <f t="shared" si="368"/>
        <v>0</v>
      </c>
    </row>
    <row r="376">
      <c r="A376" s="152">
        <f t="shared" si="7"/>
        <v>0</v>
      </c>
      <c r="B376" s="153">
        <f t="shared" si="8"/>
        <v>0</v>
      </c>
      <c r="C376" s="153">
        <f t="shared" si="9"/>
        <v>0</v>
      </c>
      <c r="D376" s="186"/>
      <c r="E376" s="161"/>
      <c r="F376" s="156"/>
      <c r="G376" s="156"/>
      <c r="H376" s="156"/>
      <c r="I376" s="156"/>
      <c r="J376" s="156"/>
      <c r="K376" s="155">
        <v>0.0</v>
      </c>
      <c r="L376" s="155">
        <f t="shared" ref="L376:M376" si="369">$K376*L$4/100</f>
        <v>0</v>
      </c>
      <c r="M376" s="155">
        <f t="shared" si="369"/>
        <v>0</v>
      </c>
    </row>
    <row r="377">
      <c r="A377" s="152">
        <f t="shared" si="7"/>
        <v>0</v>
      </c>
      <c r="B377" s="153">
        <f t="shared" si="8"/>
        <v>0</v>
      </c>
      <c r="C377" s="153">
        <f t="shared" si="9"/>
        <v>0</v>
      </c>
      <c r="D377" s="186"/>
      <c r="E377" s="161"/>
      <c r="F377" s="156"/>
      <c r="G377" s="156"/>
      <c r="H377" s="156"/>
      <c r="I377" s="156"/>
      <c r="J377" s="156"/>
      <c r="K377" s="155">
        <v>0.0</v>
      </c>
      <c r="L377" s="155">
        <f t="shared" ref="L377:M377" si="370">$K377*L$4/100</f>
        <v>0</v>
      </c>
      <c r="M377" s="155">
        <f t="shared" si="370"/>
        <v>0</v>
      </c>
    </row>
    <row r="378">
      <c r="A378" s="152">
        <f t="shared" si="7"/>
        <v>0</v>
      </c>
      <c r="B378" s="153">
        <f t="shared" si="8"/>
        <v>0</v>
      </c>
      <c r="C378" s="153">
        <f t="shared" si="9"/>
        <v>0</v>
      </c>
      <c r="D378" s="186"/>
      <c r="E378" s="161"/>
      <c r="F378" s="156"/>
      <c r="G378" s="156"/>
      <c r="H378" s="156"/>
      <c r="I378" s="156"/>
      <c r="J378" s="156"/>
      <c r="K378" s="155">
        <v>0.0</v>
      </c>
      <c r="L378" s="155">
        <f t="shared" ref="L378:M378" si="371">$K378*L$4/100</f>
        <v>0</v>
      </c>
      <c r="M378" s="155">
        <f t="shared" si="371"/>
        <v>0</v>
      </c>
    </row>
    <row r="379">
      <c r="A379" s="152">
        <f t="shared" si="7"/>
        <v>0</v>
      </c>
      <c r="B379" s="153">
        <f t="shared" si="8"/>
        <v>0</v>
      </c>
      <c r="C379" s="153">
        <f t="shared" si="9"/>
        <v>0</v>
      </c>
      <c r="D379" s="186"/>
      <c r="E379" s="161"/>
      <c r="F379" s="156"/>
      <c r="G379" s="156"/>
      <c r="H379" s="156"/>
      <c r="I379" s="156"/>
      <c r="J379" s="156"/>
      <c r="K379" s="155">
        <v>0.0</v>
      </c>
      <c r="L379" s="155">
        <f t="shared" ref="L379:M379" si="372">$K379*L$4/100</f>
        <v>0</v>
      </c>
      <c r="M379" s="155">
        <f t="shared" si="372"/>
        <v>0</v>
      </c>
    </row>
    <row r="380">
      <c r="A380" s="152">
        <f t="shared" si="7"/>
        <v>0</v>
      </c>
      <c r="B380" s="153">
        <f t="shared" si="8"/>
        <v>0</v>
      </c>
      <c r="C380" s="153">
        <f t="shared" si="9"/>
        <v>0</v>
      </c>
      <c r="D380" s="186"/>
      <c r="E380" s="161"/>
      <c r="F380" s="156"/>
      <c r="G380" s="156"/>
      <c r="H380" s="156"/>
      <c r="I380" s="156"/>
      <c r="J380" s="156"/>
      <c r="K380" s="155">
        <v>0.0</v>
      </c>
      <c r="L380" s="155">
        <f t="shared" ref="L380:M380" si="373">$K380*L$4/100</f>
        <v>0</v>
      </c>
      <c r="M380" s="155">
        <f t="shared" si="373"/>
        <v>0</v>
      </c>
    </row>
    <row r="381">
      <c r="A381" s="152">
        <f t="shared" si="7"/>
        <v>0</v>
      </c>
      <c r="B381" s="153">
        <f t="shared" si="8"/>
        <v>0</v>
      </c>
      <c r="C381" s="153">
        <f t="shared" si="9"/>
        <v>0</v>
      </c>
      <c r="D381" s="186"/>
      <c r="E381" s="161"/>
      <c r="F381" s="156"/>
      <c r="G381" s="156"/>
      <c r="H381" s="156"/>
      <c r="I381" s="156"/>
      <c r="J381" s="156"/>
      <c r="K381" s="155">
        <v>0.0</v>
      </c>
      <c r="L381" s="155">
        <f t="shared" ref="L381:M381" si="374">$K381*L$4/100</f>
        <v>0</v>
      </c>
      <c r="M381" s="155">
        <f t="shared" si="374"/>
        <v>0</v>
      </c>
    </row>
    <row r="382">
      <c r="A382" s="152">
        <f t="shared" si="7"/>
        <v>0</v>
      </c>
      <c r="B382" s="153">
        <f t="shared" si="8"/>
        <v>0</v>
      </c>
      <c r="C382" s="153">
        <f t="shared" si="9"/>
        <v>0</v>
      </c>
      <c r="D382" s="186"/>
      <c r="E382" s="161"/>
      <c r="F382" s="156"/>
      <c r="G382" s="156"/>
      <c r="H382" s="156"/>
      <c r="I382" s="156"/>
      <c r="J382" s="156"/>
      <c r="K382" s="155">
        <v>0.0</v>
      </c>
      <c r="L382" s="155">
        <f t="shared" ref="L382:M382" si="375">$K382*L$4/100</f>
        <v>0</v>
      </c>
      <c r="M382" s="155">
        <f t="shared" si="375"/>
        <v>0</v>
      </c>
    </row>
    <row r="383">
      <c r="A383" s="152">
        <f t="shared" si="7"/>
        <v>0</v>
      </c>
      <c r="B383" s="153">
        <f t="shared" si="8"/>
        <v>0</v>
      </c>
      <c r="C383" s="153">
        <f t="shared" si="9"/>
        <v>0</v>
      </c>
      <c r="D383" s="186"/>
      <c r="E383" s="161"/>
      <c r="F383" s="156"/>
      <c r="G383" s="156"/>
      <c r="H383" s="156"/>
      <c r="I383" s="156"/>
      <c r="J383" s="156"/>
      <c r="K383" s="155">
        <v>0.0</v>
      </c>
      <c r="L383" s="155">
        <f t="shared" ref="L383:M383" si="376">$K383*L$4/100</f>
        <v>0</v>
      </c>
      <c r="M383" s="155">
        <f t="shared" si="376"/>
        <v>0</v>
      </c>
    </row>
    <row r="384">
      <c r="A384" s="152">
        <f t="shared" si="7"/>
        <v>0</v>
      </c>
      <c r="B384" s="153">
        <f t="shared" si="8"/>
        <v>0</v>
      </c>
      <c r="C384" s="153">
        <f t="shared" si="9"/>
        <v>0</v>
      </c>
      <c r="D384" s="186"/>
      <c r="E384" s="161"/>
      <c r="F384" s="156"/>
      <c r="G384" s="156"/>
      <c r="H384" s="156"/>
      <c r="I384" s="156"/>
      <c r="J384" s="156"/>
      <c r="K384" s="155">
        <v>0.0</v>
      </c>
      <c r="L384" s="155">
        <f t="shared" ref="L384:M384" si="377">$K384*L$4/100</f>
        <v>0</v>
      </c>
      <c r="M384" s="155">
        <f t="shared" si="377"/>
        <v>0</v>
      </c>
    </row>
    <row r="385">
      <c r="A385" s="152">
        <f t="shared" si="7"/>
        <v>0</v>
      </c>
      <c r="B385" s="153">
        <f t="shared" si="8"/>
        <v>0</v>
      </c>
      <c r="C385" s="153">
        <f t="shared" si="9"/>
        <v>0</v>
      </c>
      <c r="D385" s="186"/>
      <c r="E385" s="161"/>
      <c r="F385" s="156"/>
      <c r="G385" s="156"/>
      <c r="H385" s="156"/>
      <c r="I385" s="156"/>
      <c r="J385" s="156"/>
      <c r="K385" s="155">
        <v>0.0</v>
      </c>
      <c r="L385" s="155">
        <f t="shared" ref="L385:M385" si="378">$K385*L$4/100</f>
        <v>0</v>
      </c>
      <c r="M385" s="155">
        <f t="shared" si="378"/>
        <v>0</v>
      </c>
    </row>
    <row r="386">
      <c r="A386" s="152">
        <f t="shared" si="7"/>
        <v>0</v>
      </c>
      <c r="B386" s="153">
        <f t="shared" si="8"/>
        <v>0</v>
      </c>
      <c r="C386" s="153">
        <f t="shared" si="9"/>
        <v>0</v>
      </c>
      <c r="D386" s="186"/>
      <c r="E386" s="161"/>
      <c r="F386" s="156"/>
      <c r="G386" s="156"/>
      <c r="H386" s="156"/>
      <c r="I386" s="156"/>
      <c r="J386" s="156"/>
      <c r="K386" s="155">
        <v>0.0</v>
      </c>
      <c r="L386" s="155">
        <f t="shared" ref="L386:M386" si="379">$K386*L$4/100</f>
        <v>0</v>
      </c>
      <c r="M386" s="155">
        <f t="shared" si="379"/>
        <v>0</v>
      </c>
    </row>
    <row r="387">
      <c r="A387" s="152">
        <f t="shared" si="7"/>
        <v>0</v>
      </c>
      <c r="B387" s="153">
        <f t="shared" si="8"/>
        <v>0</v>
      </c>
      <c r="C387" s="153">
        <f t="shared" si="9"/>
        <v>0</v>
      </c>
      <c r="D387" s="186"/>
      <c r="E387" s="161"/>
      <c r="F387" s="156"/>
      <c r="G387" s="156"/>
      <c r="H387" s="156"/>
      <c r="I387" s="156"/>
      <c r="J387" s="156"/>
      <c r="K387" s="155">
        <v>0.0</v>
      </c>
      <c r="L387" s="155">
        <f t="shared" ref="L387:M387" si="380">$K387*L$4/100</f>
        <v>0</v>
      </c>
      <c r="M387" s="155">
        <f t="shared" si="380"/>
        <v>0</v>
      </c>
    </row>
    <row r="388">
      <c r="A388" s="152">
        <f t="shared" si="7"/>
        <v>0</v>
      </c>
      <c r="B388" s="153">
        <f t="shared" si="8"/>
        <v>0</v>
      </c>
      <c r="C388" s="153">
        <f t="shared" si="9"/>
        <v>0</v>
      </c>
      <c r="D388" s="186"/>
      <c r="E388" s="161"/>
      <c r="F388" s="156"/>
      <c r="G388" s="156"/>
      <c r="H388" s="156"/>
      <c r="I388" s="156"/>
      <c r="J388" s="156"/>
      <c r="K388" s="155">
        <v>0.0</v>
      </c>
      <c r="L388" s="155">
        <f t="shared" ref="L388:M388" si="381">$K388*L$4/100</f>
        <v>0</v>
      </c>
      <c r="M388" s="155">
        <f t="shared" si="381"/>
        <v>0</v>
      </c>
    </row>
    <row r="389">
      <c r="A389" s="152">
        <f t="shared" si="7"/>
        <v>0</v>
      </c>
      <c r="B389" s="153">
        <f t="shared" si="8"/>
        <v>0</v>
      </c>
      <c r="C389" s="153">
        <f t="shared" si="9"/>
        <v>0</v>
      </c>
      <c r="D389" s="186"/>
      <c r="E389" s="161"/>
      <c r="F389" s="156"/>
      <c r="G389" s="156"/>
      <c r="H389" s="156"/>
      <c r="I389" s="156"/>
      <c r="J389" s="156"/>
      <c r="K389" s="155">
        <v>0.0</v>
      </c>
      <c r="L389" s="155">
        <f t="shared" ref="L389:M389" si="382">$K389*L$4/100</f>
        <v>0</v>
      </c>
      <c r="M389" s="155">
        <f t="shared" si="382"/>
        <v>0</v>
      </c>
    </row>
    <row r="390">
      <c r="A390" s="152">
        <f t="shared" si="7"/>
        <v>0</v>
      </c>
      <c r="B390" s="153">
        <f t="shared" si="8"/>
        <v>0</v>
      </c>
      <c r="C390" s="153">
        <f t="shared" si="9"/>
        <v>0</v>
      </c>
      <c r="D390" s="186"/>
      <c r="E390" s="161"/>
      <c r="F390" s="156"/>
      <c r="G390" s="156"/>
      <c r="H390" s="156"/>
      <c r="I390" s="156"/>
      <c r="J390" s="156"/>
      <c r="K390" s="155">
        <v>0.0</v>
      </c>
      <c r="L390" s="155">
        <f t="shared" ref="L390:M390" si="383">$K390*L$4/100</f>
        <v>0</v>
      </c>
      <c r="M390" s="155">
        <f t="shared" si="383"/>
        <v>0</v>
      </c>
    </row>
    <row r="391">
      <c r="A391" s="152">
        <f t="shared" si="7"/>
        <v>0</v>
      </c>
      <c r="B391" s="153">
        <f t="shared" si="8"/>
        <v>0</v>
      </c>
      <c r="C391" s="153">
        <f t="shared" si="9"/>
        <v>0</v>
      </c>
      <c r="D391" s="186"/>
      <c r="E391" s="161"/>
      <c r="F391" s="156"/>
      <c r="G391" s="156"/>
      <c r="H391" s="156"/>
      <c r="I391" s="156"/>
      <c r="J391" s="156"/>
      <c r="K391" s="155">
        <v>0.0</v>
      </c>
      <c r="L391" s="155">
        <f t="shared" ref="L391:M391" si="384">$K391*L$4/100</f>
        <v>0</v>
      </c>
      <c r="M391" s="155">
        <f t="shared" si="384"/>
        <v>0</v>
      </c>
    </row>
    <row r="392">
      <c r="A392" s="152">
        <f t="shared" si="7"/>
        <v>0</v>
      </c>
      <c r="B392" s="153">
        <f t="shared" si="8"/>
        <v>0</v>
      </c>
      <c r="C392" s="153">
        <f t="shared" si="9"/>
        <v>0</v>
      </c>
      <c r="D392" s="186"/>
      <c r="E392" s="161"/>
      <c r="F392" s="156"/>
      <c r="G392" s="156"/>
      <c r="H392" s="156"/>
      <c r="I392" s="156"/>
      <c r="J392" s="156"/>
      <c r="K392" s="155">
        <v>0.0</v>
      </c>
      <c r="L392" s="155">
        <f t="shared" ref="L392:M392" si="385">$K392*L$4/100</f>
        <v>0</v>
      </c>
      <c r="M392" s="155">
        <f t="shared" si="385"/>
        <v>0</v>
      </c>
    </row>
    <row r="393">
      <c r="A393" s="152">
        <f t="shared" si="7"/>
        <v>0</v>
      </c>
      <c r="B393" s="153">
        <f t="shared" si="8"/>
        <v>0</v>
      </c>
      <c r="C393" s="153">
        <f t="shared" si="9"/>
        <v>0</v>
      </c>
      <c r="D393" s="186"/>
      <c r="E393" s="161"/>
      <c r="F393" s="156"/>
      <c r="G393" s="156"/>
      <c r="H393" s="156"/>
      <c r="I393" s="156"/>
      <c r="J393" s="156"/>
      <c r="K393" s="155">
        <v>0.0</v>
      </c>
      <c r="L393" s="155">
        <f t="shared" ref="L393:M393" si="386">$K393*L$4/100</f>
        <v>0</v>
      </c>
      <c r="M393" s="155">
        <f t="shared" si="386"/>
        <v>0</v>
      </c>
    </row>
    <row r="394">
      <c r="A394" s="152">
        <f t="shared" si="7"/>
        <v>0</v>
      </c>
      <c r="B394" s="153">
        <f t="shared" si="8"/>
        <v>0</v>
      </c>
      <c r="C394" s="153">
        <f t="shared" si="9"/>
        <v>0</v>
      </c>
      <c r="D394" s="186"/>
      <c r="E394" s="161"/>
      <c r="F394" s="156"/>
      <c r="G394" s="156"/>
      <c r="H394" s="156"/>
      <c r="I394" s="156"/>
      <c r="J394" s="156"/>
      <c r="K394" s="155">
        <v>0.0</v>
      </c>
      <c r="L394" s="155">
        <f t="shared" ref="L394:M394" si="387">$K394*L$4/100</f>
        <v>0</v>
      </c>
      <c r="M394" s="155">
        <f t="shared" si="387"/>
        <v>0</v>
      </c>
    </row>
    <row r="395">
      <c r="A395" s="152">
        <f t="shared" si="7"/>
        <v>0</v>
      </c>
      <c r="B395" s="153">
        <f t="shared" si="8"/>
        <v>0</v>
      </c>
      <c r="C395" s="153">
        <f t="shared" si="9"/>
        <v>0</v>
      </c>
      <c r="D395" s="186"/>
      <c r="E395" s="161"/>
      <c r="F395" s="156"/>
      <c r="G395" s="156"/>
      <c r="H395" s="156"/>
      <c r="I395" s="156"/>
      <c r="J395" s="156"/>
      <c r="K395" s="155">
        <v>0.0</v>
      </c>
      <c r="L395" s="155">
        <f t="shared" ref="L395:M395" si="388">$K395*L$4/100</f>
        <v>0</v>
      </c>
      <c r="M395" s="155">
        <f t="shared" si="388"/>
        <v>0</v>
      </c>
    </row>
    <row r="396">
      <c r="A396" s="152">
        <f t="shared" si="7"/>
        <v>0</v>
      </c>
      <c r="B396" s="153">
        <f t="shared" si="8"/>
        <v>0</v>
      </c>
      <c r="C396" s="153">
        <f t="shared" si="9"/>
        <v>0</v>
      </c>
      <c r="D396" s="186"/>
      <c r="E396" s="161"/>
      <c r="F396" s="156"/>
      <c r="G396" s="156"/>
      <c r="H396" s="156"/>
      <c r="I396" s="156"/>
      <c r="J396" s="156"/>
      <c r="K396" s="155">
        <v>0.0</v>
      </c>
      <c r="L396" s="155">
        <f t="shared" ref="L396:M396" si="389">$K396*L$4/100</f>
        <v>0</v>
      </c>
      <c r="M396" s="155">
        <f t="shared" si="389"/>
        <v>0</v>
      </c>
    </row>
    <row r="397">
      <c r="A397" s="152">
        <f t="shared" si="7"/>
        <v>0</v>
      </c>
      <c r="B397" s="153">
        <f t="shared" si="8"/>
        <v>0</v>
      </c>
      <c r="C397" s="153">
        <f t="shared" si="9"/>
        <v>0</v>
      </c>
      <c r="D397" s="186"/>
      <c r="E397" s="161"/>
      <c r="F397" s="156"/>
      <c r="G397" s="156"/>
      <c r="H397" s="156"/>
      <c r="I397" s="156"/>
      <c r="J397" s="156"/>
      <c r="K397" s="155">
        <v>0.0</v>
      </c>
      <c r="L397" s="155">
        <f t="shared" ref="L397:M397" si="390">$K397*L$4/100</f>
        <v>0</v>
      </c>
      <c r="M397" s="155">
        <f t="shared" si="390"/>
        <v>0</v>
      </c>
    </row>
    <row r="398">
      <c r="A398" s="152">
        <f t="shared" si="7"/>
        <v>0</v>
      </c>
      <c r="B398" s="153">
        <f t="shared" si="8"/>
        <v>0</v>
      </c>
      <c r="C398" s="153">
        <f t="shared" si="9"/>
        <v>0</v>
      </c>
      <c r="D398" s="186"/>
      <c r="E398" s="161"/>
      <c r="F398" s="156"/>
      <c r="G398" s="156"/>
      <c r="H398" s="156"/>
      <c r="I398" s="156"/>
      <c r="J398" s="156"/>
      <c r="K398" s="155">
        <v>0.0</v>
      </c>
      <c r="L398" s="155">
        <f t="shared" ref="L398:M398" si="391">$K398*L$4/100</f>
        <v>0</v>
      </c>
      <c r="M398" s="155">
        <f t="shared" si="391"/>
        <v>0</v>
      </c>
    </row>
    <row r="399">
      <c r="A399" s="152">
        <f t="shared" si="7"/>
        <v>0</v>
      </c>
      <c r="B399" s="153">
        <f t="shared" si="8"/>
        <v>0</v>
      </c>
      <c r="C399" s="153">
        <f t="shared" si="9"/>
        <v>0</v>
      </c>
      <c r="D399" s="186"/>
      <c r="E399" s="161"/>
      <c r="F399" s="156"/>
      <c r="G399" s="156"/>
      <c r="H399" s="156"/>
      <c r="I399" s="156"/>
      <c r="J399" s="156"/>
      <c r="K399" s="155">
        <v>0.0</v>
      </c>
      <c r="L399" s="155">
        <f t="shared" ref="L399:M399" si="392">$K399*L$4/100</f>
        <v>0</v>
      </c>
      <c r="M399" s="155">
        <f t="shared" si="392"/>
        <v>0</v>
      </c>
    </row>
    <row r="400">
      <c r="A400" s="152">
        <f t="shared" si="7"/>
        <v>0</v>
      </c>
      <c r="B400" s="153">
        <f t="shared" si="8"/>
        <v>0</v>
      </c>
      <c r="C400" s="153">
        <f t="shared" si="9"/>
        <v>0</v>
      </c>
      <c r="D400" s="186"/>
      <c r="E400" s="161"/>
      <c r="F400" s="156"/>
      <c r="G400" s="156"/>
      <c r="H400" s="156"/>
      <c r="I400" s="156"/>
      <c r="J400" s="156"/>
      <c r="K400" s="155">
        <v>0.0</v>
      </c>
      <c r="L400" s="155">
        <f t="shared" ref="L400:M400" si="393">$K400*L$4/100</f>
        <v>0</v>
      </c>
      <c r="M400" s="155">
        <f t="shared" si="393"/>
        <v>0</v>
      </c>
    </row>
    <row r="401">
      <c r="A401" s="152">
        <f t="shared" si="7"/>
        <v>0</v>
      </c>
      <c r="B401" s="153">
        <f t="shared" si="8"/>
        <v>0</v>
      </c>
      <c r="C401" s="153">
        <f t="shared" si="9"/>
        <v>0</v>
      </c>
      <c r="D401" s="186"/>
      <c r="E401" s="161"/>
      <c r="F401" s="156"/>
      <c r="G401" s="156"/>
      <c r="H401" s="156"/>
      <c r="I401" s="156"/>
      <c r="J401" s="156"/>
      <c r="K401" s="155">
        <v>0.0</v>
      </c>
      <c r="L401" s="155">
        <f t="shared" ref="L401:M401" si="394">$K401*L$4/100</f>
        <v>0</v>
      </c>
      <c r="M401" s="155">
        <f t="shared" si="394"/>
        <v>0</v>
      </c>
    </row>
    <row r="402">
      <c r="A402" s="152">
        <f t="shared" si="7"/>
        <v>0</v>
      </c>
      <c r="B402" s="153">
        <f t="shared" si="8"/>
        <v>0</v>
      </c>
      <c r="C402" s="153">
        <f t="shared" si="9"/>
        <v>0</v>
      </c>
      <c r="D402" s="186"/>
      <c r="E402" s="161"/>
      <c r="F402" s="156"/>
      <c r="G402" s="156"/>
      <c r="H402" s="156"/>
      <c r="I402" s="156"/>
      <c r="J402" s="156"/>
      <c r="K402" s="155">
        <v>0.0</v>
      </c>
      <c r="L402" s="155">
        <f t="shared" ref="L402:M402" si="395">$K402*L$4/100</f>
        <v>0</v>
      </c>
      <c r="M402" s="155">
        <f t="shared" si="395"/>
        <v>0</v>
      </c>
    </row>
    <row r="403">
      <c r="A403" s="152">
        <f t="shared" si="7"/>
        <v>0</v>
      </c>
      <c r="B403" s="153">
        <f t="shared" si="8"/>
        <v>0</v>
      </c>
      <c r="C403" s="153">
        <f t="shared" si="9"/>
        <v>0</v>
      </c>
      <c r="D403" s="186"/>
      <c r="E403" s="161"/>
      <c r="F403" s="156"/>
      <c r="G403" s="156"/>
      <c r="H403" s="156"/>
      <c r="I403" s="156"/>
      <c r="J403" s="156"/>
      <c r="K403" s="155">
        <v>0.0</v>
      </c>
      <c r="L403" s="155">
        <f t="shared" ref="L403:M403" si="396">$K403*L$4/100</f>
        <v>0</v>
      </c>
      <c r="M403" s="155">
        <f t="shared" si="396"/>
        <v>0</v>
      </c>
    </row>
    <row r="404">
      <c r="A404" s="152">
        <f t="shared" si="7"/>
        <v>0</v>
      </c>
      <c r="B404" s="153">
        <f t="shared" si="8"/>
        <v>0</v>
      </c>
      <c r="C404" s="153">
        <f t="shared" si="9"/>
        <v>0</v>
      </c>
      <c r="D404" s="186"/>
      <c r="E404" s="161"/>
      <c r="F404" s="156"/>
      <c r="G404" s="156"/>
      <c r="H404" s="156"/>
      <c r="I404" s="156"/>
      <c r="J404" s="156"/>
      <c r="K404" s="155">
        <v>0.0</v>
      </c>
      <c r="L404" s="155">
        <f t="shared" ref="L404:M404" si="397">$K404*L$4/100</f>
        <v>0</v>
      </c>
      <c r="M404" s="155">
        <f t="shared" si="397"/>
        <v>0</v>
      </c>
    </row>
    <row r="405">
      <c r="A405" s="152">
        <f t="shared" si="7"/>
        <v>0</v>
      </c>
      <c r="B405" s="153">
        <f t="shared" si="8"/>
        <v>0</v>
      </c>
      <c r="C405" s="153">
        <f t="shared" si="9"/>
        <v>0</v>
      </c>
      <c r="D405" s="186"/>
      <c r="E405" s="161"/>
      <c r="F405" s="156"/>
      <c r="G405" s="156"/>
      <c r="H405" s="156"/>
      <c r="I405" s="156"/>
      <c r="J405" s="156"/>
      <c r="K405" s="155">
        <v>0.0</v>
      </c>
      <c r="L405" s="155">
        <f t="shared" ref="L405:M405" si="398">$K405*L$4/100</f>
        <v>0</v>
      </c>
      <c r="M405" s="155">
        <f t="shared" si="398"/>
        <v>0</v>
      </c>
    </row>
    <row r="406">
      <c r="A406" s="152">
        <f t="shared" si="7"/>
        <v>0</v>
      </c>
      <c r="B406" s="153">
        <f t="shared" si="8"/>
        <v>0</v>
      </c>
      <c r="C406" s="153">
        <f t="shared" si="9"/>
        <v>0</v>
      </c>
      <c r="D406" s="186"/>
      <c r="E406" s="161"/>
      <c r="F406" s="156"/>
      <c r="G406" s="156"/>
      <c r="H406" s="156"/>
      <c r="I406" s="156"/>
      <c r="J406" s="156"/>
      <c r="K406" s="155">
        <v>0.0</v>
      </c>
      <c r="L406" s="155">
        <f t="shared" ref="L406:M406" si="399">$K406*L$4/100</f>
        <v>0</v>
      </c>
      <c r="M406" s="155">
        <f t="shared" si="399"/>
        <v>0</v>
      </c>
    </row>
    <row r="407">
      <c r="A407" s="152">
        <f t="shared" si="7"/>
        <v>0</v>
      </c>
      <c r="B407" s="153">
        <f t="shared" si="8"/>
        <v>0</v>
      </c>
      <c r="C407" s="153">
        <f t="shared" si="9"/>
        <v>0</v>
      </c>
      <c r="D407" s="186"/>
      <c r="E407" s="161"/>
      <c r="F407" s="156"/>
      <c r="G407" s="156"/>
      <c r="H407" s="156"/>
      <c r="I407" s="156"/>
      <c r="J407" s="156"/>
      <c r="K407" s="155">
        <v>0.0</v>
      </c>
      <c r="L407" s="155">
        <f t="shared" ref="L407:M407" si="400">$K407*L$4/100</f>
        <v>0</v>
      </c>
      <c r="M407" s="155">
        <f t="shared" si="400"/>
        <v>0</v>
      </c>
    </row>
    <row r="408">
      <c r="A408" s="152">
        <f t="shared" si="7"/>
        <v>0</v>
      </c>
      <c r="B408" s="153">
        <f t="shared" si="8"/>
        <v>0</v>
      </c>
      <c r="C408" s="153">
        <f t="shared" si="9"/>
        <v>0</v>
      </c>
      <c r="D408" s="186"/>
      <c r="E408" s="161"/>
      <c r="F408" s="156"/>
      <c r="G408" s="156"/>
      <c r="H408" s="156"/>
      <c r="I408" s="156"/>
      <c r="J408" s="156"/>
      <c r="K408" s="155">
        <v>0.0</v>
      </c>
      <c r="L408" s="155">
        <f t="shared" ref="L408:M408" si="401">$K408*L$4/100</f>
        <v>0</v>
      </c>
      <c r="M408" s="155">
        <f t="shared" si="401"/>
        <v>0</v>
      </c>
    </row>
    <row r="409">
      <c r="A409" s="152">
        <f t="shared" si="7"/>
        <v>0</v>
      </c>
      <c r="B409" s="153">
        <f t="shared" si="8"/>
        <v>0</v>
      </c>
      <c r="C409" s="153">
        <f t="shared" si="9"/>
        <v>0</v>
      </c>
      <c r="D409" s="186"/>
      <c r="E409" s="161"/>
      <c r="F409" s="156"/>
      <c r="G409" s="156"/>
      <c r="H409" s="156"/>
      <c r="I409" s="156"/>
      <c r="J409" s="156"/>
      <c r="K409" s="155">
        <v>0.0</v>
      </c>
      <c r="L409" s="155">
        <f t="shared" ref="L409:M409" si="402">$K409*L$4/100</f>
        <v>0</v>
      </c>
      <c r="M409" s="155">
        <f t="shared" si="402"/>
        <v>0</v>
      </c>
    </row>
    <row r="410">
      <c r="A410" s="152">
        <f t="shared" si="7"/>
        <v>0</v>
      </c>
      <c r="B410" s="153">
        <f t="shared" si="8"/>
        <v>0</v>
      </c>
      <c r="C410" s="153">
        <f t="shared" si="9"/>
        <v>0</v>
      </c>
      <c r="D410" s="186"/>
      <c r="E410" s="161"/>
      <c r="F410" s="156"/>
      <c r="G410" s="156"/>
      <c r="H410" s="156"/>
      <c r="I410" s="156"/>
      <c r="J410" s="156"/>
      <c r="K410" s="155">
        <v>0.0</v>
      </c>
      <c r="L410" s="155">
        <f t="shared" ref="L410:M410" si="403">$K410*L$4/100</f>
        <v>0</v>
      </c>
      <c r="M410" s="155">
        <f t="shared" si="403"/>
        <v>0</v>
      </c>
    </row>
    <row r="411">
      <c r="A411" s="152">
        <f t="shared" si="7"/>
        <v>0</v>
      </c>
      <c r="B411" s="153">
        <f t="shared" si="8"/>
        <v>0</v>
      </c>
      <c r="C411" s="153">
        <f t="shared" si="9"/>
        <v>0</v>
      </c>
      <c r="D411" s="186"/>
      <c r="E411" s="161"/>
      <c r="F411" s="156"/>
      <c r="G411" s="156"/>
      <c r="H411" s="156"/>
      <c r="I411" s="156"/>
      <c r="J411" s="156"/>
      <c r="K411" s="155">
        <v>0.0</v>
      </c>
      <c r="L411" s="155">
        <f t="shared" ref="L411:M411" si="404">$K411*L$4/100</f>
        <v>0</v>
      </c>
      <c r="M411" s="155">
        <f t="shared" si="404"/>
        <v>0</v>
      </c>
    </row>
    <row r="412">
      <c r="A412" s="152">
        <f t="shared" si="7"/>
        <v>0</v>
      </c>
      <c r="B412" s="153">
        <f t="shared" si="8"/>
        <v>0</v>
      </c>
      <c r="C412" s="153">
        <f t="shared" si="9"/>
        <v>0</v>
      </c>
      <c r="D412" s="186"/>
      <c r="E412" s="161"/>
      <c r="F412" s="156"/>
      <c r="G412" s="156"/>
      <c r="H412" s="156"/>
      <c r="I412" s="156"/>
      <c r="J412" s="156"/>
      <c r="K412" s="155">
        <v>0.0</v>
      </c>
      <c r="L412" s="155">
        <f t="shared" ref="L412:M412" si="405">$K412*L$4/100</f>
        <v>0</v>
      </c>
      <c r="M412" s="155">
        <f t="shared" si="405"/>
        <v>0</v>
      </c>
    </row>
    <row r="413">
      <c r="A413" s="152">
        <f t="shared" si="7"/>
        <v>0</v>
      </c>
      <c r="B413" s="153">
        <f t="shared" si="8"/>
        <v>0</v>
      </c>
      <c r="C413" s="153">
        <f t="shared" si="9"/>
        <v>0</v>
      </c>
      <c r="D413" s="186"/>
      <c r="E413" s="161"/>
      <c r="F413" s="156"/>
      <c r="G413" s="156"/>
      <c r="H413" s="156"/>
      <c r="I413" s="156"/>
      <c r="J413" s="156"/>
      <c r="K413" s="155">
        <v>0.0</v>
      </c>
      <c r="L413" s="155">
        <f t="shared" ref="L413:M413" si="406">$K413*L$4/100</f>
        <v>0</v>
      </c>
      <c r="M413" s="155">
        <f t="shared" si="406"/>
        <v>0</v>
      </c>
    </row>
    <row r="414">
      <c r="A414" s="152">
        <f t="shared" si="7"/>
        <v>0</v>
      </c>
      <c r="B414" s="153">
        <f t="shared" si="8"/>
        <v>0</v>
      </c>
      <c r="C414" s="153">
        <f t="shared" si="9"/>
        <v>0</v>
      </c>
      <c r="D414" s="186"/>
      <c r="E414" s="161"/>
      <c r="F414" s="156"/>
      <c r="G414" s="156"/>
      <c r="H414" s="156"/>
      <c r="I414" s="156"/>
      <c r="J414" s="156"/>
      <c r="K414" s="155">
        <v>0.0</v>
      </c>
      <c r="L414" s="155">
        <f t="shared" ref="L414:M414" si="407">$K414*L$4/100</f>
        <v>0</v>
      </c>
      <c r="M414" s="155">
        <f t="shared" si="407"/>
        <v>0</v>
      </c>
    </row>
    <row r="415">
      <c r="A415" s="152">
        <f t="shared" si="7"/>
        <v>0</v>
      </c>
      <c r="B415" s="153">
        <f t="shared" si="8"/>
        <v>0</v>
      </c>
      <c r="C415" s="153">
        <f t="shared" si="9"/>
        <v>0</v>
      </c>
      <c r="D415" s="186"/>
      <c r="E415" s="161"/>
      <c r="F415" s="156"/>
      <c r="G415" s="156"/>
      <c r="H415" s="156"/>
      <c r="I415" s="156"/>
      <c r="J415" s="156"/>
      <c r="K415" s="155">
        <v>0.0</v>
      </c>
      <c r="L415" s="155">
        <f t="shared" ref="L415:M415" si="408">$K415*L$4/100</f>
        <v>0</v>
      </c>
      <c r="M415" s="155">
        <f t="shared" si="408"/>
        <v>0</v>
      </c>
    </row>
    <row r="416">
      <c r="A416" s="152">
        <f t="shared" si="7"/>
        <v>0</v>
      </c>
      <c r="B416" s="153">
        <f t="shared" si="8"/>
        <v>0</v>
      </c>
      <c r="C416" s="153">
        <f t="shared" si="9"/>
        <v>0</v>
      </c>
      <c r="D416" s="186"/>
      <c r="E416" s="161"/>
      <c r="F416" s="156"/>
      <c r="G416" s="156"/>
      <c r="H416" s="156"/>
      <c r="I416" s="156"/>
      <c r="J416" s="156"/>
      <c r="K416" s="155">
        <v>0.0</v>
      </c>
      <c r="L416" s="155">
        <f t="shared" ref="L416:M416" si="409">$K416*L$4/100</f>
        <v>0</v>
      </c>
      <c r="M416" s="155">
        <f t="shared" si="409"/>
        <v>0</v>
      </c>
    </row>
    <row r="417">
      <c r="A417" s="152">
        <f t="shared" si="7"/>
        <v>0</v>
      </c>
      <c r="B417" s="153">
        <f t="shared" si="8"/>
        <v>0</v>
      </c>
      <c r="C417" s="153">
        <f t="shared" si="9"/>
        <v>0</v>
      </c>
      <c r="D417" s="186"/>
      <c r="E417" s="161"/>
      <c r="F417" s="156"/>
      <c r="G417" s="156"/>
      <c r="H417" s="156"/>
      <c r="I417" s="156"/>
      <c r="J417" s="156"/>
      <c r="K417" s="155">
        <v>0.0</v>
      </c>
      <c r="L417" s="155">
        <f t="shared" ref="L417:M417" si="410">$K417*L$4/100</f>
        <v>0</v>
      </c>
      <c r="M417" s="155">
        <f t="shared" si="410"/>
        <v>0</v>
      </c>
    </row>
    <row r="418">
      <c r="A418" s="152">
        <f t="shared" si="7"/>
        <v>0</v>
      </c>
      <c r="B418" s="153">
        <f t="shared" si="8"/>
        <v>0</v>
      </c>
      <c r="C418" s="153">
        <f t="shared" si="9"/>
        <v>0</v>
      </c>
      <c r="D418" s="186"/>
      <c r="E418" s="161"/>
      <c r="F418" s="156"/>
      <c r="G418" s="156"/>
      <c r="H418" s="156"/>
      <c r="I418" s="156"/>
      <c r="J418" s="156"/>
      <c r="K418" s="155">
        <v>0.0</v>
      </c>
      <c r="L418" s="155">
        <f t="shared" ref="L418:M418" si="411">$K418*L$4/100</f>
        <v>0</v>
      </c>
      <c r="M418" s="155">
        <f t="shared" si="411"/>
        <v>0</v>
      </c>
    </row>
    <row r="419">
      <c r="A419" s="152">
        <f t="shared" si="7"/>
        <v>0</v>
      </c>
      <c r="B419" s="153">
        <f t="shared" si="8"/>
        <v>0</v>
      </c>
      <c r="C419" s="153">
        <f t="shared" si="9"/>
        <v>0</v>
      </c>
      <c r="D419" s="186"/>
      <c r="E419" s="161"/>
      <c r="F419" s="156"/>
      <c r="G419" s="156"/>
      <c r="H419" s="156"/>
      <c r="I419" s="156"/>
      <c r="J419" s="156"/>
      <c r="K419" s="155">
        <v>0.0</v>
      </c>
      <c r="L419" s="155">
        <f t="shared" ref="L419:M419" si="412">$K419*L$4/100</f>
        <v>0</v>
      </c>
      <c r="M419" s="155">
        <f t="shared" si="412"/>
        <v>0</v>
      </c>
    </row>
    <row r="420">
      <c r="A420" s="152">
        <f t="shared" si="7"/>
        <v>0</v>
      </c>
      <c r="B420" s="153">
        <f t="shared" si="8"/>
        <v>0</v>
      </c>
      <c r="C420" s="153">
        <f t="shared" si="9"/>
        <v>0</v>
      </c>
      <c r="D420" s="186"/>
      <c r="E420" s="161"/>
      <c r="F420" s="156"/>
      <c r="G420" s="156"/>
      <c r="H420" s="156"/>
      <c r="I420" s="156"/>
      <c r="J420" s="156"/>
      <c r="K420" s="155">
        <v>0.0</v>
      </c>
      <c r="L420" s="155">
        <f t="shared" ref="L420:M420" si="413">$K420*L$4/100</f>
        <v>0</v>
      </c>
      <c r="M420" s="155">
        <f t="shared" si="413"/>
        <v>0</v>
      </c>
    </row>
    <row r="421">
      <c r="A421" s="152">
        <f t="shared" si="7"/>
        <v>0</v>
      </c>
      <c r="B421" s="153">
        <f t="shared" si="8"/>
        <v>0</v>
      </c>
      <c r="C421" s="153">
        <f t="shared" si="9"/>
        <v>0</v>
      </c>
      <c r="D421" s="186"/>
      <c r="E421" s="161"/>
      <c r="F421" s="156"/>
      <c r="G421" s="156"/>
      <c r="H421" s="156"/>
      <c r="I421" s="156"/>
      <c r="J421" s="156"/>
      <c r="K421" s="155">
        <v>0.0</v>
      </c>
      <c r="L421" s="155">
        <f t="shared" ref="L421:M421" si="414">$K421*L$4/100</f>
        <v>0</v>
      </c>
      <c r="M421" s="155">
        <f t="shared" si="414"/>
        <v>0</v>
      </c>
    </row>
    <row r="422">
      <c r="A422" s="152">
        <f t="shared" si="7"/>
        <v>0</v>
      </c>
      <c r="B422" s="153">
        <f t="shared" si="8"/>
        <v>0</v>
      </c>
      <c r="C422" s="153">
        <f t="shared" si="9"/>
        <v>0</v>
      </c>
      <c r="D422" s="186"/>
      <c r="E422" s="161"/>
      <c r="F422" s="156"/>
      <c r="G422" s="156"/>
      <c r="H422" s="156"/>
      <c r="I422" s="156"/>
      <c r="J422" s="156"/>
      <c r="K422" s="155">
        <v>0.0</v>
      </c>
      <c r="L422" s="155">
        <f t="shared" ref="L422:M422" si="415">$K422*L$4/100</f>
        <v>0</v>
      </c>
      <c r="M422" s="155">
        <f t="shared" si="415"/>
        <v>0</v>
      </c>
    </row>
    <row r="423">
      <c r="A423" s="152">
        <f t="shared" si="7"/>
        <v>0</v>
      </c>
      <c r="B423" s="153">
        <f t="shared" si="8"/>
        <v>0</v>
      </c>
      <c r="C423" s="153">
        <f t="shared" si="9"/>
        <v>0</v>
      </c>
      <c r="D423" s="186"/>
      <c r="E423" s="161"/>
      <c r="F423" s="156"/>
      <c r="G423" s="156"/>
      <c r="H423" s="156"/>
      <c r="I423" s="156"/>
      <c r="J423" s="156"/>
      <c r="K423" s="155">
        <v>0.0</v>
      </c>
      <c r="L423" s="155">
        <f t="shared" ref="L423:M423" si="416">$K423*L$4/100</f>
        <v>0</v>
      </c>
      <c r="M423" s="155">
        <f t="shared" si="416"/>
        <v>0</v>
      </c>
    </row>
    <row r="424">
      <c r="A424" s="152">
        <f t="shared" si="7"/>
        <v>0</v>
      </c>
      <c r="B424" s="153">
        <f t="shared" si="8"/>
        <v>0</v>
      </c>
      <c r="C424" s="153">
        <f t="shared" si="9"/>
        <v>0</v>
      </c>
      <c r="D424" s="186"/>
      <c r="E424" s="161"/>
      <c r="F424" s="156"/>
      <c r="G424" s="156"/>
      <c r="H424" s="156"/>
      <c r="I424" s="156"/>
      <c r="J424" s="156"/>
      <c r="K424" s="155">
        <v>0.0</v>
      </c>
      <c r="L424" s="155">
        <f t="shared" ref="L424:M424" si="417">$K424*L$4/100</f>
        <v>0</v>
      </c>
      <c r="M424" s="155">
        <f t="shared" si="417"/>
        <v>0</v>
      </c>
    </row>
    <row r="425">
      <c r="A425" s="152">
        <f t="shared" si="7"/>
        <v>0</v>
      </c>
      <c r="B425" s="153">
        <f t="shared" si="8"/>
        <v>0</v>
      </c>
      <c r="C425" s="153">
        <f t="shared" si="9"/>
        <v>0</v>
      </c>
      <c r="D425" s="186"/>
      <c r="E425" s="161"/>
      <c r="F425" s="156"/>
      <c r="G425" s="156"/>
      <c r="H425" s="156"/>
      <c r="I425" s="156"/>
      <c r="J425" s="156"/>
      <c r="K425" s="155">
        <v>0.0</v>
      </c>
      <c r="L425" s="155">
        <f t="shared" ref="L425:M425" si="418">$K425*L$4/100</f>
        <v>0</v>
      </c>
      <c r="M425" s="155">
        <f t="shared" si="418"/>
        <v>0</v>
      </c>
    </row>
    <row r="426">
      <c r="A426" s="152">
        <f t="shared" si="7"/>
        <v>0</v>
      </c>
      <c r="B426" s="153">
        <f t="shared" si="8"/>
        <v>0</v>
      </c>
      <c r="C426" s="153">
        <f t="shared" si="9"/>
        <v>0</v>
      </c>
      <c r="D426" s="186"/>
      <c r="E426" s="161"/>
      <c r="F426" s="156"/>
      <c r="G426" s="156"/>
      <c r="H426" s="156"/>
      <c r="I426" s="156"/>
      <c r="J426" s="156"/>
      <c r="K426" s="155">
        <v>0.0</v>
      </c>
      <c r="L426" s="155">
        <f t="shared" ref="L426:M426" si="419">$K426*L$4/100</f>
        <v>0</v>
      </c>
      <c r="M426" s="155">
        <f t="shared" si="419"/>
        <v>0</v>
      </c>
    </row>
    <row r="427">
      <c r="A427" s="152">
        <f t="shared" si="7"/>
        <v>0</v>
      </c>
      <c r="B427" s="153">
        <f t="shared" si="8"/>
        <v>0</v>
      </c>
      <c r="C427" s="153">
        <f t="shared" si="9"/>
        <v>0</v>
      </c>
      <c r="D427" s="186"/>
      <c r="E427" s="161"/>
      <c r="F427" s="156"/>
      <c r="G427" s="156"/>
      <c r="H427" s="156"/>
      <c r="I427" s="156"/>
      <c r="J427" s="156"/>
      <c r="K427" s="155">
        <v>0.0</v>
      </c>
      <c r="L427" s="155">
        <f t="shared" ref="L427:M427" si="420">$K427*L$4/100</f>
        <v>0</v>
      </c>
      <c r="M427" s="155">
        <f t="shared" si="420"/>
        <v>0</v>
      </c>
    </row>
    <row r="428">
      <c r="A428" s="152">
        <f t="shared" si="7"/>
        <v>0</v>
      </c>
      <c r="B428" s="153">
        <f t="shared" si="8"/>
        <v>0</v>
      </c>
      <c r="C428" s="153">
        <f t="shared" si="9"/>
        <v>0</v>
      </c>
      <c r="D428" s="186"/>
      <c r="E428" s="161"/>
      <c r="F428" s="156"/>
      <c r="G428" s="156"/>
      <c r="H428" s="156"/>
      <c r="I428" s="156"/>
      <c r="J428" s="156"/>
      <c r="K428" s="155">
        <v>0.0</v>
      </c>
      <c r="L428" s="155">
        <f t="shared" ref="L428:M428" si="421">$K428*L$4/100</f>
        <v>0</v>
      </c>
      <c r="M428" s="155">
        <f t="shared" si="421"/>
        <v>0</v>
      </c>
    </row>
    <row r="429">
      <c r="A429" s="152">
        <f t="shared" si="7"/>
        <v>0</v>
      </c>
      <c r="B429" s="153">
        <f t="shared" si="8"/>
        <v>0</v>
      </c>
      <c r="C429" s="153">
        <f t="shared" si="9"/>
        <v>0</v>
      </c>
      <c r="D429" s="186"/>
      <c r="E429" s="161"/>
      <c r="F429" s="156"/>
      <c r="G429" s="156"/>
      <c r="H429" s="156"/>
      <c r="I429" s="156"/>
      <c r="J429" s="156"/>
      <c r="K429" s="155">
        <v>0.0</v>
      </c>
      <c r="L429" s="155">
        <f t="shared" ref="L429:M429" si="422">$K429*L$4/100</f>
        <v>0</v>
      </c>
      <c r="M429" s="155">
        <f t="shared" si="422"/>
        <v>0</v>
      </c>
    </row>
    <row r="430">
      <c r="A430" s="152">
        <f t="shared" si="7"/>
        <v>0</v>
      </c>
      <c r="B430" s="153">
        <f t="shared" si="8"/>
        <v>0</v>
      </c>
      <c r="C430" s="153">
        <f t="shared" si="9"/>
        <v>0</v>
      </c>
      <c r="D430" s="186"/>
      <c r="E430" s="161"/>
      <c r="F430" s="156"/>
      <c r="G430" s="156"/>
      <c r="H430" s="156"/>
      <c r="I430" s="156"/>
      <c r="J430" s="156"/>
      <c r="K430" s="155">
        <v>0.0</v>
      </c>
      <c r="L430" s="155">
        <f t="shared" ref="L430:M430" si="423">$K430*L$4/100</f>
        <v>0</v>
      </c>
      <c r="M430" s="155">
        <f t="shared" si="423"/>
        <v>0</v>
      </c>
    </row>
    <row r="431">
      <c r="A431" s="152">
        <f t="shared" si="7"/>
        <v>0</v>
      </c>
      <c r="B431" s="153">
        <f t="shared" si="8"/>
        <v>0</v>
      </c>
      <c r="C431" s="153">
        <f t="shared" si="9"/>
        <v>0</v>
      </c>
      <c r="D431" s="186"/>
      <c r="E431" s="161"/>
      <c r="F431" s="156"/>
      <c r="G431" s="156"/>
      <c r="H431" s="156"/>
      <c r="I431" s="156"/>
      <c r="J431" s="156"/>
      <c r="K431" s="155">
        <v>0.0</v>
      </c>
      <c r="L431" s="155">
        <f t="shared" ref="L431:M431" si="424">$K431*L$4/100</f>
        <v>0</v>
      </c>
      <c r="M431" s="155">
        <f t="shared" si="424"/>
        <v>0</v>
      </c>
    </row>
    <row r="432">
      <c r="A432" s="152">
        <f t="shared" si="7"/>
        <v>0</v>
      </c>
      <c r="B432" s="153">
        <f t="shared" si="8"/>
        <v>0</v>
      </c>
      <c r="C432" s="153">
        <f t="shared" si="9"/>
        <v>0</v>
      </c>
      <c r="D432" s="186"/>
      <c r="E432" s="161"/>
      <c r="F432" s="156"/>
      <c r="G432" s="156"/>
      <c r="H432" s="156"/>
      <c r="I432" s="156"/>
      <c r="J432" s="156"/>
      <c r="K432" s="155">
        <v>0.0</v>
      </c>
      <c r="L432" s="155">
        <f t="shared" ref="L432:M432" si="425">$K432*L$4/100</f>
        <v>0</v>
      </c>
      <c r="M432" s="155">
        <f t="shared" si="425"/>
        <v>0</v>
      </c>
    </row>
    <row r="433">
      <c r="A433" s="152">
        <f t="shared" si="7"/>
        <v>0</v>
      </c>
      <c r="B433" s="153">
        <f t="shared" si="8"/>
        <v>0</v>
      </c>
      <c r="C433" s="153">
        <f t="shared" si="9"/>
        <v>0</v>
      </c>
      <c r="D433" s="186"/>
      <c r="E433" s="161"/>
      <c r="F433" s="156"/>
      <c r="G433" s="156"/>
      <c r="H433" s="156"/>
      <c r="I433" s="156"/>
      <c r="J433" s="156"/>
      <c r="K433" s="155">
        <v>0.0</v>
      </c>
      <c r="L433" s="155">
        <f t="shared" ref="L433:M433" si="426">$K433*L$4/100</f>
        <v>0</v>
      </c>
      <c r="M433" s="155">
        <f t="shared" si="426"/>
        <v>0</v>
      </c>
    </row>
    <row r="434">
      <c r="A434" s="152">
        <f t="shared" si="7"/>
        <v>0</v>
      </c>
      <c r="B434" s="153">
        <f t="shared" si="8"/>
        <v>0</v>
      </c>
      <c r="C434" s="153">
        <f t="shared" si="9"/>
        <v>0</v>
      </c>
      <c r="D434" s="186"/>
      <c r="E434" s="161"/>
      <c r="F434" s="156"/>
      <c r="G434" s="156"/>
      <c r="H434" s="156"/>
      <c r="I434" s="156"/>
      <c r="J434" s="156"/>
      <c r="K434" s="155">
        <v>0.0</v>
      </c>
      <c r="L434" s="155">
        <f t="shared" ref="L434:M434" si="427">$K434*L$4/100</f>
        <v>0</v>
      </c>
      <c r="M434" s="155">
        <f t="shared" si="427"/>
        <v>0</v>
      </c>
    </row>
    <row r="435">
      <c r="A435" s="152">
        <f t="shared" si="7"/>
        <v>0</v>
      </c>
      <c r="B435" s="153">
        <f t="shared" si="8"/>
        <v>0</v>
      </c>
      <c r="C435" s="153">
        <f t="shared" si="9"/>
        <v>0</v>
      </c>
      <c r="D435" s="186"/>
      <c r="E435" s="161"/>
      <c r="F435" s="156"/>
      <c r="G435" s="156"/>
      <c r="H435" s="156"/>
      <c r="I435" s="156"/>
      <c r="J435" s="156"/>
      <c r="K435" s="155">
        <v>0.0</v>
      </c>
      <c r="L435" s="155">
        <f t="shared" ref="L435:M435" si="428">$K435*L$4/100</f>
        <v>0</v>
      </c>
      <c r="M435" s="155">
        <f t="shared" si="428"/>
        <v>0</v>
      </c>
    </row>
    <row r="436">
      <c r="A436" s="152">
        <f t="shared" si="7"/>
        <v>0</v>
      </c>
      <c r="B436" s="153">
        <f t="shared" si="8"/>
        <v>0</v>
      </c>
      <c r="C436" s="153">
        <f t="shared" si="9"/>
        <v>0</v>
      </c>
      <c r="D436" s="186"/>
      <c r="E436" s="161"/>
      <c r="F436" s="156"/>
      <c r="G436" s="156"/>
      <c r="H436" s="156"/>
      <c r="I436" s="156"/>
      <c r="J436" s="156"/>
      <c r="K436" s="155">
        <v>0.0</v>
      </c>
      <c r="L436" s="155">
        <f t="shared" ref="L436:M436" si="429">$K436*L$4/100</f>
        <v>0</v>
      </c>
      <c r="M436" s="155">
        <f t="shared" si="429"/>
        <v>0</v>
      </c>
    </row>
    <row r="437">
      <c r="A437" s="152">
        <f t="shared" si="7"/>
        <v>0</v>
      </c>
      <c r="B437" s="153">
        <f t="shared" si="8"/>
        <v>0</v>
      </c>
      <c r="C437" s="153">
        <f t="shared" si="9"/>
        <v>0</v>
      </c>
      <c r="D437" s="186"/>
      <c r="E437" s="161"/>
      <c r="F437" s="156"/>
      <c r="G437" s="156"/>
      <c r="H437" s="156"/>
      <c r="I437" s="156"/>
      <c r="J437" s="156"/>
      <c r="K437" s="155">
        <v>0.0</v>
      </c>
      <c r="L437" s="155">
        <f t="shared" ref="L437:M437" si="430">$K437*L$4/100</f>
        <v>0</v>
      </c>
      <c r="M437" s="155">
        <f t="shared" si="430"/>
        <v>0</v>
      </c>
    </row>
    <row r="438">
      <c r="A438" s="152">
        <f t="shared" si="7"/>
        <v>0</v>
      </c>
      <c r="B438" s="153">
        <f t="shared" si="8"/>
        <v>0</v>
      </c>
      <c r="C438" s="153">
        <f t="shared" si="9"/>
        <v>0</v>
      </c>
      <c r="D438" s="186"/>
      <c r="E438" s="161"/>
      <c r="F438" s="156"/>
      <c r="G438" s="156"/>
      <c r="H438" s="156"/>
      <c r="I438" s="156"/>
      <c r="J438" s="156"/>
      <c r="K438" s="155">
        <v>0.0</v>
      </c>
      <c r="L438" s="155">
        <f t="shared" ref="L438:M438" si="431">$K438*L$4/100</f>
        <v>0</v>
      </c>
      <c r="M438" s="155">
        <f t="shared" si="431"/>
        <v>0</v>
      </c>
    </row>
    <row r="439">
      <c r="A439" s="152">
        <f t="shared" si="7"/>
        <v>0</v>
      </c>
      <c r="B439" s="153">
        <f t="shared" si="8"/>
        <v>0</v>
      </c>
      <c r="C439" s="153">
        <f t="shared" si="9"/>
        <v>0</v>
      </c>
      <c r="D439" s="186"/>
      <c r="E439" s="161"/>
      <c r="F439" s="156"/>
      <c r="G439" s="156"/>
      <c r="H439" s="156"/>
      <c r="I439" s="156"/>
      <c r="J439" s="156"/>
      <c r="K439" s="155">
        <v>0.0</v>
      </c>
      <c r="L439" s="155">
        <f t="shared" ref="L439:M439" si="432">$K439*L$4/100</f>
        <v>0</v>
      </c>
      <c r="M439" s="155">
        <f t="shared" si="432"/>
        <v>0</v>
      </c>
    </row>
    <row r="440">
      <c r="A440" s="152">
        <f t="shared" si="7"/>
        <v>0</v>
      </c>
      <c r="B440" s="153">
        <f t="shared" si="8"/>
        <v>0</v>
      </c>
      <c r="C440" s="153">
        <f t="shared" si="9"/>
        <v>0</v>
      </c>
      <c r="D440" s="186"/>
      <c r="E440" s="161"/>
      <c r="F440" s="156"/>
      <c r="G440" s="156"/>
      <c r="H440" s="156"/>
      <c r="I440" s="156"/>
      <c r="J440" s="156"/>
      <c r="K440" s="155">
        <v>0.0</v>
      </c>
      <c r="L440" s="155">
        <f t="shared" ref="L440:M440" si="433">$K440*L$4/100</f>
        <v>0</v>
      </c>
      <c r="M440" s="155">
        <f t="shared" si="433"/>
        <v>0</v>
      </c>
    </row>
    <row r="441">
      <c r="A441" s="152">
        <f t="shared" si="7"/>
        <v>0</v>
      </c>
      <c r="B441" s="153">
        <f t="shared" si="8"/>
        <v>0</v>
      </c>
      <c r="C441" s="153">
        <f t="shared" si="9"/>
        <v>0</v>
      </c>
      <c r="D441" s="186"/>
      <c r="E441" s="161"/>
      <c r="F441" s="156"/>
      <c r="G441" s="156"/>
      <c r="H441" s="156"/>
      <c r="I441" s="156"/>
      <c r="J441" s="156"/>
      <c r="K441" s="155">
        <v>0.0</v>
      </c>
      <c r="L441" s="155">
        <f t="shared" ref="L441:M441" si="434">$K441*L$4/100</f>
        <v>0</v>
      </c>
      <c r="M441" s="155">
        <f t="shared" si="434"/>
        <v>0</v>
      </c>
    </row>
    <row r="442">
      <c r="A442" s="152">
        <f t="shared" si="7"/>
        <v>0</v>
      </c>
      <c r="B442" s="153">
        <f t="shared" si="8"/>
        <v>0</v>
      </c>
      <c r="C442" s="153">
        <f t="shared" si="9"/>
        <v>0</v>
      </c>
      <c r="D442" s="186"/>
      <c r="E442" s="161"/>
      <c r="F442" s="156"/>
      <c r="G442" s="156"/>
      <c r="H442" s="156"/>
      <c r="I442" s="156"/>
      <c r="J442" s="156"/>
      <c r="K442" s="155">
        <v>0.0</v>
      </c>
      <c r="L442" s="155">
        <f t="shared" ref="L442:M442" si="435">$K442*L$4/100</f>
        <v>0</v>
      </c>
      <c r="M442" s="155">
        <f t="shared" si="435"/>
        <v>0</v>
      </c>
    </row>
    <row r="443">
      <c r="A443" s="152">
        <f t="shared" si="7"/>
        <v>0</v>
      </c>
      <c r="B443" s="153">
        <f t="shared" si="8"/>
        <v>0</v>
      </c>
      <c r="C443" s="153">
        <f t="shared" si="9"/>
        <v>0</v>
      </c>
      <c r="D443" s="186"/>
      <c r="E443" s="161"/>
      <c r="F443" s="156"/>
      <c r="G443" s="156"/>
      <c r="H443" s="156"/>
      <c r="I443" s="156"/>
      <c r="J443" s="156"/>
      <c r="K443" s="155">
        <v>0.0</v>
      </c>
      <c r="L443" s="155">
        <f t="shared" ref="L443:M443" si="436">$K443*L$4/100</f>
        <v>0</v>
      </c>
      <c r="M443" s="155">
        <f t="shared" si="436"/>
        <v>0</v>
      </c>
    </row>
    <row r="444">
      <c r="A444" s="152">
        <f t="shared" si="7"/>
        <v>0</v>
      </c>
      <c r="B444" s="153">
        <f t="shared" si="8"/>
        <v>0</v>
      </c>
      <c r="C444" s="153">
        <f t="shared" si="9"/>
        <v>0</v>
      </c>
      <c r="D444" s="186"/>
      <c r="E444" s="161"/>
      <c r="F444" s="156"/>
      <c r="G444" s="156"/>
      <c r="H444" s="156"/>
      <c r="I444" s="156"/>
      <c r="J444" s="156"/>
      <c r="K444" s="155">
        <v>0.0</v>
      </c>
      <c r="L444" s="155">
        <f t="shared" ref="L444:M444" si="437">$K444*L$4/100</f>
        <v>0</v>
      </c>
      <c r="M444" s="155">
        <f t="shared" si="437"/>
        <v>0</v>
      </c>
    </row>
    <row r="445">
      <c r="A445" s="152">
        <f t="shared" si="7"/>
        <v>0</v>
      </c>
      <c r="B445" s="153">
        <f t="shared" si="8"/>
        <v>0</v>
      </c>
      <c r="C445" s="153">
        <f t="shared" si="9"/>
        <v>0</v>
      </c>
      <c r="D445" s="186"/>
      <c r="E445" s="161"/>
      <c r="F445" s="156"/>
      <c r="G445" s="156"/>
      <c r="H445" s="156"/>
      <c r="I445" s="156"/>
      <c r="J445" s="156"/>
      <c r="K445" s="155">
        <v>0.0</v>
      </c>
      <c r="L445" s="155">
        <f t="shared" ref="L445:M445" si="438">$K445*L$4/100</f>
        <v>0</v>
      </c>
      <c r="M445" s="155">
        <f t="shared" si="438"/>
        <v>0</v>
      </c>
    </row>
    <row r="446">
      <c r="A446" s="152">
        <f t="shared" si="7"/>
        <v>0</v>
      </c>
      <c r="B446" s="153">
        <f t="shared" si="8"/>
        <v>0</v>
      </c>
      <c r="C446" s="153">
        <f t="shared" si="9"/>
        <v>0</v>
      </c>
      <c r="D446" s="186"/>
      <c r="E446" s="161"/>
      <c r="F446" s="156"/>
      <c r="G446" s="156"/>
      <c r="H446" s="156"/>
      <c r="I446" s="156"/>
      <c r="J446" s="156"/>
      <c r="K446" s="155">
        <v>0.0</v>
      </c>
      <c r="L446" s="155">
        <f t="shared" ref="L446:M446" si="439">$K446*L$4/100</f>
        <v>0</v>
      </c>
      <c r="M446" s="155">
        <f t="shared" si="439"/>
        <v>0</v>
      </c>
    </row>
    <row r="447">
      <c r="A447" s="152">
        <f t="shared" si="7"/>
        <v>0</v>
      </c>
      <c r="B447" s="153">
        <f t="shared" si="8"/>
        <v>0</v>
      </c>
      <c r="C447" s="153">
        <f t="shared" si="9"/>
        <v>0</v>
      </c>
      <c r="D447" s="186"/>
      <c r="E447" s="161"/>
      <c r="F447" s="156"/>
      <c r="G447" s="156"/>
      <c r="H447" s="156"/>
      <c r="I447" s="156"/>
      <c r="J447" s="156"/>
      <c r="K447" s="155">
        <v>0.0</v>
      </c>
      <c r="L447" s="155">
        <f t="shared" ref="L447:M447" si="440">$K447*L$4/100</f>
        <v>0</v>
      </c>
      <c r="M447" s="155">
        <f t="shared" si="440"/>
        <v>0</v>
      </c>
    </row>
    <row r="448">
      <c r="A448" s="152">
        <f t="shared" si="7"/>
        <v>0</v>
      </c>
      <c r="B448" s="153">
        <f t="shared" si="8"/>
        <v>0</v>
      </c>
      <c r="C448" s="153">
        <f t="shared" si="9"/>
        <v>0</v>
      </c>
      <c r="D448" s="186"/>
      <c r="E448" s="161"/>
      <c r="F448" s="156"/>
      <c r="G448" s="156"/>
      <c r="H448" s="156"/>
      <c r="I448" s="156"/>
      <c r="J448" s="156"/>
      <c r="K448" s="155">
        <v>0.0</v>
      </c>
      <c r="L448" s="155">
        <f t="shared" ref="L448:M448" si="441">$K448*L$4/100</f>
        <v>0</v>
      </c>
      <c r="M448" s="155">
        <f t="shared" si="441"/>
        <v>0</v>
      </c>
    </row>
    <row r="449">
      <c r="A449" s="152">
        <f t="shared" si="7"/>
        <v>0</v>
      </c>
      <c r="B449" s="153">
        <f t="shared" si="8"/>
        <v>0</v>
      </c>
      <c r="C449" s="153">
        <f t="shared" si="9"/>
        <v>0</v>
      </c>
      <c r="D449" s="186"/>
      <c r="E449" s="161"/>
      <c r="F449" s="156"/>
      <c r="G449" s="156"/>
      <c r="H449" s="156"/>
      <c r="I449" s="156"/>
      <c r="J449" s="156"/>
      <c r="K449" s="155">
        <v>0.0</v>
      </c>
      <c r="L449" s="155">
        <f t="shared" ref="L449:M449" si="442">$K449*L$4/100</f>
        <v>0</v>
      </c>
      <c r="M449" s="155">
        <f t="shared" si="442"/>
        <v>0</v>
      </c>
    </row>
    <row r="450">
      <c r="A450" s="152">
        <f t="shared" si="7"/>
        <v>0</v>
      </c>
      <c r="B450" s="153">
        <f t="shared" si="8"/>
        <v>0</v>
      </c>
      <c r="C450" s="153">
        <f t="shared" si="9"/>
        <v>0</v>
      </c>
      <c r="D450" s="186"/>
      <c r="E450" s="161"/>
      <c r="F450" s="156"/>
      <c r="G450" s="156"/>
      <c r="H450" s="156"/>
      <c r="I450" s="156"/>
      <c r="J450" s="156"/>
      <c r="K450" s="155">
        <v>0.0</v>
      </c>
      <c r="L450" s="155">
        <f t="shared" ref="L450:M450" si="443">$K450*L$4/100</f>
        <v>0</v>
      </c>
      <c r="M450" s="155">
        <f t="shared" si="443"/>
        <v>0</v>
      </c>
    </row>
    <row r="451">
      <c r="A451" s="152">
        <f t="shared" si="7"/>
        <v>0</v>
      </c>
      <c r="B451" s="153">
        <f t="shared" si="8"/>
        <v>0</v>
      </c>
      <c r="C451" s="153">
        <f t="shared" si="9"/>
        <v>0</v>
      </c>
      <c r="D451" s="186"/>
      <c r="E451" s="161"/>
      <c r="F451" s="156"/>
      <c r="G451" s="156"/>
      <c r="H451" s="156"/>
      <c r="I451" s="156"/>
      <c r="J451" s="156"/>
      <c r="K451" s="155">
        <v>0.0</v>
      </c>
      <c r="L451" s="155">
        <f t="shared" ref="L451:M451" si="444">$K451*L$4/100</f>
        <v>0</v>
      </c>
      <c r="M451" s="155">
        <f t="shared" si="444"/>
        <v>0</v>
      </c>
    </row>
    <row r="452">
      <c r="A452" s="152">
        <f t="shared" si="7"/>
        <v>0</v>
      </c>
      <c r="B452" s="153">
        <f t="shared" si="8"/>
        <v>0</v>
      </c>
      <c r="C452" s="153">
        <f t="shared" si="9"/>
        <v>0</v>
      </c>
      <c r="D452" s="186"/>
      <c r="E452" s="161"/>
      <c r="F452" s="156"/>
      <c r="G452" s="156"/>
      <c r="H452" s="156"/>
      <c r="I452" s="156"/>
      <c r="J452" s="156"/>
      <c r="K452" s="155">
        <v>0.0</v>
      </c>
      <c r="L452" s="155">
        <f t="shared" ref="L452:M452" si="445">$K452*L$4/100</f>
        <v>0</v>
      </c>
      <c r="M452" s="155">
        <f t="shared" si="445"/>
        <v>0</v>
      </c>
    </row>
    <row r="453">
      <c r="A453" s="152">
        <f t="shared" si="7"/>
        <v>0</v>
      </c>
      <c r="B453" s="153">
        <f t="shared" si="8"/>
        <v>0</v>
      </c>
      <c r="C453" s="153">
        <f t="shared" si="9"/>
        <v>0</v>
      </c>
      <c r="D453" s="186"/>
      <c r="E453" s="161"/>
      <c r="F453" s="156"/>
      <c r="G453" s="156"/>
      <c r="H453" s="156"/>
      <c r="I453" s="156"/>
      <c r="J453" s="156"/>
      <c r="K453" s="155">
        <v>0.0</v>
      </c>
      <c r="L453" s="155">
        <f t="shared" ref="L453:M453" si="446">$K453*L$4/100</f>
        <v>0</v>
      </c>
      <c r="M453" s="155">
        <f t="shared" si="446"/>
        <v>0</v>
      </c>
    </row>
    <row r="454">
      <c r="A454" s="152">
        <f t="shared" si="7"/>
        <v>0</v>
      </c>
      <c r="B454" s="153">
        <f t="shared" si="8"/>
        <v>0</v>
      </c>
      <c r="C454" s="153">
        <f t="shared" si="9"/>
        <v>0</v>
      </c>
      <c r="D454" s="186"/>
      <c r="E454" s="161"/>
      <c r="F454" s="156"/>
      <c r="G454" s="156"/>
      <c r="H454" s="156"/>
      <c r="I454" s="156"/>
      <c r="J454" s="156"/>
      <c r="K454" s="155">
        <v>0.0</v>
      </c>
      <c r="L454" s="155">
        <f t="shared" ref="L454:M454" si="447">$K454*L$4/100</f>
        <v>0</v>
      </c>
      <c r="M454" s="155">
        <f t="shared" si="447"/>
        <v>0</v>
      </c>
    </row>
    <row r="455">
      <c r="A455" s="152">
        <f t="shared" si="7"/>
        <v>0</v>
      </c>
      <c r="B455" s="153">
        <f t="shared" si="8"/>
        <v>0</v>
      </c>
      <c r="C455" s="153">
        <f t="shared" si="9"/>
        <v>0</v>
      </c>
      <c r="D455" s="186"/>
      <c r="E455" s="161"/>
      <c r="F455" s="156"/>
      <c r="G455" s="156"/>
      <c r="H455" s="156"/>
      <c r="I455" s="156"/>
      <c r="J455" s="156"/>
      <c r="K455" s="155">
        <v>0.0</v>
      </c>
      <c r="L455" s="155">
        <f t="shared" ref="L455:M455" si="448">$K455*L$4/100</f>
        <v>0</v>
      </c>
      <c r="M455" s="155">
        <f t="shared" si="448"/>
        <v>0</v>
      </c>
    </row>
    <row r="456">
      <c r="A456" s="152">
        <f t="shared" si="7"/>
        <v>0</v>
      </c>
      <c r="B456" s="153">
        <f t="shared" si="8"/>
        <v>0</v>
      </c>
      <c r="C456" s="153">
        <f t="shared" si="9"/>
        <v>0</v>
      </c>
      <c r="D456" s="186"/>
      <c r="E456" s="161"/>
      <c r="F456" s="156"/>
      <c r="G456" s="156"/>
      <c r="H456" s="156"/>
      <c r="I456" s="156"/>
      <c r="J456" s="156"/>
      <c r="K456" s="155">
        <v>0.0</v>
      </c>
      <c r="L456" s="155">
        <f t="shared" ref="L456:M456" si="449">$K456*L$4/100</f>
        <v>0</v>
      </c>
      <c r="M456" s="155">
        <f t="shared" si="449"/>
        <v>0</v>
      </c>
    </row>
    <row r="457">
      <c r="A457" s="152">
        <f t="shared" si="7"/>
        <v>0</v>
      </c>
      <c r="B457" s="153">
        <f t="shared" si="8"/>
        <v>0</v>
      </c>
      <c r="C457" s="153">
        <f t="shared" si="9"/>
        <v>0</v>
      </c>
      <c r="D457" s="186"/>
      <c r="E457" s="161"/>
      <c r="F457" s="156"/>
      <c r="G457" s="156"/>
      <c r="H457" s="156"/>
      <c r="I457" s="156"/>
      <c r="J457" s="156"/>
      <c r="K457" s="155">
        <v>0.0</v>
      </c>
      <c r="L457" s="155">
        <f t="shared" ref="L457:M457" si="450">$K457*L$4/100</f>
        <v>0</v>
      </c>
      <c r="M457" s="155">
        <f t="shared" si="450"/>
        <v>0</v>
      </c>
    </row>
    <row r="458">
      <c r="A458" s="152">
        <f t="shared" si="7"/>
        <v>0</v>
      </c>
      <c r="B458" s="153">
        <f t="shared" si="8"/>
        <v>0</v>
      </c>
      <c r="C458" s="153">
        <f t="shared" si="9"/>
        <v>0</v>
      </c>
      <c r="D458" s="186"/>
      <c r="E458" s="161"/>
      <c r="F458" s="156"/>
      <c r="G458" s="156"/>
      <c r="H458" s="156"/>
      <c r="I458" s="156"/>
      <c r="J458" s="156"/>
      <c r="K458" s="155">
        <v>0.0</v>
      </c>
      <c r="L458" s="155">
        <f t="shared" ref="L458:M458" si="451">$K458*L$4/100</f>
        <v>0</v>
      </c>
      <c r="M458" s="155">
        <f t="shared" si="451"/>
        <v>0</v>
      </c>
    </row>
    <row r="459">
      <c r="A459" s="152">
        <f t="shared" si="7"/>
        <v>0</v>
      </c>
      <c r="B459" s="153">
        <f t="shared" si="8"/>
        <v>0</v>
      </c>
      <c r="C459" s="153">
        <f t="shared" si="9"/>
        <v>0</v>
      </c>
      <c r="D459" s="186"/>
      <c r="E459" s="161"/>
      <c r="F459" s="156"/>
      <c r="G459" s="156"/>
      <c r="H459" s="156"/>
      <c r="I459" s="156"/>
      <c r="J459" s="156"/>
      <c r="K459" s="155">
        <v>0.0</v>
      </c>
      <c r="L459" s="155">
        <f t="shared" ref="L459:M459" si="452">$K459*L$4/100</f>
        <v>0</v>
      </c>
      <c r="M459" s="155">
        <f t="shared" si="452"/>
        <v>0</v>
      </c>
    </row>
    <row r="460">
      <c r="A460" s="152">
        <f t="shared" si="7"/>
        <v>0</v>
      </c>
      <c r="B460" s="153">
        <f t="shared" si="8"/>
        <v>0</v>
      </c>
      <c r="C460" s="153">
        <f t="shared" si="9"/>
        <v>0</v>
      </c>
      <c r="D460" s="186"/>
      <c r="E460" s="161"/>
      <c r="F460" s="156"/>
      <c r="G460" s="156"/>
      <c r="H460" s="156"/>
      <c r="I460" s="156"/>
      <c r="J460" s="156"/>
      <c r="K460" s="155">
        <v>0.0</v>
      </c>
      <c r="L460" s="155">
        <f t="shared" ref="L460:M460" si="453">$K460*L$4/100</f>
        <v>0</v>
      </c>
      <c r="M460" s="155">
        <f t="shared" si="453"/>
        <v>0</v>
      </c>
    </row>
    <row r="461">
      <c r="A461" s="152">
        <f t="shared" si="7"/>
        <v>0</v>
      </c>
      <c r="B461" s="153">
        <f t="shared" si="8"/>
        <v>0</v>
      </c>
      <c r="C461" s="153">
        <f t="shared" si="9"/>
        <v>0</v>
      </c>
      <c r="D461" s="186"/>
      <c r="E461" s="161"/>
      <c r="F461" s="156"/>
      <c r="G461" s="156"/>
      <c r="H461" s="156"/>
      <c r="I461" s="156"/>
      <c r="J461" s="156"/>
      <c r="K461" s="155">
        <v>0.0</v>
      </c>
      <c r="L461" s="155">
        <f t="shared" ref="L461:M461" si="454">$K461*L$4/100</f>
        <v>0</v>
      </c>
      <c r="M461" s="155">
        <f t="shared" si="454"/>
        <v>0</v>
      </c>
    </row>
    <row r="462">
      <c r="A462" s="152">
        <f t="shared" si="7"/>
        <v>0</v>
      </c>
      <c r="B462" s="153">
        <f t="shared" si="8"/>
        <v>0</v>
      </c>
      <c r="C462" s="153">
        <f t="shared" si="9"/>
        <v>0</v>
      </c>
      <c r="D462" s="186"/>
      <c r="E462" s="161"/>
      <c r="F462" s="156"/>
      <c r="G462" s="156"/>
      <c r="H462" s="156"/>
      <c r="I462" s="156"/>
      <c r="J462" s="156"/>
      <c r="K462" s="155">
        <v>0.0</v>
      </c>
      <c r="L462" s="155">
        <f t="shared" ref="L462:M462" si="455">$K462*L$4/100</f>
        <v>0</v>
      </c>
      <c r="M462" s="155">
        <f t="shared" si="455"/>
        <v>0</v>
      </c>
    </row>
    <row r="463">
      <c r="A463" s="152">
        <f t="shared" si="7"/>
        <v>0</v>
      </c>
      <c r="B463" s="153">
        <f t="shared" si="8"/>
        <v>0</v>
      </c>
      <c r="C463" s="153">
        <f t="shared" si="9"/>
        <v>0</v>
      </c>
      <c r="D463" s="186"/>
      <c r="E463" s="161"/>
      <c r="F463" s="156"/>
      <c r="G463" s="156"/>
      <c r="H463" s="156"/>
      <c r="I463" s="156"/>
      <c r="J463" s="156"/>
      <c r="K463" s="155">
        <v>0.0</v>
      </c>
      <c r="L463" s="155">
        <f t="shared" ref="L463:M463" si="456">$K463*L$4/100</f>
        <v>0</v>
      </c>
      <c r="M463" s="155">
        <f t="shared" si="456"/>
        <v>0</v>
      </c>
    </row>
    <row r="464">
      <c r="A464" s="152">
        <f t="shared" si="7"/>
        <v>0</v>
      </c>
      <c r="B464" s="153">
        <f t="shared" si="8"/>
        <v>0</v>
      </c>
      <c r="C464" s="153">
        <f t="shared" si="9"/>
        <v>0</v>
      </c>
      <c r="D464" s="186"/>
      <c r="E464" s="161"/>
      <c r="F464" s="156"/>
      <c r="G464" s="156"/>
      <c r="H464" s="156"/>
      <c r="I464" s="156"/>
      <c r="J464" s="156"/>
      <c r="K464" s="155">
        <v>0.0</v>
      </c>
      <c r="L464" s="155">
        <f t="shared" ref="L464:M464" si="457">$K464*L$4/100</f>
        <v>0</v>
      </c>
      <c r="M464" s="155">
        <f t="shared" si="457"/>
        <v>0</v>
      </c>
    </row>
    <row r="465">
      <c r="A465" s="152">
        <f t="shared" si="7"/>
        <v>0</v>
      </c>
      <c r="B465" s="153">
        <f t="shared" si="8"/>
        <v>0</v>
      </c>
      <c r="C465" s="153">
        <f t="shared" si="9"/>
        <v>0</v>
      </c>
      <c r="D465" s="186"/>
      <c r="E465" s="161"/>
      <c r="F465" s="156"/>
      <c r="G465" s="156"/>
      <c r="H465" s="156"/>
      <c r="I465" s="156"/>
      <c r="J465" s="156"/>
      <c r="K465" s="155">
        <v>0.0</v>
      </c>
      <c r="L465" s="155">
        <f t="shared" ref="L465:M465" si="458">$K465*L$4/100</f>
        <v>0</v>
      </c>
      <c r="M465" s="155">
        <f t="shared" si="458"/>
        <v>0</v>
      </c>
    </row>
    <row r="466">
      <c r="A466" s="152">
        <f t="shared" si="7"/>
        <v>0</v>
      </c>
      <c r="B466" s="153">
        <f t="shared" si="8"/>
        <v>0</v>
      </c>
      <c r="C466" s="153">
        <f t="shared" si="9"/>
        <v>0</v>
      </c>
      <c r="D466" s="186"/>
      <c r="E466" s="161"/>
      <c r="F466" s="156"/>
      <c r="G466" s="156"/>
      <c r="H466" s="156"/>
      <c r="I466" s="156"/>
      <c r="J466" s="156"/>
      <c r="K466" s="155">
        <v>0.0</v>
      </c>
      <c r="L466" s="155">
        <f t="shared" ref="L466:M466" si="459">$K466*L$4/100</f>
        <v>0</v>
      </c>
      <c r="M466" s="155">
        <f t="shared" si="459"/>
        <v>0</v>
      </c>
    </row>
    <row r="467">
      <c r="A467" s="152">
        <f t="shared" si="7"/>
        <v>0</v>
      </c>
      <c r="B467" s="153">
        <f t="shared" si="8"/>
        <v>0</v>
      </c>
      <c r="C467" s="153">
        <f t="shared" si="9"/>
        <v>0</v>
      </c>
      <c r="D467" s="186"/>
      <c r="E467" s="161"/>
      <c r="F467" s="156"/>
      <c r="G467" s="156"/>
      <c r="H467" s="156"/>
      <c r="I467" s="156"/>
      <c r="J467" s="156"/>
      <c r="K467" s="155">
        <v>0.0</v>
      </c>
      <c r="L467" s="155">
        <f t="shared" ref="L467:M467" si="460">$K467*L$4/100</f>
        <v>0</v>
      </c>
      <c r="M467" s="155">
        <f t="shared" si="460"/>
        <v>0</v>
      </c>
    </row>
    <row r="468">
      <c r="A468" s="152">
        <f t="shared" si="7"/>
        <v>0</v>
      </c>
      <c r="B468" s="153">
        <f t="shared" si="8"/>
        <v>0</v>
      </c>
      <c r="C468" s="153">
        <f t="shared" si="9"/>
        <v>0</v>
      </c>
      <c r="D468" s="186"/>
      <c r="E468" s="161"/>
      <c r="F468" s="156"/>
      <c r="G468" s="156"/>
      <c r="H468" s="156"/>
      <c r="I468" s="156"/>
      <c r="J468" s="156"/>
      <c r="K468" s="155">
        <v>0.0</v>
      </c>
      <c r="L468" s="155">
        <f t="shared" ref="L468:M468" si="461">$K468*L$4/100</f>
        <v>0</v>
      </c>
      <c r="M468" s="155">
        <f t="shared" si="461"/>
        <v>0</v>
      </c>
    </row>
    <row r="469">
      <c r="A469" s="152">
        <f t="shared" si="7"/>
        <v>0</v>
      </c>
      <c r="B469" s="153">
        <f t="shared" si="8"/>
        <v>0</v>
      </c>
      <c r="C469" s="153">
        <f t="shared" si="9"/>
        <v>0</v>
      </c>
      <c r="D469" s="186"/>
      <c r="E469" s="161"/>
      <c r="F469" s="156"/>
      <c r="G469" s="156"/>
      <c r="H469" s="156"/>
      <c r="I469" s="156"/>
      <c r="J469" s="156"/>
      <c r="K469" s="155">
        <v>0.0</v>
      </c>
      <c r="L469" s="155">
        <f t="shared" ref="L469:M469" si="462">$K469*L$4/100</f>
        <v>0</v>
      </c>
      <c r="M469" s="155">
        <f t="shared" si="462"/>
        <v>0</v>
      </c>
    </row>
    <row r="470">
      <c r="A470" s="152">
        <f t="shared" si="7"/>
        <v>0</v>
      </c>
      <c r="B470" s="153">
        <f t="shared" si="8"/>
        <v>0</v>
      </c>
      <c r="C470" s="153">
        <f t="shared" si="9"/>
        <v>0</v>
      </c>
      <c r="D470" s="186"/>
      <c r="E470" s="161"/>
      <c r="F470" s="156"/>
      <c r="G470" s="156"/>
      <c r="H470" s="156"/>
      <c r="I470" s="156"/>
      <c r="J470" s="156"/>
      <c r="K470" s="155">
        <v>0.0</v>
      </c>
      <c r="L470" s="155">
        <f t="shared" ref="L470:M470" si="463">$K470*L$4/100</f>
        <v>0</v>
      </c>
      <c r="M470" s="155">
        <f t="shared" si="463"/>
        <v>0</v>
      </c>
    </row>
    <row r="471">
      <c r="A471" s="152">
        <f t="shared" si="7"/>
        <v>0</v>
      </c>
      <c r="B471" s="153">
        <f t="shared" si="8"/>
        <v>0</v>
      </c>
      <c r="C471" s="153">
        <f t="shared" si="9"/>
        <v>0</v>
      </c>
      <c r="D471" s="186"/>
      <c r="E471" s="161"/>
      <c r="F471" s="156"/>
      <c r="G471" s="156"/>
      <c r="H471" s="156"/>
      <c r="I471" s="156"/>
      <c r="J471" s="156"/>
      <c r="K471" s="155">
        <v>0.0</v>
      </c>
      <c r="L471" s="155">
        <f t="shared" ref="L471:M471" si="464">$K471*L$4/100</f>
        <v>0</v>
      </c>
      <c r="M471" s="155">
        <f t="shared" si="464"/>
        <v>0</v>
      </c>
    </row>
    <row r="472">
      <c r="A472" s="152">
        <f t="shared" si="7"/>
        <v>0</v>
      </c>
      <c r="B472" s="153">
        <f t="shared" si="8"/>
        <v>0</v>
      </c>
      <c r="C472" s="153">
        <f t="shared" si="9"/>
        <v>0</v>
      </c>
      <c r="D472" s="186"/>
      <c r="E472" s="161"/>
      <c r="F472" s="156"/>
      <c r="G472" s="156"/>
      <c r="H472" s="156"/>
      <c r="I472" s="156"/>
      <c r="J472" s="156"/>
      <c r="K472" s="155">
        <v>0.0</v>
      </c>
      <c r="L472" s="155">
        <f t="shared" ref="L472:M472" si="465">$K472*L$4/100</f>
        <v>0</v>
      </c>
      <c r="M472" s="155">
        <f t="shared" si="465"/>
        <v>0</v>
      </c>
    </row>
    <row r="473">
      <c r="A473" s="152">
        <f t="shared" si="7"/>
        <v>0</v>
      </c>
      <c r="B473" s="153">
        <f t="shared" si="8"/>
        <v>0</v>
      </c>
      <c r="C473" s="153">
        <f t="shared" si="9"/>
        <v>0</v>
      </c>
      <c r="D473" s="186"/>
      <c r="E473" s="161"/>
      <c r="F473" s="156"/>
      <c r="G473" s="156"/>
      <c r="H473" s="156"/>
      <c r="I473" s="156"/>
      <c r="J473" s="156"/>
      <c r="K473" s="155">
        <v>0.0</v>
      </c>
      <c r="L473" s="155">
        <f t="shared" ref="L473:M473" si="466">$K473*L$4/100</f>
        <v>0</v>
      </c>
      <c r="M473" s="155">
        <f t="shared" si="466"/>
        <v>0</v>
      </c>
    </row>
    <row r="474">
      <c r="A474" s="152">
        <f t="shared" si="7"/>
        <v>0</v>
      </c>
      <c r="B474" s="153">
        <f t="shared" si="8"/>
        <v>0</v>
      </c>
      <c r="C474" s="153">
        <f t="shared" si="9"/>
        <v>0</v>
      </c>
      <c r="D474" s="186"/>
      <c r="E474" s="161"/>
      <c r="F474" s="156"/>
      <c r="G474" s="156"/>
      <c r="H474" s="156"/>
      <c r="I474" s="156"/>
      <c r="J474" s="156"/>
      <c r="K474" s="155">
        <v>0.0</v>
      </c>
      <c r="L474" s="155">
        <f t="shared" ref="L474:M474" si="467">$K474*L$4/100</f>
        <v>0</v>
      </c>
      <c r="M474" s="155">
        <f t="shared" si="467"/>
        <v>0</v>
      </c>
    </row>
    <row r="475">
      <c r="A475" s="152">
        <f t="shared" si="7"/>
        <v>0</v>
      </c>
      <c r="B475" s="153">
        <f t="shared" si="8"/>
        <v>0</v>
      </c>
      <c r="C475" s="153">
        <f t="shared" si="9"/>
        <v>0</v>
      </c>
      <c r="D475" s="186"/>
      <c r="E475" s="161"/>
      <c r="F475" s="156"/>
      <c r="G475" s="156"/>
      <c r="H475" s="156"/>
      <c r="I475" s="156"/>
      <c r="J475" s="156"/>
      <c r="K475" s="155">
        <v>0.0</v>
      </c>
      <c r="L475" s="155">
        <f t="shared" ref="L475:M475" si="468">$K475*L$4/100</f>
        <v>0</v>
      </c>
      <c r="M475" s="155">
        <f t="shared" si="468"/>
        <v>0</v>
      </c>
    </row>
    <row r="476">
      <c r="A476" s="152">
        <f t="shared" si="7"/>
        <v>0</v>
      </c>
      <c r="B476" s="153">
        <f t="shared" si="8"/>
        <v>0</v>
      </c>
      <c r="C476" s="153">
        <f t="shared" si="9"/>
        <v>0</v>
      </c>
      <c r="D476" s="186"/>
      <c r="E476" s="161"/>
      <c r="F476" s="156"/>
      <c r="G476" s="156"/>
      <c r="H476" s="156"/>
      <c r="I476" s="156"/>
      <c r="J476" s="156"/>
      <c r="K476" s="155">
        <v>0.0</v>
      </c>
      <c r="L476" s="155">
        <f t="shared" ref="L476:M476" si="469">$K476*L$4/100</f>
        <v>0</v>
      </c>
      <c r="M476" s="155">
        <f t="shared" si="469"/>
        <v>0</v>
      </c>
    </row>
    <row r="477">
      <c r="A477" s="152">
        <f t="shared" si="7"/>
        <v>0</v>
      </c>
      <c r="B477" s="153">
        <f t="shared" si="8"/>
        <v>0</v>
      </c>
      <c r="C477" s="153">
        <f t="shared" si="9"/>
        <v>0</v>
      </c>
      <c r="D477" s="186"/>
      <c r="E477" s="161"/>
      <c r="F477" s="156"/>
      <c r="G477" s="156"/>
      <c r="H477" s="156"/>
      <c r="I477" s="156"/>
      <c r="J477" s="156"/>
      <c r="K477" s="155">
        <v>0.0</v>
      </c>
      <c r="L477" s="155">
        <f t="shared" ref="L477:M477" si="470">$K477*L$4/100</f>
        <v>0</v>
      </c>
      <c r="M477" s="155">
        <f t="shared" si="470"/>
        <v>0</v>
      </c>
    </row>
    <row r="478">
      <c r="A478" s="152">
        <f t="shared" si="7"/>
        <v>0</v>
      </c>
      <c r="B478" s="153">
        <f t="shared" si="8"/>
        <v>0</v>
      </c>
      <c r="C478" s="153">
        <f t="shared" si="9"/>
        <v>0</v>
      </c>
      <c r="D478" s="186"/>
      <c r="E478" s="161"/>
      <c r="F478" s="156"/>
      <c r="G478" s="156"/>
      <c r="H478" s="156"/>
      <c r="I478" s="156"/>
      <c r="J478" s="156"/>
      <c r="K478" s="155">
        <v>0.0</v>
      </c>
      <c r="L478" s="155">
        <f t="shared" ref="L478:M478" si="471">$K478*L$4/100</f>
        <v>0</v>
      </c>
      <c r="M478" s="155">
        <f t="shared" si="471"/>
        <v>0</v>
      </c>
    </row>
    <row r="479">
      <c r="A479" s="152">
        <f t="shared" si="7"/>
        <v>0</v>
      </c>
      <c r="B479" s="153">
        <f t="shared" si="8"/>
        <v>0</v>
      </c>
      <c r="C479" s="153">
        <f t="shared" si="9"/>
        <v>0</v>
      </c>
      <c r="D479" s="186"/>
      <c r="E479" s="161"/>
      <c r="F479" s="156"/>
      <c r="G479" s="156"/>
      <c r="H479" s="156"/>
      <c r="I479" s="156"/>
      <c r="J479" s="156"/>
      <c r="K479" s="155">
        <v>0.0</v>
      </c>
      <c r="L479" s="155">
        <f t="shared" ref="L479:M479" si="472">$K479*L$4/100</f>
        <v>0</v>
      </c>
      <c r="M479" s="155">
        <f t="shared" si="472"/>
        <v>0</v>
      </c>
    </row>
    <row r="480">
      <c r="A480" s="152">
        <f t="shared" si="7"/>
        <v>0</v>
      </c>
      <c r="B480" s="153">
        <f t="shared" si="8"/>
        <v>0</v>
      </c>
      <c r="C480" s="153">
        <f t="shared" si="9"/>
        <v>0</v>
      </c>
      <c r="D480" s="186"/>
      <c r="E480" s="161"/>
      <c r="F480" s="156"/>
      <c r="G480" s="156"/>
      <c r="H480" s="156"/>
      <c r="I480" s="156"/>
      <c r="J480" s="156"/>
      <c r="K480" s="155">
        <v>0.0</v>
      </c>
      <c r="L480" s="155">
        <f t="shared" ref="L480:M480" si="473">$K480*L$4/100</f>
        <v>0</v>
      </c>
      <c r="M480" s="155">
        <f t="shared" si="473"/>
        <v>0</v>
      </c>
    </row>
    <row r="481">
      <c r="A481" s="152">
        <f t="shared" si="7"/>
        <v>0</v>
      </c>
      <c r="B481" s="153">
        <f t="shared" si="8"/>
        <v>0</v>
      </c>
      <c r="C481" s="153">
        <f t="shared" si="9"/>
        <v>0</v>
      </c>
      <c r="D481" s="186"/>
      <c r="E481" s="161"/>
      <c r="F481" s="156"/>
      <c r="G481" s="156"/>
      <c r="H481" s="156"/>
      <c r="I481" s="156"/>
      <c r="J481" s="156"/>
      <c r="K481" s="155">
        <v>0.0</v>
      </c>
      <c r="L481" s="155">
        <f t="shared" ref="L481:M481" si="474">$K481*L$4/100</f>
        <v>0</v>
      </c>
      <c r="M481" s="155">
        <f t="shared" si="474"/>
        <v>0</v>
      </c>
    </row>
    <row r="482">
      <c r="A482" s="152">
        <f t="shared" si="7"/>
        <v>0</v>
      </c>
      <c r="B482" s="153">
        <f t="shared" si="8"/>
        <v>0</v>
      </c>
      <c r="C482" s="153">
        <f t="shared" si="9"/>
        <v>0</v>
      </c>
      <c r="D482" s="186"/>
      <c r="E482" s="161"/>
      <c r="F482" s="156"/>
      <c r="G482" s="156"/>
      <c r="H482" s="156"/>
      <c r="I482" s="156"/>
      <c r="J482" s="156"/>
      <c r="K482" s="155">
        <v>0.0</v>
      </c>
      <c r="L482" s="155">
        <f t="shared" ref="L482:M482" si="475">$K482*L$4/100</f>
        <v>0</v>
      </c>
      <c r="M482" s="155">
        <f t="shared" si="475"/>
        <v>0</v>
      </c>
    </row>
    <row r="483">
      <c r="A483" s="152">
        <f t="shared" si="7"/>
        <v>0</v>
      </c>
      <c r="B483" s="153">
        <f t="shared" si="8"/>
        <v>0</v>
      </c>
      <c r="C483" s="153">
        <f t="shared" si="9"/>
        <v>0</v>
      </c>
      <c r="D483" s="186"/>
      <c r="E483" s="161"/>
      <c r="F483" s="156"/>
      <c r="G483" s="156"/>
      <c r="H483" s="156"/>
      <c r="I483" s="156"/>
      <c r="J483" s="156"/>
      <c r="K483" s="155">
        <v>0.0</v>
      </c>
      <c r="L483" s="155">
        <f t="shared" ref="L483:M483" si="476">$K483*L$4/100</f>
        <v>0</v>
      </c>
      <c r="M483" s="155">
        <f t="shared" si="476"/>
        <v>0</v>
      </c>
    </row>
    <row r="484">
      <c r="A484" s="152">
        <f t="shared" si="7"/>
        <v>0</v>
      </c>
      <c r="B484" s="153">
        <f t="shared" si="8"/>
        <v>0</v>
      </c>
      <c r="C484" s="153">
        <f t="shared" si="9"/>
        <v>0</v>
      </c>
      <c r="D484" s="186"/>
      <c r="E484" s="161"/>
      <c r="F484" s="156"/>
      <c r="G484" s="156"/>
      <c r="H484" s="156"/>
      <c r="I484" s="156"/>
      <c r="J484" s="156"/>
      <c r="K484" s="155">
        <v>0.0</v>
      </c>
      <c r="L484" s="155">
        <f t="shared" ref="L484:M484" si="477">$K484*L$4/100</f>
        <v>0</v>
      </c>
      <c r="M484" s="155">
        <f t="shared" si="477"/>
        <v>0</v>
      </c>
    </row>
    <row r="485">
      <c r="A485" s="152">
        <f t="shared" si="7"/>
        <v>0</v>
      </c>
      <c r="B485" s="153">
        <f t="shared" si="8"/>
        <v>0</v>
      </c>
      <c r="C485" s="153">
        <f t="shared" si="9"/>
        <v>0</v>
      </c>
      <c r="D485" s="186"/>
      <c r="E485" s="161"/>
      <c r="F485" s="156"/>
      <c r="G485" s="156"/>
      <c r="H485" s="156"/>
      <c r="I485" s="156"/>
      <c r="J485" s="156"/>
      <c r="K485" s="155">
        <v>0.0</v>
      </c>
      <c r="L485" s="155">
        <f t="shared" ref="L485:M485" si="478">$K485*L$4/100</f>
        <v>0</v>
      </c>
      <c r="M485" s="155">
        <f t="shared" si="478"/>
        <v>0</v>
      </c>
    </row>
    <row r="486">
      <c r="A486" s="152">
        <f t="shared" si="7"/>
        <v>0</v>
      </c>
      <c r="B486" s="153">
        <f t="shared" si="8"/>
        <v>0</v>
      </c>
      <c r="C486" s="153">
        <f t="shared" si="9"/>
        <v>0</v>
      </c>
      <c r="D486" s="186"/>
      <c r="E486" s="161"/>
      <c r="F486" s="156"/>
      <c r="G486" s="156"/>
      <c r="H486" s="156"/>
      <c r="I486" s="156"/>
      <c r="J486" s="156"/>
      <c r="K486" s="155">
        <v>0.0</v>
      </c>
      <c r="L486" s="155">
        <f t="shared" ref="L486:M486" si="479">$K486*L$4/100</f>
        <v>0</v>
      </c>
      <c r="M486" s="155">
        <f t="shared" si="479"/>
        <v>0</v>
      </c>
    </row>
    <row r="487">
      <c r="A487" s="152">
        <f t="shared" si="7"/>
        <v>0</v>
      </c>
      <c r="B487" s="153">
        <f t="shared" si="8"/>
        <v>0</v>
      </c>
      <c r="C487" s="153">
        <f t="shared" si="9"/>
        <v>0</v>
      </c>
      <c r="D487" s="186"/>
      <c r="E487" s="161"/>
      <c r="F487" s="156"/>
      <c r="G487" s="156"/>
      <c r="H487" s="156"/>
      <c r="I487" s="156"/>
      <c r="J487" s="156"/>
      <c r="K487" s="155">
        <v>0.0</v>
      </c>
      <c r="L487" s="155">
        <f t="shared" ref="L487:M487" si="480">$K487*L$4/100</f>
        <v>0</v>
      </c>
      <c r="M487" s="155">
        <f t="shared" si="480"/>
        <v>0</v>
      </c>
    </row>
    <row r="488">
      <c r="A488" s="152">
        <f t="shared" si="7"/>
        <v>0</v>
      </c>
      <c r="B488" s="153">
        <f t="shared" si="8"/>
        <v>0</v>
      </c>
      <c r="C488" s="153">
        <f t="shared" si="9"/>
        <v>0</v>
      </c>
      <c r="D488" s="186"/>
      <c r="E488" s="161"/>
      <c r="F488" s="156"/>
      <c r="G488" s="156"/>
      <c r="H488" s="156"/>
      <c r="I488" s="156"/>
      <c r="J488" s="156"/>
      <c r="K488" s="155">
        <v>0.0</v>
      </c>
      <c r="L488" s="155">
        <f t="shared" ref="L488:M488" si="481">$K488*L$4/100</f>
        <v>0</v>
      </c>
      <c r="M488" s="155">
        <f t="shared" si="481"/>
        <v>0</v>
      </c>
    </row>
    <row r="489">
      <c r="A489" s="152">
        <f t="shared" si="7"/>
        <v>0</v>
      </c>
      <c r="B489" s="153">
        <f t="shared" si="8"/>
        <v>0</v>
      </c>
      <c r="C489" s="153">
        <f t="shared" si="9"/>
        <v>0</v>
      </c>
      <c r="D489" s="186"/>
      <c r="E489" s="161"/>
      <c r="F489" s="156"/>
      <c r="G489" s="156"/>
      <c r="H489" s="156"/>
      <c r="I489" s="156"/>
      <c r="J489" s="156"/>
      <c r="K489" s="155">
        <v>0.0</v>
      </c>
      <c r="L489" s="155">
        <f t="shared" ref="L489:M489" si="482">$K489*L$4/100</f>
        <v>0</v>
      </c>
      <c r="M489" s="155">
        <f t="shared" si="482"/>
        <v>0</v>
      </c>
    </row>
    <row r="490">
      <c r="A490" s="152">
        <f t="shared" si="7"/>
        <v>0</v>
      </c>
      <c r="B490" s="153">
        <f t="shared" si="8"/>
        <v>0</v>
      </c>
      <c r="C490" s="153">
        <f t="shared" si="9"/>
        <v>0</v>
      </c>
      <c r="D490" s="186"/>
      <c r="E490" s="161"/>
      <c r="F490" s="156"/>
      <c r="G490" s="156"/>
      <c r="H490" s="156"/>
      <c r="I490" s="156"/>
      <c r="J490" s="156"/>
      <c r="K490" s="155">
        <v>0.0</v>
      </c>
      <c r="L490" s="155">
        <f t="shared" ref="L490:M490" si="483">$K490*L$4/100</f>
        <v>0</v>
      </c>
      <c r="M490" s="155">
        <f t="shared" si="483"/>
        <v>0</v>
      </c>
    </row>
    <row r="491">
      <c r="A491" s="152">
        <f t="shared" si="7"/>
        <v>0</v>
      </c>
      <c r="B491" s="153">
        <f t="shared" si="8"/>
        <v>0</v>
      </c>
      <c r="C491" s="153">
        <f t="shared" si="9"/>
        <v>0</v>
      </c>
      <c r="D491" s="186"/>
      <c r="E491" s="161"/>
      <c r="F491" s="156"/>
      <c r="G491" s="156"/>
      <c r="H491" s="156"/>
      <c r="I491" s="156"/>
      <c r="J491" s="156"/>
      <c r="K491" s="155">
        <v>0.0</v>
      </c>
      <c r="L491" s="155">
        <f t="shared" ref="L491:M491" si="484">$K491*L$4/100</f>
        <v>0</v>
      </c>
      <c r="M491" s="155">
        <f t="shared" si="484"/>
        <v>0</v>
      </c>
    </row>
    <row r="492">
      <c r="A492" s="152">
        <f t="shared" si="7"/>
        <v>0</v>
      </c>
      <c r="B492" s="153">
        <f t="shared" si="8"/>
        <v>0</v>
      </c>
      <c r="C492" s="153">
        <f t="shared" si="9"/>
        <v>0</v>
      </c>
      <c r="D492" s="186"/>
      <c r="E492" s="161"/>
      <c r="F492" s="156"/>
      <c r="G492" s="156"/>
      <c r="H492" s="156"/>
      <c r="I492" s="156"/>
      <c r="J492" s="156"/>
      <c r="K492" s="155">
        <v>0.0</v>
      </c>
      <c r="L492" s="155">
        <f t="shared" ref="L492:M492" si="485">$K492*L$4/100</f>
        <v>0</v>
      </c>
      <c r="M492" s="155">
        <f t="shared" si="485"/>
        <v>0</v>
      </c>
    </row>
    <row r="493">
      <c r="A493" s="152">
        <f t="shared" si="7"/>
        <v>0</v>
      </c>
      <c r="B493" s="153">
        <f t="shared" si="8"/>
        <v>0</v>
      </c>
      <c r="C493" s="153">
        <f t="shared" si="9"/>
        <v>0</v>
      </c>
      <c r="D493" s="186"/>
      <c r="E493" s="161"/>
      <c r="F493" s="156"/>
      <c r="G493" s="156"/>
      <c r="H493" s="156"/>
      <c r="I493" s="156"/>
      <c r="J493" s="156"/>
      <c r="K493" s="155">
        <v>0.0</v>
      </c>
      <c r="L493" s="155">
        <f t="shared" ref="L493:M493" si="486">$K493*L$4/100</f>
        <v>0</v>
      </c>
      <c r="M493" s="155">
        <f t="shared" si="486"/>
        <v>0</v>
      </c>
    </row>
    <row r="494">
      <c r="A494" s="152">
        <f t="shared" si="7"/>
        <v>0</v>
      </c>
      <c r="B494" s="153">
        <f t="shared" si="8"/>
        <v>0</v>
      </c>
      <c r="C494" s="153">
        <f t="shared" si="9"/>
        <v>0</v>
      </c>
      <c r="D494" s="186"/>
      <c r="E494" s="161"/>
      <c r="F494" s="156"/>
      <c r="G494" s="156"/>
      <c r="H494" s="156"/>
      <c r="I494" s="156"/>
      <c r="J494" s="156"/>
      <c r="K494" s="155">
        <v>0.0</v>
      </c>
      <c r="L494" s="155">
        <f t="shared" ref="L494:M494" si="487">$K494*L$4/100</f>
        <v>0</v>
      </c>
      <c r="M494" s="155">
        <f t="shared" si="487"/>
        <v>0</v>
      </c>
    </row>
    <row r="495">
      <c r="A495" s="152">
        <f t="shared" si="7"/>
        <v>0</v>
      </c>
      <c r="B495" s="153">
        <f t="shared" si="8"/>
        <v>0</v>
      </c>
      <c r="C495" s="153">
        <f t="shared" si="9"/>
        <v>0</v>
      </c>
      <c r="D495" s="186"/>
      <c r="E495" s="161"/>
      <c r="F495" s="156"/>
      <c r="G495" s="156"/>
      <c r="H495" s="156"/>
      <c r="I495" s="156"/>
      <c r="J495" s="156"/>
      <c r="K495" s="155">
        <v>0.0</v>
      </c>
      <c r="L495" s="155">
        <f t="shared" ref="L495:M495" si="488">$K495*L$4/100</f>
        <v>0</v>
      </c>
      <c r="M495" s="155">
        <f t="shared" si="488"/>
        <v>0</v>
      </c>
    </row>
    <row r="496">
      <c r="A496" s="152">
        <f t="shared" si="7"/>
        <v>0</v>
      </c>
      <c r="B496" s="153">
        <f t="shared" si="8"/>
        <v>0</v>
      </c>
      <c r="C496" s="153">
        <f t="shared" si="9"/>
        <v>0</v>
      </c>
      <c r="D496" s="186"/>
      <c r="E496" s="161"/>
      <c r="F496" s="156"/>
      <c r="G496" s="156"/>
      <c r="H496" s="156"/>
      <c r="I496" s="156"/>
      <c r="J496" s="156"/>
      <c r="K496" s="155">
        <v>0.0</v>
      </c>
      <c r="L496" s="155">
        <f t="shared" ref="L496:M496" si="489">$K496*L$4/100</f>
        <v>0</v>
      </c>
      <c r="M496" s="155">
        <f t="shared" si="489"/>
        <v>0</v>
      </c>
    </row>
    <row r="497">
      <c r="A497" s="152">
        <f t="shared" si="7"/>
        <v>0</v>
      </c>
      <c r="B497" s="153">
        <f t="shared" si="8"/>
        <v>0</v>
      </c>
      <c r="C497" s="153">
        <f t="shared" si="9"/>
        <v>0</v>
      </c>
      <c r="D497" s="186"/>
      <c r="E497" s="161"/>
      <c r="F497" s="156"/>
      <c r="G497" s="156"/>
      <c r="H497" s="156"/>
      <c r="I497" s="156"/>
      <c r="J497" s="156"/>
      <c r="K497" s="155">
        <v>0.0</v>
      </c>
      <c r="L497" s="155">
        <f t="shared" ref="L497:M497" si="490">$K497*L$4/100</f>
        <v>0</v>
      </c>
      <c r="M497" s="155">
        <f t="shared" si="490"/>
        <v>0</v>
      </c>
    </row>
    <row r="498">
      <c r="A498" s="152">
        <f t="shared" si="7"/>
        <v>0</v>
      </c>
      <c r="B498" s="153">
        <f t="shared" si="8"/>
        <v>0</v>
      </c>
      <c r="C498" s="153">
        <f t="shared" si="9"/>
        <v>0</v>
      </c>
      <c r="D498" s="186"/>
      <c r="E498" s="161"/>
      <c r="F498" s="156"/>
      <c r="G498" s="156"/>
      <c r="H498" s="156"/>
      <c r="I498" s="156"/>
      <c r="J498" s="156"/>
      <c r="K498" s="155">
        <v>0.0</v>
      </c>
      <c r="L498" s="155">
        <f t="shared" ref="L498:M498" si="491">$K498*L$4/100</f>
        <v>0</v>
      </c>
      <c r="M498" s="155">
        <f t="shared" si="491"/>
        <v>0</v>
      </c>
    </row>
    <row r="499">
      <c r="A499" s="152">
        <f t="shared" si="7"/>
        <v>0</v>
      </c>
      <c r="B499" s="153">
        <f t="shared" si="8"/>
        <v>0</v>
      </c>
      <c r="C499" s="153">
        <f t="shared" si="9"/>
        <v>0</v>
      </c>
      <c r="D499" s="186"/>
      <c r="E499" s="161"/>
      <c r="F499" s="156"/>
      <c r="G499" s="156"/>
      <c r="H499" s="156"/>
      <c r="I499" s="156"/>
      <c r="J499" s="156"/>
      <c r="K499" s="155">
        <v>0.0</v>
      </c>
      <c r="L499" s="155">
        <f t="shared" ref="L499:M499" si="492">$K499*L$4/100</f>
        <v>0</v>
      </c>
      <c r="M499" s="155">
        <f t="shared" si="492"/>
        <v>0</v>
      </c>
    </row>
    <row r="500">
      <c r="A500" s="152">
        <f t="shared" si="7"/>
        <v>0</v>
      </c>
      <c r="B500" s="153">
        <f t="shared" si="8"/>
        <v>0</v>
      </c>
      <c r="C500" s="153">
        <f t="shared" si="9"/>
        <v>0</v>
      </c>
      <c r="D500" s="186"/>
      <c r="E500" s="161"/>
      <c r="F500" s="156"/>
      <c r="G500" s="156"/>
      <c r="H500" s="156"/>
      <c r="I500" s="156"/>
      <c r="J500" s="156"/>
      <c r="K500" s="155">
        <v>0.0</v>
      </c>
      <c r="L500" s="155">
        <f t="shared" ref="L500:M500" si="493">$K500*L$4/100</f>
        <v>0</v>
      </c>
      <c r="M500" s="155">
        <f t="shared" si="493"/>
        <v>0</v>
      </c>
    </row>
    <row r="501">
      <c r="A501" s="152">
        <f t="shared" si="7"/>
        <v>0</v>
      </c>
      <c r="B501" s="153">
        <f t="shared" si="8"/>
        <v>0</v>
      </c>
      <c r="C501" s="153">
        <f t="shared" si="9"/>
        <v>0</v>
      </c>
      <c r="D501" s="186"/>
      <c r="E501" s="161"/>
      <c r="F501" s="156"/>
      <c r="G501" s="156"/>
      <c r="H501" s="156"/>
      <c r="I501" s="156"/>
      <c r="J501" s="156"/>
      <c r="K501" s="155">
        <v>0.0</v>
      </c>
      <c r="L501" s="155">
        <f t="shared" ref="L501:M501" si="494">$K501*L$4/100</f>
        <v>0</v>
      </c>
      <c r="M501" s="155">
        <f t="shared" si="494"/>
        <v>0</v>
      </c>
    </row>
    <row r="502">
      <c r="A502" s="152">
        <f t="shared" si="7"/>
        <v>0</v>
      </c>
      <c r="B502" s="153">
        <f t="shared" si="8"/>
        <v>0</v>
      </c>
      <c r="C502" s="153">
        <f t="shared" si="9"/>
        <v>0</v>
      </c>
      <c r="D502" s="186"/>
      <c r="E502" s="161"/>
      <c r="F502" s="156"/>
      <c r="G502" s="156"/>
      <c r="H502" s="156"/>
      <c r="I502" s="156"/>
      <c r="J502" s="156"/>
      <c r="K502" s="155">
        <v>0.0</v>
      </c>
      <c r="L502" s="155">
        <f t="shared" ref="L502:M502" si="495">$K502*L$4/100</f>
        <v>0</v>
      </c>
      <c r="M502" s="155">
        <f t="shared" si="495"/>
        <v>0</v>
      </c>
    </row>
    <row r="503">
      <c r="A503" s="152">
        <f t="shared" si="7"/>
        <v>0</v>
      </c>
      <c r="B503" s="153">
        <f t="shared" si="8"/>
        <v>0</v>
      </c>
      <c r="C503" s="153">
        <f t="shared" si="9"/>
        <v>0</v>
      </c>
      <c r="D503" s="186"/>
      <c r="E503" s="161"/>
      <c r="F503" s="156"/>
      <c r="G503" s="156"/>
      <c r="H503" s="156"/>
      <c r="I503" s="156"/>
      <c r="J503" s="156"/>
      <c r="K503" s="155">
        <v>0.0</v>
      </c>
      <c r="L503" s="155">
        <f t="shared" ref="L503:M503" si="496">$K503*L$4/100</f>
        <v>0</v>
      </c>
      <c r="M503" s="155">
        <f t="shared" si="496"/>
        <v>0</v>
      </c>
    </row>
    <row r="504">
      <c r="A504" s="152">
        <f t="shared" si="7"/>
        <v>0</v>
      </c>
      <c r="B504" s="153">
        <f t="shared" si="8"/>
        <v>0</v>
      </c>
      <c r="C504" s="153">
        <f t="shared" si="9"/>
        <v>0</v>
      </c>
      <c r="D504" s="186"/>
      <c r="E504" s="161"/>
      <c r="F504" s="156"/>
      <c r="G504" s="156"/>
      <c r="H504" s="156"/>
      <c r="I504" s="156"/>
      <c r="J504" s="156"/>
      <c r="K504" s="155">
        <v>0.0</v>
      </c>
      <c r="L504" s="155">
        <f t="shared" ref="L504:M504" si="497">$K504*L$4/100</f>
        <v>0</v>
      </c>
      <c r="M504" s="155">
        <f t="shared" si="497"/>
        <v>0</v>
      </c>
    </row>
    <row r="505">
      <c r="A505" s="152">
        <f t="shared" si="7"/>
        <v>0</v>
      </c>
      <c r="B505" s="153">
        <f t="shared" si="8"/>
        <v>0</v>
      </c>
      <c r="C505" s="153">
        <f t="shared" si="9"/>
        <v>0</v>
      </c>
      <c r="D505" s="186"/>
      <c r="E505" s="161"/>
      <c r="F505" s="156"/>
      <c r="G505" s="156"/>
      <c r="H505" s="156"/>
      <c r="I505" s="156"/>
      <c r="J505" s="156"/>
      <c r="K505" s="155">
        <v>0.0</v>
      </c>
      <c r="L505" s="155">
        <f t="shared" ref="L505:M505" si="498">$K505*L$4/100</f>
        <v>0</v>
      </c>
      <c r="M505" s="155">
        <f t="shared" si="498"/>
        <v>0</v>
      </c>
    </row>
    <row r="506">
      <c r="A506" s="152">
        <f t="shared" si="7"/>
        <v>0</v>
      </c>
      <c r="B506" s="153">
        <f t="shared" si="8"/>
        <v>0</v>
      </c>
      <c r="C506" s="153">
        <f t="shared" si="9"/>
        <v>0</v>
      </c>
      <c r="D506" s="186"/>
      <c r="E506" s="161"/>
      <c r="F506" s="156"/>
      <c r="G506" s="156"/>
      <c r="H506" s="156"/>
      <c r="I506" s="156"/>
      <c r="J506" s="156"/>
      <c r="K506" s="155">
        <v>0.0</v>
      </c>
      <c r="L506" s="155">
        <f t="shared" ref="L506:M506" si="499">$K506*L$4/100</f>
        <v>0</v>
      </c>
      <c r="M506" s="155">
        <f t="shared" si="499"/>
        <v>0</v>
      </c>
    </row>
    <row r="507">
      <c r="A507" s="152">
        <f t="shared" si="7"/>
        <v>0</v>
      </c>
      <c r="B507" s="153">
        <f t="shared" si="8"/>
        <v>0</v>
      </c>
      <c r="C507" s="153">
        <f t="shared" si="9"/>
        <v>0</v>
      </c>
      <c r="D507" s="186"/>
      <c r="E507" s="161"/>
      <c r="F507" s="156"/>
      <c r="G507" s="156"/>
      <c r="H507" s="156"/>
      <c r="I507" s="156"/>
      <c r="J507" s="156"/>
      <c r="K507" s="155">
        <v>0.0</v>
      </c>
      <c r="L507" s="155">
        <f t="shared" ref="L507:M507" si="500">$K507*L$4/100</f>
        <v>0</v>
      </c>
      <c r="M507" s="155">
        <f t="shared" si="500"/>
        <v>0</v>
      </c>
    </row>
    <row r="508">
      <c r="A508" s="152">
        <f t="shared" si="7"/>
        <v>0</v>
      </c>
      <c r="B508" s="153">
        <f t="shared" si="8"/>
        <v>0</v>
      </c>
      <c r="C508" s="153">
        <f t="shared" si="9"/>
        <v>0</v>
      </c>
      <c r="D508" s="186"/>
      <c r="E508" s="161"/>
      <c r="F508" s="156"/>
      <c r="G508" s="156"/>
      <c r="H508" s="156"/>
      <c r="I508" s="156"/>
      <c r="J508" s="156"/>
      <c r="K508" s="155">
        <v>0.0</v>
      </c>
      <c r="L508" s="155">
        <f t="shared" ref="L508:M508" si="501">$K508*L$4/100</f>
        <v>0</v>
      </c>
      <c r="M508" s="155">
        <f t="shared" si="501"/>
        <v>0</v>
      </c>
    </row>
    <row r="509">
      <c r="A509" s="152">
        <f t="shared" si="7"/>
        <v>0</v>
      </c>
      <c r="B509" s="153">
        <f t="shared" si="8"/>
        <v>0</v>
      </c>
      <c r="C509" s="153">
        <f t="shared" si="9"/>
        <v>0</v>
      </c>
      <c r="D509" s="186"/>
      <c r="E509" s="161"/>
      <c r="F509" s="156"/>
      <c r="G509" s="156"/>
      <c r="H509" s="156"/>
      <c r="I509" s="156"/>
      <c r="J509" s="156"/>
      <c r="K509" s="155">
        <v>0.0</v>
      </c>
      <c r="L509" s="155">
        <f t="shared" ref="L509:M509" si="502">$K509*L$4/100</f>
        <v>0</v>
      </c>
      <c r="M509" s="155">
        <f t="shared" si="502"/>
        <v>0</v>
      </c>
    </row>
    <row r="510">
      <c r="A510" s="152">
        <f t="shared" si="7"/>
        <v>0</v>
      </c>
      <c r="B510" s="153">
        <f t="shared" si="8"/>
        <v>0</v>
      </c>
      <c r="C510" s="153">
        <f t="shared" si="9"/>
        <v>0</v>
      </c>
      <c r="D510" s="186"/>
      <c r="E510" s="161"/>
      <c r="F510" s="156"/>
      <c r="G510" s="156"/>
      <c r="H510" s="156"/>
      <c r="I510" s="156"/>
      <c r="J510" s="156"/>
      <c r="K510" s="155">
        <v>0.0</v>
      </c>
      <c r="L510" s="155">
        <f t="shared" ref="L510:M510" si="503">$K510*L$4/100</f>
        <v>0</v>
      </c>
      <c r="M510" s="155">
        <f t="shared" si="503"/>
        <v>0</v>
      </c>
    </row>
    <row r="511">
      <c r="A511" s="152">
        <f t="shared" si="7"/>
        <v>0</v>
      </c>
      <c r="B511" s="153">
        <f t="shared" si="8"/>
        <v>0</v>
      </c>
      <c r="C511" s="153">
        <f t="shared" si="9"/>
        <v>0</v>
      </c>
      <c r="D511" s="186"/>
      <c r="E511" s="161"/>
      <c r="F511" s="156"/>
      <c r="G511" s="156"/>
      <c r="H511" s="156"/>
      <c r="I511" s="156"/>
      <c r="J511" s="156"/>
      <c r="K511" s="155">
        <v>0.0</v>
      </c>
      <c r="L511" s="155">
        <f t="shared" ref="L511:M511" si="504">$K511*L$4/100</f>
        <v>0</v>
      </c>
      <c r="M511" s="155">
        <f t="shared" si="504"/>
        <v>0</v>
      </c>
    </row>
    <row r="512">
      <c r="A512" s="152">
        <f t="shared" si="7"/>
        <v>0</v>
      </c>
      <c r="B512" s="153">
        <f t="shared" si="8"/>
        <v>0</v>
      </c>
      <c r="C512" s="153">
        <f t="shared" si="9"/>
        <v>0</v>
      </c>
      <c r="D512" s="186"/>
      <c r="E512" s="161"/>
      <c r="F512" s="156"/>
      <c r="G512" s="156"/>
      <c r="H512" s="156"/>
      <c r="I512" s="156"/>
      <c r="J512" s="156"/>
      <c r="K512" s="155">
        <v>0.0</v>
      </c>
      <c r="L512" s="155">
        <f t="shared" ref="L512:M512" si="505">$K512*L$4/100</f>
        <v>0</v>
      </c>
      <c r="M512" s="155">
        <f t="shared" si="505"/>
        <v>0</v>
      </c>
    </row>
    <row r="513">
      <c r="A513" s="152">
        <f t="shared" si="7"/>
        <v>0</v>
      </c>
      <c r="B513" s="153">
        <f t="shared" si="8"/>
        <v>0</v>
      </c>
      <c r="C513" s="153">
        <f t="shared" si="9"/>
        <v>0</v>
      </c>
      <c r="D513" s="186"/>
      <c r="E513" s="161"/>
      <c r="F513" s="156"/>
      <c r="G513" s="156"/>
      <c r="H513" s="156"/>
      <c r="I513" s="156"/>
      <c r="J513" s="156"/>
      <c r="K513" s="155">
        <v>0.0</v>
      </c>
      <c r="L513" s="155">
        <f t="shared" ref="L513:M513" si="506">$K513*L$4/100</f>
        <v>0</v>
      </c>
      <c r="M513" s="155">
        <f t="shared" si="506"/>
        <v>0</v>
      </c>
    </row>
    <row r="514">
      <c r="A514" s="152">
        <f t="shared" si="7"/>
        <v>0</v>
      </c>
      <c r="B514" s="153">
        <f t="shared" si="8"/>
        <v>0</v>
      </c>
      <c r="C514" s="153">
        <f t="shared" si="9"/>
        <v>0</v>
      </c>
      <c r="D514" s="186"/>
      <c r="E514" s="161"/>
      <c r="F514" s="156"/>
      <c r="G514" s="156"/>
      <c r="H514" s="156"/>
      <c r="I514" s="156"/>
      <c r="J514" s="156"/>
      <c r="K514" s="155">
        <v>0.0</v>
      </c>
      <c r="L514" s="155">
        <f t="shared" ref="L514:M514" si="507">$K514*L$4/100</f>
        <v>0</v>
      </c>
      <c r="M514" s="155">
        <f t="shared" si="507"/>
        <v>0</v>
      </c>
    </row>
    <row r="515">
      <c r="A515" s="152">
        <f t="shared" si="7"/>
        <v>0</v>
      </c>
      <c r="B515" s="153">
        <f t="shared" si="8"/>
        <v>0</v>
      </c>
      <c r="C515" s="153">
        <f t="shared" si="9"/>
        <v>0</v>
      </c>
      <c r="D515" s="186"/>
      <c r="E515" s="161"/>
      <c r="F515" s="156"/>
      <c r="G515" s="156"/>
      <c r="H515" s="156"/>
      <c r="I515" s="156"/>
      <c r="J515" s="156"/>
      <c r="K515" s="155">
        <v>0.0</v>
      </c>
      <c r="L515" s="155">
        <f t="shared" ref="L515:M515" si="508">$K515*L$4/100</f>
        <v>0</v>
      </c>
      <c r="M515" s="155">
        <f t="shared" si="508"/>
        <v>0</v>
      </c>
    </row>
    <row r="516">
      <c r="A516" s="152">
        <f t="shared" si="7"/>
        <v>0</v>
      </c>
      <c r="B516" s="153">
        <f t="shared" si="8"/>
        <v>0</v>
      </c>
      <c r="C516" s="153">
        <f t="shared" si="9"/>
        <v>0</v>
      </c>
      <c r="D516" s="186"/>
      <c r="E516" s="161"/>
      <c r="F516" s="156"/>
      <c r="G516" s="156"/>
      <c r="H516" s="156"/>
      <c r="I516" s="156"/>
      <c r="J516" s="156"/>
      <c r="K516" s="155">
        <v>0.0</v>
      </c>
      <c r="L516" s="155">
        <f t="shared" ref="L516:M516" si="509">$K516*L$4/100</f>
        <v>0</v>
      </c>
      <c r="M516" s="155">
        <f t="shared" si="509"/>
        <v>0</v>
      </c>
    </row>
    <row r="517">
      <c r="A517" s="152">
        <f t="shared" si="7"/>
        <v>0</v>
      </c>
      <c r="B517" s="153">
        <f t="shared" si="8"/>
        <v>0</v>
      </c>
      <c r="C517" s="153">
        <f t="shared" si="9"/>
        <v>0</v>
      </c>
      <c r="D517" s="186"/>
      <c r="E517" s="161"/>
      <c r="F517" s="156"/>
      <c r="G517" s="156"/>
      <c r="H517" s="156"/>
      <c r="I517" s="156"/>
      <c r="J517" s="156"/>
      <c r="K517" s="155">
        <v>0.0</v>
      </c>
      <c r="L517" s="155">
        <f t="shared" ref="L517:M517" si="510">$K517*L$4/100</f>
        <v>0</v>
      </c>
      <c r="M517" s="155">
        <f t="shared" si="510"/>
        <v>0</v>
      </c>
    </row>
    <row r="518">
      <c r="A518" s="152">
        <f t="shared" si="7"/>
        <v>0</v>
      </c>
      <c r="B518" s="153">
        <f t="shared" si="8"/>
        <v>0</v>
      </c>
      <c r="C518" s="153">
        <f t="shared" si="9"/>
        <v>0</v>
      </c>
      <c r="D518" s="186"/>
      <c r="E518" s="161"/>
      <c r="F518" s="156"/>
      <c r="G518" s="156"/>
      <c r="H518" s="156"/>
      <c r="I518" s="156"/>
      <c r="J518" s="156"/>
      <c r="K518" s="155">
        <v>0.0</v>
      </c>
      <c r="L518" s="155">
        <f t="shared" ref="L518:M518" si="511">$K518*L$4/100</f>
        <v>0</v>
      </c>
      <c r="M518" s="155">
        <f t="shared" si="511"/>
        <v>0</v>
      </c>
    </row>
    <row r="519">
      <c r="A519" s="152">
        <f t="shared" si="7"/>
        <v>0</v>
      </c>
      <c r="B519" s="153">
        <f t="shared" si="8"/>
        <v>0</v>
      </c>
      <c r="C519" s="153">
        <f t="shared" si="9"/>
        <v>0</v>
      </c>
      <c r="D519" s="186"/>
      <c r="E519" s="161"/>
      <c r="F519" s="156"/>
      <c r="G519" s="156"/>
      <c r="H519" s="156"/>
      <c r="I519" s="156"/>
      <c r="J519" s="156"/>
      <c r="K519" s="155">
        <v>0.0</v>
      </c>
      <c r="L519" s="155">
        <f t="shared" ref="L519:M519" si="512">$K519*L$4/100</f>
        <v>0</v>
      </c>
      <c r="M519" s="155">
        <f t="shared" si="512"/>
        <v>0</v>
      </c>
    </row>
    <row r="520">
      <c r="A520" s="152">
        <f t="shared" si="7"/>
        <v>0</v>
      </c>
      <c r="B520" s="153">
        <f t="shared" si="8"/>
        <v>0</v>
      </c>
      <c r="C520" s="153">
        <f t="shared" si="9"/>
        <v>0</v>
      </c>
      <c r="D520" s="186"/>
      <c r="E520" s="161"/>
      <c r="F520" s="156"/>
      <c r="G520" s="156"/>
      <c r="H520" s="156"/>
      <c r="I520" s="156"/>
      <c r="J520" s="156"/>
      <c r="K520" s="155">
        <v>0.0</v>
      </c>
      <c r="L520" s="155">
        <f t="shared" ref="L520:M520" si="513">$K520*L$4/100</f>
        <v>0</v>
      </c>
      <c r="M520" s="155">
        <f t="shared" si="513"/>
        <v>0</v>
      </c>
    </row>
    <row r="521">
      <c r="A521" s="152">
        <f t="shared" si="7"/>
        <v>0</v>
      </c>
      <c r="B521" s="153">
        <f t="shared" si="8"/>
        <v>0</v>
      </c>
      <c r="C521" s="153">
        <f t="shared" si="9"/>
        <v>0</v>
      </c>
      <c r="D521" s="186"/>
      <c r="E521" s="161"/>
      <c r="F521" s="156"/>
      <c r="G521" s="156"/>
      <c r="H521" s="156"/>
      <c r="I521" s="156"/>
      <c r="J521" s="156"/>
      <c r="K521" s="155">
        <v>0.0</v>
      </c>
      <c r="L521" s="155">
        <f t="shared" ref="L521:M521" si="514">$K521*L$4/100</f>
        <v>0</v>
      </c>
      <c r="M521" s="155">
        <f t="shared" si="514"/>
        <v>0</v>
      </c>
    </row>
    <row r="522">
      <c r="A522" s="152">
        <f t="shared" si="7"/>
        <v>0</v>
      </c>
      <c r="B522" s="153">
        <f t="shared" si="8"/>
        <v>0</v>
      </c>
      <c r="C522" s="153">
        <f t="shared" si="9"/>
        <v>0</v>
      </c>
      <c r="D522" s="186"/>
      <c r="E522" s="161"/>
      <c r="F522" s="156"/>
      <c r="G522" s="156"/>
      <c r="H522" s="156"/>
      <c r="I522" s="156"/>
      <c r="J522" s="156"/>
      <c r="K522" s="155">
        <v>0.0</v>
      </c>
      <c r="L522" s="155">
        <f t="shared" ref="L522:M522" si="515">$K522*L$4/100</f>
        <v>0</v>
      </c>
      <c r="M522" s="155">
        <f t="shared" si="515"/>
        <v>0</v>
      </c>
    </row>
    <row r="523">
      <c r="A523" s="152">
        <f t="shared" si="7"/>
        <v>0</v>
      </c>
      <c r="B523" s="153">
        <f t="shared" si="8"/>
        <v>0</v>
      </c>
      <c r="C523" s="153">
        <f t="shared" si="9"/>
        <v>0</v>
      </c>
      <c r="D523" s="186"/>
      <c r="E523" s="161"/>
      <c r="F523" s="156"/>
      <c r="G523" s="156"/>
      <c r="H523" s="156"/>
      <c r="I523" s="156"/>
      <c r="J523" s="156"/>
      <c r="K523" s="155">
        <v>0.0</v>
      </c>
      <c r="L523" s="155">
        <f t="shared" ref="L523:M523" si="516">$K523*L$4/100</f>
        <v>0</v>
      </c>
      <c r="M523" s="155">
        <f t="shared" si="516"/>
        <v>0</v>
      </c>
    </row>
    <row r="524">
      <c r="A524" s="152">
        <f t="shared" si="7"/>
        <v>0</v>
      </c>
      <c r="B524" s="153">
        <f t="shared" si="8"/>
        <v>0</v>
      </c>
      <c r="C524" s="153">
        <f t="shared" si="9"/>
        <v>0</v>
      </c>
      <c r="D524" s="186"/>
      <c r="E524" s="161"/>
      <c r="F524" s="156"/>
      <c r="G524" s="156"/>
      <c r="H524" s="156"/>
      <c r="I524" s="156"/>
      <c r="J524" s="156"/>
      <c r="K524" s="155">
        <v>0.0</v>
      </c>
      <c r="L524" s="155">
        <f t="shared" ref="L524:M524" si="517">$K524*L$4/100</f>
        <v>0</v>
      </c>
      <c r="M524" s="155">
        <f t="shared" si="517"/>
        <v>0</v>
      </c>
    </row>
    <row r="525">
      <c r="A525" s="152">
        <f t="shared" si="7"/>
        <v>0</v>
      </c>
      <c r="B525" s="153">
        <f t="shared" si="8"/>
        <v>0</v>
      </c>
      <c r="C525" s="153">
        <f t="shared" si="9"/>
        <v>0</v>
      </c>
      <c r="D525" s="186"/>
      <c r="E525" s="161"/>
      <c r="F525" s="156"/>
      <c r="G525" s="156"/>
      <c r="H525" s="156"/>
      <c r="I525" s="156"/>
      <c r="J525" s="156"/>
      <c r="K525" s="155">
        <v>0.0</v>
      </c>
      <c r="L525" s="155">
        <f t="shared" ref="L525:M525" si="518">$K525*L$4/100</f>
        <v>0</v>
      </c>
      <c r="M525" s="155">
        <f t="shared" si="518"/>
        <v>0</v>
      </c>
    </row>
    <row r="526">
      <c r="A526" s="152">
        <f t="shared" si="7"/>
        <v>0</v>
      </c>
      <c r="B526" s="153">
        <f t="shared" si="8"/>
        <v>0</v>
      </c>
      <c r="C526" s="153">
        <f t="shared" si="9"/>
        <v>0</v>
      </c>
      <c r="D526" s="186"/>
      <c r="E526" s="161"/>
      <c r="F526" s="156"/>
      <c r="G526" s="156"/>
      <c r="H526" s="156"/>
      <c r="I526" s="156"/>
      <c r="J526" s="156"/>
      <c r="K526" s="155">
        <v>0.0</v>
      </c>
      <c r="L526" s="155">
        <f t="shared" ref="L526:M526" si="519">$K526*L$4/100</f>
        <v>0</v>
      </c>
      <c r="M526" s="155">
        <f t="shared" si="519"/>
        <v>0</v>
      </c>
    </row>
    <row r="527">
      <c r="A527" s="152">
        <f t="shared" si="7"/>
        <v>0</v>
      </c>
      <c r="B527" s="153">
        <f t="shared" si="8"/>
        <v>0</v>
      </c>
      <c r="C527" s="153">
        <f t="shared" si="9"/>
        <v>0</v>
      </c>
      <c r="D527" s="186"/>
      <c r="E527" s="161"/>
      <c r="F527" s="156"/>
      <c r="G527" s="156"/>
      <c r="H527" s="156"/>
      <c r="I527" s="156"/>
      <c r="J527" s="156"/>
      <c r="K527" s="155">
        <v>0.0</v>
      </c>
      <c r="L527" s="155">
        <f t="shared" ref="L527:M527" si="520">$K527*L$4/100</f>
        <v>0</v>
      </c>
      <c r="M527" s="155">
        <f t="shared" si="520"/>
        <v>0</v>
      </c>
    </row>
    <row r="528">
      <c r="A528" s="152">
        <f t="shared" si="7"/>
        <v>0</v>
      </c>
      <c r="B528" s="153">
        <f t="shared" si="8"/>
        <v>0</v>
      </c>
      <c r="C528" s="153">
        <f t="shared" si="9"/>
        <v>0</v>
      </c>
      <c r="D528" s="186"/>
      <c r="E528" s="161"/>
      <c r="F528" s="156"/>
      <c r="G528" s="156"/>
      <c r="H528" s="156"/>
      <c r="I528" s="156"/>
      <c r="J528" s="156"/>
      <c r="K528" s="155">
        <v>0.0</v>
      </c>
      <c r="L528" s="155">
        <f t="shared" ref="L528:M528" si="521">$K528*L$4/100</f>
        <v>0</v>
      </c>
      <c r="M528" s="155">
        <f t="shared" si="521"/>
        <v>0</v>
      </c>
    </row>
    <row r="529">
      <c r="A529" s="152">
        <f t="shared" si="7"/>
        <v>0</v>
      </c>
      <c r="B529" s="153">
        <f t="shared" si="8"/>
        <v>0</v>
      </c>
      <c r="C529" s="153">
        <f t="shared" si="9"/>
        <v>0</v>
      </c>
      <c r="D529" s="186"/>
      <c r="E529" s="161"/>
      <c r="F529" s="156"/>
      <c r="G529" s="156"/>
      <c r="H529" s="156"/>
      <c r="I529" s="156"/>
      <c r="J529" s="156"/>
      <c r="K529" s="155">
        <v>0.0</v>
      </c>
      <c r="L529" s="155">
        <f t="shared" ref="L529:M529" si="522">$K529*L$4/100</f>
        <v>0</v>
      </c>
      <c r="M529" s="155">
        <f t="shared" si="522"/>
        <v>0</v>
      </c>
    </row>
    <row r="530">
      <c r="A530" s="152">
        <f t="shared" si="7"/>
        <v>0</v>
      </c>
      <c r="B530" s="153">
        <f t="shared" si="8"/>
        <v>0</v>
      </c>
      <c r="C530" s="153">
        <f t="shared" si="9"/>
        <v>0</v>
      </c>
      <c r="D530" s="186"/>
      <c r="E530" s="161"/>
      <c r="F530" s="156"/>
      <c r="G530" s="156"/>
      <c r="H530" s="156"/>
      <c r="I530" s="156"/>
      <c r="J530" s="156"/>
      <c r="K530" s="155">
        <v>0.0</v>
      </c>
      <c r="L530" s="155">
        <f t="shared" ref="L530:M530" si="523">$K530*L$4/100</f>
        <v>0</v>
      </c>
      <c r="M530" s="155">
        <f t="shared" si="523"/>
        <v>0</v>
      </c>
    </row>
    <row r="531">
      <c r="A531" s="152">
        <f t="shared" si="7"/>
        <v>0</v>
      </c>
      <c r="B531" s="153">
        <f t="shared" si="8"/>
        <v>0</v>
      </c>
      <c r="C531" s="153">
        <f t="shared" si="9"/>
        <v>0</v>
      </c>
      <c r="D531" s="186"/>
      <c r="E531" s="161"/>
      <c r="F531" s="156"/>
      <c r="G531" s="156"/>
      <c r="H531" s="156"/>
      <c r="I531" s="156"/>
      <c r="J531" s="156"/>
      <c r="K531" s="155">
        <v>0.0</v>
      </c>
      <c r="L531" s="155">
        <f t="shared" ref="L531:M531" si="524">$K531*L$4/100</f>
        <v>0</v>
      </c>
      <c r="M531" s="155">
        <f t="shared" si="524"/>
        <v>0</v>
      </c>
    </row>
    <row r="532">
      <c r="A532" s="152">
        <f t="shared" si="7"/>
        <v>0</v>
      </c>
      <c r="B532" s="153">
        <f t="shared" si="8"/>
        <v>0</v>
      </c>
      <c r="C532" s="153">
        <f t="shared" si="9"/>
        <v>0</v>
      </c>
      <c r="D532" s="186"/>
      <c r="E532" s="161"/>
      <c r="F532" s="156"/>
      <c r="G532" s="156"/>
      <c r="H532" s="156"/>
      <c r="I532" s="156"/>
      <c r="J532" s="156"/>
      <c r="K532" s="155">
        <v>0.0</v>
      </c>
      <c r="L532" s="155">
        <f t="shared" ref="L532:M532" si="525">$K532*L$4/100</f>
        <v>0</v>
      </c>
      <c r="M532" s="155">
        <f t="shared" si="525"/>
        <v>0</v>
      </c>
    </row>
    <row r="533">
      <c r="A533" s="152">
        <f t="shared" si="7"/>
        <v>0</v>
      </c>
      <c r="B533" s="153">
        <f t="shared" si="8"/>
        <v>0</v>
      </c>
      <c r="C533" s="153">
        <f t="shared" si="9"/>
        <v>0</v>
      </c>
      <c r="D533" s="186"/>
      <c r="E533" s="161"/>
      <c r="F533" s="156"/>
      <c r="G533" s="156"/>
      <c r="H533" s="156"/>
      <c r="I533" s="156"/>
      <c r="J533" s="156"/>
      <c r="K533" s="155">
        <v>0.0</v>
      </c>
      <c r="L533" s="155">
        <f t="shared" ref="L533:M533" si="526">$K533*L$4/100</f>
        <v>0</v>
      </c>
      <c r="M533" s="155">
        <f t="shared" si="526"/>
        <v>0</v>
      </c>
    </row>
    <row r="534">
      <c r="A534" s="152">
        <f t="shared" si="7"/>
        <v>0</v>
      </c>
      <c r="B534" s="153">
        <f t="shared" si="8"/>
        <v>0</v>
      </c>
      <c r="C534" s="153">
        <f t="shared" si="9"/>
        <v>0</v>
      </c>
      <c r="D534" s="186"/>
      <c r="E534" s="161"/>
      <c r="F534" s="156"/>
      <c r="G534" s="156"/>
      <c r="H534" s="156"/>
      <c r="I534" s="156"/>
      <c r="J534" s="156"/>
      <c r="K534" s="155">
        <v>0.0</v>
      </c>
      <c r="L534" s="155">
        <f t="shared" ref="L534:M534" si="527">$K534*L$4/100</f>
        <v>0</v>
      </c>
      <c r="M534" s="155">
        <f t="shared" si="527"/>
        <v>0</v>
      </c>
    </row>
    <row r="535">
      <c r="A535" s="152">
        <f t="shared" si="7"/>
        <v>0</v>
      </c>
      <c r="B535" s="153">
        <f t="shared" si="8"/>
        <v>0</v>
      </c>
      <c r="C535" s="153">
        <f t="shared" si="9"/>
        <v>0</v>
      </c>
      <c r="D535" s="186"/>
      <c r="E535" s="161"/>
      <c r="F535" s="156"/>
      <c r="G535" s="156"/>
      <c r="H535" s="156"/>
      <c r="I535" s="156"/>
      <c r="J535" s="156"/>
      <c r="K535" s="155">
        <v>0.0</v>
      </c>
      <c r="L535" s="155">
        <f t="shared" ref="L535:M535" si="528">$K535*L$4/100</f>
        <v>0</v>
      </c>
      <c r="M535" s="155">
        <f t="shared" si="528"/>
        <v>0</v>
      </c>
    </row>
    <row r="536">
      <c r="A536" s="152">
        <f t="shared" si="7"/>
        <v>0</v>
      </c>
      <c r="B536" s="153">
        <f t="shared" si="8"/>
        <v>0</v>
      </c>
      <c r="C536" s="153">
        <f t="shared" si="9"/>
        <v>0</v>
      </c>
      <c r="D536" s="186"/>
      <c r="E536" s="161"/>
      <c r="F536" s="156"/>
      <c r="G536" s="156"/>
      <c r="H536" s="156"/>
      <c r="I536" s="156"/>
      <c r="J536" s="156"/>
      <c r="K536" s="155">
        <v>0.0</v>
      </c>
      <c r="L536" s="155">
        <f t="shared" ref="L536:M536" si="529">$K536*L$4/100</f>
        <v>0</v>
      </c>
      <c r="M536" s="155">
        <f t="shared" si="529"/>
        <v>0</v>
      </c>
    </row>
    <row r="537">
      <c r="A537" s="152">
        <f t="shared" si="7"/>
        <v>0</v>
      </c>
      <c r="B537" s="153">
        <f t="shared" si="8"/>
        <v>0</v>
      </c>
      <c r="C537" s="153">
        <f t="shared" si="9"/>
        <v>0</v>
      </c>
      <c r="D537" s="186"/>
      <c r="E537" s="161"/>
      <c r="F537" s="156"/>
      <c r="G537" s="156"/>
      <c r="H537" s="156"/>
      <c r="I537" s="156"/>
      <c r="J537" s="156"/>
      <c r="K537" s="155">
        <v>0.0</v>
      </c>
      <c r="L537" s="155">
        <f t="shared" ref="L537:M537" si="530">$K537*L$4/100</f>
        <v>0</v>
      </c>
      <c r="M537" s="155">
        <f t="shared" si="530"/>
        <v>0</v>
      </c>
    </row>
    <row r="538">
      <c r="A538" s="152">
        <f t="shared" si="7"/>
        <v>0</v>
      </c>
      <c r="B538" s="153">
        <f t="shared" si="8"/>
        <v>0</v>
      </c>
      <c r="C538" s="153">
        <f t="shared" si="9"/>
        <v>0</v>
      </c>
      <c r="D538" s="186"/>
      <c r="E538" s="161"/>
      <c r="F538" s="156"/>
      <c r="G538" s="156"/>
      <c r="H538" s="156"/>
      <c r="I538" s="156"/>
      <c r="J538" s="156"/>
      <c r="K538" s="155">
        <v>0.0</v>
      </c>
      <c r="L538" s="155">
        <f t="shared" ref="L538:M538" si="531">$K538*L$4/100</f>
        <v>0</v>
      </c>
      <c r="M538" s="155">
        <f t="shared" si="531"/>
        <v>0</v>
      </c>
    </row>
    <row r="539">
      <c r="A539" s="152">
        <f t="shared" si="7"/>
        <v>0</v>
      </c>
      <c r="B539" s="153">
        <f t="shared" si="8"/>
        <v>0</v>
      </c>
      <c r="C539" s="153">
        <f t="shared" si="9"/>
        <v>0</v>
      </c>
      <c r="D539" s="186"/>
      <c r="E539" s="161"/>
      <c r="F539" s="156"/>
      <c r="G539" s="156"/>
      <c r="H539" s="156"/>
      <c r="I539" s="156"/>
      <c r="J539" s="156"/>
      <c r="K539" s="155">
        <v>0.0</v>
      </c>
      <c r="L539" s="155">
        <f t="shared" ref="L539:M539" si="532">$K539*L$4/100</f>
        <v>0</v>
      </c>
      <c r="M539" s="155">
        <f t="shared" si="532"/>
        <v>0</v>
      </c>
    </row>
    <row r="540">
      <c r="A540" s="152">
        <f t="shared" si="7"/>
        <v>0</v>
      </c>
      <c r="B540" s="153">
        <f t="shared" si="8"/>
        <v>0</v>
      </c>
      <c r="C540" s="153">
        <f t="shared" si="9"/>
        <v>0</v>
      </c>
      <c r="D540" s="186"/>
      <c r="E540" s="161"/>
      <c r="F540" s="156"/>
      <c r="G540" s="156"/>
      <c r="H540" s="156"/>
      <c r="I540" s="156"/>
      <c r="J540" s="156"/>
      <c r="K540" s="155">
        <v>0.0</v>
      </c>
      <c r="L540" s="155">
        <f t="shared" ref="L540:M540" si="533">$K540*L$4/100</f>
        <v>0</v>
      </c>
      <c r="M540" s="155">
        <f t="shared" si="533"/>
        <v>0</v>
      </c>
    </row>
    <row r="541">
      <c r="A541" s="152">
        <f t="shared" si="7"/>
        <v>0</v>
      </c>
      <c r="B541" s="153">
        <f t="shared" si="8"/>
        <v>0</v>
      </c>
      <c r="C541" s="153">
        <f t="shared" si="9"/>
        <v>0</v>
      </c>
      <c r="D541" s="186"/>
      <c r="E541" s="161"/>
      <c r="F541" s="156"/>
      <c r="G541" s="156"/>
      <c r="H541" s="156"/>
      <c r="I541" s="156"/>
      <c r="J541" s="156"/>
      <c r="K541" s="155">
        <v>0.0</v>
      </c>
      <c r="L541" s="155">
        <f t="shared" ref="L541:M541" si="534">$K541*L$4/100</f>
        <v>0</v>
      </c>
      <c r="M541" s="155">
        <f t="shared" si="534"/>
        <v>0</v>
      </c>
    </row>
    <row r="542">
      <c r="A542" s="152">
        <f t="shared" si="7"/>
        <v>0</v>
      </c>
      <c r="B542" s="153">
        <f t="shared" si="8"/>
        <v>0</v>
      </c>
      <c r="C542" s="153">
        <f t="shared" si="9"/>
        <v>0</v>
      </c>
      <c r="D542" s="186"/>
      <c r="E542" s="161"/>
      <c r="F542" s="156"/>
      <c r="G542" s="156"/>
      <c r="H542" s="156"/>
      <c r="I542" s="156"/>
      <c r="J542" s="156"/>
      <c r="K542" s="155">
        <v>0.0</v>
      </c>
      <c r="L542" s="155">
        <f t="shared" ref="L542:M542" si="535">$K542*L$4/100</f>
        <v>0</v>
      </c>
      <c r="M542" s="155">
        <f t="shared" si="535"/>
        <v>0</v>
      </c>
    </row>
    <row r="543">
      <c r="A543" s="152">
        <f t="shared" si="7"/>
        <v>0</v>
      </c>
      <c r="B543" s="153">
        <f t="shared" si="8"/>
        <v>0</v>
      </c>
      <c r="C543" s="153">
        <f t="shared" si="9"/>
        <v>0</v>
      </c>
      <c r="D543" s="186"/>
      <c r="E543" s="161"/>
      <c r="F543" s="156"/>
      <c r="G543" s="156"/>
      <c r="H543" s="156"/>
      <c r="I543" s="156"/>
      <c r="J543" s="156"/>
      <c r="K543" s="155">
        <v>0.0</v>
      </c>
      <c r="L543" s="155">
        <f t="shared" ref="L543:M543" si="536">$K543*L$4/100</f>
        <v>0</v>
      </c>
      <c r="M543" s="155">
        <f t="shared" si="536"/>
        <v>0</v>
      </c>
    </row>
    <row r="544">
      <c r="A544" s="152">
        <f t="shared" si="7"/>
        <v>0</v>
      </c>
      <c r="B544" s="153">
        <f t="shared" si="8"/>
        <v>0</v>
      </c>
      <c r="C544" s="153">
        <f t="shared" si="9"/>
        <v>0</v>
      </c>
      <c r="D544" s="186"/>
      <c r="E544" s="161"/>
      <c r="F544" s="156"/>
      <c r="G544" s="156"/>
      <c r="H544" s="156"/>
      <c r="I544" s="156"/>
      <c r="J544" s="156"/>
      <c r="K544" s="155">
        <v>0.0</v>
      </c>
      <c r="L544" s="155">
        <f t="shared" ref="L544:M544" si="537">$K544*L$4/100</f>
        <v>0</v>
      </c>
      <c r="M544" s="155">
        <f t="shared" si="537"/>
        <v>0</v>
      </c>
    </row>
    <row r="545">
      <c r="A545" s="152">
        <f t="shared" si="7"/>
        <v>0</v>
      </c>
      <c r="B545" s="153">
        <f t="shared" si="8"/>
        <v>0</v>
      </c>
      <c r="C545" s="153">
        <f t="shared" si="9"/>
        <v>0</v>
      </c>
      <c r="D545" s="186"/>
      <c r="E545" s="161"/>
      <c r="F545" s="156"/>
      <c r="G545" s="156"/>
      <c r="H545" s="156"/>
      <c r="I545" s="156"/>
      <c r="J545" s="156"/>
      <c r="K545" s="155">
        <v>0.0</v>
      </c>
      <c r="L545" s="155">
        <f t="shared" ref="L545:M545" si="538">$K545*L$4/100</f>
        <v>0</v>
      </c>
      <c r="M545" s="155">
        <f t="shared" si="538"/>
        <v>0</v>
      </c>
    </row>
    <row r="546">
      <c r="A546" s="152">
        <f t="shared" si="7"/>
        <v>0</v>
      </c>
      <c r="B546" s="153">
        <f t="shared" si="8"/>
        <v>0</v>
      </c>
      <c r="C546" s="153">
        <f t="shared" si="9"/>
        <v>0</v>
      </c>
      <c r="D546" s="186"/>
      <c r="E546" s="161"/>
      <c r="F546" s="156"/>
      <c r="G546" s="156"/>
      <c r="H546" s="156"/>
      <c r="I546" s="156"/>
      <c r="J546" s="156"/>
      <c r="K546" s="155">
        <v>0.0</v>
      </c>
      <c r="L546" s="155">
        <f t="shared" ref="L546:M546" si="539">$K546*L$4/100</f>
        <v>0</v>
      </c>
      <c r="M546" s="155">
        <f t="shared" si="539"/>
        <v>0</v>
      </c>
    </row>
    <row r="547">
      <c r="A547" s="152">
        <f t="shared" si="7"/>
        <v>0</v>
      </c>
      <c r="B547" s="153">
        <f t="shared" si="8"/>
        <v>0</v>
      </c>
      <c r="C547" s="153">
        <f t="shared" si="9"/>
        <v>0</v>
      </c>
      <c r="D547" s="186"/>
      <c r="E547" s="161"/>
      <c r="F547" s="156"/>
      <c r="G547" s="156"/>
      <c r="H547" s="156"/>
      <c r="I547" s="156"/>
      <c r="J547" s="156"/>
      <c r="K547" s="155">
        <v>0.0</v>
      </c>
      <c r="L547" s="155">
        <f t="shared" ref="L547:M547" si="540">$K547*L$4/100</f>
        <v>0</v>
      </c>
      <c r="M547" s="155">
        <f t="shared" si="540"/>
        <v>0</v>
      </c>
    </row>
    <row r="548">
      <c r="A548" s="152">
        <f t="shared" si="7"/>
        <v>0</v>
      </c>
      <c r="B548" s="153">
        <f t="shared" si="8"/>
        <v>0</v>
      </c>
      <c r="C548" s="153">
        <f t="shared" si="9"/>
        <v>0</v>
      </c>
      <c r="D548" s="186"/>
      <c r="E548" s="161"/>
      <c r="F548" s="156"/>
      <c r="G548" s="156"/>
      <c r="H548" s="156"/>
      <c r="I548" s="156"/>
      <c r="J548" s="156"/>
      <c r="K548" s="155">
        <v>0.0</v>
      </c>
      <c r="L548" s="155">
        <f t="shared" ref="L548:M548" si="541">$K548*L$4/100</f>
        <v>0</v>
      </c>
      <c r="M548" s="155">
        <f t="shared" si="541"/>
        <v>0</v>
      </c>
    </row>
    <row r="549">
      <c r="A549" s="152">
        <f t="shared" si="7"/>
        <v>0</v>
      </c>
      <c r="B549" s="153">
        <f t="shared" si="8"/>
        <v>0</v>
      </c>
      <c r="C549" s="153">
        <f t="shared" si="9"/>
        <v>0</v>
      </c>
      <c r="D549" s="186"/>
      <c r="E549" s="161"/>
      <c r="F549" s="156"/>
      <c r="G549" s="156"/>
      <c r="H549" s="156"/>
      <c r="I549" s="156"/>
      <c r="J549" s="156"/>
      <c r="K549" s="155">
        <v>0.0</v>
      </c>
      <c r="L549" s="155">
        <f t="shared" ref="L549:M549" si="542">$K549*L$4/100</f>
        <v>0</v>
      </c>
      <c r="M549" s="155">
        <f t="shared" si="542"/>
        <v>0</v>
      </c>
    </row>
    <row r="550">
      <c r="A550" s="152">
        <f t="shared" si="7"/>
        <v>0</v>
      </c>
      <c r="B550" s="153">
        <f t="shared" si="8"/>
        <v>0</v>
      </c>
      <c r="C550" s="153">
        <f t="shared" si="9"/>
        <v>0</v>
      </c>
      <c r="D550" s="186"/>
      <c r="E550" s="161"/>
      <c r="F550" s="156"/>
      <c r="G550" s="156"/>
      <c r="H550" s="156"/>
      <c r="I550" s="156"/>
      <c r="J550" s="156"/>
      <c r="K550" s="155">
        <v>0.0</v>
      </c>
      <c r="L550" s="155">
        <f t="shared" ref="L550:M550" si="543">$K550*L$4/100</f>
        <v>0</v>
      </c>
      <c r="M550" s="155">
        <f t="shared" si="543"/>
        <v>0</v>
      </c>
    </row>
    <row r="551">
      <c r="A551" s="152">
        <f t="shared" si="7"/>
        <v>0</v>
      </c>
      <c r="B551" s="153">
        <f t="shared" si="8"/>
        <v>0</v>
      </c>
      <c r="C551" s="153">
        <f t="shared" si="9"/>
        <v>0</v>
      </c>
      <c r="D551" s="186"/>
      <c r="E551" s="161"/>
      <c r="F551" s="156"/>
      <c r="G551" s="156"/>
      <c r="H551" s="156"/>
      <c r="I551" s="156"/>
      <c r="J551" s="156"/>
      <c r="K551" s="155">
        <v>0.0</v>
      </c>
      <c r="L551" s="155">
        <f t="shared" ref="L551:M551" si="544">$K551*L$4/100</f>
        <v>0</v>
      </c>
      <c r="M551" s="155">
        <f t="shared" si="544"/>
        <v>0</v>
      </c>
    </row>
    <row r="552">
      <c r="A552" s="152">
        <f t="shared" si="7"/>
        <v>0</v>
      </c>
      <c r="B552" s="153">
        <f t="shared" si="8"/>
        <v>0</v>
      </c>
      <c r="C552" s="153">
        <f t="shared" si="9"/>
        <v>0</v>
      </c>
      <c r="D552" s="186"/>
      <c r="E552" s="161"/>
      <c r="F552" s="156"/>
      <c r="G552" s="156"/>
      <c r="H552" s="156"/>
      <c r="I552" s="156"/>
      <c r="J552" s="156"/>
      <c r="K552" s="155">
        <v>0.0</v>
      </c>
      <c r="L552" s="155">
        <f t="shared" ref="L552:M552" si="545">$K552*L$4/100</f>
        <v>0</v>
      </c>
      <c r="M552" s="155">
        <f t="shared" si="545"/>
        <v>0</v>
      </c>
    </row>
    <row r="553">
      <c r="A553" s="152">
        <f t="shared" si="7"/>
        <v>0</v>
      </c>
      <c r="B553" s="153">
        <f t="shared" si="8"/>
        <v>0</v>
      </c>
      <c r="C553" s="153">
        <f t="shared" si="9"/>
        <v>0</v>
      </c>
      <c r="D553" s="186"/>
      <c r="E553" s="161"/>
      <c r="F553" s="156"/>
      <c r="G553" s="156"/>
      <c r="H553" s="156"/>
      <c r="I553" s="156"/>
      <c r="J553" s="156"/>
      <c r="K553" s="155">
        <v>0.0</v>
      </c>
      <c r="L553" s="155">
        <f t="shared" ref="L553:M553" si="546">$K553*L$4/100</f>
        <v>0</v>
      </c>
      <c r="M553" s="155">
        <f t="shared" si="546"/>
        <v>0</v>
      </c>
    </row>
    <row r="554">
      <c r="A554" s="152">
        <f t="shared" si="7"/>
        <v>0</v>
      </c>
      <c r="B554" s="153">
        <f t="shared" si="8"/>
        <v>0</v>
      </c>
      <c r="C554" s="153">
        <f t="shared" si="9"/>
        <v>0</v>
      </c>
      <c r="D554" s="186"/>
      <c r="E554" s="161"/>
      <c r="F554" s="156"/>
      <c r="G554" s="156"/>
      <c r="H554" s="156"/>
      <c r="I554" s="156"/>
      <c r="J554" s="156"/>
      <c r="K554" s="155">
        <v>0.0</v>
      </c>
      <c r="L554" s="155">
        <f t="shared" ref="L554:M554" si="547">$K554*L$4/100</f>
        <v>0</v>
      </c>
      <c r="M554" s="155">
        <f t="shared" si="547"/>
        <v>0</v>
      </c>
    </row>
    <row r="555">
      <c r="A555" s="152">
        <f t="shared" si="7"/>
        <v>0</v>
      </c>
      <c r="B555" s="153">
        <f t="shared" si="8"/>
        <v>0</v>
      </c>
      <c r="C555" s="153">
        <f t="shared" si="9"/>
        <v>0</v>
      </c>
      <c r="D555" s="186"/>
      <c r="E555" s="161"/>
      <c r="F555" s="156"/>
      <c r="G555" s="156"/>
      <c r="H555" s="156"/>
      <c r="I555" s="156"/>
      <c r="J555" s="156"/>
      <c r="K555" s="155">
        <v>0.0</v>
      </c>
      <c r="L555" s="155">
        <f t="shared" ref="L555:M555" si="548">$K555*L$4/100</f>
        <v>0</v>
      </c>
      <c r="M555" s="155">
        <f t="shared" si="548"/>
        <v>0</v>
      </c>
    </row>
    <row r="556">
      <c r="A556" s="152">
        <f t="shared" si="7"/>
        <v>0</v>
      </c>
      <c r="B556" s="153">
        <f t="shared" si="8"/>
        <v>0</v>
      </c>
      <c r="C556" s="153">
        <f t="shared" si="9"/>
        <v>0</v>
      </c>
      <c r="D556" s="186"/>
      <c r="E556" s="161"/>
      <c r="F556" s="156"/>
      <c r="G556" s="156"/>
      <c r="H556" s="156"/>
      <c r="I556" s="156"/>
      <c r="J556" s="156"/>
      <c r="K556" s="155">
        <v>0.0</v>
      </c>
      <c r="L556" s="155">
        <f t="shared" ref="L556:M556" si="549">$K556*L$4/100</f>
        <v>0</v>
      </c>
      <c r="M556" s="155">
        <f t="shared" si="549"/>
        <v>0</v>
      </c>
    </row>
    <row r="557">
      <c r="A557" s="152">
        <f t="shared" si="7"/>
        <v>0</v>
      </c>
      <c r="B557" s="153">
        <f t="shared" si="8"/>
        <v>0</v>
      </c>
      <c r="C557" s="153">
        <f t="shared" si="9"/>
        <v>0</v>
      </c>
      <c r="D557" s="186"/>
      <c r="E557" s="161"/>
      <c r="F557" s="156"/>
      <c r="G557" s="156"/>
      <c r="H557" s="156"/>
      <c r="I557" s="156"/>
      <c r="J557" s="156"/>
      <c r="K557" s="155">
        <v>0.0</v>
      </c>
      <c r="L557" s="155">
        <f t="shared" ref="L557:M557" si="550">$K557*L$4/100</f>
        <v>0</v>
      </c>
      <c r="M557" s="155">
        <f t="shared" si="550"/>
        <v>0</v>
      </c>
    </row>
    <row r="558">
      <c r="A558" s="152">
        <f t="shared" si="7"/>
        <v>0</v>
      </c>
      <c r="B558" s="153">
        <f t="shared" si="8"/>
        <v>0</v>
      </c>
      <c r="C558" s="153">
        <f t="shared" si="9"/>
        <v>0</v>
      </c>
      <c r="D558" s="186"/>
      <c r="E558" s="161"/>
      <c r="F558" s="156"/>
      <c r="G558" s="156"/>
      <c r="H558" s="156"/>
      <c r="I558" s="156"/>
      <c r="J558" s="156"/>
      <c r="K558" s="155">
        <v>0.0</v>
      </c>
      <c r="L558" s="155">
        <f t="shared" ref="L558:M558" si="551">$K558*L$4/100</f>
        <v>0</v>
      </c>
      <c r="M558" s="155">
        <f t="shared" si="551"/>
        <v>0</v>
      </c>
    </row>
    <row r="559">
      <c r="A559" s="152">
        <f t="shared" si="7"/>
        <v>0</v>
      </c>
      <c r="B559" s="153">
        <f t="shared" si="8"/>
        <v>0</v>
      </c>
      <c r="C559" s="153">
        <f t="shared" si="9"/>
        <v>0</v>
      </c>
      <c r="D559" s="186"/>
      <c r="E559" s="161"/>
      <c r="F559" s="156"/>
      <c r="G559" s="156"/>
      <c r="H559" s="156"/>
      <c r="I559" s="156"/>
      <c r="J559" s="156"/>
      <c r="K559" s="155">
        <v>0.0</v>
      </c>
      <c r="L559" s="155">
        <f t="shared" ref="L559:M559" si="552">$K559*L$4/100</f>
        <v>0</v>
      </c>
      <c r="M559" s="155">
        <f t="shared" si="552"/>
        <v>0</v>
      </c>
    </row>
    <row r="560">
      <c r="A560" s="152">
        <f t="shared" si="7"/>
        <v>0</v>
      </c>
      <c r="B560" s="153">
        <f t="shared" si="8"/>
        <v>0</v>
      </c>
      <c r="C560" s="153">
        <f t="shared" si="9"/>
        <v>0</v>
      </c>
      <c r="D560" s="186"/>
      <c r="E560" s="161"/>
      <c r="F560" s="156"/>
      <c r="G560" s="156"/>
      <c r="H560" s="156"/>
      <c r="I560" s="156"/>
      <c r="J560" s="156"/>
      <c r="K560" s="155">
        <v>0.0</v>
      </c>
      <c r="L560" s="155">
        <f t="shared" ref="L560:M560" si="553">$K560*L$4/100</f>
        <v>0</v>
      </c>
      <c r="M560" s="155">
        <f t="shared" si="553"/>
        <v>0</v>
      </c>
    </row>
    <row r="561">
      <c r="A561" s="152">
        <f t="shared" si="7"/>
        <v>0</v>
      </c>
      <c r="B561" s="153">
        <f t="shared" si="8"/>
        <v>0</v>
      </c>
      <c r="C561" s="153">
        <f t="shared" si="9"/>
        <v>0</v>
      </c>
      <c r="D561" s="186"/>
      <c r="E561" s="161"/>
      <c r="F561" s="156"/>
      <c r="G561" s="156"/>
      <c r="H561" s="156"/>
      <c r="I561" s="156"/>
      <c r="J561" s="156"/>
      <c r="K561" s="155">
        <v>0.0</v>
      </c>
      <c r="L561" s="155">
        <f t="shared" ref="L561:M561" si="554">$K561*L$4/100</f>
        <v>0</v>
      </c>
      <c r="M561" s="155">
        <f t="shared" si="554"/>
        <v>0</v>
      </c>
    </row>
    <row r="562">
      <c r="A562" s="152">
        <f t="shared" si="7"/>
        <v>0</v>
      </c>
      <c r="B562" s="153">
        <f t="shared" si="8"/>
        <v>0</v>
      </c>
      <c r="C562" s="153">
        <f t="shared" si="9"/>
        <v>0</v>
      </c>
      <c r="D562" s="186"/>
      <c r="E562" s="161"/>
      <c r="F562" s="156"/>
      <c r="G562" s="156"/>
      <c r="H562" s="156"/>
      <c r="I562" s="156"/>
      <c r="J562" s="156"/>
      <c r="K562" s="155">
        <v>0.0</v>
      </c>
      <c r="L562" s="155">
        <f t="shared" ref="L562:M562" si="555">$K562*L$4/100</f>
        <v>0</v>
      </c>
      <c r="M562" s="155">
        <f t="shared" si="555"/>
        <v>0</v>
      </c>
    </row>
    <row r="563">
      <c r="A563" s="152">
        <f t="shared" si="7"/>
        <v>0</v>
      </c>
      <c r="B563" s="153">
        <f t="shared" si="8"/>
        <v>0</v>
      </c>
      <c r="C563" s="153">
        <f t="shared" si="9"/>
        <v>0</v>
      </c>
      <c r="D563" s="186"/>
      <c r="E563" s="161"/>
      <c r="F563" s="156"/>
      <c r="G563" s="156"/>
      <c r="H563" s="156"/>
      <c r="I563" s="156"/>
      <c r="J563" s="156"/>
      <c r="K563" s="155">
        <v>0.0</v>
      </c>
      <c r="L563" s="155">
        <f t="shared" ref="L563:M563" si="556">$K563*L$4/100</f>
        <v>0</v>
      </c>
      <c r="M563" s="155">
        <f t="shared" si="556"/>
        <v>0</v>
      </c>
    </row>
    <row r="564">
      <c r="A564" s="152">
        <f t="shared" si="7"/>
        <v>0</v>
      </c>
      <c r="B564" s="153">
        <f t="shared" si="8"/>
        <v>0</v>
      </c>
      <c r="C564" s="153">
        <f t="shared" si="9"/>
        <v>0</v>
      </c>
      <c r="D564" s="186"/>
      <c r="E564" s="161"/>
      <c r="F564" s="156"/>
      <c r="G564" s="156"/>
      <c r="H564" s="156"/>
      <c r="I564" s="156"/>
      <c r="J564" s="156"/>
      <c r="K564" s="155">
        <v>0.0</v>
      </c>
      <c r="L564" s="155">
        <f t="shared" ref="L564:M564" si="557">$K564*L$4/100</f>
        <v>0</v>
      </c>
      <c r="M564" s="155">
        <f t="shared" si="557"/>
        <v>0</v>
      </c>
    </row>
    <row r="565">
      <c r="A565" s="152">
        <f t="shared" si="7"/>
        <v>0</v>
      </c>
      <c r="B565" s="153">
        <f t="shared" si="8"/>
        <v>0</v>
      </c>
      <c r="C565" s="153">
        <f t="shared" si="9"/>
        <v>0</v>
      </c>
      <c r="D565" s="186"/>
      <c r="E565" s="161"/>
      <c r="F565" s="156"/>
      <c r="G565" s="156"/>
      <c r="H565" s="156"/>
      <c r="I565" s="156"/>
      <c r="J565" s="156"/>
      <c r="K565" s="155">
        <v>0.0</v>
      </c>
      <c r="L565" s="155">
        <f t="shared" ref="L565:M565" si="558">$K565*L$4/100</f>
        <v>0</v>
      </c>
      <c r="M565" s="155">
        <f t="shared" si="558"/>
        <v>0</v>
      </c>
    </row>
    <row r="566">
      <c r="A566" s="152">
        <f t="shared" si="7"/>
        <v>0</v>
      </c>
      <c r="B566" s="153">
        <f t="shared" si="8"/>
        <v>0</v>
      </c>
      <c r="C566" s="153">
        <f t="shared" si="9"/>
        <v>0</v>
      </c>
      <c r="D566" s="186"/>
      <c r="E566" s="161"/>
      <c r="F566" s="156"/>
      <c r="G566" s="156"/>
      <c r="H566" s="156"/>
      <c r="I566" s="156"/>
      <c r="J566" s="156"/>
      <c r="K566" s="155">
        <v>0.0</v>
      </c>
      <c r="L566" s="155">
        <f t="shared" ref="L566:M566" si="559">$K566*L$4/100</f>
        <v>0</v>
      </c>
      <c r="M566" s="155">
        <f t="shared" si="559"/>
        <v>0</v>
      </c>
    </row>
    <row r="567">
      <c r="A567" s="152">
        <f t="shared" si="7"/>
        <v>0</v>
      </c>
      <c r="B567" s="153">
        <f t="shared" si="8"/>
        <v>0</v>
      </c>
      <c r="C567" s="153">
        <f t="shared" si="9"/>
        <v>0</v>
      </c>
      <c r="D567" s="186"/>
      <c r="E567" s="161"/>
      <c r="F567" s="156"/>
      <c r="G567" s="156"/>
      <c r="H567" s="156"/>
      <c r="I567" s="156"/>
      <c r="J567" s="156"/>
      <c r="K567" s="155">
        <v>0.0</v>
      </c>
      <c r="L567" s="155">
        <f t="shared" ref="L567:M567" si="560">$K567*L$4/100</f>
        <v>0</v>
      </c>
      <c r="M567" s="155">
        <f t="shared" si="560"/>
        <v>0</v>
      </c>
    </row>
    <row r="568">
      <c r="A568" s="152">
        <f t="shared" si="7"/>
        <v>0</v>
      </c>
      <c r="B568" s="153">
        <f t="shared" si="8"/>
        <v>0</v>
      </c>
      <c r="C568" s="153">
        <f t="shared" si="9"/>
        <v>0</v>
      </c>
      <c r="D568" s="186"/>
      <c r="E568" s="161"/>
      <c r="F568" s="156"/>
      <c r="G568" s="156"/>
      <c r="H568" s="156"/>
      <c r="I568" s="156"/>
      <c r="J568" s="156"/>
      <c r="K568" s="155">
        <v>0.0</v>
      </c>
      <c r="L568" s="155">
        <f t="shared" ref="L568:M568" si="561">$K568*L$4/100</f>
        <v>0</v>
      </c>
      <c r="M568" s="155">
        <f t="shared" si="561"/>
        <v>0</v>
      </c>
    </row>
    <row r="569">
      <c r="A569" s="152">
        <f t="shared" si="7"/>
        <v>0</v>
      </c>
      <c r="B569" s="153">
        <f t="shared" si="8"/>
        <v>0</v>
      </c>
      <c r="C569" s="153">
        <f t="shared" si="9"/>
        <v>0</v>
      </c>
      <c r="D569" s="186"/>
      <c r="E569" s="161"/>
      <c r="F569" s="156"/>
      <c r="G569" s="156"/>
      <c r="H569" s="156"/>
      <c r="I569" s="156"/>
      <c r="J569" s="156"/>
      <c r="K569" s="155">
        <v>0.0</v>
      </c>
      <c r="L569" s="155">
        <f t="shared" ref="L569:M569" si="562">$K569*L$4/100</f>
        <v>0</v>
      </c>
      <c r="M569" s="155">
        <f t="shared" si="562"/>
        <v>0</v>
      </c>
    </row>
    <row r="570">
      <c r="A570" s="152">
        <f t="shared" si="7"/>
        <v>0</v>
      </c>
      <c r="B570" s="153">
        <f t="shared" si="8"/>
        <v>0</v>
      </c>
      <c r="C570" s="153">
        <f t="shared" si="9"/>
        <v>0</v>
      </c>
      <c r="D570" s="186"/>
      <c r="E570" s="161"/>
      <c r="F570" s="156"/>
      <c r="G570" s="156"/>
      <c r="H570" s="156"/>
      <c r="I570" s="156"/>
      <c r="J570" s="156"/>
      <c r="K570" s="155">
        <v>0.0</v>
      </c>
      <c r="L570" s="155">
        <f t="shared" ref="L570:M570" si="563">$K570*L$4/100</f>
        <v>0</v>
      </c>
      <c r="M570" s="155">
        <f t="shared" si="563"/>
        <v>0</v>
      </c>
    </row>
    <row r="571">
      <c r="A571" s="152">
        <f t="shared" si="7"/>
        <v>0</v>
      </c>
      <c r="B571" s="153">
        <f t="shared" si="8"/>
        <v>0</v>
      </c>
      <c r="C571" s="153">
        <f t="shared" si="9"/>
        <v>0</v>
      </c>
      <c r="D571" s="186"/>
      <c r="E571" s="161"/>
      <c r="F571" s="156"/>
      <c r="G571" s="156"/>
      <c r="H571" s="156"/>
      <c r="I571" s="156"/>
      <c r="J571" s="156"/>
      <c r="K571" s="155">
        <v>0.0</v>
      </c>
      <c r="L571" s="155">
        <f t="shared" ref="L571:M571" si="564">$K571*L$4/100</f>
        <v>0</v>
      </c>
      <c r="M571" s="155">
        <f t="shared" si="564"/>
        <v>0</v>
      </c>
    </row>
    <row r="572">
      <c r="A572" s="152">
        <f t="shared" si="7"/>
        <v>0</v>
      </c>
      <c r="B572" s="153">
        <f t="shared" si="8"/>
        <v>0</v>
      </c>
      <c r="C572" s="153">
        <f t="shared" si="9"/>
        <v>0</v>
      </c>
      <c r="D572" s="186"/>
      <c r="E572" s="161"/>
      <c r="F572" s="156"/>
      <c r="G572" s="156"/>
      <c r="H572" s="156"/>
      <c r="I572" s="156"/>
      <c r="J572" s="156"/>
      <c r="K572" s="155">
        <v>0.0</v>
      </c>
      <c r="L572" s="155">
        <f t="shared" ref="L572:M572" si="565">$K572*L$4/100</f>
        <v>0</v>
      </c>
      <c r="M572" s="155">
        <f t="shared" si="565"/>
        <v>0</v>
      </c>
    </row>
    <row r="573">
      <c r="A573" s="152">
        <f t="shared" si="7"/>
        <v>0</v>
      </c>
      <c r="B573" s="153">
        <f t="shared" si="8"/>
        <v>0</v>
      </c>
      <c r="C573" s="153">
        <f t="shared" si="9"/>
        <v>0</v>
      </c>
      <c r="D573" s="186"/>
      <c r="E573" s="161"/>
      <c r="F573" s="156"/>
      <c r="G573" s="156"/>
      <c r="H573" s="156"/>
      <c r="I573" s="156"/>
      <c r="J573" s="156"/>
      <c r="K573" s="155">
        <v>0.0</v>
      </c>
      <c r="L573" s="155">
        <f t="shared" ref="L573:M573" si="566">$K573*L$4/100</f>
        <v>0</v>
      </c>
      <c r="M573" s="155">
        <f t="shared" si="566"/>
        <v>0</v>
      </c>
    </row>
    <row r="574">
      <c r="A574" s="152">
        <f t="shared" si="7"/>
        <v>0</v>
      </c>
      <c r="B574" s="153">
        <f t="shared" si="8"/>
        <v>0</v>
      </c>
      <c r="C574" s="153">
        <f t="shared" si="9"/>
        <v>0</v>
      </c>
      <c r="D574" s="186"/>
      <c r="E574" s="161"/>
      <c r="F574" s="156"/>
      <c r="G574" s="156"/>
      <c r="H574" s="156"/>
      <c r="I574" s="156"/>
      <c r="J574" s="156"/>
      <c r="K574" s="155">
        <v>0.0</v>
      </c>
      <c r="L574" s="155">
        <f t="shared" ref="L574:M574" si="567">$K574*L$4/100</f>
        <v>0</v>
      </c>
      <c r="M574" s="155">
        <f t="shared" si="567"/>
        <v>0</v>
      </c>
    </row>
    <row r="575">
      <c r="A575" s="152">
        <f t="shared" si="7"/>
        <v>0</v>
      </c>
      <c r="B575" s="153">
        <f t="shared" si="8"/>
        <v>0</v>
      </c>
      <c r="C575" s="153">
        <f t="shared" si="9"/>
        <v>0</v>
      </c>
      <c r="D575" s="186"/>
      <c r="E575" s="161"/>
      <c r="F575" s="156"/>
      <c r="G575" s="156"/>
      <c r="H575" s="156"/>
      <c r="I575" s="156"/>
      <c r="J575" s="156"/>
      <c r="K575" s="155">
        <v>0.0</v>
      </c>
      <c r="L575" s="155">
        <f t="shared" ref="L575:M575" si="568">$K575*L$4/100</f>
        <v>0</v>
      </c>
      <c r="M575" s="155">
        <f t="shared" si="568"/>
        <v>0</v>
      </c>
    </row>
    <row r="576">
      <c r="A576" s="152">
        <f t="shared" si="7"/>
        <v>0</v>
      </c>
      <c r="B576" s="153">
        <f t="shared" si="8"/>
        <v>0</v>
      </c>
      <c r="C576" s="153">
        <f t="shared" si="9"/>
        <v>0</v>
      </c>
      <c r="D576" s="186"/>
      <c r="E576" s="161"/>
      <c r="F576" s="156"/>
      <c r="G576" s="156"/>
      <c r="H576" s="156"/>
      <c r="I576" s="156"/>
      <c r="J576" s="156"/>
      <c r="K576" s="155">
        <v>0.0</v>
      </c>
      <c r="L576" s="155">
        <f t="shared" ref="L576:M576" si="569">$K576*L$4/100</f>
        <v>0</v>
      </c>
      <c r="M576" s="155">
        <f t="shared" si="569"/>
        <v>0</v>
      </c>
    </row>
    <row r="577">
      <c r="A577" s="152">
        <f t="shared" si="7"/>
        <v>0</v>
      </c>
      <c r="B577" s="153">
        <f t="shared" si="8"/>
        <v>0</v>
      </c>
      <c r="C577" s="153">
        <f t="shared" si="9"/>
        <v>0</v>
      </c>
      <c r="D577" s="186"/>
      <c r="E577" s="161"/>
      <c r="F577" s="156"/>
      <c r="G577" s="156"/>
      <c r="H577" s="156"/>
      <c r="I577" s="156"/>
      <c r="J577" s="156"/>
      <c r="K577" s="155">
        <v>0.0</v>
      </c>
      <c r="L577" s="155">
        <f t="shared" ref="L577:M577" si="570">$K577*L$4/100</f>
        <v>0</v>
      </c>
      <c r="M577" s="155">
        <f t="shared" si="570"/>
        <v>0</v>
      </c>
    </row>
    <row r="578">
      <c r="A578" s="152">
        <f t="shared" si="7"/>
        <v>0</v>
      </c>
      <c r="B578" s="153">
        <f t="shared" si="8"/>
        <v>0</v>
      </c>
      <c r="C578" s="153">
        <f t="shared" si="9"/>
        <v>0</v>
      </c>
      <c r="D578" s="186"/>
      <c r="E578" s="161"/>
      <c r="F578" s="156"/>
      <c r="G578" s="156"/>
      <c r="H578" s="156"/>
      <c r="I578" s="156"/>
      <c r="J578" s="156"/>
      <c r="K578" s="155">
        <v>0.0</v>
      </c>
      <c r="L578" s="155">
        <f t="shared" ref="L578:M578" si="571">$K578*L$4/100</f>
        <v>0</v>
      </c>
      <c r="M578" s="155">
        <f t="shared" si="571"/>
        <v>0</v>
      </c>
    </row>
    <row r="579">
      <c r="A579" s="152">
        <f t="shared" si="7"/>
        <v>0</v>
      </c>
      <c r="B579" s="153">
        <f t="shared" si="8"/>
        <v>0</v>
      </c>
      <c r="C579" s="153">
        <f t="shared" si="9"/>
        <v>0</v>
      </c>
      <c r="D579" s="186"/>
      <c r="E579" s="161"/>
      <c r="F579" s="156"/>
      <c r="G579" s="156"/>
      <c r="H579" s="156"/>
      <c r="I579" s="156"/>
      <c r="J579" s="156"/>
      <c r="K579" s="155">
        <v>0.0</v>
      </c>
      <c r="L579" s="155">
        <f t="shared" ref="L579:M579" si="572">$K579*L$4/100</f>
        <v>0</v>
      </c>
      <c r="M579" s="155">
        <f t="shared" si="572"/>
        <v>0</v>
      </c>
    </row>
    <row r="580">
      <c r="A580" s="152">
        <f t="shared" si="7"/>
        <v>0</v>
      </c>
      <c r="B580" s="153">
        <f t="shared" si="8"/>
        <v>0</v>
      </c>
      <c r="C580" s="153">
        <f t="shared" si="9"/>
        <v>0</v>
      </c>
      <c r="D580" s="186"/>
      <c r="E580" s="161"/>
      <c r="F580" s="156"/>
      <c r="G580" s="156"/>
      <c r="H580" s="156"/>
      <c r="I580" s="156"/>
      <c r="J580" s="156"/>
      <c r="K580" s="155">
        <v>0.0</v>
      </c>
      <c r="L580" s="155">
        <f t="shared" ref="L580:M580" si="573">$K580*L$4/100</f>
        <v>0</v>
      </c>
      <c r="M580" s="155">
        <f t="shared" si="573"/>
        <v>0</v>
      </c>
    </row>
    <row r="581">
      <c r="A581" s="152">
        <f t="shared" si="7"/>
        <v>0</v>
      </c>
      <c r="B581" s="153">
        <f t="shared" si="8"/>
        <v>0</v>
      </c>
      <c r="C581" s="153">
        <f t="shared" si="9"/>
        <v>0</v>
      </c>
      <c r="D581" s="186"/>
      <c r="E581" s="161"/>
      <c r="F581" s="156"/>
      <c r="G581" s="156"/>
      <c r="H581" s="156"/>
      <c r="I581" s="156"/>
      <c r="J581" s="156"/>
      <c r="K581" s="155">
        <v>0.0</v>
      </c>
      <c r="L581" s="155">
        <f t="shared" ref="L581:M581" si="574">$K581*L$4/100</f>
        <v>0</v>
      </c>
      <c r="M581" s="155">
        <f t="shared" si="574"/>
        <v>0</v>
      </c>
    </row>
    <row r="582">
      <c r="A582" s="152">
        <f t="shared" si="7"/>
        <v>0</v>
      </c>
      <c r="B582" s="153">
        <f t="shared" si="8"/>
        <v>0</v>
      </c>
      <c r="C582" s="153">
        <f t="shared" si="9"/>
        <v>0</v>
      </c>
      <c r="D582" s="186"/>
      <c r="E582" s="161"/>
      <c r="F582" s="156"/>
      <c r="G582" s="156"/>
      <c r="H582" s="156"/>
      <c r="I582" s="156"/>
      <c r="J582" s="156"/>
      <c r="K582" s="155">
        <v>0.0</v>
      </c>
      <c r="L582" s="155">
        <f t="shared" ref="L582:M582" si="575">$K582*L$4/100</f>
        <v>0</v>
      </c>
      <c r="M582" s="155">
        <f t="shared" si="575"/>
        <v>0</v>
      </c>
    </row>
    <row r="583">
      <c r="A583" s="152">
        <f t="shared" si="7"/>
        <v>0</v>
      </c>
      <c r="B583" s="153">
        <f t="shared" si="8"/>
        <v>0</v>
      </c>
      <c r="C583" s="153">
        <f t="shared" si="9"/>
        <v>0</v>
      </c>
      <c r="D583" s="186"/>
      <c r="E583" s="161"/>
      <c r="F583" s="156"/>
      <c r="G583" s="156"/>
      <c r="H583" s="156"/>
      <c r="I583" s="156"/>
      <c r="J583" s="156"/>
      <c r="K583" s="155">
        <v>0.0</v>
      </c>
      <c r="L583" s="155">
        <f t="shared" ref="L583:M583" si="576">$K583*L$4/100</f>
        <v>0</v>
      </c>
      <c r="M583" s="155">
        <f t="shared" si="576"/>
        <v>0</v>
      </c>
    </row>
    <row r="584">
      <c r="A584" s="152">
        <f t="shared" si="7"/>
        <v>0</v>
      </c>
      <c r="B584" s="153">
        <f t="shared" si="8"/>
        <v>0</v>
      </c>
      <c r="C584" s="153">
        <f t="shared" si="9"/>
        <v>0</v>
      </c>
      <c r="D584" s="186"/>
      <c r="E584" s="161"/>
      <c r="F584" s="156"/>
      <c r="G584" s="156"/>
      <c r="H584" s="156"/>
      <c r="I584" s="156"/>
      <c r="J584" s="156"/>
      <c r="K584" s="155">
        <v>0.0</v>
      </c>
      <c r="L584" s="155">
        <f t="shared" ref="L584:M584" si="577">$K584*L$4/100</f>
        <v>0</v>
      </c>
      <c r="M584" s="155">
        <f t="shared" si="577"/>
        <v>0</v>
      </c>
    </row>
    <row r="585">
      <c r="A585" s="152">
        <f t="shared" si="7"/>
        <v>0</v>
      </c>
      <c r="B585" s="153">
        <f t="shared" si="8"/>
        <v>0</v>
      </c>
      <c r="C585" s="153">
        <f t="shared" si="9"/>
        <v>0</v>
      </c>
      <c r="D585" s="186"/>
      <c r="E585" s="161"/>
      <c r="F585" s="156"/>
      <c r="G585" s="156"/>
      <c r="H585" s="156"/>
      <c r="I585" s="156"/>
      <c r="J585" s="156"/>
      <c r="K585" s="155">
        <v>0.0</v>
      </c>
      <c r="L585" s="155">
        <f t="shared" ref="L585:M585" si="578">$K585*L$4/100</f>
        <v>0</v>
      </c>
      <c r="M585" s="155">
        <f t="shared" si="578"/>
        <v>0</v>
      </c>
    </row>
    <row r="586">
      <c r="A586" s="152">
        <f t="shared" si="7"/>
        <v>0</v>
      </c>
      <c r="B586" s="153">
        <f t="shared" si="8"/>
        <v>0</v>
      </c>
      <c r="C586" s="153">
        <f t="shared" si="9"/>
        <v>0</v>
      </c>
      <c r="D586" s="186"/>
      <c r="E586" s="161"/>
      <c r="F586" s="156"/>
      <c r="G586" s="156"/>
      <c r="H586" s="156"/>
      <c r="I586" s="156"/>
      <c r="J586" s="156"/>
      <c r="K586" s="155">
        <v>0.0</v>
      </c>
      <c r="L586" s="155">
        <f t="shared" ref="L586:M586" si="579">$K586*L$4/100</f>
        <v>0</v>
      </c>
      <c r="M586" s="155">
        <f t="shared" si="579"/>
        <v>0</v>
      </c>
    </row>
    <row r="587">
      <c r="A587" s="152">
        <f t="shared" si="7"/>
        <v>0</v>
      </c>
      <c r="B587" s="153">
        <f t="shared" si="8"/>
        <v>0</v>
      </c>
      <c r="C587" s="153">
        <f t="shared" si="9"/>
        <v>0</v>
      </c>
      <c r="D587" s="186"/>
      <c r="E587" s="161"/>
      <c r="F587" s="156"/>
      <c r="G587" s="156"/>
      <c r="H587" s="156"/>
      <c r="I587" s="156"/>
      <c r="J587" s="156"/>
      <c r="K587" s="155">
        <v>0.0</v>
      </c>
      <c r="L587" s="155">
        <f t="shared" ref="L587:M587" si="580">$K587*L$4/100</f>
        <v>0</v>
      </c>
      <c r="M587" s="155">
        <f t="shared" si="580"/>
        <v>0</v>
      </c>
    </row>
    <row r="588">
      <c r="A588" s="152">
        <f t="shared" si="7"/>
        <v>0</v>
      </c>
      <c r="B588" s="153">
        <f t="shared" si="8"/>
        <v>0</v>
      </c>
      <c r="C588" s="153">
        <f t="shared" si="9"/>
        <v>0</v>
      </c>
      <c r="D588" s="186"/>
      <c r="E588" s="161"/>
      <c r="F588" s="156"/>
      <c r="G588" s="156"/>
      <c r="H588" s="156"/>
      <c r="I588" s="156"/>
      <c r="J588" s="156"/>
      <c r="K588" s="155">
        <v>0.0</v>
      </c>
      <c r="L588" s="155">
        <f t="shared" ref="L588:M588" si="581">$K588*L$4/100</f>
        <v>0</v>
      </c>
      <c r="M588" s="155">
        <f t="shared" si="581"/>
        <v>0</v>
      </c>
    </row>
    <row r="589">
      <c r="A589" s="152">
        <f t="shared" si="7"/>
        <v>0</v>
      </c>
      <c r="B589" s="153">
        <f t="shared" si="8"/>
        <v>0</v>
      </c>
      <c r="C589" s="153">
        <f t="shared" si="9"/>
        <v>0</v>
      </c>
      <c r="D589" s="186"/>
      <c r="E589" s="161"/>
      <c r="F589" s="156"/>
      <c r="G589" s="156"/>
      <c r="H589" s="156"/>
      <c r="I589" s="156"/>
      <c r="J589" s="156"/>
      <c r="K589" s="155">
        <v>0.0</v>
      </c>
      <c r="L589" s="155">
        <f t="shared" ref="L589:M589" si="582">$K589*L$4/100</f>
        <v>0</v>
      </c>
      <c r="M589" s="155">
        <f t="shared" si="582"/>
        <v>0</v>
      </c>
    </row>
    <row r="590">
      <c r="A590" s="152">
        <f t="shared" si="7"/>
        <v>0</v>
      </c>
      <c r="B590" s="153">
        <f t="shared" si="8"/>
        <v>0</v>
      </c>
      <c r="C590" s="153">
        <f t="shared" si="9"/>
        <v>0</v>
      </c>
      <c r="D590" s="186"/>
      <c r="E590" s="161"/>
      <c r="F590" s="156"/>
      <c r="G590" s="156"/>
      <c r="H590" s="156"/>
      <c r="I590" s="156"/>
      <c r="J590" s="156"/>
      <c r="K590" s="155">
        <v>0.0</v>
      </c>
      <c r="L590" s="155">
        <f t="shared" ref="L590:M590" si="583">$K590*L$4/100</f>
        <v>0</v>
      </c>
      <c r="M590" s="155">
        <f t="shared" si="583"/>
        <v>0</v>
      </c>
    </row>
    <row r="591">
      <c r="A591" s="152">
        <f t="shared" si="7"/>
        <v>0</v>
      </c>
      <c r="B591" s="153">
        <f t="shared" si="8"/>
        <v>0</v>
      </c>
      <c r="C591" s="153">
        <f t="shared" si="9"/>
        <v>0</v>
      </c>
      <c r="D591" s="186"/>
      <c r="E591" s="161"/>
      <c r="F591" s="156"/>
      <c r="G591" s="156"/>
      <c r="H591" s="156"/>
      <c r="I591" s="156"/>
      <c r="J591" s="156"/>
      <c r="K591" s="155">
        <v>0.0</v>
      </c>
      <c r="L591" s="155">
        <f t="shared" ref="L591:M591" si="584">$K591*L$4/100</f>
        <v>0</v>
      </c>
      <c r="M591" s="155">
        <f t="shared" si="584"/>
        <v>0</v>
      </c>
    </row>
    <row r="592">
      <c r="A592" s="152">
        <f t="shared" si="7"/>
        <v>0</v>
      </c>
      <c r="B592" s="153">
        <f t="shared" si="8"/>
        <v>0</v>
      </c>
      <c r="C592" s="153">
        <f t="shared" si="9"/>
        <v>0</v>
      </c>
      <c r="D592" s="186"/>
      <c r="E592" s="161"/>
      <c r="F592" s="156"/>
      <c r="G592" s="156"/>
      <c r="H592" s="156"/>
      <c r="I592" s="156"/>
      <c r="J592" s="156"/>
      <c r="K592" s="155">
        <v>0.0</v>
      </c>
      <c r="L592" s="155">
        <f t="shared" ref="L592:M592" si="585">$K592*L$4/100</f>
        <v>0</v>
      </c>
      <c r="M592" s="155">
        <f t="shared" si="585"/>
        <v>0</v>
      </c>
    </row>
    <row r="593">
      <c r="A593" s="152">
        <f t="shared" si="7"/>
        <v>0</v>
      </c>
      <c r="B593" s="153">
        <f t="shared" si="8"/>
        <v>0</v>
      </c>
      <c r="C593" s="153">
        <f t="shared" si="9"/>
        <v>0</v>
      </c>
      <c r="D593" s="186"/>
      <c r="E593" s="161"/>
      <c r="F593" s="156"/>
      <c r="G593" s="156"/>
      <c r="H593" s="156"/>
      <c r="I593" s="156"/>
      <c r="J593" s="156"/>
      <c r="K593" s="155">
        <v>0.0</v>
      </c>
      <c r="L593" s="155">
        <f t="shared" ref="L593:M593" si="586">$K593*L$4/100</f>
        <v>0</v>
      </c>
      <c r="M593" s="155">
        <f t="shared" si="586"/>
        <v>0</v>
      </c>
    </row>
    <row r="594">
      <c r="A594" s="152">
        <f t="shared" si="7"/>
        <v>0</v>
      </c>
      <c r="B594" s="153">
        <f t="shared" si="8"/>
        <v>0</v>
      </c>
      <c r="C594" s="153">
        <f t="shared" si="9"/>
        <v>0</v>
      </c>
      <c r="D594" s="186"/>
      <c r="E594" s="161"/>
      <c r="F594" s="156"/>
      <c r="G594" s="156"/>
      <c r="H594" s="156"/>
      <c r="I594" s="156"/>
      <c r="J594" s="156"/>
      <c r="K594" s="155">
        <v>0.0</v>
      </c>
      <c r="L594" s="155">
        <f t="shared" ref="L594:M594" si="587">$K594*L$4/100</f>
        <v>0</v>
      </c>
      <c r="M594" s="155">
        <f t="shared" si="587"/>
        <v>0</v>
      </c>
    </row>
    <row r="595">
      <c r="A595" s="152">
        <f t="shared" si="7"/>
        <v>0</v>
      </c>
      <c r="B595" s="153">
        <f t="shared" si="8"/>
        <v>0</v>
      </c>
      <c r="C595" s="153">
        <f t="shared" si="9"/>
        <v>0</v>
      </c>
      <c r="D595" s="186"/>
      <c r="E595" s="161"/>
      <c r="F595" s="156"/>
      <c r="G595" s="156"/>
      <c r="H595" s="156"/>
      <c r="I595" s="156"/>
      <c r="J595" s="156"/>
      <c r="K595" s="155">
        <v>0.0</v>
      </c>
      <c r="L595" s="155">
        <f t="shared" ref="L595:M595" si="588">$K595*L$4/100</f>
        <v>0</v>
      </c>
      <c r="M595" s="155">
        <f t="shared" si="588"/>
        <v>0</v>
      </c>
    </row>
    <row r="596">
      <c r="A596" s="152">
        <f t="shared" si="7"/>
        <v>0</v>
      </c>
      <c r="B596" s="153">
        <f t="shared" si="8"/>
        <v>0</v>
      </c>
      <c r="C596" s="153">
        <f t="shared" si="9"/>
        <v>0</v>
      </c>
      <c r="D596" s="186"/>
      <c r="E596" s="161"/>
      <c r="F596" s="156"/>
      <c r="G596" s="156"/>
      <c r="H596" s="156"/>
      <c r="I596" s="156"/>
      <c r="J596" s="156"/>
      <c r="K596" s="155">
        <v>0.0</v>
      </c>
      <c r="L596" s="155">
        <f t="shared" ref="L596:M596" si="589">$K596*L$4/100</f>
        <v>0</v>
      </c>
      <c r="M596" s="155">
        <f t="shared" si="589"/>
        <v>0</v>
      </c>
    </row>
    <row r="597">
      <c r="A597" s="152">
        <f t="shared" si="7"/>
        <v>0</v>
      </c>
      <c r="B597" s="153">
        <f t="shared" si="8"/>
        <v>0</v>
      </c>
      <c r="C597" s="153">
        <f t="shared" si="9"/>
        <v>0</v>
      </c>
      <c r="D597" s="186"/>
      <c r="E597" s="161"/>
      <c r="F597" s="156"/>
      <c r="G597" s="156"/>
      <c r="H597" s="156"/>
      <c r="I597" s="156"/>
      <c r="J597" s="156"/>
      <c r="K597" s="155">
        <v>0.0</v>
      </c>
      <c r="L597" s="155">
        <f t="shared" ref="L597:M597" si="590">$K597*L$4/100</f>
        <v>0</v>
      </c>
      <c r="M597" s="155">
        <f t="shared" si="590"/>
        <v>0</v>
      </c>
    </row>
    <row r="598">
      <c r="A598" s="152">
        <f t="shared" si="7"/>
        <v>0</v>
      </c>
      <c r="B598" s="153">
        <f t="shared" si="8"/>
        <v>0</v>
      </c>
      <c r="C598" s="153">
        <f t="shared" si="9"/>
        <v>0</v>
      </c>
      <c r="D598" s="186"/>
      <c r="E598" s="161"/>
      <c r="F598" s="156"/>
      <c r="G598" s="156"/>
      <c r="H598" s="156"/>
      <c r="I598" s="156"/>
      <c r="J598" s="156"/>
      <c r="K598" s="155">
        <v>0.0</v>
      </c>
      <c r="L598" s="155">
        <f t="shared" ref="L598:M598" si="591">$K598*L$4/100</f>
        <v>0</v>
      </c>
      <c r="M598" s="155">
        <f t="shared" si="591"/>
        <v>0</v>
      </c>
    </row>
    <row r="599">
      <c r="A599" s="152">
        <f t="shared" si="7"/>
        <v>0</v>
      </c>
      <c r="B599" s="153">
        <f t="shared" si="8"/>
        <v>0</v>
      </c>
      <c r="C599" s="153">
        <f t="shared" si="9"/>
        <v>0</v>
      </c>
      <c r="D599" s="186"/>
      <c r="E599" s="161"/>
      <c r="F599" s="156"/>
      <c r="G599" s="156"/>
      <c r="H599" s="156"/>
      <c r="I599" s="156"/>
      <c r="J599" s="156"/>
      <c r="K599" s="155">
        <v>0.0</v>
      </c>
      <c r="L599" s="155">
        <f t="shared" ref="L599:M599" si="592">$K599*L$4/100</f>
        <v>0</v>
      </c>
      <c r="M599" s="155">
        <f t="shared" si="592"/>
        <v>0</v>
      </c>
    </row>
    <row r="600">
      <c r="A600" s="152">
        <f t="shared" si="7"/>
        <v>0</v>
      </c>
      <c r="B600" s="153">
        <f t="shared" si="8"/>
        <v>0</v>
      </c>
      <c r="C600" s="153">
        <f t="shared" si="9"/>
        <v>0</v>
      </c>
      <c r="D600" s="186"/>
      <c r="E600" s="161"/>
      <c r="F600" s="156"/>
      <c r="G600" s="156"/>
      <c r="H600" s="156"/>
      <c r="I600" s="156"/>
      <c r="J600" s="156"/>
      <c r="K600" s="155">
        <v>0.0</v>
      </c>
      <c r="L600" s="155">
        <f t="shared" ref="L600:M600" si="593">$K600*L$4/100</f>
        <v>0</v>
      </c>
      <c r="M600" s="155">
        <f t="shared" si="593"/>
        <v>0</v>
      </c>
    </row>
    <row r="601">
      <c r="A601" s="152">
        <f t="shared" si="7"/>
        <v>0</v>
      </c>
      <c r="B601" s="153">
        <f t="shared" si="8"/>
        <v>0</v>
      </c>
      <c r="C601" s="153">
        <f t="shared" si="9"/>
        <v>0</v>
      </c>
      <c r="D601" s="186"/>
      <c r="E601" s="161"/>
      <c r="F601" s="156"/>
      <c r="G601" s="156"/>
      <c r="H601" s="156"/>
      <c r="I601" s="156"/>
      <c r="J601" s="156"/>
      <c r="K601" s="155">
        <v>0.0</v>
      </c>
      <c r="L601" s="155">
        <f t="shared" ref="L601:M601" si="594">$K601*L$4/100</f>
        <v>0</v>
      </c>
      <c r="M601" s="155">
        <f t="shared" si="594"/>
        <v>0</v>
      </c>
    </row>
    <row r="602">
      <c r="A602" s="152">
        <f t="shared" si="7"/>
        <v>0</v>
      </c>
      <c r="B602" s="153">
        <f t="shared" si="8"/>
        <v>0</v>
      </c>
      <c r="C602" s="153">
        <f t="shared" si="9"/>
        <v>0</v>
      </c>
      <c r="D602" s="186"/>
      <c r="E602" s="161"/>
      <c r="F602" s="156"/>
      <c r="G602" s="156"/>
      <c r="H602" s="156"/>
      <c r="I602" s="156"/>
      <c r="J602" s="156"/>
      <c r="K602" s="155">
        <v>0.0</v>
      </c>
      <c r="L602" s="155">
        <f t="shared" ref="L602:M602" si="595">$K602*L$4/100</f>
        <v>0</v>
      </c>
      <c r="M602" s="155">
        <f t="shared" si="595"/>
        <v>0</v>
      </c>
    </row>
    <row r="603">
      <c r="A603" s="152">
        <f t="shared" si="7"/>
        <v>0</v>
      </c>
      <c r="B603" s="153">
        <f t="shared" si="8"/>
        <v>0</v>
      </c>
      <c r="C603" s="153">
        <f t="shared" si="9"/>
        <v>0</v>
      </c>
      <c r="D603" s="186"/>
      <c r="E603" s="161"/>
      <c r="F603" s="156"/>
      <c r="G603" s="156"/>
      <c r="H603" s="156"/>
      <c r="I603" s="156"/>
      <c r="J603" s="156"/>
      <c r="K603" s="155">
        <v>0.0</v>
      </c>
      <c r="L603" s="155">
        <f t="shared" ref="L603:M603" si="596">$K603*L$4/100</f>
        <v>0</v>
      </c>
      <c r="M603" s="155">
        <f t="shared" si="596"/>
        <v>0</v>
      </c>
    </row>
    <row r="604">
      <c r="A604" s="152">
        <f t="shared" si="7"/>
        <v>0</v>
      </c>
      <c r="B604" s="153">
        <f t="shared" si="8"/>
        <v>0</v>
      </c>
      <c r="C604" s="153">
        <f t="shared" si="9"/>
        <v>0</v>
      </c>
      <c r="D604" s="186"/>
      <c r="E604" s="161"/>
      <c r="F604" s="156"/>
      <c r="G604" s="156"/>
      <c r="H604" s="156"/>
      <c r="I604" s="156"/>
      <c r="J604" s="156"/>
      <c r="K604" s="155">
        <v>0.0</v>
      </c>
      <c r="L604" s="155">
        <f t="shared" ref="L604:M604" si="597">$K604*L$4/100</f>
        <v>0</v>
      </c>
      <c r="M604" s="155">
        <f t="shared" si="597"/>
        <v>0</v>
      </c>
    </row>
    <row r="605">
      <c r="A605" s="152">
        <f t="shared" si="7"/>
        <v>0</v>
      </c>
      <c r="B605" s="153">
        <f t="shared" si="8"/>
        <v>0</v>
      </c>
      <c r="C605" s="153">
        <f t="shared" si="9"/>
        <v>0</v>
      </c>
      <c r="D605" s="186"/>
      <c r="E605" s="161"/>
      <c r="F605" s="156"/>
      <c r="G605" s="156"/>
      <c r="H605" s="156"/>
      <c r="I605" s="156"/>
      <c r="J605" s="156"/>
      <c r="K605" s="155">
        <v>0.0</v>
      </c>
      <c r="L605" s="155">
        <f t="shared" ref="L605:M605" si="598">$K605*L$4/100</f>
        <v>0</v>
      </c>
      <c r="M605" s="155">
        <f t="shared" si="598"/>
        <v>0</v>
      </c>
    </row>
    <row r="606">
      <c r="A606" s="152">
        <f t="shared" si="7"/>
        <v>0</v>
      </c>
      <c r="B606" s="153">
        <f t="shared" si="8"/>
        <v>0</v>
      </c>
      <c r="C606" s="153">
        <f t="shared" si="9"/>
        <v>0</v>
      </c>
      <c r="D606" s="186"/>
      <c r="E606" s="161"/>
      <c r="F606" s="156"/>
      <c r="G606" s="156"/>
      <c r="H606" s="156"/>
      <c r="I606" s="156"/>
      <c r="J606" s="156"/>
      <c r="K606" s="155">
        <v>0.0</v>
      </c>
      <c r="L606" s="155">
        <f t="shared" ref="L606:M606" si="599">$K606*L$4/100</f>
        <v>0</v>
      </c>
      <c r="M606" s="155">
        <f t="shared" si="599"/>
        <v>0</v>
      </c>
    </row>
    <row r="607">
      <c r="A607" s="152">
        <f t="shared" si="7"/>
        <v>0</v>
      </c>
      <c r="B607" s="153">
        <f t="shared" si="8"/>
        <v>0</v>
      </c>
      <c r="C607" s="153">
        <f t="shared" si="9"/>
        <v>0</v>
      </c>
      <c r="D607" s="186"/>
      <c r="E607" s="161"/>
      <c r="F607" s="156"/>
      <c r="G607" s="156"/>
      <c r="H607" s="156"/>
      <c r="I607" s="156"/>
      <c r="J607" s="156"/>
      <c r="K607" s="155">
        <v>0.0</v>
      </c>
      <c r="L607" s="155">
        <f t="shared" ref="L607:M607" si="600">$K607*L$4/100</f>
        <v>0</v>
      </c>
      <c r="M607" s="155">
        <f t="shared" si="600"/>
        <v>0</v>
      </c>
    </row>
    <row r="608">
      <c r="A608" s="152">
        <f t="shared" si="7"/>
        <v>0</v>
      </c>
      <c r="B608" s="153">
        <f t="shared" si="8"/>
        <v>0</v>
      </c>
      <c r="C608" s="153">
        <f t="shared" si="9"/>
        <v>0</v>
      </c>
      <c r="D608" s="186"/>
      <c r="E608" s="161"/>
      <c r="F608" s="156"/>
      <c r="G608" s="156"/>
      <c r="H608" s="156"/>
      <c r="I608" s="156"/>
      <c r="J608" s="156"/>
      <c r="K608" s="155">
        <v>0.0</v>
      </c>
      <c r="L608" s="155">
        <f t="shared" ref="L608:M608" si="601">$K608*L$4/100</f>
        <v>0</v>
      </c>
      <c r="M608" s="155">
        <f t="shared" si="601"/>
        <v>0</v>
      </c>
    </row>
    <row r="609">
      <c r="A609" s="152">
        <f t="shared" si="7"/>
        <v>0</v>
      </c>
      <c r="B609" s="153">
        <f t="shared" si="8"/>
        <v>0</v>
      </c>
      <c r="C609" s="153">
        <f t="shared" si="9"/>
        <v>0</v>
      </c>
      <c r="D609" s="186"/>
      <c r="E609" s="161"/>
      <c r="F609" s="156"/>
      <c r="G609" s="156"/>
      <c r="H609" s="156"/>
      <c r="I609" s="156"/>
      <c r="J609" s="156"/>
      <c r="K609" s="155">
        <v>0.0</v>
      </c>
      <c r="L609" s="155">
        <f t="shared" ref="L609:M609" si="602">$K609*L$4/100</f>
        <v>0</v>
      </c>
      <c r="M609" s="155">
        <f t="shared" si="602"/>
        <v>0</v>
      </c>
    </row>
    <row r="610">
      <c r="A610" s="152">
        <f t="shared" si="7"/>
        <v>0</v>
      </c>
      <c r="B610" s="153">
        <f t="shared" si="8"/>
        <v>0</v>
      </c>
      <c r="C610" s="153">
        <f t="shared" si="9"/>
        <v>0</v>
      </c>
      <c r="D610" s="186"/>
      <c r="E610" s="161"/>
      <c r="F610" s="156"/>
      <c r="G610" s="156"/>
      <c r="H610" s="156"/>
      <c r="I610" s="156"/>
      <c r="J610" s="156"/>
      <c r="K610" s="155">
        <v>0.0</v>
      </c>
      <c r="L610" s="155">
        <f t="shared" ref="L610:M610" si="603">$K610*L$4/100</f>
        <v>0</v>
      </c>
      <c r="M610" s="155">
        <f t="shared" si="603"/>
        <v>0</v>
      </c>
    </row>
    <row r="611">
      <c r="A611" s="152">
        <f t="shared" si="7"/>
        <v>0</v>
      </c>
      <c r="B611" s="153">
        <f t="shared" si="8"/>
        <v>0</v>
      </c>
      <c r="C611" s="153">
        <f t="shared" si="9"/>
        <v>0</v>
      </c>
      <c r="D611" s="186"/>
      <c r="E611" s="161"/>
      <c r="F611" s="156"/>
      <c r="G611" s="156"/>
      <c r="H611" s="156"/>
      <c r="I611" s="156"/>
      <c r="J611" s="156"/>
      <c r="K611" s="155">
        <v>0.0</v>
      </c>
      <c r="L611" s="155">
        <f t="shared" ref="L611:M611" si="604">$K611*L$4/100</f>
        <v>0</v>
      </c>
      <c r="M611" s="155">
        <f t="shared" si="604"/>
        <v>0</v>
      </c>
    </row>
    <row r="612">
      <c r="A612" s="152">
        <f t="shared" si="7"/>
        <v>0</v>
      </c>
      <c r="B612" s="153">
        <f t="shared" si="8"/>
        <v>0</v>
      </c>
      <c r="C612" s="153">
        <f t="shared" si="9"/>
        <v>0</v>
      </c>
      <c r="D612" s="186"/>
      <c r="E612" s="161"/>
      <c r="F612" s="156"/>
      <c r="G612" s="156"/>
      <c r="H612" s="156"/>
      <c r="I612" s="156"/>
      <c r="J612" s="156"/>
      <c r="K612" s="155">
        <v>0.0</v>
      </c>
      <c r="L612" s="155">
        <f t="shared" ref="L612:M612" si="605">$K612*L$4/100</f>
        <v>0</v>
      </c>
      <c r="M612" s="155">
        <f t="shared" si="605"/>
        <v>0</v>
      </c>
    </row>
    <row r="613">
      <c r="A613" s="152">
        <f t="shared" si="7"/>
        <v>0</v>
      </c>
      <c r="B613" s="153">
        <f t="shared" si="8"/>
        <v>0</v>
      </c>
      <c r="C613" s="153">
        <f t="shared" si="9"/>
        <v>0</v>
      </c>
      <c r="D613" s="186"/>
      <c r="E613" s="161"/>
      <c r="F613" s="156"/>
      <c r="G613" s="156"/>
      <c r="H613" s="156"/>
      <c r="I613" s="156"/>
      <c r="J613" s="156"/>
      <c r="K613" s="155">
        <v>0.0</v>
      </c>
      <c r="L613" s="155">
        <f t="shared" ref="L613:M613" si="606">$K613*L$4/100</f>
        <v>0</v>
      </c>
      <c r="M613" s="155">
        <f t="shared" si="606"/>
        <v>0</v>
      </c>
    </row>
    <row r="614">
      <c r="A614" s="152">
        <f t="shared" si="7"/>
        <v>0</v>
      </c>
      <c r="B614" s="153">
        <f t="shared" si="8"/>
        <v>0</v>
      </c>
      <c r="C614" s="153">
        <f t="shared" si="9"/>
        <v>0</v>
      </c>
      <c r="D614" s="186"/>
      <c r="E614" s="161"/>
      <c r="F614" s="156"/>
      <c r="G614" s="156"/>
      <c r="H614" s="156"/>
      <c r="I614" s="156"/>
      <c r="J614" s="156"/>
      <c r="K614" s="155">
        <v>0.0</v>
      </c>
      <c r="L614" s="155">
        <f t="shared" ref="L614:M614" si="607">$K614*L$4/100</f>
        <v>0</v>
      </c>
      <c r="M614" s="155">
        <f t="shared" si="607"/>
        <v>0</v>
      </c>
    </row>
    <row r="615">
      <c r="A615" s="152">
        <f t="shared" si="7"/>
        <v>0</v>
      </c>
      <c r="B615" s="153">
        <f t="shared" si="8"/>
        <v>0</v>
      </c>
      <c r="C615" s="153">
        <f t="shared" si="9"/>
        <v>0</v>
      </c>
      <c r="D615" s="186"/>
      <c r="E615" s="161"/>
      <c r="F615" s="156"/>
      <c r="G615" s="156"/>
      <c r="H615" s="156"/>
      <c r="I615" s="156"/>
      <c r="J615" s="156"/>
      <c r="K615" s="155">
        <v>0.0</v>
      </c>
      <c r="L615" s="155">
        <f t="shared" ref="L615:M615" si="608">$K615*L$4/100</f>
        <v>0</v>
      </c>
      <c r="M615" s="155">
        <f t="shared" si="608"/>
        <v>0</v>
      </c>
    </row>
    <row r="616">
      <c r="A616" s="152">
        <f t="shared" si="7"/>
        <v>0</v>
      </c>
      <c r="B616" s="153">
        <f t="shared" si="8"/>
        <v>0</v>
      </c>
      <c r="C616" s="153">
        <f t="shared" si="9"/>
        <v>0</v>
      </c>
      <c r="D616" s="186"/>
      <c r="E616" s="161"/>
      <c r="F616" s="156"/>
      <c r="G616" s="156"/>
      <c r="H616" s="156"/>
      <c r="I616" s="156"/>
      <c r="J616" s="156"/>
      <c r="K616" s="155">
        <v>0.0</v>
      </c>
      <c r="L616" s="155">
        <f t="shared" ref="L616:M616" si="609">$K616*L$4/100</f>
        <v>0</v>
      </c>
      <c r="M616" s="155">
        <f t="shared" si="609"/>
        <v>0</v>
      </c>
    </row>
    <row r="617">
      <c r="A617" s="152">
        <f t="shared" si="7"/>
        <v>0</v>
      </c>
      <c r="B617" s="153">
        <f t="shared" si="8"/>
        <v>0</v>
      </c>
      <c r="C617" s="153">
        <f t="shared" si="9"/>
        <v>0</v>
      </c>
      <c r="D617" s="186"/>
      <c r="E617" s="161"/>
      <c r="F617" s="156"/>
      <c r="G617" s="156"/>
      <c r="H617" s="156"/>
      <c r="I617" s="156"/>
      <c r="J617" s="156"/>
      <c r="K617" s="155">
        <v>0.0</v>
      </c>
      <c r="L617" s="155">
        <f t="shared" ref="L617:M617" si="610">$K617*L$4/100</f>
        <v>0</v>
      </c>
      <c r="M617" s="155">
        <f t="shared" si="610"/>
        <v>0</v>
      </c>
    </row>
    <row r="618">
      <c r="A618" s="152">
        <f t="shared" si="7"/>
        <v>0</v>
      </c>
      <c r="B618" s="153">
        <f t="shared" si="8"/>
        <v>0</v>
      </c>
      <c r="C618" s="153">
        <f t="shared" si="9"/>
        <v>0</v>
      </c>
      <c r="D618" s="186"/>
      <c r="E618" s="161"/>
      <c r="F618" s="156"/>
      <c r="G618" s="156"/>
      <c r="H618" s="156"/>
      <c r="I618" s="156"/>
      <c r="J618" s="156"/>
      <c r="K618" s="155">
        <v>0.0</v>
      </c>
      <c r="L618" s="155">
        <f t="shared" ref="L618:M618" si="611">$K618*L$4/100</f>
        <v>0</v>
      </c>
      <c r="M618" s="155">
        <f t="shared" si="611"/>
        <v>0</v>
      </c>
    </row>
    <row r="619">
      <c r="A619" s="152">
        <f t="shared" si="7"/>
        <v>0</v>
      </c>
      <c r="B619" s="153">
        <f t="shared" si="8"/>
        <v>0</v>
      </c>
      <c r="C619" s="153">
        <f t="shared" si="9"/>
        <v>0</v>
      </c>
      <c r="D619" s="186"/>
      <c r="E619" s="161"/>
      <c r="F619" s="156"/>
      <c r="G619" s="156"/>
      <c r="H619" s="156"/>
      <c r="I619" s="156"/>
      <c r="J619" s="156"/>
      <c r="K619" s="155">
        <v>0.0</v>
      </c>
      <c r="L619" s="155">
        <f t="shared" ref="L619:M619" si="612">$K619*L$4/100</f>
        <v>0</v>
      </c>
      <c r="M619" s="155">
        <f t="shared" si="612"/>
        <v>0</v>
      </c>
    </row>
    <row r="620">
      <c r="A620" s="152">
        <f t="shared" si="7"/>
        <v>0</v>
      </c>
      <c r="B620" s="153">
        <f t="shared" si="8"/>
        <v>0</v>
      </c>
      <c r="C620" s="153">
        <f t="shared" si="9"/>
        <v>0</v>
      </c>
      <c r="D620" s="186"/>
      <c r="E620" s="161"/>
      <c r="F620" s="156"/>
      <c r="G620" s="156"/>
      <c r="H620" s="156"/>
      <c r="I620" s="156"/>
      <c r="J620" s="156"/>
      <c r="K620" s="155">
        <v>0.0</v>
      </c>
      <c r="L620" s="155">
        <f t="shared" ref="L620:M620" si="613">$K620*L$4/100</f>
        <v>0</v>
      </c>
      <c r="M620" s="155">
        <f t="shared" si="613"/>
        <v>0</v>
      </c>
    </row>
    <row r="621">
      <c r="A621" s="152">
        <f t="shared" si="7"/>
        <v>0</v>
      </c>
      <c r="B621" s="153">
        <f t="shared" si="8"/>
        <v>0</v>
      </c>
      <c r="C621" s="153">
        <f t="shared" si="9"/>
        <v>0</v>
      </c>
      <c r="D621" s="186"/>
      <c r="E621" s="161"/>
      <c r="F621" s="156"/>
      <c r="G621" s="156"/>
      <c r="H621" s="156"/>
      <c r="I621" s="156"/>
      <c r="J621" s="156"/>
      <c r="K621" s="155">
        <v>0.0</v>
      </c>
      <c r="L621" s="155">
        <f t="shared" ref="L621:M621" si="614">$K621*L$4/100</f>
        <v>0</v>
      </c>
      <c r="M621" s="155">
        <f t="shared" si="614"/>
        <v>0</v>
      </c>
    </row>
    <row r="622">
      <c r="A622" s="152">
        <f t="shared" si="7"/>
        <v>0</v>
      </c>
      <c r="B622" s="153">
        <f t="shared" si="8"/>
        <v>0</v>
      </c>
      <c r="C622" s="153">
        <f t="shared" si="9"/>
        <v>0</v>
      </c>
      <c r="D622" s="186"/>
      <c r="E622" s="161"/>
      <c r="F622" s="156"/>
      <c r="G622" s="156"/>
      <c r="H622" s="156"/>
      <c r="I622" s="156"/>
      <c r="J622" s="156"/>
      <c r="K622" s="155">
        <v>0.0</v>
      </c>
      <c r="L622" s="155">
        <f t="shared" ref="L622:M622" si="615">$K622*L$4/100</f>
        <v>0</v>
      </c>
      <c r="M622" s="155">
        <f t="shared" si="615"/>
        <v>0</v>
      </c>
    </row>
    <row r="623">
      <c r="A623" s="152">
        <f t="shared" si="7"/>
        <v>0</v>
      </c>
      <c r="B623" s="153">
        <f t="shared" si="8"/>
        <v>0</v>
      </c>
      <c r="C623" s="153">
        <f t="shared" si="9"/>
        <v>0</v>
      </c>
      <c r="D623" s="186"/>
      <c r="E623" s="161"/>
      <c r="F623" s="156"/>
      <c r="G623" s="156"/>
      <c r="H623" s="156"/>
      <c r="I623" s="156"/>
      <c r="J623" s="156"/>
      <c r="K623" s="155">
        <v>0.0</v>
      </c>
      <c r="L623" s="155">
        <f t="shared" ref="L623:M623" si="616">$K623*L$4/100</f>
        <v>0</v>
      </c>
      <c r="M623" s="155">
        <f t="shared" si="616"/>
        <v>0</v>
      </c>
    </row>
    <row r="624">
      <c r="A624" s="152">
        <f t="shared" si="7"/>
        <v>0</v>
      </c>
      <c r="B624" s="153">
        <f t="shared" si="8"/>
        <v>0</v>
      </c>
      <c r="C624" s="153">
        <f t="shared" si="9"/>
        <v>0</v>
      </c>
      <c r="D624" s="186"/>
      <c r="E624" s="161"/>
      <c r="F624" s="156"/>
      <c r="G624" s="156"/>
      <c r="H624" s="156"/>
      <c r="I624" s="156"/>
      <c r="J624" s="156"/>
      <c r="K624" s="155">
        <v>0.0</v>
      </c>
      <c r="L624" s="155">
        <f t="shared" ref="L624:M624" si="617">$K624*L$4/100</f>
        <v>0</v>
      </c>
      <c r="M624" s="155">
        <f t="shared" si="617"/>
        <v>0</v>
      </c>
    </row>
    <row r="625">
      <c r="A625" s="152">
        <f t="shared" si="7"/>
        <v>0</v>
      </c>
      <c r="B625" s="153">
        <f t="shared" si="8"/>
        <v>0</v>
      </c>
      <c r="C625" s="153">
        <f t="shared" si="9"/>
        <v>0</v>
      </c>
      <c r="D625" s="186"/>
      <c r="E625" s="161"/>
      <c r="F625" s="156"/>
      <c r="G625" s="156"/>
      <c r="H625" s="156"/>
      <c r="I625" s="156"/>
      <c r="J625" s="156"/>
      <c r="K625" s="155">
        <v>0.0</v>
      </c>
      <c r="L625" s="155">
        <f t="shared" ref="L625:M625" si="618">$K625*L$4/100</f>
        <v>0</v>
      </c>
      <c r="M625" s="155">
        <f t="shared" si="618"/>
        <v>0</v>
      </c>
    </row>
    <row r="626">
      <c r="A626" s="152">
        <f t="shared" si="7"/>
        <v>0</v>
      </c>
      <c r="B626" s="153">
        <f t="shared" si="8"/>
        <v>0</v>
      </c>
      <c r="C626" s="153">
        <f t="shared" si="9"/>
        <v>0</v>
      </c>
      <c r="D626" s="186"/>
      <c r="E626" s="161"/>
      <c r="F626" s="156"/>
      <c r="G626" s="156"/>
      <c r="H626" s="156"/>
      <c r="I626" s="156"/>
      <c r="J626" s="156"/>
      <c r="K626" s="155">
        <v>0.0</v>
      </c>
      <c r="L626" s="155">
        <f t="shared" ref="L626:M626" si="619">$K626*L$4/100</f>
        <v>0</v>
      </c>
      <c r="M626" s="155">
        <f t="shared" si="619"/>
        <v>0</v>
      </c>
    </row>
    <row r="627">
      <c r="A627" s="152">
        <f t="shared" si="7"/>
        <v>0</v>
      </c>
      <c r="B627" s="153">
        <f t="shared" si="8"/>
        <v>0</v>
      </c>
      <c r="C627" s="153">
        <f t="shared" si="9"/>
        <v>0</v>
      </c>
      <c r="D627" s="186"/>
      <c r="E627" s="161"/>
      <c r="F627" s="156"/>
      <c r="G627" s="156"/>
      <c r="H627" s="156"/>
      <c r="I627" s="156"/>
      <c r="J627" s="156"/>
      <c r="K627" s="155">
        <v>0.0</v>
      </c>
      <c r="L627" s="155">
        <f t="shared" ref="L627:M627" si="620">$K627*L$4/100</f>
        <v>0</v>
      </c>
      <c r="M627" s="155">
        <f t="shared" si="620"/>
        <v>0</v>
      </c>
    </row>
    <row r="628">
      <c r="A628" s="152">
        <f t="shared" si="7"/>
        <v>0</v>
      </c>
      <c r="B628" s="153">
        <f t="shared" si="8"/>
        <v>0</v>
      </c>
      <c r="C628" s="153">
        <f t="shared" si="9"/>
        <v>0</v>
      </c>
      <c r="D628" s="186"/>
      <c r="E628" s="161"/>
      <c r="F628" s="156"/>
      <c r="G628" s="156"/>
      <c r="H628" s="156"/>
      <c r="I628" s="156"/>
      <c r="J628" s="156"/>
      <c r="K628" s="155">
        <v>0.0</v>
      </c>
      <c r="L628" s="155">
        <f t="shared" ref="L628:M628" si="621">$K628*L$4/100</f>
        <v>0</v>
      </c>
      <c r="M628" s="155">
        <f t="shared" si="621"/>
        <v>0</v>
      </c>
    </row>
    <row r="629">
      <c r="A629" s="152">
        <f t="shared" si="7"/>
        <v>0</v>
      </c>
      <c r="B629" s="153">
        <f t="shared" si="8"/>
        <v>0</v>
      </c>
      <c r="C629" s="153">
        <f t="shared" si="9"/>
        <v>0</v>
      </c>
      <c r="D629" s="186"/>
      <c r="E629" s="161"/>
      <c r="F629" s="156"/>
      <c r="G629" s="156"/>
      <c r="H629" s="156"/>
      <c r="I629" s="156"/>
      <c r="J629" s="156"/>
      <c r="K629" s="155">
        <v>0.0</v>
      </c>
      <c r="L629" s="155">
        <f t="shared" ref="L629:M629" si="622">$K629*L$4/100</f>
        <v>0</v>
      </c>
      <c r="M629" s="155">
        <f t="shared" si="622"/>
        <v>0</v>
      </c>
    </row>
    <row r="630">
      <c r="A630" s="152">
        <f t="shared" si="7"/>
        <v>0</v>
      </c>
      <c r="B630" s="153">
        <f t="shared" si="8"/>
        <v>0</v>
      </c>
      <c r="C630" s="153">
        <f t="shared" si="9"/>
        <v>0</v>
      </c>
      <c r="D630" s="186"/>
      <c r="E630" s="161"/>
      <c r="F630" s="156"/>
      <c r="G630" s="156"/>
      <c r="H630" s="156"/>
      <c r="I630" s="156"/>
      <c r="J630" s="156"/>
      <c r="K630" s="155">
        <v>0.0</v>
      </c>
      <c r="L630" s="155">
        <f t="shared" ref="L630:M630" si="623">$K630*L$4/100</f>
        <v>0</v>
      </c>
      <c r="M630" s="155">
        <f t="shared" si="623"/>
        <v>0</v>
      </c>
    </row>
    <row r="631">
      <c r="A631" s="152">
        <f t="shared" si="7"/>
        <v>0</v>
      </c>
      <c r="B631" s="153">
        <f t="shared" si="8"/>
        <v>0</v>
      </c>
      <c r="C631" s="153">
        <f t="shared" si="9"/>
        <v>0</v>
      </c>
      <c r="D631" s="186"/>
      <c r="E631" s="161"/>
      <c r="F631" s="156"/>
      <c r="G631" s="156"/>
      <c r="H631" s="156"/>
      <c r="I631" s="156"/>
      <c r="J631" s="156"/>
      <c r="K631" s="155">
        <v>0.0</v>
      </c>
      <c r="L631" s="155">
        <f t="shared" ref="L631:M631" si="624">$K631*L$4/100</f>
        <v>0</v>
      </c>
      <c r="M631" s="155">
        <f t="shared" si="624"/>
        <v>0</v>
      </c>
    </row>
    <row r="632">
      <c r="A632" s="152">
        <f t="shared" si="7"/>
        <v>0</v>
      </c>
      <c r="B632" s="153">
        <f t="shared" si="8"/>
        <v>0</v>
      </c>
      <c r="C632" s="153">
        <f t="shared" si="9"/>
        <v>0</v>
      </c>
      <c r="D632" s="186"/>
      <c r="E632" s="161"/>
      <c r="F632" s="156"/>
      <c r="G632" s="156"/>
      <c r="H632" s="156"/>
      <c r="I632" s="156"/>
      <c r="J632" s="156"/>
      <c r="K632" s="155">
        <v>0.0</v>
      </c>
      <c r="L632" s="155">
        <f t="shared" ref="L632:M632" si="625">$K632*L$4/100</f>
        <v>0</v>
      </c>
      <c r="M632" s="155">
        <f t="shared" si="625"/>
        <v>0</v>
      </c>
    </row>
    <row r="633">
      <c r="A633" s="152">
        <f t="shared" si="7"/>
        <v>0</v>
      </c>
      <c r="B633" s="153">
        <f t="shared" si="8"/>
        <v>0</v>
      </c>
      <c r="C633" s="153">
        <f t="shared" si="9"/>
        <v>0</v>
      </c>
      <c r="D633" s="186"/>
      <c r="E633" s="161"/>
      <c r="F633" s="156"/>
      <c r="G633" s="156"/>
      <c r="H633" s="156"/>
      <c r="I633" s="156"/>
      <c r="J633" s="156"/>
      <c r="K633" s="155">
        <v>0.0</v>
      </c>
      <c r="L633" s="155">
        <f t="shared" ref="L633:M633" si="626">$K633*L$4/100</f>
        <v>0</v>
      </c>
      <c r="M633" s="155">
        <f t="shared" si="626"/>
        <v>0</v>
      </c>
    </row>
    <row r="634">
      <c r="A634" s="152">
        <f t="shared" si="7"/>
        <v>0</v>
      </c>
      <c r="B634" s="153">
        <f t="shared" si="8"/>
        <v>0</v>
      </c>
      <c r="C634" s="153">
        <f t="shared" si="9"/>
        <v>0</v>
      </c>
      <c r="D634" s="186"/>
      <c r="E634" s="161"/>
      <c r="F634" s="156"/>
      <c r="G634" s="156"/>
      <c r="H634" s="156"/>
      <c r="I634" s="156"/>
      <c r="J634" s="156"/>
      <c r="K634" s="155">
        <v>0.0</v>
      </c>
      <c r="L634" s="155">
        <f t="shared" ref="L634:M634" si="627">$K634*L$4/100</f>
        <v>0</v>
      </c>
      <c r="M634" s="155">
        <f t="shared" si="627"/>
        <v>0</v>
      </c>
    </row>
    <row r="635">
      <c r="A635" s="152">
        <f t="shared" si="7"/>
        <v>0</v>
      </c>
      <c r="B635" s="153">
        <f t="shared" si="8"/>
        <v>0</v>
      </c>
      <c r="C635" s="153">
        <f t="shared" si="9"/>
        <v>0</v>
      </c>
      <c r="D635" s="186"/>
      <c r="E635" s="161"/>
      <c r="F635" s="156"/>
      <c r="G635" s="156"/>
      <c r="H635" s="156"/>
      <c r="I635" s="156"/>
      <c r="J635" s="156"/>
      <c r="K635" s="155">
        <v>0.0</v>
      </c>
      <c r="L635" s="155">
        <f t="shared" ref="L635:M635" si="628">$K635*L$4/100</f>
        <v>0</v>
      </c>
      <c r="M635" s="155">
        <f t="shared" si="628"/>
        <v>0</v>
      </c>
    </row>
    <row r="636">
      <c r="A636" s="152">
        <f t="shared" si="7"/>
        <v>0</v>
      </c>
      <c r="B636" s="153">
        <f t="shared" si="8"/>
        <v>0</v>
      </c>
      <c r="C636" s="153">
        <f t="shared" si="9"/>
        <v>0</v>
      </c>
      <c r="D636" s="186"/>
      <c r="E636" s="161"/>
      <c r="F636" s="156"/>
      <c r="G636" s="156"/>
      <c r="H636" s="156"/>
      <c r="I636" s="156"/>
      <c r="J636" s="156"/>
      <c r="K636" s="155">
        <v>0.0</v>
      </c>
      <c r="L636" s="155">
        <f t="shared" ref="L636:M636" si="629">$K636*L$4/100</f>
        <v>0</v>
      </c>
      <c r="M636" s="155">
        <f t="shared" si="629"/>
        <v>0</v>
      </c>
    </row>
    <row r="637">
      <c r="A637" s="152">
        <f t="shared" si="7"/>
        <v>0</v>
      </c>
      <c r="B637" s="153">
        <f t="shared" si="8"/>
        <v>0</v>
      </c>
      <c r="C637" s="153">
        <f t="shared" si="9"/>
        <v>0</v>
      </c>
      <c r="D637" s="186"/>
      <c r="E637" s="161"/>
      <c r="F637" s="156"/>
      <c r="G637" s="156"/>
      <c r="H637" s="156"/>
      <c r="I637" s="156"/>
      <c r="J637" s="156"/>
      <c r="K637" s="155">
        <v>0.0</v>
      </c>
      <c r="L637" s="155">
        <f t="shared" ref="L637:M637" si="630">$K637*L$4/100</f>
        <v>0</v>
      </c>
      <c r="M637" s="155">
        <f t="shared" si="630"/>
        <v>0</v>
      </c>
    </row>
    <row r="638">
      <c r="A638" s="152">
        <f t="shared" si="7"/>
        <v>0</v>
      </c>
      <c r="B638" s="153">
        <f t="shared" si="8"/>
        <v>0</v>
      </c>
      <c r="C638" s="153">
        <f t="shared" si="9"/>
        <v>0</v>
      </c>
      <c r="D638" s="186"/>
      <c r="E638" s="161"/>
      <c r="F638" s="156"/>
      <c r="G638" s="156"/>
      <c r="H638" s="156"/>
      <c r="I638" s="156"/>
      <c r="J638" s="156"/>
      <c r="K638" s="155">
        <v>0.0</v>
      </c>
      <c r="L638" s="155">
        <f t="shared" ref="L638:M638" si="631">$K638*L$4/100</f>
        <v>0</v>
      </c>
      <c r="M638" s="155">
        <f t="shared" si="631"/>
        <v>0</v>
      </c>
    </row>
    <row r="639">
      <c r="A639" s="152">
        <f t="shared" si="7"/>
        <v>0</v>
      </c>
      <c r="B639" s="153">
        <f t="shared" si="8"/>
        <v>0</v>
      </c>
      <c r="C639" s="153">
        <f t="shared" si="9"/>
        <v>0</v>
      </c>
      <c r="D639" s="186"/>
      <c r="E639" s="161"/>
      <c r="F639" s="156"/>
      <c r="G639" s="156"/>
      <c r="H639" s="156"/>
      <c r="I639" s="156"/>
      <c r="J639" s="156"/>
      <c r="K639" s="155">
        <v>0.0</v>
      </c>
      <c r="L639" s="155">
        <f t="shared" ref="L639:M639" si="632">$K639*L$4/100</f>
        <v>0</v>
      </c>
      <c r="M639" s="155">
        <f t="shared" si="632"/>
        <v>0</v>
      </c>
    </row>
    <row r="640">
      <c r="A640" s="152">
        <f t="shared" si="7"/>
        <v>0</v>
      </c>
      <c r="B640" s="153">
        <f t="shared" si="8"/>
        <v>0</v>
      </c>
      <c r="C640" s="153">
        <f t="shared" si="9"/>
        <v>0</v>
      </c>
      <c r="D640" s="186"/>
      <c r="E640" s="161"/>
      <c r="F640" s="156"/>
      <c r="G640" s="156"/>
      <c r="H640" s="156"/>
      <c r="I640" s="156"/>
      <c r="J640" s="156"/>
      <c r="K640" s="155">
        <v>0.0</v>
      </c>
      <c r="L640" s="155">
        <f t="shared" ref="L640:M640" si="633">$K640*L$4/100</f>
        <v>0</v>
      </c>
      <c r="M640" s="155">
        <f t="shared" si="633"/>
        <v>0</v>
      </c>
    </row>
    <row r="641">
      <c r="A641" s="152">
        <f t="shared" si="7"/>
        <v>0</v>
      </c>
      <c r="B641" s="153">
        <f t="shared" si="8"/>
        <v>0</v>
      </c>
      <c r="C641" s="153">
        <f t="shared" si="9"/>
        <v>0</v>
      </c>
      <c r="D641" s="186"/>
      <c r="E641" s="161"/>
      <c r="F641" s="156"/>
      <c r="G641" s="156"/>
      <c r="H641" s="156"/>
      <c r="I641" s="156"/>
      <c r="J641" s="156"/>
      <c r="K641" s="155">
        <v>0.0</v>
      </c>
      <c r="L641" s="155">
        <f t="shared" ref="L641:M641" si="634">$K641*L$4/100</f>
        <v>0</v>
      </c>
      <c r="M641" s="155">
        <f t="shared" si="634"/>
        <v>0</v>
      </c>
    </row>
    <row r="642">
      <c r="A642" s="152">
        <f t="shared" si="7"/>
        <v>0</v>
      </c>
      <c r="B642" s="153">
        <f t="shared" si="8"/>
        <v>0</v>
      </c>
      <c r="C642" s="153">
        <f t="shared" si="9"/>
        <v>0</v>
      </c>
      <c r="D642" s="186"/>
      <c r="E642" s="161"/>
      <c r="F642" s="156"/>
      <c r="G642" s="156"/>
      <c r="H642" s="156"/>
      <c r="I642" s="156"/>
      <c r="J642" s="156"/>
      <c r="K642" s="155">
        <v>0.0</v>
      </c>
      <c r="L642" s="155">
        <f t="shared" ref="L642:M642" si="635">$K642*L$4/100</f>
        <v>0</v>
      </c>
      <c r="M642" s="155">
        <f t="shared" si="635"/>
        <v>0</v>
      </c>
    </row>
    <row r="643">
      <c r="A643" s="152">
        <f t="shared" si="7"/>
        <v>0</v>
      </c>
      <c r="B643" s="153">
        <f t="shared" si="8"/>
        <v>0</v>
      </c>
      <c r="C643" s="153">
        <f t="shared" si="9"/>
        <v>0</v>
      </c>
      <c r="D643" s="186"/>
      <c r="E643" s="161"/>
      <c r="F643" s="156"/>
      <c r="G643" s="156"/>
      <c r="H643" s="156"/>
      <c r="I643" s="156"/>
      <c r="J643" s="156"/>
      <c r="K643" s="155">
        <v>0.0</v>
      </c>
      <c r="L643" s="155">
        <f t="shared" ref="L643:M643" si="636">$K643*L$4/100</f>
        <v>0</v>
      </c>
      <c r="M643" s="155">
        <f t="shared" si="636"/>
        <v>0</v>
      </c>
    </row>
    <row r="644">
      <c r="A644" s="152">
        <f t="shared" si="7"/>
        <v>0</v>
      </c>
      <c r="B644" s="153">
        <f t="shared" si="8"/>
        <v>0</v>
      </c>
      <c r="C644" s="153">
        <f t="shared" si="9"/>
        <v>0</v>
      </c>
      <c r="D644" s="186"/>
      <c r="E644" s="161"/>
      <c r="F644" s="156"/>
      <c r="G644" s="156"/>
      <c r="H644" s="156"/>
      <c r="I644" s="156"/>
      <c r="J644" s="156"/>
      <c r="K644" s="155">
        <v>0.0</v>
      </c>
      <c r="L644" s="155">
        <f t="shared" ref="L644:M644" si="637">$K644*L$4/100</f>
        <v>0</v>
      </c>
      <c r="M644" s="155">
        <f t="shared" si="637"/>
        <v>0</v>
      </c>
    </row>
    <row r="645">
      <c r="A645" s="152">
        <f t="shared" si="7"/>
        <v>0</v>
      </c>
      <c r="B645" s="153">
        <f t="shared" si="8"/>
        <v>0</v>
      </c>
      <c r="C645" s="153">
        <f t="shared" si="9"/>
        <v>0</v>
      </c>
      <c r="D645" s="186"/>
      <c r="E645" s="161"/>
      <c r="F645" s="156"/>
      <c r="G645" s="156"/>
      <c r="H645" s="156"/>
      <c r="I645" s="156"/>
      <c r="J645" s="156"/>
      <c r="K645" s="155">
        <v>0.0</v>
      </c>
      <c r="L645" s="155">
        <f t="shared" ref="L645:M645" si="638">$K645*L$4/100</f>
        <v>0</v>
      </c>
      <c r="M645" s="155">
        <f t="shared" si="638"/>
        <v>0</v>
      </c>
    </row>
    <row r="646">
      <c r="A646" s="152">
        <f t="shared" si="7"/>
        <v>0</v>
      </c>
      <c r="B646" s="153">
        <f t="shared" si="8"/>
        <v>0</v>
      </c>
      <c r="C646" s="153">
        <f t="shared" si="9"/>
        <v>0</v>
      </c>
      <c r="D646" s="186"/>
      <c r="E646" s="161"/>
      <c r="F646" s="156"/>
      <c r="G646" s="156"/>
      <c r="H646" s="156"/>
      <c r="I646" s="156"/>
      <c r="J646" s="156"/>
      <c r="K646" s="155">
        <v>0.0</v>
      </c>
      <c r="L646" s="155">
        <f t="shared" ref="L646:M646" si="639">$K646*L$4/100</f>
        <v>0</v>
      </c>
      <c r="M646" s="155">
        <f t="shared" si="639"/>
        <v>0</v>
      </c>
    </row>
    <row r="647">
      <c r="A647" s="152">
        <f t="shared" si="7"/>
        <v>0</v>
      </c>
      <c r="B647" s="153">
        <f t="shared" si="8"/>
        <v>0</v>
      </c>
      <c r="C647" s="153">
        <f t="shared" si="9"/>
        <v>0</v>
      </c>
      <c r="D647" s="186"/>
      <c r="E647" s="161"/>
      <c r="F647" s="156"/>
      <c r="G647" s="156"/>
      <c r="H647" s="156"/>
      <c r="I647" s="156"/>
      <c r="J647" s="156"/>
      <c r="K647" s="155">
        <v>0.0</v>
      </c>
      <c r="L647" s="155">
        <f t="shared" ref="L647:M647" si="640">$K647*L$4/100</f>
        <v>0</v>
      </c>
      <c r="M647" s="155">
        <f t="shared" si="640"/>
        <v>0</v>
      </c>
    </row>
    <row r="648">
      <c r="A648" s="152">
        <f t="shared" si="7"/>
        <v>0</v>
      </c>
      <c r="B648" s="153">
        <f t="shared" si="8"/>
        <v>0</v>
      </c>
      <c r="C648" s="153">
        <f t="shared" si="9"/>
        <v>0</v>
      </c>
      <c r="D648" s="186"/>
      <c r="E648" s="161"/>
      <c r="F648" s="156"/>
      <c r="G648" s="156"/>
      <c r="H648" s="156"/>
      <c r="I648" s="156"/>
      <c r="J648" s="156"/>
      <c r="K648" s="155">
        <v>0.0</v>
      </c>
      <c r="L648" s="155">
        <f t="shared" ref="L648:M648" si="641">$K648*L$4/100</f>
        <v>0</v>
      </c>
      <c r="M648" s="155">
        <f t="shared" si="641"/>
        <v>0</v>
      </c>
    </row>
    <row r="649">
      <c r="A649" s="152">
        <f t="shared" si="7"/>
        <v>0</v>
      </c>
      <c r="B649" s="153">
        <f t="shared" si="8"/>
        <v>0</v>
      </c>
      <c r="C649" s="153">
        <f t="shared" si="9"/>
        <v>0</v>
      </c>
      <c r="D649" s="186"/>
      <c r="E649" s="161"/>
      <c r="F649" s="156"/>
      <c r="G649" s="156"/>
      <c r="H649" s="156"/>
      <c r="I649" s="156"/>
      <c r="J649" s="156"/>
      <c r="K649" s="155">
        <v>0.0</v>
      </c>
      <c r="L649" s="155">
        <f t="shared" ref="L649:M649" si="642">$K649*L$4/100</f>
        <v>0</v>
      </c>
      <c r="M649" s="155">
        <f t="shared" si="642"/>
        <v>0</v>
      </c>
    </row>
    <row r="650">
      <c r="A650" s="152">
        <f t="shared" si="7"/>
        <v>0</v>
      </c>
      <c r="B650" s="153">
        <f t="shared" si="8"/>
        <v>0</v>
      </c>
      <c r="C650" s="153">
        <f t="shared" si="9"/>
        <v>0</v>
      </c>
      <c r="D650" s="186"/>
      <c r="E650" s="161"/>
      <c r="F650" s="156"/>
      <c r="G650" s="156"/>
      <c r="H650" s="156"/>
      <c r="I650" s="156"/>
      <c r="J650" s="156"/>
      <c r="K650" s="155">
        <v>0.0</v>
      </c>
      <c r="L650" s="155">
        <f t="shared" ref="L650:M650" si="643">$K650*L$4/100</f>
        <v>0</v>
      </c>
      <c r="M650" s="155">
        <f t="shared" si="643"/>
        <v>0</v>
      </c>
    </row>
    <row r="651">
      <c r="A651" s="152">
        <f t="shared" si="7"/>
        <v>0</v>
      </c>
      <c r="B651" s="153">
        <f t="shared" si="8"/>
        <v>0</v>
      </c>
      <c r="C651" s="153">
        <f t="shared" si="9"/>
        <v>0</v>
      </c>
      <c r="D651" s="186"/>
      <c r="E651" s="161"/>
      <c r="F651" s="156"/>
      <c r="G651" s="156"/>
      <c r="H651" s="156"/>
      <c r="I651" s="156"/>
      <c r="J651" s="156"/>
      <c r="K651" s="155">
        <v>0.0</v>
      </c>
      <c r="L651" s="155">
        <f t="shared" ref="L651:M651" si="644">$K651*L$4/100</f>
        <v>0</v>
      </c>
      <c r="M651" s="155">
        <f t="shared" si="644"/>
        <v>0</v>
      </c>
    </row>
    <row r="652">
      <c r="A652" s="152">
        <f t="shared" si="7"/>
        <v>0</v>
      </c>
      <c r="B652" s="153">
        <f t="shared" si="8"/>
        <v>0</v>
      </c>
      <c r="C652" s="153">
        <f t="shared" si="9"/>
        <v>0</v>
      </c>
      <c r="D652" s="186"/>
      <c r="E652" s="161"/>
      <c r="F652" s="156"/>
      <c r="G652" s="156"/>
      <c r="H652" s="156"/>
      <c r="I652" s="156"/>
      <c r="J652" s="156"/>
      <c r="K652" s="155">
        <v>0.0</v>
      </c>
      <c r="L652" s="155">
        <f t="shared" ref="L652:M652" si="645">$K652*L$4/100</f>
        <v>0</v>
      </c>
      <c r="M652" s="155">
        <f t="shared" si="645"/>
        <v>0</v>
      </c>
    </row>
    <row r="653">
      <c r="A653" s="152">
        <f t="shared" si="7"/>
        <v>0</v>
      </c>
      <c r="B653" s="153">
        <f t="shared" si="8"/>
        <v>0</v>
      </c>
      <c r="C653" s="153">
        <f t="shared" si="9"/>
        <v>0</v>
      </c>
      <c r="D653" s="186"/>
      <c r="E653" s="161"/>
      <c r="F653" s="156"/>
      <c r="G653" s="156"/>
      <c r="H653" s="156"/>
      <c r="I653" s="156"/>
      <c r="J653" s="156"/>
      <c r="K653" s="155">
        <v>0.0</v>
      </c>
      <c r="L653" s="155">
        <f t="shared" ref="L653:M653" si="646">$K653*L$4/100</f>
        <v>0</v>
      </c>
      <c r="M653" s="155">
        <f t="shared" si="646"/>
        <v>0</v>
      </c>
    </row>
    <row r="654">
      <c r="A654" s="152">
        <f t="shared" si="7"/>
        <v>0</v>
      </c>
      <c r="B654" s="153">
        <f t="shared" si="8"/>
        <v>0</v>
      </c>
      <c r="C654" s="153">
        <f t="shared" si="9"/>
        <v>0</v>
      </c>
      <c r="D654" s="186"/>
      <c r="E654" s="161"/>
      <c r="F654" s="156"/>
      <c r="G654" s="156"/>
      <c r="H654" s="156"/>
      <c r="I654" s="156"/>
      <c r="J654" s="156"/>
      <c r="K654" s="155">
        <v>0.0</v>
      </c>
      <c r="L654" s="155">
        <f t="shared" ref="L654:M654" si="647">$K654*L$4/100</f>
        <v>0</v>
      </c>
      <c r="M654" s="155">
        <f t="shared" si="647"/>
        <v>0</v>
      </c>
    </row>
    <row r="655">
      <c r="A655" s="152">
        <f t="shared" si="7"/>
        <v>0</v>
      </c>
      <c r="B655" s="153">
        <f t="shared" si="8"/>
        <v>0</v>
      </c>
      <c r="C655" s="153">
        <f t="shared" si="9"/>
        <v>0</v>
      </c>
      <c r="D655" s="186"/>
      <c r="E655" s="161"/>
      <c r="F655" s="156"/>
      <c r="G655" s="156"/>
      <c r="H655" s="156"/>
      <c r="I655" s="156"/>
      <c r="J655" s="156"/>
      <c r="K655" s="155">
        <v>0.0</v>
      </c>
      <c r="L655" s="155">
        <f t="shared" ref="L655:M655" si="648">$K655*L$4/100</f>
        <v>0</v>
      </c>
      <c r="M655" s="155">
        <f t="shared" si="648"/>
        <v>0</v>
      </c>
    </row>
    <row r="656">
      <c r="A656" s="152">
        <f t="shared" si="7"/>
        <v>0</v>
      </c>
      <c r="B656" s="153">
        <f t="shared" si="8"/>
        <v>0</v>
      </c>
      <c r="C656" s="153">
        <f t="shared" si="9"/>
        <v>0</v>
      </c>
      <c r="D656" s="186"/>
      <c r="E656" s="161"/>
      <c r="F656" s="156"/>
      <c r="G656" s="156"/>
      <c r="H656" s="156"/>
      <c r="I656" s="156"/>
      <c r="J656" s="156"/>
      <c r="K656" s="155">
        <v>0.0</v>
      </c>
      <c r="L656" s="155">
        <f t="shared" ref="L656:M656" si="649">$K656*L$4/100</f>
        <v>0</v>
      </c>
      <c r="M656" s="155">
        <f t="shared" si="649"/>
        <v>0</v>
      </c>
    </row>
    <row r="657">
      <c r="A657" s="152">
        <f t="shared" si="7"/>
        <v>0</v>
      </c>
      <c r="B657" s="153">
        <f t="shared" si="8"/>
        <v>0</v>
      </c>
      <c r="C657" s="153">
        <f t="shared" si="9"/>
        <v>0</v>
      </c>
      <c r="D657" s="186"/>
      <c r="E657" s="161"/>
      <c r="F657" s="156"/>
      <c r="G657" s="156"/>
      <c r="H657" s="156"/>
      <c r="I657" s="156"/>
      <c r="J657" s="156"/>
      <c r="K657" s="155">
        <v>0.0</v>
      </c>
      <c r="L657" s="155">
        <f t="shared" ref="L657:M657" si="650">$K657*L$4/100</f>
        <v>0</v>
      </c>
      <c r="M657" s="155">
        <f t="shared" si="650"/>
        <v>0</v>
      </c>
    </row>
    <row r="658">
      <c r="A658" s="152">
        <f t="shared" si="7"/>
        <v>0</v>
      </c>
      <c r="B658" s="153">
        <f t="shared" si="8"/>
        <v>0</v>
      </c>
      <c r="C658" s="153">
        <f t="shared" si="9"/>
        <v>0</v>
      </c>
      <c r="D658" s="186"/>
      <c r="E658" s="161"/>
      <c r="F658" s="156"/>
      <c r="G658" s="156"/>
      <c r="H658" s="156"/>
      <c r="I658" s="156"/>
      <c r="J658" s="156"/>
      <c r="K658" s="155">
        <v>0.0</v>
      </c>
      <c r="L658" s="155">
        <f t="shared" ref="L658:M658" si="651">$K658*L$4/100</f>
        <v>0</v>
      </c>
      <c r="M658" s="155">
        <f t="shared" si="651"/>
        <v>0</v>
      </c>
    </row>
    <row r="659">
      <c r="A659" s="152">
        <f t="shared" si="7"/>
        <v>0</v>
      </c>
      <c r="B659" s="153">
        <f t="shared" si="8"/>
        <v>0</v>
      </c>
      <c r="C659" s="153">
        <f t="shared" si="9"/>
        <v>0</v>
      </c>
      <c r="D659" s="186"/>
      <c r="E659" s="161"/>
      <c r="F659" s="156"/>
      <c r="G659" s="156"/>
      <c r="H659" s="156"/>
      <c r="I659" s="156"/>
      <c r="J659" s="156"/>
      <c r="K659" s="155">
        <v>0.0</v>
      </c>
      <c r="L659" s="155">
        <f t="shared" ref="L659:M659" si="652">$K659*L$4/100</f>
        <v>0</v>
      </c>
      <c r="M659" s="155">
        <f t="shared" si="652"/>
        <v>0</v>
      </c>
    </row>
    <row r="660">
      <c r="A660" s="152">
        <f t="shared" si="7"/>
        <v>0</v>
      </c>
      <c r="B660" s="153">
        <f t="shared" si="8"/>
        <v>0</v>
      </c>
      <c r="C660" s="153">
        <f t="shared" si="9"/>
        <v>0</v>
      </c>
      <c r="D660" s="186"/>
      <c r="E660" s="161"/>
      <c r="F660" s="156"/>
      <c r="G660" s="156"/>
      <c r="H660" s="156"/>
      <c r="I660" s="156"/>
      <c r="J660" s="156"/>
      <c r="K660" s="155">
        <v>0.0</v>
      </c>
      <c r="L660" s="155">
        <f t="shared" ref="L660:M660" si="653">$K660*L$4/100</f>
        <v>0</v>
      </c>
      <c r="M660" s="155">
        <f t="shared" si="653"/>
        <v>0</v>
      </c>
    </row>
    <row r="661">
      <c r="A661" s="152">
        <f t="shared" si="7"/>
        <v>0</v>
      </c>
      <c r="B661" s="153">
        <f t="shared" si="8"/>
        <v>0</v>
      </c>
      <c r="C661" s="153">
        <f t="shared" si="9"/>
        <v>0</v>
      </c>
      <c r="D661" s="186"/>
      <c r="E661" s="161"/>
      <c r="F661" s="156"/>
      <c r="G661" s="156"/>
      <c r="H661" s="156"/>
      <c r="I661" s="156"/>
      <c r="J661" s="156"/>
      <c r="K661" s="155">
        <v>0.0</v>
      </c>
      <c r="L661" s="155">
        <f t="shared" ref="L661:M661" si="654">$K661*L$4/100</f>
        <v>0</v>
      </c>
      <c r="M661" s="155">
        <f t="shared" si="654"/>
        <v>0</v>
      </c>
    </row>
    <row r="662">
      <c r="A662" s="152">
        <f t="shared" si="7"/>
        <v>0</v>
      </c>
      <c r="B662" s="153">
        <f t="shared" si="8"/>
        <v>0</v>
      </c>
      <c r="C662" s="153">
        <f t="shared" si="9"/>
        <v>0</v>
      </c>
      <c r="D662" s="186"/>
      <c r="E662" s="161"/>
      <c r="F662" s="156"/>
      <c r="G662" s="156"/>
      <c r="H662" s="156"/>
      <c r="I662" s="156"/>
      <c r="J662" s="156"/>
      <c r="K662" s="155">
        <v>0.0</v>
      </c>
      <c r="L662" s="155">
        <f t="shared" ref="L662:M662" si="655">$K662*L$4/100</f>
        <v>0</v>
      </c>
      <c r="M662" s="155">
        <f t="shared" si="655"/>
        <v>0</v>
      </c>
    </row>
    <row r="663">
      <c r="A663" s="152">
        <f t="shared" si="7"/>
        <v>0</v>
      </c>
      <c r="B663" s="153">
        <f t="shared" si="8"/>
        <v>0</v>
      </c>
      <c r="C663" s="153">
        <f t="shared" si="9"/>
        <v>0</v>
      </c>
      <c r="D663" s="186"/>
      <c r="E663" s="161"/>
      <c r="F663" s="156"/>
      <c r="G663" s="156"/>
      <c r="H663" s="156"/>
      <c r="I663" s="156"/>
      <c r="J663" s="156"/>
      <c r="K663" s="155">
        <v>0.0</v>
      </c>
      <c r="L663" s="155">
        <f t="shared" ref="L663:M663" si="656">$K663*L$4/100</f>
        <v>0</v>
      </c>
      <c r="M663" s="155">
        <f t="shared" si="656"/>
        <v>0</v>
      </c>
    </row>
    <row r="664">
      <c r="A664" s="152">
        <f t="shared" si="7"/>
        <v>0</v>
      </c>
      <c r="B664" s="153">
        <f t="shared" si="8"/>
        <v>0</v>
      </c>
      <c r="C664" s="153">
        <f t="shared" si="9"/>
        <v>0</v>
      </c>
      <c r="D664" s="186"/>
      <c r="E664" s="161"/>
      <c r="F664" s="156"/>
      <c r="G664" s="156"/>
      <c r="H664" s="156"/>
      <c r="I664" s="156"/>
      <c r="J664" s="156"/>
      <c r="K664" s="155">
        <v>0.0</v>
      </c>
      <c r="L664" s="155">
        <f t="shared" ref="L664:M664" si="657">$K664*L$4/100</f>
        <v>0</v>
      </c>
      <c r="M664" s="155">
        <f t="shared" si="657"/>
        <v>0</v>
      </c>
    </row>
    <row r="665">
      <c r="A665" s="152">
        <f t="shared" si="7"/>
        <v>0</v>
      </c>
      <c r="B665" s="153">
        <f t="shared" si="8"/>
        <v>0</v>
      </c>
      <c r="C665" s="153">
        <f t="shared" si="9"/>
        <v>0</v>
      </c>
      <c r="D665" s="186"/>
      <c r="E665" s="161"/>
      <c r="F665" s="156"/>
      <c r="G665" s="156"/>
      <c r="H665" s="156"/>
      <c r="I665" s="156"/>
      <c r="J665" s="156"/>
      <c r="K665" s="155">
        <v>0.0</v>
      </c>
      <c r="L665" s="155">
        <f t="shared" ref="L665:M665" si="658">$K665*L$4/100</f>
        <v>0</v>
      </c>
      <c r="M665" s="155">
        <f t="shared" si="658"/>
        <v>0</v>
      </c>
    </row>
    <row r="666">
      <c r="A666" s="152">
        <f t="shared" si="7"/>
        <v>0</v>
      </c>
      <c r="B666" s="153">
        <f t="shared" si="8"/>
        <v>0</v>
      </c>
      <c r="C666" s="153">
        <f t="shared" si="9"/>
        <v>0</v>
      </c>
      <c r="D666" s="186"/>
      <c r="E666" s="161"/>
      <c r="F666" s="156"/>
      <c r="G666" s="156"/>
      <c r="H666" s="156"/>
      <c r="I666" s="156"/>
      <c r="J666" s="156"/>
      <c r="K666" s="155">
        <v>0.0</v>
      </c>
      <c r="L666" s="155">
        <f t="shared" ref="L666:M666" si="659">$K666*L$4/100</f>
        <v>0</v>
      </c>
      <c r="M666" s="155">
        <f t="shared" si="659"/>
        <v>0</v>
      </c>
    </row>
    <row r="667">
      <c r="A667" s="152">
        <f t="shared" si="7"/>
        <v>0</v>
      </c>
      <c r="B667" s="153">
        <f t="shared" si="8"/>
        <v>0</v>
      </c>
      <c r="C667" s="153">
        <f t="shared" si="9"/>
        <v>0</v>
      </c>
      <c r="D667" s="186"/>
      <c r="E667" s="161"/>
      <c r="F667" s="156"/>
      <c r="G667" s="156"/>
      <c r="H667" s="156"/>
      <c r="I667" s="156"/>
      <c r="J667" s="156"/>
      <c r="K667" s="155">
        <v>0.0</v>
      </c>
      <c r="L667" s="155">
        <f t="shared" ref="L667:M667" si="660">$K667*L$4/100</f>
        <v>0</v>
      </c>
      <c r="M667" s="155">
        <f t="shared" si="660"/>
        <v>0</v>
      </c>
    </row>
    <row r="668">
      <c r="A668" s="152">
        <f t="shared" si="7"/>
        <v>0</v>
      </c>
      <c r="B668" s="153">
        <f t="shared" si="8"/>
        <v>0</v>
      </c>
      <c r="C668" s="153">
        <f t="shared" si="9"/>
        <v>0</v>
      </c>
      <c r="D668" s="186"/>
      <c r="E668" s="161"/>
      <c r="F668" s="156"/>
      <c r="G668" s="156"/>
      <c r="H668" s="156"/>
      <c r="I668" s="156"/>
      <c r="J668" s="156"/>
      <c r="K668" s="155">
        <v>0.0</v>
      </c>
      <c r="L668" s="155">
        <f t="shared" ref="L668:M668" si="661">$K668*L$4/100</f>
        <v>0</v>
      </c>
      <c r="M668" s="155">
        <f t="shared" si="661"/>
        <v>0</v>
      </c>
    </row>
    <row r="669">
      <c r="A669" s="152">
        <f t="shared" si="7"/>
        <v>0</v>
      </c>
      <c r="B669" s="153">
        <f t="shared" si="8"/>
        <v>0</v>
      </c>
      <c r="C669" s="153">
        <f t="shared" si="9"/>
        <v>0</v>
      </c>
      <c r="D669" s="186"/>
      <c r="E669" s="161"/>
      <c r="F669" s="156"/>
      <c r="G669" s="156"/>
      <c r="H669" s="156"/>
      <c r="I669" s="156"/>
      <c r="J669" s="156"/>
      <c r="K669" s="155">
        <v>0.0</v>
      </c>
      <c r="L669" s="155">
        <f t="shared" ref="L669:M669" si="662">$K669*L$4/100</f>
        <v>0</v>
      </c>
      <c r="M669" s="155">
        <f t="shared" si="662"/>
        <v>0</v>
      </c>
    </row>
    <row r="670">
      <c r="A670" s="152">
        <f t="shared" si="7"/>
        <v>0</v>
      </c>
      <c r="B670" s="153">
        <f t="shared" si="8"/>
        <v>0</v>
      </c>
      <c r="C670" s="153">
        <f t="shared" si="9"/>
        <v>0</v>
      </c>
      <c r="D670" s="186"/>
      <c r="E670" s="161"/>
      <c r="F670" s="156"/>
      <c r="G670" s="156"/>
      <c r="H670" s="156"/>
      <c r="I670" s="156"/>
      <c r="J670" s="156"/>
      <c r="K670" s="155">
        <v>0.0</v>
      </c>
      <c r="L670" s="155">
        <f t="shared" ref="L670:M670" si="663">$K670*L$4/100</f>
        <v>0</v>
      </c>
      <c r="M670" s="155">
        <f t="shared" si="663"/>
        <v>0</v>
      </c>
    </row>
    <row r="671">
      <c r="A671" s="152">
        <f t="shared" si="7"/>
        <v>0</v>
      </c>
      <c r="B671" s="153">
        <f t="shared" si="8"/>
        <v>0</v>
      </c>
      <c r="C671" s="153">
        <f t="shared" si="9"/>
        <v>0</v>
      </c>
      <c r="D671" s="186"/>
      <c r="E671" s="161"/>
      <c r="F671" s="156"/>
      <c r="G671" s="156"/>
      <c r="H671" s="156"/>
      <c r="I671" s="156"/>
      <c r="J671" s="156"/>
      <c r="K671" s="155">
        <v>0.0</v>
      </c>
      <c r="L671" s="155">
        <f t="shared" ref="L671:M671" si="664">$K671*L$4/100</f>
        <v>0</v>
      </c>
      <c r="M671" s="155">
        <f t="shared" si="664"/>
        <v>0</v>
      </c>
    </row>
    <row r="672">
      <c r="A672" s="152">
        <f t="shared" si="7"/>
        <v>0</v>
      </c>
      <c r="B672" s="153">
        <f t="shared" si="8"/>
        <v>0</v>
      </c>
      <c r="C672" s="153">
        <f t="shared" si="9"/>
        <v>0</v>
      </c>
      <c r="D672" s="186"/>
      <c r="E672" s="161"/>
      <c r="F672" s="156"/>
      <c r="G672" s="156"/>
      <c r="H672" s="156"/>
      <c r="I672" s="156"/>
      <c r="J672" s="156"/>
      <c r="K672" s="155">
        <v>0.0</v>
      </c>
      <c r="L672" s="155">
        <f t="shared" ref="L672:M672" si="665">$K672*L$4/100</f>
        <v>0</v>
      </c>
      <c r="M672" s="155">
        <f t="shared" si="665"/>
        <v>0</v>
      </c>
    </row>
    <row r="673">
      <c r="A673" s="152">
        <f t="shared" si="7"/>
        <v>0</v>
      </c>
      <c r="B673" s="153">
        <f t="shared" si="8"/>
        <v>0</v>
      </c>
      <c r="C673" s="153">
        <f t="shared" si="9"/>
        <v>0</v>
      </c>
      <c r="D673" s="186"/>
      <c r="E673" s="161"/>
      <c r="F673" s="156"/>
      <c r="G673" s="156"/>
      <c r="H673" s="156"/>
      <c r="I673" s="156"/>
      <c r="J673" s="156"/>
      <c r="K673" s="155">
        <v>0.0</v>
      </c>
      <c r="L673" s="155">
        <f t="shared" ref="L673:M673" si="666">$K673*L$4/100</f>
        <v>0</v>
      </c>
      <c r="M673" s="155">
        <f t="shared" si="666"/>
        <v>0</v>
      </c>
    </row>
    <row r="674">
      <c r="A674" s="152">
        <f t="shared" si="7"/>
        <v>0</v>
      </c>
      <c r="B674" s="153">
        <f t="shared" si="8"/>
        <v>0</v>
      </c>
      <c r="C674" s="153">
        <f t="shared" si="9"/>
        <v>0</v>
      </c>
      <c r="D674" s="186"/>
      <c r="E674" s="161"/>
      <c r="F674" s="156"/>
      <c r="G674" s="156"/>
      <c r="H674" s="156"/>
      <c r="I674" s="156"/>
      <c r="J674" s="156"/>
      <c r="K674" s="155">
        <v>0.0</v>
      </c>
      <c r="L674" s="155">
        <f t="shared" ref="L674:M674" si="667">$K674*L$4/100</f>
        <v>0</v>
      </c>
      <c r="M674" s="155">
        <f t="shared" si="667"/>
        <v>0</v>
      </c>
    </row>
    <row r="675">
      <c r="A675" s="152">
        <f t="shared" si="7"/>
        <v>0</v>
      </c>
      <c r="B675" s="153">
        <f t="shared" si="8"/>
        <v>0</v>
      </c>
      <c r="C675" s="153">
        <f t="shared" si="9"/>
        <v>0</v>
      </c>
      <c r="D675" s="186"/>
      <c r="E675" s="161"/>
      <c r="F675" s="156"/>
      <c r="G675" s="156"/>
      <c r="H675" s="156"/>
      <c r="I675" s="156"/>
      <c r="J675" s="156"/>
      <c r="K675" s="155">
        <v>0.0</v>
      </c>
      <c r="L675" s="155">
        <f t="shared" ref="L675:M675" si="668">$K675*L$4/100</f>
        <v>0</v>
      </c>
      <c r="M675" s="155">
        <f t="shared" si="668"/>
        <v>0</v>
      </c>
    </row>
    <row r="676">
      <c r="A676" s="152">
        <f t="shared" si="7"/>
        <v>0</v>
      </c>
      <c r="B676" s="153">
        <f t="shared" si="8"/>
        <v>0</v>
      </c>
      <c r="C676" s="153">
        <f t="shared" si="9"/>
        <v>0</v>
      </c>
      <c r="D676" s="186"/>
      <c r="E676" s="161"/>
      <c r="F676" s="156"/>
      <c r="G676" s="156"/>
      <c r="H676" s="156"/>
      <c r="I676" s="156"/>
      <c r="J676" s="156"/>
      <c r="K676" s="155">
        <v>0.0</v>
      </c>
      <c r="L676" s="155">
        <f t="shared" ref="L676:M676" si="669">$K676*L$4/100</f>
        <v>0</v>
      </c>
      <c r="M676" s="155">
        <f t="shared" si="669"/>
        <v>0</v>
      </c>
    </row>
    <row r="677">
      <c r="A677" s="152">
        <f t="shared" si="7"/>
        <v>0</v>
      </c>
      <c r="B677" s="153">
        <f t="shared" si="8"/>
        <v>0</v>
      </c>
      <c r="C677" s="153">
        <f t="shared" si="9"/>
        <v>0</v>
      </c>
      <c r="D677" s="186"/>
      <c r="E677" s="161"/>
      <c r="F677" s="156"/>
      <c r="G677" s="156"/>
      <c r="H677" s="156"/>
      <c r="I677" s="156"/>
      <c r="J677" s="156"/>
      <c r="K677" s="155">
        <v>0.0</v>
      </c>
      <c r="L677" s="155">
        <f t="shared" ref="L677:M677" si="670">$K677*L$4/100</f>
        <v>0</v>
      </c>
      <c r="M677" s="155">
        <f t="shared" si="670"/>
        <v>0</v>
      </c>
    </row>
    <row r="678">
      <c r="A678" s="152">
        <f t="shared" si="7"/>
        <v>0</v>
      </c>
      <c r="B678" s="153">
        <f t="shared" si="8"/>
        <v>0</v>
      </c>
      <c r="C678" s="153">
        <f t="shared" si="9"/>
        <v>0</v>
      </c>
      <c r="D678" s="186"/>
      <c r="E678" s="161"/>
      <c r="F678" s="156"/>
      <c r="G678" s="156"/>
      <c r="H678" s="156"/>
      <c r="I678" s="156"/>
      <c r="J678" s="156"/>
      <c r="K678" s="155">
        <v>0.0</v>
      </c>
      <c r="L678" s="155">
        <f t="shared" ref="L678:M678" si="671">$K678*L$4/100</f>
        <v>0</v>
      </c>
      <c r="M678" s="155">
        <f t="shared" si="671"/>
        <v>0</v>
      </c>
    </row>
    <row r="679">
      <c r="A679" s="152">
        <f t="shared" si="7"/>
        <v>0</v>
      </c>
      <c r="B679" s="153">
        <f t="shared" si="8"/>
        <v>0</v>
      </c>
      <c r="C679" s="153">
        <f t="shared" si="9"/>
        <v>0</v>
      </c>
      <c r="D679" s="186"/>
      <c r="E679" s="161"/>
      <c r="F679" s="156"/>
      <c r="G679" s="156"/>
      <c r="H679" s="156"/>
      <c r="I679" s="156"/>
      <c r="J679" s="156"/>
      <c r="K679" s="155">
        <v>0.0</v>
      </c>
      <c r="L679" s="155">
        <f t="shared" ref="L679:M679" si="672">$K679*L$4/100</f>
        <v>0</v>
      </c>
      <c r="M679" s="155">
        <f t="shared" si="672"/>
        <v>0</v>
      </c>
    </row>
    <row r="680">
      <c r="A680" s="152">
        <f t="shared" si="7"/>
        <v>0</v>
      </c>
      <c r="B680" s="153">
        <f t="shared" si="8"/>
        <v>0</v>
      </c>
      <c r="C680" s="153">
        <f t="shared" si="9"/>
        <v>0</v>
      </c>
      <c r="D680" s="186"/>
      <c r="E680" s="161"/>
      <c r="F680" s="156"/>
      <c r="G680" s="156"/>
      <c r="H680" s="156"/>
      <c r="I680" s="156"/>
      <c r="J680" s="156"/>
      <c r="K680" s="155">
        <v>0.0</v>
      </c>
      <c r="L680" s="155">
        <f t="shared" ref="L680:M680" si="673">$K680*L$4/100</f>
        <v>0</v>
      </c>
      <c r="M680" s="155">
        <f t="shared" si="673"/>
        <v>0</v>
      </c>
    </row>
    <row r="681">
      <c r="A681" s="152">
        <f t="shared" si="7"/>
        <v>0</v>
      </c>
      <c r="B681" s="153">
        <f t="shared" si="8"/>
        <v>0</v>
      </c>
      <c r="C681" s="153">
        <f t="shared" si="9"/>
        <v>0</v>
      </c>
      <c r="D681" s="186"/>
      <c r="E681" s="161"/>
      <c r="F681" s="156"/>
      <c r="G681" s="156"/>
      <c r="H681" s="156"/>
      <c r="I681" s="156"/>
      <c r="J681" s="156"/>
      <c r="K681" s="155">
        <v>0.0</v>
      </c>
      <c r="L681" s="155">
        <f t="shared" ref="L681:M681" si="674">$K681*L$4/100</f>
        <v>0</v>
      </c>
      <c r="M681" s="155">
        <f t="shared" si="674"/>
        <v>0</v>
      </c>
    </row>
    <row r="682">
      <c r="A682" s="152">
        <f t="shared" si="7"/>
        <v>0</v>
      </c>
      <c r="B682" s="153">
        <f t="shared" si="8"/>
        <v>0</v>
      </c>
      <c r="C682" s="153">
        <f t="shared" si="9"/>
        <v>0</v>
      </c>
      <c r="D682" s="186"/>
      <c r="E682" s="161"/>
      <c r="F682" s="156"/>
      <c r="G682" s="156"/>
      <c r="H682" s="156"/>
      <c r="I682" s="156"/>
      <c r="J682" s="156"/>
      <c r="K682" s="155">
        <v>0.0</v>
      </c>
      <c r="L682" s="155">
        <f t="shared" ref="L682:M682" si="675">$K682*L$4/100</f>
        <v>0</v>
      </c>
      <c r="M682" s="155">
        <f t="shared" si="675"/>
        <v>0</v>
      </c>
    </row>
    <row r="683">
      <c r="A683" s="152">
        <f t="shared" si="7"/>
        <v>0</v>
      </c>
      <c r="B683" s="153">
        <f t="shared" si="8"/>
        <v>0</v>
      </c>
      <c r="C683" s="153">
        <f t="shared" si="9"/>
        <v>0</v>
      </c>
      <c r="D683" s="186"/>
      <c r="E683" s="161"/>
      <c r="F683" s="156"/>
      <c r="G683" s="156"/>
      <c r="H683" s="156"/>
      <c r="I683" s="156"/>
      <c r="J683" s="156"/>
      <c r="K683" s="155">
        <v>0.0</v>
      </c>
      <c r="L683" s="155">
        <f t="shared" ref="L683:M683" si="676">$K683*L$4/100</f>
        <v>0</v>
      </c>
      <c r="M683" s="155">
        <f t="shared" si="676"/>
        <v>0</v>
      </c>
    </row>
    <row r="684">
      <c r="A684" s="152">
        <f t="shared" si="7"/>
        <v>0</v>
      </c>
      <c r="B684" s="153">
        <f t="shared" si="8"/>
        <v>0</v>
      </c>
      <c r="C684" s="153">
        <f t="shared" si="9"/>
        <v>0</v>
      </c>
      <c r="D684" s="186"/>
      <c r="E684" s="161"/>
      <c r="F684" s="156"/>
      <c r="G684" s="156"/>
      <c r="H684" s="156"/>
      <c r="I684" s="156"/>
      <c r="J684" s="156"/>
      <c r="K684" s="155">
        <v>0.0</v>
      </c>
      <c r="L684" s="155">
        <f t="shared" ref="L684:M684" si="677">$K684*L$4/100</f>
        <v>0</v>
      </c>
      <c r="M684" s="155">
        <f t="shared" si="677"/>
        <v>0</v>
      </c>
    </row>
    <row r="685">
      <c r="A685" s="152">
        <f t="shared" si="7"/>
        <v>0</v>
      </c>
      <c r="B685" s="153">
        <f t="shared" si="8"/>
        <v>0</v>
      </c>
      <c r="C685" s="153">
        <f t="shared" si="9"/>
        <v>0</v>
      </c>
      <c r="D685" s="186"/>
      <c r="E685" s="161"/>
      <c r="F685" s="156"/>
      <c r="G685" s="156"/>
      <c r="H685" s="156"/>
      <c r="I685" s="156"/>
      <c r="J685" s="156"/>
      <c r="K685" s="155">
        <v>0.0</v>
      </c>
      <c r="L685" s="155">
        <f t="shared" ref="L685:M685" si="678">$K685*L$4/100</f>
        <v>0</v>
      </c>
      <c r="M685" s="155">
        <f t="shared" si="678"/>
        <v>0</v>
      </c>
    </row>
    <row r="686">
      <c r="A686" s="152">
        <f t="shared" si="7"/>
        <v>0</v>
      </c>
      <c r="B686" s="153">
        <f t="shared" si="8"/>
        <v>0</v>
      </c>
      <c r="C686" s="153">
        <f t="shared" si="9"/>
        <v>0</v>
      </c>
      <c r="D686" s="186"/>
      <c r="E686" s="161"/>
      <c r="F686" s="156"/>
      <c r="G686" s="156"/>
      <c r="H686" s="156"/>
      <c r="I686" s="156"/>
      <c r="J686" s="156"/>
      <c r="K686" s="155">
        <v>0.0</v>
      </c>
      <c r="L686" s="155">
        <f t="shared" ref="L686:M686" si="679">$K686*L$4/100</f>
        <v>0</v>
      </c>
      <c r="M686" s="155">
        <f t="shared" si="679"/>
        <v>0</v>
      </c>
    </row>
    <row r="687">
      <c r="A687" s="152">
        <f t="shared" si="7"/>
        <v>0</v>
      </c>
      <c r="B687" s="153">
        <f t="shared" si="8"/>
        <v>0</v>
      </c>
      <c r="C687" s="153">
        <f t="shared" si="9"/>
        <v>0</v>
      </c>
      <c r="D687" s="186"/>
      <c r="E687" s="161"/>
      <c r="F687" s="156"/>
      <c r="G687" s="156"/>
      <c r="H687" s="156"/>
      <c r="I687" s="156"/>
      <c r="J687" s="156"/>
      <c r="K687" s="155">
        <v>0.0</v>
      </c>
      <c r="L687" s="155">
        <f t="shared" ref="L687:M687" si="680">$K687*L$4/100</f>
        <v>0</v>
      </c>
      <c r="M687" s="155">
        <f t="shared" si="680"/>
        <v>0</v>
      </c>
    </row>
    <row r="688">
      <c r="A688" s="152">
        <f t="shared" si="7"/>
        <v>0</v>
      </c>
      <c r="B688" s="153">
        <f t="shared" si="8"/>
        <v>0</v>
      </c>
      <c r="C688" s="153">
        <f t="shared" si="9"/>
        <v>0</v>
      </c>
      <c r="D688" s="186"/>
      <c r="E688" s="161"/>
      <c r="F688" s="156"/>
      <c r="G688" s="156"/>
      <c r="H688" s="156"/>
      <c r="I688" s="156"/>
      <c r="J688" s="156"/>
      <c r="K688" s="155">
        <v>0.0</v>
      </c>
      <c r="L688" s="155">
        <f t="shared" ref="L688:M688" si="681">$K688*L$4/100</f>
        <v>0</v>
      </c>
      <c r="M688" s="155">
        <f t="shared" si="681"/>
        <v>0</v>
      </c>
    </row>
    <row r="689">
      <c r="A689" s="152">
        <f t="shared" si="7"/>
        <v>0</v>
      </c>
      <c r="B689" s="153">
        <f t="shared" si="8"/>
        <v>0</v>
      </c>
      <c r="C689" s="153">
        <f t="shared" si="9"/>
        <v>0</v>
      </c>
      <c r="D689" s="186"/>
      <c r="E689" s="161"/>
      <c r="F689" s="156"/>
      <c r="G689" s="156"/>
      <c r="H689" s="156"/>
      <c r="I689" s="156"/>
      <c r="J689" s="156"/>
      <c r="K689" s="155">
        <v>0.0</v>
      </c>
      <c r="L689" s="155">
        <f t="shared" ref="L689:M689" si="682">$K689*L$4/100</f>
        <v>0</v>
      </c>
      <c r="M689" s="155">
        <f t="shared" si="682"/>
        <v>0</v>
      </c>
    </row>
    <row r="690">
      <c r="A690" s="152">
        <f t="shared" si="7"/>
        <v>0</v>
      </c>
      <c r="B690" s="153">
        <f t="shared" si="8"/>
        <v>0</v>
      </c>
      <c r="C690" s="153">
        <f t="shared" si="9"/>
        <v>0</v>
      </c>
      <c r="D690" s="186"/>
      <c r="E690" s="161"/>
      <c r="F690" s="156"/>
      <c r="G690" s="156"/>
      <c r="H690" s="156"/>
      <c r="I690" s="156"/>
      <c r="J690" s="156"/>
      <c r="K690" s="155">
        <v>0.0</v>
      </c>
      <c r="L690" s="155">
        <f t="shared" ref="L690:M690" si="683">$K690*L$4/100</f>
        <v>0</v>
      </c>
      <c r="M690" s="155">
        <f t="shared" si="683"/>
        <v>0</v>
      </c>
    </row>
    <row r="691">
      <c r="A691" s="152">
        <f t="shared" si="7"/>
        <v>0</v>
      </c>
      <c r="B691" s="153">
        <f t="shared" si="8"/>
        <v>0</v>
      </c>
      <c r="C691" s="153">
        <f t="shared" si="9"/>
        <v>0</v>
      </c>
      <c r="D691" s="186"/>
      <c r="E691" s="161"/>
      <c r="F691" s="156"/>
      <c r="G691" s="156"/>
      <c r="H691" s="156"/>
      <c r="I691" s="156"/>
      <c r="J691" s="156"/>
      <c r="K691" s="155">
        <v>0.0</v>
      </c>
      <c r="L691" s="155">
        <f t="shared" ref="L691:M691" si="684">$K691*L$4/100</f>
        <v>0</v>
      </c>
      <c r="M691" s="155">
        <f t="shared" si="684"/>
        <v>0</v>
      </c>
    </row>
    <row r="692">
      <c r="A692" s="152">
        <f t="shared" si="7"/>
        <v>0</v>
      </c>
      <c r="B692" s="153">
        <f t="shared" si="8"/>
        <v>0</v>
      </c>
      <c r="C692" s="153">
        <f t="shared" si="9"/>
        <v>0</v>
      </c>
      <c r="D692" s="186"/>
      <c r="E692" s="161"/>
      <c r="F692" s="156"/>
      <c r="G692" s="156"/>
      <c r="H692" s="156"/>
      <c r="I692" s="156"/>
      <c r="J692" s="156"/>
      <c r="K692" s="155">
        <v>0.0</v>
      </c>
      <c r="L692" s="155">
        <f t="shared" ref="L692:M692" si="685">$K692*L$4/100</f>
        <v>0</v>
      </c>
      <c r="M692" s="155">
        <f t="shared" si="685"/>
        <v>0</v>
      </c>
    </row>
    <row r="693">
      <c r="A693" s="152">
        <f t="shared" si="7"/>
        <v>0</v>
      </c>
      <c r="B693" s="153">
        <f t="shared" si="8"/>
        <v>0</v>
      </c>
      <c r="C693" s="153">
        <f t="shared" si="9"/>
        <v>0</v>
      </c>
      <c r="D693" s="186"/>
      <c r="E693" s="161"/>
      <c r="F693" s="156"/>
      <c r="G693" s="156"/>
      <c r="H693" s="156"/>
      <c r="I693" s="156"/>
      <c r="J693" s="156"/>
      <c r="K693" s="155">
        <v>0.0</v>
      </c>
      <c r="L693" s="155">
        <f t="shared" ref="L693:M693" si="686">$K693*L$4/100</f>
        <v>0</v>
      </c>
      <c r="M693" s="155">
        <f t="shared" si="686"/>
        <v>0</v>
      </c>
    </row>
    <row r="694">
      <c r="A694" s="152">
        <f t="shared" si="7"/>
        <v>0</v>
      </c>
      <c r="B694" s="153">
        <f t="shared" si="8"/>
        <v>0</v>
      </c>
      <c r="C694" s="153">
        <f t="shared" si="9"/>
        <v>0</v>
      </c>
      <c r="D694" s="186"/>
      <c r="E694" s="161"/>
      <c r="F694" s="156"/>
      <c r="G694" s="156"/>
      <c r="H694" s="156"/>
      <c r="I694" s="156"/>
      <c r="J694" s="156"/>
      <c r="K694" s="155">
        <v>0.0</v>
      </c>
      <c r="L694" s="155">
        <f t="shared" ref="L694:M694" si="687">$K694*L$4/100</f>
        <v>0</v>
      </c>
      <c r="M694" s="155">
        <f t="shared" si="687"/>
        <v>0</v>
      </c>
    </row>
    <row r="695">
      <c r="A695" s="152">
        <f t="shared" si="7"/>
        <v>0</v>
      </c>
      <c r="B695" s="153">
        <f t="shared" si="8"/>
        <v>0</v>
      </c>
      <c r="C695" s="153">
        <f t="shared" si="9"/>
        <v>0</v>
      </c>
      <c r="D695" s="186"/>
      <c r="E695" s="161"/>
      <c r="F695" s="156"/>
      <c r="G695" s="156"/>
      <c r="H695" s="156"/>
      <c r="I695" s="156"/>
      <c r="J695" s="156"/>
      <c r="K695" s="155">
        <v>0.0</v>
      </c>
      <c r="L695" s="155">
        <f t="shared" ref="L695:M695" si="688">$K695*L$4/100</f>
        <v>0</v>
      </c>
      <c r="M695" s="155">
        <f t="shared" si="688"/>
        <v>0</v>
      </c>
    </row>
    <row r="696">
      <c r="A696" s="152">
        <f t="shared" si="7"/>
        <v>0</v>
      </c>
      <c r="B696" s="153">
        <f t="shared" si="8"/>
        <v>0</v>
      </c>
      <c r="C696" s="153">
        <f t="shared" si="9"/>
        <v>0</v>
      </c>
      <c r="D696" s="186"/>
      <c r="E696" s="161"/>
      <c r="F696" s="156"/>
      <c r="G696" s="156"/>
      <c r="H696" s="156"/>
      <c r="I696" s="156"/>
      <c r="J696" s="156"/>
      <c r="K696" s="155">
        <v>0.0</v>
      </c>
      <c r="L696" s="155">
        <f t="shared" ref="L696:M696" si="689">$K696*L$4/100</f>
        <v>0</v>
      </c>
      <c r="M696" s="155">
        <f t="shared" si="689"/>
        <v>0</v>
      </c>
    </row>
    <row r="697">
      <c r="A697" s="152">
        <f t="shared" si="7"/>
        <v>0</v>
      </c>
      <c r="B697" s="153">
        <f t="shared" si="8"/>
        <v>0</v>
      </c>
      <c r="C697" s="153">
        <f t="shared" si="9"/>
        <v>0</v>
      </c>
      <c r="D697" s="186"/>
      <c r="E697" s="161"/>
      <c r="F697" s="156"/>
      <c r="G697" s="156"/>
      <c r="H697" s="156"/>
      <c r="I697" s="156"/>
      <c r="J697" s="156"/>
      <c r="K697" s="155">
        <v>0.0</v>
      </c>
      <c r="L697" s="155">
        <f t="shared" ref="L697:M697" si="690">$K697*L$4/100</f>
        <v>0</v>
      </c>
      <c r="M697" s="155">
        <f t="shared" si="690"/>
        <v>0</v>
      </c>
    </row>
    <row r="698">
      <c r="A698" s="152">
        <f t="shared" si="7"/>
        <v>0</v>
      </c>
      <c r="B698" s="153">
        <f t="shared" si="8"/>
        <v>0</v>
      </c>
      <c r="C698" s="153">
        <f t="shared" si="9"/>
        <v>0</v>
      </c>
      <c r="D698" s="186"/>
      <c r="E698" s="161"/>
      <c r="F698" s="156"/>
      <c r="G698" s="156"/>
      <c r="H698" s="156"/>
      <c r="I698" s="156"/>
      <c r="J698" s="156"/>
      <c r="K698" s="155">
        <v>0.0</v>
      </c>
      <c r="L698" s="155">
        <f t="shared" ref="L698:M698" si="691">$K698*L$4/100</f>
        <v>0</v>
      </c>
      <c r="M698" s="155">
        <f t="shared" si="691"/>
        <v>0</v>
      </c>
    </row>
    <row r="699">
      <c r="A699" s="152">
        <f t="shared" si="7"/>
        <v>0</v>
      </c>
      <c r="B699" s="153">
        <f t="shared" si="8"/>
        <v>0</v>
      </c>
      <c r="C699" s="153">
        <f t="shared" si="9"/>
        <v>0</v>
      </c>
      <c r="D699" s="186"/>
      <c r="E699" s="161"/>
      <c r="F699" s="156"/>
      <c r="G699" s="156"/>
      <c r="H699" s="156"/>
      <c r="I699" s="156"/>
      <c r="J699" s="156"/>
      <c r="K699" s="155">
        <v>0.0</v>
      </c>
      <c r="L699" s="155">
        <f t="shared" ref="L699:M699" si="692">$K699*L$4/100</f>
        <v>0</v>
      </c>
      <c r="M699" s="155">
        <f t="shared" si="692"/>
        <v>0</v>
      </c>
    </row>
    <row r="700">
      <c r="A700" s="152">
        <f t="shared" si="7"/>
        <v>0</v>
      </c>
      <c r="B700" s="153">
        <f t="shared" si="8"/>
        <v>0</v>
      </c>
      <c r="C700" s="153">
        <f t="shared" si="9"/>
        <v>0</v>
      </c>
      <c r="D700" s="186"/>
      <c r="E700" s="161"/>
      <c r="F700" s="156"/>
      <c r="G700" s="156"/>
      <c r="H700" s="156"/>
      <c r="I700" s="156"/>
      <c r="J700" s="156"/>
      <c r="K700" s="155">
        <v>0.0</v>
      </c>
      <c r="L700" s="155">
        <f t="shared" ref="L700:M700" si="693">$K700*L$4/100</f>
        <v>0</v>
      </c>
      <c r="M700" s="155">
        <f t="shared" si="693"/>
        <v>0</v>
      </c>
    </row>
    <row r="701">
      <c r="A701" s="152">
        <f t="shared" si="7"/>
        <v>0</v>
      </c>
      <c r="B701" s="153">
        <f t="shared" si="8"/>
        <v>0</v>
      </c>
      <c r="C701" s="153">
        <f t="shared" si="9"/>
        <v>0</v>
      </c>
      <c r="D701" s="186"/>
      <c r="E701" s="161"/>
      <c r="F701" s="156"/>
      <c r="G701" s="156"/>
      <c r="H701" s="156"/>
      <c r="I701" s="156"/>
      <c r="J701" s="156"/>
      <c r="K701" s="155">
        <v>0.0</v>
      </c>
      <c r="L701" s="155">
        <f t="shared" ref="L701:M701" si="694">$K701*L$4/100</f>
        <v>0</v>
      </c>
      <c r="M701" s="155">
        <f t="shared" si="694"/>
        <v>0</v>
      </c>
    </row>
    <row r="702">
      <c r="A702" s="152">
        <f t="shared" si="7"/>
        <v>0</v>
      </c>
      <c r="B702" s="153">
        <f t="shared" si="8"/>
        <v>0</v>
      </c>
      <c r="C702" s="153">
        <f t="shared" si="9"/>
        <v>0</v>
      </c>
      <c r="D702" s="186"/>
      <c r="E702" s="161"/>
      <c r="F702" s="156"/>
      <c r="G702" s="156"/>
      <c r="H702" s="156"/>
      <c r="I702" s="156"/>
      <c r="J702" s="156"/>
      <c r="K702" s="155">
        <v>0.0</v>
      </c>
      <c r="L702" s="155">
        <f t="shared" ref="L702:M702" si="695">$K702*L$4/100</f>
        <v>0</v>
      </c>
      <c r="M702" s="155">
        <f t="shared" si="695"/>
        <v>0</v>
      </c>
    </row>
    <row r="703">
      <c r="A703" s="152">
        <f t="shared" si="7"/>
        <v>0</v>
      </c>
      <c r="B703" s="153">
        <f t="shared" si="8"/>
        <v>0</v>
      </c>
      <c r="C703" s="153">
        <f t="shared" si="9"/>
        <v>0</v>
      </c>
      <c r="D703" s="186"/>
      <c r="E703" s="161"/>
      <c r="F703" s="156"/>
      <c r="G703" s="156"/>
      <c r="H703" s="156"/>
      <c r="I703" s="156"/>
      <c r="J703" s="156"/>
      <c r="K703" s="155">
        <v>0.0</v>
      </c>
      <c r="L703" s="155">
        <f t="shared" ref="L703:M703" si="696">$K703*L$4/100</f>
        <v>0</v>
      </c>
      <c r="M703" s="155">
        <f t="shared" si="696"/>
        <v>0</v>
      </c>
    </row>
    <row r="704">
      <c r="A704" s="152">
        <f t="shared" si="7"/>
        <v>0</v>
      </c>
      <c r="B704" s="153">
        <f t="shared" si="8"/>
        <v>0</v>
      </c>
      <c r="C704" s="153">
        <f t="shared" si="9"/>
        <v>0</v>
      </c>
      <c r="D704" s="186"/>
      <c r="E704" s="161"/>
      <c r="F704" s="156"/>
      <c r="G704" s="156"/>
      <c r="H704" s="156"/>
      <c r="I704" s="156"/>
      <c r="J704" s="156"/>
      <c r="K704" s="155">
        <v>0.0</v>
      </c>
      <c r="L704" s="155">
        <f t="shared" ref="L704:M704" si="697">$K704*L$4/100</f>
        <v>0</v>
      </c>
      <c r="M704" s="155">
        <f t="shared" si="697"/>
        <v>0</v>
      </c>
    </row>
    <row r="705">
      <c r="A705" s="152">
        <f t="shared" si="7"/>
        <v>0</v>
      </c>
      <c r="B705" s="153">
        <f t="shared" si="8"/>
        <v>0</v>
      </c>
      <c r="C705" s="153">
        <f t="shared" si="9"/>
        <v>0</v>
      </c>
      <c r="D705" s="186"/>
      <c r="E705" s="161"/>
      <c r="F705" s="156"/>
      <c r="G705" s="156"/>
      <c r="H705" s="156"/>
      <c r="I705" s="156"/>
      <c r="J705" s="156"/>
      <c r="K705" s="155">
        <v>0.0</v>
      </c>
      <c r="L705" s="155">
        <f t="shared" ref="L705:M705" si="698">$K705*L$4/100</f>
        <v>0</v>
      </c>
      <c r="M705" s="155">
        <f t="shared" si="698"/>
        <v>0</v>
      </c>
    </row>
    <row r="706">
      <c r="A706" s="152">
        <f t="shared" si="7"/>
        <v>0</v>
      </c>
      <c r="B706" s="153">
        <f t="shared" si="8"/>
        <v>0</v>
      </c>
      <c r="C706" s="153">
        <f t="shared" si="9"/>
        <v>0</v>
      </c>
      <c r="D706" s="186"/>
      <c r="E706" s="161"/>
      <c r="F706" s="156"/>
      <c r="G706" s="156"/>
      <c r="H706" s="156"/>
      <c r="I706" s="156"/>
      <c r="J706" s="156"/>
      <c r="K706" s="155">
        <v>0.0</v>
      </c>
      <c r="L706" s="155">
        <f t="shared" ref="L706:M706" si="699">$K706*L$4/100</f>
        <v>0</v>
      </c>
      <c r="M706" s="155">
        <f t="shared" si="699"/>
        <v>0</v>
      </c>
    </row>
    <row r="707">
      <c r="A707" s="152">
        <f t="shared" si="7"/>
        <v>0</v>
      </c>
      <c r="B707" s="153">
        <f t="shared" si="8"/>
        <v>0</v>
      </c>
      <c r="C707" s="153">
        <f t="shared" si="9"/>
        <v>0</v>
      </c>
      <c r="D707" s="186"/>
      <c r="E707" s="161"/>
      <c r="F707" s="156"/>
      <c r="G707" s="156"/>
      <c r="H707" s="156"/>
      <c r="I707" s="156"/>
      <c r="J707" s="156"/>
      <c r="K707" s="155">
        <v>0.0</v>
      </c>
      <c r="L707" s="155">
        <f t="shared" ref="L707:M707" si="700">$K707*L$4/100</f>
        <v>0</v>
      </c>
      <c r="M707" s="155">
        <f t="shared" si="700"/>
        <v>0</v>
      </c>
    </row>
    <row r="708">
      <c r="A708" s="152">
        <f t="shared" si="7"/>
        <v>0</v>
      </c>
      <c r="B708" s="153">
        <f t="shared" si="8"/>
        <v>0</v>
      </c>
      <c r="C708" s="153">
        <f t="shared" si="9"/>
        <v>0</v>
      </c>
      <c r="D708" s="186"/>
      <c r="E708" s="161"/>
      <c r="F708" s="156"/>
      <c r="G708" s="156"/>
      <c r="H708" s="156"/>
      <c r="I708" s="156"/>
      <c r="J708" s="156"/>
      <c r="K708" s="155">
        <v>0.0</v>
      </c>
      <c r="L708" s="155">
        <f t="shared" ref="L708:M708" si="701">$K708*L$4/100</f>
        <v>0</v>
      </c>
      <c r="M708" s="155">
        <f t="shared" si="701"/>
        <v>0</v>
      </c>
    </row>
    <row r="709">
      <c r="A709" s="152">
        <f t="shared" si="7"/>
        <v>0</v>
      </c>
      <c r="B709" s="153">
        <f t="shared" si="8"/>
        <v>0</v>
      </c>
      <c r="C709" s="153">
        <f t="shared" si="9"/>
        <v>0</v>
      </c>
      <c r="D709" s="186"/>
      <c r="E709" s="161"/>
      <c r="F709" s="156"/>
      <c r="G709" s="156"/>
      <c r="H709" s="156"/>
      <c r="I709" s="156"/>
      <c r="J709" s="156"/>
      <c r="K709" s="155">
        <v>0.0</v>
      </c>
      <c r="L709" s="155">
        <f t="shared" ref="L709:M709" si="702">$K709*L$4/100</f>
        <v>0</v>
      </c>
      <c r="M709" s="155">
        <f t="shared" si="702"/>
        <v>0</v>
      </c>
    </row>
    <row r="710">
      <c r="A710" s="152">
        <f t="shared" si="7"/>
        <v>0</v>
      </c>
      <c r="B710" s="153">
        <f t="shared" si="8"/>
        <v>0</v>
      </c>
      <c r="C710" s="153">
        <f t="shared" si="9"/>
        <v>0</v>
      </c>
      <c r="D710" s="186"/>
      <c r="E710" s="161"/>
      <c r="F710" s="156"/>
      <c r="G710" s="156"/>
      <c r="H710" s="156"/>
      <c r="I710" s="156"/>
      <c r="J710" s="156"/>
      <c r="K710" s="155">
        <v>0.0</v>
      </c>
      <c r="L710" s="155">
        <f t="shared" ref="L710:M710" si="703">$K710*L$4/100</f>
        <v>0</v>
      </c>
      <c r="M710" s="155">
        <f t="shared" si="703"/>
        <v>0</v>
      </c>
    </row>
    <row r="711">
      <c r="A711" s="152">
        <f t="shared" si="7"/>
        <v>0</v>
      </c>
      <c r="B711" s="153">
        <f t="shared" si="8"/>
        <v>0</v>
      </c>
      <c r="C711" s="153">
        <f t="shared" si="9"/>
        <v>0</v>
      </c>
      <c r="D711" s="186"/>
      <c r="E711" s="161"/>
      <c r="F711" s="156"/>
      <c r="G711" s="156"/>
      <c r="H711" s="156"/>
      <c r="I711" s="156"/>
      <c r="J711" s="156"/>
      <c r="K711" s="155">
        <v>0.0</v>
      </c>
      <c r="L711" s="155">
        <f t="shared" ref="L711:M711" si="704">$K711*L$4/100</f>
        <v>0</v>
      </c>
      <c r="M711" s="155">
        <f t="shared" si="704"/>
        <v>0</v>
      </c>
    </row>
    <row r="712">
      <c r="A712" s="152">
        <f t="shared" si="7"/>
        <v>0</v>
      </c>
      <c r="B712" s="153">
        <f t="shared" si="8"/>
        <v>0</v>
      </c>
      <c r="C712" s="153">
        <f t="shared" si="9"/>
        <v>0</v>
      </c>
      <c r="D712" s="186"/>
      <c r="E712" s="161"/>
      <c r="F712" s="156"/>
      <c r="G712" s="156"/>
      <c r="H712" s="156"/>
      <c r="I712" s="156"/>
      <c r="J712" s="156"/>
      <c r="K712" s="155">
        <v>0.0</v>
      </c>
      <c r="L712" s="155">
        <f t="shared" ref="L712:M712" si="705">$K712*L$4/100</f>
        <v>0</v>
      </c>
      <c r="M712" s="155">
        <f t="shared" si="705"/>
        <v>0</v>
      </c>
    </row>
    <row r="713">
      <c r="A713" s="152">
        <f t="shared" si="7"/>
        <v>0</v>
      </c>
      <c r="B713" s="153">
        <f t="shared" si="8"/>
        <v>0</v>
      </c>
      <c r="C713" s="153">
        <f t="shared" si="9"/>
        <v>0</v>
      </c>
      <c r="D713" s="186"/>
      <c r="E713" s="161"/>
      <c r="F713" s="156"/>
      <c r="G713" s="156"/>
      <c r="H713" s="156"/>
      <c r="I713" s="156"/>
      <c r="J713" s="156"/>
      <c r="K713" s="155">
        <v>0.0</v>
      </c>
      <c r="L713" s="155">
        <f t="shared" ref="L713:M713" si="706">$K713*L$4/100</f>
        <v>0</v>
      </c>
      <c r="M713" s="155">
        <f t="shared" si="706"/>
        <v>0</v>
      </c>
    </row>
    <row r="714">
      <c r="A714" s="152">
        <f t="shared" si="7"/>
        <v>0</v>
      </c>
      <c r="B714" s="153">
        <f t="shared" si="8"/>
        <v>0</v>
      </c>
      <c r="C714" s="153">
        <f t="shared" si="9"/>
        <v>0</v>
      </c>
      <c r="D714" s="186"/>
      <c r="E714" s="161"/>
      <c r="F714" s="156"/>
      <c r="G714" s="156"/>
      <c r="H714" s="156"/>
      <c r="I714" s="156"/>
      <c r="J714" s="156"/>
      <c r="K714" s="155">
        <v>0.0</v>
      </c>
      <c r="L714" s="155">
        <f t="shared" ref="L714:M714" si="707">$K714*L$4/100</f>
        <v>0</v>
      </c>
      <c r="M714" s="155">
        <f t="shared" si="707"/>
        <v>0</v>
      </c>
    </row>
    <row r="715">
      <c r="A715" s="152">
        <f t="shared" si="7"/>
        <v>0</v>
      </c>
      <c r="B715" s="153">
        <f t="shared" si="8"/>
        <v>0</v>
      </c>
      <c r="C715" s="153">
        <f t="shared" si="9"/>
        <v>0</v>
      </c>
      <c r="D715" s="186"/>
      <c r="E715" s="161"/>
      <c r="F715" s="156"/>
      <c r="G715" s="156"/>
      <c r="H715" s="156"/>
      <c r="I715" s="156"/>
      <c r="J715" s="156"/>
      <c r="K715" s="155">
        <v>0.0</v>
      </c>
      <c r="L715" s="155">
        <f t="shared" ref="L715:M715" si="708">$K715*L$4/100</f>
        <v>0</v>
      </c>
      <c r="M715" s="155">
        <f t="shared" si="708"/>
        <v>0</v>
      </c>
    </row>
    <row r="716">
      <c r="A716" s="152">
        <f t="shared" si="7"/>
        <v>0</v>
      </c>
      <c r="B716" s="153">
        <f t="shared" si="8"/>
        <v>0</v>
      </c>
      <c r="C716" s="153">
        <f t="shared" si="9"/>
        <v>0</v>
      </c>
      <c r="D716" s="186"/>
      <c r="E716" s="161"/>
      <c r="F716" s="156"/>
      <c r="G716" s="156"/>
      <c r="H716" s="156"/>
      <c r="I716" s="156"/>
      <c r="J716" s="156"/>
      <c r="K716" s="155">
        <v>0.0</v>
      </c>
      <c r="L716" s="155">
        <f t="shared" ref="L716:M716" si="709">$K716*L$4/100</f>
        <v>0</v>
      </c>
      <c r="M716" s="155">
        <f t="shared" si="709"/>
        <v>0</v>
      </c>
    </row>
    <row r="717">
      <c r="A717" s="152">
        <f t="shared" si="7"/>
        <v>0</v>
      </c>
      <c r="B717" s="153">
        <f t="shared" si="8"/>
        <v>0</v>
      </c>
      <c r="C717" s="153">
        <f t="shared" si="9"/>
        <v>0</v>
      </c>
      <c r="D717" s="186"/>
      <c r="E717" s="161"/>
      <c r="F717" s="156"/>
      <c r="G717" s="156"/>
      <c r="H717" s="156"/>
      <c r="I717" s="156"/>
      <c r="J717" s="156"/>
      <c r="K717" s="155">
        <v>0.0</v>
      </c>
      <c r="L717" s="155">
        <f t="shared" ref="L717:M717" si="710">$K717*L$4/100</f>
        <v>0</v>
      </c>
      <c r="M717" s="155">
        <f t="shared" si="710"/>
        <v>0</v>
      </c>
    </row>
    <row r="718">
      <c r="A718" s="152">
        <f t="shared" si="7"/>
        <v>0</v>
      </c>
      <c r="B718" s="153">
        <f t="shared" si="8"/>
        <v>0</v>
      </c>
      <c r="C718" s="153">
        <f t="shared" si="9"/>
        <v>0</v>
      </c>
      <c r="D718" s="186"/>
      <c r="E718" s="161"/>
      <c r="F718" s="156"/>
      <c r="G718" s="156"/>
      <c r="H718" s="156"/>
      <c r="I718" s="156"/>
      <c r="J718" s="156"/>
      <c r="K718" s="155">
        <v>0.0</v>
      </c>
      <c r="L718" s="155">
        <f t="shared" ref="L718:M718" si="711">$K718*L$4/100</f>
        <v>0</v>
      </c>
      <c r="M718" s="155">
        <f t="shared" si="711"/>
        <v>0</v>
      </c>
    </row>
    <row r="719">
      <c r="A719" s="152">
        <f t="shared" si="7"/>
        <v>0</v>
      </c>
      <c r="B719" s="153">
        <f t="shared" si="8"/>
        <v>0</v>
      </c>
      <c r="C719" s="153">
        <f t="shared" si="9"/>
        <v>0</v>
      </c>
      <c r="D719" s="186"/>
      <c r="E719" s="161"/>
      <c r="F719" s="156"/>
      <c r="G719" s="156"/>
      <c r="H719" s="156"/>
      <c r="I719" s="156"/>
      <c r="J719" s="156"/>
      <c r="K719" s="155">
        <v>0.0</v>
      </c>
      <c r="L719" s="155">
        <f t="shared" ref="L719:M719" si="712">$K719*L$4/100</f>
        <v>0</v>
      </c>
      <c r="M719" s="155">
        <f t="shared" si="712"/>
        <v>0</v>
      </c>
    </row>
    <row r="720">
      <c r="A720" s="152">
        <f t="shared" si="7"/>
        <v>0</v>
      </c>
      <c r="B720" s="153">
        <f t="shared" si="8"/>
        <v>0</v>
      </c>
      <c r="C720" s="153">
        <f t="shared" si="9"/>
        <v>0</v>
      </c>
      <c r="D720" s="186"/>
      <c r="E720" s="161"/>
      <c r="F720" s="156"/>
      <c r="G720" s="156"/>
      <c r="H720" s="156"/>
      <c r="I720" s="156"/>
      <c r="J720" s="156"/>
      <c r="K720" s="155">
        <v>0.0</v>
      </c>
      <c r="L720" s="155">
        <f t="shared" ref="L720:M720" si="713">$K720*L$4/100</f>
        <v>0</v>
      </c>
      <c r="M720" s="155">
        <f t="shared" si="713"/>
        <v>0</v>
      </c>
    </row>
    <row r="721">
      <c r="A721" s="152">
        <f t="shared" si="7"/>
        <v>0</v>
      </c>
      <c r="B721" s="153">
        <f t="shared" si="8"/>
        <v>0</v>
      </c>
      <c r="C721" s="153">
        <f t="shared" si="9"/>
        <v>0</v>
      </c>
      <c r="D721" s="186"/>
      <c r="E721" s="161"/>
      <c r="F721" s="156"/>
      <c r="G721" s="156"/>
      <c r="H721" s="156"/>
      <c r="I721" s="156"/>
      <c r="J721" s="156"/>
      <c r="K721" s="155">
        <v>0.0</v>
      </c>
      <c r="L721" s="155">
        <f t="shared" ref="L721:M721" si="714">$K721*L$4/100</f>
        <v>0</v>
      </c>
      <c r="M721" s="155">
        <f t="shared" si="714"/>
        <v>0</v>
      </c>
    </row>
    <row r="722">
      <c r="A722" s="152">
        <f t="shared" si="7"/>
        <v>0</v>
      </c>
      <c r="B722" s="153">
        <f t="shared" si="8"/>
        <v>0</v>
      </c>
      <c r="C722" s="153">
        <f t="shared" si="9"/>
        <v>0</v>
      </c>
      <c r="D722" s="186"/>
      <c r="E722" s="161"/>
      <c r="F722" s="156"/>
      <c r="G722" s="156"/>
      <c r="H722" s="156"/>
      <c r="I722" s="156"/>
      <c r="J722" s="156"/>
      <c r="K722" s="155">
        <v>0.0</v>
      </c>
      <c r="L722" s="155">
        <f t="shared" ref="L722:M722" si="715">$K722*L$4/100</f>
        <v>0</v>
      </c>
      <c r="M722" s="155">
        <f t="shared" si="715"/>
        <v>0</v>
      </c>
    </row>
    <row r="723">
      <c r="A723" s="152">
        <f t="shared" si="7"/>
        <v>0</v>
      </c>
      <c r="B723" s="153">
        <f t="shared" si="8"/>
        <v>0</v>
      </c>
      <c r="C723" s="153">
        <f t="shared" si="9"/>
        <v>0</v>
      </c>
      <c r="D723" s="186"/>
      <c r="E723" s="161"/>
      <c r="F723" s="156"/>
      <c r="G723" s="156"/>
      <c r="H723" s="156"/>
      <c r="I723" s="156"/>
      <c r="J723" s="156"/>
      <c r="K723" s="155">
        <v>0.0</v>
      </c>
      <c r="L723" s="155">
        <f t="shared" ref="L723:M723" si="716">$K723*L$4/100</f>
        <v>0</v>
      </c>
      <c r="M723" s="155">
        <f t="shared" si="716"/>
        <v>0</v>
      </c>
    </row>
    <row r="724">
      <c r="A724" s="152">
        <f t="shared" si="7"/>
        <v>0</v>
      </c>
      <c r="B724" s="153">
        <f t="shared" si="8"/>
        <v>0</v>
      </c>
      <c r="C724" s="153">
        <f t="shared" si="9"/>
        <v>0</v>
      </c>
      <c r="D724" s="186"/>
      <c r="E724" s="161"/>
      <c r="F724" s="156"/>
      <c r="G724" s="156"/>
      <c r="H724" s="156"/>
      <c r="I724" s="156"/>
      <c r="J724" s="156"/>
      <c r="K724" s="155">
        <v>0.0</v>
      </c>
      <c r="L724" s="155">
        <f t="shared" ref="L724:M724" si="717">$K724*L$4/100</f>
        <v>0</v>
      </c>
      <c r="M724" s="155">
        <f t="shared" si="717"/>
        <v>0</v>
      </c>
    </row>
    <row r="725">
      <c r="A725" s="152">
        <f t="shared" si="7"/>
        <v>0</v>
      </c>
      <c r="B725" s="153">
        <f t="shared" si="8"/>
        <v>0</v>
      </c>
      <c r="C725" s="153">
        <f t="shared" si="9"/>
        <v>0</v>
      </c>
      <c r="D725" s="186"/>
      <c r="E725" s="161"/>
      <c r="F725" s="156"/>
      <c r="G725" s="156"/>
      <c r="H725" s="156"/>
      <c r="I725" s="156"/>
      <c r="J725" s="156"/>
      <c r="K725" s="155">
        <v>0.0</v>
      </c>
      <c r="L725" s="155">
        <f t="shared" ref="L725:M725" si="718">$K725*L$4/100</f>
        <v>0</v>
      </c>
      <c r="M725" s="155">
        <f t="shared" si="718"/>
        <v>0</v>
      </c>
    </row>
    <row r="726">
      <c r="A726" s="152">
        <f t="shared" si="7"/>
        <v>0</v>
      </c>
      <c r="B726" s="153">
        <f t="shared" si="8"/>
        <v>0</v>
      </c>
      <c r="C726" s="153">
        <f t="shared" si="9"/>
        <v>0</v>
      </c>
      <c r="D726" s="186"/>
      <c r="E726" s="161"/>
      <c r="F726" s="156"/>
      <c r="G726" s="156"/>
      <c r="H726" s="156"/>
      <c r="I726" s="156"/>
      <c r="J726" s="156"/>
      <c r="K726" s="155">
        <v>0.0</v>
      </c>
      <c r="L726" s="155">
        <f t="shared" ref="L726:M726" si="719">$K726*L$4/100</f>
        <v>0</v>
      </c>
      <c r="M726" s="155">
        <f t="shared" si="719"/>
        <v>0</v>
      </c>
    </row>
    <row r="727">
      <c r="A727" s="152">
        <f t="shared" si="7"/>
        <v>0</v>
      </c>
      <c r="B727" s="153">
        <f t="shared" si="8"/>
        <v>0</v>
      </c>
      <c r="C727" s="153">
        <f t="shared" si="9"/>
        <v>0</v>
      </c>
      <c r="D727" s="186"/>
      <c r="E727" s="161"/>
      <c r="F727" s="156"/>
      <c r="G727" s="156"/>
      <c r="H727" s="156"/>
      <c r="I727" s="156"/>
      <c r="J727" s="156"/>
      <c r="K727" s="155">
        <v>0.0</v>
      </c>
      <c r="L727" s="155">
        <f t="shared" ref="L727:M727" si="720">$K727*L$4/100</f>
        <v>0</v>
      </c>
      <c r="M727" s="155">
        <f t="shared" si="720"/>
        <v>0</v>
      </c>
    </row>
    <row r="728">
      <c r="A728" s="152">
        <f t="shared" si="7"/>
        <v>0</v>
      </c>
      <c r="B728" s="153">
        <f t="shared" si="8"/>
        <v>0</v>
      </c>
      <c r="C728" s="153">
        <f t="shared" si="9"/>
        <v>0</v>
      </c>
      <c r="D728" s="186"/>
      <c r="E728" s="161"/>
      <c r="F728" s="156"/>
      <c r="G728" s="156"/>
      <c r="H728" s="156"/>
      <c r="I728" s="156"/>
      <c r="J728" s="156"/>
      <c r="K728" s="155">
        <v>0.0</v>
      </c>
      <c r="L728" s="155">
        <f t="shared" ref="L728:M728" si="721">$K728*L$4/100</f>
        <v>0</v>
      </c>
      <c r="M728" s="155">
        <f t="shared" si="721"/>
        <v>0</v>
      </c>
    </row>
    <row r="729">
      <c r="A729" s="152">
        <f t="shared" si="7"/>
        <v>0</v>
      </c>
      <c r="B729" s="153">
        <f t="shared" si="8"/>
        <v>0</v>
      </c>
      <c r="C729" s="153">
        <f t="shared" si="9"/>
        <v>0</v>
      </c>
      <c r="D729" s="186"/>
      <c r="E729" s="161"/>
      <c r="F729" s="156"/>
      <c r="G729" s="156"/>
      <c r="H729" s="156"/>
      <c r="I729" s="156"/>
      <c r="J729" s="156"/>
      <c r="K729" s="155">
        <v>0.0</v>
      </c>
      <c r="L729" s="155">
        <f t="shared" ref="L729:M729" si="722">$K729*L$4/100</f>
        <v>0</v>
      </c>
      <c r="M729" s="155">
        <f t="shared" si="722"/>
        <v>0</v>
      </c>
    </row>
    <row r="730">
      <c r="A730" s="152">
        <f t="shared" si="7"/>
        <v>0</v>
      </c>
      <c r="B730" s="153">
        <f t="shared" si="8"/>
        <v>0</v>
      </c>
      <c r="C730" s="153">
        <f t="shared" si="9"/>
        <v>0</v>
      </c>
      <c r="D730" s="186"/>
      <c r="E730" s="161"/>
      <c r="F730" s="156"/>
      <c r="G730" s="156"/>
      <c r="H730" s="156"/>
      <c r="I730" s="156"/>
      <c r="J730" s="156"/>
      <c r="K730" s="155">
        <v>0.0</v>
      </c>
      <c r="L730" s="155">
        <f t="shared" ref="L730:M730" si="723">$K730*L$4/100</f>
        <v>0</v>
      </c>
      <c r="M730" s="155">
        <f t="shared" si="723"/>
        <v>0</v>
      </c>
    </row>
    <row r="731">
      <c r="A731" s="152">
        <f t="shared" si="7"/>
        <v>0</v>
      </c>
      <c r="B731" s="153">
        <f t="shared" si="8"/>
        <v>0</v>
      </c>
      <c r="C731" s="153">
        <f t="shared" si="9"/>
        <v>0</v>
      </c>
      <c r="D731" s="186"/>
      <c r="E731" s="161"/>
      <c r="F731" s="156"/>
      <c r="G731" s="156"/>
      <c r="H731" s="156"/>
      <c r="I731" s="156"/>
      <c r="J731" s="156"/>
      <c r="K731" s="155">
        <v>0.0</v>
      </c>
      <c r="L731" s="155">
        <f t="shared" ref="L731:M731" si="724">$K731*L$4/100</f>
        <v>0</v>
      </c>
      <c r="M731" s="155">
        <f t="shared" si="724"/>
        <v>0</v>
      </c>
    </row>
    <row r="732">
      <c r="A732" s="152">
        <f t="shared" si="7"/>
        <v>0</v>
      </c>
      <c r="B732" s="153">
        <f t="shared" si="8"/>
        <v>0</v>
      </c>
      <c r="C732" s="153">
        <f t="shared" si="9"/>
        <v>0</v>
      </c>
      <c r="D732" s="186"/>
      <c r="E732" s="161"/>
      <c r="F732" s="156"/>
      <c r="G732" s="156"/>
      <c r="H732" s="156"/>
      <c r="I732" s="156"/>
      <c r="J732" s="156"/>
      <c r="K732" s="155">
        <v>0.0</v>
      </c>
      <c r="L732" s="155">
        <f t="shared" ref="L732:M732" si="725">$K732*L$4/100</f>
        <v>0</v>
      </c>
      <c r="M732" s="155">
        <f t="shared" si="725"/>
        <v>0</v>
      </c>
    </row>
    <row r="733">
      <c r="A733" s="152">
        <f t="shared" si="7"/>
        <v>0</v>
      </c>
      <c r="B733" s="153">
        <f t="shared" si="8"/>
        <v>0</v>
      </c>
      <c r="C733" s="153">
        <f t="shared" si="9"/>
        <v>0</v>
      </c>
      <c r="D733" s="186"/>
      <c r="E733" s="161"/>
      <c r="F733" s="156"/>
      <c r="G733" s="156"/>
      <c r="H733" s="156"/>
      <c r="I733" s="156"/>
      <c r="J733" s="156"/>
      <c r="K733" s="155">
        <v>0.0</v>
      </c>
      <c r="L733" s="155">
        <f t="shared" ref="L733:M733" si="726">$K733*L$4/100</f>
        <v>0</v>
      </c>
      <c r="M733" s="155">
        <f t="shared" si="726"/>
        <v>0</v>
      </c>
    </row>
    <row r="734">
      <c r="A734" s="152">
        <f t="shared" si="7"/>
        <v>0</v>
      </c>
      <c r="B734" s="153">
        <f t="shared" si="8"/>
        <v>0</v>
      </c>
      <c r="C734" s="153">
        <f t="shared" si="9"/>
        <v>0</v>
      </c>
      <c r="D734" s="186"/>
      <c r="E734" s="161"/>
      <c r="F734" s="156"/>
      <c r="G734" s="156"/>
      <c r="H734" s="156"/>
      <c r="I734" s="156"/>
      <c r="J734" s="156"/>
      <c r="K734" s="155">
        <v>0.0</v>
      </c>
      <c r="L734" s="155">
        <f t="shared" ref="L734:M734" si="727">$K734*L$4/100</f>
        <v>0</v>
      </c>
      <c r="M734" s="155">
        <f t="shared" si="727"/>
        <v>0</v>
      </c>
    </row>
    <row r="735">
      <c r="A735" s="152">
        <f t="shared" si="7"/>
        <v>0</v>
      </c>
      <c r="B735" s="153">
        <f t="shared" si="8"/>
        <v>0</v>
      </c>
      <c r="C735" s="153">
        <f t="shared" si="9"/>
        <v>0</v>
      </c>
      <c r="D735" s="186"/>
      <c r="E735" s="161"/>
      <c r="F735" s="156"/>
      <c r="G735" s="156"/>
      <c r="H735" s="156"/>
      <c r="I735" s="156"/>
      <c r="J735" s="156"/>
      <c r="K735" s="155">
        <v>0.0</v>
      </c>
      <c r="L735" s="155">
        <f t="shared" ref="L735:M735" si="728">$K735*L$4/100</f>
        <v>0</v>
      </c>
      <c r="M735" s="155">
        <f t="shared" si="728"/>
        <v>0</v>
      </c>
    </row>
    <row r="736">
      <c r="A736" s="152">
        <f t="shared" si="7"/>
        <v>0</v>
      </c>
      <c r="B736" s="153">
        <f t="shared" si="8"/>
        <v>0</v>
      </c>
      <c r="C736" s="153">
        <f t="shared" si="9"/>
        <v>0</v>
      </c>
      <c r="D736" s="186"/>
      <c r="E736" s="161"/>
      <c r="F736" s="156"/>
      <c r="G736" s="156"/>
      <c r="H736" s="156"/>
      <c r="I736" s="156"/>
      <c r="J736" s="156"/>
      <c r="K736" s="155">
        <v>0.0</v>
      </c>
      <c r="L736" s="155">
        <f t="shared" ref="L736:M736" si="729">$K736*L$4/100</f>
        <v>0</v>
      </c>
      <c r="M736" s="155">
        <f t="shared" si="729"/>
        <v>0</v>
      </c>
    </row>
    <row r="737">
      <c r="A737" s="152">
        <f t="shared" si="7"/>
        <v>0</v>
      </c>
      <c r="B737" s="153">
        <f t="shared" si="8"/>
        <v>0</v>
      </c>
      <c r="C737" s="153">
        <f t="shared" si="9"/>
        <v>0</v>
      </c>
      <c r="D737" s="186"/>
      <c r="E737" s="161"/>
      <c r="F737" s="156"/>
      <c r="G737" s="156"/>
      <c r="H737" s="156"/>
      <c r="I737" s="156"/>
      <c r="J737" s="156"/>
      <c r="K737" s="155">
        <v>0.0</v>
      </c>
      <c r="L737" s="155">
        <f t="shared" ref="L737:M737" si="730">$K737*L$4/100</f>
        <v>0</v>
      </c>
      <c r="M737" s="155">
        <f t="shared" si="730"/>
        <v>0</v>
      </c>
    </row>
    <row r="738">
      <c r="A738" s="152">
        <f t="shared" si="7"/>
        <v>0</v>
      </c>
      <c r="B738" s="153">
        <f t="shared" si="8"/>
        <v>0</v>
      </c>
      <c r="C738" s="153">
        <f t="shared" si="9"/>
        <v>0</v>
      </c>
      <c r="D738" s="186"/>
      <c r="E738" s="161"/>
      <c r="F738" s="156"/>
      <c r="G738" s="156"/>
      <c r="H738" s="156"/>
      <c r="I738" s="156"/>
      <c r="J738" s="156"/>
      <c r="K738" s="155">
        <v>0.0</v>
      </c>
      <c r="L738" s="155">
        <f t="shared" ref="L738:M738" si="731">$K738*L$4/100</f>
        <v>0</v>
      </c>
      <c r="M738" s="155">
        <f t="shared" si="731"/>
        <v>0</v>
      </c>
    </row>
    <row r="739">
      <c r="A739" s="152">
        <f t="shared" si="7"/>
        <v>0</v>
      </c>
      <c r="B739" s="153">
        <f t="shared" si="8"/>
        <v>0</v>
      </c>
      <c r="C739" s="153">
        <f t="shared" si="9"/>
        <v>0</v>
      </c>
      <c r="D739" s="186"/>
      <c r="E739" s="161"/>
      <c r="F739" s="156"/>
      <c r="G739" s="156"/>
      <c r="H739" s="156"/>
      <c r="I739" s="156"/>
      <c r="J739" s="156"/>
      <c r="K739" s="155">
        <v>0.0</v>
      </c>
      <c r="L739" s="155">
        <f t="shared" ref="L739:M739" si="732">$K739*L$4/100</f>
        <v>0</v>
      </c>
      <c r="M739" s="155">
        <f t="shared" si="732"/>
        <v>0</v>
      </c>
    </row>
    <row r="740">
      <c r="A740" s="152">
        <f t="shared" si="7"/>
        <v>0</v>
      </c>
      <c r="B740" s="153">
        <f t="shared" si="8"/>
        <v>0</v>
      </c>
      <c r="C740" s="153">
        <f t="shared" si="9"/>
        <v>0</v>
      </c>
      <c r="D740" s="186"/>
      <c r="E740" s="161"/>
      <c r="F740" s="156"/>
      <c r="G740" s="156"/>
      <c r="H740" s="156"/>
      <c r="I740" s="156"/>
      <c r="J740" s="156"/>
      <c r="K740" s="155">
        <v>0.0</v>
      </c>
      <c r="L740" s="155">
        <f t="shared" ref="L740:M740" si="733">$K740*L$4/100</f>
        <v>0</v>
      </c>
      <c r="M740" s="155">
        <f t="shared" si="733"/>
        <v>0</v>
      </c>
    </row>
    <row r="741">
      <c r="A741" s="152">
        <f t="shared" si="7"/>
        <v>0</v>
      </c>
      <c r="B741" s="153">
        <f t="shared" si="8"/>
        <v>0</v>
      </c>
      <c r="C741" s="153">
        <f t="shared" si="9"/>
        <v>0</v>
      </c>
      <c r="D741" s="186"/>
      <c r="E741" s="161"/>
      <c r="F741" s="156"/>
      <c r="G741" s="156"/>
      <c r="H741" s="156"/>
      <c r="I741" s="156"/>
      <c r="J741" s="156"/>
      <c r="K741" s="155">
        <v>0.0</v>
      </c>
      <c r="L741" s="155">
        <f t="shared" ref="L741:M741" si="734">$K741*L$4/100</f>
        <v>0</v>
      </c>
      <c r="M741" s="155">
        <f t="shared" si="734"/>
        <v>0</v>
      </c>
    </row>
    <row r="742">
      <c r="A742" s="152">
        <f t="shared" si="7"/>
        <v>0</v>
      </c>
      <c r="B742" s="153">
        <f t="shared" si="8"/>
        <v>0</v>
      </c>
      <c r="C742" s="153">
        <f t="shared" si="9"/>
        <v>0</v>
      </c>
      <c r="D742" s="186"/>
      <c r="E742" s="161"/>
      <c r="F742" s="156"/>
      <c r="G742" s="156"/>
      <c r="H742" s="156"/>
      <c r="I742" s="156"/>
      <c r="J742" s="156"/>
      <c r="K742" s="155">
        <v>0.0</v>
      </c>
      <c r="L742" s="155">
        <f t="shared" ref="L742:M742" si="735">$K742*L$4/100</f>
        <v>0</v>
      </c>
      <c r="M742" s="155">
        <f t="shared" si="735"/>
        <v>0</v>
      </c>
    </row>
    <row r="743">
      <c r="A743" s="152">
        <f t="shared" si="7"/>
        <v>0</v>
      </c>
      <c r="B743" s="153">
        <f t="shared" si="8"/>
        <v>0</v>
      </c>
      <c r="C743" s="153">
        <f t="shared" si="9"/>
        <v>0</v>
      </c>
      <c r="D743" s="186"/>
      <c r="E743" s="161"/>
      <c r="F743" s="156"/>
      <c r="G743" s="156"/>
      <c r="H743" s="156"/>
      <c r="I743" s="156"/>
      <c r="J743" s="156"/>
      <c r="K743" s="155">
        <v>0.0</v>
      </c>
      <c r="L743" s="155">
        <f t="shared" ref="L743:M743" si="736">$K743*L$4/100</f>
        <v>0</v>
      </c>
      <c r="M743" s="155">
        <f t="shared" si="736"/>
        <v>0</v>
      </c>
    </row>
    <row r="744">
      <c r="A744" s="152">
        <f t="shared" si="7"/>
        <v>0</v>
      </c>
      <c r="B744" s="153">
        <f t="shared" si="8"/>
        <v>0</v>
      </c>
      <c r="C744" s="153">
        <f t="shared" si="9"/>
        <v>0</v>
      </c>
      <c r="D744" s="186"/>
      <c r="E744" s="161"/>
      <c r="F744" s="156"/>
      <c r="G744" s="156"/>
      <c r="H744" s="156"/>
      <c r="I744" s="156"/>
      <c r="J744" s="156"/>
      <c r="K744" s="155">
        <v>0.0</v>
      </c>
      <c r="L744" s="155">
        <f t="shared" ref="L744:M744" si="737">$K744*L$4/100</f>
        <v>0</v>
      </c>
      <c r="M744" s="155">
        <f t="shared" si="737"/>
        <v>0</v>
      </c>
    </row>
    <row r="745">
      <c r="A745" s="152">
        <f t="shared" si="7"/>
        <v>0</v>
      </c>
      <c r="B745" s="153">
        <f t="shared" si="8"/>
        <v>0</v>
      </c>
      <c r="C745" s="153">
        <f t="shared" si="9"/>
        <v>0</v>
      </c>
      <c r="D745" s="186"/>
      <c r="E745" s="161"/>
      <c r="F745" s="156"/>
      <c r="G745" s="156"/>
      <c r="H745" s="156"/>
      <c r="I745" s="156"/>
      <c r="J745" s="156"/>
      <c r="K745" s="155">
        <v>0.0</v>
      </c>
      <c r="L745" s="155">
        <f t="shared" ref="L745:M745" si="738">$K745*L$4/100</f>
        <v>0</v>
      </c>
      <c r="M745" s="155">
        <f t="shared" si="738"/>
        <v>0</v>
      </c>
    </row>
    <row r="746">
      <c r="A746" s="152">
        <f t="shared" si="7"/>
        <v>0</v>
      </c>
      <c r="B746" s="153">
        <f t="shared" si="8"/>
        <v>0</v>
      </c>
      <c r="C746" s="153">
        <f t="shared" si="9"/>
        <v>0</v>
      </c>
      <c r="D746" s="186"/>
      <c r="E746" s="161"/>
      <c r="F746" s="156"/>
      <c r="G746" s="156"/>
      <c r="H746" s="156"/>
      <c r="I746" s="156"/>
      <c r="J746" s="156"/>
      <c r="K746" s="155">
        <v>0.0</v>
      </c>
      <c r="L746" s="155">
        <f t="shared" ref="L746:M746" si="739">$K746*L$4/100</f>
        <v>0</v>
      </c>
      <c r="M746" s="155">
        <f t="shared" si="739"/>
        <v>0</v>
      </c>
    </row>
    <row r="747">
      <c r="A747" s="152">
        <f t="shared" si="7"/>
        <v>0</v>
      </c>
      <c r="B747" s="153">
        <f t="shared" si="8"/>
        <v>0</v>
      </c>
      <c r="C747" s="153">
        <f t="shared" si="9"/>
        <v>0</v>
      </c>
      <c r="D747" s="186"/>
      <c r="E747" s="161"/>
      <c r="F747" s="156"/>
      <c r="G747" s="156"/>
      <c r="H747" s="156"/>
      <c r="I747" s="156"/>
      <c r="J747" s="156"/>
      <c r="K747" s="155">
        <v>0.0</v>
      </c>
      <c r="L747" s="155">
        <f t="shared" ref="L747:M747" si="740">$K747*L$4/100</f>
        <v>0</v>
      </c>
      <c r="M747" s="155">
        <f t="shared" si="740"/>
        <v>0</v>
      </c>
    </row>
    <row r="748">
      <c r="A748" s="152">
        <f t="shared" si="7"/>
        <v>0</v>
      </c>
      <c r="B748" s="153">
        <f t="shared" si="8"/>
        <v>0</v>
      </c>
      <c r="C748" s="153">
        <f t="shared" si="9"/>
        <v>0</v>
      </c>
      <c r="D748" s="186"/>
      <c r="E748" s="161"/>
      <c r="F748" s="156"/>
      <c r="G748" s="156"/>
      <c r="H748" s="156"/>
      <c r="I748" s="156"/>
      <c r="J748" s="156"/>
      <c r="K748" s="155">
        <v>0.0</v>
      </c>
      <c r="L748" s="155">
        <f t="shared" ref="L748:M748" si="741">$K748*L$4/100</f>
        <v>0</v>
      </c>
      <c r="M748" s="155">
        <f t="shared" si="741"/>
        <v>0</v>
      </c>
    </row>
    <row r="749">
      <c r="A749" s="152">
        <f t="shared" si="7"/>
        <v>0</v>
      </c>
      <c r="B749" s="153">
        <f t="shared" si="8"/>
        <v>0</v>
      </c>
      <c r="C749" s="153">
        <f t="shared" si="9"/>
        <v>0</v>
      </c>
      <c r="D749" s="186"/>
      <c r="E749" s="161"/>
      <c r="F749" s="156"/>
      <c r="G749" s="156"/>
      <c r="H749" s="156"/>
      <c r="I749" s="156"/>
      <c r="J749" s="156"/>
      <c r="K749" s="155">
        <v>0.0</v>
      </c>
      <c r="L749" s="155">
        <f t="shared" ref="L749:M749" si="742">$K749*L$4/100</f>
        <v>0</v>
      </c>
      <c r="M749" s="155">
        <f t="shared" si="742"/>
        <v>0</v>
      </c>
    </row>
    <row r="750">
      <c r="A750" s="152">
        <f t="shared" si="7"/>
        <v>0</v>
      </c>
      <c r="B750" s="153">
        <f t="shared" si="8"/>
        <v>0</v>
      </c>
      <c r="C750" s="153">
        <f t="shared" si="9"/>
        <v>0</v>
      </c>
      <c r="D750" s="186"/>
      <c r="E750" s="161"/>
      <c r="F750" s="156"/>
      <c r="G750" s="156"/>
      <c r="H750" s="156"/>
      <c r="I750" s="156"/>
      <c r="J750" s="156"/>
      <c r="K750" s="155">
        <v>0.0</v>
      </c>
      <c r="L750" s="155">
        <f t="shared" ref="L750:M750" si="743">$K750*L$4/100</f>
        <v>0</v>
      </c>
      <c r="M750" s="155">
        <f t="shared" si="743"/>
        <v>0</v>
      </c>
    </row>
    <row r="751">
      <c r="A751" s="152">
        <f t="shared" si="7"/>
        <v>0</v>
      </c>
      <c r="B751" s="153">
        <f t="shared" si="8"/>
        <v>0</v>
      </c>
      <c r="C751" s="153">
        <f t="shared" si="9"/>
        <v>0</v>
      </c>
      <c r="D751" s="186"/>
      <c r="E751" s="161"/>
      <c r="F751" s="156"/>
      <c r="G751" s="156"/>
      <c r="H751" s="156"/>
      <c r="I751" s="156"/>
      <c r="J751" s="156"/>
      <c r="K751" s="155">
        <v>0.0</v>
      </c>
      <c r="L751" s="155">
        <f t="shared" ref="L751:M751" si="744">$K751*L$4/100</f>
        <v>0</v>
      </c>
      <c r="M751" s="155">
        <f t="shared" si="744"/>
        <v>0</v>
      </c>
    </row>
    <row r="752">
      <c r="A752" s="152">
        <f t="shared" si="7"/>
        <v>0</v>
      </c>
      <c r="B752" s="153">
        <f t="shared" si="8"/>
        <v>0</v>
      </c>
      <c r="C752" s="153">
        <f t="shared" si="9"/>
        <v>0</v>
      </c>
      <c r="D752" s="186"/>
      <c r="E752" s="161"/>
      <c r="F752" s="156"/>
      <c r="G752" s="156"/>
      <c r="H752" s="156"/>
      <c r="I752" s="156"/>
      <c r="J752" s="156"/>
      <c r="K752" s="155">
        <v>0.0</v>
      </c>
      <c r="L752" s="155">
        <f t="shared" ref="L752:M752" si="745">$K752*L$4/100</f>
        <v>0</v>
      </c>
      <c r="M752" s="155">
        <f t="shared" si="745"/>
        <v>0</v>
      </c>
    </row>
    <row r="753">
      <c r="A753" s="152">
        <f t="shared" si="7"/>
        <v>0</v>
      </c>
      <c r="B753" s="153">
        <f t="shared" si="8"/>
        <v>0</v>
      </c>
      <c r="C753" s="153">
        <f t="shared" si="9"/>
        <v>0</v>
      </c>
      <c r="D753" s="186"/>
      <c r="E753" s="161"/>
      <c r="F753" s="156"/>
      <c r="G753" s="156"/>
      <c r="H753" s="156"/>
      <c r="I753" s="156"/>
      <c r="J753" s="156"/>
      <c r="K753" s="155">
        <v>0.0</v>
      </c>
      <c r="L753" s="155">
        <f t="shared" ref="L753:M753" si="746">$K753*L$4/100</f>
        <v>0</v>
      </c>
      <c r="M753" s="155">
        <f t="shared" si="746"/>
        <v>0</v>
      </c>
    </row>
    <row r="754">
      <c r="A754" s="152">
        <f t="shared" si="7"/>
        <v>0</v>
      </c>
      <c r="B754" s="153">
        <f t="shared" si="8"/>
        <v>0</v>
      </c>
      <c r="C754" s="153">
        <f t="shared" si="9"/>
        <v>0</v>
      </c>
      <c r="D754" s="186"/>
      <c r="E754" s="161"/>
      <c r="F754" s="156"/>
      <c r="G754" s="156"/>
      <c r="H754" s="156"/>
      <c r="I754" s="156"/>
      <c r="J754" s="156"/>
      <c r="K754" s="155">
        <v>0.0</v>
      </c>
      <c r="L754" s="155">
        <f t="shared" ref="L754:M754" si="747">$K754*L$4/100</f>
        <v>0</v>
      </c>
      <c r="M754" s="155">
        <f t="shared" si="747"/>
        <v>0</v>
      </c>
    </row>
    <row r="755">
      <c r="A755" s="152">
        <f t="shared" si="7"/>
        <v>0</v>
      </c>
      <c r="B755" s="153">
        <f t="shared" si="8"/>
        <v>0</v>
      </c>
      <c r="C755" s="153">
        <f t="shared" si="9"/>
        <v>0</v>
      </c>
      <c r="D755" s="186"/>
      <c r="E755" s="161"/>
      <c r="F755" s="156"/>
      <c r="G755" s="156"/>
      <c r="H755" s="156"/>
      <c r="I755" s="156"/>
      <c r="J755" s="156"/>
      <c r="K755" s="155">
        <v>0.0</v>
      </c>
      <c r="L755" s="155">
        <f t="shared" ref="L755:M755" si="748">$K755*L$4/100</f>
        <v>0</v>
      </c>
      <c r="M755" s="155">
        <f t="shared" si="748"/>
        <v>0</v>
      </c>
    </row>
    <row r="756">
      <c r="A756" s="152">
        <f t="shared" si="7"/>
        <v>0</v>
      </c>
      <c r="B756" s="153">
        <f t="shared" si="8"/>
        <v>0</v>
      </c>
      <c r="C756" s="153">
        <f t="shared" si="9"/>
        <v>0</v>
      </c>
      <c r="D756" s="186"/>
      <c r="E756" s="161"/>
      <c r="F756" s="156"/>
      <c r="G756" s="156"/>
      <c r="H756" s="156"/>
      <c r="I756" s="156"/>
      <c r="J756" s="156"/>
      <c r="K756" s="155">
        <v>0.0</v>
      </c>
      <c r="L756" s="155">
        <f t="shared" ref="L756:M756" si="749">$K756*L$4/100</f>
        <v>0</v>
      </c>
      <c r="M756" s="155">
        <f t="shared" si="749"/>
        <v>0</v>
      </c>
    </row>
    <row r="757">
      <c r="A757" s="152">
        <f t="shared" si="7"/>
        <v>0</v>
      </c>
      <c r="B757" s="153">
        <f t="shared" si="8"/>
        <v>0</v>
      </c>
      <c r="C757" s="153">
        <f t="shared" si="9"/>
        <v>0</v>
      </c>
      <c r="D757" s="186"/>
      <c r="E757" s="161"/>
      <c r="F757" s="156"/>
      <c r="G757" s="156"/>
      <c r="H757" s="156"/>
      <c r="I757" s="156"/>
      <c r="J757" s="156"/>
      <c r="K757" s="155">
        <v>0.0</v>
      </c>
      <c r="L757" s="155">
        <f t="shared" ref="L757:M757" si="750">$K757*L$4/100</f>
        <v>0</v>
      </c>
      <c r="M757" s="155">
        <f t="shared" si="750"/>
        <v>0</v>
      </c>
    </row>
    <row r="758">
      <c r="A758" s="152">
        <f t="shared" si="7"/>
        <v>0</v>
      </c>
      <c r="B758" s="153">
        <f t="shared" si="8"/>
        <v>0</v>
      </c>
      <c r="C758" s="153">
        <f t="shared" si="9"/>
        <v>0</v>
      </c>
      <c r="D758" s="186"/>
      <c r="E758" s="161"/>
      <c r="F758" s="156"/>
      <c r="G758" s="156"/>
      <c r="H758" s="156"/>
      <c r="I758" s="156"/>
      <c r="J758" s="156"/>
      <c r="K758" s="155">
        <v>0.0</v>
      </c>
      <c r="L758" s="155">
        <f t="shared" ref="L758:M758" si="751">$K758*L$4/100</f>
        <v>0</v>
      </c>
      <c r="M758" s="155">
        <f t="shared" si="751"/>
        <v>0</v>
      </c>
    </row>
    <row r="759">
      <c r="A759" s="152">
        <f t="shared" si="7"/>
        <v>0</v>
      </c>
      <c r="B759" s="153">
        <f t="shared" si="8"/>
        <v>0</v>
      </c>
      <c r="C759" s="153">
        <f t="shared" si="9"/>
        <v>0</v>
      </c>
      <c r="D759" s="186"/>
      <c r="E759" s="161"/>
      <c r="F759" s="156"/>
      <c r="G759" s="156"/>
      <c r="H759" s="156"/>
      <c r="I759" s="156"/>
      <c r="J759" s="156"/>
      <c r="K759" s="155">
        <v>0.0</v>
      </c>
      <c r="L759" s="155">
        <f t="shared" ref="L759:M759" si="752">$K759*L$4/100</f>
        <v>0</v>
      </c>
      <c r="M759" s="155">
        <f t="shared" si="752"/>
        <v>0</v>
      </c>
    </row>
    <row r="760">
      <c r="A760" s="152">
        <f t="shared" si="7"/>
        <v>0</v>
      </c>
      <c r="B760" s="153">
        <f t="shared" si="8"/>
        <v>0</v>
      </c>
      <c r="C760" s="153">
        <f t="shared" si="9"/>
        <v>0</v>
      </c>
      <c r="D760" s="186"/>
      <c r="E760" s="161"/>
      <c r="F760" s="156"/>
      <c r="G760" s="156"/>
      <c r="H760" s="156"/>
      <c r="I760" s="156"/>
      <c r="J760" s="156"/>
      <c r="K760" s="155">
        <v>0.0</v>
      </c>
      <c r="L760" s="155">
        <f t="shared" ref="L760:M760" si="753">$K760*L$4/100</f>
        <v>0</v>
      </c>
      <c r="M760" s="155">
        <f t="shared" si="753"/>
        <v>0</v>
      </c>
    </row>
    <row r="761">
      <c r="A761" s="152">
        <f t="shared" si="7"/>
        <v>0</v>
      </c>
      <c r="B761" s="153">
        <f t="shared" si="8"/>
        <v>0</v>
      </c>
      <c r="C761" s="153">
        <f t="shared" si="9"/>
        <v>0</v>
      </c>
      <c r="D761" s="186"/>
      <c r="E761" s="161"/>
      <c r="F761" s="156"/>
      <c r="G761" s="156"/>
      <c r="H761" s="156"/>
      <c r="I761" s="156"/>
      <c r="J761" s="156"/>
      <c r="K761" s="155">
        <v>0.0</v>
      </c>
      <c r="L761" s="155">
        <f t="shared" ref="L761:M761" si="754">$K761*L$4/100</f>
        <v>0</v>
      </c>
      <c r="M761" s="155">
        <f t="shared" si="754"/>
        <v>0</v>
      </c>
    </row>
    <row r="762">
      <c r="A762" s="152">
        <f t="shared" si="7"/>
        <v>0</v>
      </c>
      <c r="B762" s="153">
        <f t="shared" si="8"/>
        <v>0</v>
      </c>
      <c r="C762" s="153">
        <f t="shared" si="9"/>
        <v>0</v>
      </c>
      <c r="D762" s="186"/>
      <c r="E762" s="161"/>
      <c r="F762" s="156"/>
      <c r="G762" s="156"/>
      <c r="H762" s="156"/>
      <c r="I762" s="156"/>
      <c r="J762" s="156"/>
      <c r="K762" s="155">
        <v>0.0</v>
      </c>
      <c r="L762" s="155">
        <f t="shared" ref="L762:M762" si="755">$K762*L$4/100</f>
        <v>0</v>
      </c>
      <c r="M762" s="155">
        <f t="shared" si="755"/>
        <v>0</v>
      </c>
    </row>
    <row r="763">
      <c r="A763" s="152">
        <f t="shared" si="7"/>
        <v>0</v>
      </c>
      <c r="B763" s="153">
        <f t="shared" si="8"/>
        <v>0</v>
      </c>
      <c r="C763" s="153">
        <f t="shared" si="9"/>
        <v>0</v>
      </c>
      <c r="D763" s="186"/>
      <c r="E763" s="161"/>
      <c r="F763" s="156"/>
      <c r="G763" s="156"/>
      <c r="H763" s="156"/>
      <c r="I763" s="156"/>
      <c r="J763" s="156"/>
      <c r="K763" s="155">
        <v>0.0</v>
      </c>
      <c r="L763" s="155">
        <f t="shared" ref="L763:M763" si="756">$K763*L$4/100</f>
        <v>0</v>
      </c>
      <c r="M763" s="155">
        <f t="shared" si="756"/>
        <v>0</v>
      </c>
    </row>
    <row r="764">
      <c r="A764" s="152">
        <f t="shared" si="7"/>
        <v>0</v>
      </c>
      <c r="B764" s="153">
        <f t="shared" si="8"/>
        <v>0</v>
      </c>
      <c r="C764" s="153">
        <f t="shared" si="9"/>
        <v>0</v>
      </c>
      <c r="D764" s="186"/>
      <c r="E764" s="161"/>
      <c r="F764" s="156"/>
      <c r="G764" s="156"/>
      <c r="H764" s="156"/>
      <c r="I764" s="156"/>
      <c r="J764" s="156"/>
      <c r="K764" s="155">
        <v>0.0</v>
      </c>
      <c r="L764" s="155">
        <f t="shared" ref="L764:M764" si="757">$K764*L$4/100</f>
        <v>0</v>
      </c>
      <c r="M764" s="155">
        <f t="shared" si="757"/>
        <v>0</v>
      </c>
    </row>
    <row r="765">
      <c r="A765" s="152">
        <f t="shared" si="7"/>
        <v>0</v>
      </c>
      <c r="B765" s="153">
        <f t="shared" si="8"/>
        <v>0</v>
      </c>
      <c r="C765" s="153">
        <f t="shared" si="9"/>
        <v>0</v>
      </c>
      <c r="D765" s="186"/>
      <c r="E765" s="161"/>
      <c r="F765" s="156"/>
      <c r="G765" s="156"/>
      <c r="H765" s="156"/>
      <c r="I765" s="156"/>
      <c r="J765" s="156"/>
      <c r="K765" s="155">
        <v>0.0</v>
      </c>
      <c r="L765" s="155">
        <f t="shared" ref="L765:M765" si="758">$K765*L$4/100</f>
        <v>0</v>
      </c>
      <c r="M765" s="155">
        <f t="shared" si="758"/>
        <v>0</v>
      </c>
    </row>
    <row r="766">
      <c r="A766" s="152">
        <f t="shared" si="7"/>
        <v>0</v>
      </c>
      <c r="B766" s="153">
        <f t="shared" si="8"/>
        <v>0</v>
      </c>
      <c r="C766" s="153">
        <f t="shared" si="9"/>
        <v>0</v>
      </c>
      <c r="D766" s="186"/>
      <c r="E766" s="161"/>
      <c r="F766" s="156"/>
      <c r="G766" s="156"/>
      <c r="H766" s="156"/>
      <c r="I766" s="156"/>
      <c r="J766" s="156"/>
      <c r="K766" s="155">
        <v>0.0</v>
      </c>
      <c r="L766" s="155">
        <f t="shared" ref="L766:M766" si="759">$K766*L$4/100</f>
        <v>0</v>
      </c>
      <c r="M766" s="155">
        <f t="shared" si="759"/>
        <v>0</v>
      </c>
    </row>
    <row r="767">
      <c r="A767" s="152">
        <f t="shared" si="7"/>
        <v>0</v>
      </c>
      <c r="B767" s="153">
        <f t="shared" si="8"/>
        <v>0</v>
      </c>
      <c r="C767" s="153">
        <f t="shared" si="9"/>
        <v>0</v>
      </c>
      <c r="D767" s="186"/>
      <c r="E767" s="161"/>
      <c r="F767" s="156"/>
      <c r="G767" s="156"/>
      <c r="H767" s="156"/>
      <c r="I767" s="156"/>
      <c r="J767" s="156"/>
      <c r="K767" s="155">
        <v>0.0</v>
      </c>
      <c r="L767" s="155">
        <f t="shared" ref="L767:M767" si="760">$K767*L$4/100</f>
        <v>0</v>
      </c>
      <c r="M767" s="155">
        <f t="shared" si="760"/>
        <v>0</v>
      </c>
    </row>
    <row r="768">
      <c r="A768" s="152">
        <f t="shared" si="7"/>
        <v>0</v>
      </c>
      <c r="B768" s="153">
        <f t="shared" si="8"/>
        <v>0</v>
      </c>
      <c r="C768" s="153">
        <f t="shared" si="9"/>
        <v>0</v>
      </c>
      <c r="D768" s="186"/>
      <c r="E768" s="161"/>
      <c r="F768" s="156"/>
      <c r="G768" s="156"/>
      <c r="H768" s="156"/>
      <c r="I768" s="156"/>
      <c r="J768" s="156"/>
      <c r="K768" s="155">
        <v>0.0</v>
      </c>
      <c r="L768" s="155">
        <f t="shared" ref="L768:M768" si="761">$K768*L$4/100</f>
        <v>0</v>
      </c>
      <c r="M768" s="155">
        <f t="shared" si="761"/>
        <v>0</v>
      </c>
    </row>
    <row r="769">
      <c r="A769" s="152">
        <f t="shared" si="7"/>
        <v>0</v>
      </c>
      <c r="B769" s="153">
        <f t="shared" si="8"/>
        <v>0</v>
      </c>
      <c r="C769" s="153">
        <f t="shared" si="9"/>
        <v>0</v>
      </c>
      <c r="D769" s="186"/>
      <c r="E769" s="161"/>
      <c r="F769" s="156"/>
      <c r="G769" s="156"/>
      <c r="H769" s="156"/>
      <c r="I769" s="156"/>
      <c r="J769" s="156"/>
      <c r="K769" s="155">
        <v>0.0</v>
      </c>
      <c r="L769" s="155">
        <f t="shared" ref="L769:M769" si="762">$K769*L$4/100</f>
        <v>0</v>
      </c>
      <c r="M769" s="155">
        <f t="shared" si="762"/>
        <v>0</v>
      </c>
    </row>
    <row r="770">
      <c r="A770" s="152">
        <f t="shared" si="7"/>
        <v>0</v>
      </c>
      <c r="B770" s="153">
        <f t="shared" si="8"/>
        <v>0</v>
      </c>
      <c r="C770" s="153">
        <f t="shared" si="9"/>
        <v>0</v>
      </c>
      <c r="D770" s="186"/>
      <c r="E770" s="161"/>
      <c r="F770" s="156"/>
      <c r="G770" s="156"/>
      <c r="H770" s="156"/>
      <c r="I770" s="156"/>
      <c r="J770" s="156"/>
      <c r="K770" s="155">
        <v>0.0</v>
      </c>
      <c r="L770" s="155">
        <f t="shared" ref="L770:M770" si="763">$K770*L$4/100</f>
        <v>0</v>
      </c>
      <c r="M770" s="155">
        <f t="shared" si="763"/>
        <v>0</v>
      </c>
    </row>
    <row r="771">
      <c r="A771" s="152">
        <f t="shared" si="7"/>
        <v>0</v>
      </c>
      <c r="B771" s="153">
        <f t="shared" si="8"/>
        <v>0</v>
      </c>
      <c r="C771" s="153">
        <f t="shared" si="9"/>
        <v>0</v>
      </c>
      <c r="D771" s="186"/>
      <c r="E771" s="161"/>
      <c r="F771" s="156"/>
      <c r="G771" s="156"/>
      <c r="H771" s="156"/>
      <c r="I771" s="156"/>
      <c r="J771" s="156"/>
      <c r="K771" s="155">
        <v>0.0</v>
      </c>
      <c r="L771" s="155">
        <f t="shared" ref="L771:M771" si="764">$K771*L$4/100</f>
        <v>0</v>
      </c>
      <c r="M771" s="155">
        <f t="shared" si="764"/>
        <v>0</v>
      </c>
    </row>
    <row r="772">
      <c r="A772" s="152">
        <f t="shared" si="7"/>
        <v>0</v>
      </c>
      <c r="B772" s="153">
        <f t="shared" si="8"/>
        <v>0</v>
      </c>
      <c r="C772" s="153">
        <f t="shared" si="9"/>
        <v>0</v>
      </c>
      <c r="D772" s="186"/>
      <c r="E772" s="161"/>
      <c r="F772" s="156"/>
      <c r="G772" s="156"/>
      <c r="H772" s="156"/>
      <c r="I772" s="156"/>
      <c r="J772" s="156"/>
      <c r="K772" s="155">
        <v>0.0</v>
      </c>
      <c r="L772" s="155">
        <f t="shared" ref="L772:M772" si="765">$K772*L$4/100</f>
        <v>0</v>
      </c>
      <c r="M772" s="155">
        <f t="shared" si="765"/>
        <v>0</v>
      </c>
    </row>
    <row r="773">
      <c r="A773" s="152">
        <f t="shared" si="7"/>
        <v>0</v>
      </c>
      <c r="B773" s="153">
        <f t="shared" si="8"/>
        <v>0</v>
      </c>
      <c r="C773" s="153">
        <f t="shared" si="9"/>
        <v>0</v>
      </c>
      <c r="D773" s="186"/>
      <c r="E773" s="161"/>
      <c r="F773" s="156"/>
      <c r="G773" s="156"/>
      <c r="H773" s="156"/>
      <c r="I773" s="156"/>
      <c r="J773" s="156"/>
      <c r="K773" s="155">
        <v>0.0</v>
      </c>
      <c r="L773" s="155">
        <f t="shared" ref="L773:M773" si="766">$K773*L$4/100</f>
        <v>0</v>
      </c>
      <c r="M773" s="155">
        <f t="shared" si="766"/>
        <v>0</v>
      </c>
    </row>
    <row r="774">
      <c r="A774" s="152">
        <f t="shared" si="7"/>
        <v>0</v>
      </c>
      <c r="B774" s="153">
        <f t="shared" si="8"/>
        <v>0</v>
      </c>
      <c r="C774" s="153">
        <f t="shared" si="9"/>
        <v>0</v>
      </c>
      <c r="D774" s="186"/>
      <c r="E774" s="161"/>
      <c r="F774" s="156"/>
      <c r="G774" s="156"/>
      <c r="H774" s="156"/>
      <c r="I774" s="156"/>
      <c r="J774" s="156"/>
      <c r="K774" s="155">
        <v>0.0</v>
      </c>
      <c r="L774" s="155">
        <f t="shared" ref="L774:M774" si="767">$K774*L$4/100</f>
        <v>0</v>
      </c>
      <c r="M774" s="155">
        <f t="shared" si="767"/>
        <v>0</v>
      </c>
    </row>
    <row r="775">
      <c r="A775" s="152">
        <f t="shared" si="7"/>
        <v>0</v>
      </c>
      <c r="B775" s="153">
        <f t="shared" si="8"/>
        <v>0</v>
      </c>
      <c r="C775" s="153">
        <f t="shared" si="9"/>
        <v>0</v>
      </c>
      <c r="D775" s="186"/>
      <c r="E775" s="161"/>
      <c r="F775" s="156"/>
      <c r="G775" s="156"/>
      <c r="H775" s="156"/>
      <c r="I775" s="156"/>
      <c r="J775" s="156"/>
      <c r="K775" s="155">
        <v>0.0</v>
      </c>
      <c r="L775" s="155">
        <f t="shared" ref="L775:M775" si="768">$K775*L$4/100</f>
        <v>0</v>
      </c>
      <c r="M775" s="155">
        <f t="shared" si="768"/>
        <v>0</v>
      </c>
    </row>
    <row r="776">
      <c r="A776" s="152">
        <f t="shared" si="7"/>
        <v>0</v>
      </c>
      <c r="B776" s="153">
        <f t="shared" si="8"/>
        <v>0</v>
      </c>
      <c r="C776" s="153">
        <f t="shared" si="9"/>
        <v>0</v>
      </c>
      <c r="D776" s="186"/>
      <c r="E776" s="161"/>
      <c r="F776" s="156"/>
      <c r="G776" s="156"/>
      <c r="H776" s="156"/>
      <c r="I776" s="156"/>
      <c r="J776" s="156"/>
      <c r="K776" s="155">
        <v>0.0</v>
      </c>
      <c r="L776" s="155">
        <f t="shared" ref="L776:M776" si="769">$K776*L$4/100</f>
        <v>0</v>
      </c>
      <c r="M776" s="155">
        <f t="shared" si="769"/>
        <v>0</v>
      </c>
    </row>
    <row r="777">
      <c r="A777" s="152">
        <f t="shared" si="7"/>
        <v>0</v>
      </c>
      <c r="B777" s="153">
        <f t="shared" si="8"/>
        <v>0</v>
      </c>
      <c r="C777" s="153">
        <f t="shared" si="9"/>
        <v>0</v>
      </c>
      <c r="D777" s="186"/>
      <c r="E777" s="161"/>
      <c r="F777" s="156"/>
      <c r="G777" s="156"/>
      <c r="H777" s="156"/>
      <c r="I777" s="156"/>
      <c r="J777" s="156"/>
      <c r="K777" s="155">
        <v>0.0</v>
      </c>
      <c r="L777" s="155">
        <f t="shared" ref="L777:M777" si="770">$K777*L$4/100</f>
        <v>0</v>
      </c>
      <c r="M777" s="155">
        <f t="shared" si="770"/>
        <v>0</v>
      </c>
    </row>
    <row r="778">
      <c r="A778" s="152">
        <f t="shared" si="7"/>
        <v>0</v>
      </c>
      <c r="B778" s="153">
        <f t="shared" si="8"/>
        <v>0</v>
      </c>
      <c r="C778" s="153">
        <f t="shared" si="9"/>
        <v>0</v>
      </c>
      <c r="D778" s="186"/>
      <c r="E778" s="161"/>
      <c r="F778" s="156"/>
      <c r="G778" s="156"/>
      <c r="H778" s="156"/>
      <c r="I778" s="156"/>
      <c r="J778" s="156"/>
      <c r="K778" s="155">
        <v>0.0</v>
      </c>
      <c r="L778" s="155">
        <f t="shared" ref="L778:M778" si="771">$K778*L$4/100</f>
        <v>0</v>
      </c>
      <c r="M778" s="155">
        <f t="shared" si="771"/>
        <v>0</v>
      </c>
    </row>
    <row r="779">
      <c r="A779" s="152">
        <f t="shared" si="7"/>
        <v>0</v>
      </c>
      <c r="B779" s="153">
        <f t="shared" si="8"/>
        <v>0</v>
      </c>
      <c r="C779" s="153">
        <f t="shared" si="9"/>
        <v>0</v>
      </c>
      <c r="D779" s="186"/>
      <c r="E779" s="161"/>
      <c r="F779" s="156"/>
      <c r="G779" s="156"/>
      <c r="H779" s="156"/>
      <c r="I779" s="156"/>
      <c r="J779" s="156"/>
      <c r="K779" s="155">
        <v>0.0</v>
      </c>
      <c r="L779" s="155">
        <f t="shared" ref="L779:M779" si="772">$K779*L$4/100</f>
        <v>0</v>
      </c>
      <c r="M779" s="155">
        <f t="shared" si="772"/>
        <v>0</v>
      </c>
    </row>
    <row r="780">
      <c r="A780" s="152">
        <f t="shared" si="7"/>
        <v>0</v>
      </c>
      <c r="B780" s="153">
        <f t="shared" si="8"/>
        <v>0</v>
      </c>
      <c r="C780" s="153">
        <f t="shared" si="9"/>
        <v>0</v>
      </c>
      <c r="D780" s="186"/>
      <c r="E780" s="161"/>
      <c r="F780" s="156"/>
      <c r="G780" s="156"/>
      <c r="H780" s="156"/>
      <c r="I780" s="156"/>
      <c r="J780" s="156"/>
      <c r="K780" s="155">
        <v>0.0</v>
      </c>
      <c r="L780" s="155">
        <f t="shared" ref="L780:M780" si="773">$K780*L$4/100</f>
        <v>0</v>
      </c>
      <c r="M780" s="155">
        <f t="shared" si="773"/>
        <v>0</v>
      </c>
    </row>
    <row r="781">
      <c r="A781" s="152">
        <f t="shared" si="7"/>
        <v>0</v>
      </c>
      <c r="B781" s="153">
        <f t="shared" si="8"/>
        <v>0</v>
      </c>
      <c r="C781" s="153">
        <f t="shared" si="9"/>
        <v>0</v>
      </c>
      <c r="D781" s="186"/>
      <c r="E781" s="161"/>
      <c r="F781" s="156"/>
      <c r="G781" s="156"/>
      <c r="H781" s="156"/>
      <c r="I781" s="156"/>
      <c r="J781" s="156"/>
      <c r="K781" s="155">
        <v>0.0</v>
      </c>
      <c r="L781" s="155">
        <f t="shared" ref="L781:M781" si="774">$K781*L$4/100</f>
        <v>0</v>
      </c>
      <c r="M781" s="155">
        <f t="shared" si="774"/>
        <v>0</v>
      </c>
    </row>
    <row r="782">
      <c r="A782" s="152">
        <f t="shared" si="7"/>
        <v>0</v>
      </c>
      <c r="B782" s="153">
        <f t="shared" si="8"/>
        <v>0</v>
      </c>
      <c r="C782" s="153">
        <f t="shared" si="9"/>
        <v>0</v>
      </c>
      <c r="D782" s="186"/>
      <c r="E782" s="161"/>
      <c r="F782" s="156"/>
      <c r="G782" s="156"/>
      <c r="H782" s="156"/>
      <c r="I782" s="156"/>
      <c r="J782" s="156"/>
      <c r="K782" s="155">
        <v>0.0</v>
      </c>
      <c r="L782" s="155">
        <f t="shared" ref="L782:M782" si="775">$K782*L$4/100</f>
        <v>0</v>
      </c>
      <c r="M782" s="155">
        <f t="shared" si="775"/>
        <v>0</v>
      </c>
    </row>
    <row r="783">
      <c r="A783" s="152">
        <f t="shared" si="7"/>
        <v>0</v>
      </c>
      <c r="B783" s="153">
        <f t="shared" si="8"/>
        <v>0</v>
      </c>
      <c r="C783" s="153">
        <f t="shared" si="9"/>
        <v>0</v>
      </c>
      <c r="D783" s="186"/>
      <c r="E783" s="161"/>
      <c r="F783" s="156"/>
      <c r="G783" s="156"/>
      <c r="H783" s="156"/>
      <c r="I783" s="156"/>
      <c r="J783" s="156"/>
      <c r="K783" s="155">
        <v>0.0</v>
      </c>
      <c r="L783" s="155">
        <f t="shared" ref="L783:M783" si="776">$K783*L$4/100</f>
        <v>0</v>
      </c>
      <c r="M783" s="155">
        <f t="shared" si="776"/>
        <v>0</v>
      </c>
    </row>
    <row r="784">
      <c r="A784" s="152">
        <f t="shared" si="7"/>
        <v>0</v>
      </c>
      <c r="B784" s="153">
        <f t="shared" si="8"/>
        <v>0</v>
      </c>
      <c r="C784" s="153">
        <f t="shared" si="9"/>
        <v>0</v>
      </c>
      <c r="D784" s="186"/>
      <c r="E784" s="161"/>
      <c r="F784" s="156"/>
      <c r="G784" s="156"/>
      <c r="H784" s="156"/>
      <c r="I784" s="156"/>
      <c r="J784" s="156"/>
      <c r="K784" s="155">
        <v>0.0</v>
      </c>
      <c r="L784" s="155">
        <f t="shared" ref="L784:M784" si="777">$K784*L$4/100</f>
        <v>0</v>
      </c>
      <c r="M784" s="155">
        <f t="shared" si="777"/>
        <v>0</v>
      </c>
    </row>
    <row r="785">
      <c r="A785" s="152">
        <f t="shared" si="7"/>
        <v>0</v>
      </c>
      <c r="B785" s="153">
        <f t="shared" si="8"/>
        <v>0</v>
      </c>
      <c r="C785" s="153">
        <f t="shared" si="9"/>
        <v>0</v>
      </c>
      <c r="D785" s="186"/>
      <c r="E785" s="161"/>
      <c r="F785" s="156"/>
      <c r="G785" s="156"/>
      <c r="H785" s="156"/>
      <c r="I785" s="156"/>
      <c r="J785" s="156"/>
      <c r="K785" s="155">
        <v>0.0</v>
      </c>
      <c r="L785" s="155">
        <f t="shared" ref="L785:M785" si="778">$K785*L$4/100</f>
        <v>0</v>
      </c>
      <c r="M785" s="155">
        <f t="shared" si="778"/>
        <v>0</v>
      </c>
    </row>
    <row r="786">
      <c r="A786" s="152">
        <f t="shared" si="7"/>
        <v>0</v>
      </c>
      <c r="B786" s="153">
        <f t="shared" si="8"/>
        <v>0</v>
      </c>
      <c r="C786" s="153">
        <f t="shared" si="9"/>
        <v>0</v>
      </c>
      <c r="D786" s="186"/>
      <c r="E786" s="161"/>
      <c r="F786" s="156"/>
      <c r="G786" s="156"/>
      <c r="H786" s="156"/>
      <c r="I786" s="156"/>
      <c r="J786" s="156"/>
      <c r="K786" s="155">
        <v>0.0</v>
      </c>
      <c r="L786" s="155">
        <f t="shared" ref="L786:M786" si="779">$K786*L$4/100</f>
        <v>0</v>
      </c>
      <c r="M786" s="155">
        <f t="shared" si="779"/>
        <v>0</v>
      </c>
    </row>
    <row r="787">
      <c r="A787" s="152">
        <f t="shared" si="7"/>
        <v>0</v>
      </c>
      <c r="B787" s="153">
        <f t="shared" si="8"/>
        <v>0</v>
      </c>
      <c r="C787" s="153">
        <f t="shared" si="9"/>
        <v>0</v>
      </c>
      <c r="D787" s="186"/>
      <c r="E787" s="161"/>
      <c r="F787" s="156"/>
      <c r="G787" s="156"/>
      <c r="H787" s="156"/>
      <c r="I787" s="156"/>
      <c r="J787" s="156"/>
      <c r="K787" s="155">
        <v>0.0</v>
      </c>
      <c r="L787" s="155">
        <f t="shared" ref="L787:M787" si="780">$K787*L$4/100</f>
        <v>0</v>
      </c>
      <c r="M787" s="155">
        <f t="shared" si="780"/>
        <v>0</v>
      </c>
    </row>
    <row r="788">
      <c r="A788" s="152">
        <f t="shared" si="7"/>
        <v>0</v>
      </c>
      <c r="B788" s="153">
        <f t="shared" si="8"/>
        <v>0</v>
      </c>
      <c r="C788" s="153">
        <f t="shared" si="9"/>
        <v>0</v>
      </c>
      <c r="D788" s="186"/>
      <c r="E788" s="161"/>
      <c r="F788" s="156"/>
      <c r="G788" s="156"/>
      <c r="H788" s="156"/>
      <c r="I788" s="156"/>
      <c r="J788" s="156"/>
      <c r="K788" s="155">
        <v>0.0</v>
      </c>
      <c r="L788" s="155">
        <f t="shared" ref="L788:M788" si="781">$K788*L$4/100</f>
        <v>0</v>
      </c>
      <c r="M788" s="155">
        <f t="shared" si="781"/>
        <v>0</v>
      </c>
    </row>
    <row r="789">
      <c r="A789" s="152">
        <f t="shared" si="7"/>
        <v>0</v>
      </c>
      <c r="B789" s="153">
        <f t="shared" si="8"/>
        <v>0</v>
      </c>
      <c r="C789" s="153">
        <f t="shared" si="9"/>
        <v>0</v>
      </c>
      <c r="D789" s="186"/>
      <c r="E789" s="161"/>
      <c r="F789" s="156"/>
      <c r="G789" s="156"/>
      <c r="H789" s="156"/>
      <c r="I789" s="156"/>
      <c r="J789" s="156"/>
      <c r="K789" s="155">
        <v>0.0</v>
      </c>
      <c r="L789" s="155">
        <f t="shared" ref="L789:M789" si="782">$K789*L$4/100</f>
        <v>0</v>
      </c>
      <c r="M789" s="155">
        <f t="shared" si="782"/>
        <v>0</v>
      </c>
    </row>
    <row r="790">
      <c r="A790" s="152">
        <f t="shared" si="7"/>
        <v>0</v>
      </c>
      <c r="B790" s="153">
        <f t="shared" si="8"/>
        <v>0</v>
      </c>
      <c r="C790" s="153">
        <f t="shared" si="9"/>
        <v>0</v>
      </c>
      <c r="D790" s="186"/>
      <c r="E790" s="161"/>
      <c r="F790" s="156"/>
      <c r="G790" s="156"/>
      <c r="H790" s="156"/>
      <c r="I790" s="156"/>
      <c r="J790" s="156"/>
      <c r="K790" s="155">
        <v>0.0</v>
      </c>
      <c r="L790" s="155">
        <f t="shared" ref="L790:M790" si="783">$K790*L$4/100</f>
        <v>0</v>
      </c>
      <c r="M790" s="155">
        <f t="shared" si="783"/>
        <v>0</v>
      </c>
    </row>
    <row r="791">
      <c r="A791" s="152">
        <f t="shared" si="7"/>
        <v>0</v>
      </c>
      <c r="B791" s="153">
        <f t="shared" si="8"/>
        <v>0</v>
      </c>
      <c r="C791" s="153">
        <f t="shared" si="9"/>
        <v>0</v>
      </c>
      <c r="D791" s="186"/>
      <c r="E791" s="161"/>
      <c r="F791" s="156"/>
      <c r="G791" s="156"/>
      <c r="H791" s="156"/>
      <c r="I791" s="156"/>
      <c r="J791" s="156"/>
      <c r="K791" s="155">
        <v>0.0</v>
      </c>
      <c r="L791" s="155">
        <f t="shared" ref="L791:M791" si="784">$K791*L$4/100</f>
        <v>0</v>
      </c>
      <c r="M791" s="155">
        <f t="shared" si="784"/>
        <v>0</v>
      </c>
    </row>
    <row r="792">
      <c r="A792" s="152">
        <f t="shared" si="7"/>
        <v>0</v>
      </c>
      <c r="B792" s="153">
        <f t="shared" si="8"/>
        <v>0</v>
      </c>
      <c r="C792" s="153">
        <f t="shared" si="9"/>
        <v>0</v>
      </c>
      <c r="D792" s="186"/>
      <c r="E792" s="161"/>
      <c r="F792" s="156"/>
      <c r="G792" s="156"/>
      <c r="H792" s="156"/>
      <c r="I792" s="156"/>
      <c r="J792" s="156"/>
      <c r="K792" s="155">
        <v>0.0</v>
      </c>
      <c r="L792" s="155">
        <f t="shared" ref="L792:M792" si="785">$K792*L$4/100</f>
        <v>0</v>
      </c>
      <c r="M792" s="155">
        <f t="shared" si="785"/>
        <v>0</v>
      </c>
    </row>
    <row r="793">
      <c r="A793" s="152">
        <f t="shared" si="7"/>
        <v>0</v>
      </c>
      <c r="B793" s="153">
        <f t="shared" si="8"/>
        <v>0</v>
      </c>
      <c r="C793" s="153">
        <f t="shared" si="9"/>
        <v>0</v>
      </c>
      <c r="D793" s="186"/>
      <c r="E793" s="161"/>
      <c r="F793" s="156"/>
      <c r="G793" s="156"/>
      <c r="H793" s="156"/>
      <c r="I793" s="156"/>
      <c r="J793" s="156"/>
      <c r="K793" s="155">
        <v>0.0</v>
      </c>
      <c r="L793" s="155">
        <f t="shared" ref="L793:M793" si="786">$K793*L$4/100</f>
        <v>0</v>
      </c>
      <c r="M793" s="155">
        <f t="shared" si="786"/>
        <v>0</v>
      </c>
    </row>
    <row r="794">
      <c r="A794" s="152">
        <f t="shared" si="7"/>
        <v>0</v>
      </c>
      <c r="B794" s="153">
        <f t="shared" si="8"/>
        <v>0</v>
      </c>
      <c r="C794" s="153">
        <f t="shared" si="9"/>
        <v>0</v>
      </c>
      <c r="D794" s="186"/>
      <c r="E794" s="161"/>
      <c r="F794" s="156"/>
      <c r="G794" s="156"/>
      <c r="H794" s="156"/>
      <c r="I794" s="156"/>
      <c r="J794" s="156"/>
      <c r="K794" s="155">
        <v>0.0</v>
      </c>
      <c r="L794" s="155">
        <f t="shared" ref="L794:M794" si="787">$K794*L$4/100</f>
        <v>0</v>
      </c>
      <c r="M794" s="155">
        <f t="shared" si="787"/>
        <v>0</v>
      </c>
    </row>
    <row r="795">
      <c r="A795" s="152">
        <f t="shared" si="7"/>
        <v>0</v>
      </c>
      <c r="B795" s="153">
        <f t="shared" si="8"/>
        <v>0</v>
      </c>
      <c r="C795" s="153">
        <f t="shared" si="9"/>
        <v>0</v>
      </c>
      <c r="D795" s="186"/>
      <c r="E795" s="161"/>
      <c r="F795" s="156"/>
      <c r="G795" s="156"/>
      <c r="H795" s="156"/>
      <c r="I795" s="156"/>
      <c r="J795" s="156"/>
      <c r="K795" s="155">
        <v>0.0</v>
      </c>
      <c r="L795" s="155">
        <f t="shared" ref="L795:M795" si="788">$K795*L$4/100</f>
        <v>0</v>
      </c>
      <c r="M795" s="155">
        <f t="shared" si="788"/>
        <v>0</v>
      </c>
    </row>
    <row r="796">
      <c r="A796" s="152">
        <f t="shared" si="7"/>
        <v>0</v>
      </c>
      <c r="B796" s="153">
        <f t="shared" si="8"/>
        <v>0</v>
      </c>
      <c r="C796" s="153">
        <f t="shared" si="9"/>
        <v>0</v>
      </c>
      <c r="D796" s="186"/>
      <c r="E796" s="161"/>
      <c r="F796" s="156"/>
      <c r="G796" s="156"/>
      <c r="H796" s="156"/>
      <c r="I796" s="156"/>
      <c r="J796" s="156"/>
      <c r="K796" s="155">
        <v>0.0</v>
      </c>
      <c r="L796" s="155">
        <f t="shared" ref="L796:M796" si="789">$K796*L$4/100</f>
        <v>0</v>
      </c>
      <c r="M796" s="155">
        <f t="shared" si="789"/>
        <v>0</v>
      </c>
    </row>
    <row r="797">
      <c r="A797" s="152">
        <f t="shared" si="7"/>
        <v>0</v>
      </c>
      <c r="B797" s="153">
        <f t="shared" si="8"/>
        <v>0</v>
      </c>
      <c r="C797" s="153">
        <f t="shared" si="9"/>
        <v>0</v>
      </c>
      <c r="D797" s="186"/>
      <c r="E797" s="161"/>
      <c r="F797" s="156"/>
      <c r="G797" s="156"/>
      <c r="H797" s="156"/>
      <c r="I797" s="156"/>
      <c r="J797" s="156"/>
      <c r="K797" s="155">
        <v>0.0</v>
      </c>
      <c r="L797" s="155">
        <f t="shared" ref="L797:M797" si="790">$K797*L$4/100</f>
        <v>0</v>
      </c>
      <c r="M797" s="155">
        <f t="shared" si="790"/>
        <v>0</v>
      </c>
    </row>
    <row r="798">
      <c r="A798" s="152">
        <f t="shared" si="7"/>
        <v>0</v>
      </c>
      <c r="B798" s="153">
        <f t="shared" si="8"/>
        <v>0</v>
      </c>
      <c r="C798" s="153">
        <f t="shared" si="9"/>
        <v>0</v>
      </c>
      <c r="D798" s="186"/>
      <c r="E798" s="161"/>
      <c r="F798" s="156"/>
      <c r="G798" s="156"/>
      <c r="H798" s="156"/>
      <c r="I798" s="156"/>
      <c r="J798" s="156"/>
      <c r="K798" s="155">
        <v>0.0</v>
      </c>
      <c r="L798" s="155">
        <f t="shared" ref="L798:M798" si="791">$K798*L$4/100</f>
        <v>0</v>
      </c>
      <c r="M798" s="155">
        <f t="shared" si="791"/>
        <v>0</v>
      </c>
    </row>
    <row r="799">
      <c r="A799" s="152">
        <f t="shared" si="7"/>
        <v>0</v>
      </c>
      <c r="B799" s="153">
        <f t="shared" si="8"/>
        <v>0</v>
      </c>
      <c r="C799" s="153">
        <f t="shared" si="9"/>
        <v>0</v>
      </c>
      <c r="D799" s="186"/>
      <c r="E799" s="161"/>
      <c r="F799" s="156"/>
      <c r="G799" s="156"/>
      <c r="H799" s="156"/>
      <c r="I799" s="156"/>
      <c r="J799" s="156"/>
      <c r="K799" s="155">
        <v>0.0</v>
      </c>
      <c r="L799" s="155">
        <f t="shared" ref="L799:M799" si="792">$K799*L$4/100</f>
        <v>0</v>
      </c>
      <c r="M799" s="155">
        <f t="shared" si="792"/>
        <v>0</v>
      </c>
    </row>
    <row r="800">
      <c r="A800" s="152">
        <f t="shared" si="7"/>
        <v>0</v>
      </c>
      <c r="B800" s="153">
        <f t="shared" si="8"/>
        <v>0</v>
      </c>
      <c r="C800" s="153">
        <f t="shared" si="9"/>
        <v>0</v>
      </c>
      <c r="D800" s="186"/>
      <c r="E800" s="161"/>
      <c r="F800" s="156"/>
      <c r="G800" s="156"/>
      <c r="H800" s="156"/>
      <c r="I800" s="156"/>
      <c r="J800" s="156"/>
      <c r="K800" s="155">
        <v>0.0</v>
      </c>
      <c r="L800" s="155">
        <f t="shared" ref="L800:M800" si="793">$K800*L$4/100</f>
        <v>0</v>
      </c>
      <c r="M800" s="155">
        <f t="shared" si="793"/>
        <v>0</v>
      </c>
    </row>
    <row r="801">
      <c r="A801" s="152">
        <f t="shared" si="7"/>
        <v>0</v>
      </c>
      <c r="B801" s="153">
        <f t="shared" si="8"/>
        <v>0</v>
      </c>
      <c r="C801" s="153">
        <f t="shared" si="9"/>
        <v>0</v>
      </c>
      <c r="D801" s="186"/>
      <c r="E801" s="161"/>
      <c r="F801" s="156"/>
      <c r="G801" s="156"/>
      <c r="H801" s="156"/>
      <c r="I801" s="156"/>
      <c r="J801" s="156"/>
      <c r="K801" s="155">
        <v>0.0</v>
      </c>
      <c r="L801" s="155">
        <f t="shared" ref="L801:M801" si="794">$K801*L$4/100</f>
        <v>0</v>
      </c>
      <c r="M801" s="155">
        <f t="shared" si="794"/>
        <v>0</v>
      </c>
    </row>
    <row r="802">
      <c r="A802" s="152">
        <f t="shared" si="7"/>
        <v>0</v>
      </c>
      <c r="B802" s="153">
        <f t="shared" si="8"/>
        <v>0</v>
      </c>
      <c r="C802" s="153">
        <f t="shared" si="9"/>
        <v>0</v>
      </c>
      <c r="D802" s="186"/>
      <c r="E802" s="161"/>
      <c r="F802" s="156"/>
      <c r="G802" s="156"/>
      <c r="H802" s="156"/>
      <c r="I802" s="156"/>
      <c r="J802" s="156"/>
      <c r="K802" s="155">
        <v>0.0</v>
      </c>
      <c r="L802" s="155">
        <f t="shared" ref="L802:M802" si="795">$K802*L$4/100</f>
        <v>0</v>
      </c>
      <c r="M802" s="155">
        <f t="shared" si="795"/>
        <v>0</v>
      </c>
    </row>
    <row r="803">
      <c r="A803" s="152">
        <f t="shared" si="7"/>
        <v>0</v>
      </c>
      <c r="B803" s="153">
        <f t="shared" si="8"/>
        <v>0</v>
      </c>
      <c r="C803" s="153">
        <f t="shared" si="9"/>
        <v>0</v>
      </c>
      <c r="D803" s="186"/>
      <c r="E803" s="161"/>
      <c r="F803" s="156"/>
      <c r="G803" s="156"/>
      <c r="H803" s="156"/>
      <c r="I803" s="156"/>
      <c r="J803" s="156"/>
      <c r="K803" s="155">
        <v>0.0</v>
      </c>
      <c r="L803" s="155">
        <f t="shared" ref="L803:M803" si="796">$K803*L$4/100</f>
        <v>0</v>
      </c>
      <c r="M803" s="155">
        <f t="shared" si="796"/>
        <v>0</v>
      </c>
    </row>
    <row r="804">
      <c r="A804" s="152">
        <f t="shared" si="7"/>
        <v>0</v>
      </c>
      <c r="B804" s="153">
        <f t="shared" si="8"/>
        <v>0</v>
      </c>
      <c r="C804" s="153">
        <f t="shared" si="9"/>
        <v>0</v>
      </c>
      <c r="D804" s="186"/>
      <c r="E804" s="161"/>
      <c r="F804" s="156"/>
      <c r="G804" s="156"/>
      <c r="H804" s="156"/>
      <c r="I804" s="156"/>
      <c r="J804" s="156"/>
      <c r="K804" s="155">
        <v>0.0</v>
      </c>
      <c r="L804" s="155">
        <f t="shared" ref="L804:M804" si="797">$K804*L$4/100</f>
        <v>0</v>
      </c>
      <c r="M804" s="155">
        <f t="shared" si="797"/>
        <v>0</v>
      </c>
    </row>
    <row r="805">
      <c r="A805" s="152">
        <f t="shared" si="7"/>
        <v>0</v>
      </c>
      <c r="B805" s="153">
        <f t="shared" si="8"/>
        <v>0</v>
      </c>
      <c r="C805" s="153">
        <f t="shared" si="9"/>
        <v>0</v>
      </c>
      <c r="D805" s="186"/>
      <c r="E805" s="161"/>
      <c r="F805" s="156"/>
      <c r="G805" s="156"/>
      <c r="H805" s="156"/>
      <c r="I805" s="156"/>
      <c r="J805" s="156"/>
      <c r="K805" s="155">
        <v>0.0</v>
      </c>
      <c r="L805" s="155">
        <f t="shared" ref="L805:M805" si="798">$K805*L$4/100</f>
        <v>0</v>
      </c>
      <c r="M805" s="155">
        <f t="shared" si="798"/>
        <v>0</v>
      </c>
    </row>
    <row r="806">
      <c r="A806" s="152">
        <f t="shared" si="7"/>
        <v>0</v>
      </c>
      <c r="B806" s="153">
        <f t="shared" si="8"/>
        <v>0</v>
      </c>
      <c r="C806" s="153">
        <f t="shared" si="9"/>
        <v>0</v>
      </c>
      <c r="D806" s="186"/>
      <c r="E806" s="161"/>
      <c r="F806" s="156"/>
      <c r="G806" s="156"/>
      <c r="H806" s="156"/>
      <c r="I806" s="156"/>
      <c r="J806" s="156"/>
      <c r="K806" s="155">
        <v>0.0</v>
      </c>
      <c r="L806" s="155">
        <f t="shared" ref="L806:M806" si="799">$K806*L$4/100</f>
        <v>0</v>
      </c>
      <c r="M806" s="155">
        <f t="shared" si="799"/>
        <v>0</v>
      </c>
    </row>
    <row r="807">
      <c r="A807" s="152">
        <f t="shared" si="7"/>
        <v>0</v>
      </c>
      <c r="B807" s="153">
        <f t="shared" si="8"/>
        <v>0</v>
      </c>
      <c r="C807" s="153">
        <f t="shared" si="9"/>
        <v>0</v>
      </c>
      <c r="D807" s="186"/>
      <c r="E807" s="161"/>
      <c r="F807" s="156"/>
      <c r="G807" s="156"/>
      <c r="H807" s="156"/>
      <c r="I807" s="156"/>
      <c r="J807" s="156"/>
      <c r="K807" s="155">
        <v>0.0</v>
      </c>
      <c r="L807" s="155">
        <f t="shared" ref="L807:M807" si="800">$K807*L$4/100</f>
        <v>0</v>
      </c>
      <c r="M807" s="155">
        <f t="shared" si="800"/>
        <v>0</v>
      </c>
    </row>
    <row r="808">
      <c r="A808" s="152">
        <f t="shared" si="7"/>
        <v>0</v>
      </c>
      <c r="B808" s="153">
        <f t="shared" si="8"/>
        <v>0</v>
      </c>
      <c r="C808" s="153">
        <f t="shared" si="9"/>
        <v>0</v>
      </c>
      <c r="D808" s="186"/>
      <c r="E808" s="161"/>
      <c r="F808" s="156"/>
      <c r="G808" s="156"/>
      <c r="H808" s="156"/>
      <c r="I808" s="156"/>
      <c r="J808" s="156"/>
      <c r="K808" s="155">
        <v>0.0</v>
      </c>
      <c r="L808" s="155">
        <f t="shared" ref="L808:M808" si="801">$K808*L$4/100</f>
        <v>0</v>
      </c>
      <c r="M808" s="155">
        <f t="shared" si="801"/>
        <v>0</v>
      </c>
    </row>
    <row r="809">
      <c r="A809" s="152">
        <f t="shared" si="7"/>
        <v>0</v>
      </c>
      <c r="B809" s="153">
        <f t="shared" si="8"/>
        <v>0</v>
      </c>
      <c r="C809" s="153">
        <f t="shared" si="9"/>
        <v>0</v>
      </c>
      <c r="D809" s="186"/>
      <c r="E809" s="161"/>
      <c r="F809" s="156"/>
      <c r="G809" s="156"/>
      <c r="H809" s="156"/>
      <c r="I809" s="156"/>
      <c r="J809" s="156"/>
      <c r="K809" s="155">
        <v>0.0</v>
      </c>
      <c r="L809" s="155">
        <f t="shared" ref="L809:M809" si="802">$K809*L$4/100</f>
        <v>0</v>
      </c>
      <c r="M809" s="155">
        <f t="shared" si="802"/>
        <v>0</v>
      </c>
    </row>
    <row r="810">
      <c r="A810" s="152">
        <f t="shared" si="7"/>
        <v>0</v>
      </c>
      <c r="B810" s="153">
        <f t="shared" si="8"/>
        <v>0</v>
      </c>
      <c r="C810" s="153">
        <f t="shared" si="9"/>
        <v>0</v>
      </c>
      <c r="D810" s="186"/>
      <c r="E810" s="161"/>
      <c r="F810" s="156"/>
      <c r="G810" s="156"/>
      <c r="H810" s="156"/>
      <c r="I810" s="156"/>
      <c r="J810" s="156"/>
      <c r="K810" s="155">
        <v>0.0</v>
      </c>
      <c r="L810" s="155">
        <f t="shared" ref="L810:M810" si="803">$K810*L$4/100</f>
        <v>0</v>
      </c>
      <c r="M810" s="155">
        <f t="shared" si="803"/>
        <v>0</v>
      </c>
    </row>
    <row r="811">
      <c r="A811" s="152">
        <f t="shared" si="7"/>
        <v>0</v>
      </c>
      <c r="B811" s="153">
        <f t="shared" si="8"/>
        <v>0</v>
      </c>
      <c r="C811" s="153">
        <f t="shared" si="9"/>
        <v>0</v>
      </c>
      <c r="D811" s="186"/>
      <c r="E811" s="161"/>
      <c r="F811" s="156"/>
      <c r="G811" s="156"/>
      <c r="H811" s="156"/>
      <c r="I811" s="156"/>
      <c r="J811" s="156"/>
      <c r="K811" s="155">
        <v>0.0</v>
      </c>
      <c r="L811" s="155">
        <f t="shared" ref="L811:M811" si="804">$K811*L$4/100</f>
        <v>0</v>
      </c>
      <c r="M811" s="155">
        <f t="shared" si="804"/>
        <v>0</v>
      </c>
    </row>
    <row r="812">
      <c r="A812" s="152">
        <f t="shared" si="7"/>
        <v>0</v>
      </c>
      <c r="B812" s="153">
        <f t="shared" si="8"/>
        <v>0</v>
      </c>
      <c r="C812" s="153">
        <f t="shared" si="9"/>
        <v>0</v>
      </c>
      <c r="D812" s="186"/>
      <c r="E812" s="161"/>
      <c r="F812" s="156"/>
      <c r="G812" s="156"/>
      <c r="H812" s="156"/>
      <c r="I812" s="156"/>
      <c r="J812" s="156"/>
      <c r="K812" s="155">
        <v>0.0</v>
      </c>
      <c r="L812" s="155">
        <f t="shared" ref="L812:M812" si="805">$K812*L$4/100</f>
        <v>0</v>
      </c>
      <c r="M812" s="155">
        <f t="shared" si="805"/>
        <v>0</v>
      </c>
    </row>
    <row r="813">
      <c r="A813" s="152">
        <f t="shared" si="7"/>
        <v>0</v>
      </c>
      <c r="B813" s="153">
        <f t="shared" si="8"/>
        <v>0</v>
      </c>
      <c r="C813" s="153">
        <f t="shared" si="9"/>
        <v>0</v>
      </c>
      <c r="D813" s="186"/>
      <c r="E813" s="161"/>
      <c r="F813" s="156"/>
      <c r="G813" s="156"/>
      <c r="H813" s="156"/>
      <c r="I813" s="156"/>
      <c r="J813" s="156"/>
      <c r="K813" s="155">
        <v>0.0</v>
      </c>
      <c r="L813" s="155">
        <f t="shared" ref="L813:M813" si="806">$K813*L$4/100</f>
        <v>0</v>
      </c>
      <c r="M813" s="155">
        <f t="shared" si="806"/>
        <v>0</v>
      </c>
    </row>
    <row r="814">
      <c r="A814" s="152">
        <f t="shared" si="7"/>
        <v>0</v>
      </c>
      <c r="B814" s="153">
        <f t="shared" si="8"/>
        <v>0</v>
      </c>
      <c r="C814" s="153">
        <f t="shared" si="9"/>
        <v>0</v>
      </c>
      <c r="D814" s="186"/>
      <c r="E814" s="161"/>
      <c r="F814" s="156"/>
      <c r="G814" s="156"/>
      <c r="H814" s="156"/>
      <c r="I814" s="156"/>
      <c r="J814" s="156"/>
      <c r="K814" s="155">
        <v>0.0</v>
      </c>
      <c r="L814" s="155">
        <f t="shared" ref="L814:M814" si="807">$K814*L$4/100</f>
        <v>0</v>
      </c>
      <c r="M814" s="155">
        <f t="shared" si="807"/>
        <v>0</v>
      </c>
    </row>
    <row r="815">
      <c r="A815" s="152">
        <f t="shared" si="7"/>
        <v>0</v>
      </c>
      <c r="B815" s="153">
        <f t="shared" si="8"/>
        <v>0</v>
      </c>
      <c r="C815" s="153">
        <f t="shared" si="9"/>
        <v>0</v>
      </c>
      <c r="D815" s="186"/>
      <c r="E815" s="161"/>
      <c r="F815" s="156"/>
      <c r="G815" s="156"/>
      <c r="H815" s="156"/>
      <c r="I815" s="156"/>
      <c r="J815" s="156"/>
      <c r="K815" s="155">
        <v>0.0</v>
      </c>
      <c r="L815" s="155">
        <f t="shared" ref="L815:M815" si="808">$K815*L$4/100</f>
        <v>0</v>
      </c>
      <c r="M815" s="155">
        <f t="shared" si="808"/>
        <v>0</v>
      </c>
    </row>
    <row r="816">
      <c r="A816" s="152">
        <f t="shared" si="7"/>
        <v>0</v>
      </c>
      <c r="B816" s="153">
        <f t="shared" si="8"/>
        <v>0</v>
      </c>
      <c r="C816" s="153">
        <f t="shared" si="9"/>
        <v>0</v>
      </c>
      <c r="D816" s="186"/>
      <c r="E816" s="161"/>
      <c r="F816" s="156"/>
      <c r="G816" s="156"/>
      <c r="H816" s="156"/>
      <c r="I816" s="156"/>
      <c r="J816" s="156"/>
      <c r="K816" s="155">
        <v>0.0</v>
      </c>
      <c r="L816" s="155">
        <f t="shared" ref="L816:M816" si="809">$K816*L$4/100</f>
        <v>0</v>
      </c>
      <c r="M816" s="155">
        <f t="shared" si="809"/>
        <v>0</v>
      </c>
    </row>
    <row r="817">
      <c r="A817" s="152">
        <f t="shared" si="7"/>
        <v>0</v>
      </c>
      <c r="B817" s="153">
        <f t="shared" si="8"/>
        <v>0</v>
      </c>
      <c r="C817" s="153">
        <f t="shared" si="9"/>
        <v>0</v>
      </c>
      <c r="D817" s="186"/>
      <c r="E817" s="161"/>
      <c r="F817" s="156"/>
      <c r="G817" s="156"/>
      <c r="H817" s="156"/>
      <c r="I817" s="156"/>
      <c r="J817" s="156"/>
      <c r="K817" s="155">
        <v>0.0</v>
      </c>
      <c r="L817" s="155">
        <f t="shared" ref="L817:M817" si="810">$K817*L$4/100</f>
        <v>0</v>
      </c>
      <c r="M817" s="155">
        <f t="shared" si="810"/>
        <v>0</v>
      </c>
    </row>
    <row r="818">
      <c r="A818" s="152">
        <f t="shared" si="7"/>
        <v>0</v>
      </c>
      <c r="B818" s="153">
        <f t="shared" si="8"/>
        <v>0</v>
      </c>
      <c r="C818" s="153">
        <f t="shared" si="9"/>
        <v>0</v>
      </c>
      <c r="D818" s="186"/>
      <c r="E818" s="161"/>
      <c r="F818" s="156"/>
      <c r="G818" s="156"/>
      <c r="H818" s="156"/>
      <c r="I818" s="156"/>
      <c r="J818" s="156"/>
      <c r="K818" s="155">
        <v>0.0</v>
      </c>
      <c r="L818" s="155">
        <f t="shared" ref="L818:M818" si="811">$K818*L$4/100</f>
        <v>0</v>
      </c>
      <c r="M818" s="155">
        <f t="shared" si="811"/>
        <v>0</v>
      </c>
    </row>
    <row r="819">
      <c r="A819" s="152">
        <f t="shared" si="7"/>
        <v>0</v>
      </c>
      <c r="B819" s="153">
        <f t="shared" si="8"/>
        <v>0</v>
      </c>
      <c r="C819" s="153">
        <f t="shared" si="9"/>
        <v>0</v>
      </c>
      <c r="D819" s="186"/>
      <c r="E819" s="161"/>
      <c r="F819" s="156"/>
      <c r="G819" s="156"/>
      <c r="H819" s="156"/>
      <c r="I819" s="156"/>
      <c r="J819" s="156"/>
      <c r="K819" s="155">
        <v>0.0</v>
      </c>
      <c r="L819" s="155">
        <f t="shared" ref="L819:M819" si="812">$K819*L$4/100</f>
        <v>0</v>
      </c>
      <c r="M819" s="155">
        <f t="shared" si="812"/>
        <v>0</v>
      </c>
    </row>
    <row r="820">
      <c r="A820" s="152">
        <f t="shared" si="7"/>
        <v>0</v>
      </c>
      <c r="B820" s="153">
        <f t="shared" si="8"/>
        <v>0</v>
      </c>
      <c r="C820" s="153">
        <f t="shared" si="9"/>
        <v>0</v>
      </c>
      <c r="D820" s="186"/>
      <c r="E820" s="161"/>
      <c r="F820" s="156"/>
      <c r="G820" s="156"/>
      <c r="H820" s="156"/>
      <c r="I820" s="156"/>
      <c r="J820" s="156"/>
      <c r="K820" s="155">
        <v>0.0</v>
      </c>
      <c r="L820" s="155">
        <f t="shared" ref="L820:M820" si="813">$K820*L$4/100</f>
        <v>0</v>
      </c>
      <c r="M820" s="155">
        <f t="shared" si="813"/>
        <v>0</v>
      </c>
    </row>
    <row r="821">
      <c r="A821" s="152">
        <f t="shared" si="7"/>
        <v>0</v>
      </c>
      <c r="B821" s="153">
        <f t="shared" si="8"/>
        <v>0</v>
      </c>
      <c r="C821" s="153">
        <f t="shared" si="9"/>
        <v>0</v>
      </c>
      <c r="D821" s="186"/>
      <c r="E821" s="161"/>
      <c r="F821" s="156"/>
      <c r="G821" s="156"/>
      <c r="H821" s="156"/>
      <c r="I821" s="156"/>
      <c r="J821" s="156"/>
      <c r="K821" s="155">
        <v>0.0</v>
      </c>
      <c r="L821" s="155">
        <f t="shared" ref="L821:M821" si="814">$K821*L$4/100</f>
        <v>0</v>
      </c>
      <c r="M821" s="155">
        <f t="shared" si="814"/>
        <v>0</v>
      </c>
    </row>
    <row r="822">
      <c r="A822" s="152">
        <f t="shared" si="7"/>
        <v>0</v>
      </c>
      <c r="B822" s="153">
        <f t="shared" si="8"/>
        <v>0</v>
      </c>
      <c r="C822" s="153">
        <f t="shared" si="9"/>
        <v>0</v>
      </c>
      <c r="D822" s="186"/>
      <c r="E822" s="161"/>
      <c r="F822" s="156"/>
      <c r="G822" s="156"/>
      <c r="H822" s="156"/>
      <c r="I822" s="156"/>
      <c r="J822" s="156"/>
      <c r="K822" s="155">
        <v>0.0</v>
      </c>
      <c r="L822" s="155">
        <f t="shared" ref="L822:M822" si="815">$K822*L$4/100</f>
        <v>0</v>
      </c>
      <c r="M822" s="155">
        <f t="shared" si="815"/>
        <v>0</v>
      </c>
    </row>
    <row r="823">
      <c r="A823" s="152">
        <f t="shared" si="7"/>
        <v>0</v>
      </c>
      <c r="B823" s="153">
        <f t="shared" si="8"/>
        <v>0</v>
      </c>
      <c r="C823" s="153">
        <f t="shared" si="9"/>
        <v>0</v>
      </c>
      <c r="D823" s="186"/>
      <c r="E823" s="161"/>
      <c r="F823" s="156"/>
      <c r="G823" s="156"/>
      <c r="H823" s="156"/>
      <c r="I823" s="156"/>
      <c r="J823" s="156"/>
      <c r="K823" s="155">
        <v>0.0</v>
      </c>
      <c r="L823" s="155">
        <f t="shared" ref="L823:M823" si="816">$K823*L$4/100</f>
        <v>0</v>
      </c>
      <c r="M823" s="155">
        <f t="shared" si="816"/>
        <v>0</v>
      </c>
    </row>
    <row r="824">
      <c r="A824" s="152">
        <f t="shared" si="7"/>
        <v>0</v>
      </c>
      <c r="B824" s="153">
        <f t="shared" si="8"/>
        <v>0</v>
      </c>
      <c r="C824" s="153">
        <f t="shared" si="9"/>
        <v>0</v>
      </c>
      <c r="D824" s="186"/>
      <c r="E824" s="161"/>
      <c r="F824" s="156"/>
      <c r="G824" s="156"/>
      <c r="H824" s="156"/>
      <c r="I824" s="156"/>
      <c r="J824" s="156"/>
      <c r="K824" s="155">
        <v>0.0</v>
      </c>
      <c r="L824" s="155">
        <f t="shared" ref="L824:M824" si="817">$K824*L$4/100</f>
        <v>0</v>
      </c>
      <c r="M824" s="155">
        <f t="shared" si="817"/>
        <v>0</v>
      </c>
    </row>
    <row r="825">
      <c r="A825" s="152">
        <f t="shared" si="7"/>
        <v>0</v>
      </c>
      <c r="B825" s="153">
        <f t="shared" si="8"/>
        <v>0</v>
      </c>
      <c r="C825" s="153">
        <f t="shared" si="9"/>
        <v>0</v>
      </c>
      <c r="D825" s="186"/>
      <c r="E825" s="161"/>
      <c r="F825" s="156"/>
      <c r="G825" s="156"/>
      <c r="H825" s="156"/>
      <c r="I825" s="156"/>
      <c r="J825" s="156"/>
      <c r="K825" s="155">
        <v>0.0</v>
      </c>
      <c r="L825" s="155">
        <f t="shared" ref="L825:M825" si="818">$K825*L$4/100</f>
        <v>0</v>
      </c>
      <c r="M825" s="155">
        <f t="shared" si="818"/>
        <v>0</v>
      </c>
    </row>
    <row r="826">
      <c r="A826" s="152">
        <f t="shared" si="7"/>
        <v>0</v>
      </c>
      <c r="B826" s="153">
        <f t="shared" si="8"/>
        <v>0</v>
      </c>
      <c r="C826" s="153">
        <f t="shared" si="9"/>
        <v>0</v>
      </c>
      <c r="D826" s="186"/>
      <c r="E826" s="161"/>
      <c r="F826" s="156"/>
      <c r="G826" s="156"/>
      <c r="H826" s="156"/>
      <c r="I826" s="156"/>
      <c r="J826" s="156"/>
      <c r="K826" s="155">
        <v>0.0</v>
      </c>
      <c r="L826" s="155">
        <f t="shared" ref="L826:M826" si="819">$K826*L$4/100</f>
        <v>0</v>
      </c>
      <c r="M826" s="155">
        <f t="shared" si="819"/>
        <v>0</v>
      </c>
    </row>
    <row r="827">
      <c r="A827" s="152">
        <f t="shared" si="7"/>
        <v>0</v>
      </c>
      <c r="B827" s="153">
        <f t="shared" si="8"/>
        <v>0</v>
      </c>
      <c r="C827" s="153">
        <f t="shared" si="9"/>
        <v>0</v>
      </c>
      <c r="D827" s="186"/>
      <c r="E827" s="161"/>
      <c r="F827" s="156"/>
      <c r="G827" s="156"/>
      <c r="H827" s="156"/>
      <c r="I827" s="156"/>
      <c r="J827" s="156"/>
      <c r="K827" s="155">
        <v>0.0</v>
      </c>
      <c r="L827" s="155">
        <f t="shared" ref="L827:M827" si="820">$K827*L$4/100</f>
        <v>0</v>
      </c>
      <c r="M827" s="155">
        <f t="shared" si="820"/>
        <v>0</v>
      </c>
    </row>
    <row r="828">
      <c r="A828" s="152">
        <f t="shared" si="7"/>
        <v>0</v>
      </c>
      <c r="B828" s="153">
        <f t="shared" si="8"/>
        <v>0</v>
      </c>
      <c r="C828" s="153">
        <f t="shared" si="9"/>
        <v>0</v>
      </c>
      <c r="D828" s="186"/>
      <c r="E828" s="161"/>
      <c r="F828" s="156"/>
      <c r="G828" s="156"/>
      <c r="H828" s="156"/>
      <c r="I828" s="156"/>
      <c r="J828" s="156"/>
      <c r="K828" s="155">
        <v>0.0</v>
      </c>
      <c r="L828" s="155">
        <f t="shared" ref="L828:M828" si="821">$K828*L$4/100</f>
        <v>0</v>
      </c>
      <c r="M828" s="155">
        <f t="shared" si="821"/>
        <v>0</v>
      </c>
    </row>
    <row r="829">
      <c r="A829" s="152">
        <f t="shared" si="7"/>
        <v>0</v>
      </c>
      <c r="B829" s="153">
        <f t="shared" si="8"/>
        <v>0</v>
      </c>
      <c r="C829" s="153">
        <f t="shared" si="9"/>
        <v>0</v>
      </c>
      <c r="D829" s="186"/>
      <c r="E829" s="161"/>
      <c r="F829" s="156"/>
      <c r="G829" s="156"/>
      <c r="H829" s="156"/>
      <c r="I829" s="156"/>
      <c r="J829" s="156"/>
      <c r="K829" s="155">
        <v>0.0</v>
      </c>
      <c r="L829" s="155">
        <f t="shared" ref="L829:M829" si="822">$K829*L$4/100</f>
        <v>0</v>
      </c>
      <c r="M829" s="155">
        <f t="shared" si="822"/>
        <v>0</v>
      </c>
    </row>
    <row r="830">
      <c r="A830" s="152">
        <f t="shared" si="7"/>
        <v>0</v>
      </c>
      <c r="B830" s="153">
        <f t="shared" si="8"/>
        <v>0</v>
      </c>
      <c r="C830" s="153">
        <f t="shared" si="9"/>
        <v>0</v>
      </c>
      <c r="D830" s="186"/>
      <c r="E830" s="161"/>
      <c r="F830" s="156"/>
      <c r="G830" s="156"/>
      <c r="H830" s="156"/>
      <c r="I830" s="156"/>
      <c r="J830" s="156"/>
      <c r="K830" s="155">
        <v>0.0</v>
      </c>
      <c r="L830" s="155">
        <f t="shared" ref="L830:M830" si="823">$K830*L$4/100</f>
        <v>0</v>
      </c>
      <c r="M830" s="155">
        <f t="shared" si="823"/>
        <v>0</v>
      </c>
    </row>
    <row r="831">
      <c r="A831" s="152">
        <f t="shared" si="7"/>
        <v>0</v>
      </c>
      <c r="B831" s="153">
        <f t="shared" si="8"/>
        <v>0</v>
      </c>
      <c r="C831" s="153">
        <f t="shared" si="9"/>
        <v>0</v>
      </c>
      <c r="D831" s="186"/>
      <c r="E831" s="161"/>
      <c r="F831" s="156"/>
      <c r="G831" s="156"/>
      <c r="H831" s="156"/>
      <c r="I831" s="156"/>
      <c r="J831" s="156"/>
      <c r="K831" s="155">
        <v>0.0</v>
      </c>
      <c r="L831" s="155">
        <f t="shared" ref="L831:M831" si="824">$K831*L$4/100</f>
        <v>0</v>
      </c>
      <c r="M831" s="155">
        <f t="shared" si="824"/>
        <v>0</v>
      </c>
    </row>
    <row r="832">
      <c r="A832" s="152">
        <f t="shared" si="7"/>
        <v>0</v>
      </c>
      <c r="B832" s="153">
        <f t="shared" si="8"/>
        <v>0</v>
      </c>
      <c r="C832" s="153">
        <f t="shared" si="9"/>
        <v>0</v>
      </c>
      <c r="D832" s="186"/>
      <c r="E832" s="161"/>
      <c r="F832" s="156"/>
      <c r="G832" s="156"/>
      <c r="H832" s="156"/>
      <c r="I832" s="156"/>
      <c r="J832" s="156"/>
      <c r="K832" s="155">
        <v>0.0</v>
      </c>
      <c r="L832" s="155">
        <f t="shared" ref="L832:M832" si="825">$K832*L$4/100</f>
        <v>0</v>
      </c>
      <c r="M832" s="155">
        <f t="shared" si="825"/>
        <v>0</v>
      </c>
    </row>
    <row r="833">
      <c r="A833" s="152">
        <f t="shared" si="7"/>
        <v>0</v>
      </c>
      <c r="B833" s="153">
        <f t="shared" si="8"/>
        <v>0</v>
      </c>
      <c r="C833" s="153">
        <f t="shared" si="9"/>
        <v>0</v>
      </c>
      <c r="D833" s="186"/>
      <c r="E833" s="161"/>
      <c r="F833" s="156"/>
      <c r="G833" s="156"/>
      <c r="H833" s="156"/>
      <c r="I833" s="156"/>
      <c r="J833" s="156"/>
      <c r="K833" s="155">
        <v>0.0</v>
      </c>
      <c r="L833" s="155">
        <f t="shared" ref="L833:M833" si="826">$K833*L$4/100</f>
        <v>0</v>
      </c>
      <c r="M833" s="155">
        <f t="shared" si="826"/>
        <v>0</v>
      </c>
    </row>
    <row r="834">
      <c r="A834" s="152">
        <f t="shared" si="7"/>
        <v>0</v>
      </c>
      <c r="B834" s="153">
        <f t="shared" si="8"/>
        <v>0</v>
      </c>
      <c r="C834" s="153">
        <f t="shared" si="9"/>
        <v>0</v>
      </c>
      <c r="D834" s="186"/>
      <c r="E834" s="161"/>
      <c r="F834" s="156"/>
      <c r="G834" s="156"/>
      <c r="H834" s="156"/>
      <c r="I834" s="156"/>
      <c r="J834" s="156"/>
      <c r="K834" s="155">
        <v>0.0</v>
      </c>
      <c r="L834" s="155">
        <f t="shared" ref="L834:M834" si="827">$K834*L$4/100</f>
        <v>0</v>
      </c>
      <c r="M834" s="155">
        <f t="shared" si="827"/>
        <v>0</v>
      </c>
    </row>
    <row r="835">
      <c r="A835" s="152">
        <f t="shared" si="7"/>
        <v>0</v>
      </c>
      <c r="B835" s="153">
        <f t="shared" si="8"/>
        <v>0</v>
      </c>
      <c r="C835" s="153">
        <f t="shared" si="9"/>
        <v>0</v>
      </c>
      <c r="D835" s="186"/>
      <c r="E835" s="161"/>
      <c r="F835" s="156"/>
      <c r="G835" s="156"/>
      <c r="H835" s="156"/>
      <c r="I835" s="156"/>
      <c r="J835" s="156"/>
      <c r="K835" s="155">
        <v>0.0</v>
      </c>
      <c r="L835" s="155">
        <f t="shared" ref="L835:M835" si="828">$K835*L$4/100</f>
        <v>0</v>
      </c>
      <c r="M835" s="155">
        <f t="shared" si="828"/>
        <v>0</v>
      </c>
    </row>
    <row r="836">
      <c r="A836" s="152">
        <f t="shared" si="7"/>
        <v>0</v>
      </c>
      <c r="B836" s="153">
        <f t="shared" si="8"/>
        <v>0</v>
      </c>
      <c r="C836" s="153">
        <f t="shared" si="9"/>
        <v>0</v>
      </c>
      <c r="D836" s="186"/>
      <c r="E836" s="161"/>
      <c r="F836" s="156"/>
      <c r="G836" s="156"/>
      <c r="H836" s="156"/>
      <c r="I836" s="156"/>
      <c r="J836" s="156"/>
      <c r="K836" s="155">
        <v>0.0</v>
      </c>
      <c r="L836" s="155">
        <f t="shared" ref="L836:M836" si="829">$K836*L$4/100</f>
        <v>0</v>
      </c>
      <c r="M836" s="155">
        <f t="shared" si="829"/>
        <v>0</v>
      </c>
    </row>
    <row r="837">
      <c r="A837" s="152">
        <f t="shared" si="7"/>
        <v>0</v>
      </c>
      <c r="B837" s="153">
        <f t="shared" si="8"/>
        <v>0</v>
      </c>
      <c r="C837" s="153">
        <f t="shared" si="9"/>
        <v>0</v>
      </c>
      <c r="D837" s="186"/>
      <c r="E837" s="161"/>
      <c r="F837" s="156"/>
      <c r="G837" s="156"/>
      <c r="H837" s="156"/>
      <c r="I837" s="156"/>
      <c r="J837" s="156"/>
      <c r="K837" s="155">
        <v>0.0</v>
      </c>
      <c r="L837" s="155">
        <f t="shared" ref="L837:M837" si="830">$K837*L$4/100</f>
        <v>0</v>
      </c>
      <c r="M837" s="155">
        <f t="shared" si="830"/>
        <v>0</v>
      </c>
    </row>
    <row r="838">
      <c r="A838" s="152">
        <f t="shared" si="7"/>
        <v>0</v>
      </c>
      <c r="B838" s="153">
        <f t="shared" si="8"/>
        <v>0</v>
      </c>
      <c r="C838" s="153">
        <f t="shared" si="9"/>
        <v>0</v>
      </c>
      <c r="D838" s="186"/>
      <c r="E838" s="161"/>
      <c r="F838" s="156"/>
      <c r="G838" s="156"/>
      <c r="H838" s="156"/>
      <c r="I838" s="156"/>
      <c r="J838" s="156"/>
      <c r="K838" s="155">
        <v>0.0</v>
      </c>
      <c r="L838" s="155">
        <f t="shared" ref="L838:M838" si="831">$K838*L$4/100</f>
        <v>0</v>
      </c>
      <c r="M838" s="155">
        <f t="shared" si="831"/>
        <v>0</v>
      </c>
    </row>
    <row r="839">
      <c r="A839" s="152">
        <f t="shared" si="7"/>
        <v>0</v>
      </c>
      <c r="B839" s="153">
        <f t="shared" si="8"/>
        <v>0</v>
      </c>
      <c r="C839" s="153">
        <f t="shared" si="9"/>
        <v>0</v>
      </c>
      <c r="D839" s="186"/>
      <c r="E839" s="161"/>
      <c r="F839" s="156"/>
      <c r="G839" s="156"/>
      <c r="H839" s="156"/>
      <c r="I839" s="156"/>
      <c r="J839" s="156"/>
      <c r="K839" s="155">
        <v>0.0</v>
      </c>
      <c r="L839" s="155">
        <f t="shared" ref="L839:M839" si="832">$K839*L$4/100</f>
        <v>0</v>
      </c>
      <c r="M839" s="155">
        <f t="shared" si="832"/>
        <v>0</v>
      </c>
    </row>
    <row r="840">
      <c r="A840" s="152">
        <f t="shared" si="7"/>
        <v>0</v>
      </c>
      <c r="B840" s="153">
        <f t="shared" si="8"/>
        <v>0</v>
      </c>
      <c r="C840" s="153">
        <f t="shared" si="9"/>
        <v>0</v>
      </c>
      <c r="D840" s="186"/>
      <c r="E840" s="161"/>
      <c r="F840" s="156"/>
      <c r="G840" s="156"/>
      <c r="H840" s="156"/>
      <c r="I840" s="156"/>
      <c r="J840" s="156"/>
      <c r="K840" s="155">
        <v>0.0</v>
      </c>
      <c r="L840" s="155">
        <f t="shared" ref="L840:M840" si="833">$K840*L$4/100</f>
        <v>0</v>
      </c>
      <c r="M840" s="155">
        <f t="shared" si="833"/>
        <v>0</v>
      </c>
    </row>
    <row r="841">
      <c r="A841" s="152">
        <f t="shared" si="7"/>
        <v>0</v>
      </c>
      <c r="B841" s="153">
        <f t="shared" si="8"/>
        <v>0</v>
      </c>
      <c r="C841" s="153">
        <f t="shared" si="9"/>
        <v>0</v>
      </c>
      <c r="D841" s="186"/>
      <c r="E841" s="161"/>
      <c r="F841" s="156"/>
      <c r="G841" s="156"/>
      <c r="H841" s="156"/>
      <c r="I841" s="156"/>
      <c r="J841" s="156"/>
      <c r="K841" s="155">
        <v>0.0</v>
      </c>
      <c r="L841" s="155">
        <f t="shared" ref="L841:M841" si="834">$K841*L$4/100</f>
        <v>0</v>
      </c>
      <c r="M841" s="155">
        <f t="shared" si="834"/>
        <v>0</v>
      </c>
    </row>
    <row r="842">
      <c r="A842" s="152">
        <f t="shared" si="7"/>
        <v>0</v>
      </c>
      <c r="B842" s="153">
        <f t="shared" si="8"/>
        <v>0</v>
      </c>
      <c r="C842" s="153">
        <f t="shared" si="9"/>
        <v>0</v>
      </c>
      <c r="D842" s="186"/>
      <c r="E842" s="161"/>
      <c r="F842" s="156"/>
      <c r="G842" s="156"/>
      <c r="H842" s="156"/>
      <c r="I842" s="156"/>
      <c r="J842" s="156"/>
      <c r="K842" s="155">
        <v>0.0</v>
      </c>
      <c r="L842" s="155">
        <f t="shared" ref="L842:M842" si="835">$K842*L$4/100</f>
        <v>0</v>
      </c>
      <c r="M842" s="155">
        <f t="shared" si="835"/>
        <v>0</v>
      </c>
    </row>
    <row r="843">
      <c r="A843" s="152">
        <f t="shared" si="7"/>
        <v>0</v>
      </c>
      <c r="B843" s="153">
        <f t="shared" si="8"/>
        <v>0</v>
      </c>
      <c r="C843" s="153">
        <f t="shared" si="9"/>
        <v>0</v>
      </c>
      <c r="D843" s="186"/>
      <c r="E843" s="161"/>
      <c r="F843" s="156"/>
      <c r="G843" s="156"/>
      <c r="H843" s="156"/>
      <c r="I843" s="156"/>
      <c r="J843" s="156"/>
      <c r="K843" s="155">
        <v>0.0</v>
      </c>
      <c r="L843" s="155">
        <f t="shared" ref="L843:M843" si="836">$K843*L$4/100</f>
        <v>0</v>
      </c>
      <c r="M843" s="155">
        <f t="shared" si="836"/>
        <v>0</v>
      </c>
    </row>
    <row r="844">
      <c r="A844" s="152">
        <f t="shared" si="7"/>
        <v>0</v>
      </c>
      <c r="B844" s="153">
        <f t="shared" si="8"/>
        <v>0</v>
      </c>
      <c r="C844" s="153">
        <f t="shared" si="9"/>
        <v>0</v>
      </c>
      <c r="D844" s="186"/>
      <c r="E844" s="161"/>
      <c r="F844" s="156"/>
      <c r="G844" s="156"/>
      <c r="H844" s="156"/>
      <c r="I844" s="156"/>
      <c r="J844" s="156"/>
      <c r="K844" s="155">
        <v>0.0</v>
      </c>
      <c r="L844" s="155">
        <f t="shared" ref="L844:M844" si="837">$K844*L$4/100</f>
        <v>0</v>
      </c>
      <c r="M844" s="155">
        <f t="shared" si="837"/>
        <v>0</v>
      </c>
    </row>
    <row r="845">
      <c r="A845" s="152">
        <f t="shared" si="7"/>
        <v>0</v>
      </c>
      <c r="B845" s="153">
        <f t="shared" si="8"/>
        <v>0</v>
      </c>
      <c r="C845" s="153">
        <f t="shared" si="9"/>
        <v>0</v>
      </c>
      <c r="D845" s="186"/>
      <c r="E845" s="161"/>
      <c r="F845" s="156"/>
      <c r="G845" s="156"/>
      <c r="H845" s="156"/>
      <c r="I845" s="156"/>
      <c r="J845" s="156"/>
      <c r="K845" s="155">
        <v>0.0</v>
      </c>
      <c r="L845" s="155">
        <f t="shared" ref="L845:M845" si="838">$K845*L$4/100</f>
        <v>0</v>
      </c>
      <c r="M845" s="155">
        <f t="shared" si="838"/>
        <v>0</v>
      </c>
    </row>
    <row r="846">
      <c r="A846" s="152">
        <f t="shared" si="7"/>
        <v>0</v>
      </c>
      <c r="B846" s="153">
        <f t="shared" si="8"/>
        <v>0</v>
      </c>
      <c r="C846" s="153">
        <f t="shared" si="9"/>
        <v>0</v>
      </c>
      <c r="D846" s="186"/>
      <c r="E846" s="161"/>
      <c r="F846" s="156"/>
      <c r="G846" s="156"/>
      <c r="H846" s="156"/>
      <c r="I846" s="156"/>
      <c r="J846" s="156"/>
      <c r="K846" s="155">
        <v>0.0</v>
      </c>
      <c r="L846" s="155">
        <f t="shared" ref="L846:M846" si="839">$K846*L$4/100</f>
        <v>0</v>
      </c>
      <c r="M846" s="155">
        <f t="shared" si="839"/>
        <v>0</v>
      </c>
    </row>
    <row r="847">
      <c r="A847" s="152">
        <f t="shared" si="7"/>
        <v>0</v>
      </c>
      <c r="B847" s="153">
        <f t="shared" si="8"/>
        <v>0</v>
      </c>
      <c r="C847" s="153">
        <f t="shared" si="9"/>
        <v>0</v>
      </c>
      <c r="D847" s="186"/>
      <c r="E847" s="161"/>
      <c r="F847" s="156"/>
      <c r="G847" s="156"/>
      <c r="H847" s="156"/>
      <c r="I847" s="156"/>
      <c r="J847" s="156"/>
      <c r="K847" s="155">
        <v>0.0</v>
      </c>
      <c r="L847" s="155">
        <f t="shared" ref="L847:M847" si="840">$K847*L$4/100</f>
        <v>0</v>
      </c>
      <c r="M847" s="155">
        <f t="shared" si="840"/>
        <v>0</v>
      </c>
    </row>
    <row r="848">
      <c r="A848" s="152">
        <f t="shared" si="7"/>
        <v>0</v>
      </c>
      <c r="B848" s="153">
        <f t="shared" si="8"/>
        <v>0</v>
      </c>
      <c r="C848" s="153">
        <f t="shared" si="9"/>
        <v>0</v>
      </c>
      <c r="D848" s="186"/>
      <c r="E848" s="161"/>
      <c r="F848" s="156"/>
      <c r="G848" s="156"/>
      <c r="H848" s="156"/>
      <c r="I848" s="156"/>
      <c r="J848" s="156"/>
      <c r="K848" s="155">
        <v>0.0</v>
      </c>
      <c r="L848" s="155">
        <f t="shared" ref="L848:M848" si="841">$K848*L$4/100</f>
        <v>0</v>
      </c>
      <c r="M848" s="155">
        <f t="shared" si="841"/>
        <v>0</v>
      </c>
    </row>
    <row r="849">
      <c r="A849" s="152">
        <f t="shared" si="7"/>
        <v>0</v>
      </c>
      <c r="B849" s="153">
        <f t="shared" si="8"/>
        <v>0</v>
      </c>
      <c r="C849" s="153">
        <f t="shared" si="9"/>
        <v>0</v>
      </c>
      <c r="D849" s="186"/>
      <c r="E849" s="161"/>
      <c r="F849" s="156"/>
      <c r="G849" s="156"/>
      <c r="H849" s="156"/>
      <c r="I849" s="156"/>
      <c r="J849" s="156"/>
      <c r="K849" s="155">
        <v>0.0</v>
      </c>
      <c r="L849" s="155">
        <f t="shared" ref="L849:M849" si="842">$K849*L$4/100</f>
        <v>0</v>
      </c>
      <c r="M849" s="155">
        <f t="shared" si="842"/>
        <v>0</v>
      </c>
    </row>
    <row r="850">
      <c r="A850" s="152">
        <f t="shared" si="7"/>
        <v>0</v>
      </c>
      <c r="B850" s="153">
        <f t="shared" si="8"/>
        <v>0</v>
      </c>
      <c r="C850" s="153">
        <f t="shared" si="9"/>
        <v>0</v>
      </c>
      <c r="D850" s="186"/>
      <c r="E850" s="161"/>
      <c r="F850" s="156"/>
      <c r="G850" s="156"/>
      <c r="H850" s="156"/>
      <c r="I850" s="156"/>
      <c r="J850" s="156"/>
      <c r="K850" s="155">
        <v>0.0</v>
      </c>
      <c r="L850" s="155">
        <f t="shared" ref="L850:M850" si="843">$K850*L$4/100</f>
        <v>0</v>
      </c>
      <c r="M850" s="155">
        <f t="shared" si="843"/>
        <v>0</v>
      </c>
    </row>
    <row r="851">
      <c r="A851" s="152">
        <f t="shared" si="7"/>
        <v>0</v>
      </c>
      <c r="B851" s="153">
        <f t="shared" si="8"/>
        <v>0</v>
      </c>
      <c r="C851" s="153">
        <f t="shared" si="9"/>
        <v>0</v>
      </c>
      <c r="D851" s="186"/>
      <c r="E851" s="161"/>
      <c r="F851" s="156"/>
      <c r="G851" s="156"/>
      <c r="H851" s="156"/>
      <c r="I851" s="156"/>
      <c r="J851" s="156"/>
      <c r="K851" s="155">
        <v>0.0</v>
      </c>
      <c r="L851" s="155">
        <f t="shared" ref="L851:M851" si="844">$K851*L$4/100</f>
        <v>0</v>
      </c>
      <c r="M851" s="155">
        <f t="shared" si="844"/>
        <v>0</v>
      </c>
    </row>
    <row r="852">
      <c r="A852" s="152">
        <f t="shared" si="7"/>
        <v>0</v>
      </c>
      <c r="B852" s="153">
        <f t="shared" si="8"/>
        <v>0</v>
      </c>
      <c r="C852" s="153">
        <f t="shared" si="9"/>
        <v>0</v>
      </c>
      <c r="D852" s="186"/>
      <c r="E852" s="161"/>
      <c r="F852" s="156"/>
      <c r="G852" s="156"/>
      <c r="H852" s="156"/>
      <c r="I852" s="156"/>
      <c r="J852" s="156"/>
      <c r="K852" s="155">
        <v>0.0</v>
      </c>
      <c r="L852" s="155">
        <f t="shared" ref="L852:M852" si="845">$K852*L$4/100</f>
        <v>0</v>
      </c>
      <c r="M852" s="155">
        <f t="shared" si="845"/>
        <v>0</v>
      </c>
    </row>
    <row r="853">
      <c r="A853" s="152">
        <f t="shared" si="7"/>
        <v>0</v>
      </c>
      <c r="B853" s="153">
        <f t="shared" si="8"/>
        <v>0</v>
      </c>
      <c r="C853" s="153">
        <f t="shared" si="9"/>
        <v>0</v>
      </c>
      <c r="D853" s="186"/>
      <c r="E853" s="161"/>
      <c r="F853" s="156"/>
      <c r="G853" s="156"/>
      <c r="H853" s="156"/>
      <c r="I853" s="156"/>
      <c r="J853" s="156"/>
      <c r="K853" s="155">
        <v>0.0</v>
      </c>
      <c r="L853" s="155">
        <f t="shared" ref="L853:M853" si="846">$K853*L$4/100</f>
        <v>0</v>
      </c>
      <c r="M853" s="155">
        <f t="shared" si="846"/>
        <v>0</v>
      </c>
    </row>
    <row r="854">
      <c r="A854" s="152">
        <f t="shared" si="7"/>
        <v>0</v>
      </c>
      <c r="B854" s="153">
        <f t="shared" si="8"/>
        <v>0</v>
      </c>
      <c r="C854" s="153">
        <f t="shared" si="9"/>
        <v>0</v>
      </c>
      <c r="D854" s="186"/>
      <c r="E854" s="161"/>
      <c r="F854" s="156"/>
      <c r="G854" s="156"/>
      <c r="H854" s="156"/>
      <c r="I854" s="156"/>
      <c r="J854" s="156"/>
      <c r="K854" s="155">
        <v>0.0</v>
      </c>
      <c r="L854" s="155">
        <f t="shared" ref="L854:M854" si="847">$K854*L$4/100</f>
        <v>0</v>
      </c>
      <c r="M854" s="155">
        <f t="shared" si="847"/>
        <v>0</v>
      </c>
    </row>
    <row r="855">
      <c r="A855" s="152">
        <f t="shared" si="7"/>
        <v>0</v>
      </c>
      <c r="B855" s="153">
        <f t="shared" si="8"/>
        <v>0</v>
      </c>
      <c r="C855" s="153">
        <f t="shared" si="9"/>
        <v>0</v>
      </c>
      <c r="D855" s="186"/>
      <c r="E855" s="161"/>
      <c r="F855" s="156"/>
      <c r="G855" s="156"/>
      <c r="H855" s="156"/>
      <c r="I855" s="156"/>
      <c r="J855" s="156"/>
      <c r="K855" s="155">
        <v>0.0</v>
      </c>
      <c r="L855" s="155">
        <f t="shared" ref="L855:M855" si="848">$K855*L$4/100</f>
        <v>0</v>
      </c>
      <c r="M855" s="155">
        <f t="shared" si="848"/>
        <v>0</v>
      </c>
    </row>
    <row r="856">
      <c r="A856" s="152">
        <f t="shared" si="7"/>
        <v>0</v>
      </c>
      <c r="B856" s="153">
        <f t="shared" si="8"/>
        <v>0</v>
      </c>
      <c r="C856" s="153">
        <f t="shared" si="9"/>
        <v>0</v>
      </c>
      <c r="D856" s="186"/>
      <c r="E856" s="161"/>
      <c r="F856" s="156"/>
      <c r="G856" s="156"/>
      <c r="H856" s="156"/>
      <c r="I856" s="156"/>
      <c r="J856" s="156"/>
      <c r="K856" s="155">
        <v>0.0</v>
      </c>
      <c r="L856" s="155">
        <f t="shared" ref="L856:M856" si="849">$K856*L$4/100</f>
        <v>0</v>
      </c>
      <c r="M856" s="155">
        <f t="shared" si="849"/>
        <v>0</v>
      </c>
    </row>
    <row r="857">
      <c r="A857" s="152">
        <f t="shared" si="7"/>
        <v>0</v>
      </c>
      <c r="B857" s="153">
        <f t="shared" si="8"/>
        <v>0</v>
      </c>
      <c r="C857" s="153">
        <f t="shared" si="9"/>
        <v>0</v>
      </c>
      <c r="D857" s="186"/>
      <c r="E857" s="161"/>
      <c r="F857" s="156"/>
      <c r="G857" s="156"/>
      <c r="H857" s="156"/>
      <c r="I857" s="156"/>
      <c r="J857" s="156"/>
      <c r="K857" s="155">
        <v>0.0</v>
      </c>
      <c r="L857" s="155">
        <f t="shared" ref="L857:M857" si="850">$K857*L$4/100</f>
        <v>0</v>
      </c>
      <c r="M857" s="155">
        <f t="shared" si="850"/>
        <v>0</v>
      </c>
    </row>
    <row r="858">
      <c r="A858" s="152">
        <f t="shared" si="7"/>
        <v>0</v>
      </c>
      <c r="B858" s="153">
        <f t="shared" si="8"/>
        <v>0</v>
      </c>
      <c r="C858" s="153">
        <f t="shared" si="9"/>
        <v>0</v>
      </c>
      <c r="D858" s="186"/>
      <c r="E858" s="161"/>
      <c r="F858" s="156"/>
      <c r="G858" s="156"/>
      <c r="H858" s="156"/>
      <c r="I858" s="156"/>
      <c r="J858" s="156"/>
      <c r="K858" s="155">
        <v>0.0</v>
      </c>
      <c r="L858" s="155">
        <f t="shared" ref="L858:M858" si="851">$K858*L$4/100</f>
        <v>0</v>
      </c>
      <c r="M858" s="155">
        <f t="shared" si="851"/>
        <v>0</v>
      </c>
    </row>
    <row r="859">
      <c r="A859" s="152">
        <f t="shared" si="7"/>
        <v>0</v>
      </c>
      <c r="B859" s="153">
        <f t="shared" si="8"/>
        <v>0</v>
      </c>
      <c r="C859" s="153">
        <f t="shared" si="9"/>
        <v>0</v>
      </c>
      <c r="D859" s="186"/>
      <c r="E859" s="161"/>
      <c r="F859" s="156"/>
      <c r="G859" s="156"/>
      <c r="H859" s="156"/>
      <c r="I859" s="156"/>
      <c r="J859" s="156"/>
      <c r="K859" s="155">
        <v>0.0</v>
      </c>
      <c r="L859" s="155">
        <f t="shared" ref="L859:M859" si="852">$K859*L$4/100</f>
        <v>0</v>
      </c>
      <c r="M859" s="155">
        <f t="shared" si="852"/>
        <v>0</v>
      </c>
    </row>
    <row r="860">
      <c r="A860" s="152">
        <f t="shared" si="7"/>
        <v>0</v>
      </c>
      <c r="B860" s="153">
        <f t="shared" si="8"/>
        <v>0</v>
      </c>
      <c r="C860" s="153">
        <f t="shared" si="9"/>
        <v>0</v>
      </c>
      <c r="D860" s="186"/>
      <c r="E860" s="161"/>
      <c r="F860" s="156"/>
      <c r="G860" s="156"/>
      <c r="H860" s="156"/>
      <c r="I860" s="156"/>
      <c r="J860" s="156"/>
      <c r="K860" s="155">
        <v>0.0</v>
      </c>
      <c r="L860" s="155">
        <f t="shared" ref="L860:M860" si="853">$K860*L$4/100</f>
        <v>0</v>
      </c>
      <c r="M860" s="155">
        <f t="shared" si="853"/>
        <v>0</v>
      </c>
    </row>
    <row r="861">
      <c r="A861" s="152">
        <f t="shared" si="7"/>
        <v>0</v>
      </c>
      <c r="B861" s="153">
        <f t="shared" si="8"/>
        <v>0</v>
      </c>
      <c r="C861" s="153">
        <f t="shared" si="9"/>
        <v>0</v>
      </c>
      <c r="D861" s="186"/>
      <c r="E861" s="161"/>
      <c r="F861" s="156"/>
      <c r="G861" s="156"/>
      <c r="H861" s="156"/>
      <c r="I861" s="156"/>
      <c r="J861" s="156"/>
      <c r="K861" s="155">
        <v>0.0</v>
      </c>
      <c r="L861" s="155">
        <f t="shared" ref="L861:M861" si="854">$K861*L$4/100</f>
        <v>0</v>
      </c>
      <c r="M861" s="155">
        <f t="shared" si="854"/>
        <v>0</v>
      </c>
    </row>
    <row r="862">
      <c r="A862" s="152">
        <f t="shared" si="7"/>
        <v>0</v>
      </c>
      <c r="B862" s="153">
        <f t="shared" si="8"/>
        <v>0</v>
      </c>
      <c r="C862" s="153">
        <f t="shared" si="9"/>
        <v>0</v>
      </c>
      <c r="D862" s="186"/>
      <c r="E862" s="161"/>
      <c r="F862" s="156"/>
      <c r="G862" s="156"/>
      <c r="H862" s="156"/>
      <c r="I862" s="156"/>
      <c r="J862" s="156"/>
      <c r="K862" s="155">
        <v>0.0</v>
      </c>
      <c r="L862" s="155">
        <f t="shared" ref="L862:M862" si="855">$K862*L$4/100</f>
        <v>0</v>
      </c>
      <c r="M862" s="155">
        <f t="shared" si="855"/>
        <v>0</v>
      </c>
    </row>
    <row r="863">
      <c r="A863" s="152">
        <f t="shared" si="7"/>
        <v>0</v>
      </c>
      <c r="B863" s="153">
        <f t="shared" si="8"/>
        <v>0</v>
      </c>
      <c r="C863" s="153">
        <f t="shared" si="9"/>
        <v>0</v>
      </c>
      <c r="D863" s="186"/>
      <c r="E863" s="161"/>
      <c r="F863" s="156"/>
      <c r="G863" s="156"/>
      <c r="H863" s="156"/>
      <c r="I863" s="156"/>
      <c r="J863" s="156"/>
      <c r="K863" s="155">
        <v>0.0</v>
      </c>
      <c r="L863" s="155">
        <f t="shared" ref="L863:M863" si="856">$K863*L$4/100</f>
        <v>0</v>
      </c>
      <c r="M863" s="155">
        <f t="shared" si="856"/>
        <v>0</v>
      </c>
    </row>
    <row r="864">
      <c r="A864" s="152">
        <f t="shared" si="7"/>
        <v>0</v>
      </c>
      <c r="B864" s="153">
        <f t="shared" si="8"/>
        <v>0</v>
      </c>
      <c r="C864" s="153">
        <f t="shared" si="9"/>
        <v>0</v>
      </c>
      <c r="D864" s="186"/>
      <c r="E864" s="161"/>
      <c r="F864" s="156"/>
      <c r="G864" s="156"/>
      <c r="H864" s="156"/>
      <c r="I864" s="156"/>
      <c r="J864" s="156"/>
      <c r="K864" s="155">
        <v>0.0</v>
      </c>
      <c r="L864" s="155">
        <f t="shared" ref="L864:M864" si="857">$K864*L$4/100</f>
        <v>0</v>
      </c>
      <c r="M864" s="155">
        <f t="shared" si="857"/>
        <v>0</v>
      </c>
    </row>
    <row r="865">
      <c r="A865" s="152">
        <f t="shared" si="7"/>
        <v>0</v>
      </c>
      <c r="B865" s="153">
        <f t="shared" si="8"/>
        <v>0</v>
      </c>
      <c r="C865" s="153">
        <f t="shared" si="9"/>
        <v>0</v>
      </c>
      <c r="D865" s="186"/>
      <c r="E865" s="161"/>
      <c r="F865" s="156"/>
      <c r="G865" s="156"/>
      <c r="H865" s="156"/>
      <c r="I865" s="156"/>
      <c r="J865" s="156"/>
      <c r="K865" s="155">
        <v>0.0</v>
      </c>
      <c r="L865" s="155">
        <f t="shared" ref="L865:M865" si="858">$K865*L$4/100</f>
        <v>0</v>
      </c>
      <c r="M865" s="155">
        <f t="shared" si="858"/>
        <v>0</v>
      </c>
    </row>
    <row r="866">
      <c r="A866" s="152">
        <f t="shared" si="7"/>
        <v>0</v>
      </c>
      <c r="B866" s="153">
        <f t="shared" si="8"/>
        <v>0</v>
      </c>
      <c r="C866" s="153">
        <f t="shared" si="9"/>
        <v>0</v>
      </c>
      <c r="D866" s="186"/>
      <c r="E866" s="161"/>
      <c r="F866" s="156"/>
      <c r="G866" s="156"/>
      <c r="H866" s="156"/>
      <c r="I866" s="156"/>
      <c r="J866" s="156"/>
      <c r="K866" s="155">
        <v>0.0</v>
      </c>
      <c r="L866" s="155">
        <f t="shared" ref="L866:M866" si="859">$K866*L$4/100</f>
        <v>0</v>
      </c>
      <c r="M866" s="155">
        <f t="shared" si="859"/>
        <v>0</v>
      </c>
    </row>
    <row r="867">
      <c r="A867" s="152">
        <f t="shared" si="7"/>
        <v>0</v>
      </c>
      <c r="B867" s="153">
        <f t="shared" si="8"/>
        <v>0</v>
      </c>
      <c r="C867" s="153">
        <f t="shared" si="9"/>
        <v>0</v>
      </c>
      <c r="D867" s="186"/>
      <c r="E867" s="161"/>
      <c r="F867" s="156"/>
      <c r="G867" s="156"/>
      <c r="H867" s="156"/>
      <c r="I867" s="156"/>
      <c r="J867" s="156"/>
      <c r="K867" s="155">
        <v>0.0</v>
      </c>
      <c r="L867" s="155">
        <f t="shared" ref="L867:M867" si="860">$K867*L$4/100</f>
        <v>0</v>
      </c>
      <c r="M867" s="155">
        <f t="shared" si="860"/>
        <v>0</v>
      </c>
    </row>
    <row r="868">
      <c r="A868" s="152">
        <f t="shared" si="7"/>
        <v>0</v>
      </c>
      <c r="B868" s="153">
        <f t="shared" si="8"/>
        <v>0</v>
      </c>
      <c r="C868" s="153">
        <f t="shared" si="9"/>
        <v>0</v>
      </c>
      <c r="D868" s="186"/>
      <c r="E868" s="161"/>
      <c r="F868" s="156"/>
      <c r="G868" s="156"/>
      <c r="H868" s="156"/>
      <c r="I868" s="156"/>
      <c r="J868" s="156"/>
      <c r="K868" s="155">
        <v>0.0</v>
      </c>
      <c r="L868" s="155">
        <f t="shared" ref="L868:M868" si="861">$K868*L$4/100</f>
        <v>0</v>
      </c>
      <c r="M868" s="155">
        <f t="shared" si="861"/>
        <v>0</v>
      </c>
    </row>
    <row r="869">
      <c r="A869" s="152">
        <f t="shared" si="7"/>
        <v>0</v>
      </c>
      <c r="B869" s="153">
        <f t="shared" si="8"/>
        <v>0</v>
      </c>
      <c r="C869" s="153">
        <f t="shared" si="9"/>
        <v>0</v>
      </c>
      <c r="D869" s="186"/>
      <c r="E869" s="161"/>
      <c r="F869" s="156"/>
      <c r="G869" s="156"/>
      <c r="H869" s="156"/>
      <c r="I869" s="156"/>
      <c r="J869" s="156"/>
      <c r="K869" s="155">
        <v>0.0</v>
      </c>
      <c r="L869" s="155">
        <f t="shared" ref="L869:M869" si="862">$K869*L$4/100</f>
        <v>0</v>
      </c>
      <c r="M869" s="155">
        <f t="shared" si="862"/>
        <v>0</v>
      </c>
    </row>
    <row r="870">
      <c r="A870" s="152">
        <f t="shared" si="7"/>
        <v>0</v>
      </c>
      <c r="B870" s="153">
        <f t="shared" si="8"/>
        <v>0</v>
      </c>
      <c r="C870" s="153">
        <f t="shared" si="9"/>
        <v>0</v>
      </c>
      <c r="D870" s="186"/>
      <c r="E870" s="161"/>
      <c r="F870" s="156"/>
      <c r="G870" s="156"/>
      <c r="H870" s="156"/>
      <c r="I870" s="156"/>
      <c r="J870" s="156"/>
      <c r="K870" s="155">
        <v>0.0</v>
      </c>
      <c r="L870" s="155">
        <f t="shared" ref="L870:M870" si="863">$K870*L$4/100</f>
        <v>0</v>
      </c>
      <c r="M870" s="155">
        <f t="shared" si="863"/>
        <v>0</v>
      </c>
    </row>
    <row r="871">
      <c r="A871" s="152">
        <f t="shared" si="7"/>
        <v>0</v>
      </c>
      <c r="B871" s="153">
        <f t="shared" si="8"/>
        <v>0</v>
      </c>
      <c r="C871" s="153">
        <f t="shared" si="9"/>
        <v>0</v>
      </c>
      <c r="D871" s="186"/>
      <c r="E871" s="161"/>
      <c r="F871" s="156"/>
      <c r="G871" s="156"/>
      <c r="H871" s="156"/>
      <c r="I871" s="156"/>
      <c r="J871" s="156"/>
      <c r="K871" s="155">
        <v>0.0</v>
      </c>
      <c r="L871" s="155">
        <f t="shared" ref="L871:M871" si="864">$K871*L$4/100</f>
        <v>0</v>
      </c>
      <c r="M871" s="155">
        <f t="shared" si="864"/>
        <v>0</v>
      </c>
    </row>
    <row r="872">
      <c r="A872" s="152">
        <f t="shared" si="7"/>
        <v>0</v>
      </c>
      <c r="B872" s="153">
        <f t="shared" si="8"/>
        <v>0</v>
      </c>
      <c r="C872" s="153">
        <f t="shared" si="9"/>
        <v>0</v>
      </c>
      <c r="D872" s="186"/>
      <c r="E872" s="161"/>
      <c r="F872" s="156"/>
      <c r="G872" s="156"/>
      <c r="H872" s="156"/>
      <c r="I872" s="156"/>
      <c r="J872" s="156"/>
      <c r="K872" s="155">
        <v>0.0</v>
      </c>
      <c r="L872" s="155">
        <f t="shared" ref="L872:M872" si="865">$K872*L$4/100</f>
        <v>0</v>
      </c>
      <c r="M872" s="155">
        <f t="shared" si="865"/>
        <v>0</v>
      </c>
    </row>
    <row r="873">
      <c r="A873" s="152">
        <f t="shared" si="7"/>
        <v>0</v>
      </c>
      <c r="B873" s="153">
        <f t="shared" si="8"/>
        <v>0</v>
      </c>
      <c r="C873" s="153">
        <f t="shared" si="9"/>
        <v>0</v>
      </c>
      <c r="D873" s="186"/>
      <c r="E873" s="161"/>
      <c r="F873" s="156"/>
      <c r="G873" s="156"/>
      <c r="H873" s="156"/>
      <c r="I873" s="156"/>
      <c r="J873" s="156"/>
      <c r="K873" s="155">
        <v>0.0</v>
      </c>
      <c r="L873" s="155">
        <f t="shared" ref="L873:M873" si="866">$K873*L$4/100</f>
        <v>0</v>
      </c>
      <c r="M873" s="155">
        <f t="shared" si="866"/>
        <v>0</v>
      </c>
    </row>
    <row r="874">
      <c r="A874" s="152">
        <f t="shared" si="7"/>
        <v>0</v>
      </c>
      <c r="B874" s="153">
        <f t="shared" si="8"/>
        <v>0</v>
      </c>
      <c r="C874" s="153">
        <f t="shared" si="9"/>
        <v>0</v>
      </c>
      <c r="D874" s="186"/>
      <c r="E874" s="161"/>
      <c r="F874" s="156"/>
      <c r="G874" s="156"/>
      <c r="H874" s="156"/>
      <c r="I874" s="156"/>
      <c r="J874" s="156"/>
      <c r="K874" s="155">
        <v>0.0</v>
      </c>
      <c r="L874" s="155">
        <f t="shared" ref="L874:M874" si="867">$K874*L$4/100</f>
        <v>0</v>
      </c>
      <c r="M874" s="155">
        <f t="shared" si="867"/>
        <v>0</v>
      </c>
    </row>
    <row r="875">
      <c r="A875" s="152">
        <f t="shared" si="7"/>
        <v>0</v>
      </c>
      <c r="B875" s="153">
        <f t="shared" si="8"/>
        <v>0</v>
      </c>
      <c r="C875" s="153">
        <f t="shared" si="9"/>
        <v>0</v>
      </c>
      <c r="D875" s="186"/>
      <c r="E875" s="161"/>
      <c r="F875" s="156"/>
      <c r="G875" s="156"/>
      <c r="H875" s="156"/>
      <c r="I875" s="156"/>
      <c r="J875" s="156"/>
      <c r="K875" s="155">
        <v>0.0</v>
      </c>
      <c r="L875" s="155">
        <f t="shared" ref="L875:M875" si="868">$K875*L$4/100</f>
        <v>0</v>
      </c>
      <c r="M875" s="155">
        <f t="shared" si="868"/>
        <v>0</v>
      </c>
    </row>
    <row r="876">
      <c r="A876" s="152">
        <f t="shared" si="7"/>
        <v>0</v>
      </c>
      <c r="B876" s="153">
        <f t="shared" si="8"/>
        <v>0</v>
      </c>
      <c r="C876" s="153">
        <f t="shared" si="9"/>
        <v>0</v>
      </c>
      <c r="D876" s="186"/>
      <c r="E876" s="161"/>
      <c r="F876" s="156"/>
      <c r="G876" s="156"/>
      <c r="H876" s="156"/>
      <c r="I876" s="156"/>
      <c r="J876" s="156"/>
      <c r="K876" s="155">
        <v>0.0</v>
      </c>
      <c r="L876" s="155">
        <f t="shared" ref="L876:M876" si="869">$K876*L$4/100</f>
        <v>0</v>
      </c>
      <c r="M876" s="155">
        <f t="shared" si="869"/>
        <v>0</v>
      </c>
    </row>
    <row r="877">
      <c r="A877" s="152">
        <f t="shared" si="7"/>
        <v>0</v>
      </c>
      <c r="B877" s="153">
        <f t="shared" si="8"/>
        <v>0</v>
      </c>
      <c r="C877" s="153">
        <f t="shared" si="9"/>
        <v>0</v>
      </c>
      <c r="D877" s="186"/>
      <c r="E877" s="161"/>
      <c r="F877" s="156"/>
      <c r="G877" s="156"/>
      <c r="H877" s="156"/>
      <c r="I877" s="156"/>
      <c r="J877" s="156"/>
      <c r="K877" s="155">
        <v>0.0</v>
      </c>
      <c r="L877" s="155">
        <f t="shared" ref="L877:M877" si="870">$K877*L$4/100</f>
        <v>0</v>
      </c>
      <c r="M877" s="155">
        <f t="shared" si="870"/>
        <v>0</v>
      </c>
    </row>
    <row r="878">
      <c r="A878" s="152">
        <f t="shared" si="7"/>
        <v>0</v>
      </c>
      <c r="B878" s="153">
        <f t="shared" si="8"/>
        <v>0</v>
      </c>
      <c r="C878" s="153">
        <f t="shared" si="9"/>
        <v>0</v>
      </c>
      <c r="D878" s="186"/>
      <c r="E878" s="161"/>
      <c r="F878" s="156"/>
      <c r="G878" s="156"/>
      <c r="H878" s="156"/>
      <c r="I878" s="156"/>
      <c r="J878" s="156"/>
      <c r="K878" s="155">
        <v>0.0</v>
      </c>
      <c r="L878" s="155">
        <f t="shared" ref="L878:M878" si="871">$K878*L$4/100</f>
        <v>0</v>
      </c>
      <c r="M878" s="155">
        <f t="shared" si="871"/>
        <v>0</v>
      </c>
    </row>
    <row r="879">
      <c r="A879" s="152">
        <f t="shared" si="7"/>
        <v>0</v>
      </c>
      <c r="B879" s="153">
        <f t="shared" si="8"/>
        <v>0</v>
      </c>
      <c r="C879" s="153">
        <f t="shared" si="9"/>
        <v>0</v>
      </c>
      <c r="D879" s="186"/>
      <c r="E879" s="161"/>
      <c r="F879" s="156"/>
      <c r="G879" s="156"/>
      <c r="H879" s="156"/>
      <c r="I879" s="156"/>
      <c r="J879" s="156"/>
      <c r="K879" s="155">
        <v>0.0</v>
      </c>
      <c r="L879" s="155">
        <f t="shared" ref="L879:M879" si="872">$K879*L$4/100</f>
        <v>0</v>
      </c>
      <c r="M879" s="155">
        <f t="shared" si="872"/>
        <v>0</v>
      </c>
    </row>
    <row r="880">
      <c r="A880" s="152">
        <f t="shared" si="7"/>
        <v>0</v>
      </c>
      <c r="B880" s="153">
        <f t="shared" si="8"/>
        <v>0</v>
      </c>
      <c r="C880" s="153">
        <f t="shared" si="9"/>
        <v>0</v>
      </c>
      <c r="D880" s="186"/>
      <c r="E880" s="161"/>
      <c r="F880" s="156"/>
      <c r="G880" s="156"/>
      <c r="H880" s="156"/>
      <c r="I880" s="156"/>
      <c r="J880" s="156"/>
      <c r="K880" s="155">
        <v>0.0</v>
      </c>
      <c r="L880" s="155">
        <f t="shared" ref="L880:M880" si="873">$K880*L$4/100</f>
        <v>0</v>
      </c>
      <c r="M880" s="155">
        <f t="shared" si="873"/>
        <v>0</v>
      </c>
    </row>
    <row r="881">
      <c r="A881" s="152">
        <f t="shared" si="7"/>
        <v>0</v>
      </c>
      <c r="B881" s="153">
        <f t="shared" si="8"/>
        <v>0</v>
      </c>
      <c r="C881" s="153">
        <f t="shared" si="9"/>
        <v>0</v>
      </c>
      <c r="D881" s="186"/>
      <c r="E881" s="161"/>
      <c r="F881" s="156"/>
      <c r="G881" s="156"/>
      <c r="H881" s="156"/>
      <c r="I881" s="156"/>
      <c r="J881" s="156"/>
      <c r="K881" s="155">
        <v>0.0</v>
      </c>
      <c r="L881" s="155">
        <f t="shared" ref="L881:M881" si="874">$K881*L$4/100</f>
        <v>0</v>
      </c>
      <c r="M881" s="155">
        <f t="shared" si="874"/>
        <v>0</v>
      </c>
    </row>
    <row r="882">
      <c r="A882" s="152">
        <f t="shared" si="7"/>
        <v>0</v>
      </c>
      <c r="B882" s="153">
        <f t="shared" si="8"/>
        <v>0</v>
      </c>
      <c r="C882" s="153">
        <f t="shared" si="9"/>
        <v>0</v>
      </c>
      <c r="D882" s="186"/>
      <c r="E882" s="161"/>
      <c r="F882" s="156"/>
      <c r="G882" s="156"/>
      <c r="H882" s="156"/>
      <c r="I882" s="156"/>
      <c r="J882" s="156"/>
      <c r="K882" s="155">
        <v>0.0</v>
      </c>
      <c r="L882" s="155">
        <f t="shared" ref="L882:M882" si="875">$K882*L$4/100</f>
        <v>0</v>
      </c>
      <c r="M882" s="155">
        <f t="shared" si="875"/>
        <v>0</v>
      </c>
    </row>
    <row r="883">
      <c r="A883" s="152">
        <f t="shared" si="7"/>
        <v>0</v>
      </c>
      <c r="B883" s="153">
        <f t="shared" si="8"/>
        <v>0</v>
      </c>
      <c r="C883" s="153">
        <f t="shared" si="9"/>
        <v>0</v>
      </c>
      <c r="D883" s="186"/>
      <c r="E883" s="161"/>
      <c r="F883" s="156"/>
      <c r="G883" s="156"/>
      <c r="H883" s="156"/>
      <c r="I883" s="156"/>
      <c r="J883" s="156"/>
      <c r="K883" s="155">
        <v>0.0</v>
      </c>
      <c r="L883" s="155">
        <f t="shared" ref="L883:M883" si="876">$K883*L$4/100</f>
        <v>0</v>
      </c>
      <c r="M883" s="155">
        <f t="shared" si="876"/>
        <v>0</v>
      </c>
    </row>
    <row r="884">
      <c r="A884" s="152">
        <f t="shared" si="7"/>
        <v>0</v>
      </c>
      <c r="B884" s="153">
        <f t="shared" si="8"/>
        <v>0</v>
      </c>
      <c r="C884" s="153">
        <f t="shared" si="9"/>
        <v>0</v>
      </c>
      <c r="D884" s="186"/>
      <c r="E884" s="161"/>
      <c r="F884" s="156"/>
      <c r="G884" s="156"/>
      <c r="H884" s="156"/>
      <c r="I884" s="156"/>
      <c r="J884" s="156"/>
      <c r="K884" s="155">
        <v>0.0</v>
      </c>
      <c r="L884" s="155">
        <f t="shared" ref="L884:M884" si="877">$K884*L$4/100</f>
        <v>0</v>
      </c>
      <c r="M884" s="155">
        <f t="shared" si="877"/>
        <v>0</v>
      </c>
    </row>
    <row r="885">
      <c r="A885" s="152">
        <f t="shared" si="7"/>
        <v>0</v>
      </c>
      <c r="B885" s="153">
        <f t="shared" si="8"/>
        <v>0</v>
      </c>
      <c r="C885" s="153">
        <f t="shared" si="9"/>
        <v>0</v>
      </c>
      <c r="D885" s="186"/>
      <c r="E885" s="161"/>
      <c r="F885" s="156"/>
      <c r="G885" s="156"/>
      <c r="H885" s="156"/>
      <c r="I885" s="156"/>
      <c r="J885" s="156"/>
      <c r="K885" s="155">
        <v>0.0</v>
      </c>
      <c r="L885" s="155">
        <f t="shared" ref="L885:M885" si="878">$K885*L$4/100</f>
        <v>0</v>
      </c>
      <c r="M885" s="155">
        <f t="shared" si="878"/>
        <v>0</v>
      </c>
    </row>
    <row r="886">
      <c r="A886" s="152">
        <f t="shared" si="7"/>
        <v>0</v>
      </c>
      <c r="B886" s="153">
        <f t="shared" si="8"/>
        <v>0</v>
      </c>
      <c r="C886" s="153">
        <f t="shared" si="9"/>
        <v>0</v>
      </c>
      <c r="D886" s="186"/>
      <c r="E886" s="161"/>
      <c r="F886" s="156"/>
      <c r="G886" s="156"/>
      <c r="H886" s="156"/>
      <c r="I886" s="156"/>
      <c r="J886" s="156"/>
      <c r="K886" s="155">
        <v>0.0</v>
      </c>
      <c r="L886" s="155">
        <f t="shared" ref="L886:M886" si="879">$K886*L$4/100</f>
        <v>0</v>
      </c>
      <c r="M886" s="155">
        <f t="shared" si="879"/>
        <v>0</v>
      </c>
    </row>
    <row r="887">
      <c r="A887" s="152">
        <f t="shared" si="7"/>
        <v>0</v>
      </c>
      <c r="B887" s="153">
        <f t="shared" si="8"/>
        <v>0</v>
      </c>
      <c r="C887" s="153">
        <f t="shared" si="9"/>
        <v>0</v>
      </c>
      <c r="D887" s="186"/>
      <c r="E887" s="161"/>
      <c r="F887" s="156"/>
      <c r="G887" s="156"/>
      <c r="H887" s="156"/>
      <c r="I887" s="156"/>
      <c r="J887" s="156"/>
      <c r="K887" s="155">
        <v>0.0</v>
      </c>
      <c r="L887" s="155">
        <f t="shared" ref="L887:M887" si="880">$K887*L$4/100</f>
        <v>0</v>
      </c>
      <c r="M887" s="155">
        <f t="shared" si="880"/>
        <v>0</v>
      </c>
    </row>
    <row r="888">
      <c r="A888" s="152">
        <f t="shared" si="7"/>
        <v>0</v>
      </c>
      <c r="B888" s="153">
        <f t="shared" si="8"/>
        <v>0</v>
      </c>
      <c r="C888" s="153">
        <f t="shared" si="9"/>
        <v>0</v>
      </c>
      <c r="D888" s="186"/>
      <c r="E888" s="161"/>
      <c r="F888" s="156"/>
      <c r="G888" s="156"/>
      <c r="H888" s="156"/>
      <c r="I888" s="156"/>
      <c r="J888" s="156"/>
      <c r="K888" s="155">
        <v>0.0</v>
      </c>
      <c r="L888" s="155">
        <f t="shared" ref="L888:M888" si="881">$K888*L$4/100</f>
        <v>0</v>
      </c>
      <c r="M888" s="155">
        <f t="shared" si="881"/>
        <v>0</v>
      </c>
    </row>
    <row r="889">
      <c r="A889" s="152">
        <f t="shared" si="7"/>
        <v>0</v>
      </c>
      <c r="B889" s="153">
        <f t="shared" si="8"/>
        <v>0</v>
      </c>
      <c r="C889" s="153">
        <f t="shared" si="9"/>
        <v>0</v>
      </c>
      <c r="D889" s="186"/>
      <c r="E889" s="161"/>
      <c r="F889" s="156"/>
      <c r="G889" s="156"/>
      <c r="H889" s="156"/>
      <c r="I889" s="156"/>
      <c r="J889" s="156"/>
      <c r="K889" s="155">
        <v>0.0</v>
      </c>
      <c r="L889" s="155">
        <f t="shared" ref="L889:M889" si="882">$K889*L$4/100</f>
        <v>0</v>
      </c>
      <c r="M889" s="155">
        <f t="shared" si="882"/>
        <v>0</v>
      </c>
    </row>
    <row r="890">
      <c r="A890" s="152">
        <f t="shared" si="7"/>
        <v>0</v>
      </c>
      <c r="B890" s="153">
        <f t="shared" si="8"/>
        <v>0</v>
      </c>
      <c r="C890" s="153">
        <f t="shared" si="9"/>
        <v>0</v>
      </c>
      <c r="D890" s="186"/>
      <c r="E890" s="161"/>
      <c r="F890" s="156"/>
      <c r="G890" s="156"/>
      <c r="H890" s="156"/>
      <c r="I890" s="156"/>
      <c r="J890" s="156"/>
      <c r="K890" s="155">
        <v>0.0</v>
      </c>
      <c r="L890" s="155">
        <f t="shared" ref="L890:M890" si="883">$K890*L$4/100</f>
        <v>0</v>
      </c>
      <c r="M890" s="155">
        <f t="shared" si="883"/>
        <v>0</v>
      </c>
    </row>
    <row r="891">
      <c r="A891" s="152">
        <f t="shared" si="7"/>
        <v>0</v>
      </c>
      <c r="B891" s="153">
        <f t="shared" si="8"/>
        <v>0</v>
      </c>
      <c r="C891" s="153">
        <f t="shared" si="9"/>
        <v>0</v>
      </c>
      <c r="D891" s="186"/>
      <c r="E891" s="161"/>
      <c r="F891" s="156"/>
      <c r="G891" s="156"/>
      <c r="H891" s="156"/>
      <c r="I891" s="156"/>
      <c r="J891" s="156"/>
      <c r="K891" s="155">
        <v>0.0</v>
      </c>
      <c r="L891" s="155">
        <f t="shared" ref="L891:M891" si="884">$K891*L$4/100</f>
        <v>0</v>
      </c>
      <c r="M891" s="155">
        <f t="shared" si="884"/>
        <v>0</v>
      </c>
    </row>
    <row r="892">
      <c r="A892" s="152">
        <f t="shared" si="7"/>
        <v>0</v>
      </c>
      <c r="B892" s="153">
        <f t="shared" si="8"/>
        <v>0</v>
      </c>
      <c r="C892" s="153">
        <f t="shared" si="9"/>
        <v>0</v>
      </c>
      <c r="D892" s="186"/>
      <c r="E892" s="161"/>
      <c r="F892" s="156"/>
      <c r="G892" s="156"/>
      <c r="H892" s="156"/>
      <c r="I892" s="156"/>
      <c r="J892" s="156"/>
      <c r="K892" s="155">
        <v>0.0</v>
      </c>
      <c r="L892" s="155">
        <f t="shared" ref="L892:M892" si="885">$K892*L$4/100</f>
        <v>0</v>
      </c>
      <c r="M892" s="155">
        <f t="shared" si="885"/>
        <v>0</v>
      </c>
    </row>
    <row r="893">
      <c r="A893" s="152">
        <f t="shared" si="7"/>
        <v>0</v>
      </c>
      <c r="B893" s="153">
        <f t="shared" si="8"/>
        <v>0</v>
      </c>
      <c r="C893" s="153">
        <f t="shared" si="9"/>
        <v>0</v>
      </c>
      <c r="D893" s="186"/>
      <c r="E893" s="161"/>
      <c r="F893" s="156"/>
      <c r="G893" s="156"/>
      <c r="H893" s="156"/>
      <c r="I893" s="156"/>
      <c r="J893" s="156"/>
      <c r="K893" s="155">
        <v>0.0</v>
      </c>
      <c r="L893" s="155">
        <f t="shared" ref="L893:M893" si="886">$K893*L$4/100</f>
        <v>0</v>
      </c>
      <c r="M893" s="155">
        <f t="shared" si="886"/>
        <v>0</v>
      </c>
    </row>
    <row r="894">
      <c r="A894" s="152">
        <f t="shared" si="7"/>
        <v>0</v>
      </c>
      <c r="B894" s="153">
        <f t="shared" si="8"/>
        <v>0</v>
      </c>
      <c r="C894" s="153">
        <f t="shared" si="9"/>
        <v>0</v>
      </c>
      <c r="D894" s="186"/>
      <c r="E894" s="161"/>
      <c r="F894" s="156"/>
      <c r="G894" s="156"/>
      <c r="H894" s="156"/>
      <c r="I894" s="156"/>
      <c r="J894" s="156"/>
      <c r="K894" s="155">
        <v>0.0</v>
      </c>
      <c r="L894" s="155">
        <f t="shared" ref="L894:M894" si="887">$K894*L$4/100</f>
        <v>0</v>
      </c>
      <c r="M894" s="155">
        <f t="shared" si="887"/>
        <v>0</v>
      </c>
    </row>
    <row r="895">
      <c r="A895" s="152">
        <f t="shared" si="7"/>
        <v>0</v>
      </c>
      <c r="B895" s="153">
        <f t="shared" si="8"/>
        <v>0</v>
      </c>
      <c r="C895" s="153">
        <f t="shared" si="9"/>
        <v>0</v>
      </c>
      <c r="D895" s="186"/>
      <c r="E895" s="161"/>
      <c r="F895" s="156"/>
      <c r="G895" s="156"/>
      <c r="H895" s="156"/>
      <c r="I895" s="156"/>
      <c r="J895" s="156"/>
      <c r="K895" s="155">
        <v>0.0</v>
      </c>
      <c r="L895" s="155">
        <f t="shared" ref="L895:M895" si="888">$K895*L$4/100</f>
        <v>0</v>
      </c>
      <c r="M895" s="155">
        <f t="shared" si="888"/>
        <v>0</v>
      </c>
    </row>
    <row r="896">
      <c r="A896" s="152">
        <f t="shared" si="7"/>
        <v>0</v>
      </c>
      <c r="B896" s="153">
        <f t="shared" si="8"/>
        <v>0</v>
      </c>
      <c r="C896" s="153">
        <f t="shared" si="9"/>
        <v>0</v>
      </c>
      <c r="D896" s="186"/>
      <c r="E896" s="161"/>
      <c r="F896" s="156"/>
      <c r="G896" s="156"/>
      <c r="H896" s="156"/>
      <c r="I896" s="156"/>
      <c r="J896" s="156"/>
      <c r="K896" s="155">
        <v>0.0</v>
      </c>
      <c r="L896" s="155">
        <f t="shared" ref="L896:M896" si="889">$K896*L$4/100</f>
        <v>0</v>
      </c>
      <c r="M896" s="155">
        <f t="shared" si="889"/>
        <v>0</v>
      </c>
    </row>
    <row r="897">
      <c r="A897" s="152">
        <f t="shared" si="7"/>
        <v>0</v>
      </c>
      <c r="B897" s="153">
        <f t="shared" si="8"/>
        <v>0</v>
      </c>
      <c r="C897" s="153">
        <f t="shared" si="9"/>
        <v>0</v>
      </c>
      <c r="D897" s="186"/>
      <c r="E897" s="161"/>
      <c r="F897" s="156"/>
      <c r="G897" s="156"/>
      <c r="H897" s="156"/>
      <c r="I897" s="156"/>
      <c r="J897" s="156"/>
      <c r="K897" s="155">
        <v>0.0</v>
      </c>
      <c r="L897" s="155">
        <f t="shared" ref="L897:M897" si="890">$K897*L$4/100</f>
        <v>0</v>
      </c>
      <c r="M897" s="155">
        <f t="shared" si="890"/>
        <v>0</v>
      </c>
    </row>
    <row r="898">
      <c r="A898" s="152">
        <f t="shared" si="7"/>
        <v>0</v>
      </c>
      <c r="B898" s="153">
        <f t="shared" si="8"/>
        <v>0</v>
      </c>
      <c r="C898" s="153">
        <f t="shared" si="9"/>
        <v>0</v>
      </c>
      <c r="D898" s="186"/>
      <c r="E898" s="161"/>
      <c r="F898" s="156"/>
      <c r="G898" s="156"/>
      <c r="H898" s="156"/>
      <c r="I898" s="156"/>
      <c r="J898" s="156"/>
      <c r="K898" s="155">
        <v>0.0</v>
      </c>
      <c r="L898" s="155">
        <f t="shared" ref="L898:M898" si="891">$K898*L$4/100</f>
        <v>0</v>
      </c>
      <c r="M898" s="155">
        <f t="shared" si="891"/>
        <v>0</v>
      </c>
    </row>
    <row r="899">
      <c r="A899" s="152">
        <f t="shared" si="7"/>
        <v>0</v>
      </c>
      <c r="B899" s="153">
        <f t="shared" si="8"/>
        <v>0</v>
      </c>
      <c r="C899" s="153">
        <f t="shared" si="9"/>
        <v>0</v>
      </c>
      <c r="D899" s="186"/>
      <c r="E899" s="161"/>
      <c r="F899" s="156"/>
      <c r="G899" s="156"/>
      <c r="H899" s="156"/>
      <c r="I899" s="156"/>
      <c r="J899" s="156"/>
      <c r="K899" s="155">
        <v>0.0</v>
      </c>
      <c r="L899" s="155">
        <f t="shared" ref="L899:M899" si="892">$K899*L$4/100</f>
        <v>0</v>
      </c>
      <c r="M899" s="155">
        <f t="shared" si="892"/>
        <v>0</v>
      </c>
    </row>
    <row r="900">
      <c r="A900" s="152">
        <f t="shared" si="7"/>
        <v>0</v>
      </c>
      <c r="B900" s="153">
        <f t="shared" si="8"/>
        <v>0</v>
      </c>
      <c r="C900" s="153">
        <f t="shared" si="9"/>
        <v>0</v>
      </c>
      <c r="D900" s="186"/>
      <c r="E900" s="161"/>
      <c r="F900" s="156"/>
      <c r="G900" s="156"/>
      <c r="H900" s="156"/>
      <c r="I900" s="156"/>
      <c r="J900" s="156"/>
      <c r="K900" s="155">
        <v>0.0</v>
      </c>
      <c r="L900" s="155">
        <f t="shared" ref="L900:M900" si="893">$K900*L$4/100</f>
        <v>0</v>
      </c>
      <c r="M900" s="155">
        <f t="shared" si="893"/>
        <v>0</v>
      </c>
    </row>
    <row r="901">
      <c r="A901" s="152">
        <f t="shared" si="7"/>
        <v>0</v>
      </c>
      <c r="B901" s="153">
        <f t="shared" si="8"/>
        <v>0</v>
      </c>
      <c r="C901" s="153">
        <f t="shared" si="9"/>
        <v>0</v>
      </c>
      <c r="D901" s="186"/>
      <c r="E901" s="161"/>
      <c r="F901" s="156"/>
      <c r="G901" s="156"/>
      <c r="H901" s="156"/>
      <c r="I901" s="156"/>
      <c r="J901" s="156"/>
      <c r="K901" s="155">
        <v>0.0</v>
      </c>
      <c r="L901" s="155">
        <f t="shared" ref="L901:M901" si="894">$K901*L$4/100</f>
        <v>0</v>
      </c>
      <c r="M901" s="155">
        <f t="shared" si="894"/>
        <v>0</v>
      </c>
    </row>
    <row r="902">
      <c r="A902" s="152">
        <f t="shared" si="7"/>
        <v>0</v>
      </c>
      <c r="B902" s="153">
        <f t="shared" si="8"/>
        <v>0</v>
      </c>
      <c r="C902" s="153">
        <f t="shared" si="9"/>
        <v>0</v>
      </c>
      <c r="D902" s="186"/>
      <c r="E902" s="161"/>
      <c r="F902" s="156"/>
      <c r="G902" s="156"/>
      <c r="H902" s="156"/>
      <c r="I902" s="156"/>
      <c r="J902" s="156"/>
      <c r="K902" s="155">
        <v>0.0</v>
      </c>
      <c r="L902" s="155">
        <f t="shared" ref="L902:M902" si="895">$K902*L$4/100</f>
        <v>0</v>
      </c>
      <c r="M902" s="155">
        <f t="shared" si="895"/>
        <v>0</v>
      </c>
    </row>
    <row r="903">
      <c r="A903" s="152">
        <f t="shared" si="7"/>
        <v>0</v>
      </c>
      <c r="B903" s="153">
        <f t="shared" si="8"/>
        <v>0</v>
      </c>
      <c r="C903" s="153">
        <f t="shared" si="9"/>
        <v>0</v>
      </c>
      <c r="D903" s="186"/>
      <c r="E903" s="161"/>
      <c r="F903" s="156"/>
      <c r="G903" s="156"/>
      <c r="H903" s="156"/>
      <c r="I903" s="156"/>
      <c r="J903" s="156"/>
      <c r="K903" s="155">
        <v>0.0</v>
      </c>
      <c r="L903" s="155">
        <f t="shared" ref="L903:M903" si="896">$K903*L$4/100</f>
        <v>0</v>
      </c>
      <c r="M903" s="155">
        <f t="shared" si="896"/>
        <v>0</v>
      </c>
    </row>
    <row r="904">
      <c r="A904" s="152">
        <f t="shared" si="7"/>
        <v>0</v>
      </c>
      <c r="B904" s="153">
        <f t="shared" si="8"/>
        <v>0</v>
      </c>
      <c r="C904" s="153">
        <f t="shared" si="9"/>
        <v>0</v>
      </c>
      <c r="D904" s="186"/>
      <c r="E904" s="161"/>
      <c r="F904" s="156"/>
      <c r="G904" s="156"/>
      <c r="H904" s="156"/>
      <c r="I904" s="156"/>
      <c r="J904" s="156"/>
      <c r="K904" s="155">
        <v>0.0</v>
      </c>
      <c r="L904" s="155">
        <f t="shared" ref="L904:M904" si="897">$K904*L$4/100</f>
        <v>0</v>
      </c>
      <c r="M904" s="155">
        <f t="shared" si="897"/>
        <v>0</v>
      </c>
    </row>
    <row r="905">
      <c r="A905" s="152">
        <f t="shared" si="7"/>
        <v>0</v>
      </c>
      <c r="B905" s="153">
        <f t="shared" si="8"/>
        <v>0</v>
      </c>
      <c r="C905" s="153">
        <f t="shared" si="9"/>
        <v>0</v>
      </c>
      <c r="D905" s="186"/>
      <c r="E905" s="161"/>
      <c r="F905" s="156"/>
      <c r="G905" s="156"/>
      <c r="H905" s="156"/>
      <c r="I905" s="156"/>
      <c r="J905" s="156"/>
      <c r="K905" s="155">
        <v>0.0</v>
      </c>
      <c r="L905" s="155">
        <f t="shared" ref="L905:M905" si="898">$K905*L$4/100</f>
        <v>0</v>
      </c>
      <c r="M905" s="155">
        <f t="shared" si="898"/>
        <v>0</v>
      </c>
    </row>
    <row r="906">
      <c r="A906" s="152">
        <f t="shared" si="7"/>
        <v>0</v>
      </c>
      <c r="B906" s="153">
        <f t="shared" si="8"/>
        <v>0</v>
      </c>
      <c r="C906" s="153">
        <f t="shared" si="9"/>
        <v>0</v>
      </c>
      <c r="D906" s="186"/>
      <c r="E906" s="161"/>
      <c r="F906" s="156"/>
      <c r="G906" s="156"/>
      <c r="H906" s="156"/>
      <c r="I906" s="156"/>
      <c r="J906" s="156"/>
      <c r="K906" s="155">
        <v>0.0</v>
      </c>
      <c r="L906" s="155">
        <f t="shared" ref="L906:M906" si="899">$K906*L$4/100</f>
        <v>0</v>
      </c>
      <c r="M906" s="155">
        <f t="shared" si="899"/>
        <v>0</v>
      </c>
    </row>
    <row r="907">
      <c r="A907" s="152">
        <f t="shared" si="7"/>
        <v>0</v>
      </c>
      <c r="B907" s="153">
        <f t="shared" si="8"/>
        <v>0</v>
      </c>
      <c r="C907" s="153">
        <f t="shared" si="9"/>
        <v>0</v>
      </c>
      <c r="D907" s="186"/>
      <c r="E907" s="161"/>
      <c r="F907" s="156"/>
      <c r="G907" s="156"/>
      <c r="H907" s="156"/>
      <c r="I907" s="156"/>
      <c r="J907" s="156"/>
      <c r="K907" s="155">
        <v>0.0</v>
      </c>
      <c r="L907" s="155">
        <f t="shared" ref="L907:M907" si="900">$K907*L$4/100</f>
        <v>0</v>
      </c>
      <c r="M907" s="155">
        <f t="shared" si="900"/>
        <v>0</v>
      </c>
    </row>
    <row r="908">
      <c r="A908" s="152">
        <f t="shared" si="7"/>
        <v>0</v>
      </c>
      <c r="B908" s="153">
        <f t="shared" si="8"/>
        <v>0</v>
      </c>
      <c r="C908" s="153">
        <f t="shared" si="9"/>
        <v>0</v>
      </c>
      <c r="D908" s="186"/>
      <c r="E908" s="161"/>
      <c r="F908" s="156"/>
      <c r="G908" s="156"/>
      <c r="H908" s="156"/>
      <c r="I908" s="156"/>
      <c r="J908" s="156"/>
      <c r="K908" s="155">
        <v>0.0</v>
      </c>
      <c r="L908" s="155">
        <f t="shared" ref="L908:M908" si="901">$K908*L$4/100</f>
        <v>0</v>
      </c>
      <c r="M908" s="155">
        <f t="shared" si="901"/>
        <v>0</v>
      </c>
    </row>
    <row r="909">
      <c r="A909" s="152">
        <f t="shared" si="7"/>
        <v>0</v>
      </c>
      <c r="B909" s="153">
        <f t="shared" si="8"/>
        <v>0</v>
      </c>
      <c r="C909" s="153">
        <f t="shared" si="9"/>
        <v>0</v>
      </c>
      <c r="D909" s="186"/>
      <c r="E909" s="161"/>
      <c r="F909" s="156"/>
      <c r="G909" s="156"/>
      <c r="H909" s="156"/>
      <c r="I909" s="156"/>
      <c r="J909" s="156"/>
      <c r="K909" s="155">
        <v>0.0</v>
      </c>
      <c r="L909" s="155">
        <f t="shared" ref="L909:M909" si="902">$K909*L$4/100</f>
        <v>0</v>
      </c>
      <c r="M909" s="155">
        <f t="shared" si="902"/>
        <v>0</v>
      </c>
    </row>
    <row r="910">
      <c r="A910" s="152">
        <f t="shared" si="7"/>
        <v>0</v>
      </c>
      <c r="B910" s="153">
        <f t="shared" si="8"/>
        <v>0</v>
      </c>
      <c r="C910" s="153">
        <f t="shared" si="9"/>
        <v>0</v>
      </c>
      <c r="D910" s="186"/>
      <c r="E910" s="161"/>
      <c r="F910" s="156"/>
      <c r="G910" s="156"/>
      <c r="H910" s="156"/>
      <c r="I910" s="156"/>
      <c r="J910" s="156"/>
      <c r="K910" s="155">
        <v>0.0</v>
      </c>
      <c r="L910" s="155">
        <f t="shared" ref="L910:M910" si="903">$K910*L$4/100</f>
        <v>0</v>
      </c>
      <c r="M910" s="155">
        <f t="shared" si="903"/>
        <v>0</v>
      </c>
    </row>
    <row r="911">
      <c r="A911" s="152">
        <f t="shared" si="7"/>
        <v>0</v>
      </c>
      <c r="B911" s="153">
        <f t="shared" si="8"/>
        <v>0</v>
      </c>
      <c r="C911" s="153">
        <f t="shared" si="9"/>
        <v>0</v>
      </c>
      <c r="D911" s="186"/>
      <c r="E911" s="161"/>
      <c r="F911" s="156"/>
      <c r="G911" s="156"/>
      <c r="H911" s="156"/>
      <c r="I911" s="156"/>
      <c r="J911" s="156"/>
      <c r="K911" s="155">
        <v>0.0</v>
      </c>
      <c r="L911" s="155">
        <f t="shared" ref="L911:M911" si="904">$K911*L$4/100</f>
        <v>0</v>
      </c>
      <c r="M911" s="155">
        <f t="shared" si="904"/>
        <v>0</v>
      </c>
    </row>
    <row r="912">
      <c r="A912" s="152">
        <f t="shared" si="7"/>
        <v>0</v>
      </c>
      <c r="B912" s="153">
        <f t="shared" si="8"/>
        <v>0</v>
      </c>
      <c r="C912" s="153">
        <f t="shared" si="9"/>
        <v>0</v>
      </c>
      <c r="D912" s="186"/>
      <c r="E912" s="161"/>
      <c r="F912" s="156"/>
      <c r="G912" s="156"/>
      <c r="H912" s="156"/>
      <c r="I912" s="156"/>
      <c r="J912" s="156"/>
      <c r="K912" s="155">
        <v>0.0</v>
      </c>
      <c r="L912" s="155">
        <f t="shared" ref="L912:M912" si="905">$K912*L$4/100</f>
        <v>0</v>
      </c>
      <c r="M912" s="155">
        <f t="shared" si="905"/>
        <v>0</v>
      </c>
    </row>
    <row r="913">
      <c r="A913" s="152">
        <f t="shared" si="7"/>
        <v>0</v>
      </c>
      <c r="B913" s="153">
        <f t="shared" si="8"/>
        <v>0</v>
      </c>
      <c r="C913" s="153">
        <f t="shared" si="9"/>
        <v>0</v>
      </c>
      <c r="D913" s="186"/>
      <c r="E913" s="161"/>
      <c r="F913" s="156"/>
      <c r="G913" s="156"/>
      <c r="H913" s="156"/>
      <c r="I913" s="156"/>
      <c r="J913" s="156"/>
      <c r="K913" s="155">
        <v>0.0</v>
      </c>
      <c r="L913" s="155">
        <f t="shared" ref="L913:M913" si="906">$K913*L$4/100</f>
        <v>0</v>
      </c>
      <c r="M913" s="155">
        <f t="shared" si="906"/>
        <v>0</v>
      </c>
    </row>
    <row r="914">
      <c r="A914" s="152">
        <f t="shared" si="7"/>
        <v>0</v>
      </c>
      <c r="B914" s="153">
        <f t="shared" si="8"/>
        <v>0</v>
      </c>
      <c r="C914" s="153">
        <f t="shared" si="9"/>
        <v>0</v>
      </c>
      <c r="D914" s="186"/>
      <c r="E914" s="161"/>
      <c r="F914" s="156"/>
      <c r="G914" s="156"/>
      <c r="H914" s="156"/>
      <c r="I914" s="156"/>
      <c r="J914" s="156"/>
      <c r="K914" s="155">
        <v>0.0</v>
      </c>
      <c r="L914" s="155">
        <f t="shared" ref="L914:M914" si="907">$K914*L$4/100</f>
        <v>0</v>
      </c>
      <c r="M914" s="155">
        <f t="shared" si="907"/>
        <v>0</v>
      </c>
    </row>
    <row r="915">
      <c r="A915" s="152">
        <f t="shared" si="7"/>
        <v>0</v>
      </c>
      <c r="B915" s="153">
        <f t="shared" si="8"/>
        <v>0</v>
      </c>
      <c r="C915" s="153">
        <f t="shared" si="9"/>
        <v>0</v>
      </c>
      <c r="D915" s="186"/>
      <c r="E915" s="161"/>
      <c r="F915" s="156"/>
      <c r="G915" s="156"/>
      <c r="H915" s="156"/>
      <c r="I915" s="156"/>
      <c r="J915" s="156"/>
      <c r="K915" s="155">
        <v>0.0</v>
      </c>
      <c r="L915" s="155">
        <f t="shared" ref="L915:M915" si="908">$K915*L$4/100</f>
        <v>0</v>
      </c>
      <c r="M915" s="155">
        <f t="shared" si="908"/>
        <v>0</v>
      </c>
    </row>
    <row r="916">
      <c r="A916" s="152">
        <f t="shared" si="7"/>
        <v>0</v>
      </c>
      <c r="B916" s="153">
        <f t="shared" si="8"/>
        <v>0</v>
      </c>
      <c r="C916" s="153">
        <f t="shared" si="9"/>
        <v>0</v>
      </c>
      <c r="D916" s="186"/>
      <c r="E916" s="161"/>
      <c r="F916" s="156"/>
      <c r="G916" s="156"/>
      <c r="H916" s="156"/>
      <c r="I916" s="156"/>
      <c r="J916" s="156"/>
      <c r="K916" s="155">
        <v>0.0</v>
      </c>
      <c r="L916" s="155">
        <f t="shared" ref="L916:M916" si="909">$K916*L$4/100</f>
        <v>0</v>
      </c>
      <c r="M916" s="155">
        <f t="shared" si="909"/>
        <v>0</v>
      </c>
    </row>
    <row r="917">
      <c r="A917" s="152">
        <f t="shared" si="7"/>
        <v>0</v>
      </c>
      <c r="B917" s="153">
        <f t="shared" si="8"/>
        <v>0</v>
      </c>
      <c r="C917" s="153">
        <f t="shared" si="9"/>
        <v>0</v>
      </c>
      <c r="D917" s="186"/>
      <c r="E917" s="161"/>
      <c r="F917" s="156"/>
      <c r="G917" s="156"/>
      <c r="H917" s="156"/>
      <c r="I917" s="156"/>
      <c r="J917" s="156"/>
      <c r="K917" s="155">
        <v>0.0</v>
      </c>
      <c r="L917" s="155">
        <f t="shared" ref="L917:M917" si="910">$K917*L$4/100</f>
        <v>0</v>
      </c>
      <c r="M917" s="155">
        <f t="shared" si="910"/>
        <v>0</v>
      </c>
    </row>
    <row r="918">
      <c r="A918" s="152">
        <f t="shared" si="7"/>
        <v>0</v>
      </c>
      <c r="B918" s="153">
        <f t="shared" si="8"/>
        <v>0</v>
      </c>
      <c r="C918" s="153">
        <f t="shared" si="9"/>
        <v>0</v>
      </c>
      <c r="D918" s="186"/>
      <c r="E918" s="161"/>
      <c r="F918" s="156"/>
      <c r="G918" s="156"/>
      <c r="H918" s="156"/>
      <c r="I918" s="156"/>
      <c r="J918" s="156"/>
      <c r="K918" s="155">
        <v>0.0</v>
      </c>
      <c r="L918" s="155">
        <f t="shared" ref="L918:M918" si="911">$K918*L$4/100</f>
        <v>0</v>
      </c>
      <c r="M918" s="155">
        <f t="shared" si="911"/>
        <v>0</v>
      </c>
    </row>
    <row r="919">
      <c r="A919" s="152">
        <f t="shared" si="7"/>
        <v>0</v>
      </c>
      <c r="B919" s="153">
        <f t="shared" si="8"/>
        <v>0</v>
      </c>
      <c r="C919" s="153">
        <f t="shared" si="9"/>
        <v>0</v>
      </c>
      <c r="D919" s="186"/>
      <c r="E919" s="161"/>
      <c r="F919" s="156"/>
      <c r="G919" s="156"/>
      <c r="H919" s="156"/>
      <c r="I919" s="156"/>
      <c r="J919" s="156"/>
      <c r="K919" s="155">
        <v>0.0</v>
      </c>
      <c r="L919" s="155">
        <f t="shared" ref="L919:M919" si="912">$K919*L$4/100</f>
        <v>0</v>
      </c>
      <c r="M919" s="155">
        <f t="shared" si="912"/>
        <v>0</v>
      </c>
    </row>
    <row r="920">
      <c r="A920" s="152">
        <f t="shared" si="7"/>
        <v>0</v>
      </c>
      <c r="B920" s="153">
        <f t="shared" si="8"/>
        <v>0</v>
      </c>
      <c r="C920" s="153">
        <f t="shared" si="9"/>
        <v>0</v>
      </c>
      <c r="D920" s="186"/>
      <c r="E920" s="161"/>
      <c r="F920" s="156"/>
      <c r="G920" s="156"/>
      <c r="H920" s="156"/>
      <c r="I920" s="156"/>
      <c r="J920" s="156"/>
      <c r="K920" s="155">
        <v>0.0</v>
      </c>
      <c r="L920" s="155">
        <f t="shared" ref="L920:M920" si="913">$K920*L$4/100</f>
        <v>0</v>
      </c>
      <c r="M920" s="155">
        <f t="shared" si="913"/>
        <v>0</v>
      </c>
    </row>
    <row r="921">
      <c r="A921" s="152">
        <f t="shared" si="7"/>
        <v>0</v>
      </c>
      <c r="B921" s="153">
        <f t="shared" si="8"/>
        <v>0</v>
      </c>
      <c r="C921" s="153">
        <f t="shared" si="9"/>
        <v>0</v>
      </c>
      <c r="D921" s="186"/>
      <c r="E921" s="161"/>
      <c r="F921" s="156"/>
      <c r="G921" s="156"/>
      <c r="H921" s="156"/>
      <c r="I921" s="156"/>
      <c r="J921" s="156"/>
      <c r="K921" s="155">
        <v>0.0</v>
      </c>
      <c r="L921" s="155">
        <f t="shared" ref="L921:M921" si="914">$K921*L$4/100</f>
        <v>0</v>
      </c>
      <c r="M921" s="155">
        <f t="shared" si="914"/>
        <v>0</v>
      </c>
    </row>
    <row r="922">
      <c r="A922" s="152">
        <f t="shared" si="7"/>
        <v>0</v>
      </c>
      <c r="B922" s="153">
        <f t="shared" si="8"/>
        <v>0</v>
      </c>
      <c r="C922" s="153">
        <f t="shared" si="9"/>
        <v>0</v>
      </c>
      <c r="D922" s="186"/>
      <c r="E922" s="161"/>
      <c r="F922" s="156"/>
      <c r="G922" s="156"/>
      <c r="H922" s="156"/>
      <c r="I922" s="156"/>
      <c r="J922" s="156"/>
      <c r="K922" s="155">
        <v>0.0</v>
      </c>
      <c r="L922" s="155">
        <f t="shared" ref="L922:M922" si="915">$K922*L$4/100</f>
        <v>0</v>
      </c>
      <c r="M922" s="155">
        <f t="shared" si="915"/>
        <v>0</v>
      </c>
    </row>
    <row r="923">
      <c r="A923" s="152">
        <f t="shared" si="7"/>
        <v>0</v>
      </c>
      <c r="B923" s="153">
        <f t="shared" si="8"/>
        <v>0</v>
      </c>
      <c r="C923" s="153">
        <f t="shared" si="9"/>
        <v>0</v>
      </c>
      <c r="D923" s="186"/>
      <c r="E923" s="161"/>
      <c r="F923" s="156"/>
      <c r="G923" s="156"/>
      <c r="H923" s="156"/>
      <c r="I923" s="156"/>
      <c r="J923" s="156"/>
      <c r="K923" s="155">
        <v>0.0</v>
      </c>
      <c r="L923" s="155">
        <f t="shared" ref="L923:M923" si="916">$K923*L$4/100</f>
        <v>0</v>
      </c>
      <c r="M923" s="155">
        <f t="shared" si="916"/>
        <v>0</v>
      </c>
    </row>
    <row r="924">
      <c r="A924" s="152">
        <f t="shared" si="7"/>
        <v>0</v>
      </c>
      <c r="B924" s="153">
        <f t="shared" si="8"/>
        <v>0</v>
      </c>
      <c r="C924" s="153">
        <f t="shared" si="9"/>
        <v>0</v>
      </c>
      <c r="D924" s="186"/>
      <c r="E924" s="161"/>
      <c r="F924" s="156"/>
      <c r="G924" s="156"/>
      <c r="H924" s="156"/>
      <c r="I924" s="156"/>
      <c r="J924" s="156"/>
      <c r="K924" s="155">
        <v>0.0</v>
      </c>
      <c r="L924" s="155">
        <f t="shared" ref="L924:M924" si="917">$K924*L$4/100</f>
        <v>0</v>
      </c>
      <c r="M924" s="155">
        <f t="shared" si="917"/>
        <v>0</v>
      </c>
    </row>
    <row r="925">
      <c r="A925" s="152">
        <f t="shared" si="7"/>
        <v>0</v>
      </c>
      <c r="B925" s="153">
        <f t="shared" si="8"/>
        <v>0</v>
      </c>
      <c r="C925" s="153">
        <f t="shared" si="9"/>
        <v>0</v>
      </c>
      <c r="D925" s="186"/>
      <c r="E925" s="161"/>
      <c r="F925" s="156"/>
      <c r="G925" s="156"/>
      <c r="H925" s="156"/>
      <c r="I925" s="156"/>
      <c r="J925" s="156"/>
      <c r="K925" s="155">
        <v>0.0</v>
      </c>
      <c r="L925" s="155">
        <f t="shared" ref="L925:M925" si="918">$K925*L$4/100</f>
        <v>0</v>
      </c>
      <c r="M925" s="155">
        <f t="shared" si="918"/>
        <v>0</v>
      </c>
    </row>
    <row r="926">
      <c r="A926" s="152">
        <f t="shared" si="7"/>
        <v>0</v>
      </c>
      <c r="B926" s="153">
        <f t="shared" si="8"/>
        <v>0</v>
      </c>
      <c r="C926" s="153">
        <f t="shared" si="9"/>
        <v>0</v>
      </c>
      <c r="D926" s="186"/>
      <c r="E926" s="161"/>
      <c r="F926" s="156"/>
      <c r="G926" s="156"/>
      <c r="H926" s="156"/>
      <c r="I926" s="156"/>
      <c r="J926" s="156"/>
      <c r="K926" s="155">
        <v>0.0</v>
      </c>
      <c r="L926" s="155">
        <f t="shared" ref="L926:M926" si="919">$K926*L$4/100</f>
        <v>0</v>
      </c>
      <c r="M926" s="155">
        <f t="shared" si="919"/>
        <v>0</v>
      </c>
    </row>
    <row r="927">
      <c r="A927" s="152">
        <f t="shared" si="7"/>
        <v>0</v>
      </c>
      <c r="B927" s="153">
        <f t="shared" si="8"/>
        <v>0</v>
      </c>
      <c r="C927" s="153">
        <f t="shared" si="9"/>
        <v>0</v>
      </c>
      <c r="D927" s="186"/>
      <c r="E927" s="161"/>
      <c r="F927" s="156"/>
      <c r="G927" s="156"/>
      <c r="H927" s="156"/>
      <c r="I927" s="156"/>
      <c r="J927" s="156"/>
      <c r="K927" s="155">
        <v>0.0</v>
      </c>
      <c r="L927" s="155">
        <f t="shared" ref="L927:M927" si="920">$K927*L$4/100</f>
        <v>0</v>
      </c>
      <c r="M927" s="155">
        <f t="shared" si="920"/>
        <v>0</v>
      </c>
    </row>
    <row r="928">
      <c r="A928" s="152">
        <f t="shared" si="7"/>
        <v>0</v>
      </c>
      <c r="B928" s="153">
        <f t="shared" si="8"/>
        <v>0</v>
      </c>
      <c r="C928" s="153">
        <f t="shared" si="9"/>
        <v>0</v>
      </c>
      <c r="D928" s="186"/>
      <c r="E928" s="161"/>
      <c r="F928" s="156"/>
      <c r="G928" s="156"/>
      <c r="H928" s="156"/>
      <c r="I928" s="156"/>
      <c r="J928" s="156"/>
      <c r="K928" s="155">
        <v>0.0</v>
      </c>
      <c r="L928" s="155">
        <f t="shared" ref="L928:M928" si="921">$K928*L$4/100</f>
        <v>0</v>
      </c>
      <c r="M928" s="155">
        <f t="shared" si="921"/>
        <v>0</v>
      </c>
    </row>
    <row r="929">
      <c r="A929" s="152">
        <f t="shared" si="7"/>
        <v>0</v>
      </c>
      <c r="B929" s="153">
        <f t="shared" si="8"/>
        <v>0</v>
      </c>
      <c r="C929" s="153">
        <f t="shared" si="9"/>
        <v>0</v>
      </c>
      <c r="D929" s="186"/>
      <c r="E929" s="161"/>
      <c r="F929" s="156"/>
      <c r="G929" s="156"/>
      <c r="H929" s="156"/>
      <c r="I929" s="156"/>
      <c r="J929" s="156"/>
      <c r="K929" s="155">
        <v>0.0</v>
      </c>
      <c r="L929" s="155">
        <f t="shared" ref="L929:M929" si="922">$K929*L$4/100</f>
        <v>0</v>
      </c>
      <c r="M929" s="155">
        <f t="shared" si="922"/>
        <v>0</v>
      </c>
    </row>
    <row r="930">
      <c r="A930" s="152">
        <f t="shared" si="7"/>
        <v>0</v>
      </c>
      <c r="B930" s="153">
        <f t="shared" si="8"/>
        <v>0</v>
      </c>
      <c r="C930" s="153">
        <f t="shared" si="9"/>
        <v>0</v>
      </c>
      <c r="D930" s="186"/>
      <c r="E930" s="161"/>
      <c r="F930" s="156"/>
      <c r="G930" s="156"/>
      <c r="H930" s="156"/>
      <c r="I930" s="156"/>
      <c r="J930" s="156"/>
      <c r="K930" s="155">
        <v>0.0</v>
      </c>
      <c r="L930" s="155">
        <f t="shared" ref="L930:M930" si="923">$K930*L$4/100</f>
        <v>0</v>
      </c>
      <c r="M930" s="155">
        <f t="shared" si="923"/>
        <v>0</v>
      </c>
    </row>
    <row r="931">
      <c r="A931" s="152">
        <f t="shared" si="7"/>
        <v>0</v>
      </c>
      <c r="B931" s="153">
        <f t="shared" si="8"/>
        <v>0</v>
      </c>
      <c r="C931" s="153">
        <f t="shared" si="9"/>
        <v>0</v>
      </c>
      <c r="D931" s="186"/>
      <c r="E931" s="161"/>
      <c r="F931" s="156"/>
      <c r="G931" s="156"/>
      <c r="H931" s="156"/>
      <c r="I931" s="156"/>
      <c r="J931" s="156"/>
      <c r="K931" s="155">
        <v>0.0</v>
      </c>
      <c r="L931" s="155">
        <f t="shared" ref="L931:M931" si="924">$K931*L$4/100</f>
        <v>0</v>
      </c>
      <c r="M931" s="155">
        <f t="shared" si="924"/>
        <v>0</v>
      </c>
    </row>
    <row r="932">
      <c r="A932" s="152">
        <f t="shared" si="7"/>
        <v>0</v>
      </c>
      <c r="B932" s="153">
        <f t="shared" si="8"/>
        <v>0</v>
      </c>
      <c r="C932" s="153">
        <f t="shared" si="9"/>
        <v>0</v>
      </c>
      <c r="D932" s="186"/>
      <c r="E932" s="161"/>
      <c r="F932" s="156"/>
      <c r="G932" s="156"/>
      <c r="H932" s="156"/>
      <c r="I932" s="156"/>
      <c r="J932" s="156"/>
      <c r="K932" s="155">
        <v>0.0</v>
      </c>
      <c r="L932" s="155">
        <f t="shared" ref="L932:M932" si="925">$K932*L$4/100</f>
        <v>0</v>
      </c>
      <c r="M932" s="155">
        <f t="shared" si="925"/>
        <v>0</v>
      </c>
    </row>
    <row r="933">
      <c r="A933" s="152">
        <f t="shared" si="7"/>
        <v>0</v>
      </c>
      <c r="B933" s="153">
        <f t="shared" si="8"/>
        <v>0</v>
      </c>
      <c r="C933" s="153">
        <f t="shared" si="9"/>
        <v>0</v>
      </c>
      <c r="D933" s="186"/>
      <c r="E933" s="161"/>
      <c r="F933" s="156"/>
      <c r="G933" s="156"/>
      <c r="H933" s="156"/>
      <c r="I933" s="156"/>
      <c r="J933" s="156"/>
      <c r="K933" s="155">
        <v>0.0</v>
      </c>
      <c r="L933" s="155">
        <f t="shared" ref="L933:M933" si="926">$K933*L$4/100</f>
        <v>0</v>
      </c>
      <c r="M933" s="155">
        <f t="shared" si="926"/>
        <v>0</v>
      </c>
    </row>
    <row r="934">
      <c r="A934" s="152">
        <f t="shared" si="7"/>
        <v>0</v>
      </c>
      <c r="B934" s="153">
        <f t="shared" si="8"/>
        <v>0</v>
      </c>
      <c r="C934" s="153">
        <f t="shared" si="9"/>
        <v>0</v>
      </c>
      <c r="D934" s="186"/>
      <c r="E934" s="161"/>
      <c r="F934" s="156"/>
      <c r="G934" s="156"/>
      <c r="H934" s="156"/>
      <c r="I934" s="156"/>
      <c r="J934" s="156"/>
      <c r="K934" s="155">
        <v>0.0</v>
      </c>
      <c r="L934" s="155">
        <f t="shared" ref="L934:M934" si="927">$K934*L$4/100</f>
        <v>0</v>
      </c>
      <c r="M934" s="155">
        <f t="shared" si="927"/>
        <v>0</v>
      </c>
    </row>
    <row r="935">
      <c r="A935" s="152">
        <f t="shared" si="7"/>
        <v>0</v>
      </c>
      <c r="B935" s="153">
        <f t="shared" si="8"/>
        <v>0</v>
      </c>
      <c r="C935" s="153">
        <f t="shared" si="9"/>
        <v>0</v>
      </c>
      <c r="D935" s="186"/>
      <c r="E935" s="161"/>
      <c r="F935" s="156"/>
      <c r="G935" s="156"/>
      <c r="H935" s="156"/>
      <c r="I935" s="156"/>
      <c r="J935" s="156"/>
      <c r="K935" s="155">
        <v>0.0</v>
      </c>
      <c r="L935" s="155">
        <f t="shared" ref="L935:M935" si="928">$K935*L$4/100</f>
        <v>0</v>
      </c>
      <c r="M935" s="155">
        <f t="shared" si="928"/>
        <v>0</v>
      </c>
    </row>
    <row r="936">
      <c r="A936" s="152">
        <f t="shared" si="7"/>
        <v>0</v>
      </c>
      <c r="B936" s="153">
        <f t="shared" si="8"/>
        <v>0</v>
      </c>
      <c r="C936" s="153">
        <f t="shared" si="9"/>
        <v>0</v>
      </c>
      <c r="D936" s="186"/>
      <c r="E936" s="161"/>
      <c r="F936" s="156"/>
      <c r="G936" s="156"/>
      <c r="H936" s="156"/>
      <c r="I936" s="156"/>
      <c r="J936" s="156"/>
      <c r="K936" s="155">
        <v>0.0</v>
      </c>
      <c r="L936" s="155">
        <f t="shared" ref="L936:M936" si="929">$K936*L$4/100</f>
        <v>0</v>
      </c>
      <c r="M936" s="155">
        <f t="shared" si="929"/>
        <v>0</v>
      </c>
    </row>
    <row r="937">
      <c r="A937" s="152">
        <f t="shared" si="7"/>
        <v>0</v>
      </c>
      <c r="B937" s="153">
        <f t="shared" si="8"/>
        <v>0</v>
      </c>
      <c r="C937" s="153">
        <f t="shared" si="9"/>
        <v>0</v>
      </c>
      <c r="D937" s="186"/>
      <c r="E937" s="161"/>
      <c r="F937" s="156"/>
      <c r="G937" s="156"/>
      <c r="H937" s="156"/>
      <c r="I937" s="156"/>
      <c r="J937" s="156"/>
      <c r="K937" s="155">
        <v>0.0</v>
      </c>
      <c r="L937" s="155">
        <f t="shared" ref="L937:M937" si="930">$K937*L$4/100</f>
        <v>0</v>
      </c>
      <c r="M937" s="155">
        <f t="shared" si="930"/>
        <v>0</v>
      </c>
    </row>
    <row r="938">
      <c r="A938" s="152">
        <f t="shared" si="7"/>
        <v>0</v>
      </c>
      <c r="B938" s="153">
        <f t="shared" si="8"/>
        <v>0</v>
      </c>
      <c r="C938" s="153">
        <f t="shared" si="9"/>
        <v>0</v>
      </c>
      <c r="D938" s="186"/>
      <c r="E938" s="161"/>
      <c r="F938" s="156"/>
      <c r="G938" s="156"/>
      <c r="H938" s="156"/>
      <c r="I938" s="156"/>
      <c r="J938" s="156"/>
      <c r="K938" s="155">
        <v>0.0</v>
      </c>
      <c r="L938" s="155">
        <f t="shared" ref="L938:M938" si="931">$K938*L$4/100</f>
        <v>0</v>
      </c>
      <c r="M938" s="155">
        <f t="shared" si="931"/>
        <v>0</v>
      </c>
    </row>
    <row r="939">
      <c r="A939" s="152">
        <f t="shared" si="7"/>
        <v>0</v>
      </c>
      <c r="B939" s="153">
        <f t="shared" si="8"/>
        <v>0</v>
      </c>
      <c r="C939" s="153">
        <f t="shared" si="9"/>
        <v>0</v>
      </c>
      <c r="D939" s="186"/>
      <c r="E939" s="161"/>
      <c r="F939" s="156"/>
      <c r="G939" s="156"/>
      <c r="H939" s="156"/>
      <c r="I939" s="156"/>
      <c r="J939" s="156"/>
      <c r="K939" s="155">
        <v>0.0</v>
      </c>
      <c r="L939" s="155">
        <f t="shared" ref="L939:M939" si="932">$K939*L$4/100</f>
        <v>0</v>
      </c>
      <c r="M939" s="155">
        <f t="shared" si="932"/>
        <v>0</v>
      </c>
    </row>
    <row r="940">
      <c r="A940" s="152">
        <f t="shared" si="7"/>
        <v>0</v>
      </c>
      <c r="B940" s="153">
        <f t="shared" si="8"/>
        <v>0</v>
      </c>
      <c r="C940" s="153">
        <f t="shared" si="9"/>
        <v>0</v>
      </c>
      <c r="D940" s="186"/>
      <c r="E940" s="161"/>
      <c r="F940" s="156"/>
      <c r="G940" s="156"/>
      <c r="H940" s="156"/>
      <c r="I940" s="156"/>
      <c r="J940" s="156"/>
      <c r="K940" s="155">
        <v>0.0</v>
      </c>
      <c r="L940" s="155">
        <f t="shared" ref="L940:M940" si="933">$K940*L$4/100</f>
        <v>0</v>
      </c>
      <c r="M940" s="155">
        <f t="shared" si="933"/>
        <v>0</v>
      </c>
    </row>
    <row r="941">
      <c r="A941" s="152">
        <f t="shared" si="7"/>
        <v>0</v>
      </c>
      <c r="B941" s="153">
        <f t="shared" si="8"/>
        <v>0</v>
      </c>
      <c r="C941" s="153">
        <f t="shared" si="9"/>
        <v>0</v>
      </c>
      <c r="D941" s="186"/>
      <c r="E941" s="161"/>
      <c r="F941" s="156"/>
      <c r="G941" s="156"/>
      <c r="H941" s="156"/>
      <c r="I941" s="156"/>
      <c r="J941" s="156"/>
      <c r="K941" s="155">
        <v>0.0</v>
      </c>
      <c r="L941" s="155">
        <f t="shared" ref="L941:M941" si="934">$K941*L$4/100</f>
        <v>0</v>
      </c>
      <c r="M941" s="155">
        <f t="shared" si="934"/>
        <v>0</v>
      </c>
    </row>
    <row r="942">
      <c r="A942" s="152">
        <f t="shared" si="7"/>
        <v>0</v>
      </c>
      <c r="B942" s="153">
        <f t="shared" si="8"/>
        <v>0</v>
      </c>
      <c r="C942" s="153">
        <f t="shared" si="9"/>
        <v>0</v>
      </c>
      <c r="D942" s="186"/>
      <c r="E942" s="161"/>
      <c r="F942" s="156"/>
      <c r="G942" s="156"/>
      <c r="H942" s="156"/>
      <c r="I942" s="156"/>
      <c r="J942" s="156"/>
      <c r="K942" s="155">
        <v>0.0</v>
      </c>
      <c r="L942" s="155">
        <f t="shared" ref="L942:M942" si="935">$K942*L$4/100</f>
        <v>0</v>
      </c>
      <c r="M942" s="155">
        <f t="shared" si="935"/>
        <v>0</v>
      </c>
    </row>
    <row r="943">
      <c r="A943" s="152">
        <f t="shared" si="7"/>
        <v>0</v>
      </c>
      <c r="B943" s="153">
        <f t="shared" si="8"/>
        <v>0</v>
      </c>
      <c r="C943" s="153">
        <f t="shared" si="9"/>
        <v>0</v>
      </c>
      <c r="D943" s="186"/>
      <c r="E943" s="161"/>
      <c r="F943" s="156"/>
      <c r="G943" s="156"/>
      <c r="H943" s="156"/>
      <c r="I943" s="156"/>
      <c r="J943" s="156"/>
      <c r="K943" s="155">
        <v>0.0</v>
      </c>
      <c r="L943" s="155">
        <f t="shared" ref="L943:M943" si="936">$K943*L$4/100</f>
        <v>0</v>
      </c>
      <c r="M943" s="155">
        <f t="shared" si="936"/>
        <v>0</v>
      </c>
    </row>
    <row r="944">
      <c r="A944" s="152">
        <f t="shared" si="7"/>
        <v>0</v>
      </c>
      <c r="B944" s="153">
        <f t="shared" si="8"/>
        <v>0</v>
      </c>
      <c r="C944" s="153">
        <f t="shared" si="9"/>
        <v>0</v>
      </c>
      <c r="D944" s="186"/>
      <c r="E944" s="161"/>
      <c r="F944" s="156"/>
      <c r="G944" s="156"/>
      <c r="H944" s="156"/>
      <c r="I944" s="156"/>
      <c r="J944" s="156"/>
      <c r="K944" s="155">
        <v>0.0</v>
      </c>
      <c r="L944" s="155">
        <f t="shared" ref="L944:M944" si="937">$K944*L$4/100</f>
        <v>0</v>
      </c>
      <c r="M944" s="155">
        <f t="shared" si="937"/>
        <v>0</v>
      </c>
    </row>
    <row r="945">
      <c r="A945" s="152">
        <f t="shared" si="7"/>
        <v>0</v>
      </c>
      <c r="B945" s="153">
        <f t="shared" si="8"/>
        <v>0</v>
      </c>
      <c r="C945" s="153">
        <f t="shared" si="9"/>
        <v>0</v>
      </c>
      <c r="D945" s="186"/>
      <c r="E945" s="161"/>
      <c r="F945" s="156"/>
      <c r="G945" s="156"/>
      <c r="H945" s="156"/>
      <c r="I945" s="156"/>
      <c r="J945" s="156"/>
      <c r="K945" s="155">
        <v>0.0</v>
      </c>
      <c r="L945" s="155">
        <f t="shared" ref="L945:M945" si="938">$K945*L$4/100</f>
        <v>0</v>
      </c>
      <c r="M945" s="155">
        <f t="shared" si="938"/>
        <v>0</v>
      </c>
    </row>
    <row r="946">
      <c r="A946" s="152">
        <f t="shared" si="7"/>
        <v>0</v>
      </c>
      <c r="B946" s="153">
        <f t="shared" si="8"/>
        <v>0</v>
      </c>
      <c r="C946" s="153">
        <f t="shared" si="9"/>
        <v>0</v>
      </c>
      <c r="D946" s="186"/>
      <c r="E946" s="161"/>
      <c r="F946" s="156"/>
      <c r="G946" s="156"/>
      <c r="H946" s="156"/>
      <c r="I946" s="156"/>
      <c r="J946" s="156"/>
      <c r="K946" s="155">
        <v>0.0</v>
      </c>
      <c r="L946" s="155">
        <f t="shared" ref="L946:M946" si="939">$K946*L$4/100</f>
        <v>0</v>
      </c>
      <c r="M946" s="155">
        <f t="shared" si="939"/>
        <v>0</v>
      </c>
    </row>
    <row r="947">
      <c r="A947" s="152">
        <f t="shared" si="7"/>
        <v>0</v>
      </c>
      <c r="B947" s="153">
        <f t="shared" si="8"/>
        <v>0</v>
      </c>
      <c r="C947" s="153">
        <f t="shared" si="9"/>
        <v>0</v>
      </c>
      <c r="D947" s="186"/>
      <c r="E947" s="161"/>
      <c r="F947" s="156"/>
      <c r="G947" s="156"/>
      <c r="H947" s="156"/>
      <c r="I947" s="156"/>
      <c r="J947" s="156"/>
      <c r="K947" s="155">
        <v>0.0</v>
      </c>
      <c r="L947" s="155">
        <f t="shared" ref="L947:M947" si="940">$K947*L$4/100</f>
        <v>0</v>
      </c>
      <c r="M947" s="155">
        <f t="shared" si="940"/>
        <v>0</v>
      </c>
    </row>
    <row r="948">
      <c r="A948" s="152">
        <f t="shared" si="7"/>
        <v>0</v>
      </c>
      <c r="B948" s="153">
        <f t="shared" si="8"/>
        <v>0</v>
      </c>
      <c r="C948" s="153">
        <f t="shared" si="9"/>
        <v>0</v>
      </c>
      <c r="D948" s="186"/>
      <c r="E948" s="161"/>
      <c r="F948" s="156"/>
      <c r="G948" s="156"/>
      <c r="H948" s="156"/>
      <c r="I948" s="156"/>
      <c r="J948" s="156"/>
      <c r="K948" s="155">
        <v>0.0</v>
      </c>
      <c r="L948" s="155">
        <f t="shared" ref="L948:M948" si="941">$K948*L$4/100</f>
        <v>0</v>
      </c>
      <c r="M948" s="155">
        <f t="shared" si="941"/>
        <v>0</v>
      </c>
    </row>
    <row r="949">
      <c r="A949" s="152">
        <f t="shared" si="7"/>
        <v>0</v>
      </c>
      <c r="B949" s="153">
        <f t="shared" si="8"/>
        <v>0</v>
      </c>
      <c r="C949" s="153">
        <f t="shared" si="9"/>
        <v>0</v>
      </c>
      <c r="D949" s="186"/>
      <c r="E949" s="161"/>
      <c r="F949" s="156"/>
      <c r="G949" s="156"/>
      <c r="H949" s="156"/>
      <c r="I949" s="156"/>
      <c r="J949" s="156"/>
      <c r="K949" s="155">
        <v>0.0</v>
      </c>
      <c r="L949" s="155">
        <f t="shared" ref="L949:M949" si="942">$K949*L$4/100</f>
        <v>0</v>
      </c>
      <c r="M949" s="155">
        <f t="shared" si="942"/>
        <v>0</v>
      </c>
    </row>
    <row r="950">
      <c r="A950" s="152">
        <f t="shared" si="7"/>
        <v>0</v>
      </c>
      <c r="B950" s="153">
        <f t="shared" si="8"/>
        <v>0</v>
      </c>
      <c r="C950" s="153">
        <f t="shared" si="9"/>
        <v>0</v>
      </c>
      <c r="D950" s="186"/>
      <c r="E950" s="161"/>
      <c r="F950" s="156"/>
      <c r="G950" s="156"/>
      <c r="H950" s="156"/>
      <c r="I950" s="156"/>
      <c r="J950" s="156"/>
      <c r="K950" s="155">
        <v>0.0</v>
      </c>
      <c r="L950" s="155">
        <f t="shared" ref="L950:M950" si="943">$K950*L$4/100</f>
        <v>0</v>
      </c>
      <c r="M950" s="155">
        <f t="shared" si="943"/>
        <v>0</v>
      </c>
    </row>
    <row r="951">
      <c r="A951" s="152">
        <f t="shared" si="7"/>
        <v>0</v>
      </c>
      <c r="B951" s="153">
        <f t="shared" si="8"/>
        <v>0</v>
      </c>
      <c r="C951" s="153">
        <f t="shared" si="9"/>
        <v>0</v>
      </c>
      <c r="D951" s="186"/>
      <c r="E951" s="161"/>
      <c r="F951" s="156"/>
      <c r="G951" s="156"/>
      <c r="H951" s="156"/>
      <c r="I951" s="156"/>
      <c r="J951" s="156"/>
      <c r="K951" s="155">
        <v>0.0</v>
      </c>
      <c r="L951" s="155">
        <f t="shared" ref="L951:M951" si="944">$K951*L$4/100</f>
        <v>0</v>
      </c>
      <c r="M951" s="155">
        <f t="shared" si="944"/>
        <v>0</v>
      </c>
    </row>
    <row r="952">
      <c r="A952" s="152">
        <f t="shared" si="7"/>
        <v>0</v>
      </c>
      <c r="B952" s="153">
        <f t="shared" si="8"/>
        <v>0</v>
      </c>
      <c r="C952" s="153">
        <f t="shared" si="9"/>
        <v>0</v>
      </c>
      <c r="D952" s="186"/>
      <c r="E952" s="161"/>
      <c r="F952" s="156"/>
      <c r="G952" s="156"/>
      <c r="H952" s="156"/>
      <c r="I952" s="156"/>
      <c r="J952" s="156"/>
      <c r="K952" s="155">
        <v>0.0</v>
      </c>
      <c r="L952" s="155">
        <f t="shared" ref="L952:M952" si="945">$K952*L$4/100</f>
        <v>0</v>
      </c>
      <c r="M952" s="155">
        <f t="shared" si="945"/>
        <v>0</v>
      </c>
    </row>
    <row r="953">
      <c r="A953" s="152">
        <f t="shared" si="7"/>
        <v>0</v>
      </c>
      <c r="B953" s="153">
        <f t="shared" si="8"/>
        <v>0</v>
      </c>
      <c r="C953" s="153">
        <f t="shared" si="9"/>
        <v>0</v>
      </c>
      <c r="D953" s="186"/>
      <c r="E953" s="161"/>
      <c r="F953" s="156"/>
      <c r="G953" s="156"/>
      <c r="H953" s="156"/>
      <c r="I953" s="156"/>
      <c r="J953" s="156"/>
      <c r="K953" s="155">
        <v>0.0</v>
      </c>
      <c r="L953" s="155">
        <f t="shared" ref="L953:M953" si="946">$K953*L$4/100</f>
        <v>0</v>
      </c>
      <c r="M953" s="155">
        <f t="shared" si="946"/>
        <v>0</v>
      </c>
    </row>
    <row r="954">
      <c r="A954" s="152">
        <f t="shared" si="7"/>
        <v>0</v>
      </c>
      <c r="B954" s="153">
        <f t="shared" si="8"/>
        <v>0</v>
      </c>
      <c r="C954" s="153">
        <f t="shared" si="9"/>
        <v>0</v>
      </c>
      <c r="D954" s="186"/>
      <c r="E954" s="161"/>
      <c r="F954" s="156"/>
      <c r="G954" s="156"/>
      <c r="H954" s="156"/>
      <c r="I954" s="156"/>
      <c r="J954" s="156"/>
      <c r="K954" s="155">
        <v>0.0</v>
      </c>
      <c r="L954" s="155">
        <f t="shared" ref="L954:M954" si="947">$K954*L$4/100</f>
        <v>0</v>
      </c>
      <c r="M954" s="155">
        <f t="shared" si="947"/>
        <v>0</v>
      </c>
    </row>
    <row r="955">
      <c r="A955" s="152">
        <f t="shared" si="7"/>
        <v>0</v>
      </c>
      <c r="B955" s="153">
        <f t="shared" si="8"/>
        <v>0</v>
      </c>
      <c r="C955" s="153">
        <f t="shared" si="9"/>
        <v>0</v>
      </c>
      <c r="D955" s="186"/>
      <c r="E955" s="161"/>
      <c r="F955" s="156"/>
      <c r="G955" s="156"/>
      <c r="H955" s="156"/>
      <c r="I955" s="156"/>
      <c r="J955" s="156"/>
      <c r="K955" s="155">
        <v>0.0</v>
      </c>
      <c r="L955" s="155">
        <f t="shared" ref="L955:M955" si="948">$K955*L$4/100</f>
        <v>0</v>
      </c>
      <c r="M955" s="155">
        <f t="shared" si="948"/>
        <v>0</v>
      </c>
    </row>
    <row r="956">
      <c r="A956" s="152">
        <f t="shared" si="7"/>
        <v>0</v>
      </c>
      <c r="B956" s="153">
        <f t="shared" si="8"/>
        <v>0</v>
      </c>
      <c r="C956" s="153">
        <f t="shared" si="9"/>
        <v>0</v>
      </c>
      <c r="D956" s="186"/>
      <c r="E956" s="161"/>
      <c r="F956" s="156"/>
      <c r="G956" s="156"/>
      <c r="H956" s="156"/>
      <c r="I956" s="156"/>
      <c r="J956" s="156"/>
      <c r="K956" s="155">
        <v>0.0</v>
      </c>
      <c r="L956" s="155">
        <f t="shared" ref="L956:M956" si="949">$K956*L$4/100</f>
        <v>0</v>
      </c>
      <c r="M956" s="155">
        <f t="shared" si="949"/>
        <v>0</v>
      </c>
    </row>
    <row r="957">
      <c r="A957" s="152">
        <f t="shared" si="7"/>
        <v>0</v>
      </c>
      <c r="B957" s="153">
        <f t="shared" si="8"/>
        <v>0</v>
      </c>
      <c r="C957" s="153">
        <f t="shared" si="9"/>
        <v>0</v>
      </c>
      <c r="D957" s="186"/>
      <c r="E957" s="161"/>
      <c r="F957" s="156"/>
      <c r="G957" s="156"/>
      <c r="H957" s="156"/>
      <c r="I957" s="156"/>
      <c r="J957" s="156"/>
      <c r="K957" s="155">
        <v>0.0</v>
      </c>
      <c r="L957" s="155">
        <f t="shared" ref="L957:M957" si="950">$K957*L$4/100</f>
        <v>0</v>
      </c>
      <c r="M957" s="155">
        <f t="shared" si="950"/>
        <v>0</v>
      </c>
    </row>
    <row r="958">
      <c r="A958" s="152">
        <f t="shared" si="7"/>
        <v>0</v>
      </c>
      <c r="B958" s="153">
        <f t="shared" si="8"/>
        <v>0</v>
      </c>
      <c r="C958" s="153">
        <f t="shared" si="9"/>
        <v>0</v>
      </c>
      <c r="D958" s="186"/>
      <c r="E958" s="161"/>
      <c r="F958" s="156"/>
      <c r="G958" s="156"/>
      <c r="H958" s="156"/>
      <c r="I958" s="156"/>
      <c r="J958" s="156"/>
      <c r="K958" s="155">
        <v>0.0</v>
      </c>
      <c r="L958" s="155">
        <f t="shared" ref="L958:M958" si="951">$K958*L$4/100</f>
        <v>0</v>
      </c>
      <c r="M958" s="155">
        <f t="shared" si="951"/>
        <v>0</v>
      </c>
    </row>
    <row r="959">
      <c r="A959" s="152">
        <f t="shared" si="7"/>
        <v>0</v>
      </c>
      <c r="B959" s="153">
        <f t="shared" si="8"/>
        <v>0</v>
      </c>
      <c r="C959" s="153">
        <f t="shared" si="9"/>
        <v>0</v>
      </c>
      <c r="D959" s="186"/>
      <c r="E959" s="161"/>
      <c r="F959" s="156"/>
      <c r="G959" s="156"/>
      <c r="H959" s="156"/>
      <c r="I959" s="156"/>
      <c r="J959" s="156"/>
      <c r="K959" s="155">
        <v>0.0</v>
      </c>
      <c r="L959" s="155">
        <f t="shared" ref="L959:M959" si="952">$K959*L$4/100</f>
        <v>0</v>
      </c>
      <c r="M959" s="155">
        <f t="shared" si="952"/>
        <v>0</v>
      </c>
    </row>
    <row r="960">
      <c r="A960" s="152">
        <f t="shared" si="7"/>
        <v>0</v>
      </c>
      <c r="B960" s="153">
        <f t="shared" si="8"/>
        <v>0</v>
      </c>
      <c r="C960" s="153">
        <f t="shared" si="9"/>
        <v>0</v>
      </c>
      <c r="D960" s="186"/>
      <c r="E960" s="161"/>
      <c r="F960" s="156"/>
      <c r="G960" s="156"/>
      <c r="H960" s="156"/>
      <c r="I960" s="156"/>
      <c r="J960" s="156"/>
      <c r="K960" s="155">
        <v>0.0</v>
      </c>
      <c r="L960" s="155">
        <f t="shared" ref="L960:M960" si="953">$K960*L$4/100</f>
        <v>0</v>
      </c>
      <c r="M960" s="155">
        <f t="shared" si="953"/>
        <v>0</v>
      </c>
    </row>
    <row r="961">
      <c r="A961" s="152">
        <f t="shared" si="7"/>
        <v>0</v>
      </c>
      <c r="B961" s="153">
        <f t="shared" si="8"/>
        <v>0</v>
      </c>
      <c r="C961" s="153">
        <f t="shared" si="9"/>
        <v>0</v>
      </c>
      <c r="D961" s="186"/>
      <c r="E961" s="161"/>
      <c r="F961" s="156"/>
      <c r="G961" s="156"/>
      <c r="H961" s="156"/>
      <c r="I961" s="156"/>
      <c r="J961" s="156"/>
      <c r="K961" s="155">
        <v>0.0</v>
      </c>
      <c r="L961" s="155">
        <f t="shared" ref="L961:M961" si="954">$K961*L$4/100</f>
        <v>0</v>
      </c>
      <c r="M961" s="155">
        <f t="shared" si="954"/>
        <v>0</v>
      </c>
    </row>
    <row r="962">
      <c r="A962" s="152">
        <f t="shared" si="7"/>
        <v>0</v>
      </c>
      <c r="B962" s="153">
        <f t="shared" si="8"/>
        <v>0</v>
      </c>
      <c r="C962" s="153">
        <f t="shared" si="9"/>
        <v>0</v>
      </c>
      <c r="D962" s="186"/>
      <c r="E962" s="161"/>
      <c r="F962" s="156"/>
      <c r="G962" s="156"/>
      <c r="H962" s="156"/>
      <c r="I962" s="156"/>
      <c r="J962" s="156"/>
      <c r="K962" s="155">
        <v>0.0</v>
      </c>
      <c r="L962" s="155">
        <f t="shared" ref="L962:M962" si="955">$K962*L$4/100</f>
        <v>0</v>
      </c>
      <c r="M962" s="155">
        <f t="shared" si="955"/>
        <v>0</v>
      </c>
    </row>
    <row r="963">
      <c r="A963" s="152">
        <f t="shared" si="7"/>
        <v>0</v>
      </c>
      <c r="B963" s="153">
        <f t="shared" si="8"/>
        <v>0</v>
      </c>
      <c r="C963" s="153">
        <f t="shared" si="9"/>
        <v>0</v>
      </c>
      <c r="D963" s="186"/>
      <c r="E963" s="161"/>
      <c r="F963" s="156"/>
      <c r="G963" s="156"/>
      <c r="H963" s="156"/>
      <c r="I963" s="156"/>
      <c r="J963" s="156"/>
      <c r="K963" s="155">
        <v>0.0</v>
      </c>
      <c r="L963" s="155">
        <f t="shared" ref="L963:M963" si="956">$K963*L$4/100</f>
        <v>0</v>
      </c>
      <c r="M963" s="155">
        <f t="shared" si="956"/>
        <v>0</v>
      </c>
    </row>
    <row r="964">
      <c r="A964" s="152">
        <f t="shared" si="7"/>
        <v>0</v>
      </c>
      <c r="B964" s="153">
        <f t="shared" si="8"/>
        <v>0</v>
      </c>
      <c r="C964" s="153">
        <f t="shared" si="9"/>
        <v>0</v>
      </c>
      <c r="D964" s="186"/>
      <c r="E964" s="161"/>
      <c r="F964" s="156"/>
      <c r="G964" s="156"/>
      <c r="H964" s="156"/>
      <c r="I964" s="156"/>
      <c r="J964" s="156"/>
      <c r="K964" s="155">
        <v>0.0</v>
      </c>
      <c r="L964" s="155">
        <f t="shared" ref="L964:M964" si="957">$K964*L$4/100</f>
        <v>0</v>
      </c>
      <c r="M964" s="155">
        <f t="shared" si="957"/>
        <v>0</v>
      </c>
    </row>
    <row r="965">
      <c r="A965" s="152">
        <f t="shared" si="7"/>
        <v>0</v>
      </c>
      <c r="B965" s="153">
        <f t="shared" si="8"/>
        <v>0</v>
      </c>
      <c r="C965" s="153">
        <f t="shared" si="9"/>
        <v>0</v>
      </c>
      <c r="D965" s="186"/>
      <c r="E965" s="161"/>
      <c r="F965" s="156"/>
      <c r="G965" s="156"/>
      <c r="H965" s="156"/>
      <c r="I965" s="156"/>
      <c r="J965" s="156"/>
      <c r="K965" s="155">
        <v>0.0</v>
      </c>
      <c r="L965" s="155">
        <f t="shared" ref="L965:M965" si="958">$K965*L$4/100</f>
        <v>0</v>
      </c>
      <c r="M965" s="155">
        <f t="shared" si="958"/>
        <v>0</v>
      </c>
    </row>
    <row r="966">
      <c r="A966" s="152">
        <f t="shared" si="7"/>
        <v>0</v>
      </c>
      <c r="B966" s="153">
        <f t="shared" si="8"/>
        <v>0</v>
      </c>
      <c r="C966" s="153">
        <f t="shared" si="9"/>
        <v>0</v>
      </c>
      <c r="D966" s="186"/>
      <c r="E966" s="161"/>
      <c r="F966" s="156"/>
      <c r="G966" s="156"/>
      <c r="H966" s="156"/>
      <c r="I966" s="156"/>
      <c r="J966" s="156"/>
      <c r="K966" s="155">
        <v>0.0</v>
      </c>
      <c r="L966" s="155">
        <f t="shared" ref="L966:M966" si="959">$K966*L$4/100</f>
        <v>0</v>
      </c>
      <c r="M966" s="155">
        <f t="shared" si="959"/>
        <v>0</v>
      </c>
    </row>
    <row r="967">
      <c r="A967" s="152">
        <f t="shared" si="7"/>
        <v>0</v>
      </c>
      <c r="B967" s="153">
        <f t="shared" si="8"/>
        <v>0</v>
      </c>
      <c r="C967" s="153">
        <f t="shared" si="9"/>
        <v>0</v>
      </c>
      <c r="D967" s="186"/>
      <c r="E967" s="161"/>
      <c r="F967" s="156"/>
      <c r="G967" s="156"/>
      <c r="H967" s="156"/>
      <c r="I967" s="156"/>
      <c r="J967" s="156"/>
      <c r="K967" s="155">
        <v>0.0</v>
      </c>
      <c r="L967" s="155">
        <f t="shared" ref="L967:M967" si="960">$K967*L$4/100</f>
        <v>0</v>
      </c>
      <c r="M967" s="155">
        <f t="shared" si="960"/>
        <v>0</v>
      </c>
    </row>
    <row r="968">
      <c r="A968" s="152">
        <f t="shared" si="7"/>
        <v>0</v>
      </c>
      <c r="B968" s="153">
        <f t="shared" si="8"/>
        <v>0</v>
      </c>
      <c r="C968" s="153">
        <f t="shared" si="9"/>
        <v>0</v>
      </c>
      <c r="D968" s="186"/>
      <c r="E968" s="161"/>
      <c r="F968" s="156"/>
      <c r="G968" s="156"/>
      <c r="H968" s="156"/>
      <c r="I968" s="156"/>
      <c r="J968" s="156"/>
      <c r="K968" s="155">
        <v>0.0</v>
      </c>
      <c r="L968" s="155">
        <f t="shared" ref="L968:M968" si="961">$K968*L$4/100</f>
        <v>0</v>
      </c>
      <c r="M968" s="155">
        <f t="shared" si="961"/>
        <v>0</v>
      </c>
    </row>
    <row r="969">
      <c r="A969" s="152">
        <f t="shared" si="7"/>
        <v>0</v>
      </c>
      <c r="B969" s="153">
        <f t="shared" si="8"/>
        <v>0</v>
      </c>
      <c r="C969" s="153">
        <f t="shared" si="9"/>
        <v>0</v>
      </c>
      <c r="D969" s="186"/>
      <c r="E969" s="161"/>
      <c r="F969" s="156"/>
      <c r="G969" s="156"/>
      <c r="H969" s="156"/>
      <c r="I969" s="156"/>
      <c r="J969" s="156"/>
      <c r="K969" s="155">
        <v>0.0</v>
      </c>
      <c r="L969" s="155">
        <f t="shared" ref="L969:M969" si="962">$K969*L$4/100</f>
        <v>0</v>
      </c>
      <c r="M969" s="155">
        <f t="shared" si="962"/>
        <v>0</v>
      </c>
    </row>
    <row r="970">
      <c r="A970" s="152">
        <f t="shared" si="7"/>
        <v>0</v>
      </c>
      <c r="B970" s="153">
        <f t="shared" si="8"/>
        <v>0</v>
      </c>
      <c r="C970" s="153">
        <f t="shared" si="9"/>
        <v>0</v>
      </c>
      <c r="D970" s="186"/>
      <c r="E970" s="161"/>
      <c r="F970" s="156"/>
      <c r="G970" s="156"/>
      <c r="H970" s="156"/>
      <c r="I970" s="156"/>
      <c r="J970" s="156"/>
      <c r="K970" s="155">
        <v>0.0</v>
      </c>
      <c r="L970" s="155">
        <f t="shared" ref="L970:M970" si="963">$K970*L$4/100</f>
        <v>0</v>
      </c>
      <c r="M970" s="155">
        <f t="shared" si="963"/>
        <v>0</v>
      </c>
    </row>
    <row r="971">
      <c r="A971" s="152">
        <f t="shared" si="7"/>
        <v>0</v>
      </c>
      <c r="B971" s="153">
        <f t="shared" si="8"/>
        <v>0</v>
      </c>
      <c r="C971" s="153">
        <f t="shared" si="9"/>
        <v>0</v>
      </c>
      <c r="D971" s="186"/>
      <c r="E971" s="161"/>
      <c r="F971" s="156"/>
      <c r="G971" s="156"/>
      <c r="H971" s="156"/>
      <c r="I971" s="156"/>
      <c r="J971" s="156"/>
      <c r="K971" s="155">
        <v>0.0</v>
      </c>
      <c r="L971" s="155">
        <f t="shared" ref="L971:M971" si="964">$K971*L$4/100</f>
        <v>0</v>
      </c>
      <c r="M971" s="155">
        <f t="shared" si="964"/>
        <v>0</v>
      </c>
    </row>
    <row r="972">
      <c r="A972" s="152">
        <f t="shared" si="7"/>
        <v>0</v>
      </c>
      <c r="B972" s="153">
        <f t="shared" si="8"/>
        <v>0</v>
      </c>
      <c r="C972" s="153">
        <f t="shared" si="9"/>
        <v>0</v>
      </c>
      <c r="D972" s="186"/>
      <c r="E972" s="161"/>
      <c r="F972" s="156"/>
      <c r="G972" s="156"/>
      <c r="H972" s="156"/>
      <c r="I972" s="156"/>
      <c r="J972" s="156"/>
      <c r="K972" s="155">
        <v>0.0</v>
      </c>
      <c r="L972" s="155">
        <f t="shared" ref="L972:M972" si="965">$K972*L$4/100</f>
        <v>0</v>
      </c>
      <c r="M972" s="155">
        <f t="shared" si="965"/>
        <v>0</v>
      </c>
    </row>
    <row r="973">
      <c r="A973" s="152">
        <f t="shared" si="7"/>
        <v>0</v>
      </c>
      <c r="B973" s="153">
        <f t="shared" si="8"/>
        <v>0</v>
      </c>
      <c r="C973" s="153">
        <f t="shared" si="9"/>
        <v>0</v>
      </c>
      <c r="D973" s="186"/>
      <c r="E973" s="161"/>
      <c r="F973" s="156"/>
      <c r="G973" s="156"/>
      <c r="H973" s="156"/>
      <c r="I973" s="156"/>
      <c r="J973" s="156"/>
      <c r="K973" s="155">
        <v>0.0</v>
      </c>
      <c r="L973" s="155">
        <f t="shared" ref="L973:M973" si="966">$K973*L$4/100</f>
        <v>0</v>
      </c>
      <c r="M973" s="155">
        <f t="shared" si="966"/>
        <v>0</v>
      </c>
    </row>
    <row r="974">
      <c r="A974" s="152">
        <f t="shared" si="7"/>
        <v>0</v>
      </c>
      <c r="B974" s="153">
        <f t="shared" si="8"/>
        <v>0</v>
      </c>
      <c r="C974" s="153">
        <f t="shared" si="9"/>
        <v>0</v>
      </c>
      <c r="D974" s="186"/>
      <c r="E974" s="161"/>
      <c r="F974" s="156"/>
      <c r="G974" s="156"/>
      <c r="H974" s="156"/>
      <c r="I974" s="156"/>
      <c r="J974" s="156"/>
      <c r="K974" s="155">
        <v>0.0</v>
      </c>
      <c r="L974" s="155">
        <f t="shared" ref="L974:M974" si="967">$K974*L$4/100</f>
        <v>0</v>
      </c>
      <c r="M974" s="155">
        <f t="shared" si="967"/>
        <v>0</v>
      </c>
    </row>
    <row r="975">
      <c r="A975" s="152">
        <f t="shared" si="7"/>
        <v>0</v>
      </c>
      <c r="B975" s="153">
        <f t="shared" si="8"/>
        <v>0</v>
      </c>
      <c r="C975" s="153">
        <f t="shared" si="9"/>
        <v>0</v>
      </c>
      <c r="D975" s="186"/>
      <c r="E975" s="161"/>
      <c r="F975" s="156"/>
      <c r="G975" s="156"/>
      <c r="H975" s="156"/>
      <c r="I975" s="156"/>
      <c r="J975" s="156"/>
      <c r="K975" s="155">
        <v>0.0</v>
      </c>
      <c r="L975" s="155">
        <f t="shared" ref="L975:M975" si="968">$K975*L$4/100</f>
        <v>0</v>
      </c>
      <c r="M975" s="155">
        <f t="shared" si="968"/>
        <v>0</v>
      </c>
    </row>
    <row r="976">
      <c r="A976" s="152">
        <f t="shared" si="7"/>
        <v>0</v>
      </c>
      <c r="B976" s="153">
        <f t="shared" si="8"/>
        <v>0</v>
      </c>
      <c r="C976" s="153">
        <f t="shared" si="9"/>
        <v>0</v>
      </c>
      <c r="D976" s="186"/>
      <c r="E976" s="161"/>
      <c r="F976" s="156"/>
      <c r="G976" s="156"/>
      <c r="H976" s="156"/>
      <c r="I976" s="156"/>
      <c r="J976" s="156"/>
      <c r="K976" s="155">
        <v>0.0</v>
      </c>
      <c r="L976" s="155">
        <f t="shared" ref="L976:M976" si="969">$K976*L$4/100</f>
        <v>0</v>
      </c>
      <c r="M976" s="155">
        <f t="shared" si="969"/>
        <v>0</v>
      </c>
    </row>
    <row r="977">
      <c r="A977" s="152">
        <f t="shared" si="7"/>
        <v>0</v>
      </c>
      <c r="B977" s="153">
        <f t="shared" si="8"/>
        <v>0</v>
      </c>
      <c r="C977" s="153">
        <f t="shared" si="9"/>
        <v>0</v>
      </c>
      <c r="D977" s="186"/>
      <c r="E977" s="161"/>
      <c r="F977" s="156"/>
      <c r="G977" s="156"/>
      <c r="H977" s="156"/>
      <c r="I977" s="156"/>
      <c r="J977" s="156"/>
      <c r="K977" s="155">
        <v>0.0</v>
      </c>
      <c r="L977" s="155">
        <f t="shared" ref="L977:M977" si="970">$K977*L$4/100</f>
        <v>0</v>
      </c>
      <c r="M977" s="155">
        <f t="shared" si="970"/>
        <v>0</v>
      </c>
    </row>
    <row r="978">
      <c r="A978" s="152">
        <f t="shared" si="7"/>
        <v>0</v>
      </c>
      <c r="B978" s="153">
        <f t="shared" si="8"/>
        <v>0</v>
      </c>
      <c r="C978" s="153">
        <f t="shared" si="9"/>
        <v>0</v>
      </c>
      <c r="D978" s="186"/>
      <c r="E978" s="161"/>
      <c r="F978" s="156"/>
      <c r="G978" s="156"/>
      <c r="H978" s="156"/>
      <c r="I978" s="156"/>
      <c r="J978" s="156"/>
      <c r="K978" s="155">
        <v>0.0</v>
      </c>
      <c r="L978" s="155">
        <f t="shared" ref="L978:M978" si="971">$K978*L$4/100</f>
        <v>0</v>
      </c>
      <c r="M978" s="155">
        <f t="shared" si="971"/>
        <v>0</v>
      </c>
    </row>
    <row r="979">
      <c r="A979" s="152">
        <f t="shared" si="7"/>
        <v>0</v>
      </c>
      <c r="B979" s="153">
        <f t="shared" si="8"/>
        <v>0</v>
      </c>
      <c r="C979" s="153">
        <f t="shared" si="9"/>
        <v>0</v>
      </c>
      <c r="D979" s="186"/>
      <c r="E979" s="161"/>
      <c r="F979" s="156"/>
      <c r="G979" s="156"/>
      <c r="H979" s="156"/>
      <c r="I979" s="156"/>
      <c r="J979" s="156"/>
      <c r="K979" s="155">
        <v>0.0</v>
      </c>
      <c r="L979" s="155">
        <f t="shared" ref="L979:M979" si="972">$K979*L$4/100</f>
        <v>0</v>
      </c>
      <c r="M979" s="155">
        <f t="shared" si="972"/>
        <v>0</v>
      </c>
    </row>
    <row r="980">
      <c r="A980" s="152">
        <f t="shared" si="7"/>
        <v>0</v>
      </c>
      <c r="B980" s="153">
        <f t="shared" si="8"/>
        <v>0</v>
      </c>
      <c r="C980" s="153">
        <f t="shared" si="9"/>
        <v>0</v>
      </c>
      <c r="D980" s="186"/>
      <c r="E980" s="161"/>
      <c r="F980" s="156"/>
      <c r="G980" s="156"/>
      <c r="H980" s="156"/>
      <c r="I980" s="156"/>
      <c r="J980" s="156"/>
      <c r="K980" s="155">
        <v>0.0</v>
      </c>
      <c r="L980" s="155">
        <f t="shared" ref="L980:M980" si="973">$K980*L$4/100</f>
        <v>0</v>
      </c>
      <c r="M980" s="155">
        <f t="shared" si="973"/>
        <v>0</v>
      </c>
    </row>
    <row r="981">
      <c r="A981" s="152">
        <f t="shared" si="7"/>
        <v>0</v>
      </c>
      <c r="B981" s="153">
        <f t="shared" si="8"/>
        <v>0</v>
      </c>
      <c r="C981" s="153">
        <f t="shared" si="9"/>
        <v>0</v>
      </c>
      <c r="D981" s="186"/>
      <c r="E981" s="161"/>
      <c r="F981" s="156"/>
      <c r="G981" s="156"/>
      <c r="H981" s="156"/>
      <c r="I981" s="156"/>
      <c r="J981" s="156"/>
      <c r="K981" s="155">
        <v>0.0</v>
      </c>
      <c r="L981" s="155">
        <f t="shared" ref="L981:M981" si="974">$K981*L$4/100</f>
        <v>0</v>
      </c>
      <c r="M981" s="155">
        <f t="shared" si="974"/>
        <v>0</v>
      </c>
    </row>
    <row r="982">
      <c r="A982" s="152">
        <f t="shared" si="7"/>
        <v>0</v>
      </c>
      <c r="B982" s="153">
        <f t="shared" si="8"/>
        <v>0</v>
      </c>
      <c r="C982" s="153">
        <f t="shared" si="9"/>
        <v>0</v>
      </c>
      <c r="D982" s="186"/>
      <c r="E982" s="161"/>
      <c r="F982" s="156"/>
      <c r="G982" s="156"/>
      <c r="H982" s="156"/>
      <c r="I982" s="156"/>
      <c r="J982" s="156"/>
      <c r="K982" s="155">
        <v>0.0</v>
      </c>
      <c r="L982" s="155">
        <f t="shared" ref="L982:M982" si="975">$K982*L$4/100</f>
        <v>0</v>
      </c>
      <c r="M982" s="155">
        <f t="shared" si="975"/>
        <v>0</v>
      </c>
    </row>
    <row r="983">
      <c r="A983" s="152">
        <f t="shared" si="7"/>
        <v>0</v>
      </c>
      <c r="B983" s="153">
        <f t="shared" si="8"/>
        <v>0</v>
      </c>
      <c r="C983" s="153">
        <f t="shared" si="9"/>
        <v>0</v>
      </c>
      <c r="D983" s="186"/>
      <c r="E983" s="161"/>
      <c r="F983" s="156"/>
      <c r="G983" s="156"/>
      <c r="H983" s="156"/>
      <c r="I983" s="156"/>
      <c r="J983" s="156"/>
      <c r="K983" s="155">
        <v>0.0</v>
      </c>
      <c r="L983" s="155">
        <f t="shared" ref="L983:M983" si="976">$K983*L$4/100</f>
        <v>0</v>
      </c>
      <c r="M983" s="155">
        <f t="shared" si="976"/>
        <v>0</v>
      </c>
    </row>
    <row r="984">
      <c r="A984" s="152">
        <f t="shared" si="7"/>
        <v>0</v>
      </c>
      <c r="B984" s="153">
        <f t="shared" si="8"/>
        <v>0</v>
      </c>
      <c r="C984" s="153">
        <f t="shared" si="9"/>
        <v>0</v>
      </c>
      <c r="D984" s="186"/>
      <c r="E984" s="161"/>
      <c r="F984" s="156"/>
      <c r="G984" s="156"/>
      <c r="H984" s="156"/>
      <c r="I984" s="156"/>
      <c r="J984" s="156"/>
      <c r="K984" s="155">
        <v>0.0</v>
      </c>
      <c r="L984" s="155">
        <f t="shared" ref="L984:M984" si="977">$K984*L$4/100</f>
        <v>0</v>
      </c>
      <c r="M984" s="155">
        <f t="shared" si="977"/>
        <v>0</v>
      </c>
    </row>
    <row r="985">
      <c r="A985" s="152">
        <f t="shared" si="7"/>
        <v>0</v>
      </c>
      <c r="B985" s="153">
        <f t="shared" si="8"/>
        <v>0</v>
      </c>
      <c r="C985" s="153">
        <f t="shared" si="9"/>
        <v>0</v>
      </c>
      <c r="D985" s="186"/>
      <c r="E985" s="161"/>
      <c r="F985" s="156"/>
      <c r="G985" s="156"/>
      <c r="H985" s="156"/>
      <c r="I985" s="156"/>
      <c r="J985" s="156"/>
      <c r="K985" s="155">
        <v>0.0</v>
      </c>
      <c r="L985" s="155">
        <f t="shared" ref="L985:M985" si="978">$K985*L$4/100</f>
        <v>0</v>
      </c>
      <c r="M985" s="155">
        <f t="shared" si="978"/>
        <v>0</v>
      </c>
    </row>
    <row r="986">
      <c r="A986" s="152">
        <f t="shared" si="7"/>
        <v>0</v>
      </c>
      <c r="B986" s="153">
        <f t="shared" si="8"/>
        <v>0</v>
      </c>
      <c r="C986" s="153">
        <f t="shared" si="9"/>
        <v>0</v>
      </c>
      <c r="D986" s="186"/>
      <c r="E986" s="161"/>
      <c r="F986" s="156"/>
      <c r="G986" s="156"/>
      <c r="H986" s="156"/>
      <c r="I986" s="156"/>
      <c r="J986" s="156"/>
      <c r="K986" s="155">
        <v>0.0</v>
      </c>
      <c r="L986" s="155">
        <f t="shared" ref="L986:M986" si="979">$K986*L$4/100</f>
        <v>0</v>
      </c>
      <c r="M986" s="155">
        <f t="shared" si="979"/>
        <v>0</v>
      </c>
    </row>
    <row r="987">
      <c r="A987" s="152">
        <f t="shared" si="7"/>
        <v>0</v>
      </c>
      <c r="B987" s="153">
        <f t="shared" si="8"/>
        <v>0</v>
      </c>
      <c r="C987" s="153">
        <f t="shared" si="9"/>
        <v>0</v>
      </c>
      <c r="D987" s="186"/>
      <c r="E987" s="161"/>
      <c r="F987" s="156"/>
      <c r="G987" s="156"/>
      <c r="H987" s="156"/>
      <c r="I987" s="156"/>
      <c r="J987" s="156"/>
      <c r="K987" s="155">
        <v>0.0</v>
      </c>
      <c r="L987" s="155">
        <f t="shared" ref="L987:M987" si="980">$K987*L$4/100</f>
        <v>0</v>
      </c>
      <c r="M987" s="155">
        <f t="shared" si="980"/>
        <v>0</v>
      </c>
    </row>
    <row r="988">
      <c r="A988" s="152">
        <f t="shared" si="7"/>
        <v>0</v>
      </c>
      <c r="B988" s="153">
        <f t="shared" si="8"/>
        <v>0</v>
      </c>
      <c r="C988" s="153">
        <f t="shared" si="9"/>
        <v>0</v>
      </c>
      <c r="D988" s="186"/>
      <c r="E988" s="161"/>
      <c r="F988" s="156"/>
      <c r="G988" s="156"/>
      <c r="H988" s="156"/>
      <c r="I988" s="156"/>
      <c r="J988" s="156"/>
      <c r="K988" s="155">
        <v>0.0</v>
      </c>
      <c r="L988" s="155">
        <f t="shared" ref="L988:M988" si="981">$K988*L$4/100</f>
        <v>0</v>
      </c>
      <c r="M988" s="155">
        <f t="shared" si="981"/>
        <v>0</v>
      </c>
    </row>
    <row r="989">
      <c r="A989" s="152">
        <f t="shared" si="7"/>
        <v>0</v>
      </c>
      <c r="B989" s="153">
        <f t="shared" si="8"/>
        <v>0</v>
      </c>
      <c r="C989" s="153">
        <f t="shared" si="9"/>
        <v>0</v>
      </c>
      <c r="D989" s="186"/>
      <c r="E989" s="161"/>
      <c r="F989" s="156"/>
      <c r="G989" s="156"/>
      <c r="H989" s="156"/>
      <c r="I989" s="156"/>
      <c r="J989" s="156"/>
      <c r="K989" s="155">
        <v>0.0</v>
      </c>
      <c r="L989" s="155">
        <f t="shared" ref="L989:M989" si="982">$K989*L$4/100</f>
        <v>0</v>
      </c>
      <c r="M989" s="155">
        <f t="shared" si="982"/>
        <v>0</v>
      </c>
    </row>
    <row r="990">
      <c r="A990" s="152">
        <f t="shared" si="7"/>
        <v>0</v>
      </c>
      <c r="B990" s="153">
        <f t="shared" si="8"/>
        <v>0</v>
      </c>
      <c r="C990" s="153">
        <f t="shared" si="9"/>
        <v>0</v>
      </c>
      <c r="D990" s="186"/>
      <c r="E990" s="161"/>
      <c r="F990" s="156"/>
      <c r="G990" s="156"/>
      <c r="H990" s="156"/>
      <c r="I990" s="156"/>
      <c r="J990" s="156"/>
      <c r="K990" s="155">
        <v>0.0</v>
      </c>
      <c r="L990" s="155">
        <f t="shared" ref="L990:M990" si="983">$K990*L$4/100</f>
        <v>0</v>
      </c>
      <c r="M990" s="155">
        <f t="shared" si="983"/>
        <v>0</v>
      </c>
    </row>
    <row r="991">
      <c r="A991" s="152">
        <f t="shared" si="7"/>
        <v>0</v>
      </c>
      <c r="B991" s="153">
        <f t="shared" si="8"/>
        <v>0</v>
      </c>
      <c r="C991" s="153">
        <f t="shared" si="9"/>
        <v>0</v>
      </c>
      <c r="D991" s="186"/>
      <c r="E991" s="161"/>
      <c r="F991" s="156"/>
      <c r="G991" s="156"/>
      <c r="H991" s="156"/>
      <c r="I991" s="156"/>
      <c r="J991" s="156"/>
      <c r="K991" s="155">
        <v>0.0</v>
      </c>
      <c r="L991" s="155">
        <f t="shared" ref="L991:M991" si="984">$K991*L$4/100</f>
        <v>0</v>
      </c>
      <c r="M991" s="155">
        <f t="shared" si="984"/>
        <v>0</v>
      </c>
    </row>
    <row r="992">
      <c r="A992" s="152">
        <f t="shared" si="7"/>
        <v>0</v>
      </c>
      <c r="B992" s="153">
        <f t="shared" si="8"/>
        <v>0</v>
      </c>
      <c r="C992" s="153">
        <f t="shared" si="9"/>
        <v>0</v>
      </c>
      <c r="D992" s="186"/>
      <c r="E992" s="161"/>
      <c r="F992" s="156"/>
      <c r="G992" s="156"/>
      <c r="H992" s="156"/>
      <c r="I992" s="156"/>
      <c r="J992" s="156"/>
      <c r="K992" s="155">
        <v>0.0</v>
      </c>
      <c r="L992" s="155">
        <f t="shared" ref="L992:M992" si="985">$K992*L$4/100</f>
        <v>0</v>
      </c>
      <c r="M992" s="155">
        <f t="shared" si="985"/>
        <v>0</v>
      </c>
    </row>
    <row r="993">
      <c r="A993" s="152">
        <f t="shared" si="7"/>
        <v>0</v>
      </c>
      <c r="B993" s="153">
        <f t="shared" si="8"/>
        <v>0</v>
      </c>
      <c r="C993" s="153">
        <f t="shared" si="9"/>
        <v>0</v>
      </c>
      <c r="D993" s="186"/>
      <c r="E993" s="161"/>
      <c r="F993" s="156"/>
      <c r="G993" s="156"/>
      <c r="H993" s="156"/>
      <c r="I993" s="156"/>
      <c r="J993" s="156"/>
      <c r="K993" s="155">
        <v>0.0</v>
      </c>
      <c r="L993" s="155">
        <f t="shared" ref="L993:M993" si="986">$K993*L$4/100</f>
        <v>0</v>
      </c>
      <c r="M993" s="155">
        <f t="shared" si="986"/>
        <v>0</v>
      </c>
    </row>
    <row r="994">
      <c r="A994" s="152">
        <f t="shared" si="7"/>
        <v>0</v>
      </c>
      <c r="B994" s="153">
        <f t="shared" si="8"/>
        <v>0</v>
      </c>
      <c r="C994" s="153">
        <f t="shared" si="9"/>
        <v>0</v>
      </c>
      <c r="D994" s="186"/>
      <c r="E994" s="161"/>
      <c r="F994" s="156"/>
      <c r="G994" s="156"/>
      <c r="H994" s="156"/>
      <c r="I994" s="156"/>
      <c r="J994" s="156"/>
      <c r="K994" s="155">
        <v>0.0</v>
      </c>
      <c r="L994" s="155">
        <f t="shared" ref="L994:M994" si="987">$K994*L$4/100</f>
        <v>0</v>
      </c>
      <c r="M994" s="155">
        <f t="shared" si="987"/>
        <v>0</v>
      </c>
    </row>
    <row r="995">
      <c r="A995" s="152">
        <f t="shared" si="7"/>
        <v>0</v>
      </c>
      <c r="B995" s="153">
        <f t="shared" si="8"/>
        <v>0</v>
      </c>
      <c r="C995" s="153">
        <f t="shared" si="9"/>
        <v>0</v>
      </c>
      <c r="D995" s="186"/>
      <c r="E995" s="161"/>
      <c r="F995" s="156"/>
      <c r="G995" s="156"/>
      <c r="H995" s="156"/>
      <c r="I995" s="156"/>
      <c r="J995" s="156"/>
      <c r="K995" s="155">
        <v>0.0</v>
      </c>
      <c r="L995" s="155">
        <f t="shared" ref="L995:M995" si="988">$K995*L$4/100</f>
        <v>0</v>
      </c>
      <c r="M995" s="155">
        <f t="shared" si="988"/>
        <v>0</v>
      </c>
    </row>
    <row r="996">
      <c r="A996" s="152">
        <f t="shared" si="7"/>
        <v>0</v>
      </c>
      <c r="B996" s="153">
        <f t="shared" si="8"/>
        <v>0</v>
      </c>
      <c r="C996" s="153">
        <f t="shared" si="9"/>
        <v>0</v>
      </c>
      <c r="D996" s="186"/>
      <c r="E996" s="161"/>
      <c r="F996" s="156"/>
      <c r="G996" s="156"/>
      <c r="H996" s="156"/>
      <c r="I996" s="156"/>
      <c r="J996" s="156"/>
      <c r="K996" s="155">
        <v>0.0</v>
      </c>
      <c r="L996" s="155">
        <f t="shared" ref="L996:M996" si="989">$K996*L$4/100</f>
        <v>0</v>
      </c>
      <c r="M996" s="155">
        <f t="shared" si="989"/>
        <v>0</v>
      </c>
    </row>
    <row r="997">
      <c r="A997" s="152">
        <f t="shared" si="7"/>
        <v>0</v>
      </c>
      <c r="B997" s="153">
        <f t="shared" si="8"/>
        <v>0</v>
      </c>
      <c r="C997" s="153">
        <f t="shared" si="9"/>
        <v>0</v>
      </c>
      <c r="D997" s="186"/>
      <c r="E997" s="161"/>
      <c r="F997" s="156"/>
      <c r="G997" s="156"/>
      <c r="H997" s="156"/>
      <c r="I997" s="156"/>
      <c r="J997" s="156"/>
      <c r="K997" s="155">
        <v>0.0</v>
      </c>
      <c r="L997" s="155">
        <f t="shared" ref="L997:M997" si="990">$K997*L$4/100</f>
        <v>0</v>
      </c>
      <c r="M997" s="155">
        <f t="shared" si="990"/>
        <v>0</v>
      </c>
    </row>
    <row r="998">
      <c r="A998" s="152">
        <f t="shared" si="7"/>
        <v>0</v>
      </c>
      <c r="B998" s="153">
        <f t="shared" si="8"/>
        <v>0</v>
      </c>
      <c r="C998" s="153">
        <f t="shared" si="9"/>
        <v>0</v>
      </c>
      <c r="D998" s="186"/>
      <c r="E998" s="161"/>
      <c r="F998" s="156"/>
      <c r="G998" s="156"/>
      <c r="H998" s="156"/>
      <c r="I998" s="156"/>
      <c r="J998" s="156"/>
      <c r="K998" s="155">
        <v>0.0</v>
      </c>
      <c r="L998" s="155">
        <f t="shared" ref="L998:M998" si="991">$K998*L$4/100</f>
        <v>0</v>
      </c>
      <c r="M998" s="155">
        <f t="shared" si="991"/>
        <v>0</v>
      </c>
    </row>
    <row r="999">
      <c r="A999" s="152">
        <f t="shared" si="7"/>
        <v>0</v>
      </c>
      <c r="B999" s="153">
        <f t="shared" si="8"/>
        <v>0</v>
      </c>
      <c r="C999" s="153">
        <f t="shared" si="9"/>
        <v>0</v>
      </c>
      <c r="D999" s="186"/>
      <c r="E999" s="161"/>
      <c r="F999" s="156"/>
      <c r="G999" s="156"/>
      <c r="H999" s="156"/>
      <c r="I999" s="156"/>
      <c r="J999" s="156"/>
      <c r="K999" s="155">
        <v>0.0</v>
      </c>
      <c r="L999" s="155">
        <f t="shared" ref="L999:M999" si="992">$K999*L$4/100</f>
        <v>0</v>
      </c>
      <c r="M999" s="155">
        <f t="shared" si="992"/>
        <v>0</v>
      </c>
    </row>
    <row r="1000">
      <c r="A1000" s="152">
        <f t="shared" si="7"/>
        <v>0</v>
      </c>
      <c r="B1000" s="153">
        <f t="shared" si="8"/>
        <v>0</v>
      </c>
      <c r="C1000" s="153">
        <f t="shared" si="9"/>
        <v>0</v>
      </c>
      <c r="D1000" s="186"/>
      <c r="E1000" s="161"/>
      <c r="F1000" s="156"/>
      <c r="G1000" s="156"/>
      <c r="H1000" s="156"/>
      <c r="I1000" s="156"/>
      <c r="J1000" s="156"/>
      <c r="K1000" s="155">
        <v>0.0</v>
      </c>
      <c r="L1000" s="155">
        <f t="shared" ref="L1000:M1000" si="993">$K1000*L$4/100</f>
        <v>0</v>
      </c>
      <c r="M1000" s="155">
        <f t="shared" si="993"/>
        <v>0</v>
      </c>
    </row>
    <row r="1001">
      <c r="A1001" s="152">
        <f t="shared" si="7"/>
        <v>0</v>
      </c>
      <c r="B1001" s="153">
        <f t="shared" si="8"/>
        <v>0</v>
      </c>
      <c r="C1001" s="153">
        <f t="shared" si="9"/>
        <v>0</v>
      </c>
      <c r="D1001" s="186"/>
      <c r="E1001" s="161"/>
      <c r="F1001" s="156"/>
      <c r="G1001" s="156"/>
      <c r="H1001" s="156"/>
      <c r="I1001" s="156"/>
      <c r="J1001" s="156"/>
      <c r="K1001" s="155">
        <v>0.0</v>
      </c>
      <c r="L1001" s="155">
        <f t="shared" ref="L1001:M1001" si="994">$K1001*L$4/100</f>
        <v>0</v>
      </c>
      <c r="M1001" s="155">
        <f t="shared" si="994"/>
        <v>0</v>
      </c>
    </row>
    <row r="1002">
      <c r="A1002" s="152">
        <f t="shared" si="7"/>
        <v>0</v>
      </c>
      <c r="B1002" s="153">
        <f t="shared" si="8"/>
        <v>0</v>
      </c>
      <c r="C1002" s="153">
        <f t="shared" si="9"/>
        <v>0</v>
      </c>
      <c r="D1002" s="186"/>
      <c r="E1002" s="161"/>
      <c r="F1002" s="156"/>
      <c r="G1002" s="156"/>
      <c r="H1002" s="156"/>
      <c r="I1002" s="156"/>
      <c r="J1002" s="156"/>
      <c r="K1002" s="155">
        <v>0.0</v>
      </c>
      <c r="L1002" s="155">
        <f t="shared" ref="L1002:M1002" si="995">$K1002*L$4/100</f>
        <v>0</v>
      </c>
      <c r="M1002" s="155">
        <f t="shared" si="995"/>
        <v>0</v>
      </c>
    </row>
    <row r="1003">
      <c r="A1003" s="152">
        <f t="shared" si="7"/>
        <v>0</v>
      </c>
      <c r="B1003" s="153">
        <f t="shared" si="8"/>
        <v>0</v>
      </c>
      <c r="C1003" s="153">
        <f t="shared" si="9"/>
        <v>0</v>
      </c>
      <c r="D1003" s="186"/>
      <c r="E1003" s="161"/>
      <c r="F1003" s="156"/>
      <c r="G1003" s="156"/>
      <c r="H1003" s="156"/>
      <c r="I1003" s="156"/>
      <c r="J1003" s="156"/>
      <c r="K1003" s="155">
        <v>0.0</v>
      </c>
      <c r="L1003" s="155">
        <f t="shared" ref="L1003:M1003" si="996">$K1003*L$4/100</f>
        <v>0</v>
      </c>
      <c r="M1003" s="155">
        <f t="shared" si="996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9.88"/>
    <col customWidth="1" min="4" max="4" width="13.38"/>
    <col customWidth="1" min="5" max="5" width="16.63"/>
    <col customWidth="1" min="6" max="6" width="19.0"/>
    <col customWidth="1" min="7" max="10" width="5.5"/>
    <col customWidth="1" min="11" max="11" width="8.0"/>
    <col customWidth="1" min="12" max="12" width="7.0"/>
    <col customWidth="1" min="13" max="14" width="5.5"/>
    <col customWidth="1" min="15" max="15" width="5.63"/>
    <col customWidth="1" min="16" max="20" width="5.5"/>
    <col customWidth="1" min="21" max="21" width="9.75"/>
    <col customWidth="1" min="22" max="22" width="24.25"/>
    <col customWidth="1" min="23" max="23" width="55.25"/>
    <col customWidth="1" min="24" max="24" width="5.63"/>
    <col customWidth="1" min="26" max="26" width="9.75"/>
    <col customWidth="1" min="27" max="27" width="5.63"/>
    <col customWidth="1" min="28" max="30" width="2.88"/>
    <col customWidth="1" min="31" max="31" width="8.0"/>
    <col customWidth="1" min="32" max="33" width="8.88"/>
    <col customWidth="1" min="34" max="34" width="8.0"/>
    <col customWidth="1" min="36" max="36" width="9.0"/>
    <col customWidth="1" min="37" max="37" width="21.63"/>
    <col customWidth="1" min="38" max="38" width="12.75"/>
    <col customWidth="1" min="39" max="39" width="5.88"/>
    <col customWidth="1" min="40" max="40" width="16.5"/>
    <col customWidth="1" min="41" max="41" width="10.0"/>
    <col customWidth="1" min="42" max="42" width="13.88"/>
    <col customWidth="1" min="43" max="43" width="8.63"/>
    <col customWidth="1" min="44" max="44" width="19.63"/>
  </cols>
  <sheetData>
    <row r="3">
      <c r="V3" s="6" t="s">
        <v>145</v>
      </c>
      <c r="W3" s="2">
        <f>W6-W10</f>
        <v>67146</v>
      </c>
      <c r="Z3" s="2">
        <f>Z6-Z10</f>
        <v>1895446.05</v>
      </c>
    </row>
    <row r="4">
      <c r="B4" s="6" t="s">
        <v>146</v>
      </c>
      <c r="C4" s="187">
        <v>45809.0</v>
      </c>
      <c r="F4" s="2">
        <f>sum(F6:F9)</f>
        <v>562037.76</v>
      </c>
      <c r="O4" s="2">
        <f>sum(O6:O1000)</f>
        <v>16359</v>
      </c>
    </row>
    <row r="5">
      <c r="D5" s="6" t="s">
        <v>147</v>
      </c>
      <c r="E5" s="6" t="s">
        <v>148</v>
      </c>
      <c r="F5" s="6" t="s">
        <v>149</v>
      </c>
      <c r="O5" s="6" t="s">
        <v>150</v>
      </c>
      <c r="U5" s="2">
        <f>145649</f>
        <v>145649</v>
      </c>
      <c r="V5" s="6" t="s">
        <v>151</v>
      </c>
    </row>
    <row r="6">
      <c r="C6" s="6" t="s">
        <v>87</v>
      </c>
      <c r="D6" s="6">
        <v>790000.0</v>
      </c>
      <c r="E6" s="6">
        <v>651214.46</v>
      </c>
      <c r="F6" s="2">
        <f t="shared" ref="F6:F9" si="2">D6-E6</f>
        <v>138785.54</v>
      </c>
      <c r="O6" s="6">
        <v>6895.0</v>
      </c>
      <c r="U6" s="2">
        <f>sum(W6:AP6)</f>
        <v>2912722.05</v>
      </c>
      <c r="V6" s="6" t="s">
        <v>152</v>
      </c>
      <c r="W6" s="2">
        <f t="shared" ref="W6:X6" si="1">sum(W8:W1000)</f>
        <v>79916</v>
      </c>
      <c r="X6" s="2">
        <f t="shared" si="1"/>
        <v>69000</v>
      </c>
      <c r="Z6" s="2">
        <f>sum(Z8:Z1000)</f>
        <v>2763806.05</v>
      </c>
    </row>
    <row r="7">
      <c r="C7" s="6" t="s">
        <v>153</v>
      </c>
      <c r="D7" s="6">
        <v>660000.0</v>
      </c>
      <c r="E7" s="6">
        <v>367662.93</v>
      </c>
      <c r="F7" s="2">
        <f t="shared" si="2"/>
        <v>292337.07</v>
      </c>
      <c r="O7" s="6">
        <v>6781.0</v>
      </c>
      <c r="U7" s="188"/>
      <c r="V7" s="188"/>
      <c r="W7" s="188"/>
      <c r="AE7" s="6">
        <v>4003.0</v>
      </c>
      <c r="AF7" s="6">
        <v>3002.0</v>
      </c>
      <c r="AG7" s="6">
        <v>7018.0</v>
      </c>
      <c r="AH7" s="6">
        <v>7221.0</v>
      </c>
    </row>
    <row r="8">
      <c r="C8" s="6" t="s">
        <v>154</v>
      </c>
      <c r="D8" s="6">
        <v>790000.0</v>
      </c>
      <c r="E8" s="6">
        <v>745719.62</v>
      </c>
      <c r="F8" s="2">
        <f t="shared" si="2"/>
        <v>44280.38</v>
      </c>
      <c r="O8" s="6">
        <v>33.0</v>
      </c>
      <c r="V8" s="6" t="s">
        <v>155</v>
      </c>
      <c r="W8" s="6">
        <v>9290.0</v>
      </c>
      <c r="Z8" s="2">
        <f t="shared" ref="Z8:Z10" si="3">AA8*AD8</f>
        <v>399470</v>
      </c>
      <c r="AA8" s="6">
        <v>9290.0</v>
      </c>
      <c r="AB8" s="6">
        <v>48.0</v>
      </c>
      <c r="AC8" s="6">
        <v>5.0</v>
      </c>
      <c r="AD8" s="2">
        <f t="shared" ref="AD8:AD10" si="4">AB8-AC8</f>
        <v>43</v>
      </c>
    </row>
    <row r="9">
      <c r="C9" s="6" t="s">
        <v>156</v>
      </c>
      <c r="D9" s="6">
        <v>118000.0</v>
      </c>
      <c r="E9" s="6">
        <v>31365.23</v>
      </c>
      <c r="F9" s="2">
        <f t="shared" si="2"/>
        <v>86634.77</v>
      </c>
      <c r="O9" s="6">
        <v>1821.0</v>
      </c>
      <c r="V9" s="6" t="s">
        <v>157</v>
      </c>
      <c r="W9" s="6">
        <v>15577.0</v>
      </c>
      <c r="Z9" s="2">
        <f t="shared" si="3"/>
        <v>560772</v>
      </c>
      <c r="AA9" s="6">
        <v>15577.0</v>
      </c>
      <c r="AB9" s="6">
        <v>60.0</v>
      </c>
      <c r="AC9" s="6">
        <v>24.0</v>
      </c>
      <c r="AD9" s="2">
        <f t="shared" si="4"/>
        <v>36</v>
      </c>
    </row>
    <row r="10">
      <c r="O10" s="6">
        <v>829.0</v>
      </c>
      <c r="V10" s="6" t="s">
        <v>158</v>
      </c>
      <c r="W10" s="6">
        <v>12770.0</v>
      </c>
      <c r="Z10" s="2">
        <f t="shared" si="3"/>
        <v>868360</v>
      </c>
      <c r="AA10" s="6">
        <v>12770.0</v>
      </c>
      <c r="AB10" s="2">
        <f>12*7</f>
        <v>84</v>
      </c>
      <c r="AC10" s="6">
        <v>16.0</v>
      </c>
      <c r="AD10" s="2">
        <f t="shared" si="4"/>
        <v>68</v>
      </c>
    </row>
    <row r="11">
      <c r="B11" s="6" t="s">
        <v>146</v>
      </c>
      <c r="C11" s="187">
        <v>45778.0</v>
      </c>
      <c r="F11" s="2">
        <f>sum(F13:F16)</f>
        <v>606851.1</v>
      </c>
      <c r="K11" s="189"/>
      <c r="L11" s="190">
        <f>sum(L13:L17)</f>
        <v>842</v>
      </c>
      <c r="V11" s="6" t="s">
        <v>159</v>
      </c>
      <c r="W11" s="6">
        <v>32319.0</v>
      </c>
      <c r="Z11" s="2">
        <f t="shared" ref="Z11:Z12" si="5">sum(AE11:AH11)</f>
        <v>659716.4</v>
      </c>
      <c r="AE11" s="6">
        <f>790000-714397.54</f>
        <v>75602.46</v>
      </c>
      <c r="AF11" s="6">
        <f>790000-668627.03</f>
        <v>121372.97</v>
      </c>
      <c r="AG11" s="2">
        <f>790660-327919.03</f>
        <v>462740.97</v>
      </c>
    </row>
    <row r="12">
      <c r="D12" s="6" t="s">
        <v>147</v>
      </c>
      <c r="E12" s="6" t="s">
        <v>148</v>
      </c>
      <c r="F12" s="6" t="s">
        <v>149</v>
      </c>
      <c r="K12" s="191"/>
      <c r="L12" s="192" t="s">
        <v>160</v>
      </c>
      <c r="V12" s="6" t="s">
        <v>161</v>
      </c>
      <c r="W12" s="6">
        <v>6988.0</v>
      </c>
      <c r="Z12" s="2">
        <f t="shared" si="5"/>
        <v>95487.65</v>
      </c>
      <c r="AH12" s="2">
        <f>118000-22512.35</f>
        <v>95487.65</v>
      </c>
    </row>
    <row r="13">
      <c r="C13" s="6" t="s">
        <v>87</v>
      </c>
      <c r="D13" s="6">
        <v>790000.0</v>
      </c>
      <c r="E13" s="6">
        <v>636907.68</v>
      </c>
      <c r="F13" s="2">
        <f t="shared" ref="F13:F16" si="6">D13-E13</f>
        <v>153092.32</v>
      </c>
      <c r="K13" s="193" t="s">
        <v>162</v>
      </c>
      <c r="L13" s="194">
        <f>floor(850*3/7,1)</f>
        <v>364</v>
      </c>
      <c r="V13" s="6" t="s">
        <v>163</v>
      </c>
      <c r="W13" s="6">
        <v>2972.0</v>
      </c>
      <c r="X13" s="195"/>
      <c r="Z13" s="2">
        <f>AA13*AD13</f>
        <v>180000</v>
      </c>
      <c r="AA13" s="6">
        <v>3000.0</v>
      </c>
      <c r="AB13" s="6">
        <v>60.0</v>
      </c>
      <c r="AC13" s="6">
        <v>0.0</v>
      </c>
      <c r="AD13" s="2">
        <f>AB13-AC13</f>
        <v>60</v>
      </c>
    </row>
    <row r="14">
      <c r="C14" s="6" t="s">
        <v>153</v>
      </c>
      <c r="D14" s="6">
        <v>660000.0</v>
      </c>
      <c r="E14" s="6">
        <v>343967.47</v>
      </c>
      <c r="F14" s="2">
        <f t="shared" si="6"/>
        <v>316032.53</v>
      </c>
      <c r="K14" s="193" t="s">
        <v>164</v>
      </c>
      <c r="L14" s="194">
        <f>floor(670*5/7,1)</f>
        <v>478</v>
      </c>
    </row>
    <row r="15">
      <c r="C15" s="6" t="s">
        <v>154</v>
      </c>
      <c r="D15" s="6">
        <v>790000.0</v>
      </c>
      <c r="E15" s="6">
        <v>743257.35</v>
      </c>
      <c r="F15" s="2">
        <f t="shared" si="6"/>
        <v>46742.65</v>
      </c>
      <c r="K15" s="191"/>
      <c r="L15" s="194"/>
      <c r="V15" s="6" t="s">
        <v>111</v>
      </c>
      <c r="X15" s="6">
        <v>5000.0</v>
      </c>
    </row>
    <row r="16">
      <c r="C16" s="6" t="s">
        <v>156</v>
      </c>
      <c r="D16" s="6">
        <v>118000.0</v>
      </c>
      <c r="E16" s="6">
        <v>27016.4</v>
      </c>
      <c r="F16" s="2">
        <f t="shared" si="6"/>
        <v>90983.6</v>
      </c>
      <c r="K16" s="191"/>
      <c r="L16" s="194"/>
      <c r="V16" s="6" t="s">
        <v>112</v>
      </c>
      <c r="X16" s="6">
        <v>55000.0</v>
      </c>
    </row>
    <row r="17">
      <c r="K17" s="196"/>
      <c r="L17" s="197"/>
      <c r="V17" s="6" t="s">
        <v>165</v>
      </c>
      <c r="X17" s="6">
        <v>5000.0</v>
      </c>
    </row>
    <row r="18">
      <c r="V18" s="6" t="s">
        <v>73</v>
      </c>
      <c r="X18" s="6">
        <v>2000.0</v>
      </c>
    </row>
    <row r="19">
      <c r="V19" s="6" t="s">
        <v>122</v>
      </c>
      <c r="X19" s="6">
        <v>2000.0</v>
      </c>
    </row>
    <row r="48">
      <c r="V48" s="6" t="s">
        <v>166</v>
      </c>
    </row>
    <row r="49">
      <c r="V49" s="6" t="s">
        <v>167</v>
      </c>
    </row>
    <row r="50">
      <c r="V50" s="6" t="s">
        <v>168</v>
      </c>
      <c r="W50" s="6" t="s">
        <v>169</v>
      </c>
    </row>
    <row r="51">
      <c r="V51" s="6" t="s">
        <v>170</v>
      </c>
      <c r="W51" s="6" t="s">
        <v>171</v>
      </c>
    </row>
    <row r="52">
      <c r="V52" s="6" t="s">
        <v>172</v>
      </c>
    </row>
    <row r="53">
      <c r="V53" s="6" t="s">
        <v>173</v>
      </c>
    </row>
  </sheetData>
  <conditionalFormatting sqref="U7:W7">
    <cfRule type="cellIs" dxfId="19" priority="1" operator="equal">
      <formula>DATE(year(today()),month(today()),1)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1.63"/>
    <col customWidth="1" min="3" max="3" width="15.25"/>
    <col customWidth="1" min="4" max="4" width="8.38"/>
    <col customWidth="1" min="5" max="5" width="19.0"/>
    <col customWidth="1" min="6" max="6" width="12.5"/>
    <col customWidth="1" min="7" max="7" width="16.38"/>
    <col customWidth="1" min="8" max="8" width="10.0"/>
    <col customWidth="1" min="9" max="9" width="22.13"/>
    <col customWidth="1" min="10" max="10" width="9.88"/>
    <col customWidth="1" min="11" max="11" width="7.63"/>
  </cols>
  <sheetData>
    <row r="1">
      <c r="A1" s="198" t="s">
        <v>174</v>
      </c>
      <c r="B1" s="198" t="s">
        <v>175</v>
      </c>
      <c r="C1" s="198" t="s">
        <v>176</v>
      </c>
      <c r="D1" s="198" t="s">
        <v>177</v>
      </c>
      <c r="E1" s="198" t="s">
        <v>178</v>
      </c>
      <c r="F1" s="198" t="s">
        <v>179</v>
      </c>
      <c r="G1" s="198" t="s">
        <v>180</v>
      </c>
      <c r="H1" s="198" t="s">
        <v>181</v>
      </c>
      <c r="I1" s="198" t="s">
        <v>182</v>
      </c>
      <c r="J1" s="6" t="s">
        <v>64</v>
      </c>
      <c r="K1" s="6" t="s">
        <v>183</v>
      </c>
      <c r="L1" s="6" t="s">
        <v>184</v>
      </c>
      <c r="M1" s="6" t="s">
        <v>185</v>
      </c>
      <c r="N1" s="6" t="s">
        <v>183</v>
      </c>
    </row>
    <row r="2">
      <c r="A2" s="6" t="s">
        <v>86</v>
      </c>
      <c r="B2" s="199" t="s">
        <v>186</v>
      </c>
      <c r="C2" s="200">
        <v>260000.0</v>
      </c>
      <c r="D2" s="200">
        <v>24.0</v>
      </c>
      <c r="E2" s="200">
        <v>12605.29</v>
      </c>
      <c r="F2" s="200">
        <v>17.0</v>
      </c>
      <c r="G2" s="201">
        <v>45363.0</v>
      </c>
      <c r="H2" s="201">
        <v>46092.0</v>
      </c>
      <c r="I2" s="200" t="s">
        <v>187</v>
      </c>
      <c r="J2" s="2">
        <f t="shared" ref="J2:J20" si="1">F2*E2</f>
        <v>214289.93</v>
      </c>
      <c r="K2" s="2">
        <f t="shared" ref="K2:K20" si="2">rank(J2,J$2:J$20)</f>
        <v>1</v>
      </c>
      <c r="L2" s="2">
        <f t="shared" ref="L2:L20" si="3">E2*D2</f>
        <v>302526.96</v>
      </c>
      <c r="M2" s="2">
        <f t="shared" ref="M2:M20" si="4">(L2-J2)/D2</f>
        <v>3676.542917</v>
      </c>
      <c r="N2" s="2">
        <f t="shared" ref="N2:N20" si="5">rank(M2,M$2:M$20)</f>
        <v>1</v>
      </c>
      <c r="R2" s="6">
        <v>783.0</v>
      </c>
      <c r="S2" s="6" t="s">
        <v>188</v>
      </c>
    </row>
    <row r="3">
      <c r="A3" s="6" t="s">
        <v>86</v>
      </c>
      <c r="B3" s="199" t="s">
        <v>189</v>
      </c>
      <c r="C3" s="200">
        <v>118800.0</v>
      </c>
      <c r="D3" s="200">
        <v>24.0</v>
      </c>
      <c r="E3" s="200">
        <v>5477.63</v>
      </c>
      <c r="F3" s="200">
        <v>12.0</v>
      </c>
      <c r="G3" s="200" t="s">
        <v>190</v>
      </c>
      <c r="H3" s="200" t="s">
        <v>191</v>
      </c>
      <c r="I3" s="200" t="s">
        <v>187</v>
      </c>
      <c r="J3" s="2">
        <f t="shared" si="1"/>
        <v>65731.56</v>
      </c>
      <c r="K3" s="2">
        <f t="shared" si="2"/>
        <v>2</v>
      </c>
      <c r="L3" s="2">
        <f t="shared" si="3"/>
        <v>131463.12</v>
      </c>
      <c r="M3" s="2">
        <f t="shared" si="4"/>
        <v>2738.815</v>
      </c>
      <c r="N3" s="2">
        <f t="shared" si="5"/>
        <v>2</v>
      </c>
      <c r="R3" s="6">
        <v>792.0</v>
      </c>
    </row>
    <row r="4">
      <c r="A4" s="6" t="s">
        <v>87</v>
      </c>
      <c r="B4" s="199" t="s">
        <v>192</v>
      </c>
      <c r="C4" s="200">
        <v>86908.0</v>
      </c>
      <c r="D4" s="200">
        <v>24.0</v>
      </c>
      <c r="E4" s="200">
        <v>4254.87</v>
      </c>
      <c r="F4" s="200">
        <v>14.0</v>
      </c>
      <c r="G4" s="201">
        <v>45391.0</v>
      </c>
      <c r="H4" s="201">
        <v>46120.0</v>
      </c>
      <c r="I4" s="200" t="s">
        <v>187</v>
      </c>
      <c r="J4" s="2">
        <f t="shared" si="1"/>
        <v>59568.18</v>
      </c>
      <c r="K4" s="2">
        <f t="shared" si="2"/>
        <v>3</v>
      </c>
      <c r="L4" s="2">
        <f t="shared" si="3"/>
        <v>102116.88</v>
      </c>
      <c r="M4" s="2">
        <f t="shared" si="4"/>
        <v>1772.8625</v>
      </c>
      <c r="N4" s="2">
        <f t="shared" si="5"/>
        <v>3</v>
      </c>
      <c r="R4" s="6">
        <v>1547.0</v>
      </c>
      <c r="S4" s="6" t="s">
        <v>188</v>
      </c>
    </row>
    <row r="5">
      <c r="A5" s="6" t="s">
        <v>154</v>
      </c>
      <c r="B5" s="199" t="s">
        <v>193</v>
      </c>
      <c r="C5" s="200">
        <v>45499.42</v>
      </c>
      <c r="D5" s="200">
        <v>24.0</v>
      </c>
      <c r="E5" s="200">
        <v>2129.09</v>
      </c>
      <c r="F5" s="200">
        <v>21.0</v>
      </c>
      <c r="G5" s="201">
        <v>45780.0</v>
      </c>
      <c r="H5" s="201">
        <v>46509.0</v>
      </c>
      <c r="I5" s="200" t="s">
        <v>187</v>
      </c>
      <c r="J5" s="2">
        <f t="shared" si="1"/>
        <v>44710.89</v>
      </c>
      <c r="K5" s="2">
        <f t="shared" si="2"/>
        <v>4</v>
      </c>
      <c r="L5" s="2">
        <f t="shared" si="3"/>
        <v>51098.16</v>
      </c>
      <c r="M5" s="2">
        <f t="shared" si="4"/>
        <v>266.13625</v>
      </c>
      <c r="N5" s="2">
        <f t="shared" si="5"/>
        <v>7</v>
      </c>
      <c r="R5" s="6">
        <v>1682.0</v>
      </c>
    </row>
    <row r="6">
      <c r="A6" s="6" t="s">
        <v>87</v>
      </c>
      <c r="B6" s="199" t="s">
        <v>194</v>
      </c>
      <c r="C6" s="200">
        <v>40242.76</v>
      </c>
      <c r="D6" s="200">
        <v>9.0</v>
      </c>
      <c r="E6" s="200">
        <v>4774.58</v>
      </c>
      <c r="F6" s="200">
        <v>7.0</v>
      </c>
      <c r="G6" s="200" t="s">
        <v>195</v>
      </c>
      <c r="H6" s="200" t="s">
        <v>196</v>
      </c>
      <c r="I6" s="200" t="s">
        <v>187</v>
      </c>
      <c r="J6" s="2">
        <f t="shared" si="1"/>
        <v>33422.06</v>
      </c>
      <c r="K6" s="2">
        <f t="shared" si="2"/>
        <v>5</v>
      </c>
      <c r="L6" s="2">
        <f t="shared" si="3"/>
        <v>42971.22</v>
      </c>
      <c r="M6" s="2">
        <f t="shared" si="4"/>
        <v>1061.017778</v>
      </c>
      <c r="N6" s="2">
        <f t="shared" si="5"/>
        <v>4</v>
      </c>
      <c r="R6" s="6">
        <v>3474.0</v>
      </c>
    </row>
    <row r="7">
      <c r="A7" s="6" t="s">
        <v>86</v>
      </c>
      <c r="B7" s="199" t="s">
        <v>197</v>
      </c>
      <c r="C7" s="200">
        <v>22823.0</v>
      </c>
      <c r="D7" s="200">
        <v>6.0</v>
      </c>
      <c r="E7" s="200">
        <v>3983.19</v>
      </c>
      <c r="F7" s="200">
        <v>5.0</v>
      </c>
      <c r="G7" s="201">
        <v>45813.0</v>
      </c>
      <c r="H7" s="201">
        <v>45818.0</v>
      </c>
      <c r="I7" s="200" t="s">
        <v>187</v>
      </c>
      <c r="J7" s="2">
        <f t="shared" si="1"/>
        <v>19915.95</v>
      </c>
      <c r="K7" s="2">
        <f t="shared" si="2"/>
        <v>6</v>
      </c>
      <c r="L7" s="2">
        <f t="shared" si="3"/>
        <v>23899.14</v>
      </c>
      <c r="M7" s="2">
        <f t="shared" si="4"/>
        <v>663.865</v>
      </c>
      <c r="N7" s="2">
        <f t="shared" si="5"/>
        <v>5</v>
      </c>
      <c r="R7" s="6">
        <v>1742.0</v>
      </c>
      <c r="S7" s="6" t="s">
        <v>188</v>
      </c>
    </row>
    <row r="8">
      <c r="A8" s="6" t="s">
        <v>87</v>
      </c>
      <c r="B8" s="199" t="s">
        <v>198</v>
      </c>
      <c r="C8" s="200">
        <v>20653.26</v>
      </c>
      <c r="D8" s="200">
        <v>24.0</v>
      </c>
      <c r="E8" s="200">
        <v>1011.15</v>
      </c>
      <c r="F8" s="200">
        <v>16.0</v>
      </c>
      <c r="G8" s="200" t="s">
        <v>199</v>
      </c>
      <c r="H8" s="200" t="s">
        <v>200</v>
      </c>
      <c r="I8" s="200" t="s">
        <v>187</v>
      </c>
      <c r="J8" s="2">
        <f t="shared" si="1"/>
        <v>16178.4</v>
      </c>
      <c r="K8" s="2">
        <f t="shared" si="2"/>
        <v>7</v>
      </c>
      <c r="L8" s="2">
        <f t="shared" si="3"/>
        <v>24267.6</v>
      </c>
      <c r="M8" s="2">
        <f t="shared" si="4"/>
        <v>337.05</v>
      </c>
      <c r="N8" s="2">
        <f t="shared" si="5"/>
        <v>6</v>
      </c>
      <c r="R8" s="6">
        <v>3221.0</v>
      </c>
      <c r="S8" s="6" t="s">
        <v>188</v>
      </c>
    </row>
    <row r="9">
      <c r="A9" s="6" t="s">
        <v>87</v>
      </c>
      <c r="B9" s="199" t="s">
        <v>201</v>
      </c>
      <c r="C9" s="200">
        <v>13999.0</v>
      </c>
      <c r="D9" s="200">
        <v>24.0</v>
      </c>
      <c r="E9" s="200">
        <v>685.37</v>
      </c>
      <c r="F9" s="200">
        <v>15.0</v>
      </c>
      <c r="G9" s="201">
        <v>45574.0</v>
      </c>
      <c r="H9" s="201">
        <v>46303.0</v>
      </c>
      <c r="I9" s="200" t="s">
        <v>187</v>
      </c>
      <c r="J9" s="2">
        <f t="shared" si="1"/>
        <v>10280.55</v>
      </c>
      <c r="K9" s="2">
        <f t="shared" si="2"/>
        <v>8</v>
      </c>
      <c r="L9" s="2">
        <f t="shared" si="3"/>
        <v>16448.88</v>
      </c>
      <c r="M9" s="2">
        <f t="shared" si="4"/>
        <v>257.01375</v>
      </c>
      <c r="N9" s="2">
        <f t="shared" si="5"/>
        <v>8</v>
      </c>
      <c r="R9" s="6">
        <v>3179.0</v>
      </c>
    </row>
    <row r="10">
      <c r="A10" s="6" t="s">
        <v>87</v>
      </c>
      <c r="B10" s="199" t="s">
        <v>202</v>
      </c>
      <c r="C10" s="200">
        <v>9822.0</v>
      </c>
      <c r="D10" s="200">
        <v>24.0</v>
      </c>
      <c r="E10" s="200">
        <v>490.36</v>
      </c>
      <c r="F10" s="200">
        <v>18.0</v>
      </c>
      <c r="G10" s="201">
        <v>45455.0</v>
      </c>
      <c r="H10" s="201">
        <v>46184.0</v>
      </c>
      <c r="I10" s="200" t="s">
        <v>187</v>
      </c>
      <c r="J10" s="2">
        <f t="shared" si="1"/>
        <v>8826.48</v>
      </c>
      <c r="K10" s="2">
        <f t="shared" si="2"/>
        <v>9</v>
      </c>
      <c r="L10" s="2">
        <f t="shared" si="3"/>
        <v>11768.64</v>
      </c>
      <c r="M10" s="2">
        <f t="shared" si="4"/>
        <v>122.59</v>
      </c>
      <c r="N10" s="2">
        <f t="shared" si="5"/>
        <v>10</v>
      </c>
    </row>
    <row r="11">
      <c r="A11" s="6" t="s">
        <v>86</v>
      </c>
      <c r="B11" s="199" t="s">
        <v>203</v>
      </c>
      <c r="C11" s="200">
        <v>7880.0</v>
      </c>
      <c r="D11" s="200">
        <v>24.0</v>
      </c>
      <c r="E11" s="200">
        <v>393.4</v>
      </c>
      <c r="F11" s="200">
        <v>17.0</v>
      </c>
      <c r="G11" s="201">
        <v>45334.0</v>
      </c>
      <c r="H11" s="201">
        <v>46064.0</v>
      </c>
      <c r="I11" s="200" t="s">
        <v>187</v>
      </c>
      <c r="J11" s="2">
        <f t="shared" si="1"/>
        <v>6687.8</v>
      </c>
      <c r="K11" s="2">
        <f t="shared" si="2"/>
        <v>11</v>
      </c>
      <c r="L11" s="2">
        <f t="shared" si="3"/>
        <v>9441.6</v>
      </c>
      <c r="M11" s="2">
        <f t="shared" si="4"/>
        <v>114.7416667</v>
      </c>
      <c r="N11" s="2">
        <f t="shared" si="5"/>
        <v>12</v>
      </c>
    </row>
    <row r="12">
      <c r="A12" s="6" t="s">
        <v>87</v>
      </c>
      <c r="B12" s="199" t="s">
        <v>204</v>
      </c>
      <c r="C12" s="200">
        <v>7299.0</v>
      </c>
      <c r="D12" s="200">
        <v>24.0</v>
      </c>
      <c r="E12" s="200">
        <v>357.35</v>
      </c>
      <c r="F12" s="200">
        <v>21.0</v>
      </c>
      <c r="G12" s="200" t="s">
        <v>205</v>
      </c>
      <c r="H12" s="200" t="s">
        <v>206</v>
      </c>
      <c r="I12" s="200" t="s">
        <v>187</v>
      </c>
      <c r="J12" s="2">
        <f t="shared" si="1"/>
        <v>7504.35</v>
      </c>
      <c r="K12" s="2">
        <f t="shared" si="2"/>
        <v>10</v>
      </c>
      <c r="L12" s="2">
        <f t="shared" si="3"/>
        <v>8576.4</v>
      </c>
      <c r="M12" s="2">
        <f t="shared" si="4"/>
        <v>44.66875</v>
      </c>
      <c r="N12" s="2">
        <f t="shared" si="5"/>
        <v>17</v>
      </c>
    </row>
    <row r="13">
      <c r="A13" s="6" t="s">
        <v>86</v>
      </c>
      <c r="B13" s="199" t="s">
        <v>207</v>
      </c>
      <c r="C13" s="200">
        <v>6897.4</v>
      </c>
      <c r="D13" s="200">
        <v>24.0</v>
      </c>
      <c r="E13" s="200">
        <v>344.35</v>
      </c>
      <c r="F13" s="200">
        <v>7.0</v>
      </c>
      <c r="G13" s="200" t="s">
        <v>208</v>
      </c>
      <c r="H13" s="200" t="s">
        <v>209</v>
      </c>
      <c r="I13" s="200" t="s">
        <v>187</v>
      </c>
      <c r="J13" s="2">
        <f t="shared" si="1"/>
        <v>2410.45</v>
      </c>
      <c r="K13" s="2">
        <f t="shared" si="2"/>
        <v>16</v>
      </c>
      <c r="L13" s="2">
        <f t="shared" si="3"/>
        <v>8264.4</v>
      </c>
      <c r="M13" s="2">
        <f t="shared" si="4"/>
        <v>243.9145833</v>
      </c>
      <c r="N13" s="2">
        <f t="shared" si="5"/>
        <v>9</v>
      </c>
    </row>
    <row r="14">
      <c r="A14" s="6" t="s">
        <v>87</v>
      </c>
      <c r="B14" s="199" t="s">
        <v>210</v>
      </c>
      <c r="C14" s="200">
        <v>5800.0</v>
      </c>
      <c r="D14" s="200">
        <v>24.0</v>
      </c>
      <c r="E14" s="200">
        <v>289.56</v>
      </c>
      <c r="F14" s="200">
        <v>18.0</v>
      </c>
      <c r="G14" s="200" t="s">
        <v>211</v>
      </c>
      <c r="H14" s="200" t="s">
        <v>212</v>
      </c>
      <c r="I14" s="200" t="s">
        <v>187</v>
      </c>
      <c r="J14" s="2">
        <f t="shared" si="1"/>
        <v>5212.08</v>
      </c>
      <c r="K14" s="2">
        <f t="shared" si="2"/>
        <v>12</v>
      </c>
      <c r="L14" s="2">
        <f t="shared" si="3"/>
        <v>6949.44</v>
      </c>
      <c r="M14" s="2">
        <f t="shared" si="4"/>
        <v>72.39</v>
      </c>
      <c r="N14" s="2">
        <f t="shared" si="5"/>
        <v>14</v>
      </c>
    </row>
    <row r="15">
      <c r="A15" s="6" t="s">
        <v>154</v>
      </c>
      <c r="B15" s="199" t="s">
        <v>213</v>
      </c>
      <c r="C15" s="200">
        <v>5010.0</v>
      </c>
      <c r="D15" s="200">
        <v>24.0</v>
      </c>
      <c r="E15" s="200">
        <v>250.12</v>
      </c>
      <c r="F15" s="200">
        <v>17.0</v>
      </c>
      <c r="G15" s="201">
        <v>45334.0</v>
      </c>
      <c r="H15" s="201">
        <v>46064.0</v>
      </c>
      <c r="I15" s="200" t="s">
        <v>187</v>
      </c>
      <c r="J15" s="2">
        <f t="shared" si="1"/>
        <v>4252.04</v>
      </c>
      <c r="K15" s="2">
        <f t="shared" si="2"/>
        <v>13</v>
      </c>
      <c r="L15" s="2">
        <f t="shared" si="3"/>
        <v>6002.88</v>
      </c>
      <c r="M15" s="2">
        <f t="shared" si="4"/>
        <v>72.95166667</v>
      </c>
      <c r="N15" s="2">
        <f t="shared" si="5"/>
        <v>13</v>
      </c>
    </row>
    <row r="16">
      <c r="A16" s="6" t="s">
        <v>87</v>
      </c>
      <c r="B16" s="199" t="s">
        <v>214</v>
      </c>
      <c r="C16" s="200">
        <v>4008.96</v>
      </c>
      <c r="D16" s="200">
        <v>6.0</v>
      </c>
      <c r="E16" s="200">
        <v>699.67</v>
      </c>
      <c r="F16" s="200">
        <v>5.0</v>
      </c>
      <c r="G16" s="201">
        <v>45874.0</v>
      </c>
      <c r="H16" s="201">
        <v>45879.0</v>
      </c>
      <c r="I16" s="200" t="s">
        <v>187</v>
      </c>
      <c r="J16" s="2">
        <f t="shared" si="1"/>
        <v>3498.35</v>
      </c>
      <c r="K16" s="2">
        <f t="shared" si="2"/>
        <v>14</v>
      </c>
      <c r="L16" s="2">
        <f t="shared" si="3"/>
        <v>4198.02</v>
      </c>
      <c r="M16" s="2">
        <f t="shared" si="4"/>
        <v>116.6116667</v>
      </c>
      <c r="N16" s="2">
        <f t="shared" si="5"/>
        <v>11</v>
      </c>
    </row>
    <row r="17">
      <c r="A17" s="6" t="s">
        <v>87</v>
      </c>
      <c r="B17" s="199" t="s">
        <v>215</v>
      </c>
      <c r="C17" s="200">
        <v>3799.0</v>
      </c>
      <c r="D17" s="200">
        <v>24.0</v>
      </c>
      <c r="E17" s="200">
        <v>189.66</v>
      </c>
      <c r="F17" s="200">
        <v>18.0</v>
      </c>
      <c r="G17" s="200" t="s">
        <v>211</v>
      </c>
      <c r="H17" s="200" t="s">
        <v>212</v>
      </c>
      <c r="I17" s="200" t="s">
        <v>187</v>
      </c>
      <c r="J17" s="2">
        <f t="shared" si="1"/>
        <v>3413.88</v>
      </c>
      <c r="K17" s="2">
        <f t="shared" si="2"/>
        <v>15</v>
      </c>
      <c r="L17" s="2">
        <f t="shared" si="3"/>
        <v>4551.84</v>
      </c>
      <c r="M17" s="2">
        <f t="shared" si="4"/>
        <v>47.415</v>
      </c>
      <c r="N17" s="2">
        <f t="shared" si="5"/>
        <v>15</v>
      </c>
    </row>
    <row r="18">
      <c r="A18" s="6" t="s">
        <v>87</v>
      </c>
      <c r="B18" s="199" t="s">
        <v>216</v>
      </c>
      <c r="C18" s="200">
        <v>2877.75</v>
      </c>
      <c r="D18" s="200">
        <v>24.0</v>
      </c>
      <c r="E18" s="200">
        <v>140.89</v>
      </c>
      <c r="F18" s="200">
        <v>16.0</v>
      </c>
      <c r="G18" s="200" t="s">
        <v>217</v>
      </c>
      <c r="H18" s="200" t="s">
        <v>218</v>
      </c>
      <c r="I18" s="200" t="s">
        <v>187</v>
      </c>
      <c r="J18" s="2">
        <f t="shared" si="1"/>
        <v>2254.24</v>
      </c>
      <c r="K18" s="2">
        <f t="shared" si="2"/>
        <v>18</v>
      </c>
      <c r="L18" s="2">
        <f t="shared" si="3"/>
        <v>3381.36</v>
      </c>
      <c r="M18" s="2">
        <f t="shared" si="4"/>
        <v>46.96333333</v>
      </c>
      <c r="N18" s="2">
        <f t="shared" si="5"/>
        <v>16</v>
      </c>
    </row>
    <row r="19">
      <c r="A19" s="6" t="s">
        <v>87</v>
      </c>
      <c r="B19" s="199" t="s">
        <v>219</v>
      </c>
      <c r="C19" s="200">
        <v>2524.0</v>
      </c>
      <c r="D19" s="200">
        <v>24.0</v>
      </c>
      <c r="E19" s="200">
        <v>126.01</v>
      </c>
      <c r="F19" s="200">
        <v>18.0</v>
      </c>
      <c r="G19" s="200" t="s">
        <v>211</v>
      </c>
      <c r="H19" s="200" t="s">
        <v>212</v>
      </c>
      <c r="I19" s="200" t="s">
        <v>187</v>
      </c>
      <c r="J19" s="2">
        <f t="shared" si="1"/>
        <v>2268.18</v>
      </c>
      <c r="K19" s="2">
        <f t="shared" si="2"/>
        <v>17</v>
      </c>
      <c r="L19" s="2">
        <f t="shared" si="3"/>
        <v>3024.24</v>
      </c>
      <c r="M19" s="2">
        <f t="shared" si="4"/>
        <v>31.5025</v>
      </c>
      <c r="N19" s="2">
        <f t="shared" si="5"/>
        <v>19</v>
      </c>
    </row>
    <row r="20">
      <c r="A20" s="6" t="s">
        <v>87</v>
      </c>
      <c r="B20" s="199" t="s">
        <v>220</v>
      </c>
      <c r="C20" s="200">
        <v>1527.0</v>
      </c>
      <c r="D20" s="200">
        <v>6.0</v>
      </c>
      <c r="E20" s="200">
        <v>266.5</v>
      </c>
      <c r="F20" s="200">
        <v>5.0</v>
      </c>
      <c r="G20" s="200" t="s">
        <v>221</v>
      </c>
      <c r="H20" s="200" t="s">
        <v>222</v>
      </c>
      <c r="I20" s="200" t="s">
        <v>187</v>
      </c>
      <c r="J20" s="2">
        <f t="shared" si="1"/>
        <v>1332.5</v>
      </c>
      <c r="K20" s="2">
        <f t="shared" si="2"/>
        <v>19</v>
      </c>
      <c r="L20" s="2">
        <f t="shared" si="3"/>
        <v>1599</v>
      </c>
      <c r="M20" s="2">
        <f t="shared" si="4"/>
        <v>44.41666667</v>
      </c>
      <c r="N20" s="2">
        <f t="shared" si="5"/>
        <v>18</v>
      </c>
    </row>
  </sheetData>
  <autoFilter ref="$A$1:$Z$998">
    <sortState ref="A1:Z998">
      <sortCondition descending="1" ref="C1:C998"/>
      <sortCondition ref="K1:K998"/>
      <sortCondition ref="N1:N998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9.0" topLeftCell="J20" activePane="bottomRight" state="frozen"/>
      <selection activeCell="J1" sqref="J1" pane="topRight"/>
      <selection activeCell="A20" sqref="A20" pane="bottomLeft"/>
      <selection activeCell="J20" sqref="J20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7.63"/>
    <col customWidth="1" min="4" max="4" width="8.88"/>
    <col customWidth="1" min="5" max="7" width="10.75"/>
    <col customWidth="1" min="8" max="8" width="8.25"/>
    <col customWidth="1" min="9" max="9" width="10.13"/>
    <col customWidth="1" min="10" max="10" width="9.0"/>
    <col customWidth="1" min="11" max="12" width="10.38"/>
    <col customWidth="1" min="13" max="13" width="14.63"/>
    <col customWidth="1" min="14" max="14" width="10.38"/>
    <col customWidth="1" min="15" max="15" width="14.63"/>
    <col customWidth="1" min="16" max="16" width="18.5"/>
    <col customWidth="1" min="17" max="18" width="14.63"/>
    <col customWidth="1" min="19" max="19" width="10.75"/>
    <col customWidth="1" min="20" max="20" width="14.13"/>
    <col customWidth="1" min="21" max="21" width="14.63"/>
    <col customWidth="1" min="22" max="22" width="9.0"/>
    <col customWidth="1" min="23" max="23" width="21.0"/>
    <col customWidth="1" min="24" max="24" width="21.63"/>
    <col customWidth="1" min="25" max="25" width="14.63"/>
    <col customWidth="1" min="26" max="26" width="13.5"/>
    <col customWidth="1" min="27" max="27" width="14.63"/>
    <col customWidth="1" min="28" max="28" width="9.0"/>
    <col customWidth="1" min="29" max="29" width="14.63"/>
    <col customWidth="1" min="31" max="58" width="8.13"/>
  </cols>
  <sheetData>
    <row r="1">
      <c r="A1" s="202"/>
      <c r="B1" s="202"/>
      <c r="C1" s="202"/>
      <c r="D1" s="202">
        <f>sum(J1:AH1)</f>
        <v>0</v>
      </c>
      <c r="E1" s="203"/>
      <c r="F1" s="203"/>
      <c r="G1" s="203"/>
      <c r="H1" s="203"/>
      <c r="I1" s="204" t="s">
        <v>223</v>
      </c>
      <c r="J1" s="6" t="s">
        <v>86</v>
      </c>
      <c r="K1" s="6" t="s">
        <v>86</v>
      </c>
      <c r="L1" s="6" t="s">
        <v>86</v>
      </c>
      <c r="M1" s="6" t="s">
        <v>87</v>
      </c>
      <c r="N1" s="6" t="s">
        <v>154</v>
      </c>
      <c r="O1" s="6" t="s">
        <v>87</v>
      </c>
      <c r="P1" s="6" t="s">
        <v>86</v>
      </c>
      <c r="Q1" s="6" t="s">
        <v>87</v>
      </c>
      <c r="R1" s="6" t="s">
        <v>87</v>
      </c>
      <c r="S1" s="6" t="s">
        <v>87</v>
      </c>
      <c r="T1" s="6" t="s">
        <v>86</v>
      </c>
      <c r="U1" s="6" t="s">
        <v>87</v>
      </c>
      <c r="V1" s="6" t="s">
        <v>86</v>
      </c>
      <c r="W1" s="6" t="s">
        <v>87</v>
      </c>
      <c r="X1" s="6" t="s">
        <v>154</v>
      </c>
      <c r="Y1" s="6" t="s">
        <v>87</v>
      </c>
      <c r="Z1" s="6" t="s">
        <v>87</v>
      </c>
      <c r="AA1" s="6" t="s">
        <v>87</v>
      </c>
      <c r="AB1" s="6" t="s">
        <v>87</v>
      </c>
      <c r="AC1" s="6" t="s">
        <v>87</v>
      </c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</row>
    <row r="2">
      <c r="A2" s="202"/>
      <c r="B2" s="202">
        <v>4173.59</v>
      </c>
      <c r="C2" s="202"/>
      <c r="D2" s="202"/>
      <c r="E2" s="203"/>
      <c r="F2" s="203"/>
      <c r="G2" s="203" t="s">
        <v>224</v>
      </c>
      <c r="H2" s="203"/>
      <c r="I2" s="204" t="s">
        <v>175</v>
      </c>
      <c r="J2" s="199" t="s">
        <v>225</v>
      </c>
      <c r="K2" s="199" t="s">
        <v>226</v>
      </c>
      <c r="L2" s="205" t="s">
        <v>227</v>
      </c>
      <c r="M2" s="199" t="s">
        <v>228</v>
      </c>
      <c r="N2" s="199" t="s">
        <v>229</v>
      </c>
      <c r="O2" s="199" t="s">
        <v>230</v>
      </c>
      <c r="P2" s="199" t="s">
        <v>231</v>
      </c>
      <c r="Q2" s="199" t="s">
        <v>232</v>
      </c>
      <c r="R2" s="199" t="s">
        <v>233</v>
      </c>
      <c r="S2" s="199" t="s">
        <v>234</v>
      </c>
      <c r="T2" s="199" t="s">
        <v>235</v>
      </c>
      <c r="U2" s="199" t="s">
        <v>236</v>
      </c>
      <c r="V2" s="199" t="s">
        <v>237</v>
      </c>
      <c r="W2" s="199" t="s">
        <v>238</v>
      </c>
      <c r="X2" s="199" t="s">
        <v>239</v>
      </c>
      <c r="Y2" s="199" t="s">
        <v>240</v>
      </c>
      <c r="Z2" s="199" t="s">
        <v>241</v>
      </c>
      <c r="AA2" s="199" t="s">
        <v>242</v>
      </c>
      <c r="AB2" s="199" t="s">
        <v>243</v>
      </c>
      <c r="AC2" s="199" t="s">
        <v>244</v>
      </c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</row>
    <row r="3">
      <c r="A3" s="202"/>
      <c r="B3" s="202">
        <v>271.28</v>
      </c>
      <c r="C3" s="202"/>
      <c r="D3" s="202"/>
      <c r="E3" s="203"/>
      <c r="F3" s="203"/>
      <c r="G3" s="203"/>
      <c r="H3" s="203"/>
      <c r="I3" s="204" t="s">
        <v>176</v>
      </c>
      <c r="J3" s="200">
        <v>260000.0</v>
      </c>
      <c r="K3" s="200">
        <v>118800.0</v>
      </c>
      <c r="L3" s="200">
        <v>100000.0</v>
      </c>
      <c r="M3" s="200">
        <v>86908.0</v>
      </c>
      <c r="N3" s="200">
        <v>45499.42</v>
      </c>
      <c r="O3" s="200">
        <v>40242.76</v>
      </c>
      <c r="P3" s="200">
        <v>22823.0</v>
      </c>
      <c r="Q3" s="200">
        <v>20653.26</v>
      </c>
      <c r="R3" s="200">
        <v>13999.0</v>
      </c>
      <c r="S3" s="200">
        <v>9822.0</v>
      </c>
      <c r="T3" s="200">
        <v>7880.0</v>
      </c>
      <c r="U3" s="200">
        <v>7299.0</v>
      </c>
      <c r="V3" s="200">
        <v>6897.4</v>
      </c>
      <c r="W3" s="200">
        <v>5800.0</v>
      </c>
      <c r="X3" s="200">
        <v>5010.0</v>
      </c>
      <c r="Y3" s="200">
        <v>4008.96</v>
      </c>
      <c r="Z3" s="200">
        <v>3799.0</v>
      </c>
      <c r="AA3" s="200">
        <v>2877.75</v>
      </c>
      <c r="AB3" s="200">
        <v>2524.0</v>
      </c>
      <c r="AC3" s="200">
        <v>1527.0</v>
      </c>
      <c r="AD3" s="6">
        <v>2675.38</v>
      </c>
      <c r="AE3" s="202">
        <v>5280.0</v>
      </c>
      <c r="AF3" s="202">
        <v>2869.14</v>
      </c>
      <c r="AG3" s="202">
        <v>2825.61</v>
      </c>
      <c r="AH3" s="202">
        <v>2811.74</v>
      </c>
      <c r="AI3" s="202">
        <v>2719.11</v>
      </c>
      <c r="AJ3" s="202">
        <v>2681.27</v>
      </c>
      <c r="AK3" s="202">
        <v>2560.79</v>
      </c>
      <c r="AL3" s="202">
        <v>3093.0</v>
      </c>
      <c r="AM3" s="202">
        <v>3663.54</v>
      </c>
      <c r="AN3" s="202">
        <v>2991.0</v>
      </c>
      <c r="AO3" s="202">
        <v>2816.99</v>
      </c>
      <c r="AP3" s="202">
        <v>2323.72</v>
      </c>
      <c r="AQ3" s="202">
        <v>2470.0</v>
      </c>
      <c r="AR3" s="202">
        <v>2591.94</v>
      </c>
      <c r="AS3" s="202">
        <v>1505.0</v>
      </c>
      <c r="AT3" s="202">
        <v>12961.0</v>
      </c>
      <c r="AU3" s="202">
        <v>2274.0</v>
      </c>
      <c r="AV3" s="202">
        <v>4720.0</v>
      </c>
      <c r="AW3" s="202">
        <v>2710.0</v>
      </c>
      <c r="AX3" s="202">
        <v>2235.79</v>
      </c>
      <c r="AY3" s="202">
        <v>2300.0</v>
      </c>
      <c r="AZ3" s="202">
        <v>2508.5</v>
      </c>
      <c r="BA3" s="202">
        <v>2332.0</v>
      </c>
      <c r="BB3" s="202">
        <v>2804.57</v>
      </c>
      <c r="BC3" s="202">
        <v>2568.89</v>
      </c>
      <c r="BD3" s="202">
        <v>10496.0</v>
      </c>
      <c r="BE3" s="202">
        <v>7405.0</v>
      </c>
      <c r="BF3" s="202">
        <v>3815.0</v>
      </c>
    </row>
    <row r="4">
      <c r="A4" s="202"/>
      <c r="B4" s="202">
        <v>145822.76</v>
      </c>
      <c r="C4" s="202"/>
      <c r="D4" s="202"/>
      <c r="E4" s="203"/>
      <c r="F4" s="203"/>
      <c r="G4" s="203"/>
      <c r="H4" s="203"/>
      <c r="I4" s="204" t="s">
        <v>177</v>
      </c>
      <c r="J4" s="200">
        <v>24.0</v>
      </c>
      <c r="K4" s="200">
        <v>24.0</v>
      </c>
      <c r="L4" s="200">
        <v>24.0</v>
      </c>
      <c r="M4" s="200">
        <v>24.0</v>
      </c>
      <c r="N4" s="200">
        <v>24.0</v>
      </c>
      <c r="O4" s="200">
        <v>9.0</v>
      </c>
      <c r="P4" s="200">
        <v>6.0</v>
      </c>
      <c r="Q4" s="200">
        <v>24.0</v>
      </c>
      <c r="R4" s="200">
        <v>24.0</v>
      </c>
      <c r="S4" s="200">
        <v>24.0</v>
      </c>
      <c r="T4" s="200">
        <v>24.0</v>
      </c>
      <c r="U4" s="200">
        <v>24.0</v>
      </c>
      <c r="V4" s="200">
        <v>24.0</v>
      </c>
      <c r="W4" s="200">
        <v>24.0</v>
      </c>
      <c r="X4" s="200">
        <v>24.0</v>
      </c>
      <c r="Y4" s="200">
        <v>6.0</v>
      </c>
      <c r="Z4" s="200">
        <v>24.0</v>
      </c>
      <c r="AA4" s="200">
        <v>24.0</v>
      </c>
      <c r="AB4" s="200">
        <v>24.0</v>
      </c>
      <c r="AC4" s="200">
        <v>6.0</v>
      </c>
      <c r="AD4" s="6">
        <v>12.0</v>
      </c>
      <c r="AE4" s="202">
        <v>12.0</v>
      </c>
      <c r="AF4" s="202">
        <v>12.0</v>
      </c>
      <c r="AG4" s="202">
        <v>12.0</v>
      </c>
      <c r="AH4" s="202">
        <v>12.0</v>
      </c>
      <c r="AI4" s="202">
        <v>12.0</v>
      </c>
      <c r="AJ4" s="202">
        <v>12.0</v>
      </c>
      <c r="AK4" s="202">
        <v>12.0</v>
      </c>
      <c r="AL4" s="202">
        <v>12.0</v>
      </c>
      <c r="AM4" s="202">
        <v>12.0</v>
      </c>
      <c r="AN4" s="202">
        <v>12.0</v>
      </c>
      <c r="AO4" s="202">
        <v>12.0</v>
      </c>
      <c r="AP4" s="202">
        <v>12.0</v>
      </c>
      <c r="AQ4" s="202">
        <v>12.0</v>
      </c>
      <c r="AR4" s="202">
        <v>12.0</v>
      </c>
      <c r="AS4" s="202">
        <v>12.0</v>
      </c>
      <c r="AT4" s="202">
        <v>12.0</v>
      </c>
      <c r="AU4" s="202">
        <v>12.0</v>
      </c>
      <c r="AV4" s="202">
        <v>24.0</v>
      </c>
      <c r="AW4" s="202">
        <v>24.0</v>
      </c>
      <c r="AX4" s="202">
        <v>24.0</v>
      </c>
      <c r="AY4" s="202">
        <v>24.0</v>
      </c>
      <c r="AZ4" s="202">
        <v>24.0</v>
      </c>
      <c r="BA4" s="202">
        <v>24.0</v>
      </c>
      <c r="BB4" s="202">
        <v>24.0</v>
      </c>
      <c r="BC4" s="202">
        <v>24.0</v>
      </c>
      <c r="BD4" s="202">
        <v>24.0</v>
      </c>
      <c r="BE4" s="202">
        <v>24.0</v>
      </c>
      <c r="BF4" s="202">
        <v>24.0</v>
      </c>
    </row>
    <row r="5">
      <c r="A5" s="202"/>
      <c r="B5" s="202"/>
      <c r="C5" s="202"/>
      <c r="D5" s="202"/>
      <c r="E5" s="203"/>
      <c r="F5" s="203"/>
      <c r="G5" s="203"/>
      <c r="H5" s="203"/>
      <c r="I5" s="204" t="s">
        <v>178</v>
      </c>
      <c r="J5" s="200">
        <v>12605.29</v>
      </c>
      <c r="K5" s="200">
        <v>5477.63</v>
      </c>
      <c r="L5" s="200">
        <v>5477.63</v>
      </c>
      <c r="M5" s="200">
        <v>4254.87</v>
      </c>
      <c r="N5" s="200">
        <v>2129.09</v>
      </c>
      <c r="O5" s="200">
        <v>4774.58</v>
      </c>
      <c r="P5" s="200">
        <v>3983.19</v>
      </c>
      <c r="Q5" s="200">
        <v>1011.15</v>
      </c>
      <c r="R5" s="200">
        <v>685.37</v>
      </c>
      <c r="S5" s="200">
        <v>490.36</v>
      </c>
      <c r="T5" s="200">
        <v>393.4</v>
      </c>
      <c r="U5" s="200">
        <v>357.35</v>
      </c>
      <c r="V5" s="200">
        <v>344.35</v>
      </c>
      <c r="W5" s="200">
        <v>289.56</v>
      </c>
      <c r="X5" s="200">
        <v>250.12</v>
      </c>
      <c r="Y5" s="200">
        <v>699.67</v>
      </c>
      <c r="Z5" s="200">
        <v>189.66</v>
      </c>
      <c r="AA5" s="200">
        <v>140.89</v>
      </c>
      <c r="AB5" s="200">
        <v>126.01</v>
      </c>
      <c r="AC5" s="200">
        <v>266.5</v>
      </c>
      <c r="AD5" s="6">
        <v>248.75</v>
      </c>
      <c r="AE5" s="202">
        <v>490.91</v>
      </c>
      <c r="AF5" s="202">
        <v>266.76</v>
      </c>
      <c r="AG5" s="202">
        <v>262.71</v>
      </c>
      <c r="AH5" s="202">
        <v>261.42</v>
      </c>
      <c r="AI5" s="202">
        <v>252.81</v>
      </c>
      <c r="AJ5" s="202">
        <v>249.29</v>
      </c>
      <c r="AK5" s="202">
        <v>238.09</v>
      </c>
      <c r="AL5" s="202">
        <v>287.57</v>
      </c>
      <c r="AM5" s="202">
        <v>340.62</v>
      </c>
      <c r="AN5" s="202">
        <v>278.09</v>
      </c>
      <c r="AO5" s="202">
        <v>261.91</v>
      </c>
      <c r="AP5" s="202">
        <v>216.37</v>
      </c>
      <c r="AQ5" s="202">
        <v>229.99</v>
      </c>
      <c r="AR5" s="202">
        <v>241.35</v>
      </c>
      <c r="AS5" s="202">
        <v>140.14</v>
      </c>
      <c r="AT5" s="202">
        <v>1206.85</v>
      </c>
      <c r="AU5" s="202">
        <v>211.74</v>
      </c>
      <c r="AV5" s="202">
        <v>235.64</v>
      </c>
      <c r="AW5" s="202">
        <v>135.29</v>
      </c>
      <c r="AX5" s="202">
        <v>111.62</v>
      </c>
      <c r="AY5" s="202">
        <v>114.83</v>
      </c>
      <c r="AZ5" s="202">
        <v>125.23</v>
      </c>
      <c r="BA5" s="202">
        <v>116.42</v>
      </c>
      <c r="BB5" s="202">
        <v>140.02</v>
      </c>
      <c r="BC5" s="202">
        <v>128.25</v>
      </c>
      <c r="BD5" s="202">
        <v>524.0</v>
      </c>
      <c r="BE5" s="202">
        <v>369.69</v>
      </c>
      <c r="BF5" s="202">
        <v>190.46</v>
      </c>
    </row>
    <row r="6">
      <c r="A6" s="202"/>
      <c r="B6" s="202"/>
      <c r="C6" s="202"/>
      <c r="D6" s="202"/>
      <c r="E6" s="203"/>
      <c r="F6" s="203"/>
      <c r="G6" s="203"/>
      <c r="H6" s="203"/>
      <c r="I6" s="204" t="s">
        <v>179</v>
      </c>
      <c r="J6" s="200">
        <v>17.0</v>
      </c>
      <c r="K6" s="200">
        <v>12.0</v>
      </c>
      <c r="L6" s="200">
        <v>12.0</v>
      </c>
      <c r="M6" s="200">
        <v>14.0</v>
      </c>
      <c r="N6" s="200">
        <v>21.0</v>
      </c>
      <c r="O6" s="200">
        <v>7.0</v>
      </c>
      <c r="P6" s="200">
        <v>5.0</v>
      </c>
      <c r="Q6" s="200">
        <v>16.0</v>
      </c>
      <c r="R6" s="200">
        <v>15.0</v>
      </c>
      <c r="S6" s="200">
        <v>18.0</v>
      </c>
      <c r="T6" s="200">
        <v>17.0</v>
      </c>
      <c r="U6" s="200">
        <v>21.0</v>
      </c>
      <c r="V6" s="200">
        <v>7.0</v>
      </c>
      <c r="W6" s="200">
        <v>18.0</v>
      </c>
      <c r="X6" s="200">
        <v>17.0</v>
      </c>
      <c r="Y6" s="200">
        <v>5.0</v>
      </c>
      <c r="Z6" s="200">
        <v>18.0</v>
      </c>
      <c r="AA6" s="200">
        <v>16.0</v>
      </c>
      <c r="AB6" s="200">
        <v>18.0</v>
      </c>
      <c r="AC6" s="200">
        <v>5.0</v>
      </c>
      <c r="AD6" s="6">
        <v>4.0</v>
      </c>
      <c r="AE6" s="202">
        <v>4.0</v>
      </c>
      <c r="AF6" s="202">
        <v>4.0</v>
      </c>
      <c r="AG6" s="202">
        <v>4.0</v>
      </c>
      <c r="AH6" s="202">
        <v>4.0</v>
      </c>
      <c r="AI6" s="202">
        <v>4.0</v>
      </c>
      <c r="AJ6" s="202">
        <v>4.0</v>
      </c>
      <c r="AK6" s="202">
        <v>5.0</v>
      </c>
      <c r="AL6" s="202">
        <v>6.0</v>
      </c>
      <c r="AM6" s="202">
        <v>6.0</v>
      </c>
      <c r="AN6" s="202">
        <v>6.0</v>
      </c>
      <c r="AO6" s="202">
        <v>6.0</v>
      </c>
      <c r="AP6" s="202">
        <v>7.0</v>
      </c>
      <c r="AQ6" s="202">
        <v>7.0</v>
      </c>
      <c r="AR6" s="202">
        <v>7.0</v>
      </c>
      <c r="AS6" s="202">
        <v>7.0</v>
      </c>
      <c r="AT6" s="202">
        <v>7.0</v>
      </c>
      <c r="AU6" s="202">
        <v>7.0</v>
      </c>
      <c r="AV6" s="202">
        <v>20.0</v>
      </c>
      <c r="AW6" s="202">
        <v>20.0</v>
      </c>
      <c r="AX6" s="202">
        <v>20.0</v>
      </c>
      <c r="AY6" s="202">
        <v>21.0</v>
      </c>
      <c r="AZ6" s="202">
        <v>21.0</v>
      </c>
      <c r="BA6" s="202">
        <v>21.0</v>
      </c>
      <c r="BB6" s="202">
        <v>21.0</v>
      </c>
      <c r="BC6" s="202">
        <v>22.0</v>
      </c>
      <c r="BD6" s="202">
        <v>22.0</v>
      </c>
      <c r="BE6" s="202">
        <v>24.0</v>
      </c>
      <c r="BF6" s="202">
        <v>24.0</v>
      </c>
    </row>
    <row r="7">
      <c r="A7" s="202"/>
      <c r="B7" s="202"/>
      <c r="C7" s="202"/>
      <c r="D7" s="202"/>
      <c r="E7" s="203"/>
      <c r="F7" s="203"/>
      <c r="G7" s="203"/>
      <c r="H7" s="203"/>
      <c r="I7" s="204" t="s">
        <v>245</v>
      </c>
      <c r="J7" s="201">
        <v>45363.0</v>
      </c>
      <c r="K7" s="200" t="s">
        <v>190</v>
      </c>
      <c r="L7" s="200" t="s">
        <v>190</v>
      </c>
      <c r="M7" s="201">
        <v>45391.0</v>
      </c>
      <c r="N7" s="201">
        <v>45780.0</v>
      </c>
      <c r="O7" s="200" t="s">
        <v>195</v>
      </c>
      <c r="P7" s="201">
        <v>45813.0</v>
      </c>
      <c r="Q7" s="200" t="s">
        <v>199</v>
      </c>
      <c r="R7" s="201">
        <v>45574.0</v>
      </c>
      <c r="S7" s="201">
        <v>45455.0</v>
      </c>
      <c r="T7" s="201">
        <v>45334.0</v>
      </c>
      <c r="U7" s="200" t="s">
        <v>205</v>
      </c>
      <c r="V7" s="200" t="s">
        <v>208</v>
      </c>
      <c r="W7" s="200" t="s">
        <v>211</v>
      </c>
      <c r="X7" s="201">
        <v>45334.0</v>
      </c>
      <c r="Y7" s="201">
        <v>45874.0</v>
      </c>
      <c r="Z7" s="200" t="s">
        <v>211</v>
      </c>
      <c r="AA7" s="200" t="s">
        <v>217</v>
      </c>
      <c r="AB7" s="200" t="s">
        <v>211</v>
      </c>
      <c r="AC7" s="200" t="s">
        <v>221</v>
      </c>
      <c r="AD7" s="206">
        <v>45565.0</v>
      </c>
      <c r="AE7" s="207">
        <v>45565.0</v>
      </c>
      <c r="AF7" s="207">
        <v>45565.0</v>
      </c>
      <c r="AG7" s="207">
        <v>45565.0</v>
      </c>
      <c r="AH7" s="207">
        <v>45565.0</v>
      </c>
      <c r="AI7" s="207">
        <v>45565.0</v>
      </c>
      <c r="AJ7" s="207">
        <v>45565.0</v>
      </c>
      <c r="AK7" s="207">
        <v>45593.0</v>
      </c>
      <c r="AL7" s="207">
        <v>45629.0</v>
      </c>
      <c r="AM7" s="207">
        <v>45632.0</v>
      </c>
      <c r="AN7" s="207">
        <v>45632.0</v>
      </c>
      <c r="AO7" s="207">
        <v>45632.0</v>
      </c>
      <c r="AP7" s="207">
        <v>45647.0</v>
      </c>
      <c r="AQ7" s="207">
        <v>45647.0</v>
      </c>
      <c r="AR7" s="207">
        <v>45658.0</v>
      </c>
      <c r="AS7" s="207">
        <v>45670.0</v>
      </c>
      <c r="AT7" s="207">
        <v>45670.0</v>
      </c>
      <c r="AU7" s="207">
        <v>45677.0</v>
      </c>
      <c r="AV7" s="207">
        <v>45701.0</v>
      </c>
      <c r="AW7" s="207">
        <v>45708.0</v>
      </c>
      <c r="AX7" s="207">
        <v>45708.0</v>
      </c>
      <c r="AY7" s="207">
        <v>45718.0</v>
      </c>
      <c r="AZ7" s="207">
        <v>45718.0</v>
      </c>
      <c r="BA7" s="207">
        <v>45732.0</v>
      </c>
      <c r="BB7" s="207">
        <v>45732.0</v>
      </c>
      <c r="BC7" s="207">
        <v>45754.0</v>
      </c>
      <c r="BD7" s="207">
        <v>45754.0</v>
      </c>
      <c r="BE7" s="207">
        <v>45802.0</v>
      </c>
      <c r="BF7" s="207">
        <v>45802.0</v>
      </c>
    </row>
    <row r="8">
      <c r="A8" s="202"/>
      <c r="B8" s="208">
        <v>45383.0</v>
      </c>
      <c r="C8" s="208"/>
      <c r="D8" s="202"/>
      <c r="E8" s="203"/>
      <c r="F8" s="203"/>
      <c r="G8" s="203"/>
      <c r="H8" s="203"/>
      <c r="I8" s="204" t="s">
        <v>246</v>
      </c>
      <c r="J8" s="201">
        <v>46092.0</v>
      </c>
      <c r="K8" s="200" t="s">
        <v>191</v>
      </c>
      <c r="L8" s="200" t="s">
        <v>191</v>
      </c>
      <c r="M8" s="201">
        <v>46120.0</v>
      </c>
      <c r="N8" s="201">
        <v>46509.0</v>
      </c>
      <c r="O8" s="200" t="s">
        <v>196</v>
      </c>
      <c r="P8" s="201">
        <v>45818.0</v>
      </c>
      <c r="Q8" s="200" t="s">
        <v>200</v>
      </c>
      <c r="R8" s="201">
        <v>46303.0</v>
      </c>
      <c r="S8" s="201">
        <v>46184.0</v>
      </c>
      <c r="T8" s="201">
        <v>46064.0</v>
      </c>
      <c r="U8" s="200" t="s">
        <v>206</v>
      </c>
      <c r="V8" s="200" t="s">
        <v>209</v>
      </c>
      <c r="W8" s="200" t="s">
        <v>212</v>
      </c>
      <c r="X8" s="201">
        <v>46064.0</v>
      </c>
      <c r="Y8" s="201">
        <v>45879.0</v>
      </c>
      <c r="Z8" s="200" t="s">
        <v>212</v>
      </c>
      <c r="AA8" s="200" t="s">
        <v>218</v>
      </c>
      <c r="AB8" s="200" t="s">
        <v>212</v>
      </c>
      <c r="AC8" s="200" t="s">
        <v>222</v>
      </c>
      <c r="AD8" s="209">
        <f t="shared" ref="AD8:BF8" si="1">edate(AD7,AD4)</f>
        <v>45930</v>
      </c>
      <c r="AE8" s="209">
        <f t="shared" si="1"/>
        <v>45930</v>
      </c>
      <c r="AF8" s="209">
        <f t="shared" si="1"/>
        <v>45930</v>
      </c>
      <c r="AG8" s="209">
        <f t="shared" si="1"/>
        <v>45930</v>
      </c>
      <c r="AH8" s="209">
        <f t="shared" si="1"/>
        <v>45930</v>
      </c>
      <c r="AI8" s="209">
        <f t="shared" si="1"/>
        <v>45930</v>
      </c>
      <c r="AJ8" s="209">
        <f t="shared" si="1"/>
        <v>45930</v>
      </c>
      <c r="AK8" s="209">
        <f t="shared" si="1"/>
        <v>45958</v>
      </c>
      <c r="AL8" s="209">
        <f t="shared" si="1"/>
        <v>45994</v>
      </c>
      <c r="AM8" s="209">
        <f t="shared" si="1"/>
        <v>45997</v>
      </c>
      <c r="AN8" s="209">
        <f t="shared" si="1"/>
        <v>45997</v>
      </c>
      <c r="AO8" s="209">
        <f t="shared" si="1"/>
        <v>45997</v>
      </c>
      <c r="AP8" s="209">
        <f t="shared" si="1"/>
        <v>46012</v>
      </c>
      <c r="AQ8" s="209">
        <f t="shared" si="1"/>
        <v>46012</v>
      </c>
      <c r="AR8" s="209">
        <f t="shared" si="1"/>
        <v>46023</v>
      </c>
      <c r="AS8" s="209">
        <f t="shared" si="1"/>
        <v>46035</v>
      </c>
      <c r="AT8" s="209">
        <f t="shared" si="1"/>
        <v>46035</v>
      </c>
      <c r="AU8" s="209">
        <f t="shared" si="1"/>
        <v>46042</v>
      </c>
      <c r="AV8" s="209">
        <f t="shared" si="1"/>
        <v>46431</v>
      </c>
      <c r="AW8" s="209">
        <f t="shared" si="1"/>
        <v>46438</v>
      </c>
      <c r="AX8" s="209">
        <f t="shared" si="1"/>
        <v>46438</v>
      </c>
      <c r="AY8" s="209">
        <f t="shared" si="1"/>
        <v>46448</v>
      </c>
      <c r="AZ8" s="209">
        <f t="shared" si="1"/>
        <v>46448</v>
      </c>
      <c r="BA8" s="209">
        <f t="shared" si="1"/>
        <v>46462</v>
      </c>
      <c r="BB8" s="209">
        <f t="shared" si="1"/>
        <v>46462</v>
      </c>
      <c r="BC8" s="209">
        <f t="shared" si="1"/>
        <v>46484</v>
      </c>
      <c r="BD8" s="209">
        <f t="shared" si="1"/>
        <v>46484</v>
      </c>
      <c r="BE8" s="209">
        <f t="shared" si="1"/>
        <v>46532</v>
      </c>
      <c r="BF8" s="209">
        <f t="shared" si="1"/>
        <v>46532</v>
      </c>
    </row>
    <row r="9">
      <c r="A9" s="202"/>
      <c r="B9" s="202"/>
      <c r="C9" s="202"/>
      <c r="D9" s="202"/>
      <c r="E9" s="203"/>
      <c r="F9" s="203"/>
      <c r="G9" s="203"/>
      <c r="H9" s="203"/>
      <c r="I9" s="204" t="s">
        <v>182</v>
      </c>
      <c r="J9" s="200" t="s">
        <v>187</v>
      </c>
      <c r="K9" s="200" t="s">
        <v>187</v>
      </c>
      <c r="L9" s="200" t="s">
        <v>187</v>
      </c>
      <c r="M9" s="200" t="s">
        <v>187</v>
      </c>
      <c r="N9" s="200" t="s">
        <v>187</v>
      </c>
      <c r="O9" s="200" t="s">
        <v>187</v>
      </c>
      <c r="P9" s="200" t="s">
        <v>187</v>
      </c>
      <c r="Q9" s="200" t="s">
        <v>187</v>
      </c>
      <c r="R9" s="200" t="s">
        <v>187</v>
      </c>
      <c r="S9" s="200" t="s">
        <v>187</v>
      </c>
      <c r="T9" s="200" t="s">
        <v>187</v>
      </c>
      <c r="U9" s="200" t="s">
        <v>187</v>
      </c>
      <c r="V9" s="200" t="s">
        <v>187</v>
      </c>
      <c r="W9" s="200" t="s">
        <v>187</v>
      </c>
      <c r="X9" s="200" t="s">
        <v>187</v>
      </c>
      <c r="Y9" s="200" t="s">
        <v>187</v>
      </c>
      <c r="Z9" s="200" t="s">
        <v>187</v>
      </c>
      <c r="AA9" s="200" t="s">
        <v>187</v>
      </c>
      <c r="AB9" s="200" t="s">
        <v>187</v>
      </c>
      <c r="AC9" s="200" t="s">
        <v>187</v>
      </c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210"/>
      <c r="BE9" s="210"/>
      <c r="BF9" s="210"/>
    </row>
    <row r="10" hidden="1">
      <c r="A10" s="202"/>
      <c r="B10" s="202"/>
      <c r="C10" s="202"/>
      <c r="D10" s="202"/>
      <c r="E10" s="203"/>
      <c r="F10" s="203"/>
      <c r="G10" s="203"/>
      <c r="H10" s="203"/>
      <c r="I10" s="204" t="s">
        <v>182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</row>
    <row r="11" hidden="1">
      <c r="A11" s="202"/>
      <c r="B11" s="202"/>
      <c r="C11" s="202"/>
      <c r="D11" s="202"/>
      <c r="E11" s="203"/>
      <c r="F11" s="203"/>
      <c r="G11" s="203"/>
      <c r="H11" s="203"/>
      <c r="I11" s="204" t="s">
        <v>247</v>
      </c>
      <c r="J11" s="202"/>
      <c r="K11" s="202"/>
      <c r="L11" s="202"/>
      <c r="M11" s="202"/>
      <c r="N11" s="202"/>
      <c r="O11" s="202"/>
      <c r="P11" s="202"/>
      <c r="Q11" s="202"/>
      <c r="R11" s="202"/>
      <c r="S11" s="188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</row>
    <row r="12" hidden="1">
      <c r="A12" s="202"/>
      <c r="B12" s="202">
        <v>224954.0</v>
      </c>
      <c r="C12" s="202"/>
      <c r="D12" s="202"/>
      <c r="E12" s="203"/>
      <c r="F12" s="203"/>
      <c r="G12" s="203" t="s">
        <v>248</v>
      </c>
      <c r="H12" s="211">
        <f>DATE(YEAR(today()),MONTH(TODAY()),1)</f>
        <v>45962</v>
      </c>
      <c r="I12" s="204" t="s">
        <v>249</v>
      </c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</row>
    <row r="13" hidden="1">
      <c r="A13" s="202"/>
      <c r="B13" s="202"/>
      <c r="C13" s="202"/>
      <c r="D13" s="202"/>
      <c r="E13" s="203"/>
      <c r="F13" s="203"/>
      <c r="G13" s="203"/>
      <c r="H13" s="203"/>
      <c r="I13" s="204" t="s">
        <v>250</v>
      </c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</row>
    <row r="14" hidden="1">
      <c r="A14" s="202"/>
      <c r="B14" s="202"/>
      <c r="C14" s="202"/>
      <c r="D14" s="202"/>
      <c r="E14" s="203"/>
      <c r="F14" s="203"/>
      <c r="G14" s="203"/>
      <c r="H14" s="203"/>
      <c r="I14" s="204" t="s">
        <v>251</v>
      </c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</row>
    <row r="15" hidden="1">
      <c r="A15" s="202"/>
      <c r="B15" s="202"/>
      <c r="C15" s="202"/>
      <c r="D15" s="202"/>
      <c r="E15" s="203"/>
      <c r="F15" s="203"/>
      <c r="G15" s="203"/>
      <c r="H15" s="203"/>
      <c r="I15" s="204" t="s">
        <v>252</v>
      </c>
      <c r="J15" s="204"/>
      <c r="K15" s="204"/>
      <c r="L15" s="204"/>
      <c r="M15" s="204"/>
      <c r="N15" s="204"/>
      <c r="O15" s="204"/>
      <c r="P15" s="204"/>
      <c r="Q15" s="204"/>
      <c r="R15" s="204"/>
      <c r="S15" s="212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</row>
    <row r="16" hidden="1">
      <c r="A16" s="202"/>
      <c r="B16" s="202"/>
      <c r="C16" s="202"/>
      <c r="D16" s="202"/>
      <c r="E16" s="203"/>
      <c r="F16" s="203"/>
      <c r="G16" s="203"/>
      <c r="H16" s="203"/>
      <c r="I16" s="204" t="s">
        <v>253</v>
      </c>
      <c r="J16" s="204"/>
      <c r="K16" s="204"/>
      <c r="L16" s="204"/>
      <c r="M16" s="204"/>
      <c r="N16" s="204"/>
      <c r="O16" s="204"/>
      <c r="P16" s="204"/>
      <c r="Q16" s="204"/>
      <c r="R16" s="204"/>
      <c r="S16" s="212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</row>
    <row r="17">
      <c r="A17" s="202"/>
      <c r="B17" s="202"/>
      <c r="C17" s="202"/>
      <c r="D17" s="202"/>
      <c r="E17" s="203"/>
      <c r="F17" s="203"/>
      <c r="G17" s="203"/>
      <c r="H17" s="203"/>
      <c r="I17" s="204" t="s">
        <v>254</v>
      </c>
      <c r="J17" s="204"/>
      <c r="K17" s="204"/>
      <c r="L17" s="204"/>
      <c r="M17" s="204"/>
      <c r="N17" s="204"/>
      <c r="O17" s="204"/>
      <c r="P17" s="204"/>
      <c r="Q17" s="204"/>
      <c r="R17" s="204"/>
      <c r="S17" s="212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</row>
    <row r="18">
      <c r="A18" s="202"/>
      <c r="D18" s="202"/>
      <c r="E18" s="203">
        <f t="shared" ref="E18:H18" si="2">sum(E20:E117)</f>
        <v>60187.91</v>
      </c>
      <c r="F18" s="203">
        <f t="shared" si="2"/>
        <v>372547.12</v>
      </c>
      <c r="G18" s="203">
        <f t="shared" si="2"/>
        <v>96524.51</v>
      </c>
      <c r="H18" s="203">
        <f t="shared" si="2"/>
        <v>1783.9</v>
      </c>
      <c r="I18" s="204" t="s">
        <v>255</v>
      </c>
      <c r="J18" s="204"/>
      <c r="K18" s="204"/>
      <c r="L18" s="204"/>
      <c r="M18" s="204"/>
      <c r="N18" s="204"/>
      <c r="O18" s="204"/>
      <c r="P18" s="204"/>
      <c r="Q18" s="204"/>
      <c r="R18" s="204"/>
      <c r="S18" s="21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</row>
    <row r="19">
      <c r="A19" s="202" t="s">
        <v>256</v>
      </c>
      <c r="B19" s="204" t="s">
        <v>257</v>
      </c>
      <c r="C19" s="204" t="s">
        <v>109</v>
      </c>
      <c r="D19" s="204">
        <f>sumif(I20:I117,"Future",B20:B117)</f>
        <v>498306</v>
      </c>
      <c r="E19" s="203" t="s">
        <v>258</v>
      </c>
      <c r="F19" s="203" t="s">
        <v>259</v>
      </c>
      <c r="G19" s="203" t="s">
        <v>260</v>
      </c>
      <c r="H19" s="203" t="s">
        <v>261</v>
      </c>
      <c r="I19" s="204" t="s">
        <v>174</v>
      </c>
      <c r="J19" s="203" t="s">
        <v>259</v>
      </c>
      <c r="K19" s="203" t="s">
        <v>259</v>
      </c>
      <c r="L19" s="203" t="s">
        <v>259</v>
      </c>
      <c r="M19" s="203" t="s">
        <v>260</v>
      </c>
      <c r="N19" s="203" t="s">
        <v>258</v>
      </c>
      <c r="O19" s="203" t="s">
        <v>260</v>
      </c>
      <c r="P19" s="203" t="s">
        <v>259</v>
      </c>
      <c r="Q19" s="203" t="s">
        <v>260</v>
      </c>
      <c r="R19" s="203" t="s">
        <v>260</v>
      </c>
      <c r="S19" s="203" t="s">
        <v>260</v>
      </c>
      <c r="T19" s="203" t="s">
        <v>259</v>
      </c>
      <c r="U19" s="203" t="s">
        <v>260</v>
      </c>
      <c r="V19" s="203" t="s">
        <v>259</v>
      </c>
      <c r="W19" s="203" t="s">
        <v>260</v>
      </c>
      <c r="X19" s="203" t="s">
        <v>258</v>
      </c>
      <c r="Y19" s="203" t="s">
        <v>260</v>
      </c>
      <c r="Z19" s="203" t="s">
        <v>260</v>
      </c>
      <c r="AA19" s="203" t="s">
        <v>260</v>
      </c>
      <c r="AB19" s="203" t="s">
        <v>260</v>
      </c>
      <c r="AC19" s="203" t="s">
        <v>260</v>
      </c>
      <c r="AD19" s="203" t="s">
        <v>261</v>
      </c>
      <c r="AE19" s="203" t="s">
        <v>261</v>
      </c>
      <c r="AF19" s="203" t="s">
        <v>261</v>
      </c>
      <c r="AG19" s="203" t="s">
        <v>261</v>
      </c>
      <c r="AH19" s="203" t="s">
        <v>261</v>
      </c>
      <c r="AI19" s="203" t="s">
        <v>261</v>
      </c>
      <c r="AJ19" s="203" t="s">
        <v>261</v>
      </c>
      <c r="AK19" s="203" t="s">
        <v>261</v>
      </c>
      <c r="AL19" s="203" t="s">
        <v>261</v>
      </c>
      <c r="AM19" s="203" t="s">
        <v>261</v>
      </c>
      <c r="AN19" s="203" t="s">
        <v>261</v>
      </c>
      <c r="AO19" s="203" t="s">
        <v>261</v>
      </c>
      <c r="AP19" s="203" t="s">
        <v>261</v>
      </c>
      <c r="AQ19" s="203" t="s">
        <v>261</v>
      </c>
      <c r="AR19" s="203" t="s">
        <v>261</v>
      </c>
      <c r="AS19" s="203" t="s">
        <v>261</v>
      </c>
      <c r="AT19" s="203" t="s">
        <v>261</v>
      </c>
      <c r="AU19" s="203" t="s">
        <v>261</v>
      </c>
      <c r="AV19" s="203" t="s">
        <v>261</v>
      </c>
      <c r="AW19" s="203" t="s">
        <v>261</v>
      </c>
      <c r="AX19" s="203" t="s">
        <v>261</v>
      </c>
      <c r="AY19" s="203" t="s">
        <v>261</v>
      </c>
      <c r="AZ19" s="203" t="s">
        <v>261</v>
      </c>
      <c r="BA19" s="203" t="s">
        <v>261</v>
      </c>
      <c r="BB19" s="203" t="s">
        <v>261</v>
      </c>
      <c r="BC19" s="203" t="s">
        <v>261</v>
      </c>
      <c r="BD19" s="203" t="s">
        <v>261</v>
      </c>
      <c r="BE19" s="203" t="s">
        <v>261</v>
      </c>
      <c r="BF19" s="203" t="s">
        <v>261</v>
      </c>
    </row>
    <row r="20">
      <c r="A20" s="188">
        <f t="shared" ref="A20:A117" si="5">ceiling(sum(J20:BF117)-sum(J20:BF20),1)</f>
        <v>989504</v>
      </c>
      <c r="B20" s="212">
        <f t="shared" ref="B20:B50" si="6">ceiling(sum(J20:BF20),1)</f>
        <v>0</v>
      </c>
      <c r="C20" s="212">
        <f t="shared" ref="C20:C56" si="7">sum(E20:H20)</f>
        <v>0</v>
      </c>
      <c r="D20" s="215">
        <v>44805.0</v>
      </c>
      <c r="E20" s="216">
        <f t="shared" ref="E20:H20" si="3">sumif($J$19:BF19,E$19,$J20:BF20)</f>
        <v>0</v>
      </c>
      <c r="F20" s="216">
        <f t="shared" si="3"/>
        <v>0</v>
      </c>
      <c r="G20" s="216">
        <f t="shared" si="3"/>
        <v>0</v>
      </c>
      <c r="H20" s="216">
        <f t="shared" si="3"/>
        <v>0</v>
      </c>
      <c r="I20" s="202" t="str">
        <f t="shared" ref="I20:I117" si="9">if(D20=DATE(year(today()),month(today()),1),"Current",if(D20&gt;DATE(year(today()),month(today()),1), "Future","Past"))</f>
        <v>Past</v>
      </c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E20" s="188">
        <f t="shared" ref="AE20:BF20" si="4">if(and($D20&gt;AE$7,$D20&lt;AE$8),AE$5,0)</f>
        <v>0</v>
      </c>
      <c r="AF20" s="188">
        <f t="shared" si="4"/>
        <v>0</v>
      </c>
      <c r="AG20" s="188">
        <f t="shared" si="4"/>
        <v>0</v>
      </c>
      <c r="AH20" s="188">
        <f t="shared" si="4"/>
        <v>0</v>
      </c>
      <c r="AI20" s="188">
        <f t="shared" si="4"/>
        <v>0</v>
      </c>
      <c r="AJ20" s="188">
        <f t="shared" si="4"/>
        <v>0</v>
      </c>
      <c r="AK20" s="188">
        <f t="shared" si="4"/>
        <v>0</v>
      </c>
      <c r="AL20" s="188">
        <f t="shared" si="4"/>
        <v>0</v>
      </c>
      <c r="AM20" s="188">
        <f t="shared" si="4"/>
        <v>0</v>
      </c>
      <c r="AN20" s="188">
        <f t="shared" si="4"/>
        <v>0</v>
      </c>
      <c r="AO20" s="188">
        <f t="shared" si="4"/>
        <v>0</v>
      </c>
      <c r="AP20" s="188">
        <f t="shared" si="4"/>
        <v>0</v>
      </c>
      <c r="AQ20" s="188">
        <f t="shared" si="4"/>
        <v>0</v>
      </c>
      <c r="AR20" s="188">
        <f t="shared" si="4"/>
        <v>0</v>
      </c>
      <c r="AS20" s="188">
        <f t="shared" si="4"/>
        <v>0</v>
      </c>
      <c r="AT20" s="188">
        <f t="shared" si="4"/>
        <v>0</v>
      </c>
      <c r="AU20" s="188">
        <f t="shared" si="4"/>
        <v>0</v>
      </c>
      <c r="AV20" s="188">
        <f t="shared" si="4"/>
        <v>0</v>
      </c>
      <c r="AW20" s="188">
        <f t="shared" si="4"/>
        <v>0</v>
      </c>
      <c r="AX20" s="188">
        <f t="shared" si="4"/>
        <v>0</v>
      </c>
      <c r="AY20" s="188">
        <f t="shared" si="4"/>
        <v>0</v>
      </c>
      <c r="AZ20" s="188">
        <f t="shared" si="4"/>
        <v>0</v>
      </c>
      <c r="BA20" s="188">
        <f t="shared" si="4"/>
        <v>0</v>
      </c>
      <c r="BB20" s="188">
        <f t="shared" si="4"/>
        <v>0</v>
      </c>
      <c r="BC20" s="188">
        <f t="shared" si="4"/>
        <v>0</v>
      </c>
      <c r="BD20" s="188">
        <f t="shared" si="4"/>
        <v>0</v>
      </c>
      <c r="BE20" s="188">
        <f t="shared" si="4"/>
        <v>0</v>
      </c>
      <c r="BF20" s="188">
        <f t="shared" si="4"/>
        <v>0</v>
      </c>
    </row>
    <row r="21">
      <c r="A21" s="188">
        <f t="shared" si="5"/>
        <v>989504</v>
      </c>
      <c r="B21" s="212">
        <f t="shared" si="6"/>
        <v>0</v>
      </c>
      <c r="C21" s="212">
        <f t="shared" si="7"/>
        <v>0</v>
      </c>
      <c r="D21" s="215">
        <v>44835.0</v>
      </c>
      <c r="E21" s="216">
        <f t="shared" ref="E21:H21" si="8">sumif($J$19:BF20,E$19,$J21:BF21)</f>
        <v>0</v>
      </c>
      <c r="F21" s="216">
        <f t="shared" si="8"/>
        <v>0</v>
      </c>
      <c r="G21" s="216">
        <f t="shared" si="8"/>
        <v>0</v>
      </c>
      <c r="H21" s="216">
        <f t="shared" si="8"/>
        <v>0</v>
      </c>
      <c r="I21" s="202" t="str">
        <f t="shared" si="9"/>
        <v>Past</v>
      </c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E21" s="188">
        <f t="shared" ref="AE21:BF21" si="10">if(and($D21&gt;AE$7,$D21&lt;AE$8),AE$5,0)</f>
        <v>0</v>
      </c>
      <c r="AF21" s="188">
        <f t="shared" si="10"/>
        <v>0</v>
      </c>
      <c r="AG21" s="188">
        <f t="shared" si="10"/>
        <v>0</v>
      </c>
      <c r="AH21" s="188">
        <f t="shared" si="10"/>
        <v>0</v>
      </c>
      <c r="AI21" s="188">
        <f t="shared" si="10"/>
        <v>0</v>
      </c>
      <c r="AJ21" s="188">
        <f t="shared" si="10"/>
        <v>0</v>
      </c>
      <c r="AK21" s="188">
        <f t="shared" si="10"/>
        <v>0</v>
      </c>
      <c r="AL21" s="188">
        <f t="shared" si="10"/>
        <v>0</v>
      </c>
      <c r="AM21" s="188">
        <f t="shared" si="10"/>
        <v>0</v>
      </c>
      <c r="AN21" s="188">
        <f t="shared" si="10"/>
        <v>0</v>
      </c>
      <c r="AO21" s="188">
        <f t="shared" si="10"/>
        <v>0</v>
      </c>
      <c r="AP21" s="188">
        <f t="shared" si="10"/>
        <v>0</v>
      </c>
      <c r="AQ21" s="188">
        <f t="shared" si="10"/>
        <v>0</v>
      </c>
      <c r="AR21" s="188">
        <f t="shared" si="10"/>
        <v>0</v>
      </c>
      <c r="AS21" s="188">
        <f t="shared" si="10"/>
        <v>0</v>
      </c>
      <c r="AT21" s="188">
        <f t="shared" si="10"/>
        <v>0</v>
      </c>
      <c r="AU21" s="188">
        <f t="shared" si="10"/>
        <v>0</v>
      </c>
      <c r="AV21" s="188">
        <f t="shared" si="10"/>
        <v>0</v>
      </c>
      <c r="AW21" s="188">
        <f t="shared" si="10"/>
        <v>0</v>
      </c>
      <c r="AX21" s="188">
        <f t="shared" si="10"/>
        <v>0</v>
      </c>
      <c r="AY21" s="188">
        <f t="shared" si="10"/>
        <v>0</v>
      </c>
      <c r="AZ21" s="188">
        <f t="shared" si="10"/>
        <v>0</v>
      </c>
      <c r="BA21" s="188">
        <f t="shared" si="10"/>
        <v>0</v>
      </c>
      <c r="BB21" s="188">
        <f t="shared" si="10"/>
        <v>0</v>
      </c>
      <c r="BC21" s="188">
        <f t="shared" si="10"/>
        <v>0</v>
      </c>
      <c r="BD21" s="188">
        <f t="shared" si="10"/>
        <v>0</v>
      </c>
      <c r="BE21" s="188">
        <f t="shared" si="10"/>
        <v>0</v>
      </c>
      <c r="BF21" s="188">
        <f t="shared" si="10"/>
        <v>0</v>
      </c>
    </row>
    <row r="22">
      <c r="A22" s="188">
        <f t="shared" si="5"/>
        <v>989504</v>
      </c>
      <c r="B22" s="212">
        <f t="shared" si="6"/>
        <v>0</v>
      </c>
      <c r="C22" s="212">
        <f t="shared" si="7"/>
        <v>0</v>
      </c>
      <c r="D22" s="215">
        <v>44866.0</v>
      </c>
      <c r="E22" s="216">
        <f t="shared" ref="E22:H22" si="11">sumif($J$19:BF21,E$19,$J22:BF22)</f>
        <v>0</v>
      </c>
      <c r="F22" s="216">
        <f t="shared" si="11"/>
        <v>0</v>
      </c>
      <c r="G22" s="216">
        <f t="shared" si="11"/>
        <v>0</v>
      </c>
      <c r="H22" s="216">
        <f t="shared" si="11"/>
        <v>0</v>
      </c>
      <c r="I22" s="202" t="str">
        <f t="shared" si="9"/>
        <v>Past</v>
      </c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E22" s="188">
        <f t="shared" ref="AE22:BF22" si="12">if(and($D22&gt;AE$7,$D22&lt;AE$8),AE$5,0)</f>
        <v>0</v>
      </c>
      <c r="AF22" s="188">
        <f t="shared" si="12"/>
        <v>0</v>
      </c>
      <c r="AG22" s="188">
        <f t="shared" si="12"/>
        <v>0</v>
      </c>
      <c r="AH22" s="188">
        <f t="shared" si="12"/>
        <v>0</v>
      </c>
      <c r="AI22" s="188">
        <f t="shared" si="12"/>
        <v>0</v>
      </c>
      <c r="AJ22" s="188">
        <f t="shared" si="12"/>
        <v>0</v>
      </c>
      <c r="AK22" s="188">
        <f t="shared" si="12"/>
        <v>0</v>
      </c>
      <c r="AL22" s="188">
        <f t="shared" si="12"/>
        <v>0</v>
      </c>
      <c r="AM22" s="188">
        <f t="shared" si="12"/>
        <v>0</v>
      </c>
      <c r="AN22" s="188">
        <f t="shared" si="12"/>
        <v>0</v>
      </c>
      <c r="AO22" s="188">
        <f t="shared" si="12"/>
        <v>0</v>
      </c>
      <c r="AP22" s="188">
        <f t="shared" si="12"/>
        <v>0</v>
      </c>
      <c r="AQ22" s="188">
        <f t="shared" si="12"/>
        <v>0</v>
      </c>
      <c r="AR22" s="188">
        <f t="shared" si="12"/>
        <v>0</v>
      </c>
      <c r="AS22" s="188">
        <f t="shared" si="12"/>
        <v>0</v>
      </c>
      <c r="AT22" s="188">
        <f t="shared" si="12"/>
        <v>0</v>
      </c>
      <c r="AU22" s="188">
        <f t="shared" si="12"/>
        <v>0</v>
      </c>
      <c r="AV22" s="188">
        <f t="shared" si="12"/>
        <v>0</v>
      </c>
      <c r="AW22" s="188">
        <f t="shared" si="12"/>
        <v>0</v>
      </c>
      <c r="AX22" s="188">
        <f t="shared" si="12"/>
        <v>0</v>
      </c>
      <c r="AY22" s="188">
        <f t="shared" si="12"/>
        <v>0</v>
      </c>
      <c r="AZ22" s="188">
        <f t="shared" si="12"/>
        <v>0</v>
      </c>
      <c r="BA22" s="188">
        <f t="shared" si="12"/>
        <v>0</v>
      </c>
      <c r="BB22" s="188">
        <f t="shared" si="12"/>
        <v>0</v>
      </c>
      <c r="BC22" s="188">
        <f t="shared" si="12"/>
        <v>0</v>
      </c>
      <c r="BD22" s="188">
        <f t="shared" si="12"/>
        <v>0</v>
      </c>
      <c r="BE22" s="188">
        <f t="shared" si="12"/>
        <v>0</v>
      </c>
      <c r="BF22" s="188">
        <f t="shared" si="12"/>
        <v>0</v>
      </c>
    </row>
    <row r="23">
      <c r="A23" s="188">
        <f t="shared" si="5"/>
        <v>989504</v>
      </c>
      <c r="B23" s="212">
        <f t="shared" si="6"/>
        <v>0</v>
      </c>
      <c r="C23" s="212">
        <f t="shared" si="7"/>
        <v>0</v>
      </c>
      <c r="D23" s="215">
        <v>44896.0</v>
      </c>
      <c r="E23" s="216">
        <f t="shared" ref="E23:H23" si="13">sumif($J$19:BF22,E$19,$J23:BF23)</f>
        <v>0</v>
      </c>
      <c r="F23" s="216">
        <f t="shared" si="13"/>
        <v>0</v>
      </c>
      <c r="G23" s="216">
        <f t="shared" si="13"/>
        <v>0</v>
      </c>
      <c r="H23" s="216">
        <f t="shared" si="13"/>
        <v>0</v>
      </c>
      <c r="I23" s="202" t="str">
        <f t="shared" si="9"/>
        <v>Past</v>
      </c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E23" s="188">
        <f t="shared" ref="AE23:BF23" si="14">if(and($D23&gt;AE$7,$D23&lt;AE$8),AE$5,0)</f>
        <v>0</v>
      </c>
      <c r="AF23" s="188">
        <f t="shared" si="14"/>
        <v>0</v>
      </c>
      <c r="AG23" s="188">
        <f t="shared" si="14"/>
        <v>0</v>
      </c>
      <c r="AH23" s="188">
        <f t="shared" si="14"/>
        <v>0</v>
      </c>
      <c r="AI23" s="188">
        <f t="shared" si="14"/>
        <v>0</v>
      </c>
      <c r="AJ23" s="188">
        <f t="shared" si="14"/>
        <v>0</v>
      </c>
      <c r="AK23" s="188">
        <f t="shared" si="14"/>
        <v>0</v>
      </c>
      <c r="AL23" s="188">
        <f t="shared" si="14"/>
        <v>0</v>
      </c>
      <c r="AM23" s="188">
        <f t="shared" si="14"/>
        <v>0</v>
      </c>
      <c r="AN23" s="188">
        <f t="shared" si="14"/>
        <v>0</v>
      </c>
      <c r="AO23" s="188">
        <f t="shared" si="14"/>
        <v>0</v>
      </c>
      <c r="AP23" s="188">
        <f t="shared" si="14"/>
        <v>0</v>
      </c>
      <c r="AQ23" s="188">
        <f t="shared" si="14"/>
        <v>0</v>
      </c>
      <c r="AR23" s="188">
        <f t="shared" si="14"/>
        <v>0</v>
      </c>
      <c r="AS23" s="188">
        <f t="shared" si="14"/>
        <v>0</v>
      </c>
      <c r="AT23" s="188">
        <f t="shared" si="14"/>
        <v>0</v>
      </c>
      <c r="AU23" s="188">
        <f t="shared" si="14"/>
        <v>0</v>
      </c>
      <c r="AV23" s="188">
        <f t="shared" si="14"/>
        <v>0</v>
      </c>
      <c r="AW23" s="188">
        <f t="shared" si="14"/>
        <v>0</v>
      </c>
      <c r="AX23" s="188">
        <f t="shared" si="14"/>
        <v>0</v>
      </c>
      <c r="AY23" s="188">
        <f t="shared" si="14"/>
        <v>0</v>
      </c>
      <c r="AZ23" s="188">
        <f t="shared" si="14"/>
        <v>0</v>
      </c>
      <c r="BA23" s="188">
        <f t="shared" si="14"/>
        <v>0</v>
      </c>
      <c r="BB23" s="188">
        <f t="shared" si="14"/>
        <v>0</v>
      </c>
      <c r="BC23" s="188">
        <f t="shared" si="14"/>
        <v>0</v>
      </c>
      <c r="BD23" s="188">
        <f t="shared" si="14"/>
        <v>0</v>
      </c>
      <c r="BE23" s="188">
        <f t="shared" si="14"/>
        <v>0</v>
      </c>
      <c r="BF23" s="188">
        <f t="shared" si="14"/>
        <v>0</v>
      </c>
    </row>
    <row r="24">
      <c r="A24" s="188">
        <f t="shared" si="5"/>
        <v>989504</v>
      </c>
      <c r="B24" s="212">
        <f t="shared" si="6"/>
        <v>0</v>
      </c>
      <c r="C24" s="212">
        <f t="shared" si="7"/>
        <v>0</v>
      </c>
      <c r="D24" s="215">
        <v>44927.0</v>
      </c>
      <c r="E24" s="216">
        <f t="shared" ref="E24:H24" si="15">sumif($J$19:BF23,E$19,$J24:BF24)</f>
        <v>0</v>
      </c>
      <c r="F24" s="216">
        <f t="shared" si="15"/>
        <v>0</v>
      </c>
      <c r="G24" s="216">
        <f t="shared" si="15"/>
        <v>0</v>
      </c>
      <c r="H24" s="216">
        <f t="shared" si="15"/>
        <v>0</v>
      </c>
      <c r="I24" s="202" t="str">
        <f t="shared" si="9"/>
        <v>Past</v>
      </c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E24" s="188">
        <f t="shared" ref="AE24:BF24" si="16">if(and($D24&gt;AE$7,$D24&lt;AE$8),AE$5,0)</f>
        <v>0</v>
      </c>
      <c r="AF24" s="188">
        <f t="shared" si="16"/>
        <v>0</v>
      </c>
      <c r="AG24" s="188">
        <f t="shared" si="16"/>
        <v>0</v>
      </c>
      <c r="AH24" s="188">
        <f t="shared" si="16"/>
        <v>0</v>
      </c>
      <c r="AI24" s="188">
        <f t="shared" si="16"/>
        <v>0</v>
      </c>
      <c r="AJ24" s="188">
        <f t="shared" si="16"/>
        <v>0</v>
      </c>
      <c r="AK24" s="188">
        <f t="shared" si="16"/>
        <v>0</v>
      </c>
      <c r="AL24" s="188">
        <f t="shared" si="16"/>
        <v>0</v>
      </c>
      <c r="AM24" s="188">
        <f t="shared" si="16"/>
        <v>0</v>
      </c>
      <c r="AN24" s="188">
        <f t="shared" si="16"/>
        <v>0</v>
      </c>
      <c r="AO24" s="188">
        <f t="shared" si="16"/>
        <v>0</v>
      </c>
      <c r="AP24" s="188">
        <f t="shared" si="16"/>
        <v>0</v>
      </c>
      <c r="AQ24" s="188">
        <f t="shared" si="16"/>
        <v>0</v>
      </c>
      <c r="AR24" s="188">
        <f t="shared" si="16"/>
        <v>0</v>
      </c>
      <c r="AS24" s="188">
        <f t="shared" si="16"/>
        <v>0</v>
      </c>
      <c r="AT24" s="188">
        <f t="shared" si="16"/>
        <v>0</v>
      </c>
      <c r="AU24" s="188">
        <f t="shared" si="16"/>
        <v>0</v>
      </c>
      <c r="AV24" s="188">
        <f t="shared" si="16"/>
        <v>0</v>
      </c>
      <c r="AW24" s="188">
        <f t="shared" si="16"/>
        <v>0</v>
      </c>
      <c r="AX24" s="188">
        <f t="shared" si="16"/>
        <v>0</v>
      </c>
      <c r="AY24" s="188">
        <f t="shared" si="16"/>
        <v>0</v>
      </c>
      <c r="AZ24" s="188">
        <f t="shared" si="16"/>
        <v>0</v>
      </c>
      <c r="BA24" s="188">
        <f t="shared" si="16"/>
        <v>0</v>
      </c>
      <c r="BB24" s="188">
        <f t="shared" si="16"/>
        <v>0</v>
      </c>
      <c r="BC24" s="188">
        <f t="shared" si="16"/>
        <v>0</v>
      </c>
      <c r="BD24" s="188">
        <f t="shared" si="16"/>
        <v>0</v>
      </c>
      <c r="BE24" s="188">
        <f t="shared" si="16"/>
        <v>0</v>
      </c>
      <c r="BF24" s="188">
        <f t="shared" si="16"/>
        <v>0</v>
      </c>
    </row>
    <row r="25">
      <c r="A25" s="188">
        <f t="shared" si="5"/>
        <v>989504</v>
      </c>
      <c r="B25" s="212">
        <f t="shared" si="6"/>
        <v>0</v>
      </c>
      <c r="C25" s="212">
        <f t="shared" si="7"/>
        <v>0</v>
      </c>
      <c r="D25" s="215">
        <v>44958.0</v>
      </c>
      <c r="E25" s="216">
        <f t="shared" ref="E25:H25" si="17">sumif($J$19:BF24,E$19,$J25:BF25)</f>
        <v>0</v>
      </c>
      <c r="F25" s="216">
        <f t="shared" si="17"/>
        <v>0</v>
      </c>
      <c r="G25" s="216">
        <f t="shared" si="17"/>
        <v>0</v>
      </c>
      <c r="H25" s="216">
        <f t="shared" si="17"/>
        <v>0</v>
      </c>
      <c r="I25" s="202" t="str">
        <f t="shared" si="9"/>
        <v>Past</v>
      </c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E25" s="188">
        <f t="shared" ref="AE25:BF25" si="18">if(and($D25&gt;AE$7,$D25&lt;AE$8),AE$5,0)</f>
        <v>0</v>
      </c>
      <c r="AF25" s="188">
        <f t="shared" si="18"/>
        <v>0</v>
      </c>
      <c r="AG25" s="188">
        <f t="shared" si="18"/>
        <v>0</v>
      </c>
      <c r="AH25" s="188">
        <f t="shared" si="18"/>
        <v>0</v>
      </c>
      <c r="AI25" s="188">
        <f t="shared" si="18"/>
        <v>0</v>
      </c>
      <c r="AJ25" s="188">
        <f t="shared" si="18"/>
        <v>0</v>
      </c>
      <c r="AK25" s="188">
        <f t="shared" si="18"/>
        <v>0</v>
      </c>
      <c r="AL25" s="188">
        <f t="shared" si="18"/>
        <v>0</v>
      </c>
      <c r="AM25" s="188">
        <f t="shared" si="18"/>
        <v>0</v>
      </c>
      <c r="AN25" s="188">
        <f t="shared" si="18"/>
        <v>0</v>
      </c>
      <c r="AO25" s="188">
        <f t="shared" si="18"/>
        <v>0</v>
      </c>
      <c r="AP25" s="188">
        <f t="shared" si="18"/>
        <v>0</v>
      </c>
      <c r="AQ25" s="188">
        <f t="shared" si="18"/>
        <v>0</v>
      </c>
      <c r="AR25" s="188">
        <f t="shared" si="18"/>
        <v>0</v>
      </c>
      <c r="AS25" s="188">
        <f t="shared" si="18"/>
        <v>0</v>
      </c>
      <c r="AT25" s="188">
        <f t="shared" si="18"/>
        <v>0</v>
      </c>
      <c r="AU25" s="188">
        <f t="shared" si="18"/>
        <v>0</v>
      </c>
      <c r="AV25" s="188">
        <f t="shared" si="18"/>
        <v>0</v>
      </c>
      <c r="AW25" s="188">
        <f t="shared" si="18"/>
        <v>0</v>
      </c>
      <c r="AX25" s="188">
        <f t="shared" si="18"/>
        <v>0</v>
      </c>
      <c r="AY25" s="188">
        <f t="shared" si="18"/>
        <v>0</v>
      </c>
      <c r="AZ25" s="188">
        <f t="shared" si="18"/>
        <v>0</v>
      </c>
      <c r="BA25" s="188">
        <f t="shared" si="18"/>
        <v>0</v>
      </c>
      <c r="BB25" s="188">
        <f t="shared" si="18"/>
        <v>0</v>
      </c>
      <c r="BC25" s="188">
        <f t="shared" si="18"/>
        <v>0</v>
      </c>
      <c r="BD25" s="188">
        <f t="shared" si="18"/>
        <v>0</v>
      </c>
      <c r="BE25" s="188">
        <f t="shared" si="18"/>
        <v>0</v>
      </c>
      <c r="BF25" s="188">
        <f t="shared" si="18"/>
        <v>0</v>
      </c>
    </row>
    <row r="26">
      <c r="A26" s="188">
        <f t="shared" si="5"/>
        <v>989504</v>
      </c>
      <c r="B26" s="212">
        <f t="shared" si="6"/>
        <v>0</v>
      </c>
      <c r="C26" s="212">
        <f t="shared" si="7"/>
        <v>0</v>
      </c>
      <c r="D26" s="215">
        <v>44986.0</v>
      </c>
      <c r="E26" s="216">
        <f t="shared" ref="E26:H26" si="19">sumif($J$19:BF25,E$19,$J26:BF26)</f>
        <v>0</v>
      </c>
      <c r="F26" s="216">
        <f t="shared" si="19"/>
        <v>0</v>
      </c>
      <c r="G26" s="216">
        <f t="shared" si="19"/>
        <v>0</v>
      </c>
      <c r="H26" s="216">
        <f t="shared" si="19"/>
        <v>0</v>
      </c>
      <c r="I26" s="202" t="str">
        <f t="shared" si="9"/>
        <v>Past</v>
      </c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E26" s="188">
        <f t="shared" ref="AE26:BF26" si="20">if(and($D26&gt;AE$7,$D26&lt;AE$8),AE$5,0)</f>
        <v>0</v>
      </c>
      <c r="AF26" s="188">
        <f t="shared" si="20"/>
        <v>0</v>
      </c>
      <c r="AG26" s="188">
        <f t="shared" si="20"/>
        <v>0</v>
      </c>
      <c r="AH26" s="188">
        <f t="shared" si="20"/>
        <v>0</v>
      </c>
      <c r="AI26" s="188">
        <f t="shared" si="20"/>
        <v>0</v>
      </c>
      <c r="AJ26" s="188">
        <f t="shared" si="20"/>
        <v>0</v>
      </c>
      <c r="AK26" s="188">
        <f t="shared" si="20"/>
        <v>0</v>
      </c>
      <c r="AL26" s="188">
        <f t="shared" si="20"/>
        <v>0</v>
      </c>
      <c r="AM26" s="188">
        <f t="shared" si="20"/>
        <v>0</v>
      </c>
      <c r="AN26" s="188">
        <f t="shared" si="20"/>
        <v>0</v>
      </c>
      <c r="AO26" s="188">
        <f t="shared" si="20"/>
        <v>0</v>
      </c>
      <c r="AP26" s="188">
        <f t="shared" si="20"/>
        <v>0</v>
      </c>
      <c r="AQ26" s="188">
        <f t="shared" si="20"/>
        <v>0</v>
      </c>
      <c r="AR26" s="188">
        <f t="shared" si="20"/>
        <v>0</v>
      </c>
      <c r="AS26" s="188">
        <f t="shared" si="20"/>
        <v>0</v>
      </c>
      <c r="AT26" s="188">
        <f t="shared" si="20"/>
        <v>0</v>
      </c>
      <c r="AU26" s="188">
        <f t="shared" si="20"/>
        <v>0</v>
      </c>
      <c r="AV26" s="188">
        <f t="shared" si="20"/>
        <v>0</v>
      </c>
      <c r="AW26" s="188">
        <f t="shared" si="20"/>
        <v>0</v>
      </c>
      <c r="AX26" s="188">
        <f t="shared" si="20"/>
        <v>0</v>
      </c>
      <c r="AY26" s="188">
        <f t="shared" si="20"/>
        <v>0</v>
      </c>
      <c r="AZ26" s="188">
        <f t="shared" si="20"/>
        <v>0</v>
      </c>
      <c r="BA26" s="188">
        <f t="shared" si="20"/>
        <v>0</v>
      </c>
      <c r="BB26" s="188">
        <f t="shared" si="20"/>
        <v>0</v>
      </c>
      <c r="BC26" s="188">
        <f t="shared" si="20"/>
        <v>0</v>
      </c>
      <c r="BD26" s="188">
        <f t="shared" si="20"/>
        <v>0</v>
      </c>
      <c r="BE26" s="188">
        <f t="shared" si="20"/>
        <v>0</v>
      </c>
      <c r="BF26" s="188">
        <f t="shared" si="20"/>
        <v>0</v>
      </c>
    </row>
    <row r="27">
      <c r="A27" s="188">
        <f t="shared" si="5"/>
        <v>989504</v>
      </c>
      <c r="B27" s="212">
        <f t="shared" si="6"/>
        <v>0</v>
      </c>
      <c r="C27" s="212">
        <f t="shared" si="7"/>
        <v>0</v>
      </c>
      <c r="D27" s="215">
        <v>45017.0</v>
      </c>
      <c r="E27" s="216">
        <f t="shared" ref="E27:H27" si="21">sumif($J$19:BF26,E$19,$J27:BF27)</f>
        <v>0</v>
      </c>
      <c r="F27" s="216">
        <f t="shared" si="21"/>
        <v>0</v>
      </c>
      <c r="G27" s="216">
        <f t="shared" si="21"/>
        <v>0</v>
      </c>
      <c r="H27" s="216">
        <f t="shared" si="21"/>
        <v>0</v>
      </c>
      <c r="I27" s="202" t="str">
        <f t="shared" si="9"/>
        <v>Past</v>
      </c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E27" s="188">
        <f t="shared" ref="AE27:BF27" si="22">if(and($D27&gt;AE$7,$D27&lt;AE$8),AE$5,0)</f>
        <v>0</v>
      </c>
      <c r="AF27" s="188">
        <f t="shared" si="22"/>
        <v>0</v>
      </c>
      <c r="AG27" s="188">
        <f t="shared" si="22"/>
        <v>0</v>
      </c>
      <c r="AH27" s="188">
        <f t="shared" si="22"/>
        <v>0</v>
      </c>
      <c r="AI27" s="188">
        <f t="shared" si="22"/>
        <v>0</v>
      </c>
      <c r="AJ27" s="188">
        <f t="shared" si="22"/>
        <v>0</v>
      </c>
      <c r="AK27" s="188">
        <f t="shared" si="22"/>
        <v>0</v>
      </c>
      <c r="AL27" s="188">
        <f t="shared" si="22"/>
        <v>0</v>
      </c>
      <c r="AM27" s="188">
        <f t="shared" si="22"/>
        <v>0</v>
      </c>
      <c r="AN27" s="188">
        <f t="shared" si="22"/>
        <v>0</v>
      </c>
      <c r="AO27" s="188">
        <f t="shared" si="22"/>
        <v>0</v>
      </c>
      <c r="AP27" s="188">
        <f t="shared" si="22"/>
        <v>0</v>
      </c>
      <c r="AQ27" s="188">
        <f t="shared" si="22"/>
        <v>0</v>
      </c>
      <c r="AR27" s="188">
        <f t="shared" si="22"/>
        <v>0</v>
      </c>
      <c r="AS27" s="188">
        <f t="shared" si="22"/>
        <v>0</v>
      </c>
      <c r="AT27" s="188">
        <f t="shared" si="22"/>
        <v>0</v>
      </c>
      <c r="AU27" s="188">
        <f t="shared" si="22"/>
        <v>0</v>
      </c>
      <c r="AV27" s="188">
        <f t="shared" si="22"/>
        <v>0</v>
      </c>
      <c r="AW27" s="188">
        <f t="shared" si="22"/>
        <v>0</v>
      </c>
      <c r="AX27" s="188">
        <f t="shared" si="22"/>
        <v>0</v>
      </c>
      <c r="AY27" s="188">
        <f t="shared" si="22"/>
        <v>0</v>
      </c>
      <c r="AZ27" s="188">
        <f t="shared" si="22"/>
        <v>0</v>
      </c>
      <c r="BA27" s="188">
        <f t="shared" si="22"/>
        <v>0</v>
      </c>
      <c r="BB27" s="188">
        <f t="shared" si="22"/>
        <v>0</v>
      </c>
      <c r="BC27" s="188">
        <f t="shared" si="22"/>
        <v>0</v>
      </c>
      <c r="BD27" s="188">
        <f t="shared" si="22"/>
        <v>0</v>
      </c>
      <c r="BE27" s="188">
        <f t="shared" si="22"/>
        <v>0</v>
      </c>
      <c r="BF27" s="188">
        <f t="shared" si="22"/>
        <v>0</v>
      </c>
    </row>
    <row r="28">
      <c r="A28" s="188">
        <f t="shared" si="5"/>
        <v>989504</v>
      </c>
      <c r="B28" s="212">
        <f t="shared" si="6"/>
        <v>0</v>
      </c>
      <c r="C28" s="212">
        <f t="shared" si="7"/>
        <v>0</v>
      </c>
      <c r="D28" s="215">
        <v>45047.0</v>
      </c>
      <c r="E28" s="216">
        <f t="shared" ref="E28:H28" si="23">sumif($J$19:BF27,E$19,$J28:BF28)</f>
        <v>0</v>
      </c>
      <c r="F28" s="216">
        <f t="shared" si="23"/>
        <v>0</v>
      </c>
      <c r="G28" s="216">
        <f t="shared" si="23"/>
        <v>0</v>
      </c>
      <c r="H28" s="216">
        <f t="shared" si="23"/>
        <v>0</v>
      </c>
      <c r="I28" s="202" t="str">
        <f t="shared" si="9"/>
        <v>Past</v>
      </c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E28" s="188">
        <f t="shared" ref="AE28:BF28" si="24">if(and($D28&gt;AE$7,$D28&lt;AE$8),AE$5,0)</f>
        <v>0</v>
      </c>
      <c r="AF28" s="188">
        <f t="shared" si="24"/>
        <v>0</v>
      </c>
      <c r="AG28" s="188">
        <f t="shared" si="24"/>
        <v>0</v>
      </c>
      <c r="AH28" s="188">
        <f t="shared" si="24"/>
        <v>0</v>
      </c>
      <c r="AI28" s="188">
        <f t="shared" si="24"/>
        <v>0</v>
      </c>
      <c r="AJ28" s="188">
        <f t="shared" si="24"/>
        <v>0</v>
      </c>
      <c r="AK28" s="188">
        <f t="shared" si="24"/>
        <v>0</v>
      </c>
      <c r="AL28" s="188">
        <f t="shared" si="24"/>
        <v>0</v>
      </c>
      <c r="AM28" s="188">
        <f t="shared" si="24"/>
        <v>0</v>
      </c>
      <c r="AN28" s="188">
        <f t="shared" si="24"/>
        <v>0</v>
      </c>
      <c r="AO28" s="188">
        <f t="shared" si="24"/>
        <v>0</v>
      </c>
      <c r="AP28" s="188">
        <f t="shared" si="24"/>
        <v>0</v>
      </c>
      <c r="AQ28" s="188">
        <f t="shared" si="24"/>
        <v>0</v>
      </c>
      <c r="AR28" s="188">
        <f t="shared" si="24"/>
        <v>0</v>
      </c>
      <c r="AS28" s="188">
        <f t="shared" si="24"/>
        <v>0</v>
      </c>
      <c r="AT28" s="188">
        <f t="shared" si="24"/>
        <v>0</v>
      </c>
      <c r="AU28" s="188">
        <f t="shared" si="24"/>
        <v>0</v>
      </c>
      <c r="AV28" s="188">
        <f t="shared" si="24"/>
        <v>0</v>
      </c>
      <c r="AW28" s="188">
        <f t="shared" si="24"/>
        <v>0</v>
      </c>
      <c r="AX28" s="188">
        <f t="shared" si="24"/>
        <v>0</v>
      </c>
      <c r="AY28" s="188">
        <f t="shared" si="24"/>
        <v>0</v>
      </c>
      <c r="AZ28" s="188">
        <f t="shared" si="24"/>
        <v>0</v>
      </c>
      <c r="BA28" s="188">
        <f t="shared" si="24"/>
        <v>0</v>
      </c>
      <c r="BB28" s="188">
        <f t="shared" si="24"/>
        <v>0</v>
      </c>
      <c r="BC28" s="188">
        <f t="shared" si="24"/>
        <v>0</v>
      </c>
      <c r="BD28" s="188">
        <f t="shared" si="24"/>
        <v>0</v>
      </c>
      <c r="BE28" s="188">
        <f t="shared" si="24"/>
        <v>0</v>
      </c>
      <c r="BF28" s="188">
        <f t="shared" si="24"/>
        <v>0</v>
      </c>
    </row>
    <row r="29">
      <c r="A29" s="188">
        <f t="shared" si="5"/>
        <v>989504</v>
      </c>
      <c r="B29" s="212">
        <f t="shared" si="6"/>
        <v>0</v>
      </c>
      <c r="C29" s="212">
        <f t="shared" si="7"/>
        <v>0</v>
      </c>
      <c r="D29" s="215">
        <v>45078.0</v>
      </c>
      <c r="E29" s="216">
        <f t="shared" ref="E29:H29" si="25">sumif($J$19:BF28,E$19,$J29:BF29)</f>
        <v>0</v>
      </c>
      <c r="F29" s="216">
        <f t="shared" si="25"/>
        <v>0</v>
      </c>
      <c r="G29" s="216">
        <f t="shared" si="25"/>
        <v>0</v>
      </c>
      <c r="H29" s="216">
        <f t="shared" si="25"/>
        <v>0</v>
      </c>
      <c r="I29" s="202" t="str">
        <f t="shared" si="9"/>
        <v>Past</v>
      </c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E29" s="188">
        <f t="shared" ref="AE29:BF29" si="26">if(and($D29&gt;AE$7,$D29&lt;AE$8),AE$5,0)</f>
        <v>0</v>
      </c>
      <c r="AF29" s="188">
        <f t="shared" si="26"/>
        <v>0</v>
      </c>
      <c r="AG29" s="188">
        <f t="shared" si="26"/>
        <v>0</v>
      </c>
      <c r="AH29" s="188">
        <f t="shared" si="26"/>
        <v>0</v>
      </c>
      <c r="AI29" s="188">
        <f t="shared" si="26"/>
        <v>0</v>
      </c>
      <c r="AJ29" s="188">
        <f t="shared" si="26"/>
        <v>0</v>
      </c>
      <c r="AK29" s="188">
        <f t="shared" si="26"/>
        <v>0</v>
      </c>
      <c r="AL29" s="188">
        <f t="shared" si="26"/>
        <v>0</v>
      </c>
      <c r="AM29" s="188">
        <f t="shared" si="26"/>
        <v>0</v>
      </c>
      <c r="AN29" s="188">
        <f t="shared" si="26"/>
        <v>0</v>
      </c>
      <c r="AO29" s="188">
        <f t="shared" si="26"/>
        <v>0</v>
      </c>
      <c r="AP29" s="188">
        <f t="shared" si="26"/>
        <v>0</v>
      </c>
      <c r="AQ29" s="188">
        <f t="shared" si="26"/>
        <v>0</v>
      </c>
      <c r="AR29" s="188">
        <f t="shared" si="26"/>
        <v>0</v>
      </c>
      <c r="AS29" s="188">
        <f t="shared" si="26"/>
        <v>0</v>
      </c>
      <c r="AT29" s="188">
        <f t="shared" si="26"/>
        <v>0</v>
      </c>
      <c r="AU29" s="188">
        <f t="shared" si="26"/>
        <v>0</v>
      </c>
      <c r="AV29" s="188">
        <f t="shared" si="26"/>
        <v>0</v>
      </c>
      <c r="AW29" s="188">
        <f t="shared" si="26"/>
        <v>0</v>
      </c>
      <c r="AX29" s="188">
        <f t="shared" si="26"/>
        <v>0</v>
      </c>
      <c r="AY29" s="188">
        <f t="shared" si="26"/>
        <v>0</v>
      </c>
      <c r="AZ29" s="188">
        <f t="shared" si="26"/>
        <v>0</v>
      </c>
      <c r="BA29" s="188">
        <f t="shared" si="26"/>
        <v>0</v>
      </c>
      <c r="BB29" s="188">
        <f t="shared" si="26"/>
        <v>0</v>
      </c>
      <c r="BC29" s="188">
        <f t="shared" si="26"/>
        <v>0</v>
      </c>
      <c r="BD29" s="188">
        <f t="shared" si="26"/>
        <v>0</v>
      </c>
      <c r="BE29" s="188">
        <f t="shared" si="26"/>
        <v>0</v>
      </c>
      <c r="BF29" s="188">
        <f t="shared" si="26"/>
        <v>0</v>
      </c>
    </row>
    <row r="30">
      <c r="A30" s="188">
        <f t="shared" si="5"/>
        <v>989504</v>
      </c>
      <c r="B30" s="212">
        <f t="shared" si="6"/>
        <v>0</v>
      </c>
      <c r="C30" s="212">
        <f t="shared" si="7"/>
        <v>0</v>
      </c>
      <c r="D30" s="215">
        <v>45108.0</v>
      </c>
      <c r="E30" s="216">
        <f t="shared" ref="E30:H30" si="27">sumif($J$19:BF29,E$19,$J30:BF30)</f>
        <v>0</v>
      </c>
      <c r="F30" s="216">
        <f t="shared" si="27"/>
        <v>0</v>
      </c>
      <c r="G30" s="216">
        <f t="shared" si="27"/>
        <v>0</v>
      </c>
      <c r="H30" s="216">
        <f t="shared" si="27"/>
        <v>0</v>
      </c>
      <c r="I30" s="202" t="str">
        <f t="shared" si="9"/>
        <v>Past</v>
      </c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E30" s="188">
        <f t="shared" ref="AE30:BF30" si="28">if(and($D30&gt;AE$7,$D30&lt;AE$8),AE$5,0)</f>
        <v>0</v>
      </c>
      <c r="AF30" s="188">
        <f t="shared" si="28"/>
        <v>0</v>
      </c>
      <c r="AG30" s="188">
        <f t="shared" si="28"/>
        <v>0</v>
      </c>
      <c r="AH30" s="188">
        <f t="shared" si="28"/>
        <v>0</v>
      </c>
      <c r="AI30" s="188">
        <f t="shared" si="28"/>
        <v>0</v>
      </c>
      <c r="AJ30" s="188">
        <f t="shared" si="28"/>
        <v>0</v>
      </c>
      <c r="AK30" s="188">
        <f t="shared" si="28"/>
        <v>0</v>
      </c>
      <c r="AL30" s="188">
        <f t="shared" si="28"/>
        <v>0</v>
      </c>
      <c r="AM30" s="188">
        <f t="shared" si="28"/>
        <v>0</v>
      </c>
      <c r="AN30" s="188">
        <f t="shared" si="28"/>
        <v>0</v>
      </c>
      <c r="AO30" s="188">
        <f t="shared" si="28"/>
        <v>0</v>
      </c>
      <c r="AP30" s="188">
        <f t="shared" si="28"/>
        <v>0</v>
      </c>
      <c r="AQ30" s="188">
        <f t="shared" si="28"/>
        <v>0</v>
      </c>
      <c r="AR30" s="188">
        <f t="shared" si="28"/>
        <v>0</v>
      </c>
      <c r="AS30" s="188">
        <f t="shared" si="28"/>
        <v>0</v>
      </c>
      <c r="AT30" s="188">
        <f t="shared" si="28"/>
        <v>0</v>
      </c>
      <c r="AU30" s="188">
        <f t="shared" si="28"/>
        <v>0</v>
      </c>
      <c r="AV30" s="188">
        <f t="shared" si="28"/>
        <v>0</v>
      </c>
      <c r="AW30" s="188">
        <f t="shared" si="28"/>
        <v>0</v>
      </c>
      <c r="AX30" s="188">
        <f t="shared" si="28"/>
        <v>0</v>
      </c>
      <c r="AY30" s="188">
        <f t="shared" si="28"/>
        <v>0</v>
      </c>
      <c r="AZ30" s="188">
        <f t="shared" si="28"/>
        <v>0</v>
      </c>
      <c r="BA30" s="188">
        <f t="shared" si="28"/>
        <v>0</v>
      </c>
      <c r="BB30" s="188">
        <f t="shared" si="28"/>
        <v>0</v>
      </c>
      <c r="BC30" s="188">
        <f t="shared" si="28"/>
        <v>0</v>
      </c>
      <c r="BD30" s="188">
        <f t="shared" si="28"/>
        <v>0</v>
      </c>
      <c r="BE30" s="188">
        <f t="shared" si="28"/>
        <v>0</v>
      </c>
      <c r="BF30" s="188">
        <f t="shared" si="28"/>
        <v>0</v>
      </c>
    </row>
    <row r="31">
      <c r="A31" s="188">
        <f t="shared" si="5"/>
        <v>989504</v>
      </c>
      <c r="B31" s="212">
        <f t="shared" si="6"/>
        <v>0</v>
      </c>
      <c r="C31" s="212">
        <f t="shared" si="7"/>
        <v>0</v>
      </c>
      <c r="D31" s="215">
        <v>45139.0</v>
      </c>
      <c r="E31" s="216">
        <f t="shared" ref="E31:H31" si="29">sumif($J$19:BF30,E$19,$J31:BF31)</f>
        <v>0</v>
      </c>
      <c r="F31" s="216">
        <f t="shared" si="29"/>
        <v>0</v>
      </c>
      <c r="G31" s="216">
        <f t="shared" si="29"/>
        <v>0</v>
      </c>
      <c r="H31" s="216">
        <f t="shared" si="29"/>
        <v>0</v>
      </c>
      <c r="I31" s="202" t="str">
        <f t="shared" si="9"/>
        <v>Past</v>
      </c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E31" s="188">
        <f t="shared" ref="AE31:BF31" si="30">if(and($D31&gt;AE$7,$D31&lt;AE$8),AE$5,0)</f>
        <v>0</v>
      </c>
      <c r="AF31" s="188">
        <f t="shared" si="30"/>
        <v>0</v>
      </c>
      <c r="AG31" s="188">
        <f t="shared" si="30"/>
        <v>0</v>
      </c>
      <c r="AH31" s="188">
        <f t="shared" si="30"/>
        <v>0</v>
      </c>
      <c r="AI31" s="188">
        <f t="shared" si="30"/>
        <v>0</v>
      </c>
      <c r="AJ31" s="188">
        <f t="shared" si="30"/>
        <v>0</v>
      </c>
      <c r="AK31" s="188">
        <f t="shared" si="30"/>
        <v>0</v>
      </c>
      <c r="AL31" s="188">
        <f t="shared" si="30"/>
        <v>0</v>
      </c>
      <c r="AM31" s="188">
        <f t="shared" si="30"/>
        <v>0</v>
      </c>
      <c r="AN31" s="188">
        <f t="shared" si="30"/>
        <v>0</v>
      </c>
      <c r="AO31" s="188">
        <f t="shared" si="30"/>
        <v>0</v>
      </c>
      <c r="AP31" s="188">
        <f t="shared" si="30"/>
        <v>0</v>
      </c>
      <c r="AQ31" s="188">
        <f t="shared" si="30"/>
        <v>0</v>
      </c>
      <c r="AR31" s="188">
        <f t="shared" si="30"/>
        <v>0</v>
      </c>
      <c r="AS31" s="188">
        <f t="shared" si="30"/>
        <v>0</v>
      </c>
      <c r="AT31" s="188">
        <f t="shared" si="30"/>
        <v>0</v>
      </c>
      <c r="AU31" s="188">
        <f t="shared" si="30"/>
        <v>0</v>
      </c>
      <c r="AV31" s="188">
        <f t="shared" si="30"/>
        <v>0</v>
      </c>
      <c r="AW31" s="188">
        <f t="shared" si="30"/>
        <v>0</v>
      </c>
      <c r="AX31" s="188">
        <f t="shared" si="30"/>
        <v>0</v>
      </c>
      <c r="AY31" s="188">
        <f t="shared" si="30"/>
        <v>0</v>
      </c>
      <c r="AZ31" s="188">
        <f t="shared" si="30"/>
        <v>0</v>
      </c>
      <c r="BA31" s="188">
        <f t="shared" si="30"/>
        <v>0</v>
      </c>
      <c r="BB31" s="188">
        <f t="shared" si="30"/>
        <v>0</v>
      </c>
      <c r="BC31" s="188">
        <f t="shared" si="30"/>
        <v>0</v>
      </c>
      <c r="BD31" s="188">
        <f t="shared" si="30"/>
        <v>0</v>
      </c>
      <c r="BE31" s="188">
        <f t="shared" si="30"/>
        <v>0</v>
      </c>
      <c r="BF31" s="188">
        <f t="shared" si="30"/>
        <v>0</v>
      </c>
    </row>
    <row r="32">
      <c r="A32" s="188">
        <f t="shared" si="5"/>
        <v>989504</v>
      </c>
      <c r="B32" s="212">
        <f t="shared" si="6"/>
        <v>0</v>
      </c>
      <c r="C32" s="212">
        <f t="shared" si="7"/>
        <v>0</v>
      </c>
      <c r="D32" s="215">
        <v>45170.0</v>
      </c>
      <c r="E32" s="216">
        <f t="shared" ref="E32:H32" si="31">sumif($J$19:BF31,E$19,$J32:BF32)</f>
        <v>0</v>
      </c>
      <c r="F32" s="216">
        <f t="shared" si="31"/>
        <v>0</v>
      </c>
      <c r="G32" s="216">
        <f t="shared" si="31"/>
        <v>0</v>
      </c>
      <c r="H32" s="216">
        <f t="shared" si="31"/>
        <v>0</v>
      </c>
      <c r="I32" s="202" t="str">
        <f t="shared" si="9"/>
        <v>Past</v>
      </c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E32" s="188">
        <f t="shared" ref="AE32:BF32" si="32">if(and($D32&gt;AE$7,$D32&lt;AE$8),AE$5,0)</f>
        <v>0</v>
      </c>
      <c r="AF32" s="188">
        <f t="shared" si="32"/>
        <v>0</v>
      </c>
      <c r="AG32" s="188">
        <f t="shared" si="32"/>
        <v>0</v>
      </c>
      <c r="AH32" s="188">
        <f t="shared" si="32"/>
        <v>0</v>
      </c>
      <c r="AI32" s="188">
        <f t="shared" si="32"/>
        <v>0</v>
      </c>
      <c r="AJ32" s="188">
        <f t="shared" si="32"/>
        <v>0</v>
      </c>
      <c r="AK32" s="188">
        <f t="shared" si="32"/>
        <v>0</v>
      </c>
      <c r="AL32" s="188">
        <f t="shared" si="32"/>
        <v>0</v>
      </c>
      <c r="AM32" s="188">
        <f t="shared" si="32"/>
        <v>0</v>
      </c>
      <c r="AN32" s="188">
        <f t="shared" si="32"/>
        <v>0</v>
      </c>
      <c r="AO32" s="188">
        <f t="shared" si="32"/>
        <v>0</v>
      </c>
      <c r="AP32" s="188">
        <f t="shared" si="32"/>
        <v>0</v>
      </c>
      <c r="AQ32" s="188">
        <f t="shared" si="32"/>
        <v>0</v>
      </c>
      <c r="AR32" s="188">
        <f t="shared" si="32"/>
        <v>0</v>
      </c>
      <c r="AS32" s="188">
        <f t="shared" si="32"/>
        <v>0</v>
      </c>
      <c r="AT32" s="188">
        <f t="shared" si="32"/>
        <v>0</v>
      </c>
      <c r="AU32" s="188">
        <f t="shared" si="32"/>
        <v>0</v>
      </c>
      <c r="AV32" s="188">
        <f t="shared" si="32"/>
        <v>0</v>
      </c>
      <c r="AW32" s="188">
        <f t="shared" si="32"/>
        <v>0</v>
      </c>
      <c r="AX32" s="188">
        <f t="shared" si="32"/>
        <v>0</v>
      </c>
      <c r="AY32" s="188">
        <f t="shared" si="32"/>
        <v>0</v>
      </c>
      <c r="AZ32" s="188">
        <f t="shared" si="32"/>
        <v>0</v>
      </c>
      <c r="BA32" s="188">
        <f t="shared" si="32"/>
        <v>0</v>
      </c>
      <c r="BB32" s="188">
        <f t="shared" si="32"/>
        <v>0</v>
      </c>
      <c r="BC32" s="188">
        <f t="shared" si="32"/>
        <v>0</v>
      </c>
      <c r="BD32" s="188">
        <f t="shared" si="32"/>
        <v>0</v>
      </c>
      <c r="BE32" s="188">
        <f t="shared" si="32"/>
        <v>0</v>
      </c>
      <c r="BF32" s="188">
        <f t="shared" si="32"/>
        <v>0</v>
      </c>
    </row>
    <row r="33">
      <c r="A33" s="188">
        <f t="shared" si="5"/>
        <v>989504</v>
      </c>
      <c r="B33" s="212">
        <f t="shared" si="6"/>
        <v>0</v>
      </c>
      <c r="C33" s="212">
        <f t="shared" si="7"/>
        <v>0</v>
      </c>
      <c r="D33" s="215">
        <v>45200.0</v>
      </c>
      <c r="E33" s="216">
        <f t="shared" ref="E33:H33" si="33">sumif($J$19:BF32,E$19,$J33:BF33)</f>
        <v>0</v>
      </c>
      <c r="F33" s="216">
        <f t="shared" si="33"/>
        <v>0</v>
      </c>
      <c r="G33" s="216">
        <f t="shared" si="33"/>
        <v>0</v>
      </c>
      <c r="H33" s="216">
        <f t="shared" si="33"/>
        <v>0</v>
      </c>
      <c r="I33" s="202" t="str">
        <f t="shared" si="9"/>
        <v>Past</v>
      </c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E33" s="188">
        <f t="shared" ref="AE33:BF33" si="34">if(and($D33&gt;AE$7,$D33&lt;AE$8),AE$5,0)</f>
        <v>0</v>
      </c>
      <c r="AF33" s="188">
        <f t="shared" si="34"/>
        <v>0</v>
      </c>
      <c r="AG33" s="188">
        <f t="shared" si="34"/>
        <v>0</v>
      </c>
      <c r="AH33" s="188">
        <f t="shared" si="34"/>
        <v>0</v>
      </c>
      <c r="AI33" s="188">
        <f t="shared" si="34"/>
        <v>0</v>
      </c>
      <c r="AJ33" s="188">
        <f t="shared" si="34"/>
        <v>0</v>
      </c>
      <c r="AK33" s="188">
        <f t="shared" si="34"/>
        <v>0</v>
      </c>
      <c r="AL33" s="188">
        <f t="shared" si="34"/>
        <v>0</v>
      </c>
      <c r="AM33" s="188">
        <f t="shared" si="34"/>
        <v>0</v>
      </c>
      <c r="AN33" s="188">
        <f t="shared" si="34"/>
        <v>0</v>
      </c>
      <c r="AO33" s="188">
        <f t="shared" si="34"/>
        <v>0</v>
      </c>
      <c r="AP33" s="188">
        <f t="shared" si="34"/>
        <v>0</v>
      </c>
      <c r="AQ33" s="188">
        <f t="shared" si="34"/>
        <v>0</v>
      </c>
      <c r="AR33" s="188">
        <f t="shared" si="34"/>
        <v>0</v>
      </c>
      <c r="AS33" s="188">
        <f t="shared" si="34"/>
        <v>0</v>
      </c>
      <c r="AT33" s="188">
        <f t="shared" si="34"/>
        <v>0</v>
      </c>
      <c r="AU33" s="188">
        <f t="shared" si="34"/>
        <v>0</v>
      </c>
      <c r="AV33" s="188">
        <f t="shared" si="34"/>
        <v>0</v>
      </c>
      <c r="AW33" s="188">
        <f t="shared" si="34"/>
        <v>0</v>
      </c>
      <c r="AX33" s="188">
        <f t="shared" si="34"/>
        <v>0</v>
      </c>
      <c r="AY33" s="188">
        <f t="shared" si="34"/>
        <v>0</v>
      </c>
      <c r="AZ33" s="188">
        <f t="shared" si="34"/>
        <v>0</v>
      </c>
      <c r="BA33" s="188">
        <f t="shared" si="34"/>
        <v>0</v>
      </c>
      <c r="BB33" s="188">
        <f t="shared" si="34"/>
        <v>0</v>
      </c>
      <c r="BC33" s="188">
        <f t="shared" si="34"/>
        <v>0</v>
      </c>
      <c r="BD33" s="188">
        <f t="shared" si="34"/>
        <v>0</v>
      </c>
      <c r="BE33" s="188">
        <f t="shared" si="34"/>
        <v>0</v>
      </c>
      <c r="BF33" s="188">
        <f t="shared" si="34"/>
        <v>0</v>
      </c>
    </row>
    <row r="34">
      <c r="A34" s="188">
        <f t="shared" si="5"/>
        <v>989504</v>
      </c>
      <c r="B34" s="212">
        <f t="shared" si="6"/>
        <v>0</v>
      </c>
      <c r="C34" s="212">
        <f t="shared" si="7"/>
        <v>0</v>
      </c>
      <c r="D34" s="215">
        <v>45231.0</v>
      </c>
      <c r="E34" s="216">
        <f t="shared" ref="E34:H34" si="35">sumif($J$19:BF33,E$19,$J34:BF34)</f>
        <v>0</v>
      </c>
      <c r="F34" s="216">
        <f t="shared" si="35"/>
        <v>0</v>
      </c>
      <c r="G34" s="216">
        <f t="shared" si="35"/>
        <v>0</v>
      </c>
      <c r="H34" s="216">
        <f t="shared" si="35"/>
        <v>0</v>
      </c>
      <c r="I34" s="202" t="str">
        <f t="shared" si="9"/>
        <v>Past</v>
      </c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E34" s="188">
        <f t="shared" ref="AE34:BF34" si="36">if(and($D34&gt;AE$7,$D34&lt;AE$8),AE$5,0)</f>
        <v>0</v>
      </c>
      <c r="AF34" s="188">
        <f t="shared" si="36"/>
        <v>0</v>
      </c>
      <c r="AG34" s="188">
        <f t="shared" si="36"/>
        <v>0</v>
      </c>
      <c r="AH34" s="188">
        <f t="shared" si="36"/>
        <v>0</v>
      </c>
      <c r="AI34" s="188">
        <f t="shared" si="36"/>
        <v>0</v>
      </c>
      <c r="AJ34" s="188">
        <f t="shared" si="36"/>
        <v>0</v>
      </c>
      <c r="AK34" s="188">
        <f t="shared" si="36"/>
        <v>0</v>
      </c>
      <c r="AL34" s="188">
        <f t="shared" si="36"/>
        <v>0</v>
      </c>
      <c r="AM34" s="188">
        <f t="shared" si="36"/>
        <v>0</v>
      </c>
      <c r="AN34" s="188">
        <f t="shared" si="36"/>
        <v>0</v>
      </c>
      <c r="AO34" s="188">
        <f t="shared" si="36"/>
        <v>0</v>
      </c>
      <c r="AP34" s="188">
        <f t="shared" si="36"/>
        <v>0</v>
      </c>
      <c r="AQ34" s="188">
        <f t="shared" si="36"/>
        <v>0</v>
      </c>
      <c r="AR34" s="188">
        <f t="shared" si="36"/>
        <v>0</v>
      </c>
      <c r="AS34" s="188">
        <f t="shared" si="36"/>
        <v>0</v>
      </c>
      <c r="AT34" s="188">
        <f t="shared" si="36"/>
        <v>0</v>
      </c>
      <c r="AU34" s="188">
        <f t="shared" si="36"/>
        <v>0</v>
      </c>
      <c r="AV34" s="188">
        <f t="shared" si="36"/>
        <v>0</v>
      </c>
      <c r="AW34" s="188">
        <f t="shared" si="36"/>
        <v>0</v>
      </c>
      <c r="AX34" s="188">
        <f t="shared" si="36"/>
        <v>0</v>
      </c>
      <c r="AY34" s="188">
        <f t="shared" si="36"/>
        <v>0</v>
      </c>
      <c r="AZ34" s="188">
        <f t="shared" si="36"/>
        <v>0</v>
      </c>
      <c r="BA34" s="188">
        <f t="shared" si="36"/>
        <v>0</v>
      </c>
      <c r="BB34" s="188">
        <f t="shared" si="36"/>
        <v>0</v>
      </c>
      <c r="BC34" s="188">
        <f t="shared" si="36"/>
        <v>0</v>
      </c>
      <c r="BD34" s="188">
        <f t="shared" si="36"/>
        <v>0</v>
      </c>
      <c r="BE34" s="188">
        <f t="shared" si="36"/>
        <v>0</v>
      </c>
      <c r="BF34" s="188">
        <f t="shared" si="36"/>
        <v>0</v>
      </c>
    </row>
    <row r="35">
      <c r="A35" s="188">
        <f t="shared" si="5"/>
        <v>989504</v>
      </c>
      <c r="B35" s="212">
        <f t="shared" si="6"/>
        <v>0</v>
      </c>
      <c r="C35" s="212">
        <f t="shared" si="7"/>
        <v>0</v>
      </c>
      <c r="D35" s="215">
        <v>45261.0</v>
      </c>
      <c r="E35" s="216">
        <f t="shared" ref="E35:H35" si="37">sumif($J$19:BF34,E$19,$J35:BF35)</f>
        <v>0</v>
      </c>
      <c r="F35" s="216">
        <f t="shared" si="37"/>
        <v>0</v>
      </c>
      <c r="G35" s="216">
        <f t="shared" si="37"/>
        <v>0</v>
      </c>
      <c r="H35" s="216">
        <f t="shared" si="37"/>
        <v>0</v>
      </c>
      <c r="I35" s="202" t="str">
        <f t="shared" si="9"/>
        <v>Past</v>
      </c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E35" s="188">
        <f t="shared" ref="AE35:BF35" si="38">if(and($D35&gt;AE$7,$D35&lt;AE$8),AE$5,0)</f>
        <v>0</v>
      </c>
      <c r="AF35" s="188">
        <f t="shared" si="38"/>
        <v>0</v>
      </c>
      <c r="AG35" s="188">
        <f t="shared" si="38"/>
        <v>0</v>
      </c>
      <c r="AH35" s="188">
        <f t="shared" si="38"/>
        <v>0</v>
      </c>
      <c r="AI35" s="188">
        <f t="shared" si="38"/>
        <v>0</v>
      </c>
      <c r="AJ35" s="188">
        <f t="shared" si="38"/>
        <v>0</v>
      </c>
      <c r="AK35" s="188">
        <f t="shared" si="38"/>
        <v>0</v>
      </c>
      <c r="AL35" s="188">
        <f t="shared" si="38"/>
        <v>0</v>
      </c>
      <c r="AM35" s="188">
        <f t="shared" si="38"/>
        <v>0</v>
      </c>
      <c r="AN35" s="188">
        <f t="shared" si="38"/>
        <v>0</v>
      </c>
      <c r="AO35" s="188">
        <f t="shared" si="38"/>
        <v>0</v>
      </c>
      <c r="AP35" s="188">
        <f t="shared" si="38"/>
        <v>0</v>
      </c>
      <c r="AQ35" s="188">
        <f t="shared" si="38"/>
        <v>0</v>
      </c>
      <c r="AR35" s="188">
        <f t="shared" si="38"/>
        <v>0</v>
      </c>
      <c r="AS35" s="188">
        <f t="shared" si="38"/>
        <v>0</v>
      </c>
      <c r="AT35" s="188">
        <f t="shared" si="38"/>
        <v>0</v>
      </c>
      <c r="AU35" s="188">
        <f t="shared" si="38"/>
        <v>0</v>
      </c>
      <c r="AV35" s="188">
        <f t="shared" si="38"/>
        <v>0</v>
      </c>
      <c r="AW35" s="188">
        <f t="shared" si="38"/>
        <v>0</v>
      </c>
      <c r="AX35" s="188">
        <f t="shared" si="38"/>
        <v>0</v>
      </c>
      <c r="AY35" s="188">
        <f t="shared" si="38"/>
        <v>0</v>
      </c>
      <c r="AZ35" s="188">
        <f t="shared" si="38"/>
        <v>0</v>
      </c>
      <c r="BA35" s="188">
        <f t="shared" si="38"/>
        <v>0</v>
      </c>
      <c r="BB35" s="188">
        <f t="shared" si="38"/>
        <v>0</v>
      </c>
      <c r="BC35" s="188">
        <f t="shared" si="38"/>
        <v>0</v>
      </c>
      <c r="BD35" s="188">
        <f t="shared" si="38"/>
        <v>0</v>
      </c>
      <c r="BE35" s="188">
        <f t="shared" si="38"/>
        <v>0</v>
      </c>
      <c r="BF35" s="188">
        <f t="shared" si="38"/>
        <v>0</v>
      </c>
    </row>
    <row r="36">
      <c r="A36" s="188">
        <f t="shared" si="5"/>
        <v>989504</v>
      </c>
      <c r="B36" s="212">
        <f t="shared" si="6"/>
        <v>0</v>
      </c>
      <c r="C36" s="212">
        <f t="shared" si="7"/>
        <v>0</v>
      </c>
      <c r="D36" s="215">
        <v>45292.0</v>
      </c>
      <c r="E36" s="216">
        <f t="shared" ref="E36:H36" si="39">sumif($J$19:BF35,E$19,$J36:BF36)</f>
        <v>0</v>
      </c>
      <c r="F36" s="216">
        <f t="shared" si="39"/>
        <v>0</v>
      </c>
      <c r="G36" s="216">
        <f t="shared" si="39"/>
        <v>0</v>
      </c>
      <c r="H36" s="216">
        <f t="shared" si="39"/>
        <v>0</v>
      </c>
      <c r="I36" s="202" t="str">
        <f t="shared" si="9"/>
        <v>Past</v>
      </c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E36" s="188">
        <f t="shared" ref="AE36:BF36" si="40">if(and($D36&gt;AE$7,$D36&lt;AE$8),AE$5,0)</f>
        <v>0</v>
      </c>
      <c r="AF36" s="188">
        <f t="shared" si="40"/>
        <v>0</v>
      </c>
      <c r="AG36" s="188">
        <f t="shared" si="40"/>
        <v>0</v>
      </c>
      <c r="AH36" s="188">
        <f t="shared" si="40"/>
        <v>0</v>
      </c>
      <c r="AI36" s="188">
        <f t="shared" si="40"/>
        <v>0</v>
      </c>
      <c r="AJ36" s="188">
        <f t="shared" si="40"/>
        <v>0</v>
      </c>
      <c r="AK36" s="188">
        <f t="shared" si="40"/>
        <v>0</v>
      </c>
      <c r="AL36" s="188">
        <f t="shared" si="40"/>
        <v>0</v>
      </c>
      <c r="AM36" s="188">
        <f t="shared" si="40"/>
        <v>0</v>
      </c>
      <c r="AN36" s="188">
        <f t="shared" si="40"/>
        <v>0</v>
      </c>
      <c r="AO36" s="188">
        <f t="shared" si="40"/>
        <v>0</v>
      </c>
      <c r="AP36" s="188">
        <f t="shared" si="40"/>
        <v>0</v>
      </c>
      <c r="AQ36" s="188">
        <f t="shared" si="40"/>
        <v>0</v>
      </c>
      <c r="AR36" s="188">
        <f t="shared" si="40"/>
        <v>0</v>
      </c>
      <c r="AS36" s="188">
        <f t="shared" si="40"/>
        <v>0</v>
      </c>
      <c r="AT36" s="188">
        <f t="shared" si="40"/>
        <v>0</v>
      </c>
      <c r="AU36" s="188">
        <f t="shared" si="40"/>
        <v>0</v>
      </c>
      <c r="AV36" s="188">
        <f t="shared" si="40"/>
        <v>0</v>
      </c>
      <c r="AW36" s="188">
        <f t="shared" si="40"/>
        <v>0</v>
      </c>
      <c r="AX36" s="188">
        <f t="shared" si="40"/>
        <v>0</v>
      </c>
      <c r="AY36" s="188">
        <f t="shared" si="40"/>
        <v>0</v>
      </c>
      <c r="AZ36" s="188">
        <f t="shared" si="40"/>
        <v>0</v>
      </c>
      <c r="BA36" s="188">
        <f t="shared" si="40"/>
        <v>0</v>
      </c>
      <c r="BB36" s="188">
        <f t="shared" si="40"/>
        <v>0</v>
      </c>
      <c r="BC36" s="188">
        <f t="shared" si="40"/>
        <v>0</v>
      </c>
      <c r="BD36" s="188">
        <f t="shared" si="40"/>
        <v>0</v>
      </c>
      <c r="BE36" s="188">
        <f t="shared" si="40"/>
        <v>0</v>
      </c>
      <c r="BF36" s="188">
        <f t="shared" si="40"/>
        <v>0</v>
      </c>
    </row>
    <row r="37">
      <c r="A37" s="188">
        <f t="shared" si="5"/>
        <v>989159</v>
      </c>
      <c r="B37" s="212">
        <f t="shared" si="6"/>
        <v>345</v>
      </c>
      <c r="C37" s="212">
        <f t="shared" si="7"/>
        <v>344.35</v>
      </c>
      <c r="D37" s="215">
        <v>45323.0</v>
      </c>
      <c r="E37" s="216">
        <f t="shared" ref="E37:H37" si="41">sumif($J$19:BF36,E$19,$J37:BF37)</f>
        <v>0</v>
      </c>
      <c r="F37" s="216">
        <f t="shared" si="41"/>
        <v>344.35</v>
      </c>
      <c r="G37" s="216">
        <f t="shared" si="41"/>
        <v>0</v>
      </c>
      <c r="H37" s="216">
        <f t="shared" si="41"/>
        <v>0</v>
      </c>
      <c r="I37" s="202" t="str">
        <f t="shared" si="9"/>
        <v>Past</v>
      </c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>
        <f t="shared" ref="V37:V50" si="44">V$5</f>
        <v>344.35</v>
      </c>
      <c r="W37" s="188"/>
      <c r="X37" s="188"/>
      <c r="Y37" s="188"/>
      <c r="Z37" s="188"/>
      <c r="AA37" s="188"/>
      <c r="AB37" s="188"/>
      <c r="AC37" s="188"/>
      <c r="AE37" s="188">
        <f t="shared" ref="AE37:BF37" si="42">if(and($D37&gt;AE$7,$D37&lt;AE$8),AE$5,0)</f>
        <v>0</v>
      </c>
      <c r="AF37" s="188">
        <f t="shared" si="42"/>
        <v>0</v>
      </c>
      <c r="AG37" s="188">
        <f t="shared" si="42"/>
        <v>0</v>
      </c>
      <c r="AH37" s="188">
        <f t="shared" si="42"/>
        <v>0</v>
      </c>
      <c r="AI37" s="188">
        <f t="shared" si="42"/>
        <v>0</v>
      </c>
      <c r="AJ37" s="188">
        <f t="shared" si="42"/>
        <v>0</v>
      </c>
      <c r="AK37" s="188">
        <f t="shared" si="42"/>
        <v>0</v>
      </c>
      <c r="AL37" s="188">
        <f t="shared" si="42"/>
        <v>0</v>
      </c>
      <c r="AM37" s="188">
        <f t="shared" si="42"/>
        <v>0</v>
      </c>
      <c r="AN37" s="188">
        <f t="shared" si="42"/>
        <v>0</v>
      </c>
      <c r="AO37" s="188">
        <f t="shared" si="42"/>
        <v>0</v>
      </c>
      <c r="AP37" s="188">
        <f t="shared" si="42"/>
        <v>0</v>
      </c>
      <c r="AQ37" s="188">
        <f t="shared" si="42"/>
        <v>0</v>
      </c>
      <c r="AR37" s="188">
        <f t="shared" si="42"/>
        <v>0</v>
      </c>
      <c r="AS37" s="188">
        <f t="shared" si="42"/>
        <v>0</v>
      </c>
      <c r="AT37" s="188">
        <f t="shared" si="42"/>
        <v>0</v>
      </c>
      <c r="AU37" s="188">
        <f t="shared" si="42"/>
        <v>0</v>
      </c>
      <c r="AV37" s="188">
        <f t="shared" si="42"/>
        <v>0</v>
      </c>
      <c r="AW37" s="188">
        <f t="shared" si="42"/>
        <v>0</v>
      </c>
      <c r="AX37" s="188">
        <f t="shared" si="42"/>
        <v>0</v>
      </c>
      <c r="AY37" s="188">
        <f t="shared" si="42"/>
        <v>0</v>
      </c>
      <c r="AZ37" s="188">
        <f t="shared" si="42"/>
        <v>0</v>
      </c>
      <c r="BA37" s="188">
        <f t="shared" si="42"/>
        <v>0</v>
      </c>
      <c r="BB37" s="188">
        <f t="shared" si="42"/>
        <v>0</v>
      </c>
      <c r="BC37" s="188">
        <f t="shared" si="42"/>
        <v>0</v>
      </c>
      <c r="BD37" s="188">
        <f t="shared" si="42"/>
        <v>0</v>
      </c>
      <c r="BE37" s="188">
        <f t="shared" si="42"/>
        <v>0</v>
      </c>
      <c r="BF37" s="188">
        <f t="shared" si="42"/>
        <v>0</v>
      </c>
    </row>
    <row r="38">
      <c r="A38" s="188">
        <f t="shared" si="5"/>
        <v>988815</v>
      </c>
      <c r="B38" s="212">
        <f t="shared" si="6"/>
        <v>345</v>
      </c>
      <c r="C38" s="212">
        <f t="shared" si="7"/>
        <v>344.35</v>
      </c>
      <c r="D38" s="215">
        <v>45352.0</v>
      </c>
      <c r="E38" s="216">
        <f t="shared" ref="E38:H38" si="43">sumif($J$19:BF37,E$19,$J38:BF38)</f>
        <v>0</v>
      </c>
      <c r="F38" s="216">
        <f t="shared" si="43"/>
        <v>344.35</v>
      </c>
      <c r="G38" s="216">
        <f t="shared" si="43"/>
        <v>0</v>
      </c>
      <c r="H38" s="216">
        <f t="shared" si="43"/>
        <v>0</v>
      </c>
      <c r="I38" s="202" t="str">
        <f t="shared" si="9"/>
        <v>Past</v>
      </c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>
        <f t="shared" si="44"/>
        <v>344.35</v>
      </c>
      <c r="W38" s="188"/>
      <c r="X38" s="188"/>
      <c r="Y38" s="188"/>
      <c r="Z38" s="188"/>
      <c r="AA38" s="188"/>
      <c r="AB38" s="188"/>
      <c r="AC38" s="188"/>
      <c r="AE38" s="188">
        <f t="shared" ref="AE38:BF38" si="45">if(and($D38&gt;AE$7,$D38&lt;AE$8),AE$5,0)</f>
        <v>0</v>
      </c>
      <c r="AF38" s="188">
        <f t="shared" si="45"/>
        <v>0</v>
      </c>
      <c r="AG38" s="188">
        <f t="shared" si="45"/>
        <v>0</v>
      </c>
      <c r="AH38" s="188">
        <f t="shared" si="45"/>
        <v>0</v>
      </c>
      <c r="AI38" s="188">
        <f t="shared" si="45"/>
        <v>0</v>
      </c>
      <c r="AJ38" s="188">
        <f t="shared" si="45"/>
        <v>0</v>
      </c>
      <c r="AK38" s="188">
        <f t="shared" si="45"/>
        <v>0</v>
      </c>
      <c r="AL38" s="188">
        <f t="shared" si="45"/>
        <v>0</v>
      </c>
      <c r="AM38" s="188">
        <f t="shared" si="45"/>
        <v>0</v>
      </c>
      <c r="AN38" s="188">
        <f t="shared" si="45"/>
        <v>0</v>
      </c>
      <c r="AO38" s="188">
        <f t="shared" si="45"/>
        <v>0</v>
      </c>
      <c r="AP38" s="188">
        <f t="shared" si="45"/>
        <v>0</v>
      </c>
      <c r="AQ38" s="188">
        <f t="shared" si="45"/>
        <v>0</v>
      </c>
      <c r="AR38" s="188">
        <f t="shared" si="45"/>
        <v>0</v>
      </c>
      <c r="AS38" s="188">
        <f t="shared" si="45"/>
        <v>0</v>
      </c>
      <c r="AT38" s="188">
        <f t="shared" si="45"/>
        <v>0</v>
      </c>
      <c r="AU38" s="188">
        <f t="shared" si="45"/>
        <v>0</v>
      </c>
      <c r="AV38" s="188">
        <f t="shared" si="45"/>
        <v>0</v>
      </c>
      <c r="AW38" s="188">
        <f t="shared" si="45"/>
        <v>0</v>
      </c>
      <c r="AX38" s="188">
        <f t="shared" si="45"/>
        <v>0</v>
      </c>
      <c r="AY38" s="188">
        <f t="shared" si="45"/>
        <v>0</v>
      </c>
      <c r="AZ38" s="188">
        <f t="shared" si="45"/>
        <v>0</v>
      </c>
      <c r="BA38" s="188">
        <f t="shared" si="45"/>
        <v>0</v>
      </c>
      <c r="BB38" s="188">
        <f t="shared" si="45"/>
        <v>0</v>
      </c>
      <c r="BC38" s="188">
        <f t="shared" si="45"/>
        <v>0</v>
      </c>
      <c r="BD38" s="188">
        <f t="shared" si="45"/>
        <v>0</v>
      </c>
      <c r="BE38" s="188">
        <f t="shared" si="45"/>
        <v>0</v>
      </c>
      <c r="BF38" s="188">
        <f t="shared" si="45"/>
        <v>0</v>
      </c>
    </row>
    <row r="39">
      <c r="A39" s="188">
        <f t="shared" si="5"/>
        <v>988470</v>
      </c>
      <c r="B39" s="212">
        <f t="shared" si="6"/>
        <v>345</v>
      </c>
      <c r="C39" s="212">
        <f t="shared" si="7"/>
        <v>344.35</v>
      </c>
      <c r="D39" s="215">
        <v>45383.0</v>
      </c>
      <c r="E39" s="216">
        <f t="shared" ref="E39:H39" si="46">sumif($J$19:BF38,E$19,$J39:BF39)</f>
        <v>0</v>
      </c>
      <c r="F39" s="216">
        <f t="shared" si="46"/>
        <v>344.35</v>
      </c>
      <c r="G39" s="216">
        <f t="shared" si="46"/>
        <v>0</v>
      </c>
      <c r="H39" s="216">
        <f t="shared" si="46"/>
        <v>0</v>
      </c>
      <c r="I39" s="202" t="str">
        <f t="shared" si="9"/>
        <v>Past</v>
      </c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>
        <f t="shared" si="44"/>
        <v>344.35</v>
      </c>
      <c r="W39" s="188"/>
      <c r="X39" s="188"/>
      <c r="Y39" s="188"/>
      <c r="Z39" s="188"/>
      <c r="AA39" s="188"/>
      <c r="AB39" s="188"/>
      <c r="AC39" s="188"/>
      <c r="AE39" s="188">
        <f t="shared" ref="AE39:BF39" si="47">if(and($D39&gt;AE$7,$D39&lt;AE$8),AE$5,0)</f>
        <v>0</v>
      </c>
      <c r="AF39" s="188">
        <f t="shared" si="47"/>
        <v>0</v>
      </c>
      <c r="AG39" s="188">
        <f t="shared" si="47"/>
        <v>0</v>
      </c>
      <c r="AH39" s="188">
        <f t="shared" si="47"/>
        <v>0</v>
      </c>
      <c r="AI39" s="188">
        <f t="shared" si="47"/>
        <v>0</v>
      </c>
      <c r="AJ39" s="188">
        <f t="shared" si="47"/>
        <v>0</v>
      </c>
      <c r="AK39" s="188">
        <f t="shared" si="47"/>
        <v>0</v>
      </c>
      <c r="AL39" s="188">
        <f t="shared" si="47"/>
        <v>0</v>
      </c>
      <c r="AM39" s="188">
        <f t="shared" si="47"/>
        <v>0</v>
      </c>
      <c r="AN39" s="188">
        <f t="shared" si="47"/>
        <v>0</v>
      </c>
      <c r="AO39" s="188">
        <f t="shared" si="47"/>
        <v>0</v>
      </c>
      <c r="AP39" s="188">
        <f t="shared" si="47"/>
        <v>0</v>
      </c>
      <c r="AQ39" s="188">
        <f t="shared" si="47"/>
        <v>0</v>
      </c>
      <c r="AR39" s="188">
        <f t="shared" si="47"/>
        <v>0</v>
      </c>
      <c r="AS39" s="188">
        <f t="shared" si="47"/>
        <v>0</v>
      </c>
      <c r="AT39" s="188">
        <f t="shared" si="47"/>
        <v>0</v>
      </c>
      <c r="AU39" s="188">
        <f t="shared" si="47"/>
        <v>0</v>
      </c>
      <c r="AV39" s="188">
        <f t="shared" si="47"/>
        <v>0</v>
      </c>
      <c r="AW39" s="188">
        <f t="shared" si="47"/>
        <v>0</v>
      </c>
      <c r="AX39" s="188">
        <f t="shared" si="47"/>
        <v>0</v>
      </c>
      <c r="AY39" s="188">
        <f t="shared" si="47"/>
        <v>0</v>
      </c>
      <c r="AZ39" s="188">
        <f t="shared" si="47"/>
        <v>0</v>
      </c>
      <c r="BA39" s="188">
        <f t="shared" si="47"/>
        <v>0</v>
      </c>
      <c r="BB39" s="188">
        <f t="shared" si="47"/>
        <v>0</v>
      </c>
      <c r="BC39" s="188">
        <f t="shared" si="47"/>
        <v>0</v>
      </c>
      <c r="BD39" s="188">
        <f t="shared" si="47"/>
        <v>0</v>
      </c>
      <c r="BE39" s="188">
        <f t="shared" si="47"/>
        <v>0</v>
      </c>
      <c r="BF39" s="188">
        <f t="shared" si="47"/>
        <v>0</v>
      </c>
    </row>
    <row r="40">
      <c r="A40" s="188">
        <f t="shared" si="5"/>
        <v>988126</v>
      </c>
      <c r="B40" s="212">
        <f t="shared" si="6"/>
        <v>345</v>
      </c>
      <c r="C40" s="212">
        <f t="shared" si="7"/>
        <v>344.35</v>
      </c>
      <c r="D40" s="215">
        <v>45413.0</v>
      </c>
      <c r="E40" s="216">
        <f t="shared" ref="E40:H40" si="48">sumif($J$19:BF39,E$19,$J40:BF40)</f>
        <v>0</v>
      </c>
      <c r="F40" s="216">
        <f t="shared" si="48"/>
        <v>344.35</v>
      </c>
      <c r="G40" s="216">
        <f t="shared" si="48"/>
        <v>0</v>
      </c>
      <c r="H40" s="216">
        <f t="shared" si="48"/>
        <v>0</v>
      </c>
      <c r="I40" s="202" t="str">
        <f t="shared" si="9"/>
        <v>Past</v>
      </c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>
        <f t="shared" si="44"/>
        <v>344.35</v>
      </c>
      <c r="W40" s="188"/>
      <c r="X40" s="188"/>
      <c r="Y40" s="188"/>
      <c r="Z40" s="188"/>
      <c r="AA40" s="188"/>
      <c r="AB40" s="188"/>
      <c r="AC40" s="188"/>
      <c r="AE40" s="188">
        <f t="shared" ref="AE40:BF40" si="49">if(and($D40&gt;AE$7,$D40&lt;AE$8),AE$5,0)</f>
        <v>0</v>
      </c>
      <c r="AF40" s="188">
        <f t="shared" si="49"/>
        <v>0</v>
      </c>
      <c r="AG40" s="188">
        <f t="shared" si="49"/>
        <v>0</v>
      </c>
      <c r="AH40" s="188">
        <f t="shared" si="49"/>
        <v>0</v>
      </c>
      <c r="AI40" s="188">
        <f t="shared" si="49"/>
        <v>0</v>
      </c>
      <c r="AJ40" s="188">
        <f t="shared" si="49"/>
        <v>0</v>
      </c>
      <c r="AK40" s="188">
        <f t="shared" si="49"/>
        <v>0</v>
      </c>
      <c r="AL40" s="188">
        <f t="shared" si="49"/>
        <v>0</v>
      </c>
      <c r="AM40" s="188">
        <f t="shared" si="49"/>
        <v>0</v>
      </c>
      <c r="AN40" s="188">
        <f t="shared" si="49"/>
        <v>0</v>
      </c>
      <c r="AO40" s="188">
        <f t="shared" si="49"/>
        <v>0</v>
      </c>
      <c r="AP40" s="188">
        <f t="shared" si="49"/>
        <v>0</v>
      </c>
      <c r="AQ40" s="188">
        <f t="shared" si="49"/>
        <v>0</v>
      </c>
      <c r="AR40" s="188">
        <f t="shared" si="49"/>
        <v>0</v>
      </c>
      <c r="AS40" s="188">
        <f t="shared" si="49"/>
        <v>0</v>
      </c>
      <c r="AT40" s="188">
        <f t="shared" si="49"/>
        <v>0</v>
      </c>
      <c r="AU40" s="188">
        <f t="shared" si="49"/>
        <v>0</v>
      </c>
      <c r="AV40" s="188">
        <f t="shared" si="49"/>
        <v>0</v>
      </c>
      <c r="AW40" s="188">
        <f t="shared" si="49"/>
        <v>0</v>
      </c>
      <c r="AX40" s="188">
        <f t="shared" si="49"/>
        <v>0</v>
      </c>
      <c r="AY40" s="188">
        <f t="shared" si="49"/>
        <v>0</v>
      </c>
      <c r="AZ40" s="188">
        <f t="shared" si="49"/>
        <v>0</v>
      </c>
      <c r="BA40" s="188">
        <f t="shared" si="49"/>
        <v>0</v>
      </c>
      <c r="BB40" s="188">
        <f t="shared" si="49"/>
        <v>0</v>
      </c>
      <c r="BC40" s="188">
        <f t="shared" si="49"/>
        <v>0</v>
      </c>
      <c r="BD40" s="188">
        <f t="shared" si="49"/>
        <v>0</v>
      </c>
      <c r="BE40" s="188">
        <f t="shared" si="49"/>
        <v>0</v>
      </c>
      <c r="BF40" s="188">
        <f t="shared" si="49"/>
        <v>0</v>
      </c>
    </row>
    <row r="41">
      <c r="A41" s="188">
        <f t="shared" si="5"/>
        <v>987782</v>
      </c>
      <c r="B41" s="212">
        <f t="shared" si="6"/>
        <v>345</v>
      </c>
      <c r="C41" s="212">
        <f t="shared" si="7"/>
        <v>344.35</v>
      </c>
      <c r="D41" s="215">
        <v>45444.0</v>
      </c>
      <c r="E41" s="216">
        <f t="shared" ref="E41:H41" si="50">sumif($J$19:BF40,E$19,$J41:BF41)</f>
        <v>0</v>
      </c>
      <c r="F41" s="216">
        <f t="shared" si="50"/>
        <v>344.35</v>
      </c>
      <c r="G41" s="216">
        <f t="shared" si="50"/>
        <v>0</v>
      </c>
      <c r="H41" s="216">
        <f t="shared" si="50"/>
        <v>0</v>
      </c>
      <c r="I41" s="202" t="str">
        <f t="shared" si="9"/>
        <v>Past</v>
      </c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>
        <f t="shared" si="44"/>
        <v>344.35</v>
      </c>
      <c r="W41" s="188"/>
      <c r="X41" s="188"/>
      <c r="Y41" s="188"/>
      <c r="Z41" s="188"/>
      <c r="AA41" s="188"/>
      <c r="AB41" s="188"/>
      <c r="AC41" s="188"/>
      <c r="AE41" s="188">
        <f t="shared" ref="AE41:BF41" si="51">if(and($D41&gt;AE$7,$D41&lt;AE$8),AE$5,0)</f>
        <v>0</v>
      </c>
      <c r="AF41" s="188">
        <f t="shared" si="51"/>
        <v>0</v>
      </c>
      <c r="AG41" s="188">
        <f t="shared" si="51"/>
        <v>0</v>
      </c>
      <c r="AH41" s="188">
        <f t="shared" si="51"/>
        <v>0</v>
      </c>
      <c r="AI41" s="188">
        <f t="shared" si="51"/>
        <v>0</v>
      </c>
      <c r="AJ41" s="188">
        <f t="shared" si="51"/>
        <v>0</v>
      </c>
      <c r="AK41" s="188">
        <f t="shared" si="51"/>
        <v>0</v>
      </c>
      <c r="AL41" s="188">
        <f t="shared" si="51"/>
        <v>0</v>
      </c>
      <c r="AM41" s="188">
        <f t="shared" si="51"/>
        <v>0</v>
      </c>
      <c r="AN41" s="188">
        <f t="shared" si="51"/>
        <v>0</v>
      </c>
      <c r="AO41" s="188">
        <f t="shared" si="51"/>
        <v>0</v>
      </c>
      <c r="AP41" s="188">
        <f t="shared" si="51"/>
        <v>0</v>
      </c>
      <c r="AQ41" s="188">
        <f t="shared" si="51"/>
        <v>0</v>
      </c>
      <c r="AR41" s="188">
        <f t="shared" si="51"/>
        <v>0</v>
      </c>
      <c r="AS41" s="188">
        <f t="shared" si="51"/>
        <v>0</v>
      </c>
      <c r="AT41" s="188">
        <f t="shared" si="51"/>
        <v>0</v>
      </c>
      <c r="AU41" s="188">
        <f t="shared" si="51"/>
        <v>0</v>
      </c>
      <c r="AV41" s="188">
        <f t="shared" si="51"/>
        <v>0</v>
      </c>
      <c r="AW41" s="188">
        <f t="shared" si="51"/>
        <v>0</v>
      </c>
      <c r="AX41" s="188">
        <f t="shared" si="51"/>
        <v>0</v>
      </c>
      <c r="AY41" s="188">
        <f t="shared" si="51"/>
        <v>0</v>
      </c>
      <c r="AZ41" s="188">
        <f t="shared" si="51"/>
        <v>0</v>
      </c>
      <c r="BA41" s="188">
        <f t="shared" si="51"/>
        <v>0</v>
      </c>
      <c r="BB41" s="188">
        <f t="shared" si="51"/>
        <v>0</v>
      </c>
      <c r="BC41" s="188">
        <f t="shared" si="51"/>
        <v>0</v>
      </c>
      <c r="BD41" s="188">
        <f t="shared" si="51"/>
        <v>0</v>
      </c>
      <c r="BE41" s="188">
        <f t="shared" si="51"/>
        <v>0</v>
      </c>
      <c r="BF41" s="188">
        <f t="shared" si="51"/>
        <v>0</v>
      </c>
    </row>
    <row r="42">
      <c r="A42" s="188">
        <f t="shared" si="5"/>
        <v>981960</v>
      </c>
      <c r="B42" s="212">
        <f t="shared" si="6"/>
        <v>5822</v>
      </c>
      <c r="C42" s="212">
        <f t="shared" si="7"/>
        <v>5821.98</v>
      </c>
      <c r="D42" s="215">
        <v>45474.0</v>
      </c>
      <c r="E42" s="216">
        <f t="shared" ref="E42:H42" si="52">sumif($J$19:BF41,E$19,$J42:BF42)</f>
        <v>0</v>
      </c>
      <c r="F42" s="216">
        <f t="shared" si="52"/>
        <v>5821.98</v>
      </c>
      <c r="G42" s="216">
        <f t="shared" si="52"/>
        <v>0</v>
      </c>
      <c r="H42" s="216">
        <f t="shared" si="52"/>
        <v>0</v>
      </c>
      <c r="I42" s="202" t="str">
        <f t="shared" si="9"/>
        <v>Past</v>
      </c>
      <c r="J42" s="188"/>
      <c r="K42" s="188">
        <f t="shared" ref="K42:K47" si="55">K$5</f>
        <v>5477.63</v>
      </c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>
        <f t="shared" si="44"/>
        <v>344.35</v>
      </c>
      <c r="W42" s="188"/>
      <c r="X42" s="188"/>
      <c r="Y42" s="188"/>
      <c r="Z42" s="188"/>
      <c r="AA42" s="188"/>
      <c r="AB42" s="188"/>
      <c r="AC42" s="188"/>
      <c r="AE42" s="188">
        <f t="shared" ref="AE42:BF42" si="53">if(and($D42&gt;AE$7,$D42&lt;AE$8),AE$5,0)</f>
        <v>0</v>
      </c>
      <c r="AF42" s="188">
        <f t="shared" si="53"/>
        <v>0</v>
      </c>
      <c r="AG42" s="188">
        <f t="shared" si="53"/>
        <v>0</v>
      </c>
      <c r="AH42" s="188">
        <f t="shared" si="53"/>
        <v>0</v>
      </c>
      <c r="AI42" s="188">
        <f t="shared" si="53"/>
        <v>0</v>
      </c>
      <c r="AJ42" s="188">
        <f t="shared" si="53"/>
        <v>0</v>
      </c>
      <c r="AK42" s="188">
        <f t="shared" si="53"/>
        <v>0</v>
      </c>
      <c r="AL42" s="188">
        <f t="shared" si="53"/>
        <v>0</v>
      </c>
      <c r="AM42" s="188">
        <f t="shared" si="53"/>
        <v>0</v>
      </c>
      <c r="AN42" s="188">
        <f t="shared" si="53"/>
        <v>0</v>
      </c>
      <c r="AO42" s="188">
        <f t="shared" si="53"/>
        <v>0</v>
      </c>
      <c r="AP42" s="188">
        <f t="shared" si="53"/>
        <v>0</v>
      </c>
      <c r="AQ42" s="188">
        <f t="shared" si="53"/>
        <v>0</v>
      </c>
      <c r="AR42" s="188">
        <f t="shared" si="53"/>
        <v>0</v>
      </c>
      <c r="AS42" s="188">
        <f t="shared" si="53"/>
        <v>0</v>
      </c>
      <c r="AT42" s="188">
        <f t="shared" si="53"/>
        <v>0</v>
      </c>
      <c r="AU42" s="188">
        <f t="shared" si="53"/>
        <v>0</v>
      </c>
      <c r="AV42" s="188">
        <f t="shared" si="53"/>
        <v>0</v>
      </c>
      <c r="AW42" s="188">
        <f t="shared" si="53"/>
        <v>0</v>
      </c>
      <c r="AX42" s="188">
        <f t="shared" si="53"/>
        <v>0</v>
      </c>
      <c r="AY42" s="188">
        <f t="shared" si="53"/>
        <v>0</v>
      </c>
      <c r="AZ42" s="188">
        <f t="shared" si="53"/>
        <v>0</v>
      </c>
      <c r="BA42" s="188">
        <f t="shared" si="53"/>
        <v>0</v>
      </c>
      <c r="BB42" s="188">
        <f t="shared" si="53"/>
        <v>0</v>
      </c>
      <c r="BC42" s="188">
        <f t="shared" si="53"/>
        <v>0</v>
      </c>
      <c r="BD42" s="188">
        <f t="shared" si="53"/>
        <v>0</v>
      </c>
      <c r="BE42" s="188">
        <f t="shared" si="53"/>
        <v>0</v>
      </c>
      <c r="BF42" s="188">
        <f t="shared" si="53"/>
        <v>0</v>
      </c>
    </row>
    <row r="43">
      <c r="A43" s="188">
        <f t="shared" si="5"/>
        <v>976138</v>
      </c>
      <c r="B43" s="212">
        <f t="shared" si="6"/>
        <v>5822</v>
      </c>
      <c r="C43" s="212">
        <f t="shared" si="7"/>
        <v>5821.98</v>
      </c>
      <c r="D43" s="215">
        <v>45505.0</v>
      </c>
      <c r="E43" s="216">
        <f t="shared" ref="E43:H43" si="54">sumif($J$19:BF42,E$19,$J43:BF43)</f>
        <v>0</v>
      </c>
      <c r="F43" s="216">
        <f t="shared" si="54"/>
        <v>5821.98</v>
      </c>
      <c r="G43" s="216">
        <f t="shared" si="54"/>
        <v>0</v>
      </c>
      <c r="H43" s="216">
        <f t="shared" si="54"/>
        <v>0</v>
      </c>
      <c r="I43" s="202" t="str">
        <f t="shared" si="9"/>
        <v>Past</v>
      </c>
      <c r="J43" s="188"/>
      <c r="K43" s="188">
        <f t="shared" si="55"/>
        <v>5477.63</v>
      </c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>
        <f t="shared" si="44"/>
        <v>344.35</v>
      </c>
      <c r="W43" s="188"/>
      <c r="X43" s="188"/>
      <c r="Y43" s="188"/>
      <c r="Z43" s="188"/>
      <c r="AA43" s="188"/>
      <c r="AB43" s="188"/>
      <c r="AC43" s="188"/>
      <c r="AE43" s="188">
        <f t="shared" ref="AE43:BF43" si="56">if(and($D43&gt;AE$7,$D43&lt;AE$8),AE$5,0)</f>
        <v>0</v>
      </c>
      <c r="AF43" s="188">
        <f t="shared" si="56"/>
        <v>0</v>
      </c>
      <c r="AG43" s="188">
        <f t="shared" si="56"/>
        <v>0</v>
      </c>
      <c r="AH43" s="188">
        <f t="shared" si="56"/>
        <v>0</v>
      </c>
      <c r="AI43" s="188">
        <f t="shared" si="56"/>
        <v>0</v>
      </c>
      <c r="AJ43" s="188">
        <f t="shared" si="56"/>
        <v>0</v>
      </c>
      <c r="AK43" s="188">
        <f t="shared" si="56"/>
        <v>0</v>
      </c>
      <c r="AL43" s="188">
        <f t="shared" si="56"/>
        <v>0</v>
      </c>
      <c r="AM43" s="188">
        <f t="shared" si="56"/>
        <v>0</v>
      </c>
      <c r="AN43" s="188">
        <f t="shared" si="56"/>
        <v>0</v>
      </c>
      <c r="AO43" s="188">
        <f t="shared" si="56"/>
        <v>0</v>
      </c>
      <c r="AP43" s="188">
        <f t="shared" si="56"/>
        <v>0</v>
      </c>
      <c r="AQ43" s="188">
        <f t="shared" si="56"/>
        <v>0</v>
      </c>
      <c r="AR43" s="188">
        <f t="shared" si="56"/>
        <v>0</v>
      </c>
      <c r="AS43" s="188">
        <f t="shared" si="56"/>
        <v>0</v>
      </c>
      <c r="AT43" s="188">
        <f t="shared" si="56"/>
        <v>0</v>
      </c>
      <c r="AU43" s="188">
        <f t="shared" si="56"/>
        <v>0</v>
      </c>
      <c r="AV43" s="188">
        <f t="shared" si="56"/>
        <v>0</v>
      </c>
      <c r="AW43" s="188">
        <f t="shared" si="56"/>
        <v>0</v>
      </c>
      <c r="AX43" s="188">
        <f t="shared" si="56"/>
        <v>0</v>
      </c>
      <c r="AY43" s="188">
        <f t="shared" si="56"/>
        <v>0</v>
      </c>
      <c r="AZ43" s="188">
        <f t="shared" si="56"/>
        <v>0</v>
      </c>
      <c r="BA43" s="188">
        <f t="shared" si="56"/>
        <v>0</v>
      </c>
      <c r="BB43" s="188">
        <f t="shared" si="56"/>
        <v>0</v>
      </c>
      <c r="BC43" s="188">
        <f t="shared" si="56"/>
        <v>0</v>
      </c>
      <c r="BD43" s="188">
        <f t="shared" si="56"/>
        <v>0</v>
      </c>
      <c r="BE43" s="188">
        <f t="shared" si="56"/>
        <v>0</v>
      </c>
      <c r="BF43" s="188">
        <f t="shared" si="56"/>
        <v>0</v>
      </c>
    </row>
    <row r="44">
      <c r="A44" s="188">
        <f t="shared" si="5"/>
        <v>970316</v>
      </c>
      <c r="B44" s="212">
        <f t="shared" si="6"/>
        <v>5822</v>
      </c>
      <c r="C44" s="212">
        <f t="shared" si="7"/>
        <v>5821.98</v>
      </c>
      <c r="D44" s="215">
        <v>45536.0</v>
      </c>
      <c r="E44" s="216">
        <f t="shared" ref="E44:H44" si="57">sumif($J$19:BF43,E$19,$J44:BF44)</f>
        <v>0</v>
      </c>
      <c r="F44" s="216">
        <f t="shared" si="57"/>
        <v>5821.98</v>
      </c>
      <c r="G44" s="216">
        <f t="shared" si="57"/>
        <v>0</v>
      </c>
      <c r="H44" s="216">
        <f t="shared" si="57"/>
        <v>0</v>
      </c>
      <c r="I44" s="202" t="str">
        <f t="shared" si="9"/>
        <v>Past</v>
      </c>
      <c r="J44" s="188"/>
      <c r="K44" s="188">
        <f t="shared" si="55"/>
        <v>5477.63</v>
      </c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>
        <f t="shared" si="44"/>
        <v>344.35</v>
      </c>
      <c r="W44" s="188"/>
      <c r="X44" s="188"/>
      <c r="Y44" s="188"/>
      <c r="Z44" s="188"/>
      <c r="AA44" s="188"/>
      <c r="AB44" s="188"/>
      <c r="AC44" s="188"/>
      <c r="AE44" s="188">
        <f t="shared" ref="AE44:BF44" si="58">if(and($D44&gt;AE$7,$D44&lt;AE$8),AE$5,0)</f>
        <v>0</v>
      </c>
      <c r="AF44" s="188">
        <f t="shared" si="58"/>
        <v>0</v>
      </c>
      <c r="AG44" s="188">
        <f t="shared" si="58"/>
        <v>0</v>
      </c>
      <c r="AH44" s="188">
        <f t="shared" si="58"/>
        <v>0</v>
      </c>
      <c r="AI44" s="188">
        <f t="shared" si="58"/>
        <v>0</v>
      </c>
      <c r="AJ44" s="188">
        <f t="shared" si="58"/>
        <v>0</v>
      </c>
      <c r="AK44" s="188">
        <f t="shared" si="58"/>
        <v>0</v>
      </c>
      <c r="AL44" s="188">
        <f t="shared" si="58"/>
        <v>0</v>
      </c>
      <c r="AM44" s="188">
        <f t="shared" si="58"/>
        <v>0</v>
      </c>
      <c r="AN44" s="188">
        <f t="shared" si="58"/>
        <v>0</v>
      </c>
      <c r="AO44" s="188">
        <f t="shared" si="58"/>
        <v>0</v>
      </c>
      <c r="AP44" s="188">
        <f t="shared" si="58"/>
        <v>0</v>
      </c>
      <c r="AQ44" s="188">
        <f t="shared" si="58"/>
        <v>0</v>
      </c>
      <c r="AR44" s="188">
        <f t="shared" si="58"/>
        <v>0</v>
      </c>
      <c r="AS44" s="188">
        <f t="shared" si="58"/>
        <v>0</v>
      </c>
      <c r="AT44" s="188">
        <f t="shared" si="58"/>
        <v>0</v>
      </c>
      <c r="AU44" s="188">
        <f t="shared" si="58"/>
        <v>0</v>
      </c>
      <c r="AV44" s="188">
        <f t="shared" si="58"/>
        <v>0</v>
      </c>
      <c r="AW44" s="188">
        <f t="shared" si="58"/>
        <v>0</v>
      </c>
      <c r="AX44" s="188">
        <f t="shared" si="58"/>
        <v>0</v>
      </c>
      <c r="AY44" s="188">
        <f t="shared" si="58"/>
        <v>0</v>
      </c>
      <c r="AZ44" s="188">
        <f t="shared" si="58"/>
        <v>0</v>
      </c>
      <c r="BA44" s="188">
        <f t="shared" si="58"/>
        <v>0</v>
      </c>
      <c r="BB44" s="188">
        <f t="shared" si="58"/>
        <v>0</v>
      </c>
      <c r="BC44" s="188">
        <f t="shared" si="58"/>
        <v>0</v>
      </c>
      <c r="BD44" s="188">
        <f t="shared" si="58"/>
        <v>0</v>
      </c>
      <c r="BE44" s="188">
        <f t="shared" si="58"/>
        <v>0</v>
      </c>
      <c r="BF44" s="188">
        <f t="shared" si="58"/>
        <v>0</v>
      </c>
    </row>
    <row r="45">
      <c r="A45" s="188">
        <f t="shared" si="5"/>
        <v>956759</v>
      </c>
      <c r="B45" s="212">
        <f t="shared" si="6"/>
        <v>13558</v>
      </c>
      <c r="C45" s="212">
        <f t="shared" si="7"/>
        <v>13557.27</v>
      </c>
      <c r="D45" s="215">
        <v>45566.0</v>
      </c>
      <c r="E45" s="216">
        <f t="shared" ref="E45:H45" si="59">sumif($J$19:BF44,E$19,$J45:BF45)</f>
        <v>0</v>
      </c>
      <c r="F45" s="216">
        <f t="shared" si="59"/>
        <v>5821.98</v>
      </c>
      <c r="G45" s="216">
        <f t="shared" si="59"/>
        <v>5951.39</v>
      </c>
      <c r="H45" s="216">
        <f t="shared" si="59"/>
        <v>1783.9</v>
      </c>
      <c r="I45" s="202" t="str">
        <f t="shared" si="9"/>
        <v>Past</v>
      </c>
      <c r="J45" s="188"/>
      <c r="K45" s="188">
        <f t="shared" si="55"/>
        <v>5477.63</v>
      </c>
      <c r="L45" s="188"/>
      <c r="M45" s="188">
        <f t="shared" ref="M45:M68" si="62">M$5</f>
        <v>4254.87</v>
      </c>
      <c r="N45" s="188"/>
      <c r="O45" s="188"/>
      <c r="P45" s="188"/>
      <c r="Q45" s="188">
        <f t="shared" ref="Q45:R45" si="60">Q$5</f>
        <v>1011.15</v>
      </c>
      <c r="R45" s="188">
        <f t="shared" si="60"/>
        <v>685.37</v>
      </c>
      <c r="S45" s="188"/>
      <c r="T45" s="188"/>
      <c r="U45" s="188"/>
      <c r="V45" s="188">
        <f t="shared" si="44"/>
        <v>344.35</v>
      </c>
      <c r="W45" s="188"/>
      <c r="X45" s="188"/>
      <c r="Y45" s="188"/>
      <c r="Z45" s="188"/>
      <c r="AA45" s="188"/>
      <c r="AB45" s="188"/>
      <c r="AC45" s="188"/>
      <c r="AE45" s="188">
        <f t="shared" ref="AE45:BF45" si="61">if(and($D45&gt;AE$7,$D45&lt;AE$8),AE$5,0)</f>
        <v>490.91</v>
      </c>
      <c r="AF45" s="188">
        <f t="shared" si="61"/>
        <v>266.76</v>
      </c>
      <c r="AG45" s="188">
        <f t="shared" si="61"/>
        <v>262.71</v>
      </c>
      <c r="AH45" s="188">
        <f t="shared" si="61"/>
        <v>261.42</v>
      </c>
      <c r="AI45" s="188">
        <f t="shared" si="61"/>
        <v>252.81</v>
      </c>
      <c r="AJ45" s="188">
        <f t="shared" si="61"/>
        <v>249.29</v>
      </c>
      <c r="AK45" s="188">
        <f t="shared" si="61"/>
        <v>0</v>
      </c>
      <c r="AL45" s="188">
        <f t="shared" si="61"/>
        <v>0</v>
      </c>
      <c r="AM45" s="188">
        <f t="shared" si="61"/>
        <v>0</v>
      </c>
      <c r="AN45" s="188">
        <f t="shared" si="61"/>
        <v>0</v>
      </c>
      <c r="AO45" s="188">
        <f t="shared" si="61"/>
        <v>0</v>
      </c>
      <c r="AP45" s="188">
        <f t="shared" si="61"/>
        <v>0</v>
      </c>
      <c r="AQ45" s="188">
        <f t="shared" si="61"/>
        <v>0</v>
      </c>
      <c r="AR45" s="188">
        <f t="shared" si="61"/>
        <v>0</v>
      </c>
      <c r="AS45" s="188">
        <f t="shared" si="61"/>
        <v>0</v>
      </c>
      <c r="AT45" s="188">
        <f t="shared" si="61"/>
        <v>0</v>
      </c>
      <c r="AU45" s="188">
        <f t="shared" si="61"/>
        <v>0</v>
      </c>
      <c r="AV45" s="188">
        <f t="shared" si="61"/>
        <v>0</v>
      </c>
      <c r="AW45" s="188">
        <f t="shared" si="61"/>
        <v>0</v>
      </c>
      <c r="AX45" s="188">
        <f t="shared" si="61"/>
        <v>0</v>
      </c>
      <c r="AY45" s="188">
        <f t="shared" si="61"/>
        <v>0</v>
      </c>
      <c r="AZ45" s="188">
        <f t="shared" si="61"/>
        <v>0</v>
      </c>
      <c r="BA45" s="188">
        <f t="shared" si="61"/>
        <v>0</v>
      </c>
      <c r="BB45" s="188">
        <f t="shared" si="61"/>
        <v>0</v>
      </c>
      <c r="BC45" s="188">
        <f t="shared" si="61"/>
        <v>0</v>
      </c>
      <c r="BD45" s="188">
        <f t="shared" si="61"/>
        <v>0</v>
      </c>
      <c r="BE45" s="188">
        <f t="shared" si="61"/>
        <v>0</v>
      </c>
      <c r="BF45" s="188">
        <f t="shared" si="61"/>
        <v>0</v>
      </c>
    </row>
    <row r="46">
      <c r="A46" s="188">
        <f t="shared" si="5"/>
        <v>942822</v>
      </c>
      <c r="B46" s="212">
        <f t="shared" si="6"/>
        <v>13937</v>
      </c>
      <c r="C46" s="212">
        <f t="shared" si="7"/>
        <v>0</v>
      </c>
      <c r="D46" s="215">
        <v>45597.0</v>
      </c>
      <c r="E46" s="216">
        <v>0.0</v>
      </c>
      <c r="F46" s="216">
        <v>0.0</v>
      </c>
      <c r="G46" s="216">
        <v>0.0</v>
      </c>
      <c r="H46" s="216">
        <v>0.0</v>
      </c>
      <c r="I46" s="202" t="str">
        <f t="shared" si="9"/>
        <v>Past</v>
      </c>
      <c r="J46" s="188"/>
      <c r="K46" s="188">
        <f t="shared" si="55"/>
        <v>5477.63</v>
      </c>
      <c r="L46" s="188"/>
      <c r="M46" s="188">
        <f t="shared" si="62"/>
        <v>4254.87</v>
      </c>
      <c r="N46" s="188"/>
      <c r="O46" s="188"/>
      <c r="P46" s="188"/>
      <c r="Q46" s="188">
        <f t="shared" ref="Q46:R46" si="63">Q$5</f>
        <v>1011.15</v>
      </c>
      <c r="R46" s="188">
        <f t="shared" si="63"/>
        <v>685.37</v>
      </c>
      <c r="S46" s="188"/>
      <c r="T46" s="188"/>
      <c r="U46" s="188"/>
      <c r="V46" s="188">
        <f t="shared" si="44"/>
        <v>344.35</v>
      </c>
      <c r="W46" s="188"/>
      <c r="X46" s="188"/>
      <c r="Y46" s="188"/>
      <c r="Z46" s="188"/>
      <c r="AA46" s="188">
        <f t="shared" ref="AA46:AA47" si="66">AA$5</f>
        <v>140.89</v>
      </c>
      <c r="AB46" s="188"/>
      <c r="AC46" s="188"/>
      <c r="AE46" s="188">
        <f t="shared" ref="AE46:BF46" si="64">if(and($D46&gt;AE$7,$D46&lt;AE$8),AE$5,0)</f>
        <v>490.91</v>
      </c>
      <c r="AF46" s="188">
        <f t="shared" si="64"/>
        <v>266.76</v>
      </c>
      <c r="AG46" s="188">
        <f t="shared" si="64"/>
        <v>262.71</v>
      </c>
      <c r="AH46" s="188">
        <f t="shared" si="64"/>
        <v>261.42</v>
      </c>
      <c r="AI46" s="188">
        <f t="shared" si="64"/>
        <v>252.81</v>
      </c>
      <c r="AJ46" s="188">
        <f t="shared" si="64"/>
        <v>249.29</v>
      </c>
      <c r="AK46" s="188">
        <f t="shared" si="64"/>
        <v>238.09</v>
      </c>
      <c r="AL46" s="188">
        <f t="shared" si="64"/>
        <v>0</v>
      </c>
      <c r="AM46" s="188">
        <f t="shared" si="64"/>
        <v>0</v>
      </c>
      <c r="AN46" s="188">
        <f t="shared" si="64"/>
        <v>0</v>
      </c>
      <c r="AO46" s="188">
        <f t="shared" si="64"/>
        <v>0</v>
      </c>
      <c r="AP46" s="188">
        <f t="shared" si="64"/>
        <v>0</v>
      </c>
      <c r="AQ46" s="188">
        <f t="shared" si="64"/>
        <v>0</v>
      </c>
      <c r="AR46" s="188">
        <f t="shared" si="64"/>
        <v>0</v>
      </c>
      <c r="AS46" s="188">
        <f t="shared" si="64"/>
        <v>0</v>
      </c>
      <c r="AT46" s="188">
        <f t="shared" si="64"/>
        <v>0</v>
      </c>
      <c r="AU46" s="188">
        <f t="shared" si="64"/>
        <v>0</v>
      </c>
      <c r="AV46" s="188">
        <f t="shared" si="64"/>
        <v>0</v>
      </c>
      <c r="AW46" s="188">
        <f t="shared" si="64"/>
        <v>0</v>
      </c>
      <c r="AX46" s="188">
        <f t="shared" si="64"/>
        <v>0</v>
      </c>
      <c r="AY46" s="188">
        <f t="shared" si="64"/>
        <v>0</v>
      </c>
      <c r="AZ46" s="188">
        <f t="shared" si="64"/>
        <v>0</v>
      </c>
      <c r="BA46" s="188">
        <f t="shared" si="64"/>
        <v>0</v>
      </c>
      <c r="BB46" s="188">
        <f t="shared" si="64"/>
        <v>0</v>
      </c>
      <c r="BC46" s="188">
        <f t="shared" si="64"/>
        <v>0</v>
      </c>
      <c r="BD46" s="188">
        <f t="shared" si="64"/>
        <v>0</v>
      </c>
      <c r="BE46" s="188">
        <f t="shared" si="64"/>
        <v>0</v>
      </c>
      <c r="BF46" s="188">
        <f t="shared" si="64"/>
        <v>0</v>
      </c>
    </row>
    <row r="47">
      <c r="A47" s="188">
        <f t="shared" si="5"/>
        <v>928886</v>
      </c>
      <c r="B47" s="212">
        <f t="shared" si="6"/>
        <v>13937</v>
      </c>
      <c r="C47" s="212">
        <f t="shared" si="7"/>
        <v>0</v>
      </c>
      <c r="D47" s="215">
        <v>45627.0</v>
      </c>
      <c r="E47" s="216">
        <v>0.0</v>
      </c>
      <c r="F47" s="216">
        <v>0.0</v>
      </c>
      <c r="G47" s="216">
        <v>0.0</v>
      </c>
      <c r="H47" s="216">
        <v>0.0</v>
      </c>
      <c r="I47" s="202" t="str">
        <f t="shared" si="9"/>
        <v>Past</v>
      </c>
      <c r="J47" s="188"/>
      <c r="K47" s="188">
        <f t="shared" si="55"/>
        <v>5477.63</v>
      </c>
      <c r="L47" s="188"/>
      <c r="M47" s="188">
        <f t="shared" si="62"/>
        <v>4254.87</v>
      </c>
      <c r="N47" s="188"/>
      <c r="O47" s="188"/>
      <c r="P47" s="188"/>
      <c r="Q47" s="188">
        <f t="shared" ref="Q47:R47" si="65">Q$5</f>
        <v>1011.15</v>
      </c>
      <c r="R47" s="188">
        <f t="shared" si="65"/>
        <v>685.37</v>
      </c>
      <c r="S47" s="188"/>
      <c r="T47" s="188"/>
      <c r="U47" s="188"/>
      <c r="V47" s="188">
        <f t="shared" si="44"/>
        <v>344.35</v>
      </c>
      <c r="W47" s="188"/>
      <c r="X47" s="188"/>
      <c r="Y47" s="188"/>
      <c r="Z47" s="188"/>
      <c r="AA47" s="188">
        <f t="shared" si="66"/>
        <v>140.89</v>
      </c>
      <c r="AB47" s="188"/>
      <c r="AC47" s="188"/>
      <c r="AE47" s="188">
        <f t="shared" ref="AE47:BF47" si="67">if(and($D47&gt;AE$7,$D47&lt;AE$8),AE$5,0)</f>
        <v>490.91</v>
      </c>
      <c r="AF47" s="188">
        <f t="shared" si="67"/>
        <v>266.76</v>
      </c>
      <c r="AG47" s="188">
        <f t="shared" si="67"/>
        <v>262.71</v>
      </c>
      <c r="AH47" s="188">
        <f t="shared" si="67"/>
        <v>261.42</v>
      </c>
      <c r="AI47" s="188">
        <f t="shared" si="67"/>
        <v>252.81</v>
      </c>
      <c r="AJ47" s="188">
        <f t="shared" si="67"/>
        <v>249.29</v>
      </c>
      <c r="AK47" s="188">
        <f t="shared" si="67"/>
        <v>238.09</v>
      </c>
      <c r="AL47" s="188">
        <f t="shared" si="67"/>
        <v>0</v>
      </c>
      <c r="AM47" s="188">
        <f t="shared" si="67"/>
        <v>0</v>
      </c>
      <c r="AN47" s="188">
        <f t="shared" si="67"/>
        <v>0</v>
      </c>
      <c r="AO47" s="188">
        <f t="shared" si="67"/>
        <v>0</v>
      </c>
      <c r="AP47" s="188">
        <f t="shared" si="67"/>
        <v>0</v>
      </c>
      <c r="AQ47" s="188">
        <f t="shared" si="67"/>
        <v>0</v>
      </c>
      <c r="AR47" s="188">
        <f t="shared" si="67"/>
        <v>0</v>
      </c>
      <c r="AS47" s="188">
        <f t="shared" si="67"/>
        <v>0</v>
      </c>
      <c r="AT47" s="188">
        <f t="shared" si="67"/>
        <v>0</v>
      </c>
      <c r="AU47" s="188">
        <f t="shared" si="67"/>
        <v>0</v>
      </c>
      <c r="AV47" s="188">
        <f t="shared" si="67"/>
        <v>0</v>
      </c>
      <c r="AW47" s="188">
        <f t="shared" si="67"/>
        <v>0</v>
      </c>
      <c r="AX47" s="188">
        <f t="shared" si="67"/>
        <v>0</v>
      </c>
      <c r="AY47" s="188">
        <f t="shared" si="67"/>
        <v>0</v>
      </c>
      <c r="AZ47" s="188">
        <f t="shared" si="67"/>
        <v>0</v>
      </c>
      <c r="BA47" s="188">
        <f t="shared" si="67"/>
        <v>0</v>
      </c>
      <c r="BB47" s="188">
        <f t="shared" si="67"/>
        <v>0</v>
      </c>
      <c r="BC47" s="188">
        <f t="shared" si="67"/>
        <v>0</v>
      </c>
      <c r="BD47" s="188">
        <f t="shared" si="67"/>
        <v>0</v>
      </c>
      <c r="BE47" s="188">
        <f t="shared" si="67"/>
        <v>0</v>
      </c>
      <c r="BF47" s="188">
        <f t="shared" si="67"/>
        <v>0</v>
      </c>
    </row>
    <row r="48">
      <c r="A48" s="188">
        <f t="shared" si="5"/>
        <v>898991</v>
      </c>
      <c r="B48" s="212">
        <f t="shared" si="6"/>
        <v>29896</v>
      </c>
      <c r="C48" s="212">
        <f t="shared" si="7"/>
        <v>0</v>
      </c>
      <c r="D48" s="215">
        <v>45658.0</v>
      </c>
      <c r="E48" s="216">
        <v>0.0</v>
      </c>
      <c r="F48" s="216">
        <v>0.0</v>
      </c>
      <c r="G48" s="216">
        <v>0.0</v>
      </c>
      <c r="H48" s="216">
        <v>0.0</v>
      </c>
      <c r="I48" s="202" t="str">
        <f t="shared" si="9"/>
        <v>Past</v>
      </c>
      <c r="J48" s="188">
        <f t="shared" ref="J48:K48" si="68">J$5</f>
        <v>12605.29</v>
      </c>
      <c r="K48" s="188">
        <f t="shared" si="68"/>
        <v>5477.63</v>
      </c>
      <c r="L48" s="188"/>
      <c r="M48" s="188">
        <f t="shared" si="62"/>
        <v>4254.87</v>
      </c>
      <c r="N48" s="188"/>
      <c r="O48" s="188"/>
      <c r="P48" s="188"/>
      <c r="Q48" s="188">
        <f t="shared" ref="Q48:T48" si="69">Q$5</f>
        <v>1011.15</v>
      </c>
      <c r="R48" s="188">
        <f t="shared" si="69"/>
        <v>685.37</v>
      </c>
      <c r="S48" s="188">
        <f t="shared" si="69"/>
        <v>490.36</v>
      </c>
      <c r="T48" s="188">
        <f t="shared" si="69"/>
        <v>393.4</v>
      </c>
      <c r="U48" s="188"/>
      <c r="V48" s="188">
        <f t="shared" si="44"/>
        <v>344.35</v>
      </c>
      <c r="W48" s="188">
        <f t="shared" ref="W48:X48" si="70">W$5</f>
        <v>289.56</v>
      </c>
      <c r="X48" s="188">
        <f t="shared" si="70"/>
        <v>250.12</v>
      </c>
      <c r="Y48" s="188"/>
      <c r="Z48" s="188">
        <f t="shared" ref="Z48:AB48" si="71">Z$5</f>
        <v>189.66</v>
      </c>
      <c r="AA48" s="188">
        <f t="shared" si="71"/>
        <v>140.89</v>
      </c>
      <c r="AB48" s="188">
        <f t="shared" si="71"/>
        <v>126.01</v>
      </c>
      <c r="AC48" s="188"/>
      <c r="AE48" s="188">
        <f t="shared" ref="AE48:BF48" si="72">if(and($D48&gt;AE$7,$D48&lt;AE$8),AE$5,0)</f>
        <v>490.91</v>
      </c>
      <c r="AF48" s="188">
        <f t="shared" si="72"/>
        <v>266.76</v>
      </c>
      <c r="AG48" s="188">
        <f t="shared" si="72"/>
        <v>262.71</v>
      </c>
      <c r="AH48" s="188">
        <f t="shared" si="72"/>
        <v>261.42</v>
      </c>
      <c r="AI48" s="188">
        <f t="shared" si="72"/>
        <v>252.81</v>
      </c>
      <c r="AJ48" s="188">
        <f t="shared" si="72"/>
        <v>249.29</v>
      </c>
      <c r="AK48" s="188">
        <f t="shared" si="72"/>
        <v>238.09</v>
      </c>
      <c r="AL48" s="188">
        <f t="shared" si="72"/>
        <v>287.57</v>
      </c>
      <c r="AM48" s="188">
        <f t="shared" si="72"/>
        <v>340.62</v>
      </c>
      <c r="AN48" s="188">
        <f t="shared" si="72"/>
        <v>278.09</v>
      </c>
      <c r="AO48" s="188">
        <f t="shared" si="72"/>
        <v>261.91</v>
      </c>
      <c r="AP48" s="188">
        <f t="shared" si="72"/>
        <v>216.37</v>
      </c>
      <c r="AQ48" s="188">
        <f t="shared" si="72"/>
        <v>229.99</v>
      </c>
      <c r="AR48" s="188">
        <f t="shared" si="72"/>
        <v>0</v>
      </c>
      <c r="AS48" s="188">
        <f t="shared" si="72"/>
        <v>0</v>
      </c>
      <c r="AT48" s="188">
        <f t="shared" si="72"/>
        <v>0</v>
      </c>
      <c r="AU48" s="188">
        <f t="shared" si="72"/>
        <v>0</v>
      </c>
      <c r="AV48" s="188">
        <f t="shared" si="72"/>
        <v>0</v>
      </c>
      <c r="AW48" s="188">
        <f t="shared" si="72"/>
        <v>0</v>
      </c>
      <c r="AX48" s="188">
        <f t="shared" si="72"/>
        <v>0</v>
      </c>
      <c r="AY48" s="188">
        <f t="shared" si="72"/>
        <v>0</v>
      </c>
      <c r="AZ48" s="188">
        <f t="shared" si="72"/>
        <v>0</v>
      </c>
      <c r="BA48" s="188">
        <f t="shared" si="72"/>
        <v>0</v>
      </c>
      <c r="BB48" s="188">
        <f t="shared" si="72"/>
        <v>0</v>
      </c>
      <c r="BC48" s="188">
        <f t="shared" si="72"/>
        <v>0</v>
      </c>
      <c r="BD48" s="188">
        <f t="shared" si="72"/>
        <v>0</v>
      </c>
      <c r="BE48" s="188">
        <f t="shared" si="72"/>
        <v>0</v>
      </c>
      <c r="BF48" s="188">
        <f t="shared" si="72"/>
        <v>0</v>
      </c>
    </row>
    <row r="49">
      <c r="A49" s="188">
        <f t="shared" si="5"/>
        <v>867296</v>
      </c>
      <c r="B49" s="212">
        <f t="shared" si="6"/>
        <v>31696</v>
      </c>
      <c r="C49" s="212">
        <f t="shared" si="7"/>
        <v>0</v>
      </c>
      <c r="D49" s="215">
        <v>45689.0</v>
      </c>
      <c r="E49" s="216">
        <v>0.0</v>
      </c>
      <c r="F49" s="216">
        <v>0.0</v>
      </c>
      <c r="G49" s="216">
        <v>0.0</v>
      </c>
      <c r="H49" s="216">
        <v>0.0</v>
      </c>
      <c r="I49" s="202" t="str">
        <f t="shared" si="9"/>
        <v>Past</v>
      </c>
      <c r="J49" s="188">
        <f t="shared" ref="J49:K49" si="73">J$5</f>
        <v>12605.29</v>
      </c>
      <c r="K49" s="188">
        <f t="shared" si="73"/>
        <v>5477.63</v>
      </c>
      <c r="L49" s="188"/>
      <c r="M49" s="188">
        <f t="shared" si="62"/>
        <v>4254.87</v>
      </c>
      <c r="N49" s="188"/>
      <c r="O49" s="188"/>
      <c r="P49" s="188"/>
      <c r="Q49" s="188">
        <f t="shared" ref="Q49:T49" si="74">Q$5</f>
        <v>1011.15</v>
      </c>
      <c r="R49" s="188">
        <f t="shared" si="74"/>
        <v>685.37</v>
      </c>
      <c r="S49" s="188">
        <f t="shared" si="74"/>
        <v>490.36</v>
      </c>
      <c r="T49" s="188">
        <f t="shared" si="74"/>
        <v>393.4</v>
      </c>
      <c r="U49" s="188"/>
      <c r="V49" s="188">
        <f t="shared" si="44"/>
        <v>344.35</v>
      </c>
      <c r="W49" s="188">
        <f t="shared" ref="W49:X49" si="75">W$5</f>
        <v>289.56</v>
      </c>
      <c r="X49" s="188">
        <f t="shared" si="75"/>
        <v>250.12</v>
      </c>
      <c r="Y49" s="188"/>
      <c r="Z49" s="188">
        <f t="shared" ref="Z49:AB49" si="76">Z$5</f>
        <v>189.66</v>
      </c>
      <c r="AA49" s="188">
        <f t="shared" si="76"/>
        <v>140.89</v>
      </c>
      <c r="AB49" s="188">
        <f t="shared" si="76"/>
        <v>126.01</v>
      </c>
      <c r="AC49" s="188"/>
      <c r="AE49" s="188">
        <f t="shared" ref="AE49:BF49" si="77">if(and($D49&gt;AE$7,$D49&lt;AE$8),AE$5,0)</f>
        <v>490.91</v>
      </c>
      <c r="AF49" s="188">
        <f t="shared" si="77"/>
        <v>266.76</v>
      </c>
      <c r="AG49" s="188">
        <f t="shared" si="77"/>
        <v>262.71</v>
      </c>
      <c r="AH49" s="188">
        <f t="shared" si="77"/>
        <v>261.42</v>
      </c>
      <c r="AI49" s="188">
        <f t="shared" si="77"/>
        <v>252.81</v>
      </c>
      <c r="AJ49" s="188">
        <f t="shared" si="77"/>
        <v>249.29</v>
      </c>
      <c r="AK49" s="188">
        <f t="shared" si="77"/>
        <v>238.09</v>
      </c>
      <c r="AL49" s="188">
        <f t="shared" si="77"/>
        <v>287.57</v>
      </c>
      <c r="AM49" s="188">
        <f t="shared" si="77"/>
        <v>340.62</v>
      </c>
      <c r="AN49" s="188">
        <f t="shared" si="77"/>
        <v>278.09</v>
      </c>
      <c r="AO49" s="188">
        <f t="shared" si="77"/>
        <v>261.91</v>
      </c>
      <c r="AP49" s="188">
        <f t="shared" si="77"/>
        <v>216.37</v>
      </c>
      <c r="AQ49" s="188">
        <f t="shared" si="77"/>
        <v>229.99</v>
      </c>
      <c r="AR49" s="188">
        <f t="shared" si="77"/>
        <v>241.35</v>
      </c>
      <c r="AS49" s="188">
        <f t="shared" si="77"/>
        <v>140.14</v>
      </c>
      <c r="AT49" s="188">
        <f t="shared" si="77"/>
        <v>1206.85</v>
      </c>
      <c r="AU49" s="188">
        <f t="shared" si="77"/>
        <v>211.74</v>
      </c>
      <c r="AV49" s="188">
        <f t="shared" si="77"/>
        <v>0</v>
      </c>
      <c r="AW49" s="188">
        <f t="shared" si="77"/>
        <v>0</v>
      </c>
      <c r="AX49" s="188">
        <f t="shared" si="77"/>
        <v>0</v>
      </c>
      <c r="AY49" s="188">
        <f t="shared" si="77"/>
        <v>0</v>
      </c>
      <c r="AZ49" s="188">
        <f t="shared" si="77"/>
        <v>0</v>
      </c>
      <c r="BA49" s="188">
        <f t="shared" si="77"/>
        <v>0</v>
      </c>
      <c r="BB49" s="188">
        <f t="shared" si="77"/>
        <v>0</v>
      </c>
      <c r="BC49" s="188">
        <f t="shared" si="77"/>
        <v>0</v>
      </c>
      <c r="BD49" s="188">
        <f t="shared" si="77"/>
        <v>0</v>
      </c>
      <c r="BE49" s="188">
        <f t="shared" si="77"/>
        <v>0</v>
      </c>
      <c r="BF49" s="188">
        <f t="shared" si="77"/>
        <v>0</v>
      </c>
    </row>
    <row r="50">
      <c r="A50" s="188">
        <f t="shared" si="5"/>
        <v>835118</v>
      </c>
      <c r="B50" s="212">
        <f t="shared" si="6"/>
        <v>32178</v>
      </c>
      <c r="C50" s="212">
        <f t="shared" si="7"/>
        <v>0</v>
      </c>
      <c r="D50" s="215">
        <v>45717.0</v>
      </c>
      <c r="E50" s="217">
        <v>0.0</v>
      </c>
      <c r="F50" s="217">
        <v>0.0</v>
      </c>
      <c r="G50" s="217">
        <v>0.0</v>
      </c>
      <c r="H50" s="217">
        <v>0.0</v>
      </c>
      <c r="I50" s="202" t="str">
        <f t="shared" si="9"/>
        <v>Past</v>
      </c>
      <c r="J50" s="188">
        <f t="shared" ref="J50:K50" si="78">J$5</f>
        <v>12605.29</v>
      </c>
      <c r="K50" s="188">
        <f t="shared" si="78"/>
        <v>5477.63</v>
      </c>
      <c r="L50" s="188"/>
      <c r="M50" s="188">
        <f t="shared" si="62"/>
        <v>4254.87</v>
      </c>
      <c r="N50" s="188"/>
      <c r="O50" s="188"/>
      <c r="P50" s="188"/>
      <c r="Q50" s="188">
        <f t="shared" ref="Q50:T50" si="79">Q$5</f>
        <v>1011.15</v>
      </c>
      <c r="R50" s="188">
        <f t="shared" si="79"/>
        <v>685.37</v>
      </c>
      <c r="S50" s="188">
        <f t="shared" si="79"/>
        <v>490.36</v>
      </c>
      <c r="T50" s="188">
        <f t="shared" si="79"/>
        <v>393.4</v>
      </c>
      <c r="U50" s="188"/>
      <c r="V50" s="188">
        <f t="shared" si="44"/>
        <v>344.35</v>
      </c>
      <c r="W50" s="188">
        <f t="shared" ref="W50:X50" si="80">W$5</f>
        <v>289.56</v>
      </c>
      <c r="X50" s="188">
        <f t="shared" si="80"/>
        <v>250.12</v>
      </c>
      <c r="Y50" s="188"/>
      <c r="Z50" s="188">
        <f t="shared" ref="Z50:AB50" si="81">Z$5</f>
        <v>189.66</v>
      </c>
      <c r="AA50" s="188">
        <f t="shared" si="81"/>
        <v>140.89</v>
      </c>
      <c r="AB50" s="188">
        <f t="shared" si="81"/>
        <v>126.01</v>
      </c>
      <c r="AC50" s="188"/>
      <c r="AE50" s="188">
        <f t="shared" ref="AE50:BF50" si="82">if(and($D50&gt;AE$7,$D50&lt;AE$8),AE$5,0)</f>
        <v>490.91</v>
      </c>
      <c r="AF50" s="188">
        <f t="shared" si="82"/>
        <v>266.76</v>
      </c>
      <c r="AG50" s="188">
        <f t="shared" si="82"/>
        <v>262.71</v>
      </c>
      <c r="AH50" s="188">
        <f t="shared" si="82"/>
        <v>261.42</v>
      </c>
      <c r="AI50" s="188">
        <f t="shared" si="82"/>
        <v>252.81</v>
      </c>
      <c r="AJ50" s="188">
        <f t="shared" si="82"/>
        <v>249.29</v>
      </c>
      <c r="AK50" s="188">
        <f t="shared" si="82"/>
        <v>238.09</v>
      </c>
      <c r="AL50" s="188">
        <f t="shared" si="82"/>
        <v>287.57</v>
      </c>
      <c r="AM50" s="188">
        <f t="shared" si="82"/>
        <v>340.62</v>
      </c>
      <c r="AN50" s="188">
        <f t="shared" si="82"/>
        <v>278.09</v>
      </c>
      <c r="AO50" s="188">
        <f t="shared" si="82"/>
        <v>261.91</v>
      </c>
      <c r="AP50" s="188">
        <f t="shared" si="82"/>
        <v>216.37</v>
      </c>
      <c r="AQ50" s="188">
        <f t="shared" si="82"/>
        <v>229.99</v>
      </c>
      <c r="AR50" s="188">
        <f t="shared" si="82"/>
        <v>241.35</v>
      </c>
      <c r="AS50" s="188">
        <f t="shared" si="82"/>
        <v>140.14</v>
      </c>
      <c r="AT50" s="188">
        <f t="shared" si="82"/>
        <v>1206.85</v>
      </c>
      <c r="AU50" s="188">
        <f t="shared" si="82"/>
        <v>211.74</v>
      </c>
      <c r="AV50" s="188">
        <f t="shared" si="82"/>
        <v>235.64</v>
      </c>
      <c r="AW50" s="188">
        <f t="shared" si="82"/>
        <v>135.29</v>
      </c>
      <c r="AX50" s="188">
        <f t="shared" si="82"/>
        <v>111.62</v>
      </c>
      <c r="AY50" s="188">
        <f t="shared" si="82"/>
        <v>0</v>
      </c>
      <c r="AZ50" s="188">
        <f t="shared" si="82"/>
        <v>0</v>
      </c>
      <c r="BA50" s="188">
        <f t="shared" si="82"/>
        <v>0</v>
      </c>
      <c r="BB50" s="188">
        <f t="shared" si="82"/>
        <v>0</v>
      </c>
      <c r="BC50" s="188">
        <f t="shared" si="82"/>
        <v>0</v>
      </c>
      <c r="BD50" s="188">
        <f t="shared" si="82"/>
        <v>0</v>
      </c>
      <c r="BE50" s="188">
        <f t="shared" si="82"/>
        <v>0</v>
      </c>
      <c r="BF50" s="188">
        <f t="shared" si="82"/>
        <v>0</v>
      </c>
    </row>
    <row r="51">
      <c r="A51" s="188">
        <f t="shared" si="5"/>
        <v>799957</v>
      </c>
      <c r="B51" s="212">
        <v>0.0</v>
      </c>
      <c r="C51" s="212">
        <f t="shared" si="7"/>
        <v>0</v>
      </c>
      <c r="D51" s="215">
        <v>45748.0</v>
      </c>
      <c r="E51" s="216">
        <v>0.0</v>
      </c>
      <c r="F51" s="216">
        <v>0.0</v>
      </c>
      <c r="G51" s="216">
        <v>0.0</v>
      </c>
      <c r="H51" s="216">
        <v>0.0</v>
      </c>
      <c r="I51" s="202" t="str">
        <f t="shared" si="9"/>
        <v>Past</v>
      </c>
      <c r="J51" s="188">
        <f t="shared" ref="J51:K51" si="83">J$5</f>
        <v>12605.29</v>
      </c>
      <c r="K51" s="188">
        <f t="shared" si="83"/>
        <v>5477.63</v>
      </c>
      <c r="L51" s="188"/>
      <c r="M51" s="188">
        <f t="shared" si="62"/>
        <v>4254.87</v>
      </c>
      <c r="N51" s="188">
        <f t="shared" ref="N51:N73" si="88">N$5</f>
        <v>2129.09</v>
      </c>
      <c r="O51" s="188"/>
      <c r="P51" s="188"/>
      <c r="Q51" s="188">
        <f t="shared" ref="Q51:X51" si="84">Q$5</f>
        <v>1011.15</v>
      </c>
      <c r="R51" s="188">
        <f t="shared" si="84"/>
        <v>685.37</v>
      </c>
      <c r="S51" s="188">
        <f t="shared" si="84"/>
        <v>490.36</v>
      </c>
      <c r="T51" s="188">
        <f t="shared" si="84"/>
        <v>393.4</v>
      </c>
      <c r="U51" s="188">
        <f t="shared" si="84"/>
        <v>357.35</v>
      </c>
      <c r="V51" s="188">
        <f t="shared" si="84"/>
        <v>344.35</v>
      </c>
      <c r="W51" s="188">
        <f t="shared" si="84"/>
        <v>289.56</v>
      </c>
      <c r="X51" s="188">
        <f t="shared" si="84"/>
        <v>250.12</v>
      </c>
      <c r="Y51" s="188"/>
      <c r="Z51" s="188">
        <f t="shared" ref="Z51:AB51" si="85">Z$5</f>
        <v>189.66</v>
      </c>
      <c r="AA51" s="188">
        <f t="shared" si="85"/>
        <v>140.89</v>
      </c>
      <c r="AB51" s="188">
        <f t="shared" si="85"/>
        <v>126.01</v>
      </c>
      <c r="AC51" s="188"/>
      <c r="AE51" s="188">
        <f t="shared" ref="AE51:BF51" si="86">if(and($D51&gt;AE$7,$D51&lt;AE$8),AE$5,0)</f>
        <v>490.91</v>
      </c>
      <c r="AF51" s="188">
        <f t="shared" si="86"/>
        <v>266.76</v>
      </c>
      <c r="AG51" s="188">
        <f t="shared" si="86"/>
        <v>262.71</v>
      </c>
      <c r="AH51" s="188">
        <f t="shared" si="86"/>
        <v>261.42</v>
      </c>
      <c r="AI51" s="188">
        <f t="shared" si="86"/>
        <v>252.81</v>
      </c>
      <c r="AJ51" s="188">
        <f t="shared" si="86"/>
        <v>249.29</v>
      </c>
      <c r="AK51" s="188">
        <f t="shared" si="86"/>
        <v>238.09</v>
      </c>
      <c r="AL51" s="188">
        <f t="shared" si="86"/>
        <v>287.57</v>
      </c>
      <c r="AM51" s="188">
        <f t="shared" si="86"/>
        <v>340.62</v>
      </c>
      <c r="AN51" s="188">
        <f t="shared" si="86"/>
        <v>278.09</v>
      </c>
      <c r="AO51" s="188">
        <f t="shared" si="86"/>
        <v>261.91</v>
      </c>
      <c r="AP51" s="188">
        <f t="shared" si="86"/>
        <v>216.37</v>
      </c>
      <c r="AQ51" s="188">
        <f t="shared" si="86"/>
        <v>229.99</v>
      </c>
      <c r="AR51" s="188">
        <f t="shared" si="86"/>
        <v>241.35</v>
      </c>
      <c r="AS51" s="188">
        <f t="shared" si="86"/>
        <v>140.14</v>
      </c>
      <c r="AT51" s="188">
        <f t="shared" si="86"/>
        <v>1206.85</v>
      </c>
      <c r="AU51" s="188">
        <f t="shared" si="86"/>
        <v>211.74</v>
      </c>
      <c r="AV51" s="188">
        <f t="shared" si="86"/>
        <v>235.64</v>
      </c>
      <c r="AW51" s="188">
        <f t="shared" si="86"/>
        <v>135.29</v>
      </c>
      <c r="AX51" s="188">
        <f t="shared" si="86"/>
        <v>111.62</v>
      </c>
      <c r="AY51" s="188">
        <f t="shared" si="86"/>
        <v>114.83</v>
      </c>
      <c r="AZ51" s="188">
        <f t="shared" si="86"/>
        <v>125.23</v>
      </c>
      <c r="BA51" s="188">
        <f t="shared" si="86"/>
        <v>116.42</v>
      </c>
      <c r="BB51" s="188">
        <f t="shared" si="86"/>
        <v>140.02</v>
      </c>
      <c r="BC51" s="188">
        <f t="shared" si="86"/>
        <v>0</v>
      </c>
      <c r="BD51" s="188">
        <f t="shared" si="86"/>
        <v>0</v>
      </c>
      <c r="BE51" s="188">
        <f t="shared" si="86"/>
        <v>0</v>
      </c>
      <c r="BF51" s="188">
        <f t="shared" si="86"/>
        <v>0</v>
      </c>
    </row>
    <row r="52">
      <c r="A52" s="188">
        <f t="shared" si="5"/>
        <v>759369</v>
      </c>
      <c r="B52" s="212">
        <f t="shared" ref="B52:B117" si="92">ceiling(sum(J52:BF52),1)</f>
        <v>40588</v>
      </c>
      <c r="C52" s="212">
        <f t="shared" si="7"/>
        <v>0</v>
      </c>
      <c r="D52" s="215">
        <v>45778.0</v>
      </c>
      <c r="E52" s="216">
        <v>0.0</v>
      </c>
      <c r="F52" s="216">
        <v>0.0</v>
      </c>
      <c r="G52" s="216">
        <v>0.0</v>
      </c>
      <c r="H52" s="216">
        <v>0.0</v>
      </c>
      <c r="I52" s="202" t="str">
        <f t="shared" si="9"/>
        <v>Past</v>
      </c>
      <c r="J52" s="188">
        <f t="shared" ref="J52:K52" si="87">J$5</f>
        <v>12605.29</v>
      </c>
      <c r="K52" s="188">
        <f t="shared" si="87"/>
        <v>5477.63</v>
      </c>
      <c r="L52" s="188"/>
      <c r="M52" s="188">
        <f t="shared" si="62"/>
        <v>4254.87</v>
      </c>
      <c r="N52" s="188">
        <f t="shared" si="88"/>
        <v>2129.09</v>
      </c>
      <c r="O52" s="188">
        <f t="shared" ref="O52:O60" si="94">O$5</f>
        <v>4774.58</v>
      </c>
      <c r="P52" s="188"/>
      <c r="Q52" s="188">
        <f t="shared" ref="Q52:X52" si="89">Q$5</f>
        <v>1011.15</v>
      </c>
      <c r="R52" s="188">
        <f t="shared" si="89"/>
        <v>685.37</v>
      </c>
      <c r="S52" s="188">
        <f t="shared" si="89"/>
        <v>490.36</v>
      </c>
      <c r="T52" s="188">
        <f t="shared" si="89"/>
        <v>393.4</v>
      </c>
      <c r="U52" s="188">
        <f t="shared" si="89"/>
        <v>357.35</v>
      </c>
      <c r="V52" s="188">
        <f t="shared" si="89"/>
        <v>344.35</v>
      </c>
      <c r="W52" s="188">
        <f t="shared" si="89"/>
        <v>289.56</v>
      </c>
      <c r="X52" s="188">
        <f t="shared" si="89"/>
        <v>250.12</v>
      </c>
      <c r="Y52" s="188"/>
      <c r="Z52" s="188">
        <f t="shared" ref="Z52:AB52" si="90">Z$5</f>
        <v>189.66</v>
      </c>
      <c r="AA52" s="188">
        <f t="shared" si="90"/>
        <v>140.89</v>
      </c>
      <c r="AB52" s="188">
        <f t="shared" si="90"/>
        <v>126.01</v>
      </c>
      <c r="AC52" s="188"/>
      <c r="AE52" s="188">
        <f t="shared" ref="AE52:BF52" si="91">if(and($D52&gt;AE$7,$D52&lt;AE$8),AE$5,0)</f>
        <v>490.91</v>
      </c>
      <c r="AF52" s="188">
        <f t="shared" si="91"/>
        <v>266.76</v>
      </c>
      <c r="AG52" s="188">
        <f t="shared" si="91"/>
        <v>262.71</v>
      </c>
      <c r="AH52" s="188">
        <f t="shared" si="91"/>
        <v>261.42</v>
      </c>
      <c r="AI52" s="188">
        <f t="shared" si="91"/>
        <v>252.81</v>
      </c>
      <c r="AJ52" s="188">
        <f t="shared" si="91"/>
        <v>249.29</v>
      </c>
      <c r="AK52" s="188">
        <f t="shared" si="91"/>
        <v>238.09</v>
      </c>
      <c r="AL52" s="188">
        <f t="shared" si="91"/>
        <v>287.57</v>
      </c>
      <c r="AM52" s="188">
        <f t="shared" si="91"/>
        <v>340.62</v>
      </c>
      <c r="AN52" s="188">
        <f t="shared" si="91"/>
        <v>278.09</v>
      </c>
      <c r="AO52" s="188">
        <f t="shared" si="91"/>
        <v>261.91</v>
      </c>
      <c r="AP52" s="188">
        <f t="shared" si="91"/>
        <v>216.37</v>
      </c>
      <c r="AQ52" s="188">
        <f t="shared" si="91"/>
        <v>229.99</v>
      </c>
      <c r="AR52" s="188">
        <f t="shared" si="91"/>
        <v>241.35</v>
      </c>
      <c r="AS52" s="188">
        <f t="shared" si="91"/>
        <v>140.14</v>
      </c>
      <c r="AT52" s="188">
        <f t="shared" si="91"/>
        <v>1206.85</v>
      </c>
      <c r="AU52" s="188">
        <f t="shared" si="91"/>
        <v>211.74</v>
      </c>
      <c r="AV52" s="188">
        <f t="shared" si="91"/>
        <v>235.64</v>
      </c>
      <c r="AW52" s="188">
        <f t="shared" si="91"/>
        <v>135.29</v>
      </c>
      <c r="AX52" s="188">
        <f t="shared" si="91"/>
        <v>111.62</v>
      </c>
      <c r="AY52" s="188">
        <f t="shared" si="91"/>
        <v>114.83</v>
      </c>
      <c r="AZ52" s="188">
        <f t="shared" si="91"/>
        <v>125.23</v>
      </c>
      <c r="BA52" s="188">
        <f t="shared" si="91"/>
        <v>116.42</v>
      </c>
      <c r="BB52" s="188">
        <f t="shared" si="91"/>
        <v>140.02</v>
      </c>
      <c r="BC52" s="188">
        <f t="shared" si="91"/>
        <v>128.25</v>
      </c>
      <c r="BD52" s="188">
        <f t="shared" si="91"/>
        <v>524</v>
      </c>
      <c r="BE52" s="188">
        <f t="shared" si="91"/>
        <v>0</v>
      </c>
      <c r="BF52" s="188">
        <f t="shared" si="91"/>
        <v>0</v>
      </c>
    </row>
    <row r="53">
      <c r="A53" s="188">
        <f t="shared" si="5"/>
        <v>713272</v>
      </c>
      <c r="B53" s="212">
        <f t="shared" si="92"/>
        <v>46098</v>
      </c>
      <c r="C53" s="212">
        <f t="shared" si="7"/>
        <v>0</v>
      </c>
      <c r="D53" s="215">
        <v>45809.0</v>
      </c>
      <c r="E53" s="216">
        <v>0.0</v>
      </c>
      <c r="F53" s="216">
        <v>0.0</v>
      </c>
      <c r="G53" s="216">
        <v>0.0</v>
      </c>
      <c r="H53" s="216">
        <v>0.0</v>
      </c>
      <c r="I53" s="202" t="str">
        <f t="shared" si="9"/>
        <v>Past</v>
      </c>
      <c r="J53" s="188">
        <f t="shared" ref="J53:K53" si="93">J$5</f>
        <v>12605.29</v>
      </c>
      <c r="K53" s="188">
        <f t="shared" si="93"/>
        <v>5477.63</v>
      </c>
      <c r="L53" s="188"/>
      <c r="M53" s="188">
        <f t="shared" si="62"/>
        <v>4254.87</v>
      </c>
      <c r="N53" s="188">
        <f t="shared" si="88"/>
        <v>2129.09</v>
      </c>
      <c r="O53" s="188">
        <f t="shared" si="94"/>
        <v>4774.58</v>
      </c>
      <c r="P53" s="188">
        <f t="shared" ref="P53:AC53" si="95">P$5</f>
        <v>3983.19</v>
      </c>
      <c r="Q53" s="188">
        <f t="shared" si="95"/>
        <v>1011.15</v>
      </c>
      <c r="R53" s="188">
        <f t="shared" si="95"/>
        <v>685.37</v>
      </c>
      <c r="S53" s="188">
        <f t="shared" si="95"/>
        <v>490.36</v>
      </c>
      <c r="T53" s="188">
        <f t="shared" si="95"/>
        <v>393.4</v>
      </c>
      <c r="U53" s="188">
        <f t="shared" si="95"/>
        <v>357.35</v>
      </c>
      <c r="V53" s="188">
        <f t="shared" si="95"/>
        <v>344.35</v>
      </c>
      <c r="W53" s="188">
        <f t="shared" si="95"/>
        <v>289.56</v>
      </c>
      <c r="X53" s="188">
        <f t="shared" si="95"/>
        <v>250.12</v>
      </c>
      <c r="Y53" s="188">
        <f t="shared" si="95"/>
        <v>699.67</v>
      </c>
      <c r="Z53" s="188">
        <f t="shared" si="95"/>
        <v>189.66</v>
      </c>
      <c r="AA53" s="188">
        <f t="shared" si="95"/>
        <v>140.89</v>
      </c>
      <c r="AB53" s="188">
        <f t="shared" si="95"/>
        <v>126.01</v>
      </c>
      <c r="AC53" s="188">
        <f t="shared" si="95"/>
        <v>266.5</v>
      </c>
      <c r="AE53" s="188">
        <f t="shared" ref="AE53:BF53" si="96">if(and($D53&gt;AE$7,$D53&lt;AE$8),AE$5,0)</f>
        <v>490.91</v>
      </c>
      <c r="AF53" s="188">
        <f t="shared" si="96"/>
        <v>266.76</v>
      </c>
      <c r="AG53" s="188">
        <f t="shared" si="96"/>
        <v>262.71</v>
      </c>
      <c r="AH53" s="188">
        <f t="shared" si="96"/>
        <v>261.42</v>
      </c>
      <c r="AI53" s="188">
        <f t="shared" si="96"/>
        <v>252.81</v>
      </c>
      <c r="AJ53" s="188">
        <f t="shared" si="96"/>
        <v>249.29</v>
      </c>
      <c r="AK53" s="188">
        <f t="shared" si="96"/>
        <v>238.09</v>
      </c>
      <c r="AL53" s="188">
        <f t="shared" si="96"/>
        <v>287.57</v>
      </c>
      <c r="AM53" s="188">
        <f t="shared" si="96"/>
        <v>340.62</v>
      </c>
      <c r="AN53" s="188">
        <f t="shared" si="96"/>
        <v>278.09</v>
      </c>
      <c r="AO53" s="188">
        <f t="shared" si="96"/>
        <v>261.91</v>
      </c>
      <c r="AP53" s="188">
        <f t="shared" si="96"/>
        <v>216.37</v>
      </c>
      <c r="AQ53" s="188">
        <f t="shared" si="96"/>
        <v>229.99</v>
      </c>
      <c r="AR53" s="188">
        <f t="shared" si="96"/>
        <v>241.35</v>
      </c>
      <c r="AS53" s="188">
        <f t="shared" si="96"/>
        <v>140.14</v>
      </c>
      <c r="AT53" s="188">
        <f t="shared" si="96"/>
        <v>1206.85</v>
      </c>
      <c r="AU53" s="188">
        <f t="shared" si="96"/>
        <v>211.74</v>
      </c>
      <c r="AV53" s="188">
        <f t="shared" si="96"/>
        <v>235.64</v>
      </c>
      <c r="AW53" s="188">
        <f t="shared" si="96"/>
        <v>135.29</v>
      </c>
      <c r="AX53" s="188">
        <f t="shared" si="96"/>
        <v>111.62</v>
      </c>
      <c r="AY53" s="188">
        <f t="shared" si="96"/>
        <v>114.83</v>
      </c>
      <c r="AZ53" s="188">
        <f t="shared" si="96"/>
        <v>125.23</v>
      </c>
      <c r="BA53" s="188">
        <f t="shared" si="96"/>
        <v>116.42</v>
      </c>
      <c r="BB53" s="188">
        <f t="shared" si="96"/>
        <v>140.02</v>
      </c>
      <c r="BC53" s="188">
        <f t="shared" si="96"/>
        <v>128.25</v>
      </c>
      <c r="BD53" s="188">
        <f t="shared" si="96"/>
        <v>524</v>
      </c>
      <c r="BE53" s="188">
        <f t="shared" si="96"/>
        <v>369.69</v>
      </c>
      <c r="BF53" s="188">
        <f t="shared" si="96"/>
        <v>190.46</v>
      </c>
    </row>
    <row r="54">
      <c r="A54" s="188">
        <f t="shared" si="5"/>
        <v>667175</v>
      </c>
      <c r="B54" s="212">
        <f t="shared" si="92"/>
        <v>46098</v>
      </c>
      <c r="C54" s="212">
        <f t="shared" si="7"/>
        <v>0</v>
      </c>
      <c r="D54" s="215">
        <v>45839.0</v>
      </c>
      <c r="E54" s="216">
        <v>0.0</v>
      </c>
      <c r="F54" s="216">
        <v>0.0</v>
      </c>
      <c r="G54" s="216">
        <v>0.0</v>
      </c>
      <c r="H54" s="216">
        <v>0.0</v>
      </c>
      <c r="I54" s="202" t="str">
        <f t="shared" si="9"/>
        <v>Past</v>
      </c>
      <c r="J54" s="188">
        <f t="shared" ref="J54:K54" si="97">J$5</f>
        <v>12605.29</v>
      </c>
      <c r="K54" s="188">
        <f t="shared" si="97"/>
        <v>5477.63</v>
      </c>
      <c r="L54" s="188"/>
      <c r="M54" s="188">
        <f t="shared" si="62"/>
        <v>4254.87</v>
      </c>
      <c r="N54" s="188">
        <f t="shared" si="88"/>
        <v>2129.09</v>
      </c>
      <c r="O54" s="188">
        <f t="shared" si="94"/>
        <v>4774.58</v>
      </c>
      <c r="P54" s="188">
        <f t="shared" ref="P54:AC54" si="98">P$5</f>
        <v>3983.19</v>
      </c>
      <c r="Q54" s="188">
        <f t="shared" si="98"/>
        <v>1011.15</v>
      </c>
      <c r="R54" s="188">
        <f t="shared" si="98"/>
        <v>685.37</v>
      </c>
      <c r="S54" s="188">
        <f t="shared" si="98"/>
        <v>490.36</v>
      </c>
      <c r="T54" s="188">
        <f t="shared" si="98"/>
        <v>393.4</v>
      </c>
      <c r="U54" s="188">
        <f t="shared" si="98"/>
        <v>357.35</v>
      </c>
      <c r="V54" s="188">
        <f t="shared" si="98"/>
        <v>344.35</v>
      </c>
      <c r="W54" s="188">
        <f t="shared" si="98"/>
        <v>289.56</v>
      </c>
      <c r="X54" s="188">
        <f t="shared" si="98"/>
        <v>250.12</v>
      </c>
      <c r="Y54" s="188">
        <f t="shared" si="98"/>
        <v>699.67</v>
      </c>
      <c r="Z54" s="188">
        <f t="shared" si="98"/>
        <v>189.66</v>
      </c>
      <c r="AA54" s="188">
        <f t="shared" si="98"/>
        <v>140.89</v>
      </c>
      <c r="AB54" s="188">
        <f t="shared" si="98"/>
        <v>126.01</v>
      </c>
      <c r="AC54" s="188">
        <f t="shared" si="98"/>
        <v>266.5</v>
      </c>
      <c r="AE54" s="188">
        <f t="shared" ref="AE54:BF54" si="99">if(and($D54&gt;AE$7,$D54&lt;AE$8),AE$5,0)</f>
        <v>490.91</v>
      </c>
      <c r="AF54" s="188">
        <f t="shared" si="99"/>
        <v>266.76</v>
      </c>
      <c r="AG54" s="188">
        <f t="shared" si="99"/>
        <v>262.71</v>
      </c>
      <c r="AH54" s="188">
        <f t="shared" si="99"/>
        <v>261.42</v>
      </c>
      <c r="AI54" s="188">
        <f t="shared" si="99"/>
        <v>252.81</v>
      </c>
      <c r="AJ54" s="188">
        <f t="shared" si="99"/>
        <v>249.29</v>
      </c>
      <c r="AK54" s="188">
        <f t="shared" si="99"/>
        <v>238.09</v>
      </c>
      <c r="AL54" s="188">
        <f t="shared" si="99"/>
        <v>287.57</v>
      </c>
      <c r="AM54" s="188">
        <f t="shared" si="99"/>
        <v>340.62</v>
      </c>
      <c r="AN54" s="188">
        <f t="shared" si="99"/>
        <v>278.09</v>
      </c>
      <c r="AO54" s="188">
        <f t="shared" si="99"/>
        <v>261.91</v>
      </c>
      <c r="AP54" s="188">
        <f t="shared" si="99"/>
        <v>216.37</v>
      </c>
      <c r="AQ54" s="188">
        <f t="shared" si="99"/>
        <v>229.99</v>
      </c>
      <c r="AR54" s="188">
        <f t="shared" si="99"/>
        <v>241.35</v>
      </c>
      <c r="AS54" s="188">
        <f t="shared" si="99"/>
        <v>140.14</v>
      </c>
      <c r="AT54" s="188">
        <f t="shared" si="99"/>
        <v>1206.85</v>
      </c>
      <c r="AU54" s="188">
        <f t="shared" si="99"/>
        <v>211.74</v>
      </c>
      <c r="AV54" s="188">
        <f t="shared" si="99"/>
        <v>235.64</v>
      </c>
      <c r="AW54" s="188">
        <f t="shared" si="99"/>
        <v>135.29</v>
      </c>
      <c r="AX54" s="188">
        <f t="shared" si="99"/>
        <v>111.62</v>
      </c>
      <c r="AY54" s="188">
        <f t="shared" si="99"/>
        <v>114.83</v>
      </c>
      <c r="AZ54" s="188">
        <f t="shared" si="99"/>
        <v>125.23</v>
      </c>
      <c r="BA54" s="188">
        <f t="shared" si="99"/>
        <v>116.42</v>
      </c>
      <c r="BB54" s="188">
        <f t="shared" si="99"/>
        <v>140.02</v>
      </c>
      <c r="BC54" s="188">
        <f t="shared" si="99"/>
        <v>128.25</v>
      </c>
      <c r="BD54" s="188">
        <f t="shared" si="99"/>
        <v>524</v>
      </c>
      <c r="BE54" s="188">
        <f t="shared" si="99"/>
        <v>369.69</v>
      </c>
      <c r="BF54" s="188">
        <f t="shared" si="99"/>
        <v>190.46</v>
      </c>
    </row>
    <row r="55">
      <c r="A55" s="188">
        <f t="shared" si="5"/>
        <v>628706</v>
      </c>
      <c r="B55" s="212">
        <f t="shared" si="92"/>
        <v>38470</v>
      </c>
      <c r="C55" s="212">
        <f t="shared" si="7"/>
        <v>0</v>
      </c>
      <c r="D55" s="215">
        <v>45870.0</v>
      </c>
      <c r="E55" s="216">
        <v>0.0</v>
      </c>
      <c r="F55" s="216">
        <v>0.0</v>
      </c>
      <c r="G55" s="216">
        <v>0.0</v>
      </c>
      <c r="H55" s="216">
        <v>0.0</v>
      </c>
      <c r="I55" s="202" t="str">
        <f t="shared" si="9"/>
        <v>Past</v>
      </c>
      <c r="J55" s="188">
        <f t="shared" ref="J55:K55" si="100">J$5</f>
        <v>12605.29</v>
      </c>
      <c r="K55" s="188">
        <f t="shared" si="100"/>
        <v>5477.63</v>
      </c>
      <c r="L55" s="188"/>
      <c r="M55" s="188">
        <f t="shared" si="62"/>
        <v>4254.87</v>
      </c>
      <c r="N55" s="188">
        <f t="shared" si="88"/>
        <v>2129.09</v>
      </c>
      <c r="O55" s="188">
        <f t="shared" si="94"/>
        <v>4774.58</v>
      </c>
      <c r="P55" s="188">
        <f t="shared" ref="P55:AC55" si="101">P$5</f>
        <v>3983.19</v>
      </c>
      <c r="Q55" s="188">
        <f t="shared" si="101"/>
        <v>1011.15</v>
      </c>
      <c r="R55" s="188">
        <f t="shared" si="101"/>
        <v>685.37</v>
      </c>
      <c r="S55" s="188">
        <f t="shared" si="101"/>
        <v>490.36</v>
      </c>
      <c r="T55" s="188">
        <f t="shared" si="101"/>
        <v>393.4</v>
      </c>
      <c r="U55" s="188">
        <f t="shared" si="101"/>
        <v>357.35</v>
      </c>
      <c r="V55" s="188">
        <f t="shared" si="101"/>
        <v>344.35</v>
      </c>
      <c r="W55" s="188">
        <f t="shared" si="101"/>
        <v>289.56</v>
      </c>
      <c r="X55" s="188">
        <f t="shared" si="101"/>
        <v>250.12</v>
      </c>
      <c r="Y55" s="188">
        <f t="shared" si="101"/>
        <v>699.67</v>
      </c>
      <c r="Z55" s="188">
        <f t="shared" si="101"/>
        <v>189.66</v>
      </c>
      <c r="AA55" s="188">
        <f t="shared" si="101"/>
        <v>140.89</v>
      </c>
      <c r="AB55" s="188">
        <f t="shared" si="101"/>
        <v>126.01</v>
      </c>
      <c r="AC55" s="188">
        <f t="shared" si="101"/>
        <v>266.5</v>
      </c>
      <c r="AE55" s="188">
        <v>0.0</v>
      </c>
      <c r="AF55" s="188">
        <v>0.0</v>
      </c>
      <c r="AG55" s="188">
        <v>0.0</v>
      </c>
      <c r="AH55" s="188">
        <v>0.0</v>
      </c>
      <c r="AI55" s="188">
        <v>0.0</v>
      </c>
      <c r="AJ55" s="188">
        <v>0.0</v>
      </c>
      <c r="AK55" s="188">
        <v>0.0</v>
      </c>
      <c r="AL55" s="188">
        <v>0.0</v>
      </c>
      <c r="AM55" s="188">
        <v>0.0</v>
      </c>
      <c r="AN55" s="188">
        <v>0.0</v>
      </c>
      <c r="AO55" s="188">
        <v>0.0</v>
      </c>
      <c r="AP55" s="188">
        <v>0.0</v>
      </c>
      <c r="AQ55" s="188">
        <v>0.0</v>
      </c>
      <c r="AR55" s="188">
        <v>0.0</v>
      </c>
      <c r="AS55" s="188">
        <v>0.0</v>
      </c>
      <c r="AT55" s="188">
        <v>0.0</v>
      </c>
      <c r="AU55" s="188">
        <v>0.0</v>
      </c>
      <c r="AV55" s="188">
        <v>0.0</v>
      </c>
      <c r="AW55" s="188">
        <v>0.0</v>
      </c>
      <c r="AX55" s="188">
        <v>0.0</v>
      </c>
      <c r="AY55" s="188">
        <v>0.0</v>
      </c>
      <c r="AZ55" s="188">
        <v>0.0</v>
      </c>
      <c r="BA55" s="188">
        <v>0.0</v>
      </c>
      <c r="BB55" s="188">
        <v>0.0</v>
      </c>
      <c r="BC55" s="188">
        <v>0.0</v>
      </c>
      <c r="BD55" s="188">
        <v>0.0</v>
      </c>
      <c r="BE55" s="188">
        <v>0.0</v>
      </c>
      <c r="BF55" s="188">
        <v>0.0</v>
      </c>
    </row>
    <row r="56">
      <c r="A56" s="188">
        <f t="shared" si="5"/>
        <v>585237</v>
      </c>
      <c r="B56" s="212">
        <f t="shared" si="92"/>
        <v>43470</v>
      </c>
      <c r="C56" s="212">
        <f t="shared" si="7"/>
        <v>0</v>
      </c>
      <c r="D56" s="215">
        <v>45901.0</v>
      </c>
      <c r="E56" s="216">
        <v>0.0</v>
      </c>
      <c r="F56" s="216">
        <v>0.0</v>
      </c>
      <c r="G56" s="216">
        <v>0.0</v>
      </c>
      <c r="H56" s="216">
        <v>0.0</v>
      </c>
      <c r="I56" s="202" t="str">
        <f t="shared" si="9"/>
        <v>Past</v>
      </c>
      <c r="J56" s="188">
        <f t="shared" ref="J56:K56" si="102">J$5</f>
        <v>12605.29</v>
      </c>
      <c r="K56" s="188">
        <f t="shared" si="102"/>
        <v>5477.63</v>
      </c>
      <c r="L56" s="188">
        <v>5000.0</v>
      </c>
      <c r="M56" s="188">
        <f t="shared" si="62"/>
        <v>4254.87</v>
      </c>
      <c r="N56" s="188">
        <f t="shared" si="88"/>
        <v>2129.09</v>
      </c>
      <c r="O56" s="188">
        <f t="shared" si="94"/>
        <v>4774.58</v>
      </c>
      <c r="P56" s="188">
        <f t="shared" ref="P56:AC56" si="103">P$5</f>
        <v>3983.19</v>
      </c>
      <c r="Q56" s="188">
        <f t="shared" si="103"/>
        <v>1011.15</v>
      </c>
      <c r="R56" s="188">
        <f t="shared" si="103"/>
        <v>685.37</v>
      </c>
      <c r="S56" s="188">
        <f t="shared" si="103"/>
        <v>490.36</v>
      </c>
      <c r="T56" s="188">
        <f t="shared" si="103"/>
        <v>393.4</v>
      </c>
      <c r="U56" s="188">
        <f t="shared" si="103"/>
        <v>357.35</v>
      </c>
      <c r="V56" s="188">
        <f t="shared" si="103"/>
        <v>344.35</v>
      </c>
      <c r="W56" s="188">
        <f t="shared" si="103"/>
        <v>289.56</v>
      </c>
      <c r="X56" s="188">
        <f t="shared" si="103"/>
        <v>250.12</v>
      </c>
      <c r="Y56" s="188">
        <f t="shared" si="103"/>
        <v>699.67</v>
      </c>
      <c r="Z56" s="188">
        <f t="shared" si="103"/>
        <v>189.66</v>
      </c>
      <c r="AA56" s="188">
        <f t="shared" si="103"/>
        <v>140.89</v>
      </c>
      <c r="AB56" s="188">
        <f t="shared" si="103"/>
        <v>126.01</v>
      </c>
      <c r="AC56" s="188">
        <f t="shared" si="103"/>
        <v>266.5</v>
      </c>
      <c r="AE56" s="188">
        <v>0.0</v>
      </c>
      <c r="AF56" s="188">
        <v>0.0</v>
      </c>
      <c r="AG56" s="188">
        <v>0.0</v>
      </c>
      <c r="AH56" s="188">
        <v>0.0</v>
      </c>
      <c r="AI56" s="188">
        <v>0.0</v>
      </c>
      <c r="AJ56" s="188">
        <v>0.0</v>
      </c>
      <c r="AK56" s="188">
        <v>0.0</v>
      </c>
      <c r="AL56" s="188">
        <v>0.0</v>
      </c>
      <c r="AM56" s="188">
        <v>0.0</v>
      </c>
      <c r="AN56" s="188">
        <v>0.0</v>
      </c>
      <c r="AO56" s="188">
        <v>0.0</v>
      </c>
      <c r="AP56" s="188">
        <v>0.0</v>
      </c>
      <c r="AQ56" s="188">
        <v>0.0</v>
      </c>
      <c r="AR56" s="188">
        <v>0.0</v>
      </c>
      <c r="AS56" s="188">
        <v>0.0</v>
      </c>
      <c r="AT56" s="188">
        <v>0.0</v>
      </c>
      <c r="AU56" s="188">
        <v>0.0</v>
      </c>
      <c r="AV56" s="188">
        <v>0.0</v>
      </c>
      <c r="AW56" s="188">
        <v>0.0</v>
      </c>
      <c r="AX56" s="188">
        <v>0.0</v>
      </c>
      <c r="AY56" s="188">
        <v>0.0</v>
      </c>
      <c r="AZ56" s="188">
        <v>0.0</v>
      </c>
      <c r="BA56" s="188">
        <v>0.0</v>
      </c>
      <c r="BB56" s="188">
        <v>0.0</v>
      </c>
      <c r="BC56" s="188">
        <v>0.0</v>
      </c>
      <c r="BD56" s="188">
        <v>0.0</v>
      </c>
      <c r="BE56" s="188">
        <v>0.0</v>
      </c>
      <c r="BF56" s="188">
        <v>0.0</v>
      </c>
    </row>
    <row r="57">
      <c r="A57" s="188">
        <f t="shared" si="5"/>
        <v>541768</v>
      </c>
      <c r="B57" s="212">
        <f t="shared" si="92"/>
        <v>43470</v>
      </c>
      <c r="C57" s="212">
        <v>0.0</v>
      </c>
      <c r="D57" s="215">
        <v>45931.0</v>
      </c>
      <c r="E57" s="216">
        <v>0.0</v>
      </c>
      <c r="F57" s="216">
        <v>0.0</v>
      </c>
      <c r="G57" s="216">
        <v>0.0</v>
      </c>
      <c r="H57" s="216">
        <v>0.0</v>
      </c>
      <c r="I57" s="202" t="str">
        <f t="shared" si="9"/>
        <v>Past</v>
      </c>
      <c r="J57" s="188">
        <f t="shared" ref="J57:K57" si="104">J$5</f>
        <v>12605.29</v>
      </c>
      <c r="K57" s="188">
        <f t="shared" si="104"/>
        <v>5477.63</v>
      </c>
      <c r="L57" s="188">
        <v>5000.0</v>
      </c>
      <c r="M57" s="188">
        <f t="shared" si="62"/>
        <v>4254.87</v>
      </c>
      <c r="N57" s="188">
        <f t="shared" si="88"/>
        <v>2129.09</v>
      </c>
      <c r="O57" s="188">
        <f t="shared" si="94"/>
        <v>4774.58</v>
      </c>
      <c r="P57" s="188">
        <f t="shared" ref="P57:AC57" si="105">P$5</f>
        <v>3983.19</v>
      </c>
      <c r="Q57" s="188">
        <f t="shared" si="105"/>
        <v>1011.15</v>
      </c>
      <c r="R57" s="188">
        <f t="shared" si="105"/>
        <v>685.37</v>
      </c>
      <c r="S57" s="188">
        <f t="shared" si="105"/>
        <v>490.36</v>
      </c>
      <c r="T57" s="188">
        <f t="shared" si="105"/>
        <v>393.4</v>
      </c>
      <c r="U57" s="188">
        <f t="shared" si="105"/>
        <v>357.35</v>
      </c>
      <c r="V57" s="188">
        <f t="shared" si="105"/>
        <v>344.35</v>
      </c>
      <c r="W57" s="188">
        <f t="shared" si="105"/>
        <v>289.56</v>
      </c>
      <c r="X57" s="188">
        <f t="shared" si="105"/>
        <v>250.12</v>
      </c>
      <c r="Y57" s="188">
        <f t="shared" si="105"/>
        <v>699.67</v>
      </c>
      <c r="Z57" s="188">
        <f t="shared" si="105"/>
        <v>189.66</v>
      </c>
      <c r="AA57" s="188">
        <f t="shared" si="105"/>
        <v>140.89</v>
      </c>
      <c r="AB57" s="188">
        <f t="shared" si="105"/>
        <v>126.01</v>
      </c>
      <c r="AC57" s="188">
        <f t="shared" si="105"/>
        <v>266.5</v>
      </c>
      <c r="AE57" s="188">
        <v>0.0</v>
      </c>
      <c r="AF57" s="188">
        <v>0.0</v>
      </c>
      <c r="AG57" s="188">
        <v>0.0</v>
      </c>
      <c r="AH57" s="188">
        <v>0.0</v>
      </c>
      <c r="AI57" s="188">
        <v>0.0</v>
      </c>
      <c r="AJ57" s="188">
        <v>0.0</v>
      </c>
      <c r="AK57" s="188">
        <v>0.0</v>
      </c>
      <c r="AL57" s="188">
        <v>0.0</v>
      </c>
      <c r="AM57" s="188">
        <v>0.0</v>
      </c>
      <c r="AN57" s="188">
        <v>0.0</v>
      </c>
      <c r="AO57" s="188">
        <v>0.0</v>
      </c>
      <c r="AP57" s="188">
        <v>0.0</v>
      </c>
      <c r="AQ57" s="188">
        <v>0.0</v>
      </c>
      <c r="AR57" s="188">
        <v>0.0</v>
      </c>
      <c r="AS57" s="188">
        <v>0.0</v>
      </c>
      <c r="AT57" s="188">
        <v>0.0</v>
      </c>
      <c r="AU57" s="188">
        <v>0.0</v>
      </c>
      <c r="AV57" s="188">
        <v>0.0</v>
      </c>
      <c r="AW57" s="188">
        <v>0.0</v>
      </c>
      <c r="AX57" s="188">
        <v>0.0</v>
      </c>
      <c r="AY57" s="188">
        <v>0.0</v>
      </c>
      <c r="AZ57" s="188">
        <v>0.0</v>
      </c>
      <c r="BA57" s="188">
        <v>0.0</v>
      </c>
      <c r="BB57" s="188">
        <v>0.0</v>
      </c>
      <c r="BC57" s="188">
        <v>0.0</v>
      </c>
      <c r="BD57" s="188">
        <v>0.0</v>
      </c>
      <c r="BE57" s="188">
        <v>0.0</v>
      </c>
      <c r="BF57" s="188">
        <v>0.0</v>
      </c>
    </row>
    <row r="58">
      <c r="A58" s="188">
        <f t="shared" si="5"/>
        <v>498299</v>
      </c>
      <c r="B58" s="212">
        <f t="shared" si="92"/>
        <v>43470</v>
      </c>
      <c r="C58" s="212">
        <f t="shared" ref="C58:C117" si="108">sum(E58:H58)</f>
        <v>0</v>
      </c>
      <c r="D58" s="215">
        <v>45962.0</v>
      </c>
      <c r="E58" s="216" t="str">
        <f>"Paid "&amp;2444.59</f>
        <v>Paid 2444.59</v>
      </c>
      <c r="F58" s="216" t="str">
        <f>"Paid "&amp;28715.49</f>
        <v>Paid 28715.49</v>
      </c>
      <c r="G58" s="216" t="str">
        <f>"Paid "&amp;19426.26</f>
        <v>Paid 19426.26</v>
      </c>
      <c r="H58" s="216" t="str">
        <f>"Paid "&amp;30502.12</f>
        <v>Paid 30502.12</v>
      </c>
      <c r="I58" s="202" t="str">
        <f t="shared" si="9"/>
        <v>Current</v>
      </c>
      <c r="J58" s="188">
        <f t="shared" ref="J58:K58" si="106">J$5</f>
        <v>12605.29</v>
      </c>
      <c r="K58" s="188">
        <f t="shared" si="106"/>
        <v>5477.63</v>
      </c>
      <c r="L58" s="188">
        <v>5000.0</v>
      </c>
      <c r="M58" s="188">
        <f t="shared" si="62"/>
        <v>4254.87</v>
      </c>
      <c r="N58" s="188">
        <f t="shared" si="88"/>
        <v>2129.09</v>
      </c>
      <c r="O58" s="188">
        <f t="shared" si="94"/>
        <v>4774.58</v>
      </c>
      <c r="P58" s="188">
        <f t="shared" ref="P58:AC58" si="107">P$5</f>
        <v>3983.19</v>
      </c>
      <c r="Q58" s="188">
        <f t="shared" si="107"/>
        <v>1011.15</v>
      </c>
      <c r="R58" s="188">
        <f t="shared" si="107"/>
        <v>685.37</v>
      </c>
      <c r="S58" s="188">
        <f t="shared" si="107"/>
        <v>490.36</v>
      </c>
      <c r="T58" s="188">
        <f t="shared" si="107"/>
        <v>393.4</v>
      </c>
      <c r="U58" s="188">
        <f t="shared" si="107"/>
        <v>357.35</v>
      </c>
      <c r="V58" s="188">
        <f t="shared" si="107"/>
        <v>344.35</v>
      </c>
      <c r="W58" s="188">
        <f t="shared" si="107"/>
        <v>289.56</v>
      </c>
      <c r="X58" s="188">
        <f t="shared" si="107"/>
        <v>250.12</v>
      </c>
      <c r="Y58" s="188">
        <f t="shared" si="107"/>
        <v>699.67</v>
      </c>
      <c r="Z58" s="188">
        <f t="shared" si="107"/>
        <v>189.66</v>
      </c>
      <c r="AA58" s="188">
        <f t="shared" si="107"/>
        <v>140.89</v>
      </c>
      <c r="AB58" s="188">
        <f t="shared" si="107"/>
        <v>126.01</v>
      </c>
      <c r="AC58" s="188">
        <f t="shared" si="107"/>
        <v>266.5</v>
      </c>
      <c r="AE58" s="188">
        <v>0.0</v>
      </c>
      <c r="AF58" s="188">
        <v>0.0</v>
      </c>
      <c r="AG58" s="188">
        <v>0.0</v>
      </c>
      <c r="AH58" s="188">
        <v>0.0</v>
      </c>
      <c r="AI58" s="188">
        <v>0.0</v>
      </c>
      <c r="AJ58" s="188">
        <v>0.0</v>
      </c>
      <c r="AK58" s="188">
        <v>0.0</v>
      </c>
      <c r="AL58" s="188">
        <v>0.0</v>
      </c>
      <c r="AM58" s="188">
        <v>0.0</v>
      </c>
      <c r="AN58" s="188">
        <v>0.0</v>
      </c>
      <c r="AO58" s="188">
        <v>0.0</v>
      </c>
      <c r="AP58" s="188">
        <v>0.0</v>
      </c>
      <c r="AQ58" s="188">
        <v>0.0</v>
      </c>
      <c r="AR58" s="188">
        <v>0.0</v>
      </c>
      <c r="AS58" s="188">
        <v>0.0</v>
      </c>
      <c r="AT58" s="188">
        <v>0.0</v>
      </c>
      <c r="AU58" s="188">
        <v>0.0</v>
      </c>
      <c r="AV58" s="188">
        <v>0.0</v>
      </c>
      <c r="AW58" s="188">
        <v>0.0</v>
      </c>
      <c r="AX58" s="188">
        <v>0.0</v>
      </c>
      <c r="AY58" s="188">
        <v>0.0</v>
      </c>
      <c r="AZ58" s="188">
        <v>0.0</v>
      </c>
      <c r="BA58" s="188">
        <v>0.0</v>
      </c>
      <c r="BB58" s="188">
        <v>0.0</v>
      </c>
      <c r="BC58" s="188">
        <v>0.0</v>
      </c>
      <c r="BD58" s="188">
        <v>0.0</v>
      </c>
      <c r="BE58" s="188">
        <v>0.0</v>
      </c>
      <c r="BF58" s="188">
        <v>0.0</v>
      </c>
    </row>
    <row r="59">
      <c r="A59" s="188">
        <f t="shared" si="5"/>
        <v>459779</v>
      </c>
      <c r="B59" s="212">
        <f t="shared" si="92"/>
        <v>38520</v>
      </c>
      <c r="C59" s="212">
        <f t="shared" si="108"/>
        <v>38519.68</v>
      </c>
      <c r="D59" s="215">
        <v>45992.0</v>
      </c>
      <c r="E59" s="216">
        <f t="shared" ref="E59:H59" si="109">sumif($J$19:BF58,E$19,$J59:BF59)</f>
        <v>2379.21</v>
      </c>
      <c r="F59" s="216">
        <f t="shared" si="109"/>
        <v>23820.67</v>
      </c>
      <c r="G59" s="216">
        <f t="shared" si="109"/>
        <v>12319.8</v>
      </c>
      <c r="H59" s="216">
        <f t="shared" si="109"/>
        <v>0</v>
      </c>
      <c r="I59" s="202" t="str">
        <f t="shared" si="9"/>
        <v>Future</v>
      </c>
      <c r="J59" s="188">
        <f t="shared" ref="J59:K59" si="110">J$5</f>
        <v>12605.29</v>
      </c>
      <c r="K59" s="188">
        <f t="shared" si="110"/>
        <v>5477.63</v>
      </c>
      <c r="L59" s="188">
        <v>5000.0</v>
      </c>
      <c r="M59" s="188">
        <f t="shared" si="62"/>
        <v>4254.87</v>
      </c>
      <c r="N59" s="188">
        <f t="shared" si="88"/>
        <v>2129.09</v>
      </c>
      <c r="O59" s="188">
        <f t="shared" si="94"/>
        <v>4774.58</v>
      </c>
      <c r="P59" s="188"/>
      <c r="Q59" s="188">
        <f t="shared" ref="Q59:X59" si="111">Q$5</f>
        <v>1011.15</v>
      </c>
      <c r="R59" s="188">
        <f t="shared" si="111"/>
        <v>685.37</v>
      </c>
      <c r="S59" s="188">
        <f t="shared" si="111"/>
        <v>490.36</v>
      </c>
      <c r="T59" s="188">
        <f t="shared" si="111"/>
        <v>393.4</v>
      </c>
      <c r="U59" s="188">
        <f t="shared" si="111"/>
        <v>357.35</v>
      </c>
      <c r="V59" s="188">
        <f t="shared" si="111"/>
        <v>344.35</v>
      </c>
      <c r="W59" s="188">
        <f t="shared" si="111"/>
        <v>289.56</v>
      </c>
      <c r="X59" s="188">
        <f t="shared" si="111"/>
        <v>250.12</v>
      </c>
      <c r="Y59" s="188"/>
      <c r="Z59" s="188">
        <f t="shared" ref="Z59:AB59" si="112">Z$5</f>
        <v>189.66</v>
      </c>
      <c r="AA59" s="188">
        <f t="shared" si="112"/>
        <v>140.89</v>
      </c>
      <c r="AB59" s="188">
        <f t="shared" si="112"/>
        <v>126.01</v>
      </c>
      <c r="AC59" s="188"/>
      <c r="AE59" s="188">
        <v>0.0</v>
      </c>
      <c r="AF59" s="188">
        <v>0.0</v>
      </c>
      <c r="AG59" s="188">
        <v>0.0</v>
      </c>
      <c r="AH59" s="188">
        <v>0.0</v>
      </c>
      <c r="AI59" s="188">
        <v>0.0</v>
      </c>
      <c r="AJ59" s="188">
        <v>0.0</v>
      </c>
      <c r="AK59" s="188">
        <v>0.0</v>
      </c>
      <c r="AL59" s="188">
        <v>0.0</v>
      </c>
      <c r="AM59" s="188">
        <v>0.0</v>
      </c>
      <c r="AN59" s="188">
        <v>0.0</v>
      </c>
      <c r="AO59" s="188">
        <v>0.0</v>
      </c>
      <c r="AP59" s="188">
        <v>0.0</v>
      </c>
      <c r="AQ59" s="188">
        <v>0.0</v>
      </c>
      <c r="AR59" s="188">
        <v>0.0</v>
      </c>
      <c r="AS59" s="188">
        <v>0.0</v>
      </c>
      <c r="AT59" s="188">
        <v>0.0</v>
      </c>
      <c r="AU59" s="188">
        <v>0.0</v>
      </c>
      <c r="AV59" s="188">
        <v>0.0</v>
      </c>
      <c r="AW59" s="188">
        <v>0.0</v>
      </c>
      <c r="AX59" s="188">
        <v>0.0</v>
      </c>
      <c r="AY59" s="188">
        <v>0.0</v>
      </c>
      <c r="AZ59" s="188">
        <v>0.0</v>
      </c>
      <c r="BA59" s="188">
        <v>0.0</v>
      </c>
      <c r="BB59" s="188">
        <v>0.0</v>
      </c>
      <c r="BC59" s="188">
        <v>0.0</v>
      </c>
      <c r="BD59" s="188">
        <v>0.0</v>
      </c>
      <c r="BE59" s="188">
        <v>0.0</v>
      </c>
      <c r="BF59" s="188">
        <v>0.0</v>
      </c>
    </row>
    <row r="60">
      <c r="A60" s="188">
        <f t="shared" si="5"/>
        <v>421260</v>
      </c>
      <c r="B60" s="212">
        <f t="shared" si="92"/>
        <v>38520</v>
      </c>
      <c r="C60" s="212">
        <f t="shared" si="108"/>
        <v>38519.68</v>
      </c>
      <c r="D60" s="215">
        <v>46023.0</v>
      </c>
      <c r="E60" s="216">
        <f t="shared" ref="E60:H60" si="113">sumif($J$19:BF59,E$19,$J60:BF60)</f>
        <v>2379.21</v>
      </c>
      <c r="F60" s="216">
        <f t="shared" si="113"/>
        <v>23820.67</v>
      </c>
      <c r="G60" s="216">
        <f t="shared" si="113"/>
        <v>12319.8</v>
      </c>
      <c r="H60" s="216">
        <f t="shared" si="113"/>
        <v>0</v>
      </c>
      <c r="I60" s="202" t="str">
        <f t="shared" si="9"/>
        <v>Future</v>
      </c>
      <c r="J60" s="188">
        <f t="shared" ref="J60:K60" si="114">J$5</f>
        <v>12605.29</v>
      </c>
      <c r="K60" s="188">
        <f t="shared" si="114"/>
        <v>5477.63</v>
      </c>
      <c r="L60" s="188">
        <v>5000.0</v>
      </c>
      <c r="M60" s="188">
        <f t="shared" si="62"/>
        <v>4254.87</v>
      </c>
      <c r="N60" s="188">
        <f t="shared" si="88"/>
        <v>2129.09</v>
      </c>
      <c r="O60" s="188">
        <f t="shared" si="94"/>
        <v>4774.58</v>
      </c>
      <c r="P60" s="188"/>
      <c r="Q60" s="188">
        <f t="shared" ref="Q60:X60" si="115">Q$5</f>
        <v>1011.15</v>
      </c>
      <c r="R60" s="188">
        <f t="shared" si="115"/>
        <v>685.37</v>
      </c>
      <c r="S60" s="188">
        <f t="shared" si="115"/>
        <v>490.36</v>
      </c>
      <c r="T60" s="188">
        <f t="shared" si="115"/>
        <v>393.4</v>
      </c>
      <c r="U60" s="188">
        <f t="shared" si="115"/>
        <v>357.35</v>
      </c>
      <c r="V60" s="188">
        <f t="shared" si="115"/>
        <v>344.35</v>
      </c>
      <c r="W60" s="188">
        <f t="shared" si="115"/>
        <v>289.56</v>
      </c>
      <c r="X60" s="188">
        <f t="shared" si="115"/>
        <v>250.12</v>
      </c>
      <c r="Y60" s="188"/>
      <c r="Z60" s="188">
        <f t="shared" ref="Z60:AB60" si="116">Z$5</f>
        <v>189.66</v>
      </c>
      <c r="AA60" s="188">
        <f t="shared" si="116"/>
        <v>140.89</v>
      </c>
      <c r="AB60" s="188">
        <f t="shared" si="116"/>
        <v>126.01</v>
      </c>
      <c r="AC60" s="188"/>
      <c r="AE60" s="188">
        <v>0.0</v>
      </c>
      <c r="AF60" s="188">
        <v>0.0</v>
      </c>
      <c r="AG60" s="188">
        <v>0.0</v>
      </c>
      <c r="AH60" s="188">
        <v>0.0</v>
      </c>
      <c r="AI60" s="188">
        <v>0.0</v>
      </c>
      <c r="AJ60" s="188">
        <v>0.0</v>
      </c>
      <c r="AK60" s="188">
        <v>0.0</v>
      </c>
      <c r="AL60" s="188">
        <v>0.0</v>
      </c>
      <c r="AM60" s="188">
        <v>0.0</v>
      </c>
      <c r="AN60" s="188">
        <v>0.0</v>
      </c>
      <c r="AO60" s="188">
        <v>0.0</v>
      </c>
      <c r="AP60" s="188">
        <v>0.0</v>
      </c>
      <c r="AQ60" s="188">
        <v>0.0</v>
      </c>
      <c r="AR60" s="188">
        <v>0.0</v>
      </c>
      <c r="AS60" s="188">
        <v>0.0</v>
      </c>
      <c r="AT60" s="188">
        <v>0.0</v>
      </c>
      <c r="AU60" s="188">
        <v>0.0</v>
      </c>
      <c r="AV60" s="188">
        <v>0.0</v>
      </c>
      <c r="AW60" s="188">
        <v>0.0</v>
      </c>
      <c r="AX60" s="188">
        <v>0.0</v>
      </c>
      <c r="AY60" s="188">
        <v>0.0</v>
      </c>
      <c r="AZ60" s="188">
        <v>0.0</v>
      </c>
      <c r="BA60" s="188">
        <v>0.0</v>
      </c>
      <c r="BB60" s="188">
        <v>0.0</v>
      </c>
      <c r="BC60" s="188">
        <v>0.0</v>
      </c>
      <c r="BD60" s="188">
        <v>0.0</v>
      </c>
      <c r="BE60" s="188">
        <v>0.0</v>
      </c>
      <c r="BF60" s="188">
        <v>0.0</v>
      </c>
    </row>
    <row r="61">
      <c r="A61" s="188">
        <f t="shared" si="5"/>
        <v>387859</v>
      </c>
      <c r="B61" s="212">
        <f t="shared" si="92"/>
        <v>33401</v>
      </c>
      <c r="C61" s="212">
        <f t="shared" si="108"/>
        <v>33400.75</v>
      </c>
      <c r="D61" s="215">
        <v>46054.0</v>
      </c>
      <c r="E61" s="216">
        <f t="shared" ref="E61:H61" si="117">sumif($J$19:BF60,E$19,$J61:BF61)</f>
        <v>2379.21</v>
      </c>
      <c r="F61" s="216">
        <f t="shared" si="117"/>
        <v>23476.32</v>
      </c>
      <c r="G61" s="216">
        <f t="shared" si="117"/>
        <v>7545.22</v>
      </c>
      <c r="H61" s="216">
        <f t="shared" si="117"/>
        <v>0</v>
      </c>
      <c r="I61" s="202" t="str">
        <f t="shared" si="9"/>
        <v>Future</v>
      </c>
      <c r="J61" s="188">
        <f t="shared" ref="J61:K61" si="118">J$5</f>
        <v>12605.29</v>
      </c>
      <c r="K61" s="188">
        <f t="shared" si="118"/>
        <v>5477.63</v>
      </c>
      <c r="L61" s="188">
        <v>5000.0</v>
      </c>
      <c r="M61" s="188">
        <f t="shared" si="62"/>
        <v>4254.87</v>
      </c>
      <c r="N61" s="188">
        <f t="shared" si="88"/>
        <v>2129.09</v>
      </c>
      <c r="O61" s="188"/>
      <c r="P61" s="188"/>
      <c r="Q61" s="188">
        <f t="shared" ref="Q61:U61" si="119">Q$5</f>
        <v>1011.15</v>
      </c>
      <c r="R61" s="188">
        <f t="shared" si="119"/>
        <v>685.37</v>
      </c>
      <c r="S61" s="188">
        <f t="shared" si="119"/>
        <v>490.36</v>
      </c>
      <c r="T61" s="188">
        <f t="shared" si="119"/>
        <v>393.4</v>
      </c>
      <c r="U61" s="188">
        <f t="shared" si="119"/>
        <v>357.35</v>
      </c>
      <c r="V61" s="188"/>
      <c r="W61" s="188">
        <f t="shared" ref="W61:X61" si="120">W$5</f>
        <v>289.56</v>
      </c>
      <c r="X61" s="188">
        <f t="shared" si="120"/>
        <v>250.12</v>
      </c>
      <c r="Y61" s="188"/>
      <c r="Z61" s="188">
        <f t="shared" ref="Z61:AB61" si="121">Z$5</f>
        <v>189.66</v>
      </c>
      <c r="AA61" s="188">
        <f t="shared" si="121"/>
        <v>140.89</v>
      </c>
      <c r="AB61" s="188">
        <f t="shared" si="121"/>
        <v>126.01</v>
      </c>
      <c r="AC61" s="188"/>
      <c r="AE61" s="188">
        <v>0.0</v>
      </c>
      <c r="AF61" s="188">
        <v>0.0</v>
      </c>
      <c r="AG61" s="188">
        <v>0.0</v>
      </c>
      <c r="AH61" s="188">
        <v>0.0</v>
      </c>
      <c r="AI61" s="188">
        <v>0.0</v>
      </c>
      <c r="AJ61" s="188">
        <v>0.0</v>
      </c>
      <c r="AK61" s="188">
        <v>0.0</v>
      </c>
      <c r="AL61" s="188">
        <v>0.0</v>
      </c>
      <c r="AM61" s="188">
        <v>0.0</v>
      </c>
      <c r="AN61" s="188">
        <v>0.0</v>
      </c>
      <c r="AO61" s="188">
        <v>0.0</v>
      </c>
      <c r="AP61" s="188">
        <v>0.0</v>
      </c>
      <c r="AQ61" s="188">
        <v>0.0</v>
      </c>
      <c r="AR61" s="188">
        <v>0.0</v>
      </c>
      <c r="AS61" s="188">
        <v>0.0</v>
      </c>
      <c r="AT61" s="188">
        <v>0.0</v>
      </c>
      <c r="AU61" s="188">
        <v>0.0</v>
      </c>
      <c r="AV61" s="188">
        <v>0.0</v>
      </c>
      <c r="AW61" s="188">
        <v>0.0</v>
      </c>
      <c r="AX61" s="188">
        <v>0.0</v>
      </c>
      <c r="AY61" s="188">
        <v>0.0</v>
      </c>
      <c r="AZ61" s="188">
        <v>0.0</v>
      </c>
      <c r="BA61" s="188">
        <v>0.0</v>
      </c>
      <c r="BB61" s="188">
        <v>0.0</v>
      </c>
      <c r="BC61" s="188">
        <v>0.0</v>
      </c>
      <c r="BD61" s="188">
        <v>0.0</v>
      </c>
      <c r="BE61" s="188">
        <v>0.0</v>
      </c>
      <c r="BF61" s="188">
        <v>0.0</v>
      </c>
    </row>
    <row r="62">
      <c r="A62" s="188">
        <f t="shared" si="5"/>
        <v>354458</v>
      </c>
      <c r="B62" s="212">
        <f t="shared" si="92"/>
        <v>33401</v>
      </c>
      <c r="C62" s="212">
        <f t="shared" si="108"/>
        <v>33400.75</v>
      </c>
      <c r="D62" s="215">
        <v>46082.0</v>
      </c>
      <c r="E62" s="216">
        <f t="shared" ref="E62:H62" si="122">sumif($J$19:BF61,E$19,$J62:BF62)</f>
        <v>2379.21</v>
      </c>
      <c r="F62" s="216">
        <f t="shared" si="122"/>
        <v>23476.32</v>
      </c>
      <c r="G62" s="216">
        <f t="shared" si="122"/>
        <v>7545.22</v>
      </c>
      <c r="H62" s="216">
        <f t="shared" si="122"/>
        <v>0</v>
      </c>
      <c r="I62" s="202" t="str">
        <f t="shared" si="9"/>
        <v>Future</v>
      </c>
      <c r="J62" s="188">
        <f t="shared" ref="J62:K62" si="123">J$5</f>
        <v>12605.29</v>
      </c>
      <c r="K62" s="188">
        <f t="shared" si="123"/>
        <v>5477.63</v>
      </c>
      <c r="L62" s="188">
        <v>5000.0</v>
      </c>
      <c r="M62" s="188">
        <f t="shared" si="62"/>
        <v>4254.87</v>
      </c>
      <c r="N62" s="188">
        <f t="shared" si="88"/>
        <v>2129.09</v>
      </c>
      <c r="O62" s="188"/>
      <c r="P62" s="188"/>
      <c r="Q62" s="188">
        <f t="shared" ref="Q62:U62" si="124">Q$5</f>
        <v>1011.15</v>
      </c>
      <c r="R62" s="188">
        <f t="shared" si="124"/>
        <v>685.37</v>
      </c>
      <c r="S62" s="188">
        <f t="shared" si="124"/>
        <v>490.36</v>
      </c>
      <c r="T62" s="188">
        <f t="shared" si="124"/>
        <v>393.4</v>
      </c>
      <c r="U62" s="188">
        <f t="shared" si="124"/>
        <v>357.35</v>
      </c>
      <c r="V62" s="188"/>
      <c r="W62" s="188">
        <f t="shared" ref="W62:X62" si="125">W$5</f>
        <v>289.56</v>
      </c>
      <c r="X62" s="188">
        <f t="shared" si="125"/>
        <v>250.12</v>
      </c>
      <c r="Y62" s="188"/>
      <c r="Z62" s="188">
        <f t="shared" ref="Z62:AB62" si="126">Z$5</f>
        <v>189.66</v>
      </c>
      <c r="AA62" s="188">
        <f t="shared" si="126"/>
        <v>140.89</v>
      </c>
      <c r="AB62" s="188">
        <f t="shared" si="126"/>
        <v>126.01</v>
      </c>
      <c r="AC62" s="188"/>
      <c r="AE62" s="188">
        <v>0.0</v>
      </c>
      <c r="AF62" s="188">
        <v>0.0</v>
      </c>
      <c r="AG62" s="188">
        <v>0.0</v>
      </c>
      <c r="AH62" s="188">
        <v>0.0</v>
      </c>
      <c r="AI62" s="188">
        <v>0.0</v>
      </c>
      <c r="AJ62" s="188">
        <v>0.0</v>
      </c>
      <c r="AK62" s="188">
        <v>0.0</v>
      </c>
      <c r="AL62" s="188">
        <v>0.0</v>
      </c>
      <c r="AM62" s="188">
        <v>0.0</v>
      </c>
      <c r="AN62" s="188">
        <v>0.0</v>
      </c>
      <c r="AO62" s="188">
        <v>0.0</v>
      </c>
      <c r="AP62" s="188">
        <v>0.0</v>
      </c>
      <c r="AQ62" s="188">
        <v>0.0</v>
      </c>
      <c r="AR62" s="188">
        <v>0.0</v>
      </c>
      <c r="AS62" s="188">
        <v>0.0</v>
      </c>
      <c r="AT62" s="188">
        <v>0.0</v>
      </c>
      <c r="AU62" s="188">
        <v>0.0</v>
      </c>
      <c r="AV62" s="188">
        <v>0.0</v>
      </c>
      <c r="AW62" s="188">
        <v>0.0</v>
      </c>
      <c r="AX62" s="188">
        <v>0.0</v>
      </c>
      <c r="AY62" s="188">
        <v>0.0</v>
      </c>
      <c r="AZ62" s="188">
        <v>0.0</v>
      </c>
      <c r="BA62" s="188">
        <v>0.0</v>
      </c>
      <c r="BB62" s="188">
        <v>0.0</v>
      </c>
      <c r="BC62" s="188">
        <v>0.0</v>
      </c>
      <c r="BD62" s="188">
        <v>0.0</v>
      </c>
      <c r="BE62" s="188">
        <v>0.0</v>
      </c>
      <c r="BF62" s="188">
        <v>0.0</v>
      </c>
    </row>
    <row r="63">
      <c r="A63" s="188">
        <f t="shared" si="5"/>
        <v>321057</v>
      </c>
      <c r="B63" s="212">
        <f t="shared" si="92"/>
        <v>33401</v>
      </c>
      <c r="C63" s="212">
        <f t="shared" si="108"/>
        <v>33400.75</v>
      </c>
      <c r="D63" s="215">
        <v>46113.0</v>
      </c>
      <c r="E63" s="216">
        <f t="shared" ref="E63:H63" si="127">sumif($J$19:BF62,E$19,$J63:BF63)</f>
        <v>2379.21</v>
      </c>
      <c r="F63" s="216">
        <f t="shared" si="127"/>
        <v>23476.32</v>
      </c>
      <c r="G63" s="216">
        <f t="shared" si="127"/>
        <v>7545.22</v>
      </c>
      <c r="H63" s="216">
        <f t="shared" si="127"/>
        <v>0</v>
      </c>
      <c r="I63" s="202" t="str">
        <f t="shared" si="9"/>
        <v>Future</v>
      </c>
      <c r="J63" s="188">
        <f t="shared" ref="J63:K63" si="128">J$5</f>
        <v>12605.29</v>
      </c>
      <c r="K63" s="188">
        <f t="shared" si="128"/>
        <v>5477.63</v>
      </c>
      <c r="L63" s="188">
        <v>5000.0</v>
      </c>
      <c r="M63" s="188">
        <f t="shared" si="62"/>
        <v>4254.87</v>
      </c>
      <c r="N63" s="188">
        <f t="shared" si="88"/>
        <v>2129.09</v>
      </c>
      <c r="O63" s="188"/>
      <c r="P63" s="188"/>
      <c r="Q63" s="188">
        <f t="shared" ref="Q63:U63" si="129">Q$5</f>
        <v>1011.15</v>
      </c>
      <c r="R63" s="188">
        <f t="shared" si="129"/>
        <v>685.37</v>
      </c>
      <c r="S63" s="188">
        <f t="shared" si="129"/>
        <v>490.36</v>
      </c>
      <c r="T63" s="188">
        <f t="shared" si="129"/>
        <v>393.4</v>
      </c>
      <c r="U63" s="188">
        <f t="shared" si="129"/>
        <v>357.35</v>
      </c>
      <c r="V63" s="188"/>
      <c r="W63" s="188">
        <f t="shared" ref="W63:X63" si="130">W$5</f>
        <v>289.56</v>
      </c>
      <c r="X63" s="188">
        <f t="shared" si="130"/>
        <v>250.12</v>
      </c>
      <c r="Y63" s="188"/>
      <c r="Z63" s="188">
        <f t="shared" ref="Z63:AB63" si="131">Z$5</f>
        <v>189.66</v>
      </c>
      <c r="AA63" s="188">
        <f t="shared" si="131"/>
        <v>140.89</v>
      </c>
      <c r="AB63" s="188">
        <f t="shared" si="131"/>
        <v>126.01</v>
      </c>
      <c r="AC63" s="188"/>
      <c r="AE63" s="188">
        <v>0.0</v>
      </c>
      <c r="AF63" s="188">
        <v>0.0</v>
      </c>
      <c r="AG63" s="188">
        <v>0.0</v>
      </c>
      <c r="AH63" s="188">
        <v>0.0</v>
      </c>
      <c r="AI63" s="188">
        <v>0.0</v>
      </c>
      <c r="AJ63" s="188">
        <v>0.0</v>
      </c>
      <c r="AK63" s="188">
        <v>0.0</v>
      </c>
      <c r="AL63" s="188">
        <v>0.0</v>
      </c>
      <c r="AM63" s="188">
        <v>0.0</v>
      </c>
      <c r="AN63" s="188">
        <v>0.0</v>
      </c>
      <c r="AO63" s="188">
        <v>0.0</v>
      </c>
      <c r="AP63" s="188">
        <v>0.0</v>
      </c>
      <c r="AQ63" s="188">
        <v>0.0</v>
      </c>
      <c r="AR63" s="188">
        <v>0.0</v>
      </c>
      <c r="AS63" s="188">
        <v>0.0</v>
      </c>
      <c r="AT63" s="188">
        <v>0.0</v>
      </c>
      <c r="AU63" s="188">
        <v>0.0</v>
      </c>
      <c r="AV63" s="188">
        <v>0.0</v>
      </c>
      <c r="AW63" s="188">
        <v>0.0</v>
      </c>
      <c r="AX63" s="188">
        <v>0.0</v>
      </c>
      <c r="AY63" s="188">
        <v>0.0</v>
      </c>
      <c r="AZ63" s="188">
        <v>0.0</v>
      </c>
      <c r="BA63" s="188">
        <v>0.0</v>
      </c>
      <c r="BB63" s="188">
        <v>0.0</v>
      </c>
      <c r="BC63" s="188">
        <v>0.0</v>
      </c>
      <c r="BD63" s="188">
        <v>0.0</v>
      </c>
      <c r="BE63" s="188">
        <v>0.0</v>
      </c>
      <c r="BF63" s="188">
        <v>0.0</v>
      </c>
    </row>
    <row r="64">
      <c r="A64" s="188">
        <f t="shared" si="5"/>
        <v>287657</v>
      </c>
      <c r="B64" s="212">
        <f t="shared" si="92"/>
        <v>33401</v>
      </c>
      <c r="C64" s="212">
        <f t="shared" si="108"/>
        <v>33400.75</v>
      </c>
      <c r="D64" s="215">
        <v>46143.0</v>
      </c>
      <c r="E64" s="216">
        <f t="shared" ref="E64:H64" si="132">sumif($J$19:BF63,E$19,$J64:BF64)</f>
        <v>2379.21</v>
      </c>
      <c r="F64" s="216">
        <f t="shared" si="132"/>
        <v>23476.32</v>
      </c>
      <c r="G64" s="216">
        <f t="shared" si="132"/>
        <v>7545.22</v>
      </c>
      <c r="H64" s="216">
        <f t="shared" si="132"/>
        <v>0</v>
      </c>
      <c r="I64" s="202" t="str">
        <f t="shared" si="9"/>
        <v>Future</v>
      </c>
      <c r="J64" s="188">
        <f t="shared" ref="J64:K64" si="133">J$5</f>
        <v>12605.29</v>
      </c>
      <c r="K64" s="188">
        <f t="shared" si="133"/>
        <v>5477.63</v>
      </c>
      <c r="L64" s="188">
        <v>5000.0</v>
      </c>
      <c r="M64" s="188">
        <f t="shared" si="62"/>
        <v>4254.87</v>
      </c>
      <c r="N64" s="188">
        <f t="shared" si="88"/>
        <v>2129.09</v>
      </c>
      <c r="O64" s="188"/>
      <c r="P64" s="188"/>
      <c r="Q64" s="188">
        <f t="shared" ref="Q64:U64" si="134">Q$5</f>
        <v>1011.15</v>
      </c>
      <c r="R64" s="188">
        <f t="shared" si="134"/>
        <v>685.37</v>
      </c>
      <c r="S64" s="188">
        <f t="shared" si="134"/>
        <v>490.36</v>
      </c>
      <c r="T64" s="188">
        <f t="shared" si="134"/>
        <v>393.4</v>
      </c>
      <c r="U64" s="188">
        <f t="shared" si="134"/>
        <v>357.35</v>
      </c>
      <c r="V64" s="188"/>
      <c r="W64" s="188">
        <f t="shared" ref="W64:X64" si="135">W$5</f>
        <v>289.56</v>
      </c>
      <c r="X64" s="188">
        <f t="shared" si="135"/>
        <v>250.12</v>
      </c>
      <c r="Y64" s="188"/>
      <c r="Z64" s="188">
        <f t="shared" ref="Z64:AB64" si="136">Z$5</f>
        <v>189.66</v>
      </c>
      <c r="AA64" s="188">
        <f t="shared" si="136"/>
        <v>140.89</v>
      </c>
      <c r="AB64" s="188">
        <f t="shared" si="136"/>
        <v>126.01</v>
      </c>
      <c r="AC64" s="188"/>
      <c r="AE64" s="188">
        <v>0.0</v>
      </c>
      <c r="AF64" s="188">
        <v>0.0</v>
      </c>
      <c r="AG64" s="188">
        <v>0.0</v>
      </c>
      <c r="AH64" s="188">
        <v>0.0</v>
      </c>
      <c r="AI64" s="188">
        <v>0.0</v>
      </c>
      <c r="AJ64" s="188">
        <v>0.0</v>
      </c>
      <c r="AK64" s="188">
        <v>0.0</v>
      </c>
      <c r="AL64" s="188">
        <v>0.0</v>
      </c>
      <c r="AM64" s="188">
        <v>0.0</v>
      </c>
      <c r="AN64" s="188">
        <v>0.0</v>
      </c>
      <c r="AO64" s="188">
        <v>0.0</v>
      </c>
      <c r="AP64" s="188">
        <v>0.0</v>
      </c>
      <c r="AQ64" s="188">
        <v>0.0</v>
      </c>
      <c r="AR64" s="188">
        <v>0.0</v>
      </c>
      <c r="AS64" s="188">
        <v>0.0</v>
      </c>
      <c r="AT64" s="188">
        <v>0.0</v>
      </c>
      <c r="AU64" s="188">
        <v>0.0</v>
      </c>
      <c r="AV64" s="188">
        <v>0.0</v>
      </c>
      <c r="AW64" s="188">
        <v>0.0</v>
      </c>
      <c r="AX64" s="188">
        <v>0.0</v>
      </c>
      <c r="AY64" s="188">
        <v>0.0</v>
      </c>
      <c r="AZ64" s="188">
        <v>0.0</v>
      </c>
      <c r="BA64" s="188">
        <v>0.0</v>
      </c>
      <c r="BB64" s="188">
        <v>0.0</v>
      </c>
      <c r="BC64" s="188">
        <v>0.0</v>
      </c>
      <c r="BD64" s="188">
        <v>0.0</v>
      </c>
      <c r="BE64" s="188">
        <v>0.0</v>
      </c>
      <c r="BF64" s="188">
        <v>0.0</v>
      </c>
    </row>
    <row r="65">
      <c r="A65" s="188">
        <f t="shared" si="5"/>
        <v>219733</v>
      </c>
      <c r="B65" s="212">
        <f t="shared" si="92"/>
        <v>67924</v>
      </c>
      <c r="C65" s="212">
        <f t="shared" si="108"/>
        <v>67923.12</v>
      </c>
      <c r="D65" s="215">
        <v>46174.0</v>
      </c>
      <c r="E65" s="216">
        <f t="shared" ref="E65:H65" si="137">sumif($J$19:BF64,E$19,$J65:BF65)</f>
        <v>2379.21</v>
      </c>
      <c r="F65" s="216">
        <f t="shared" si="137"/>
        <v>57998.69</v>
      </c>
      <c r="G65" s="216">
        <f t="shared" si="137"/>
        <v>7545.22</v>
      </c>
      <c r="H65" s="216">
        <f t="shared" si="137"/>
        <v>0</v>
      </c>
      <c r="I65" s="202" t="str">
        <f t="shared" si="9"/>
        <v>Future</v>
      </c>
      <c r="J65" s="188">
        <f t="shared" ref="J65:J71" si="142">J$5</f>
        <v>12605.29</v>
      </c>
      <c r="K65" s="188">
        <v>40000.0</v>
      </c>
      <c r="L65" s="188">
        <v>5000.0</v>
      </c>
      <c r="M65" s="188">
        <f t="shared" si="62"/>
        <v>4254.87</v>
      </c>
      <c r="N65" s="188">
        <f t="shared" si="88"/>
        <v>2129.09</v>
      </c>
      <c r="O65" s="188"/>
      <c r="P65" s="188"/>
      <c r="Q65" s="188">
        <f t="shared" ref="Q65:U65" si="138">Q$5</f>
        <v>1011.15</v>
      </c>
      <c r="R65" s="188">
        <f t="shared" si="138"/>
        <v>685.37</v>
      </c>
      <c r="S65" s="188">
        <f t="shared" si="138"/>
        <v>490.36</v>
      </c>
      <c r="T65" s="188">
        <f t="shared" si="138"/>
        <v>393.4</v>
      </c>
      <c r="U65" s="188">
        <f t="shared" si="138"/>
        <v>357.35</v>
      </c>
      <c r="V65" s="188"/>
      <c r="W65" s="188">
        <f t="shared" ref="W65:X65" si="139">W$5</f>
        <v>289.56</v>
      </c>
      <c r="X65" s="188">
        <f t="shared" si="139"/>
        <v>250.12</v>
      </c>
      <c r="Y65" s="188"/>
      <c r="Z65" s="188">
        <f t="shared" ref="Z65:AB65" si="140">Z$5</f>
        <v>189.66</v>
      </c>
      <c r="AA65" s="188">
        <f t="shared" si="140"/>
        <v>140.89</v>
      </c>
      <c r="AB65" s="188">
        <f t="shared" si="140"/>
        <v>126.01</v>
      </c>
      <c r="AC65" s="188"/>
      <c r="AE65" s="188">
        <v>0.0</v>
      </c>
      <c r="AF65" s="188">
        <v>0.0</v>
      </c>
      <c r="AG65" s="188">
        <v>0.0</v>
      </c>
      <c r="AH65" s="188">
        <v>0.0</v>
      </c>
      <c r="AI65" s="188">
        <v>0.0</v>
      </c>
      <c r="AJ65" s="188">
        <v>0.0</v>
      </c>
      <c r="AK65" s="188">
        <v>0.0</v>
      </c>
      <c r="AL65" s="188">
        <v>0.0</v>
      </c>
      <c r="AM65" s="188">
        <v>0.0</v>
      </c>
      <c r="AN65" s="188">
        <v>0.0</v>
      </c>
      <c r="AO65" s="188">
        <v>0.0</v>
      </c>
      <c r="AP65" s="188">
        <v>0.0</v>
      </c>
      <c r="AQ65" s="188">
        <v>0.0</v>
      </c>
      <c r="AR65" s="188">
        <v>0.0</v>
      </c>
      <c r="AS65" s="188">
        <v>0.0</v>
      </c>
      <c r="AT65" s="188">
        <v>0.0</v>
      </c>
      <c r="AU65" s="188">
        <v>0.0</v>
      </c>
      <c r="AV65" s="188">
        <v>0.0</v>
      </c>
      <c r="AW65" s="188">
        <v>0.0</v>
      </c>
      <c r="AX65" s="188">
        <v>0.0</v>
      </c>
      <c r="AY65" s="188">
        <v>0.0</v>
      </c>
      <c r="AZ65" s="188">
        <v>0.0</v>
      </c>
      <c r="BA65" s="188">
        <v>0.0</v>
      </c>
      <c r="BB65" s="188">
        <v>0.0</v>
      </c>
      <c r="BC65" s="188">
        <v>0.0</v>
      </c>
      <c r="BD65" s="188">
        <v>0.0</v>
      </c>
      <c r="BE65" s="188">
        <v>0.0</v>
      </c>
      <c r="BF65" s="188">
        <v>0.0</v>
      </c>
    </row>
    <row r="66">
      <c r="A66" s="188">
        <f t="shared" si="5"/>
        <v>191810</v>
      </c>
      <c r="B66" s="212">
        <f t="shared" si="92"/>
        <v>27924</v>
      </c>
      <c r="C66" s="212">
        <f t="shared" si="108"/>
        <v>27923.12</v>
      </c>
      <c r="D66" s="215">
        <v>46204.0</v>
      </c>
      <c r="E66" s="216">
        <f t="shared" ref="E66:H66" si="141">sumif($J$19:BF65,E$19,$J66:BF66)</f>
        <v>2379.21</v>
      </c>
      <c r="F66" s="216">
        <f t="shared" si="141"/>
        <v>17998.69</v>
      </c>
      <c r="G66" s="216">
        <f t="shared" si="141"/>
        <v>7545.22</v>
      </c>
      <c r="H66" s="216">
        <f t="shared" si="141"/>
        <v>0</v>
      </c>
      <c r="I66" s="202" t="str">
        <f t="shared" si="9"/>
        <v>Future</v>
      </c>
      <c r="J66" s="188">
        <f t="shared" si="142"/>
        <v>12605.29</v>
      </c>
      <c r="K66" s="188"/>
      <c r="L66" s="188">
        <v>5000.0</v>
      </c>
      <c r="M66" s="188">
        <f t="shared" si="62"/>
        <v>4254.87</v>
      </c>
      <c r="N66" s="188">
        <f t="shared" si="88"/>
        <v>2129.09</v>
      </c>
      <c r="O66" s="188"/>
      <c r="P66" s="188"/>
      <c r="Q66" s="188">
        <f t="shared" ref="Q66:U66" si="143">Q$5</f>
        <v>1011.15</v>
      </c>
      <c r="R66" s="188">
        <f t="shared" si="143"/>
        <v>685.37</v>
      </c>
      <c r="S66" s="188">
        <f t="shared" si="143"/>
        <v>490.36</v>
      </c>
      <c r="T66" s="188">
        <f t="shared" si="143"/>
        <v>393.4</v>
      </c>
      <c r="U66" s="188">
        <f t="shared" si="143"/>
        <v>357.35</v>
      </c>
      <c r="V66" s="188"/>
      <c r="W66" s="188">
        <f t="shared" ref="W66:X66" si="144">W$5</f>
        <v>289.56</v>
      </c>
      <c r="X66" s="188">
        <f t="shared" si="144"/>
        <v>250.12</v>
      </c>
      <c r="Y66" s="188"/>
      <c r="Z66" s="188">
        <f t="shared" ref="Z66:AB66" si="145">Z$5</f>
        <v>189.66</v>
      </c>
      <c r="AA66" s="188">
        <f t="shared" si="145"/>
        <v>140.89</v>
      </c>
      <c r="AB66" s="188">
        <f t="shared" si="145"/>
        <v>126.01</v>
      </c>
      <c r="AC66" s="188"/>
      <c r="AE66" s="188">
        <v>0.0</v>
      </c>
      <c r="AF66" s="188">
        <v>0.0</v>
      </c>
      <c r="AG66" s="188">
        <v>0.0</v>
      </c>
      <c r="AH66" s="188">
        <v>0.0</v>
      </c>
      <c r="AI66" s="188">
        <v>0.0</v>
      </c>
      <c r="AJ66" s="188">
        <v>0.0</v>
      </c>
      <c r="AK66" s="188">
        <v>0.0</v>
      </c>
      <c r="AL66" s="188">
        <v>0.0</v>
      </c>
      <c r="AM66" s="188">
        <v>0.0</v>
      </c>
      <c r="AN66" s="188">
        <v>0.0</v>
      </c>
      <c r="AO66" s="188">
        <v>0.0</v>
      </c>
      <c r="AP66" s="188">
        <v>0.0</v>
      </c>
      <c r="AQ66" s="188">
        <v>0.0</v>
      </c>
      <c r="AR66" s="188">
        <v>0.0</v>
      </c>
      <c r="AS66" s="188">
        <v>0.0</v>
      </c>
      <c r="AT66" s="188">
        <v>0.0</v>
      </c>
      <c r="AU66" s="188">
        <v>0.0</v>
      </c>
      <c r="AV66" s="188">
        <v>0.0</v>
      </c>
      <c r="AW66" s="188">
        <v>0.0</v>
      </c>
      <c r="AX66" s="188">
        <v>0.0</v>
      </c>
      <c r="AY66" s="188">
        <v>0.0</v>
      </c>
      <c r="AZ66" s="188">
        <v>0.0</v>
      </c>
      <c r="BA66" s="188">
        <v>0.0</v>
      </c>
      <c r="BB66" s="188">
        <v>0.0</v>
      </c>
      <c r="BC66" s="188">
        <v>0.0</v>
      </c>
      <c r="BD66" s="188">
        <v>0.0</v>
      </c>
      <c r="BE66" s="188">
        <v>0.0</v>
      </c>
      <c r="BF66" s="188">
        <v>0.0</v>
      </c>
    </row>
    <row r="67">
      <c r="A67" s="188">
        <f t="shared" si="5"/>
        <v>163887</v>
      </c>
      <c r="B67" s="212">
        <f t="shared" si="92"/>
        <v>27924</v>
      </c>
      <c r="C67" s="212">
        <f t="shared" si="108"/>
        <v>27923.12</v>
      </c>
      <c r="D67" s="215">
        <v>46235.0</v>
      </c>
      <c r="E67" s="216">
        <f t="shared" ref="E67:H67" si="146">sumif($J$19:BF66,E$19,$J67:BF67)</f>
        <v>2379.21</v>
      </c>
      <c r="F67" s="216">
        <f t="shared" si="146"/>
        <v>17998.69</v>
      </c>
      <c r="G67" s="216">
        <f t="shared" si="146"/>
        <v>7545.22</v>
      </c>
      <c r="H67" s="216">
        <f t="shared" si="146"/>
        <v>0</v>
      </c>
      <c r="I67" s="202" t="str">
        <f t="shared" si="9"/>
        <v>Future</v>
      </c>
      <c r="J67" s="188">
        <f t="shared" si="142"/>
        <v>12605.29</v>
      </c>
      <c r="K67" s="188"/>
      <c r="L67" s="188">
        <v>5000.0</v>
      </c>
      <c r="M67" s="188">
        <f t="shared" si="62"/>
        <v>4254.87</v>
      </c>
      <c r="N67" s="188">
        <f t="shared" si="88"/>
        <v>2129.09</v>
      </c>
      <c r="O67" s="188"/>
      <c r="P67" s="188"/>
      <c r="Q67" s="188">
        <f t="shared" ref="Q67:U67" si="147">Q$5</f>
        <v>1011.15</v>
      </c>
      <c r="R67" s="188">
        <f t="shared" si="147"/>
        <v>685.37</v>
      </c>
      <c r="S67" s="188">
        <f t="shared" si="147"/>
        <v>490.36</v>
      </c>
      <c r="T67" s="188">
        <f t="shared" si="147"/>
        <v>393.4</v>
      </c>
      <c r="U67" s="188">
        <f t="shared" si="147"/>
        <v>357.35</v>
      </c>
      <c r="V67" s="188"/>
      <c r="W67" s="188">
        <f t="shared" ref="W67:X67" si="148">W$5</f>
        <v>289.56</v>
      </c>
      <c r="X67" s="188">
        <f t="shared" si="148"/>
        <v>250.12</v>
      </c>
      <c r="Y67" s="188"/>
      <c r="Z67" s="188">
        <f t="shared" ref="Z67:AB67" si="149">Z$5</f>
        <v>189.66</v>
      </c>
      <c r="AA67" s="188">
        <f t="shared" si="149"/>
        <v>140.89</v>
      </c>
      <c r="AB67" s="188">
        <f t="shared" si="149"/>
        <v>126.01</v>
      </c>
      <c r="AC67" s="188"/>
      <c r="AE67" s="188">
        <v>0.0</v>
      </c>
      <c r="AF67" s="188">
        <v>0.0</v>
      </c>
      <c r="AG67" s="188">
        <v>0.0</v>
      </c>
      <c r="AH67" s="188">
        <v>0.0</v>
      </c>
      <c r="AI67" s="188">
        <v>0.0</v>
      </c>
      <c r="AJ67" s="188">
        <v>0.0</v>
      </c>
      <c r="AK67" s="188">
        <v>0.0</v>
      </c>
      <c r="AL67" s="188">
        <v>0.0</v>
      </c>
      <c r="AM67" s="188">
        <v>0.0</v>
      </c>
      <c r="AN67" s="188">
        <v>0.0</v>
      </c>
      <c r="AO67" s="188">
        <v>0.0</v>
      </c>
      <c r="AP67" s="188">
        <v>0.0</v>
      </c>
      <c r="AQ67" s="188">
        <v>0.0</v>
      </c>
      <c r="AR67" s="188">
        <v>0.0</v>
      </c>
      <c r="AS67" s="188">
        <v>0.0</v>
      </c>
      <c r="AT67" s="188">
        <v>0.0</v>
      </c>
      <c r="AU67" s="188">
        <v>0.0</v>
      </c>
      <c r="AV67" s="188">
        <v>0.0</v>
      </c>
      <c r="AW67" s="188">
        <v>0.0</v>
      </c>
      <c r="AX67" s="188">
        <v>0.0</v>
      </c>
      <c r="AY67" s="188">
        <v>0.0</v>
      </c>
      <c r="AZ67" s="188">
        <v>0.0</v>
      </c>
      <c r="BA67" s="188">
        <v>0.0</v>
      </c>
      <c r="BB67" s="188">
        <v>0.0</v>
      </c>
      <c r="BC67" s="188">
        <v>0.0</v>
      </c>
      <c r="BD67" s="188">
        <v>0.0</v>
      </c>
      <c r="BE67" s="188">
        <v>0.0</v>
      </c>
      <c r="BF67" s="188">
        <v>0.0</v>
      </c>
    </row>
    <row r="68">
      <c r="A68" s="188">
        <f t="shared" si="5"/>
        <v>135964</v>
      </c>
      <c r="B68" s="212">
        <f t="shared" si="92"/>
        <v>27924</v>
      </c>
      <c r="C68" s="212">
        <f t="shared" si="108"/>
        <v>27923.12</v>
      </c>
      <c r="D68" s="215">
        <v>46266.0</v>
      </c>
      <c r="E68" s="216">
        <f t="shared" ref="E68:H68" si="150">sumif($J$19:BF67,E$19,$J68:BF68)</f>
        <v>2379.21</v>
      </c>
      <c r="F68" s="216">
        <f t="shared" si="150"/>
        <v>17998.69</v>
      </c>
      <c r="G68" s="216">
        <f t="shared" si="150"/>
        <v>7545.22</v>
      </c>
      <c r="H68" s="216">
        <f t="shared" si="150"/>
        <v>0</v>
      </c>
      <c r="I68" s="202" t="str">
        <f t="shared" si="9"/>
        <v>Future</v>
      </c>
      <c r="J68" s="188">
        <f t="shared" si="142"/>
        <v>12605.29</v>
      </c>
      <c r="K68" s="188"/>
      <c r="L68" s="188">
        <v>5000.0</v>
      </c>
      <c r="M68" s="188">
        <f t="shared" si="62"/>
        <v>4254.87</v>
      </c>
      <c r="N68" s="188">
        <f t="shared" si="88"/>
        <v>2129.09</v>
      </c>
      <c r="O68" s="188"/>
      <c r="P68" s="188"/>
      <c r="Q68" s="188">
        <f t="shared" ref="Q68:U68" si="151">Q$5</f>
        <v>1011.15</v>
      </c>
      <c r="R68" s="188">
        <f t="shared" si="151"/>
        <v>685.37</v>
      </c>
      <c r="S68" s="188">
        <f t="shared" si="151"/>
        <v>490.36</v>
      </c>
      <c r="T68" s="188">
        <f t="shared" si="151"/>
        <v>393.4</v>
      </c>
      <c r="U68" s="188">
        <f t="shared" si="151"/>
        <v>357.35</v>
      </c>
      <c r="V68" s="188"/>
      <c r="W68" s="188">
        <f t="shared" ref="W68:X68" si="152">W$5</f>
        <v>289.56</v>
      </c>
      <c r="X68" s="188">
        <f t="shared" si="152"/>
        <v>250.12</v>
      </c>
      <c r="Y68" s="188"/>
      <c r="Z68" s="188">
        <f t="shared" ref="Z68:AB68" si="153">Z$5</f>
        <v>189.66</v>
      </c>
      <c r="AA68" s="188">
        <f t="shared" si="153"/>
        <v>140.89</v>
      </c>
      <c r="AB68" s="188">
        <f t="shared" si="153"/>
        <v>126.01</v>
      </c>
      <c r="AC68" s="188"/>
      <c r="AE68" s="188">
        <v>0.0</v>
      </c>
      <c r="AF68" s="188">
        <v>0.0</v>
      </c>
      <c r="AG68" s="188">
        <v>0.0</v>
      </c>
      <c r="AH68" s="188">
        <v>0.0</v>
      </c>
      <c r="AI68" s="188">
        <v>0.0</v>
      </c>
      <c r="AJ68" s="188">
        <v>0.0</v>
      </c>
      <c r="AK68" s="188">
        <v>0.0</v>
      </c>
      <c r="AL68" s="188">
        <v>0.0</v>
      </c>
      <c r="AM68" s="188">
        <v>0.0</v>
      </c>
      <c r="AN68" s="188">
        <v>0.0</v>
      </c>
      <c r="AO68" s="188">
        <v>0.0</v>
      </c>
      <c r="AP68" s="188">
        <v>0.0</v>
      </c>
      <c r="AQ68" s="188">
        <v>0.0</v>
      </c>
      <c r="AR68" s="188">
        <v>0.0</v>
      </c>
      <c r="AS68" s="188">
        <v>0.0</v>
      </c>
      <c r="AT68" s="188">
        <v>0.0</v>
      </c>
      <c r="AU68" s="188">
        <v>0.0</v>
      </c>
      <c r="AV68" s="188">
        <v>0.0</v>
      </c>
      <c r="AW68" s="188">
        <v>0.0</v>
      </c>
      <c r="AX68" s="188">
        <v>0.0</v>
      </c>
      <c r="AY68" s="188">
        <v>0.0</v>
      </c>
      <c r="AZ68" s="188">
        <v>0.0</v>
      </c>
      <c r="BA68" s="188">
        <v>0.0</v>
      </c>
      <c r="BB68" s="188">
        <v>0.0</v>
      </c>
      <c r="BC68" s="188">
        <v>0.0</v>
      </c>
      <c r="BD68" s="188">
        <v>0.0</v>
      </c>
      <c r="BE68" s="188">
        <v>0.0</v>
      </c>
      <c r="BF68" s="188">
        <v>0.0</v>
      </c>
    </row>
    <row r="69">
      <c r="A69" s="188">
        <f t="shared" si="5"/>
        <v>113992</v>
      </c>
      <c r="B69" s="212">
        <f t="shared" si="92"/>
        <v>21972</v>
      </c>
      <c r="C69" s="212">
        <f t="shared" si="108"/>
        <v>21971.73</v>
      </c>
      <c r="D69" s="215">
        <v>46296.0</v>
      </c>
      <c r="E69" s="216">
        <f t="shared" ref="E69:H69" si="154">sumif($J$19:BF68,E$19,$J69:BF69)</f>
        <v>2379.21</v>
      </c>
      <c r="F69" s="216">
        <f t="shared" si="154"/>
        <v>17998.69</v>
      </c>
      <c r="G69" s="216">
        <f t="shared" si="154"/>
        <v>1593.83</v>
      </c>
      <c r="H69" s="216">
        <f t="shared" si="154"/>
        <v>0</v>
      </c>
      <c r="I69" s="202" t="str">
        <f t="shared" si="9"/>
        <v>Future</v>
      </c>
      <c r="J69" s="188">
        <f t="shared" si="142"/>
        <v>12605.29</v>
      </c>
      <c r="K69" s="188"/>
      <c r="L69" s="188">
        <v>5000.0</v>
      </c>
      <c r="M69" s="188"/>
      <c r="N69" s="188">
        <f t="shared" si="88"/>
        <v>2129.09</v>
      </c>
      <c r="O69" s="188"/>
      <c r="P69" s="218"/>
      <c r="Q69" s="218"/>
      <c r="R69" s="188"/>
      <c r="S69" s="188">
        <f t="shared" ref="S69:U69" si="155">S$5</f>
        <v>490.36</v>
      </c>
      <c r="T69" s="188">
        <f t="shared" si="155"/>
        <v>393.4</v>
      </c>
      <c r="U69" s="188">
        <f t="shared" si="155"/>
        <v>357.35</v>
      </c>
      <c r="V69" s="188"/>
      <c r="W69" s="188">
        <f t="shared" ref="W69:X69" si="156">W$5</f>
        <v>289.56</v>
      </c>
      <c r="X69" s="188">
        <f t="shared" si="156"/>
        <v>250.12</v>
      </c>
      <c r="Y69" s="188"/>
      <c r="Z69" s="188">
        <f t="shared" ref="Z69:AB69" si="157">Z$5</f>
        <v>189.66</v>
      </c>
      <c r="AA69" s="188">
        <f t="shared" si="157"/>
        <v>140.89</v>
      </c>
      <c r="AB69" s="188">
        <f t="shared" si="157"/>
        <v>126.01</v>
      </c>
      <c r="AC69" s="188"/>
      <c r="AE69" s="188">
        <v>0.0</v>
      </c>
      <c r="AF69" s="188">
        <v>0.0</v>
      </c>
      <c r="AG69" s="188">
        <v>0.0</v>
      </c>
      <c r="AH69" s="188">
        <v>0.0</v>
      </c>
      <c r="AI69" s="188">
        <v>0.0</v>
      </c>
      <c r="AJ69" s="188">
        <v>0.0</v>
      </c>
      <c r="AK69" s="188">
        <v>0.0</v>
      </c>
      <c r="AL69" s="188">
        <v>0.0</v>
      </c>
      <c r="AM69" s="188">
        <v>0.0</v>
      </c>
      <c r="AN69" s="188">
        <v>0.0</v>
      </c>
      <c r="AO69" s="188">
        <v>0.0</v>
      </c>
      <c r="AP69" s="188">
        <v>0.0</v>
      </c>
      <c r="AQ69" s="188">
        <v>0.0</v>
      </c>
      <c r="AR69" s="188">
        <v>0.0</v>
      </c>
      <c r="AS69" s="188">
        <v>0.0</v>
      </c>
      <c r="AT69" s="188">
        <v>0.0</v>
      </c>
      <c r="AU69" s="188">
        <v>0.0</v>
      </c>
      <c r="AV69" s="188">
        <v>0.0</v>
      </c>
      <c r="AW69" s="188">
        <v>0.0</v>
      </c>
      <c r="AX69" s="188">
        <v>0.0</v>
      </c>
      <c r="AY69" s="188">
        <v>0.0</v>
      </c>
      <c r="AZ69" s="188">
        <v>0.0</v>
      </c>
      <c r="BA69" s="188">
        <v>0.0</v>
      </c>
      <c r="BB69" s="188">
        <v>0.0</v>
      </c>
      <c r="BC69" s="188">
        <v>0.0</v>
      </c>
      <c r="BD69" s="188">
        <v>0.0</v>
      </c>
      <c r="BE69" s="188">
        <v>0.0</v>
      </c>
      <c r="BF69" s="188">
        <v>0.0</v>
      </c>
    </row>
    <row r="70">
      <c r="A70" s="188">
        <f t="shared" si="5"/>
        <v>92162</v>
      </c>
      <c r="B70" s="212">
        <f t="shared" si="92"/>
        <v>21831</v>
      </c>
      <c r="C70" s="212">
        <f t="shared" si="108"/>
        <v>21830.84</v>
      </c>
      <c r="D70" s="215">
        <v>46327.0</v>
      </c>
      <c r="E70" s="216">
        <f t="shared" ref="E70:H70" si="158">sumif($J$19:BF69,E$19,$J70:BF70)</f>
        <v>2379.21</v>
      </c>
      <c r="F70" s="216">
        <f t="shared" si="158"/>
        <v>17998.69</v>
      </c>
      <c r="G70" s="216">
        <f t="shared" si="158"/>
        <v>1452.94</v>
      </c>
      <c r="H70" s="216">
        <f t="shared" si="158"/>
        <v>0</v>
      </c>
      <c r="I70" s="202" t="str">
        <f t="shared" si="9"/>
        <v>Future</v>
      </c>
      <c r="J70" s="188">
        <f t="shared" si="142"/>
        <v>12605.29</v>
      </c>
      <c r="K70" s="188"/>
      <c r="L70" s="188">
        <v>5000.0</v>
      </c>
      <c r="M70" s="188"/>
      <c r="N70" s="188">
        <f t="shared" si="88"/>
        <v>2129.09</v>
      </c>
      <c r="O70" s="218"/>
      <c r="P70" s="188"/>
      <c r="Q70" s="188"/>
      <c r="R70" s="188"/>
      <c r="S70" s="188">
        <f t="shared" ref="S70:U70" si="159">S$5</f>
        <v>490.36</v>
      </c>
      <c r="T70" s="188">
        <f t="shared" si="159"/>
        <v>393.4</v>
      </c>
      <c r="U70" s="188">
        <f t="shared" si="159"/>
        <v>357.35</v>
      </c>
      <c r="V70" s="188"/>
      <c r="W70" s="188">
        <f t="shared" ref="W70:X70" si="160">W$5</f>
        <v>289.56</v>
      </c>
      <c r="X70" s="188">
        <f t="shared" si="160"/>
        <v>250.12</v>
      </c>
      <c r="Y70" s="188"/>
      <c r="Z70" s="188">
        <f t="shared" ref="Z70:Z71" si="164">Z$5</f>
        <v>189.66</v>
      </c>
      <c r="AA70" s="188"/>
      <c r="AB70" s="188">
        <f t="shared" ref="AB70:AB71" si="165">AB$5</f>
        <v>126.01</v>
      </c>
      <c r="AC70" s="188"/>
      <c r="AE70" s="188">
        <v>0.0</v>
      </c>
      <c r="AF70" s="188">
        <v>0.0</v>
      </c>
      <c r="AG70" s="188">
        <v>0.0</v>
      </c>
      <c r="AH70" s="188">
        <v>0.0</v>
      </c>
      <c r="AI70" s="188">
        <v>0.0</v>
      </c>
      <c r="AJ70" s="188">
        <v>0.0</v>
      </c>
      <c r="AK70" s="188">
        <v>0.0</v>
      </c>
      <c r="AL70" s="188">
        <v>0.0</v>
      </c>
      <c r="AM70" s="188">
        <v>0.0</v>
      </c>
      <c r="AN70" s="188">
        <v>0.0</v>
      </c>
      <c r="AO70" s="188">
        <v>0.0</v>
      </c>
      <c r="AP70" s="188">
        <v>0.0</v>
      </c>
      <c r="AQ70" s="188">
        <v>0.0</v>
      </c>
      <c r="AR70" s="188">
        <v>0.0</v>
      </c>
      <c r="AS70" s="188">
        <v>0.0</v>
      </c>
      <c r="AT70" s="188">
        <v>0.0</v>
      </c>
      <c r="AU70" s="188">
        <v>0.0</v>
      </c>
      <c r="AV70" s="188">
        <v>0.0</v>
      </c>
      <c r="AW70" s="188">
        <v>0.0</v>
      </c>
      <c r="AX70" s="188">
        <v>0.0</v>
      </c>
      <c r="AY70" s="188">
        <v>0.0</v>
      </c>
      <c r="AZ70" s="188">
        <v>0.0</v>
      </c>
      <c r="BA70" s="188">
        <v>0.0</v>
      </c>
      <c r="BB70" s="188">
        <v>0.0</v>
      </c>
      <c r="BC70" s="188">
        <v>0.0</v>
      </c>
      <c r="BD70" s="188">
        <v>0.0</v>
      </c>
      <c r="BE70" s="188">
        <v>0.0</v>
      </c>
      <c r="BF70" s="188">
        <v>0.0</v>
      </c>
    </row>
    <row r="71">
      <c r="A71" s="188">
        <f t="shared" si="5"/>
        <v>70331</v>
      </c>
      <c r="B71" s="212">
        <f t="shared" si="92"/>
        <v>21831</v>
      </c>
      <c r="C71" s="212">
        <f t="shared" si="108"/>
        <v>21830.84</v>
      </c>
      <c r="D71" s="215">
        <v>46357.0</v>
      </c>
      <c r="E71" s="216">
        <f t="shared" ref="E71:H71" si="161">sumif($J$19:BF70,E$19,$J71:BF71)</f>
        <v>2379.21</v>
      </c>
      <c r="F71" s="216">
        <f t="shared" si="161"/>
        <v>17998.69</v>
      </c>
      <c r="G71" s="216">
        <f t="shared" si="161"/>
        <v>1452.94</v>
      </c>
      <c r="H71" s="216">
        <f t="shared" si="161"/>
        <v>0</v>
      </c>
      <c r="I71" s="202" t="str">
        <f t="shared" si="9"/>
        <v>Future</v>
      </c>
      <c r="J71" s="188">
        <f t="shared" si="142"/>
        <v>12605.29</v>
      </c>
      <c r="K71" s="188"/>
      <c r="L71" s="188">
        <v>5000.0</v>
      </c>
      <c r="M71" s="188"/>
      <c r="N71" s="188">
        <f t="shared" si="88"/>
        <v>2129.09</v>
      </c>
      <c r="O71" s="188"/>
      <c r="P71" s="188"/>
      <c r="Q71" s="188"/>
      <c r="R71" s="188"/>
      <c r="S71" s="188">
        <f t="shared" ref="S71:U71" si="162">S$5</f>
        <v>490.36</v>
      </c>
      <c r="T71" s="188">
        <f t="shared" si="162"/>
        <v>393.4</v>
      </c>
      <c r="U71" s="188">
        <f t="shared" si="162"/>
        <v>357.35</v>
      </c>
      <c r="V71" s="188"/>
      <c r="W71" s="188">
        <f t="shared" ref="W71:X71" si="163">W$5</f>
        <v>289.56</v>
      </c>
      <c r="X71" s="188">
        <f t="shared" si="163"/>
        <v>250.12</v>
      </c>
      <c r="Y71" s="188"/>
      <c r="Z71" s="188">
        <f t="shared" si="164"/>
        <v>189.66</v>
      </c>
      <c r="AA71" s="188"/>
      <c r="AB71" s="188">
        <f t="shared" si="165"/>
        <v>126.01</v>
      </c>
      <c r="AC71" s="188"/>
      <c r="AE71" s="188">
        <v>0.0</v>
      </c>
      <c r="AF71" s="188">
        <v>0.0</v>
      </c>
      <c r="AG71" s="188">
        <v>0.0</v>
      </c>
      <c r="AH71" s="188">
        <v>0.0</v>
      </c>
      <c r="AI71" s="188">
        <v>0.0</v>
      </c>
      <c r="AJ71" s="188">
        <v>0.0</v>
      </c>
      <c r="AK71" s="188">
        <v>0.0</v>
      </c>
      <c r="AL71" s="188">
        <v>0.0</v>
      </c>
      <c r="AM71" s="188">
        <v>0.0</v>
      </c>
      <c r="AN71" s="188">
        <v>0.0</v>
      </c>
      <c r="AO71" s="188">
        <v>0.0</v>
      </c>
      <c r="AP71" s="188">
        <v>0.0</v>
      </c>
      <c r="AQ71" s="188">
        <v>0.0</v>
      </c>
      <c r="AR71" s="188">
        <v>0.0</v>
      </c>
      <c r="AS71" s="188">
        <v>0.0</v>
      </c>
      <c r="AT71" s="188">
        <v>0.0</v>
      </c>
      <c r="AU71" s="188">
        <v>0.0</v>
      </c>
      <c r="AV71" s="188">
        <v>0.0</v>
      </c>
      <c r="AW71" s="188">
        <v>0.0</v>
      </c>
      <c r="AX71" s="188">
        <v>0.0</v>
      </c>
      <c r="AY71" s="188">
        <v>0.0</v>
      </c>
      <c r="AZ71" s="188">
        <v>0.0</v>
      </c>
      <c r="BA71" s="188">
        <v>0.0</v>
      </c>
      <c r="BB71" s="188">
        <v>0.0</v>
      </c>
      <c r="BC71" s="188">
        <v>0.0</v>
      </c>
      <c r="BD71" s="188">
        <v>0.0</v>
      </c>
      <c r="BE71" s="188">
        <v>0.0</v>
      </c>
      <c r="BF71" s="188">
        <v>0.0</v>
      </c>
    </row>
    <row r="72">
      <c r="A72" s="188">
        <f t="shared" si="5"/>
        <v>62844</v>
      </c>
      <c r="B72" s="212">
        <f t="shared" si="92"/>
        <v>7487</v>
      </c>
      <c r="C72" s="212">
        <f t="shared" si="108"/>
        <v>7486.44</v>
      </c>
      <c r="D72" s="215">
        <v>46388.0</v>
      </c>
      <c r="E72" s="216">
        <f t="shared" ref="E72:H72" si="166">sumif($J$19:BF71,E$19,$J72:BF72)</f>
        <v>2129.09</v>
      </c>
      <c r="F72" s="216">
        <f t="shared" si="166"/>
        <v>5000</v>
      </c>
      <c r="G72" s="216">
        <f t="shared" si="166"/>
        <v>357.35</v>
      </c>
      <c r="H72" s="216">
        <f t="shared" si="166"/>
        <v>0</v>
      </c>
      <c r="I72" s="202" t="str">
        <f t="shared" si="9"/>
        <v>Future</v>
      </c>
      <c r="J72" s="218"/>
      <c r="K72" s="218"/>
      <c r="L72" s="188">
        <v>5000.0</v>
      </c>
      <c r="M72" s="218"/>
      <c r="N72" s="188">
        <f t="shared" si="88"/>
        <v>2129.09</v>
      </c>
      <c r="O72" s="188"/>
      <c r="P72" s="188"/>
      <c r="Q72" s="188"/>
      <c r="R72" s="188"/>
      <c r="S72" s="188"/>
      <c r="T72" s="188"/>
      <c r="U72" s="188">
        <f t="shared" ref="U72:U74" si="168">U$5</f>
        <v>357.35</v>
      </c>
      <c r="V72" s="188"/>
      <c r="W72" s="188"/>
      <c r="X72" s="188"/>
      <c r="Y72" s="188"/>
      <c r="Z72" s="188"/>
      <c r="AA72" s="188"/>
      <c r="AB72" s="188"/>
      <c r="AC72" s="188"/>
      <c r="AE72" s="188">
        <v>0.0</v>
      </c>
      <c r="AF72" s="188">
        <v>0.0</v>
      </c>
      <c r="AG72" s="188">
        <v>0.0</v>
      </c>
      <c r="AH72" s="188">
        <v>0.0</v>
      </c>
      <c r="AI72" s="188">
        <v>0.0</v>
      </c>
      <c r="AJ72" s="188">
        <v>0.0</v>
      </c>
      <c r="AK72" s="188">
        <v>0.0</v>
      </c>
      <c r="AL72" s="188">
        <v>0.0</v>
      </c>
      <c r="AM72" s="188">
        <v>0.0</v>
      </c>
      <c r="AN72" s="188">
        <v>0.0</v>
      </c>
      <c r="AO72" s="188">
        <v>0.0</v>
      </c>
      <c r="AP72" s="188">
        <v>0.0</v>
      </c>
      <c r="AQ72" s="188">
        <v>0.0</v>
      </c>
      <c r="AR72" s="188">
        <v>0.0</v>
      </c>
      <c r="AS72" s="188">
        <v>0.0</v>
      </c>
      <c r="AT72" s="188">
        <v>0.0</v>
      </c>
      <c r="AU72" s="188">
        <v>0.0</v>
      </c>
      <c r="AV72" s="188">
        <v>0.0</v>
      </c>
      <c r="AW72" s="188">
        <v>0.0</v>
      </c>
      <c r="AX72" s="188">
        <v>0.0</v>
      </c>
      <c r="AY72" s="188">
        <v>0.0</v>
      </c>
      <c r="AZ72" s="188">
        <v>0.0</v>
      </c>
      <c r="BA72" s="188">
        <v>0.0</v>
      </c>
      <c r="BB72" s="188">
        <v>0.0</v>
      </c>
      <c r="BC72" s="188">
        <v>0.0</v>
      </c>
      <c r="BD72" s="188">
        <v>0.0</v>
      </c>
      <c r="BE72" s="188">
        <v>0.0</v>
      </c>
      <c r="BF72" s="188">
        <v>0.0</v>
      </c>
    </row>
    <row r="73">
      <c r="A73" s="188">
        <f t="shared" si="5"/>
        <v>55358</v>
      </c>
      <c r="B73" s="212">
        <f t="shared" si="92"/>
        <v>7487</v>
      </c>
      <c r="C73" s="212">
        <f t="shared" si="108"/>
        <v>7486.44</v>
      </c>
      <c r="D73" s="215">
        <v>46419.0</v>
      </c>
      <c r="E73" s="216">
        <f t="shared" ref="E73:H73" si="167">sumif($J$19:BF72,E$19,$J73:BF73)</f>
        <v>2129.09</v>
      </c>
      <c r="F73" s="216">
        <f t="shared" si="167"/>
        <v>5000</v>
      </c>
      <c r="G73" s="216">
        <f t="shared" si="167"/>
        <v>357.35</v>
      </c>
      <c r="H73" s="216">
        <f t="shared" si="167"/>
        <v>0</v>
      </c>
      <c r="I73" s="202" t="str">
        <f t="shared" si="9"/>
        <v>Future</v>
      </c>
      <c r="J73" s="188"/>
      <c r="K73" s="188"/>
      <c r="L73" s="188">
        <v>5000.0</v>
      </c>
      <c r="M73" s="188"/>
      <c r="N73" s="188">
        <f t="shared" si="88"/>
        <v>2129.09</v>
      </c>
      <c r="O73" s="188"/>
      <c r="P73" s="188"/>
      <c r="Q73" s="188"/>
      <c r="R73" s="188"/>
      <c r="S73" s="188"/>
      <c r="T73" s="188"/>
      <c r="U73" s="188">
        <f t="shared" si="168"/>
        <v>357.35</v>
      </c>
      <c r="V73" s="188"/>
      <c r="W73" s="188"/>
      <c r="X73" s="188"/>
      <c r="Y73" s="188"/>
      <c r="Z73" s="188"/>
      <c r="AA73" s="188"/>
      <c r="AB73" s="188"/>
      <c r="AC73" s="188"/>
      <c r="AE73" s="188">
        <v>0.0</v>
      </c>
      <c r="AF73" s="188">
        <v>0.0</v>
      </c>
      <c r="AG73" s="188">
        <v>0.0</v>
      </c>
      <c r="AH73" s="188">
        <v>0.0</v>
      </c>
      <c r="AI73" s="188">
        <v>0.0</v>
      </c>
      <c r="AJ73" s="188">
        <v>0.0</v>
      </c>
      <c r="AK73" s="188">
        <v>0.0</v>
      </c>
      <c r="AL73" s="188">
        <v>0.0</v>
      </c>
      <c r="AM73" s="188">
        <v>0.0</v>
      </c>
      <c r="AN73" s="188">
        <v>0.0</v>
      </c>
      <c r="AO73" s="188">
        <v>0.0</v>
      </c>
      <c r="AP73" s="188">
        <v>0.0</v>
      </c>
      <c r="AQ73" s="188">
        <v>0.0</v>
      </c>
      <c r="AR73" s="188">
        <v>0.0</v>
      </c>
      <c r="AS73" s="188">
        <v>0.0</v>
      </c>
      <c r="AT73" s="188">
        <v>0.0</v>
      </c>
      <c r="AU73" s="188">
        <v>0.0</v>
      </c>
      <c r="AV73" s="188">
        <v>0.0</v>
      </c>
      <c r="AW73" s="188">
        <v>0.0</v>
      </c>
      <c r="AX73" s="188">
        <v>0.0</v>
      </c>
      <c r="AY73" s="188">
        <v>0.0</v>
      </c>
      <c r="AZ73" s="188">
        <v>0.0</v>
      </c>
      <c r="BA73" s="188">
        <v>0.0</v>
      </c>
      <c r="BB73" s="188">
        <v>0.0</v>
      </c>
      <c r="BC73" s="188">
        <v>0.0</v>
      </c>
      <c r="BD73" s="188">
        <v>0.0</v>
      </c>
      <c r="BE73" s="188">
        <v>0.0</v>
      </c>
      <c r="BF73" s="188">
        <v>0.0</v>
      </c>
    </row>
    <row r="74">
      <c r="A74" s="188">
        <f t="shared" si="5"/>
        <v>25000</v>
      </c>
      <c r="B74" s="212">
        <f t="shared" si="92"/>
        <v>30358</v>
      </c>
      <c r="C74" s="212">
        <f t="shared" si="108"/>
        <v>30357.35</v>
      </c>
      <c r="D74" s="215">
        <v>46447.0</v>
      </c>
      <c r="E74" s="216">
        <f t="shared" ref="E74:H74" si="169">sumif($J$19:BF73,E$19,$J74:BF74)</f>
        <v>25000</v>
      </c>
      <c r="F74" s="216">
        <f t="shared" si="169"/>
        <v>5000</v>
      </c>
      <c r="G74" s="216">
        <f t="shared" si="169"/>
        <v>357.35</v>
      </c>
      <c r="H74" s="216">
        <f t="shared" si="169"/>
        <v>0</v>
      </c>
      <c r="I74" s="202" t="str">
        <f t="shared" si="9"/>
        <v>Future</v>
      </c>
      <c r="J74" s="188"/>
      <c r="K74" s="188"/>
      <c r="L74" s="188">
        <v>5000.0</v>
      </c>
      <c r="M74" s="188"/>
      <c r="N74" s="188">
        <v>25000.0</v>
      </c>
      <c r="O74" s="188"/>
      <c r="P74" s="188"/>
      <c r="Q74" s="188"/>
      <c r="R74" s="188"/>
      <c r="S74" s="188"/>
      <c r="T74" s="188"/>
      <c r="U74" s="188">
        <f t="shared" si="168"/>
        <v>357.35</v>
      </c>
      <c r="V74" s="188"/>
      <c r="W74" s="188"/>
      <c r="X74" s="188"/>
      <c r="Y74" s="188"/>
      <c r="Z74" s="188"/>
      <c r="AA74" s="188"/>
      <c r="AB74" s="188"/>
      <c r="AC74" s="188"/>
      <c r="AE74" s="188">
        <v>0.0</v>
      </c>
      <c r="AF74" s="188">
        <v>0.0</v>
      </c>
      <c r="AG74" s="188">
        <v>0.0</v>
      </c>
      <c r="AH74" s="188">
        <v>0.0</v>
      </c>
      <c r="AI74" s="188">
        <v>0.0</v>
      </c>
      <c r="AJ74" s="188">
        <v>0.0</v>
      </c>
      <c r="AK74" s="188">
        <v>0.0</v>
      </c>
      <c r="AL74" s="188">
        <v>0.0</v>
      </c>
      <c r="AM74" s="188">
        <v>0.0</v>
      </c>
      <c r="AN74" s="188">
        <v>0.0</v>
      </c>
      <c r="AO74" s="188">
        <v>0.0</v>
      </c>
      <c r="AP74" s="188">
        <v>0.0</v>
      </c>
      <c r="AQ74" s="188">
        <v>0.0</v>
      </c>
      <c r="AR74" s="188">
        <v>0.0</v>
      </c>
      <c r="AS74" s="188">
        <v>0.0</v>
      </c>
      <c r="AT74" s="188">
        <v>0.0</v>
      </c>
      <c r="AU74" s="188">
        <v>0.0</v>
      </c>
      <c r="AV74" s="188">
        <v>0.0</v>
      </c>
      <c r="AW74" s="188">
        <v>0.0</v>
      </c>
      <c r="AX74" s="188">
        <v>0.0</v>
      </c>
      <c r="AY74" s="188">
        <v>0.0</v>
      </c>
      <c r="AZ74" s="188">
        <v>0.0</v>
      </c>
      <c r="BA74" s="188">
        <v>0.0</v>
      </c>
      <c r="BB74" s="188">
        <v>0.0</v>
      </c>
      <c r="BC74" s="188">
        <v>0.0</v>
      </c>
      <c r="BD74" s="188">
        <v>0.0</v>
      </c>
      <c r="BE74" s="188">
        <v>0.0</v>
      </c>
      <c r="BF74" s="188">
        <v>0.0</v>
      </c>
    </row>
    <row r="75">
      <c r="A75" s="188">
        <f t="shared" si="5"/>
        <v>20000</v>
      </c>
      <c r="B75" s="212">
        <f t="shared" si="92"/>
        <v>5000</v>
      </c>
      <c r="C75" s="212">
        <f t="shared" si="108"/>
        <v>5000</v>
      </c>
      <c r="D75" s="215">
        <v>46478.0</v>
      </c>
      <c r="E75" s="216">
        <f t="shared" ref="E75:H75" si="170">sumif($J$19:BF74,E$19,$J75:BF75)</f>
        <v>0</v>
      </c>
      <c r="F75" s="216">
        <f t="shared" si="170"/>
        <v>5000</v>
      </c>
      <c r="G75" s="216">
        <f t="shared" si="170"/>
        <v>0</v>
      </c>
      <c r="H75" s="216">
        <f t="shared" si="170"/>
        <v>0</v>
      </c>
      <c r="I75" s="202" t="str">
        <f t="shared" si="9"/>
        <v>Future</v>
      </c>
      <c r="J75" s="188"/>
      <c r="K75" s="188"/>
      <c r="L75" s="188">
        <v>5000.0</v>
      </c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E75" s="188">
        <v>0.0</v>
      </c>
      <c r="AF75" s="188">
        <v>0.0</v>
      </c>
      <c r="AG75" s="188">
        <v>0.0</v>
      </c>
      <c r="AH75" s="188">
        <v>0.0</v>
      </c>
      <c r="AI75" s="188">
        <v>0.0</v>
      </c>
      <c r="AJ75" s="188">
        <v>0.0</v>
      </c>
      <c r="AK75" s="188">
        <v>0.0</v>
      </c>
      <c r="AL75" s="188">
        <v>0.0</v>
      </c>
      <c r="AM75" s="188">
        <v>0.0</v>
      </c>
      <c r="AN75" s="188">
        <v>0.0</v>
      </c>
      <c r="AO75" s="188">
        <v>0.0</v>
      </c>
      <c r="AP75" s="188">
        <v>0.0</v>
      </c>
      <c r="AQ75" s="188">
        <v>0.0</v>
      </c>
      <c r="AR75" s="188">
        <v>0.0</v>
      </c>
      <c r="AS75" s="188">
        <v>0.0</v>
      </c>
      <c r="AT75" s="188">
        <v>0.0</v>
      </c>
      <c r="AU75" s="188">
        <v>0.0</v>
      </c>
      <c r="AV75" s="188">
        <v>0.0</v>
      </c>
      <c r="AW75" s="188">
        <v>0.0</v>
      </c>
      <c r="AX75" s="188">
        <v>0.0</v>
      </c>
      <c r="AY75" s="188">
        <v>0.0</v>
      </c>
      <c r="AZ75" s="188">
        <v>0.0</v>
      </c>
      <c r="BA75" s="188">
        <v>0.0</v>
      </c>
      <c r="BB75" s="188">
        <v>0.0</v>
      </c>
      <c r="BC75" s="188">
        <v>0.0</v>
      </c>
      <c r="BD75" s="188">
        <v>0.0</v>
      </c>
      <c r="BE75" s="188">
        <v>0.0</v>
      </c>
      <c r="BF75" s="188">
        <v>0.0</v>
      </c>
    </row>
    <row r="76">
      <c r="A76" s="188">
        <f t="shared" si="5"/>
        <v>15000</v>
      </c>
      <c r="B76" s="212">
        <f t="shared" si="92"/>
        <v>5000</v>
      </c>
      <c r="C76" s="212">
        <f t="shared" si="108"/>
        <v>5000</v>
      </c>
      <c r="D76" s="215">
        <v>46508.0</v>
      </c>
      <c r="E76" s="216">
        <f t="shared" ref="E76:H76" si="171">sumif($J$19:BF75,E$19,$J76:BF76)</f>
        <v>0</v>
      </c>
      <c r="F76" s="216">
        <f t="shared" si="171"/>
        <v>5000</v>
      </c>
      <c r="G76" s="216">
        <f t="shared" si="171"/>
        <v>0</v>
      </c>
      <c r="H76" s="216">
        <f t="shared" si="171"/>
        <v>0</v>
      </c>
      <c r="I76" s="202" t="str">
        <f t="shared" si="9"/>
        <v>Future</v>
      </c>
      <c r="J76" s="188"/>
      <c r="K76" s="188"/>
      <c r="L76" s="188">
        <v>5000.0</v>
      </c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E76" s="188">
        <v>0.0</v>
      </c>
      <c r="AF76" s="188">
        <v>0.0</v>
      </c>
      <c r="AG76" s="188">
        <v>0.0</v>
      </c>
      <c r="AH76" s="188">
        <v>0.0</v>
      </c>
      <c r="AI76" s="188">
        <v>0.0</v>
      </c>
      <c r="AJ76" s="188">
        <v>0.0</v>
      </c>
      <c r="AK76" s="188">
        <v>0.0</v>
      </c>
      <c r="AL76" s="188">
        <v>0.0</v>
      </c>
      <c r="AM76" s="188">
        <v>0.0</v>
      </c>
      <c r="AN76" s="188">
        <v>0.0</v>
      </c>
      <c r="AO76" s="188">
        <v>0.0</v>
      </c>
      <c r="AP76" s="188">
        <v>0.0</v>
      </c>
      <c r="AQ76" s="188">
        <v>0.0</v>
      </c>
      <c r="AR76" s="188">
        <v>0.0</v>
      </c>
      <c r="AS76" s="188">
        <v>0.0</v>
      </c>
      <c r="AT76" s="188">
        <v>0.0</v>
      </c>
      <c r="AU76" s="188">
        <v>0.0</v>
      </c>
      <c r="AV76" s="188">
        <v>0.0</v>
      </c>
      <c r="AW76" s="188">
        <v>0.0</v>
      </c>
      <c r="AX76" s="188">
        <v>0.0</v>
      </c>
      <c r="AY76" s="188">
        <v>0.0</v>
      </c>
      <c r="AZ76" s="188">
        <v>0.0</v>
      </c>
      <c r="BA76" s="188">
        <v>0.0</v>
      </c>
      <c r="BB76" s="188">
        <v>0.0</v>
      </c>
      <c r="BC76" s="188">
        <v>0.0</v>
      </c>
      <c r="BD76" s="188">
        <v>0.0</v>
      </c>
      <c r="BE76" s="188">
        <v>0.0</v>
      </c>
      <c r="BF76" s="188">
        <v>0.0</v>
      </c>
    </row>
    <row r="77">
      <c r="A77" s="188">
        <f t="shared" si="5"/>
        <v>10000</v>
      </c>
      <c r="B77" s="212">
        <f t="shared" si="92"/>
        <v>5000</v>
      </c>
      <c r="C77" s="212">
        <f t="shared" si="108"/>
        <v>5000</v>
      </c>
      <c r="D77" s="215">
        <v>46539.0</v>
      </c>
      <c r="E77" s="216">
        <f t="shared" ref="E77:H77" si="172">sumif($J$19:BF76,E$19,$J77:BF77)</f>
        <v>0</v>
      </c>
      <c r="F77" s="216">
        <f t="shared" si="172"/>
        <v>5000</v>
      </c>
      <c r="G77" s="216">
        <f t="shared" si="172"/>
        <v>0</v>
      </c>
      <c r="H77" s="216">
        <f t="shared" si="172"/>
        <v>0</v>
      </c>
      <c r="I77" s="202" t="str">
        <f t="shared" si="9"/>
        <v>Future</v>
      </c>
      <c r="J77" s="188"/>
      <c r="K77" s="188"/>
      <c r="L77" s="188">
        <v>5000.0</v>
      </c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E77" s="188">
        <v>0.0</v>
      </c>
      <c r="AF77" s="188">
        <v>0.0</v>
      </c>
      <c r="AG77" s="188">
        <v>0.0</v>
      </c>
      <c r="AH77" s="188">
        <v>0.0</v>
      </c>
      <c r="AI77" s="188">
        <v>0.0</v>
      </c>
      <c r="AJ77" s="188">
        <v>0.0</v>
      </c>
      <c r="AK77" s="188">
        <v>0.0</v>
      </c>
      <c r="AL77" s="188">
        <v>0.0</v>
      </c>
      <c r="AM77" s="188">
        <v>0.0</v>
      </c>
      <c r="AN77" s="188">
        <v>0.0</v>
      </c>
      <c r="AO77" s="188">
        <v>0.0</v>
      </c>
      <c r="AP77" s="188">
        <v>0.0</v>
      </c>
      <c r="AQ77" s="188">
        <v>0.0</v>
      </c>
      <c r="AR77" s="188">
        <v>0.0</v>
      </c>
      <c r="AS77" s="188">
        <v>0.0</v>
      </c>
      <c r="AT77" s="188">
        <v>0.0</v>
      </c>
      <c r="AU77" s="188">
        <v>0.0</v>
      </c>
      <c r="AV77" s="188">
        <v>0.0</v>
      </c>
      <c r="AW77" s="188">
        <v>0.0</v>
      </c>
      <c r="AX77" s="188">
        <v>0.0</v>
      </c>
      <c r="AY77" s="188">
        <v>0.0</v>
      </c>
      <c r="AZ77" s="188">
        <v>0.0</v>
      </c>
      <c r="BA77" s="188">
        <v>0.0</v>
      </c>
      <c r="BB77" s="188">
        <v>0.0</v>
      </c>
      <c r="BC77" s="188">
        <v>0.0</v>
      </c>
      <c r="BD77" s="188">
        <v>0.0</v>
      </c>
      <c r="BE77" s="188">
        <v>0.0</v>
      </c>
      <c r="BF77" s="188">
        <v>0.0</v>
      </c>
    </row>
    <row r="78">
      <c r="A78" s="188">
        <f t="shared" si="5"/>
        <v>5000</v>
      </c>
      <c r="B78" s="212">
        <f t="shared" si="92"/>
        <v>5000</v>
      </c>
      <c r="C78" s="212">
        <f t="shared" si="108"/>
        <v>5000</v>
      </c>
      <c r="D78" s="215">
        <v>46569.0</v>
      </c>
      <c r="E78" s="216">
        <f t="shared" ref="E78:H78" si="173">sumif($J$19:BF77,E$19,$J78:BF78)</f>
        <v>0</v>
      </c>
      <c r="F78" s="216">
        <f t="shared" si="173"/>
        <v>5000</v>
      </c>
      <c r="G78" s="216">
        <f t="shared" si="173"/>
        <v>0</v>
      </c>
      <c r="H78" s="216">
        <f t="shared" si="173"/>
        <v>0</v>
      </c>
      <c r="I78" s="202" t="str">
        <f t="shared" si="9"/>
        <v>Future</v>
      </c>
      <c r="J78" s="188"/>
      <c r="K78" s="188"/>
      <c r="L78" s="188">
        <v>5000.0</v>
      </c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E78" s="188">
        <v>0.0</v>
      </c>
      <c r="AF78" s="188">
        <v>0.0</v>
      </c>
      <c r="AG78" s="188">
        <v>0.0</v>
      </c>
      <c r="AH78" s="188">
        <v>0.0</v>
      </c>
      <c r="AI78" s="188">
        <v>0.0</v>
      </c>
      <c r="AJ78" s="188">
        <v>0.0</v>
      </c>
      <c r="AK78" s="188">
        <v>0.0</v>
      </c>
      <c r="AL78" s="188">
        <v>0.0</v>
      </c>
      <c r="AM78" s="188">
        <v>0.0</v>
      </c>
      <c r="AN78" s="188">
        <v>0.0</v>
      </c>
      <c r="AO78" s="188">
        <v>0.0</v>
      </c>
      <c r="AP78" s="188">
        <v>0.0</v>
      </c>
      <c r="AQ78" s="188">
        <v>0.0</v>
      </c>
      <c r="AR78" s="188">
        <v>0.0</v>
      </c>
      <c r="AS78" s="188">
        <v>0.0</v>
      </c>
      <c r="AT78" s="188">
        <v>0.0</v>
      </c>
      <c r="AU78" s="188">
        <v>0.0</v>
      </c>
      <c r="AV78" s="188">
        <v>0.0</v>
      </c>
      <c r="AW78" s="188">
        <v>0.0</v>
      </c>
      <c r="AX78" s="188">
        <v>0.0</v>
      </c>
      <c r="AY78" s="188">
        <v>0.0</v>
      </c>
      <c r="AZ78" s="188">
        <v>0.0</v>
      </c>
      <c r="BA78" s="188">
        <v>0.0</v>
      </c>
      <c r="BB78" s="188">
        <v>0.0</v>
      </c>
      <c r="BC78" s="188">
        <v>0.0</v>
      </c>
      <c r="BD78" s="188">
        <v>0.0</v>
      </c>
      <c r="BE78" s="188">
        <v>0.0</v>
      </c>
      <c r="BF78" s="188">
        <v>0.0</v>
      </c>
    </row>
    <row r="79">
      <c r="A79" s="188">
        <f t="shared" si="5"/>
        <v>0</v>
      </c>
      <c r="B79" s="212">
        <f t="shared" si="92"/>
        <v>5000</v>
      </c>
      <c r="C79" s="212">
        <f t="shared" si="108"/>
        <v>5000</v>
      </c>
      <c r="D79" s="215">
        <v>46600.0</v>
      </c>
      <c r="E79" s="216">
        <f t="shared" ref="E79:H79" si="174">sumif($J$19:BF78,E$19,$J79:BF79)</f>
        <v>0</v>
      </c>
      <c r="F79" s="216">
        <f t="shared" si="174"/>
        <v>5000</v>
      </c>
      <c r="G79" s="216">
        <f t="shared" si="174"/>
        <v>0</v>
      </c>
      <c r="H79" s="216">
        <f t="shared" si="174"/>
        <v>0</v>
      </c>
      <c r="I79" s="202" t="str">
        <f t="shared" si="9"/>
        <v>Future</v>
      </c>
      <c r="J79" s="188"/>
      <c r="K79" s="188"/>
      <c r="L79" s="188">
        <v>5000.0</v>
      </c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E79" s="188">
        <v>0.0</v>
      </c>
      <c r="AF79" s="188">
        <v>0.0</v>
      </c>
      <c r="AG79" s="188">
        <v>0.0</v>
      </c>
      <c r="AH79" s="188">
        <v>0.0</v>
      </c>
      <c r="AI79" s="188">
        <v>0.0</v>
      </c>
      <c r="AJ79" s="188">
        <v>0.0</v>
      </c>
      <c r="AK79" s="188">
        <v>0.0</v>
      </c>
      <c r="AL79" s="188">
        <v>0.0</v>
      </c>
      <c r="AM79" s="188">
        <v>0.0</v>
      </c>
      <c r="AN79" s="188">
        <v>0.0</v>
      </c>
      <c r="AO79" s="188">
        <v>0.0</v>
      </c>
      <c r="AP79" s="188">
        <v>0.0</v>
      </c>
      <c r="AQ79" s="188">
        <v>0.0</v>
      </c>
      <c r="AR79" s="188">
        <v>0.0</v>
      </c>
      <c r="AS79" s="188">
        <v>0.0</v>
      </c>
      <c r="AT79" s="188">
        <v>0.0</v>
      </c>
      <c r="AU79" s="188">
        <v>0.0</v>
      </c>
      <c r="AV79" s="188">
        <v>0.0</v>
      </c>
      <c r="AW79" s="188">
        <v>0.0</v>
      </c>
      <c r="AX79" s="188">
        <v>0.0</v>
      </c>
      <c r="AY79" s="188">
        <v>0.0</v>
      </c>
      <c r="AZ79" s="188">
        <v>0.0</v>
      </c>
      <c r="BA79" s="188">
        <v>0.0</v>
      </c>
      <c r="BB79" s="188">
        <v>0.0</v>
      </c>
      <c r="BC79" s="188">
        <v>0.0</v>
      </c>
      <c r="BD79" s="188">
        <v>0.0</v>
      </c>
      <c r="BE79" s="188">
        <v>0.0</v>
      </c>
      <c r="BF79" s="188">
        <v>0.0</v>
      </c>
    </row>
    <row r="80">
      <c r="A80" s="188">
        <f t="shared" si="5"/>
        <v>0</v>
      </c>
      <c r="B80" s="212">
        <f t="shared" si="92"/>
        <v>0</v>
      </c>
      <c r="C80" s="212">
        <f t="shared" si="108"/>
        <v>0</v>
      </c>
      <c r="D80" s="215">
        <v>46631.0</v>
      </c>
      <c r="E80" s="216">
        <f t="shared" ref="E80:H80" si="175">sumif($J$19:BF79,E$19,$J80:BF80)</f>
        <v>0</v>
      </c>
      <c r="F80" s="216">
        <f t="shared" si="175"/>
        <v>0</v>
      </c>
      <c r="G80" s="216">
        <f t="shared" si="175"/>
        <v>0</v>
      </c>
      <c r="H80" s="216">
        <f t="shared" si="175"/>
        <v>0</v>
      </c>
      <c r="I80" s="202" t="str">
        <f t="shared" si="9"/>
        <v>Future</v>
      </c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E80" s="188">
        <v>0.0</v>
      </c>
      <c r="AF80" s="188">
        <v>0.0</v>
      </c>
      <c r="AG80" s="188">
        <v>0.0</v>
      </c>
      <c r="AH80" s="188">
        <v>0.0</v>
      </c>
      <c r="AI80" s="188">
        <v>0.0</v>
      </c>
      <c r="AJ80" s="188">
        <v>0.0</v>
      </c>
      <c r="AK80" s="188">
        <v>0.0</v>
      </c>
      <c r="AL80" s="188">
        <v>0.0</v>
      </c>
      <c r="AM80" s="188">
        <v>0.0</v>
      </c>
      <c r="AN80" s="188">
        <v>0.0</v>
      </c>
      <c r="AO80" s="188">
        <v>0.0</v>
      </c>
      <c r="AP80" s="188">
        <v>0.0</v>
      </c>
      <c r="AQ80" s="188">
        <v>0.0</v>
      </c>
      <c r="AR80" s="188">
        <v>0.0</v>
      </c>
      <c r="AS80" s="188">
        <v>0.0</v>
      </c>
      <c r="AT80" s="188">
        <v>0.0</v>
      </c>
      <c r="AU80" s="188">
        <v>0.0</v>
      </c>
      <c r="AV80" s="188">
        <v>0.0</v>
      </c>
      <c r="AW80" s="188">
        <v>0.0</v>
      </c>
      <c r="AX80" s="188">
        <v>0.0</v>
      </c>
      <c r="AY80" s="188">
        <v>0.0</v>
      </c>
      <c r="AZ80" s="188">
        <v>0.0</v>
      </c>
      <c r="BA80" s="188">
        <v>0.0</v>
      </c>
      <c r="BB80" s="188">
        <v>0.0</v>
      </c>
      <c r="BC80" s="188">
        <v>0.0</v>
      </c>
      <c r="BD80" s="188">
        <v>0.0</v>
      </c>
      <c r="BE80" s="188">
        <v>0.0</v>
      </c>
      <c r="BF80" s="188">
        <v>0.0</v>
      </c>
    </row>
    <row r="81">
      <c r="A81" s="188">
        <f t="shared" si="5"/>
        <v>0</v>
      </c>
      <c r="B81" s="212">
        <f t="shared" si="92"/>
        <v>0</v>
      </c>
      <c r="C81" s="212">
        <f t="shared" si="108"/>
        <v>0</v>
      </c>
      <c r="D81" s="215">
        <v>46661.0</v>
      </c>
      <c r="E81" s="216">
        <f t="shared" ref="E81:H81" si="176">sumif($J$19:BF80,E$19,$J81:BF81)</f>
        <v>0</v>
      </c>
      <c r="F81" s="216">
        <f t="shared" si="176"/>
        <v>0</v>
      </c>
      <c r="G81" s="216">
        <f t="shared" si="176"/>
        <v>0</v>
      </c>
      <c r="H81" s="216">
        <f t="shared" si="176"/>
        <v>0</v>
      </c>
      <c r="I81" s="202" t="str">
        <f t="shared" si="9"/>
        <v>Future</v>
      </c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E81" s="188">
        <v>0.0</v>
      </c>
      <c r="AF81" s="188">
        <v>0.0</v>
      </c>
      <c r="AG81" s="188">
        <v>0.0</v>
      </c>
      <c r="AH81" s="188">
        <v>0.0</v>
      </c>
      <c r="AI81" s="188">
        <v>0.0</v>
      </c>
      <c r="AJ81" s="188">
        <v>0.0</v>
      </c>
      <c r="AK81" s="188">
        <v>0.0</v>
      </c>
      <c r="AL81" s="188">
        <v>0.0</v>
      </c>
      <c r="AM81" s="188">
        <v>0.0</v>
      </c>
      <c r="AN81" s="188">
        <v>0.0</v>
      </c>
      <c r="AO81" s="188">
        <v>0.0</v>
      </c>
      <c r="AP81" s="188">
        <v>0.0</v>
      </c>
      <c r="AQ81" s="188">
        <v>0.0</v>
      </c>
      <c r="AR81" s="188">
        <v>0.0</v>
      </c>
      <c r="AS81" s="188">
        <v>0.0</v>
      </c>
      <c r="AT81" s="188">
        <v>0.0</v>
      </c>
      <c r="AU81" s="188">
        <v>0.0</v>
      </c>
      <c r="AV81" s="188">
        <v>0.0</v>
      </c>
      <c r="AW81" s="188">
        <v>0.0</v>
      </c>
      <c r="AX81" s="188">
        <v>0.0</v>
      </c>
      <c r="AY81" s="188">
        <v>0.0</v>
      </c>
      <c r="AZ81" s="188">
        <v>0.0</v>
      </c>
      <c r="BA81" s="188">
        <v>0.0</v>
      </c>
      <c r="BB81" s="188">
        <v>0.0</v>
      </c>
      <c r="BC81" s="188">
        <v>0.0</v>
      </c>
      <c r="BD81" s="188">
        <v>0.0</v>
      </c>
      <c r="BE81" s="188">
        <v>0.0</v>
      </c>
      <c r="BF81" s="188">
        <v>0.0</v>
      </c>
    </row>
    <row r="82">
      <c r="A82" s="188">
        <f t="shared" si="5"/>
        <v>0</v>
      </c>
      <c r="B82" s="212">
        <f t="shared" si="92"/>
        <v>0</v>
      </c>
      <c r="C82" s="212">
        <f t="shared" si="108"/>
        <v>0</v>
      </c>
      <c r="D82" s="215">
        <v>46692.0</v>
      </c>
      <c r="E82" s="216">
        <f t="shared" ref="E82:H82" si="177">sumif($J$19:BF81,E$19,$J82:BF82)</f>
        <v>0</v>
      </c>
      <c r="F82" s="216">
        <f t="shared" si="177"/>
        <v>0</v>
      </c>
      <c r="G82" s="216">
        <f t="shared" si="177"/>
        <v>0</v>
      </c>
      <c r="H82" s="216">
        <f t="shared" si="177"/>
        <v>0</v>
      </c>
      <c r="I82" s="202" t="str">
        <f t="shared" si="9"/>
        <v>Future</v>
      </c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E82" s="188">
        <v>0.0</v>
      </c>
      <c r="AF82" s="188">
        <v>0.0</v>
      </c>
      <c r="AG82" s="188">
        <v>0.0</v>
      </c>
      <c r="AH82" s="188">
        <v>0.0</v>
      </c>
      <c r="AI82" s="188">
        <v>0.0</v>
      </c>
      <c r="AJ82" s="188">
        <v>0.0</v>
      </c>
      <c r="AK82" s="188">
        <v>0.0</v>
      </c>
      <c r="AL82" s="188">
        <v>0.0</v>
      </c>
      <c r="AM82" s="188">
        <v>0.0</v>
      </c>
      <c r="AN82" s="188">
        <v>0.0</v>
      </c>
      <c r="AO82" s="188">
        <v>0.0</v>
      </c>
      <c r="AP82" s="188">
        <v>0.0</v>
      </c>
      <c r="AQ82" s="188">
        <v>0.0</v>
      </c>
      <c r="AR82" s="188">
        <v>0.0</v>
      </c>
      <c r="AS82" s="188">
        <v>0.0</v>
      </c>
      <c r="AT82" s="188">
        <v>0.0</v>
      </c>
      <c r="AU82" s="188">
        <v>0.0</v>
      </c>
      <c r="AV82" s="188">
        <v>0.0</v>
      </c>
      <c r="AW82" s="188">
        <v>0.0</v>
      </c>
      <c r="AX82" s="188">
        <v>0.0</v>
      </c>
      <c r="AY82" s="188">
        <v>0.0</v>
      </c>
      <c r="AZ82" s="188">
        <v>0.0</v>
      </c>
      <c r="BA82" s="188">
        <v>0.0</v>
      </c>
      <c r="BB82" s="188">
        <v>0.0</v>
      </c>
      <c r="BC82" s="188">
        <v>0.0</v>
      </c>
      <c r="BD82" s="188">
        <v>0.0</v>
      </c>
      <c r="BE82" s="188">
        <v>0.0</v>
      </c>
      <c r="BF82" s="188">
        <v>0.0</v>
      </c>
    </row>
    <row r="83">
      <c r="A83" s="188">
        <f t="shared" si="5"/>
        <v>0</v>
      </c>
      <c r="B83" s="212">
        <f t="shared" si="92"/>
        <v>0</v>
      </c>
      <c r="C83" s="212">
        <f t="shared" si="108"/>
        <v>0</v>
      </c>
      <c r="D83" s="215">
        <v>46722.0</v>
      </c>
      <c r="E83" s="216">
        <f t="shared" ref="E83:H83" si="178">sumif($J$19:BF82,E$19,$J83:BF83)</f>
        <v>0</v>
      </c>
      <c r="F83" s="216">
        <f t="shared" si="178"/>
        <v>0</v>
      </c>
      <c r="G83" s="216">
        <f t="shared" si="178"/>
        <v>0</v>
      </c>
      <c r="H83" s="216">
        <f t="shared" si="178"/>
        <v>0</v>
      </c>
      <c r="I83" s="202" t="str">
        <f t="shared" si="9"/>
        <v>Future</v>
      </c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E83" s="188">
        <v>0.0</v>
      </c>
      <c r="AF83" s="188">
        <v>0.0</v>
      </c>
      <c r="AG83" s="188">
        <v>0.0</v>
      </c>
      <c r="AH83" s="188">
        <v>0.0</v>
      </c>
      <c r="AI83" s="188">
        <v>0.0</v>
      </c>
      <c r="AJ83" s="188">
        <v>0.0</v>
      </c>
      <c r="AK83" s="188">
        <v>0.0</v>
      </c>
      <c r="AL83" s="188">
        <v>0.0</v>
      </c>
      <c r="AM83" s="188">
        <v>0.0</v>
      </c>
      <c r="AN83" s="188">
        <v>0.0</v>
      </c>
      <c r="AO83" s="188">
        <v>0.0</v>
      </c>
      <c r="AP83" s="188">
        <v>0.0</v>
      </c>
      <c r="AQ83" s="188">
        <v>0.0</v>
      </c>
      <c r="AR83" s="188">
        <v>0.0</v>
      </c>
      <c r="AS83" s="188">
        <v>0.0</v>
      </c>
      <c r="AT83" s="188">
        <v>0.0</v>
      </c>
      <c r="AU83" s="188">
        <v>0.0</v>
      </c>
      <c r="AV83" s="188">
        <v>0.0</v>
      </c>
      <c r="AW83" s="188">
        <v>0.0</v>
      </c>
      <c r="AX83" s="188">
        <v>0.0</v>
      </c>
      <c r="AY83" s="188">
        <v>0.0</v>
      </c>
      <c r="AZ83" s="188">
        <v>0.0</v>
      </c>
      <c r="BA83" s="188">
        <v>0.0</v>
      </c>
      <c r="BB83" s="188">
        <v>0.0</v>
      </c>
      <c r="BC83" s="188">
        <v>0.0</v>
      </c>
      <c r="BD83" s="188">
        <v>0.0</v>
      </c>
      <c r="BE83" s="188">
        <v>0.0</v>
      </c>
      <c r="BF83" s="188">
        <v>0.0</v>
      </c>
    </row>
    <row r="84">
      <c r="A84" s="188">
        <f t="shared" si="5"/>
        <v>0</v>
      </c>
      <c r="B84" s="212">
        <f t="shared" si="92"/>
        <v>0</v>
      </c>
      <c r="C84" s="212">
        <f t="shared" si="108"/>
        <v>0</v>
      </c>
      <c r="D84" s="215">
        <v>46753.0</v>
      </c>
      <c r="E84" s="216">
        <f t="shared" ref="E84:H84" si="179">sumif($J$19:BF83,E$19,$J84:BF84)</f>
        <v>0</v>
      </c>
      <c r="F84" s="216">
        <f t="shared" si="179"/>
        <v>0</v>
      </c>
      <c r="G84" s="216">
        <f t="shared" si="179"/>
        <v>0</v>
      </c>
      <c r="H84" s="216">
        <f t="shared" si="179"/>
        <v>0</v>
      </c>
      <c r="I84" s="202" t="str">
        <f t="shared" si="9"/>
        <v>Future</v>
      </c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E84" s="188">
        <v>0.0</v>
      </c>
      <c r="AF84" s="188">
        <v>0.0</v>
      </c>
      <c r="AG84" s="188">
        <v>0.0</v>
      </c>
      <c r="AH84" s="188">
        <v>0.0</v>
      </c>
      <c r="AI84" s="188">
        <v>0.0</v>
      </c>
      <c r="AJ84" s="188">
        <v>0.0</v>
      </c>
      <c r="AK84" s="188">
        <v>0.0</v>
      </c>
      <c r="AL84" s="188">
        <v>0.0</v>
      </c>
      <c r="AM84" s="188">
        <v>0.0</v>
      </c>
      <c r="AN84" s="188">
        <v>0.0</v>
      </c>
      <c r="AO84" s="188">
        <v>0.0</v>
      </c>
      <c r="AP84" s="188">
        <v>0.0</v>
      </c>
      <c r="AQ84" s="188">
        <v>0.0</v>
      </c>
      <c r="AR84" s="188">
        <v>0.0</v>
      </c>
      <c r="AS84" s="188">
        <v>0.0</v>
      </c>
      <c r="AT84" s="188">
        <v>0.0</v>
      </c>
      <c r="AU84" s="188">
        <v>0.0</v>
      </c>
      <c r="AV84" s="188">
        <v>0.0</v>
      </c>
      <c r="AW84" s="188">
        <v>0.0</v>
      </c>
      <c r="AX84" s="188">
        <v>0.0</v>
      </c>
      <c r="AY84" s="188">
        <v>0.0</v>
      </c>
      <c r="AZ84" s="188">
        <v>0.0</v>
      </c>
      <c r="BA84" s="188">
        <v>0.0</v>
      </c>
      <c r="BB84" s="188">
        <v>0.0</v>
      </c>
      <c r="BC84" s="188">
        <v>0.0</v>
      </c>
      <c r="BD84" s="188">
        <v>0.0</v>
      </c>
      <c r="BE84" s="188">
        <v>0.0</v>
      </c>
      <c r="BF84" s="188">
        <v>0.0</v>
      </c>
    </row>
    <row r="85">
      <c r="A85" s="188">
        <f t="shared" si="5"/>
        <v>0</v>
      </c>
      <c r="B85" s="212">
        <f t="shared" si="92"/>
        <v>0</v>
      </c>
      <c r="C85" s="212">
        <f t="shared" si="108"/>
        <v>0</v>
      </c>
      <c r="D85" s="215">
        <v>46784.0</v>
      </c>
      <c r="E85" s="216">
        <f t="shared" ref="E85:H85" si="180">sumif($J$19:BF84,E$19,$J85:BF85)</f>
        <v>0</v>
      </c>
      <c r="F85" s="216">
        <f t="shared" si="180"/>
        <v>0</v>
      </c>
      <c r="G85" s="216">
        <f t="shared" si="180"/>
        <v>0</v>
      </c>
      <c r="H85" s="216">
        <f t="shared" si="180"/>
        <v>0</v>
      </c>
      <c r="I85" s="202" t="str">
        <f t="shared" si="9"/>
        <v>Future</v>
      </c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E85" s="188">
        <v>0.0</v>
      </c>
      <c r="AF85" s="188">
        <v>0.0</v>
      </c>
      <c r="AG85" s="188">
        <v>0.0</v>
      </c>
      <c r="AH85" s="188">
        <v>0.0</v>
      </c>
      <c r="AI85" s="188">
        <v>0.0</v>
      </c>
      <c r="AJ85" s="188">
        <v>0.0</v>
      </c>
      <c r="AK85" s="188">
        <v>0.0</v>
      </c>
      <c r="AL85" s="188">
        <v>0.0</v>
      </c>
      <c r="AM85" s="188">
        <v>0.0</v>
      </c>
      <c r="AN85" s="188">
        <v>0.0</v>
      </c>
      <c r="AO85" s="188">
        <v>0.0</v>
      </c>
      <c r="AP85" s="188">
        <v>0.0</v>
      </c>
      <c r="AQ85" s="188">
        <v>0.0</v>
      </c>
      <c r="AR85" s="188">
        <v>0.0</v>
      </c>
      <c r="AS85" s="188">
        <v>0.0</v>
      </c>
      <c r="AT85" s="188">
        <v>0.0</v>
      </c>
      <c r="AU85" s="188">
        <v>0.0</v>
      </c>
      <c r="AV85" s="188">
        <v>0.0</v>
      </c>
      <c r="AW85" s="188">
        <v>0.0</v>
      </c>
      <c r="AX85" s="188">
        <v>0.0</v>
      </c>
      <c r="AY85" s="188">
        <v>0.0</v>
      </c>
      <c r="AZ85" s="188">
        <v>0.0</v>
      </c>
      <c r="BA85" s="188">
        <v>0.0</v>
      </c>
      <c r="BB85" s="188">
        <v>0.0</v>
      </c>
      <c r="BC85" s="188">
        <v>0.0</v>
      </c>
      <c r="BD85" s="188">
        <v>0.0</v>
      </c>
      <c r="BE85" s="188">
        <v>0.0</v>
      </c>
      <c r="BF85" s="188">
        <v>0.0</v>
      </c>
    </row>
    <row r="86">
      <c r="A86" s="188">
        <f t="shared" si="5"/>
        <v>0</v>
      </c>
      <c r="B86" s="212">
        <f t="shared" si="92"/>
        <v>0</v>
      </c>
      <c r="C86" s="212">
        <f t="shared" si="108"/>
        <v>0</v>
      </c>
      <c r="D86" s="215">
        <v>46813.0</v>
      </c>
      <c r="E86" s="216">
        <f t="shared" ref="E86:H86" si="181">sumif($J$19:BF85,E$19,$J86:BF86)</f>
        <v>0</v>
      </c>
      <c r="F86" s="216">
        <f t="shared" si="181"/>
        <v>0</v>
      </c>
      <c r="G86" s="216">
        <f t="shared" si="181"/>
        <v>0</v>
      </c>
      <c r="H86" s="216">
        <f t="shared" si="181"/>
        <v>0</v>
      </c>
      <c r="I86" s="202" t="str">
        <f t="shared" si="9"/>
        <v>Future</v>
      </c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E86" s="188">
        <v>0.0</v>
      </c>
      <c r="AF86" s="188">
        <v>0.0</v>
      </c>
      <c r="AG86" s="188">
        <v>0.0</v>
      </c>
      <c r="AH86" s="188">
        <v>0.0</v>
      </c>
      <c r="AI86" s="188">
        <v>0.0</v>
      </c>
      <c r="AJ86" s="188">
        <v>0.0</v>
      </c>
      <c r="AK86" s="188">
        <v>0.0</v>
      </c>
      <c r="AL86" s="188">
        <v>0.0</v>
      </c>
      <c r="AM86" s="188">
        <v>0.0</v>
      </c>
      <c r="AN86" s="188">
        <v>0.0</v>
      </c>
      <c r="AO86" s="188">
        <v>0.0</v>
      </c>
      <c r="AP86" s="188">
        <v>0.0</v>
      </c>
      <c r="AQ86" s="188">
        <v>0.0</v>
      </c>
      <c r="AR86" s="188">
        <v>0.0</v>
      </c>
      <c r="AS86" s="188">
        <v>0.0</v>
      </c>
      <c r="AT86" s="188">
        <v>0.0</v>
      </c>
      <c r="AU86" s="188">
        <v>0.0</v>
      </c>
      <c r="AV86" s="188">
        <v>0.0</v>
      </c>
      <c r="AW86" s="188">
        <v>0.0</v>
      </c>
      <c r="AX86" s="188">
        <v>0.0</v>
      </c>
      <c r="AY86" s="188">
        <v>0.0</v>
      </c>
      <c r="AZ86" s="188">
        <v>0.0</v>
      </c>
      <c r="BA86" s="188">
        <v>0.0</v>
      </c>
      <c r="BB86" s="188">
        <v>0.0</v>
      </c>
      <c r="BC86" s="188">
        <v>0.0</v>
      </c>
      <c r="BD86" s="188">
        <v>0.0</v>
      </c>
      <c r="BE86" s="188">
        <v>0.0</v>
      </c>
      <c r="BF86" s="188">
        <v>0.0</v>
      </c>
    </row>
    <row r="87">
      <c r="A87" s="188">
        <f t="shared" si="5"/>
        <v>0</v>
      </c>
      <c r="B87" s="212">
        <f t="shared" si="92"/>
        <v>0</v>
      </c>
      <c r="C87" s="212">
        <f t="shared" si="108"/>
        <v>0</v>
      </c>
      <c r="D87" s="215">
        <v>46844.0</v>
      </c>
      <c r="E87" s="216">
        <f t="shared" ref="E87:H87" si="182">sumif($J$19:BF86,E$19,$J87:BF87)</f>
        <v>0</v>
      </c>
      <c r="F87" s="216">
        <f t="shared" si="182"/>
        <v>0</v>
      </c>
      <c r="G87" s="216">
        <f t="shared" si="182"/>
        <v>0</v>
      </c>
      <c r="H87" s="216">
        <f t="shared" si="182"/>
        <v>0</v>
      </c>
      <c r="I87" s="202" t="str">
        <f t="shared" si="9"/>
        <v>Future</v>
      </c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E87" s="188">
        <v>0.0</v>
      </c>
      <c r="AF87" s="188">
        <v>0.0</v>
      </c>
      <c r="AG87" s="188">
        <v>0.0</v>
      </c>
      <c r="AH87" s="188">
        <v>0.0</v>
      </c>
      <c r="AI87" s="188">
        <v>0.0</v>
      </c>
      <c r="AJ87" s="188">
        <v>0.0</v>
      </c>
      <c r="AK87" s="188">
        <v>0.0</v>
      </c>
      <c r="AL87" s="188">
        <v>0.0</v>
      </c>
      <c r="AM87" s="188">
        <v>0.0</v>
      </c>
      <c r="AN87" s="188">
        <v>0.0</v>
      </c>
      <c r="AO87" s="188">
        <v>0.0</v>
      </c>
      <c r="AP87" s="188">
        <v>0.0</v>
      </c>
      <c r="AQ87" s="188">
        <v>0.0</v>
      </c>
      <c r="AR87" s="188">
        <v>0.0</v>
      </c>
      <c r="AS87" s="188">
        <v>0.0</v>
      </c>
      <c r="AT87" s="188">
        <v>0.0</v>
      </c>
      <c r="AU87" s="188">
        <v>0.0</v>
      </c>
      <c r="AV87" s="188">
        <v>0.0</v>
      </c>
      <c r="AW87" s="188">
        <v>0.0</v>
      </c>
      <c r="AX87" s="188">
        <v>0.0</v>
      </c>
      <c r="AY87" s="188">
        <v>0.0</v>
      </c>
      <c r="AZ87" s="188">
        <v>0.0</v>
      </c>
      <c r="BA87" s="188">
        <v>0.0</v>
      </c>
      <c r="BB87" s="188">
        <v>0.0</v>
      </c>
      <c r="BC87" s="188">
        <v>0.0</v>
      </c>
      <c r="BD87" s="188">
        <v>0.0</v>
      </c>
      <c r="BE87" s="188">
        <v>0.0</v>
      </c>
      <c r="BF87" s="188">
        <v>0.0</v>
      </c>
    </row>
    <row r="88">
      <c r="A88" s="188">
        <f t="shared" si="5"/>
        <v>0</v>
      </c>
      <c r="B88" s="212">
        <f t="shared" si="92"/>
        <v>0</v>
      </c>
      <c r="C88" s="212">
        <f t="shared" si="108"/>
        <v>0</v>
      </c>
      <c r="D88" s="215">
        <v>46874.0</v>
      </c>
      <c r="E88" s="216">
        <f t="shared" ref="E88:H88" si="183">sumif($J$19:BF87,E$19,$J88:BF88)</f>
        <v>0</v>
      </c>
      <c r="F88" s="216">
        <f t="shared" si="183"/>
        <v>0</v>
      </c>
      <c r="G88" s="216">
        <f t="shared" si="183"/>
        <v>0</v>
      </c>
      <c r="H88" s="216">
        <f t="shared" si="183"/>
        <v>0</v>
      </c>
      <c r="I88" s="202" t="str">
        <f t="shared" si="9"/>
        <v>Future</v>
      </c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E88" s="188">
        <v>0.0</v>
      </c>
      <c r="AF88" s="188">
        <v>0.0</v>
      </c>
      <c r="AG88" s="188">
        <v>0.0</v>
      </c>
      <c r="AH88" s="188">
        <v>0.0</v>
      </c>
      <c r="AI88" s="188">
        <v>0.0</v>
      </c>
      <c r="AJ88" s="188">
        <v>0.0</v>
      </c>
      <c r="AK88" s="188">
        <v>0.0</v>
      </c>
      <c r="AL88" s="188">
        <v>0.0</v>
      </c>
      <c r="AM88" s="188">
        <v>0.0</v>
      </c>
      <c r="AN88" s="188">
        <v>0.0</v>
      </c>
      <c r="AO88" s="188">
        <v>0.0</v>
      </c>
      <c r="AP88" s="188">
        <v>0.0</v>
      </c>
      <c r="AQ88" s="188">
        <v>0.0</v>
      </c>
      <c r="AR88" s="188">
        <v>0.0</v>
      </c>
      <c r="AS88" s="188">
        <v>0.0</v>
      </c>
      <c r="AT88" s="188">
        <v>0.0</v>
      </c>
      <c r="AU88" s="188">
        <v>0.0</v>
      </c>
      <c r="AV88" s="188">
        <v>0.0</v>
      </c>
      <c r="AW88" s="188">
        <v>0.0</v>
      </c>
      <c r="AX88" s="188">
        <v>0.0</v>
      </c>
      <c r="AY88" s="188">
        <v>0.0</v>
      </c>
      <c r="AZ88" s="188">
        <v>0.0</v>
      </c>
      <c r="BA88" s="188">
        <v>0.0</v>
      </c>
      <c r="BB88" s="188">
        <v>0.0</v>
      </c>
      <c r="BC88" s="188">
        <v>0.0</v>
      </c>
      <c r="BD88" s="188">
        <v>0.0</v>
      </c>
      <c r="BE88" s="188">
        <v>0.0</v>
      </c>
      <c r="BF88" s="188">
        <v>0.0</v>
      </c>
    </row>
    <row r="89">
      <c r="A89" s="188">
        <f t="shared" si="5"/>
        <v>0</v>
      </c>
      <c r="B89" s="212">
        <f t="shared" si="92"/>
        <v>0</v>
      </c>
      <c r="C89" s="212">
        <f t="shared" si="108"/>
        <v>0</v>
      </c>
      <c r="D89" s="215">
        <v>46905.0</v>
      </c>
      <c r="E89" s="216">
        <f t="shared" ref="E89:H89" si="184">sumif($J$19:BF88,E$19,$J89:BF89)</f>
        <v>0</v>
      </c>
      <c r="F89" s="216">
        <f t="shared" si="184"/>
        <v>0</v>
      </c>
      <c r="G89" s="216">
        <f t="shared" si="184"/>
        <v>0</v>
      </c>
      <c r="H89" s="216">
        <f t="shared" si="184"/>
        <v>0</v>
      </c>
      <c r="I89" s="202" t="str">
        <f t="shared" si="9"/>
        <v>Future</v>
      </c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E89" s="188">
        <v>0.0</v>
      </c>
      <c r="AF89" s="188">
        <v>0.0</v>
      </c>
      <c r="AG89" s="188">
        <v>0.0</v>
      </c>
      <c r="AH89" s="188">
        <v>0.0</v>
      </c>
      <c r="AI89" s="188">
        <v>0.0</v>
      </c>
      <c r="AJ89" s="188">
        <v>0.0</v>
      </c>
      <c r="AK89" s="188">
        <v>0.0</v>
      </c>
      <c r="AL89" s="188">
        <v>0.0</v>
      </c>
      <c r="AM89" s="188">
        <v>0.0</v>
      </c>
      <c r="AN89" s="188">
        <v>0.0</v>
      </c>
      <c r="AO89" s="188">
        <v>0.0</v>
      </c>
      <c r="AP89" s="188">
        <v>0.0</v>
      </c>
      <c r="AQ89" s="188">
        <v>0.0</v>
      </c>
      <c r="AR89" s="188">
        <v>0.0</v>
      </c>
      <c r="AS89" s="188">
        <v>0.0</v>
      </c>
      <c r="AT89" s="188">
        <v>0.0</v>
      </c>
      <c r="AU89" s="188">
        <v>0.0</v>
      </c>
      <c r="AV89" s="188">
        <v>0.0</v>
      </c>
      <c r="AW89" s="188">
        <v>0.0</v>
      </c>
      <c r="AX89" s="188">
        <v>0.0</v>
      </c>
      <c r="AY89" s="188">
        <v>0.0</v>
      </c>
      <c r="AZ89" s="188">
        <v>0.0</v>
      </c>
      <c r="BA89" s="188">
        <v>0.0</v>
      </c>
      <c r="BB89" s="188">
        <v>0.0</v>
      </c>
      <c r="BC89" s="188">
        <v>0.0</v>
      </c>
      <c r="BD89" s="188">
        <v>0.0</v>
      </c>
      <c r="BE89" s="188">
        <v>0.0</v>
      </c>
      <c r="BF89" s="188">
        <v>0.0</v>
      </c>
    </row>
    <row r="90">
      <c r="A90" s="188">
        <f t="shared" si="5"/>
        <v>0</v>
      </c>
      <c r="B90" s="212">
        <f t="shared" si="92"/>
        <v>0</v>
      </c>
      <c r="C90" s="212">
        <f t="shared" si="108"/>
        <v>0</v>
      </c>
      <c r="D90" s="215">
        <v>46935.0</v>
      </c>
      <c r="E90" s="216">
        <f t="shared" ref="E90:H90" si="185">sumif($J$19:BF89,E$19,$J90:BF90)</f>
        <v>0</v>
      </c>
      <c r="F90" s="216">
        <f t="shared" si="185"/>
        <v>0</v>
      </c>
      <c r="G90" s="216">
        <f t="shared" si="185"/>
        <v>0</v>
      </c>
      <c r="H90" s="216">
        <f t="shared" si="185"/>
        <v>0</v>
      </c>
      <c r="I90" s="202" t="str">
        <f t="shared" si="9"/>
        <v>Future</v>
      </c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E90" s="188">
        <v>0.0</v>
      </c>
      <c r="AF90" s="188">
        <v>0.0</v>
      </c>
      <c r="AG90" s="188">
        <v>0.0</v>
      </c>
      <c r="AH90" s="188">
        <v>0.0</v>
      </c>
      <c r="AI90" s="188">
        <v>0.0</v>
      </c>
      <c r="AJ90" s="188">
        <v>0.0</v>
      </c>
      <c r="AK90" s="188">
        <v>0.0</v>
      </c>
      <c r="AL90" s="188">
        <v>0.0</v>
      </c>
      <c r="AM90" s="188">
        <v>0.0</v>
      </c>
      <c r="AN90" s="188">
        <v>0.0</v>
      </c>
      <c r="AO90" s="188">
        <v>0.0</v>
      </c>
      <c r="AP90" s="188">
        <v>0.0</v>
      </c>
      <c r="AQ90" s="188">
        <v>0.0</v>
      </c>
      <c r="AR90" s="188">
        <v>0.0</v>
      </c>
      <c r="AS90" s="188">
        <v>0.0</v>
      </c>
      <c r="AT90" s="188">
        <v>0.0</v>
      </c>
      <c r="AU90" s="188">
        <v>0.0</v>
      </c>
      <c r="AV90" s="188">
        <v>0.0</v>
      </c>
      <c r="AW90" s="188">
        <v>0.0</v>
      </c>
      <c r="AX90" s="188">
        <v>0.0</v>
      </c>
      <c r="AY90" s="188">
        <v>0.0</v>
      </c>
      <c r="AZ90" s="188">
        <v>0.0</v>
      </c>
      <c r="BA90" s="188">
        <v>0.0</v>
      </c>
      <c r="BB90" s="188">
        <v>0.0</v>
      </c>
      <c r="BC90" s="188">
        <v>0.0</v>
      </c>
      <c r="BD90" s="188">
        <v>0.0</v>
      </c>
      <c r="BE90" s="188">
        <v>0.0</v>
      </c>
      <c r="BF90" s="188">
        <v>0.0</v>
      </c>
    </row>
    <row r="91">
      <c r="A91" s="188">
        <f t="shared" si="5"/>
        <v>0</v>
      </c>
      <c r="B91" s="212">
        <f t="shared" si="92"/>
        <v>0</v>
      </c>
      <c r="C91" s="212">
        <f t="shared" si="108"/>
        <v>0</v>
      </c>
      <c r="D91" s="215">
        <v>46966.0</v>
      </c>
      <c r="E91" s="216">
        <f t="shared" ref="E91:H91" si="186">sumif($J$19:BF90,E$19,$J91:BF91)</f>
        <v>0</v>
      </c>
      <c r="F91" s="216">
        <f t="shared" si="186"/>
        <v>0</v>
      </c>
      <c r="G91" s="216">
        <f t="shared" si="186"/>
        <v>0</v>
      </c>
      <c r="H91" s="216">
        <f t="shared" si="186"/>
        <v>0</v>
      </c>
      <c r="I91" s="202" t="str">
        <f t="shared" si="9"/>
        <v>Future</v>
      </c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E91" s="188">
        <v>0.0</v>
      </c>
      <c r="AF91" s="188">
        <v>0.0</v>
      </c>
      <c r="AG91" s="188">
        <v>0.0</v>
      </c>
      <c r="AH91" s="188">
        <v>0.0</v>
      </c>
      <c r="AI91" s="188">
        <v>0.0</v>
      </c>
      <c r="AJ91" s="188">
        <v>0.0</v>
      </c>
      <c r="AK91" s="188">
        <v>0.0</v>
      </c>
      <c r="AL91" s="188">
        <v>0.0</v>
      </c>
      <c r="AM91" s="188">
        <v>0.0</v>
      </c>
      <c r="AN91" s="188">
        <v>0.0</v>
      </c>
      <c r="AO91" s="188">
        <v>0.0</v>
      </c>
      <c r="AP91" s="188">
        <v>0.0</v>
      </c>
      <c r="AQ91" s="188">
        <v>0.0</v>
      </c>
      <c r="AR91" s="188">
        <v>0.0</v>
      </c>
      <c r="AS91" s="188">
        <v>0.0</v>
      </c>
      <c r="AT91" s="188">
        <v>0.0</v>
      </c>
      <c r="AU91" s="188">
        <v>0.0</v>
      </c>
      <c r="AV91" s="188">
        <v>0.0</v>
      </c>
      <c r="AW91" s="188">
        <v>0.0</v>
      </c>
      <c r="AX91" s="188">
        <v>0.0</v>
      </c>
      <c r="AY91" s="188">
        <v>0.0</v>
      </c>
      <c r="AZ91" s="188">
        <v>0.0</v>
      </c>
      <c r="BA91" s="188">
        <v>0.0</v>
      </c>
      <c r="BB91" s="188">
        <v>0.0</v>
      </c>
      <c r="BC91" s="188">
        <v>0.0</v>
      </c>
      <c r="BD91" s="188">
        <v>0.0</v>
      </c>
      <c r="BE91" s="188">
        <v>0.0</v>
      </c>
      <c r="BF91" s="188">
        <v>0.0</v>
      </c>
    </row>
    <row r="92">
      <c r="A92" s="188">
        <f t="shared" si="5"/>
        <v>0</v>
      </c>
      <c r="B92" s="212">
        <f t="shared" si="92"/>
        <v>0</v>
      </c>
      <c r="C92" s="212">
        <f t="shared" si="108"/>
        <v>0</v>
      </c>
      <c r="D92" s="215">
        <v>46997.0</v>
      </c>
      <c r="E92" s="216">
        <f t="shared" ref="E92:H92" si="187">sumif($J$19:BF91,E$19,$J92:BF92)</f>
        <v>0</v>
      </c>
      <c r="F92" s="216">
        <f t="shared" si="187"/>
        <v>0</v>
      </c>
      <c r="G92" s="216">
        <f t="shared" si="187"/>
        <v>0</v>
      </c>
      <c r="H92" s="216">
        <f t="shared" si="187"/>
        <v>0</v>
      </c>
      <c r="I92" s="202" t="str">
        <f t="shared" si="9"/>
        <v>Future</v>
      </c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E92" s="188">
        <v>0.0</v>
      </c>
      <c r="AF92" s="188">
        <v>0.0</v>
      </c>
      <c r="AG92" s="188">
        <v>0.0</v>
      </c>
      <c r="AH92" s="188">
        <v>0.0</v>
      </c>
      <c r="AI92" s="188">
        <v>0.0</v>
      </c>
      <c r="AJ92" s="188">
        <v>0.0</v>
      </c>
      <c r="AK92" s="188">
        <v>0.0</v>
      </c>
      <c r="AL92" s="188">
        <v>0.0</v>
      </c>
      <c r="AM92" s="188">
        <v>0.0</v>
      </c>
      <c r="AN92" s="188">
        <v>0.0</v>
      </c>
      <c r="AO92" s="188">
        <v>0.0</v>
      </c>
      <c r="AP92" s="188">
        <v>0.0</v>
      </c>
      <c r="AQ92" s="188">
        <v>0.0</v>
      </c>
      <c r="AR92" s="188">
        <v>0.0</v>
      </c>
      <c r="AS92" s="188">
        <v>0.0</v>
      </c>
      <c r="AT92" s="188">
        <v>0.0</v>
      </c>
      <c r="AU92" s="188">
        <v>0.0</v>
      </c>
      <c r="AV92" s="188">
        <v>0.0</v>
      </c>
      <c r="AW92" s="188">
        <v>0.0</v>
      </c>
      <c r="AX92" s="188">
        <v>0.0</v>
      </c>
      <c r="AY92" s="188">
        <v>0.0</v>
      </c>
      <c r="AZ92" s="188">
        <v>0.0</v>
      </c>
      <c r="BA92" s="188">
        <v>0.0</v>
      </c>
      <c r="BB92" s="188">
        <v>0.0</v>
      </c>
      <c r="BC92" s="188">
        <v>0.0</v>
      </c>
      <c r="BD92" s="188">
        <v>0.0</v>
      </c>
      <c r="BE92" s="188">
        <v>0.0</v>
      </c>
      <c r="BF92" s="188">
        <v>0.0</v>
      </c>
    </row>
    <row r="93">
      <c r="A93" s="188">
        <f t="shared" si="5"/>
        <v>0</v>
      </c>
      <c r="B93" s="212">
        <f t="shared" si="92"/>
        <v>0</v>
      </c>
      <c r="C93" s="212">
        <f t="shared" si="108"/>
        <v>0</v>
      </c>
      <c r="D93" s="215">
        <v>47027.0</v>
      </c>
      <c r="E93" s="216">
        <f t="shared" ref="E93:H93" si="188">sumif($J$19:BF92,E$19,$J93:BF93)</f>
        <v>0</v>
      </c>
      <c r="F93" s="216">
        <f t="shared" si="188"/>
        <v>0</v>
      </c>
      <c r="G93" s="216">
        <f t="shared" si="188"/>
        <v>0</v>
      </c>
      <c r="H93" s="216">
        <f t="shared" si="188"/>
        <v>0</v>
      </c>
      <c r="I93" s="202" t="str">
        <f t="shared" si="9"/>
        <v>Future</v>
      </c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E93" s="188">
        <v>0.0</v>
      </c>
      <c r="AF93" s="188">
        <v>0.0</v>
      </c>
      <c r="AG93" s="188">
        <v>0.0</v>
      </c>
      <c r="AH93" s="188">
        <v>0.0</v>
      </c>
      <c r="AI93" s="188">
        <v>0.0</v>
      </c>
      <c r="AJ93" s="188">
        <v>0.0</v>
      </c>
      <c r="AK93" s="188">
        <v>0.0</v>
      </c>
      <c r="AL93" s="188">
        <v>0.0</v>
      </c>
      <c r="AM93" s="188">
        <v>0.0</v>
      </c>
      <c r="AN93" s="188">
        <v>0.0</v>
      </c>
      <c r="AO93" s="188">
        <v>0.0</v>
      </c>
      <c r="AP93" s="188">
        <v>0.0</v>
      </c>
      <c r="AQ93" s="188">
        <v>0.0</v>
      </c>
      <c r="AR93" s="188">
        <v>0.0</v>
      </c>
      <c r="AS93" s="188">
        <v>0.0</v>
      </c>
      <c r="AT93" s="188">
        <v>0.0</v>
      </c>
      <c r="AU93" s="188">
        <v>0.0</v>
      </c>
      <c r="AV93" s="188">
        <v>0.0</v>
      </c>
      <c r="AW93" s="188">
        <v>0.0</v>
      </c>
      <c r="AX93" s="188">
        <v>0.0</v>
      </c>
      <c r="AY93" s="188">
        <v>0.0</v>
      </c>
      <c r="AZ93" s="188">
        <v>0.0</v>
      </c>
      <c r="BA93" s="188">
        <v>0.0</v>
      </c>
      <c r="BB93" s="188">
        <v>0.0</v>
      </c>
      <c r="BC93" s="188">
        <v>0.0</v>
      </c>
      <c r="BD93" s="188">
        <v>0.0</v>
      </c>
      <c r="BE93" s="188">
        <v>0.0</v>
      </c>
      <c r="BF93" s="188">
        <v>0.0</v>
      </c>
    </row>
    <row r="94">
      <c r="A94" s="188">
        <f t="shared" si="5"/>
        <v>0</v>
      </c>
      <c r="B94" s="212">
        <f t="shared" si="92"/>
        <v>0</v>
      </c>
      <c r="C94" s="212">
        <f t="shared" si="108"/>
        <v>0</v>
      </c>
      <c r="D94" s="215">
        <v>47058.0</v>
      </c>
      <c r="E94" s="216">
        <f t="shared" ref="E94:H94" si="189">sumif($J$19:BF93,E$19,$J94:BF94)</f>
        <v>0</v>
      </c>
      <c r="F94" s="216">
        <f t="shared" si="189"/>
        <v>0</v>
      </c>
      <c r="G94" s="216">
        <f t="shared" si="189"/>
        <v>0</v>
      </c>
      <c r="H94" s="216">
        <f t="shared" si="189"/>
        <v>0</v>
      </c>
      <c r="I94" s="202" t="str">
        <f t="shared" si="9"/>
        <v>Future</v>
      </c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E94" s="188">
        <v>0.0</v>
      </c>
      <c r="AF94" s="188">
        <v>0.0</v>
      </c>
      <c r="AG94" s="188">
        <v>0.0</v>
      </c>
      <c r="AH94" s="188">
        <v>0.0</v>
      </c>
      <c r="AI94" s="188">
        <v>0.0</v>
      </c>
      <c r="AJ94" s="188">
        <v>0.0</v>
      </c>
      <c r="AK94" s="188">
        <v>0.0</v>
      </c>
      <c r="AL94" s="188">
        <v>0.0</v>
      </c>
      <c r="AM94" s="188">
        <v>0.0</v>
      </c>
      <c r="AN94" s="188">
        <v>0.0</v>
      </c>
      <c r="AO94" s="188">
        <v>0.0</v>
      </c>
      <c r="AP94" s="188">
        <v>0.0</v>
      </c>
      <c r="AQ94" s="188">
        <v>0.0</v>
      </c>
      <c r="AR94" s="188">
        <v>0.0</v>
      </c>
      <c r="AS94" s="188">
        <v>0.0</v>
      </c>
      <c r="AT94" s="188">
        <v>0.0</v>
      </c>
      <c r="AU94" s="188">
        <v>0.0</v>
      </c>
      <c r="AV94" s="188">
        <v>0.0</v>
      </c>
      <c r="AW94" s="188">
        <v>0.0</v>
      </c>
      <c r="AX94" s="188">
        <v>0.0</v>
      </c>
      <c r="AY94" s="188">
        <v>0.0</v>
      </c>
      <c r="AZ94" s="188">
        <v>0.0</v>
      </c>
      <c r="BA94" s="188">
        <v>0.0</v>
      </c>
      <c r="BB94" s="188">
        <v>0.0</v>
      </c>
      <c r="BC94" s="188">
        <v>0.0</v>
      </c>
      <c r="BD94" s="188">
        <v>0.0</v>
      </c>
      <c r="BE94" s="188">
        <v>0.0</v>
      </c>
      <c r="BF94" s="188">
        <v>0.0</v>
      </c>
    </row>
    <row r="95">
      <c r="A95" s="188">
        <f t="shared" si="5"/>
        <v>0</v>
      </c>
      <c r="B95" s="212">
        <f t="shared" si="92"/>
        <v>0</v>
      </c>
      <c r="C95" s="212">
        <f t="shared" si="108"/>
        <v>0</v>
      </c>
      <c r="D95" s="215">
        <v>47088.0</v>
      </c>
      <c r="E95" s="216">
        <f t="shared" ref="E95:H95" si="190">sumif($J$19:BF94,E$19,$J95:BF95)</f>
        <v>0</v>
      </c>
      <c r="F95" s="216">
        <f t="shared" si="190"/>
        <v>0</v>
      </c>
      <c r="G95" s="216">
        <f t="shared" si="190"/>
        <v>0</v>
      </c>
      <c r="H95" s="216">
        <f t="shared" si="190"/>
        <v>0</v>
      </c>
      <c r="I95" s="202" t="str">
        <f t="shared" si="9"/>
        <v>Future</v>
      </c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E95" s="188">
        <v>0.0</v>
      </c>
      <c r="AF95" s="188">
        <v>0.0</v>
      </c>
      <c r="AG95" s="188">
        <v>0.0</v>
      </c>
      <c r="AH95" s="188">
        <v>0.0</v>
      </c>
      <c r="AI95" s="188">
        <v>0.0</v>
      </c>
      <c r="AJ95" s="188">
        <v>0.0</v>
      </c>
      <c r="AK95" s="188">
        <v>0.0</v>
      </c>
      <c r="AL95" s="188">
        <v>0.0</v>
      </c>
      <c r="AM95" s="188">
        <v>0.0</v>
      </c>
      <c r="AN95" s="188">
        <v>0.0</v>
      </c>
      <c r="AO95" s="188">
        <v>0.0</v>
      </c>
      <c r="AP95" s="188">
        <v>0.0</v>
      </c>
      <c r="AQ95" s="188">
        <v>0.0</v>
      </c>
      <c r="AR95" s="188">
        <v>0.0</v>
      </c>
      <c r="AS95" s="188">
        <v>0.0</v>
      </c>
      <c r="AT95" s="188">
        <v>0.0</v>
      </c>
      <c r="AU95" s="188">
        <v>0.0</v>
      </c>
      <c r="AV95" s="188">
        <v>0.0</v>
      </c>
      <c r="AW95" s="188">
        <v>0.0</v>
      </c>
      <c r="AX95" s="188">
        <v>0.0</v>
      </c>
      <c r="AY95" s="188">
        <v>0.0</v>
      </c>
      <c r="AZ95" s="188">
        <v>0.0</v>
      </c>
      <c r="BA95" s="188">
        <v>0.0</v>
      </c>
      <c r="BB95" s="188">
        <v>0.0</v>
      </c>
      <c r="BC95" s="188">
        <v>0.0</v>
      </c>
      <c r="BD95" s="188">
        <v>0.0</v>
      </c>
      <c r="BE95" s="188">
        <v>0.0</v>
      </c>
      <c r="BF95" s="188">
        <v>0.0</v>
      </c>
    </row>
    <row r="96">
      <c r="A96" s="188">
        <f t="shared" si="5"/>
        <v>0</v>
      </c>
      <c r="B96" s="212">
        <f t="shared" si="92"/>
        <v>0</v>
      </c>
      <c r="C96" s="212">
        <f t="shared" si="108"/>
        <v>0</v>
      </c>
      <c r="D96" s="215">
        <v>47119.0</v>
      </c>
      <c r="E96" s="216">
        <f t="shared" ref="E96:H96" si="191">sumif($J$19:BF95,E$19,$J96:BF96)</f>
        <v>0</v>
      </c>
      <c r="F96" s="216">
        <f t="shared" si="191"/>
        <v>0</v>
      </c>
      <c r="G96" s="216">
        <f t="shared" si="191"/>
        <v>0</v>
      </c>
      <c r="H96" s="216">
        <f t="shared" si="191"/>
        <v>0</v>
      </c>
      <c r="I96" s="202" t="str">
        <f t="shared" si="9"/>
        <v>Future</v>
      </c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E96" s="188">
        <v>0.0</v>
      </c>
      <c r="AF96" s="188">
        <v>0.0</v>
      </c>
      <c r="AG96" s="188">
        <v>0.0</v>
      </c>
      <c r="AH96" s="188">
        <v>0.0</v>
      </c>
      <c r="AI96" s="188">
        <v>0.0</v>
      </c>
      <c r="AJ96" s="188">
        <v>0.0</v>
      </c>
      <c r="AK96" s="188">
        <v>0.0</v>
      </c>
      <c r="AL96" s="188">
        <v>0.0</v>
      </c>
      <c r="AM96" s="188">
        <v>0.0</v>
      </c>
      <c r="AN96" s="188">
        <v>0.0</v>
      </c>
      <c r="AO96" s="188">
        <v>0.0</v>
      </c>
      <c r="AP96" s="188">
        <v>0.0</v>
      </c>
      <c r="AQ96" s="188">
        <v>0.0</v>
      </c>
      <c r="AR96" s="188">
        <v>0.0</v>
      </c>
      <c r="AS96" s="188">
        <v>0.0</v>
      </c>
      <c r="AT96" s="188">
        <v>0.0</v>
      </c>
      <c r="AU96" s="188">
        <v>0.0</v>
      </c>
      <c r="AV96" s="188">
        <v>0.0</v>
      </c>
      <c r="AW96" s="188">
        <v>0.0</v>
      </c>
      <c r="AX96" s="188">
        <v>0.0</v>
      </c>
      <c r="AY96" s="188">
        <v>0.0</v>
      </c>
      <c r="AZ96" s="188">
        <v>0.0</v>
      </c>
      <c r="BA96" s="188">
        <v>0.0</v>
      </c>
      <c r="BB96" s="188">
        <v>0.0</v>
      </c>
      <c r="BC96" s="188">
        <v>0.0</v>
      </c>
      <c r="BD96" s="188">
        <v>0.0</v>
      </c>
      <c r="BE96" s="188">
        <v>0.0</v>
      </c>
      <c r="BF96" s="188">
        <v>0.0</v>
      </c>
    </row>
    <row r="97">
      <c r="A97" s="188">
        <f t="shared" si="5"/>
        <v>0</v>
      </c>
      <c r="B97" s="212">
        <f t="shared" si="92"/>
        <v>0</v>
      </c>
      <c r="C97" s="212">
        <f t="shared" si="108"/>
        <v>0</v>
      </c>
      <c r="D97" s="215">
        <v>47150.0</v>
      </c>
      <c r="E97" s="216">
        <f t="shared" ref="E97:H97" si="192">sumif($J$19:BF96,E$19,$J97:BF97)</f>
        <v>0</v>
      </c>
      <c r="F97" s="216">
        <f t="shared" si="192"/>
        <v>0</v>
      </c>
      <c r="G97" s="216">
        <f t="shared" si="192"/>
        <v>0</v>
      </c>
      <c r="H97" s="216">
        <f t="shared" si="192"/>
        <v>0</v>
      </c>
      <c r="I97" s="202" t="str">
        <f t="shared" si="9"/>
        <v>Future</v>
      </c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E97" s="188">
        <v>0.0</v>
      </c>
      <c r="AF97" s="188">
        <v>0.0</v>
      </c>
      <c r="AG97" s="188">
        <v>0.0</v>
      </c>
      <c r="AH97" s="188">
        <v>0.0</v>
      </c>
      <c r="AI97" s="188">
        <v>0.0</v>
      </c>
      <c r="AJ97" s="188">
        <v>0.0</v>
      </c>
      <c r="AK97" s="188">
        <v>0.0</v>
      </c>
      <c r="AL97" s="188">
        <v>0.0</v>
      </c>
      <c r="AM97" s="188">
        <v>0.0</v>
      </c>
      <c r="AN97" s="188">
        <v>0.0</v>
      </c>
      <c r="AO97" s="188">
        <v>0.0</v>
      </c>
      <c r="AP97" s="188">
        <v>0.0</v>
      </c>
      <c r="AQ97" s="188">
        <v>0.0</v>
      </c>
      <c r="AR97" s="188">
        <v>0.0</v>
      </c>
      <c r="AS97" s="188">
        <v>0.0</v>
      </c>
      <c r="AT97" s="188">
        <v>0.0</v>
      </c>
      <c r="AU97" s="188">
        <v>0.0</v>
      </c>
      <c r="AV97" s="188">
        <v>0.0</v>
      </c>
      <c r="AW97" s="188">
        <v>0.0</v>
      </c>
      <c r="AX97" s="188">
        <v>0.0</v>
      </c>
      <c r="AY97" s="188">
        <v>0.0</v>
      </c>
      <c r="AZ97" s="188">
        <v>0.0</v>
      </c>
      <c r="BA97" s="188">
        <v>0.0</v>
      </c>
      <c r="BB97" s="188">
        <v>0.0</v>
      </c>
      <c r="BC97" s="188">
        <v>0.0</v>
      </c>
      <c r="BD97" s="188">
        <v>0.0</v>
      </c>
      <c r="BE97" s="188">
        <v>0.0</v>
      </c>
      <c r="BF97" s="188">
        <v>0.0</v>
      </c>
    </row>
    <row r="98">
      <c r="A98" s="188">
        <f t="shared" si="5"/>
        <v>0</v>
      </c>
      <c r="B98" s="212">
        <f t="shared" si="92"/>
        <v>0</v>
      </c>
      <c r="C98" s="212">
        <f t="shared" si="108"/>
        <v>0</v>
      </c>
      <c r="D98" s="215">
        <v>47178.0</v>
      </c>
      <c r="E98" s="216">
        <f t="shared" ref="E98:H98" si="193">sumif($J$19:BF97,E$19,$J98:BF98)</f>
        <v>0</v>
      </c>
      <c r="F98" s="216">
        <f t="shared" si="193"/>
        <v>0</v>
      </c>
      <c r="G98" s="216">
        <f t="shared" si="193"/>
        <v>0</v>
      </c>
      <c r="H98" s="216">
        <f t="shared" si="193"/>
        <v>0</v>
      </c>
      <c r="I98" s="202" t="str">
        <f t="shared" si="9"/>
        <v>Future</v>
      </c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E98" s="188">
        <v>0.0</v>
      </c>
      <c r="AF98" s="188">
        <v>0.0</v>
      </c>
      <c r="AG98" s="188">
        <v>0.0</v>
      </c>
      <c r="AH98" s="188">
        <v>0.0</v>
      </c>
      <c r="AI98" s="188">
        <v>0.0</v>
      </c>
      <c r="AJ98" s="188">
        <v>0.0</v>
      </c>
      <c r="AK98" s="188">
        <v>0.0</v>
      </c>
      <c r="AL98" s="188">
        <v>0.0</v>
      </c>
      <c r="AM98" s="188">
        <v>0.0</v>
      </c>
      <c r="AN98" s="188">
        <v>0.0</v>
      </c>
      <c r="AO98" s="188">
        <v>0.0</v>
      </c>
      <c r="AP98" s="188">
        <v>0.0</v>
      </c>
      <c r="AQ98" s="188">
        <v>0.0</v>
      </c>
      <c r="AR98" s="188">
        <v>0.0</v>
      </c>
      <c r="AS98" s="188">
        <v>0.0</v>
      </c>
      <c r="AT98" s="188">
        <v>0.0</v>
      </c>
      <c r="AU98" s="188">
        <v>0.0</v>
      </c>
      <c r="AV98" s="188">
        <v>0.0</v>
      </c>
      <c r="AW98" s="188">
        <v>0.0</v>
      </c>
      <c r="AX98" s="188">
        <v>0.0</v>
      </c>
      <c r="AY98" s="188">
        <v>0.0</v>
      </c>
      <c r="AZ98" s="188">
        <v>0.0</v>
      </c>
      <c r="BA98" s="188">
        <v>0.0</v>
      </c>
      <c r="BB98" s="188">
        <v>0.0</v>
      </c>
      <c r="BC98" s="188">
        <v>0.0</v>
      </c>
      <c r="BD98" s="188">
        <v>0.0</v>
      </c>
      <c r="BE98" s="188">
        <v>0.0</v>
      </c>
      <c r="BF98" s="188">
        <v>0.0</v>
      </c>
    </row>
    <row r="99">
      <c r="A99" s="188">
        <f t="shared" si="5"/>
        <v>0</v>
      </c>
      <c r="B99" s="212">
        <f t="shared" si="92"/>
        <v>0</v>
      </c>
      <c r="C99" s="212">
        <f t="shared" si="108"/>
        <v>0</v>
      </c>
      <c r="D99" s="215">
        <v>47209.0</v>
      </c>
      <c r="E99" s="216">
        <f t="shared" ref="E99:H99" si="194">sumif($J$19:BF98,E$19,$J99:BF99)</f>
        <v>0</v>
      </c>
      <c r="F99" s="216">
        <f t="shared" si="194"/>
        <v>0</v>
      </c>
      <c r="G99" s="216">
        <f t="shared" si="194"/>
        <v>0</v>
      </c>
      <c r="H99" s="216">
        <f t="shared" si="194"/>
        <v>0</v>
      </c>
      <c r="I99" s="202" t="str">
        <f t="shared" si="9"/>
        <v>Future</v>
      </c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E99" s="188">
        <v>0.0</v>
      </c>
      <c r="AF99" s="188">
        <v>0.0</v>
      </c>
      <c r="AG99" s="188">
        <v>0.0</v>
      </c>
      <c r="AH99" s="188">
        <v>0.0</v>
      </c>
      <c r="AI99" s="188">
        <v>0.0</v>
      </c>
      <c r="AJ99" s="188">
        <v>0.0</v>
      </c>
      <c r="AK99" s="188">
        <v>0.0</v>
      </c>
      <c r="AL99" s="188">
        <v>0.0</v>
      </c>
      <c r="AM99" s="188">
        <v>0.0</v>
      </c>
      <c r="AN99" s="188">
        <v>0.0</v>
      </c>
      <c r="AO99" s="188">
        <v>0.0</v>
      </c>
      <c r="AP99" s="188">
        <v>0.0</v>
      </c>
      <c r="AQ99" s="188">
        <v>0.0</v>
      </c>
      <c r="AR99" s="188">
        <v>0.0</v>
      </c>
      <c r="AS99" s="188">
        <v>0.0</v>
      </c>
      <c r="AT99" s="188">
        <v>0.0</v>
      </c>
      <c r="AU99" s="188">
        <v>0.0</v>
      </c>
      <c r="AV99" s="188">
        <v>0.0</v>
      </c>
      <c r="AW99" s="188">
        <v>0.0</v>
      </c>
      <c r="AX99" s="188">
        <v>0.0</v>
      </c>
      <c r="AY99" s="188">
        <v>0.0</v>
      </c>
      <c r="AZ99" s="188">
        <v>0.0</v>
      </c>
      <c r="BA99" s="188">
        <v>0.0</v>
      </c>
      <c r="BB99" s="188">
        <v>0.0</v>
      </c>
      <c r="BC99" s="188">
        <v>0.0</v>
      </c>
      <c r="BD99" s="188">
        <v>0.0</v>
      </c>
      <c r="BE99" s="188">
        <v>0.0</v>
      </c>
      <c r="BF99" s="188">
        <v>0.0</v>
      </c>
    </row>
    <row r="100">
      <c r="A100" s="188">
        <f t="shared" si="5"/>
        <v>0</v>
      </c>
      <c r="B100" s="212">
        <f t="shared" si="92"/>
        <v>0</v>
      </c>
      <c r="C100" s="212">
        <f t="shared" si="108"/>
        <v>0</v>
      </c>
      <c r="D100" s="215">
        <v>47239.0</v>
      </c>
      <c r="E100" s="216">
        <f t="shared" ref="E100:H100" si="195">sumif($J$19:BF99,E$19,$J100:BF100)</f>
        <v>0</v>
      </c>
      <c r="F100" s="216">
        <f t="shared" si="195"/>
        <v>0</v>
      </c>
      <c r="G100" s="216">
        <f t="shared" si="195"/>
        <v>0</v>
      </c>
      <c r="H100" s="216">
        <f t="shared" si="195"/>
        <v>0</v>
      </c>
      <c r="I100" s="202" t="str">
        <f t="shared" si="9"/>
        <v>Future</v>
      </c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E100" s="188">
        <v>0.0</v>
      </c>
      <c r="AF100" s="188">
        <v>0.0</v>
      </c>
      <c r="AG100" s="188">
        <v>0.0</v>
      </c>
      <c r="AH100" s="188">
        <v>0.0</v>
      </c>
      <c r="AI100" s="188">
        <v>0.0</v>
      </c>
      <c r="AJ100" s="188">
        <v>0.0</v>
      </c>
      <c r="AK100" s="188">
        <v>0.0</v>
      </c>
      <c r="AL100" s="188">
        <v>0.0</v>
      </c>
      <c r="AM100" s="188">
        <v>0.0</v>
      </c>
      <c r="AN100" s="188">
        <v>0.0</v>
      </c>
      <c r="AO100" s="188">
        <v>0.0</v>
      </c>
      <c r="AP100" s="188">
        <v>0.0</v>
      </c>
      <c r="AQ100" s="188">
        <v>0.0</v>
      </c>
      <c r="AR100" s="188">
        <v>0.0</v>
      </c>
      <c r="AS100" s="188">
        <v>0.0</v>
      </c>
      <c r="AT100" s="188">
        <v>0.0</v>
      </c>
      <c r="AU100" s="188">
        <v>0.0</v>
      </c>
      <c r="AV100" s="188">
        <v>0.0</v>
      </c>
      <c r="AW100" s="188">
        <v>0.0</v>
      </c>
      <c r="AX100" s="188">
        <v>0.0</v>
      </c>
      <c r="AY100" s="188">
        <v>0.0</v>
      </c>
      <c r="AZ100" s="188">
        <v>0.0</v>
      </c>
      <c r="BA100" s="188">
        <v>0.0</v>
      </c>
      <c r="BB100" s="188">
        <v>0.0</v>
      </c>
      <c r="BC100" s="188">
        <v>0.0</v>
      </c>
      <c r="BD100" s="188">
        <v>0.0</v>
      </c>
      <c r="BE100" s="188">
        <v>0.0</v>
      </c>
      <c r="BF100" s="188">
        <v>0.0</v>
      </c>
    </row>
    <row r="101">
      <c r="A101" s="188">
        <f t="shared" si="5"/>
        <v>0</v>
      </c>
      <c r="B101" s="212">
        <f t="shared" si="92"/>
        <v>0</v>
      </c>
      <c r="C101" s="212">
        <f t="shared" si="108"/>
        <v>0</v>
      </c>
      <c r="D101" s="215">
        <v>47270.0</v>
      </c>
      <c r="E101" s="216">
        <f t="shared" ref="E101:H101" si="196">sumif($J$19:BF100,E$19,$J101:BF101)</f>
        <v>0</v>
      </c>
      <c r="F101" s="216">
        <f t="shared" si="196"/>
        <v>0</v>
      </c>
      <c r="G101" s="216">
        <f t="shared" si="196"/>
        <v>0</v>
      </c>
      <c r="H101" s="216">
        <f t="shared" si="196"/>
        <v>0</v>
      </c>
      <c r="I101" s="202" t="str">
        <f t="shared" si="9"/>
        <v>Future</v>
      </c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E101" s="188">
        <v>0.0</v>
      </c>
      <c r="AF101" s="188">
        <v>0.0</v>
      </c>
      <c r="AG101" s="188">
        <v>0.0</v>
      </c>
      <c r="AH101" s="188">
        <v>0.0</v>
      </c>
      <c r="AI101" s="188">
        <v>0.0</v>
      </c>
      <c r="AJ101" s="188">
        <v>0.0</v>
      </c>
      <c r="AK101" s="188">
        <v>0.0</v>
      </c>
      <c r="AL101" s="188">
        <v>0.0</v>
      </c>
      <c r="AM101" s="188">
        <v>0.0</v>
      </c>
      <c r="AN101" s="188">
        <v>0.0</v>
      </c>
      <c r="AO101" s="188">
        <v>0.0</v>
      </c>
      <c r="AP101" s="188">
        <v>0.0</v>
      </c>
      <c r="AQ101" s="188">
        <v>0.0</v>
      </c>
      <c r="AR101" s="188">
        <v>0.0</v>
      </c>
      <c r="AS101" s="188">
        <v>0.0</v>
      </c>
      <c r="AT101" s="188">
        <v>0.0</v>
      </c>
      <c r="AU101" s="188">
        <v>0.0</v>
      </c>
      <c r="AV101" s="188">
        <v>0.0</v>
      </c>
      <c r="AW101" s="188">
        <v>0.0</v>
      </c>
      <c r="AX101" s="188">
        <v>0.0</v>
      </c>
      <c r="AY101" s="188">
        <v>0.0</v>
      </c>
      <c r="AZ101" s="188">
        <v>0.0</v>
      </c>
      <c r="BA101" s="188">
        <v>0.0</v>
      </c>
      <c r="BB101" s="188">
        <v>0.0</v>
      </c>
      <c r="BC101" s="188">
        <v>0.0</v>
      </c>
      <c r="BD101" s="188">
        <v>0.0</v>
      </c>
      <c r="BE101" s="188">
        <v>0.0</v>
      </c>
      <c r="BF101" s="188">
        <v>0.0</v>
      </c>
    </row>
    <row r="102">
      <c r="A102" s="188">
        <f t="shared" si="5"/>
        <v>0</v>
      </c>
      <c r="B102" s="212">
        <f t="shared" si="92"/>
        <v>0</v>
      </c>
      <c r="C102" s="212">
        <f t="shared" si="108"/>
        <v>0</v>
      </c>
      <c r="D102" s="215">
        <v>47300.0</v>
      </c>
      <c r="E102" s="216">
        <f t="shared" ref="E102:H102" si="197">sumif($J$19:BF101,E$19,$J102:BF102)</f>
        <v>0</v>
      </c>
      <c r="F102" s="216">
        <f t="shared" si="197"/>
        <v>0</v>
      </c>
      <c r="G102" s="216">
        <f t="shared" si="197"/>
        <v>0</v>
      </c>
      <c r="H102" s="216">
        <f t="shared" si="197"/>
        <v>0</v>
      </c>
      <c r="I102" s="202" t="str">
        <f t="shared" si="9"/>
        <v>Future</v>
      </c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E102" s="188">
        <v>0.0</v>
      </c>
      <c r="AF102" s="188">
        <v>0.0</v>
      </c>
      <c r="AG102" s="188">
        <v>0.0</v>
      </c>
      <c r="AH102" s="188">
        <v>0.0</v>
      </c>
      <c r="AI102" s="188">
        <v>0.0</v>
      </c>
      <c r="AJ102" s="188">
        <v>0.0</v>
      </c>
      <c r="AK102" s="188">
        <v>0.0</v>
      </c>
      <c r="AL102" s="188">
        <v>0.0</v>
      </c>
      <c r="AM102" s="188">
        <v>0.0</v>
      </c>
      <c r="AN102" s="188">
        <v>0.0</v>
      </c>
      <c r="AO102" s="188">
        <v>0.0</v>
      </c>
      <c r="AP102" s="188">
        <v>0.0</v>
      </c>
      <c r="AQ102" s="188">
        <v>0.0</v>
      </c>
      <c r="AR102" s="188">
        <v>0.0</v>
      </c>
      <c r="AS102" s="188">
        <v>0.0</v>
      </c>
      <c r="AT102" s="188">
        <v>0.0</v>
      </c>
      <c r="AU102" s="188">
        <v>0.0</v>
      </c>
      <c r="AV102" s="188">
        <v>0.0</v>
      </c>
      <c r="AW102" s="188">
        <v>0.0</v>
      </c>
      <c r="AX102" s="188">
        <v>0.0</v>
      </c>
      <c r="AY102" s="188">
        <v>0.0</v>
      </c>
      <c r="AZ102" s="188">
        <v>0.0</v>
      </c>
      <c r="BA102" s="188">
        <v>0.0</v>
      </c>
      <c r="BB102" s="188">
        <v>0.0</v>
      </c>
      <c r="BC102" s="188">
        <v>0.0</v>
      </c>
      <c r="BD102" s="188">
        <v>0.0</v>
      </c>
      <c r="BE102" s="188">
        <v>0.0</v>
      </c>
      <c r="BF102" s="188">
        <v>0.0</v>
      </c>
    </row>
    <row r="103">
      <c r="A103" s="188">
        <f t="shared" si="5"/>
        <v>0</v>
      </c>
      <c r="B103" s="212">
        <f t="shared" si="92"/>
        <v>0</v>
      </c>
      <c r="C103" s="212">
        <f t="shared" si="108"/>
        <v>0</v>
      </c>
      <c r="D103" s="215">
        <v>47331.0</v>
      </c>
      <c r="E103" s="216">
        <f t="shared" ref="E103:H103" si="198">sumif($J$19:BF102,E$19,$J103:BF103)</f>
        <v>0</v>
      </c>
      <c r="F103" s="216">
        <f t="shared" si="198"/>
        <v>0</v>
      </c>
      <c r="G103" s="216">
        <f t="shared" si="198"/>
        <v>0</v>
      </c>
      <c r="H103" s="216">
        <f t="shared" si="198"/>
        <v>0</v>
      </c>
      <c r="I103" s="202" t="str">
        <f t="shared" si="9"/>
        <v>Future</v>
      </c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E103" s="188">
        <v>0.0</v>
      </c>
      <c r="AF103" s="188">
        <v>0.0</v>
      </c>
      <c r="AG103" s="188">
        <v>0.0</v>
      </c>
      <c r="AH103" s="188">
        <v>0.0</v>
      </c>
      <c r="AI103" s="188">
        <v>0.0</v>
      </c>
      <c r="AJ103" s="188">
        <v>0.0</v>
      </c>
      <c r="AK103" s="188">
        <v>0.0</v>
      </c>
      <c r="AL103" s="188">
        <v>0.0</v>
      </c>
      <c r="AM103" s="188">
        <v>0.0</v>
      </c>
      <c r="AN103" s="188">
        <v>0.0</v>
      </c>
      <c r="AO103" s="188">
        <v>0.0</v>
      </c>
      <c r="AP103" s="188">
        <v>0.0</v>
      </c>
      <c r="AQ103" s="188">
        <v>0.0</v>
      </c>
      <c r="AR103" s="188">
        <v>0.0</v>
      </c>
      <c r="AS103" s="188">
        <v>0.0</v>
      </c>
      <c r="AT103" s="188">
        <v>0.0</v>
      </c>
      <c r="AU103" s="188">
        <v>0.0</v>
      </c>
      <c r="AV103" s="188">
        <v>0.0</v>
      </c>
      <c r="AW103" s="188">
        <v>0.0</v>
      </c>
      <c r="AX103" s="188">
        <v>0.0</v>
      </c>
      <c r="AY103" s="188">
        <v>0.0</v>
      </c>
      <c r="AZ103" s="188">
        <v>0.0</v>
      </c>
      <c r="BA103" s="188">
        <v>0.0</v>
      </c>
      <c r="BB103" s="188">
        <v>0.0</v>
      </c>
      <c r="BC103" s="188">
        <v>0.0</v>
      </c>
      <c r="BD103" s="188">
        <v>0.0</v>
      </c>
      <c r="BE103" s="188">
        <v>0.0</v>
      </c>
      <c r="BF103" s="188">
        <v>0.0</v>
      </c>
    </row>
    <row r="104">
      <c r="A104" s="188">
        <f t="shared" si="5"/>
        <v>0</v>
      </c>
      <c r="B104" s="212">
        <f t="shared" si="92"/>
        <v>0</v>
      </c>
      <c r="C104" s="212">
        <f t="shared" si="108"/>
        <v>0</v>
      </c>
      <c r="D104" s="215">
        <v>47362.0</v>
      </c>
      <c r="E104" s="216">
        <f t="shared" ref="E104:H104" si="199">sumif($J$19:BF103,E$19,$J104:BF104)</f>
        <v>0</v>
      </c>
      <c r="F104" s="216">
        <f t="shared" si="199"/>
        <v>0</v>
      </c>
      <c r="G104" s="216">
        <f t="shared" si="199"/>
        <v>0</v>
      </c>
      <c r="H104" s="216">
        <f t="shared" si="199"/>
        <v>0</v>
      </c>
      <c r="I104" s="202" t="str">
        <f t="shared" si="9"/>
        <v>Future</v>
      </c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E104" s="188">
        <v>0.0</v>
      </c>
      <c r="AF104" s="188">
        <v>0.0</v>
      </c>
      <c r="AG104" s="188">
        <v>0.0</v>
      </c>
      <c r="AH104" s="188">
        <v>0.0</v>
      </c>
      <c r="AI104" s="188">
        <v>0.0</v>
      </c>
      <c r="AJ104" s="188">
        <v>0.0</v>
      </c>
      <c r="AK104" s="188">
        <v>0.0</v>
      </c>
      <c r="AL104" s="188">
        <v>0.0</v>
      </c>
      <c r="AM104" s="188">
        <v>0.0</v>
      </c>
      <c r="AN104" s="188">
        <v>0.0</v>
      </c>
      <c r="AO104" s="188">
        <v>0.0</v>
      </c>
      <c r="AP104" s="188">
        <v>0.0</v>
      </c>
      <c r="AQ104" s="188">
        <v>0.0</v>
      </c>
      <c r="AR104" s="188">
        <v>0.0</v>
      </c>
      <c r="AS104" s="188">
        <v>0.0</v>
      </c>
      <c r="AT104" s="188">
        <v>0.0</v>
      </c>
      <c r="AU104" s="188">
        <v>0.0</v>
      </c>
      <c r="AV104" s="188">
        <v>0.0</v>
      </c>
      <c r="AW104" s="188">
        <v>0.0</v>
      </c>
      <c r="AX104" s="188">
        <v>0.0</v>
      </c>
      <c r="AY104" s="188">
        <v>0.0</v>
      </c>
      <c r="AZ104" s="188">
        <v>0.0</v>
      </c>
      <c r="BA104" s="188">
        <v>0.0</v>
      </c>
      <c r="BB104" s="188">
        <v>0.0</v>
      </c>
      <c r="BC104" s="188">
        <v>0.0</v>
      </c>
      <c r="BD104" s="188">
        <v>0.0</v>
      </c>
      <c r="BE104" s="188">
        <v>0.0</v>
      </c>
      <c r="BF104" s="188">
        <v>0.0</v>
      </c>
    </row>
    <row r="105">
      <c r="A105" s="188">
        <f t="shared" si="5"/>
        <v>0</v>
      </c>
      <c r="B105" s="212">
        <f t="shared" si="92"/>
        <v>0</v>
      </c>
      <c r="C105" s="212">
        <f t="shared" si="108"/>
        <v>0</v>
      </c>
      <c r="D105" s="215">
        <v>47392.0</v>
      </c>
      <c r="E105" s="216">
        <f t="shared" ref="E105:H105" si="200">sumif($J$19:BF104,E$19,$J105:BF105)</f>
        <v>0</v>
      </c>
      <c r="F105" s="216">
        <f t="shared" si="200"/>
        <v>0</v>
      </c>
      <c r="G105" s="216">
        <f t="shared" si="200"/>
        <v>0</v>
      </c>
      <c r="H105" s="216">
        <f t="shared" si="200"/>
        <v>0</v>
      </c>
      <c r="I105" s="202" t="str">
        <f t="shared" si="9"/>
        <v>Future</v>
      </c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E105" s="188">
        <v>0.0</v>
      </c>
      <c r="AF105" s="188">
        <v>0.0</v>
      </c>
      <c r="AG105" s="188">
        <v>0.0</v>
      </c>
      <c r="AH105" s="188">
        <v>0.0</v>
      </c>
      <c r="AI105" s="188">
        <v>0.0</v>
      </c>
      <c r="AJ105" s="188">
        <v>0.0</v>
      </c>
      <c r="AK105" s="188">
        <v>0.0</v>
      </c>
      <c r="AL105" s="188">
        <v>0.0</v>
      </c>
      <c r="AM105" s="188">
        <v>0.0</v>
      </c>
      <c r="AN105" s="188">
        <v>0.0</v>
      </c>
      <c r="AO105" s="188">
        <v>0.0</v>
      </c>
      <c r="AP105" s="188">
        <v>0.0</v>
      </c>
      <c r="AQ105" s="188">
        <v>0.0</v>
      </c>
      <c r="AR105" s="188">
        <v>0.0</v>
      </c>
      <c r="AS105" s="188">
        <v>0.0</v>
      </c>
      <c r="AT105" s="188">
        <v>0.0</v>
      </c>
      <c r="AU105" s="188">
        <v>0.0</v>
      </c>
      <c r="AV105" s="188">
        <v>0.0</v>
      </c>
      <c r="AW105" s="188">
        <v>0.0</v>
      </c>
      <c r="AX105" s="188">
        <v>0.0</v>
      </c>
      <c r="AY105" s="188">
        <v>0.0</v>
      </c>
      <c r="AZ105" s="188">
        <v>0.0</v>
      </c>
      <c r="BA105" s="188">
        <v>0.0</v>
      </c>
      <c r="BB105" s="188">
        <v>0.0</v>
      </c>
      <c r="BC105" s="188">
        <v>0.0</v>
      </c>
      <c r="BD105" s="188">
        <v>0.0</v>
      </c>
      <c r="BE105" s="188">
        <v>0.0</v>
      </c>
      <c r="BF105" s="188">
        <v>0.0</v>
      </c>
    </row>
    <row r="106">
      <c r="A106" s="188">
        <f t="shared" si="5"/>
        <v>0</v>
      </c>
      <c r="B106" s="212">
        <f t="shared" si="92"/>
        <v>0</v>
      </c>
      <c r="C106" s="212">
        <f t="shared" si="108"/>
        <v>0</v>
      </c>
      <c r="D106" s="215">
        <v>47423.0</v>
      </c>
      <c r="E106" s="216">
        <f t="shared" ref="E106:H106" si="201">sumif($J$19:BF105,E$19,$J106:BF106)</f>
        <v>0</v>
      </c>
      <c r="F106" s="216">
        <f t="shared" si="201"/>
        <v>0</v>
      </c>
      <c r="G106" s="216">
        <f t="shared" si="201"/>
        <v>0</v>
      </c>
      <c r="H106" s="216">
        <f t="shared" si="201"/>
        <v>0</v>
      </c>
      <c r="I106" s="202" t="str">
        <f t="shared" si="9"/>
        <v>Future</v>
      </c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E106" s="188">
        <v>0.0</v>
      </c>
      <c r="AF106" s="188">
        <v>0.0</v>
      </c>
      <c r="AG106" s="188">
        <v>0.0</v>
      </c>
      <c r="AH106" s="188">
        <v>0.0</v>
      </c>
      <c r="AI106" s="188">
        <v>0.0</v>
      </c>
      <c r="AJ106" s="188">
        <v>0.0</v>
      </c>
      <c r="AK106" s="188">
        <v>0.0</v>
      </c>
      <c r="AL106" s="188">
        <v>0.0</v>
      </c>
      <c r="AM106" s="188">
        <v>0.0</v>
      </c>
      <c r="AN106" s="188">
        <v>0.0</v>
      </c>
      <c r="AO106" s="188">
        <v>0.0</v>
      </c>
      <c r="AP106" s="188">
        <v>0.0</v>
      </c>
      <c r="AQ106" s="188">
        <v>0.0</v>
      </c>
      <c r="AR106" s="188">
        <v>0.0</v>
      </c>
      <c r="AS106" s="188">
        <v>0.0</v>
      </c>
      <c r="AT106" s="188">
        <v>0.0</v>
      </c>
      <c r="AU106" s="188">
        <v>0.0</v>
      </c>
      <c r="AV106" s="188">
        <v>0.0</v>
      </c>
      <c r="AW106" s="188">
        <v>0.0</v>
      </c>
      <c r="AX106" s="188">
        <v>0.0</v>
      </c>
      <c r="AY106" s="188">
        <v>0.0</v>
      </c>
      <c r="AZ106" s="188">
        <v>0.0</v>
      </c>
      <c r="BA106" s="188">
        <v>0.0</v>
      </c>
      <c r="BB106" s="188">
        <v>0.0</v>
      </c>
      <c r="BC106" s="188">
        <v>0.0</v>
      </c>
      <c r="BD106" s="188">
        <v>0.0</v>
      </c>
      <c r="BE106" s="188">
        <v>0.0</v>
      </c>
      <c r="BF106" s="188">
        <v>0.0</v>
      </c>
    </row>
    <row r="107">
      <c r="A107" s="188">
        <f t="shared" si="5"/>
        <v>0</v>
      </c>
      <c r="B107" s="212">
        <f t="shared" si="92"/>
        <v>0</v>
      </c>
      <c r="C107" s="212">
        <f t="shared" si="108"/>
        <v>0</v>
      </c>
      <c r="D107" s="215">
        <v>47453.0</v>
      </c>
      <c r="E107" s="216">
        <f t="shared" ref="E107:H107" si="202">sumif($J$19:BF106,E$19,$J107:BF107)</f>
        <v>0</v>
      </c>
      <c r="F107" s="216">
        <f t="shared" si="202"/>
        <v>0</v>
      </c>
      <c r="G107" s="216">
        <f t="shared" si="202"/>
        <v>0</v>
      </c>
      <c r="H107" s="216">
        <f t="shared" si="202"/>
        <v>0</v>
      </c>
      <c r="I107" s="202" t="str">
        <f t="shared" si="9"/>
        <v>Future</v>
      </c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E107" s="188">
        <v>0.0</v>
      </c>
      <c r="AF107" s="188">
        <v>0.0</v>
      </c>
      <c r="AG107" s="188">
        <v>0.0</v>
      </c>
      <c r="AH107" s="188">
        <v>0.0</v>
      </c>
      <c r="AI107" s="188">
        <v>0.0</v>
      </c>
      <c r="AJ107" s="188">
        <v>0.0</v>
      </c>
      <c r="AK107" s="188">
        <v>0.0</v>
      </c>
      <c r="AL107" s="188">
        <v>0.0</v>
      </c>
      <c r="AM107" s="188">
        <v>0.0</v>
      </c>
      <c r="AN107" s="188">
        <v>0.0</v>
      </c>
      <c r="AO107" s="188">
        <v>0.0</v>
      </c>
      <c r="AP107" s="188">
        <v>0.0</v>
      </c>
      <c r="AQ107" s="188">
        <v>0.0</v>
      </c>
      <c r="AR107" s="188">
        <v>0.0</v>
      </c>
      <c r="AS107" s="188">
        <v>0.0</v>
      </c>
      <c r="AT107" s="188">
        <v>0.0</v>
      </c>
      <c r="AU107" s="188">
        <v>0.0</v>
      </c>
      <c r="AV107" s="188">
        <v>0.0</v>
      </c>
      <c r="AW107" s="188">
        <v>0.0</v>
      </c>
      <c r="AX107" s="188">
        <v>0.0</v>
      </c>
      <c r="AY107" s="188">
        <v>0.0</v>
      </c>
      <c r="AZ107" s="188">
        <v>0.0</v>
      </c>
      <c r="BA107" s="188">
        <v>0.0</v>
      </c>
      <c r="BB107" s="188">
        <v>0.0</v>
      </c>
      <c r="BC107" s="188">
        <v>0.0</v>
      </c>
      <c r="BD107" s="188">
        <v>0.0</v>
      </c>
      <c r="BE107" s="188">
        <v>0.0</v>
      </c>
      <c r="BF107" s="188">
        <v>0.0</v>
      </c>
    </row>
    <row r="108">
      <c r="A108" s="188">
        <f t="shared" si="5"/>
        <v>0</v>
      </c>
      <c r="B108" s="212">
        <f t="shared" si="92"/>
        <v>0</v>
      </c>
      <c r="C108" s="212">
        <f t="shared" si="108"/>
        <v>0</v>
      </c>
      <c r="D108" s="215">
        <v>47484.0</v>
      </c>
      <c r="E108" s="216">
        <f t="shared" ref="E108:H108" si="203">sumif($J$19:BF107,E$19,$J108:BF108)</f>
        <v>0</v>
      </c>
      <c r="F108" s="216">
        <f t="shared" si="203"/>
        <v>0</v>
      </c>
      <c r="G108" s="216">
        <f t="shared" si="203"/>
        <v>0</v>
      </c>
      <c r="H108" s="216">
        <f t="shared" si="203"/>
        <v>0</v>
      </c>
      <c r="I108" s="202" t="str">
        <f t="shared" si="9"/>
        <v>Future</v>
      </c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E108" s="188">
        <v>0.0</v>
      </c>
      <c r="AF108" s="188">
        <v>0.0</v>
      </c>
      <c r="AG108" s="188">
        <v>0.0</v>
      </c>
      <c r="AH108" s="188">
        <v>0.0</v>
      </c>
      <c r="AI108" s="188">
        <v>0.0</v>
      </c>
      <c r="AJ108" s="188">
        <v>0.0</v>
      </c>
      <c r="AK108" s="188">
        <v>0.0</v>
      </c>
      <c r="AL108" s="188">
        <v>0.0</v>
      </c>
      <c r="AM108" s="188">
        <v>0.0</v>
      </c>
      <c r="AN108" s="188">
        <v>0.0</v>
      </c>
      <c r="AO108" s="188">
        <v>0.0</v>
      </c>
      <c r="AP108" s="188">
        <v>0.0</v>
      </c>
      <c r="AQ108" s="188">
        <v>0.0</v>
      </c>
      <c r="AR108" s="188">
        <v>0.0</v>
      </c>
      <c r="AS108" s="188">
        <v>0.0</v>
      </c>
      <c r="AT108" s="188">
        <v>0.0</v>
      </c>
      <c r="AU108" s="188">
        <v>0.0</v>
      </c>
      <c r="AV108" s="188">
        <v>0.0</v>
      </c>
      <c r="AW108" s="188">
        <v>0.0</v>
      </c>
      <c r="AX108" s="188">
        <v>0.0</v>
      </c>
      <c r="AY108" s="188">
        <v>0.0</v>
      </c>
      <c r="AZ108" s="188">
        <v>0.0</v>
      </c>
      <c r="BA108" s="188">
        <v>0.0</v>
      </c>
      <c r="BB108" s="188">
        <v>0.0</v>
      </c>
      <c r="BC108" s="188">
        <v>0.0</v>
      </c>
      <c r="BD108" s="188">
        <v>0.0</v>
      </c>
      <c r="BE108" s="188">
        <v>0.0</v>
      </c>
      <c r="BF108" s="188">
        <v>0.0</v>
      </c>
    </row>
    <row r="109">
      <c r="A109" s="188">
        <f t="shared" si="5"/>
        <v>0</v>
      </c>
      <c r="B109" s="212">
        <f t="shared" si="92"/>
        <v>0</v>
      </c>
      <c r="C109" s="212">
        <f t="shared" si="108"/>
        <v>0</v>
      </c>
      <c r="D109" s="215">
        <v>47515.0</v>
      </c>
      <c r="E109" s="216">
        <f t="shared" ref="E109:H109" si="204">sumif($J$19:BF108,E$19,$J109:BF109)</f>
        <v>0</v>
      </c>
      <c r="F109" s="216">
        <f t="shared" si="204"/>
        <v>0</v>
      </c>
      <c r="G109" s="216">
        <f t="shared" si="204"/>
        <v>0</v>
      </c>
      <c r="H109" s="216">
        <f t="shared" si="204"/>
        <v>0</v>
      </c>
      <c r="I109" s="202" t="str">
        <f t="shared" si="9"/>
        <v>Future</v>
      </c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E109" s="188">
        <v>0.0</v>
      </c>
      <c r="AF109" s="188">
        <v>0.0</v>
      </c>
      <c r="AG109" s="188">
        <v>0.0</v>
      </c>
      <c r="AH109" s="188">
        <v>0.0</v>
      </c>
      <c r="AI109" s="188">
        <v>0.0</v>
      </c>
      <c r="AJ109" s="188">
        <v>0.0</v>
      </c>
      <c r="AK109" s="188">
        <v>0.0</v>
      </c>
      <c r="AL109" s="188">
        <v>0.0</v>
      </c>
      <c r="AM109" s="188">
        <v>0.0</v>
      </c>
      <c r="AN109" s="188">
        <v>0.0</v>
      </c>
      <c r="AO109" s="188">
        <v>0.0</v>
      </c>
      <c r="AP109" s="188">
        <v>0.0</v>
      </c>
      <c r="AQ109" s="188">
        <v>0.0</v>
      </c>
      <c r="AR109" s="188">
        <v>0.0</v>
      </c>
      <c r="AS109" s="188">
        <v>0.0</v>
      </c>
      <c r="AT109" s="188">
        <v>0.0</v>
      </c>
      <c r="AU109" s="188">
        <v>0.0</v>
      </c>
      <c r="AV109" s="188">
        <v>0.0</v>
      </c>
      <c r="AW109" s="188">
        <v>0.0</v>
      </c>
      <c r="AX109" s="188">
        <v>0.0</v>
      </c>
      <c r="AY109" s="188">
        <v>0.0</v>
      </c>
      <c r="AZ109" s="188">
        <v>0.0</v>
      </c>
      <c r="BA109" s="188">
        <v>0.0</v>
      </c>
      <c r="BB109" s="188">
        <v>0.0</v>
      </c>
      <c r="BC109" s="188">
        <v>0.0</v>
      </c>
      <c r="BD109" s="188">
        <v>0.0</v>
      </c>
      <c r="BE109" s="188">
        <v>0.0</v>
      </c>
      <c r="BF109" s="188">
        <v>0.0</v>
      </c>
    </row>
    <row r="110">
      <c r="A110" s="188">
        <f t="shared" si="5"/>
        <v>0</v>
      </c>
      <c r="B110" s="212">
        <f t="shared" si="92"/>
        <v>0</v>
      </c>
      <c r="C110" s="212">
        <f t="shared" si="108"/>
        <v>0</v>
      </c>
      <c r="D110" s="215">
        <v>47543.0</v>
      </c>
      <c r="E110" s="216">
        <f t="shared" ref="E110:H110" si="205">sumif($J$19:BF109,E$19,$J110:BF110)</f>
        <v>0</v>
      </c>
      <c r="F110" s="216">
        <f t="shared" si="205"/>
        <v>0</v>
      </c>
      <c r="G110" s="216">
        <f t="shared" si="205"/>
        <v>0</v>
      </c>
      <c r="H110" s="216">
        <f t="shared" si="205"/>
        <v>0</v>
      </c>
      <c r="I110" s="202" t="str">
        <f t="shared" si="9"/>
        <v>Future</v>
      </c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E110" s="188">
        <v>0.0</v>
      </c>
      <c r="AF110" s="188">
        <v>0.0</v>
      </c>
      <c r="AG110" s="188">
        <v>0.0</v>
      </c>
      <c r="AH110" s="188">
        <v>0.0</v>
      </c>
      <c r="AI110" s="188">
        <v>0.0</v>
      </c>
      <c r="AJ110" s="188">
        <v>0.0</v>
      </c>
      <c r="AK110" s="188">
        <v>0.0</v>
      </c>
      <c r="AL110" s="188">
        <v>0.0</v>
      </c>
      <c r="AM110" s="188">
        <v>0.0</v>
      </c>
      <c r="AN110" s="188">
        <v>0.0</v>
      </c>
      <c r="AO110" s="188">
        <v>0.0</v>
      </c>
      <c r="AP110" s="188">
        <v>0.0</v>
      </c>
      <c r="AQ110" s="188">
        <v>0.0</v>
      </c>
      <c r="AR110" s="188">
        <v>0.0</v>
      </c>
      <c r="AS110" s="188">
        <v>0.0</v>
      </c>
      <c r="AT110" s="188">
        <v>0.0</v>
      </c>
      <c r="AU110" s="188">
        <v>0.0</v>
      </c>
      <c r="AV110" s="188">
        <v>0.0</v>
      </c>
      <c r="AW110" s="188">
        <v>0.0</v>
      </c>
      <c r="AX110" s="188">
        <v>0.0</v>
      </c>
      <c r="AY110" s="188">
        <v>0.0</v>
      </c>
      <c r="AZ110" s="188">
        <v>0.0</v>
      </c>
      <c r="BA110" s="188">
        <v>0.0</v>
      </c>
      <c r="BB110" s="188">
        <v>0.0</v>
      </c>
      <c r="BC110" s="188">
        <v>0.0</v>
      </c>
      <c r="BD110" s="188">
        <v>0.0</v>
      </c>
      <c r="BE110" s="188">
        <v>0.0</v>
      </c>
      <c r="BF110" s="188">
        <v>0.0</v>
      </c>
    </row>
    <row r="111">
      <c r="A111" s="188">
        <f t="shared" si="5"/>
        <v>0</v>
      </c>
      <c r="B111" s="212">
        <f t="shared" si="92"/>
        <v>0</v>
      </c>
      <c r="C111" s="212">
        <f t="shared" si="108"/>
        <v>0</v>
      </c>
      <c r="D111" s="215">
        <v>47574.0</v>
      </c>
      <c r="E111" s="216">
        <f t="shared" ref="E111:H111" si="206">sumif($J$19:BF110,E$19,$J111:BF111)</f>
        <v>0</v>
      </c>
      <c r="F111" s="216">
        <f t="shared" si="206"/>
        <v>0</v>
      </c>
      <c r="G111" s="216">
        <f t="shared" si="206"/>
        <v>0</v>
      </c>
      <c r="H111" s="216">
        <f t="shared" si="206"/>
        <v>0</v>
      </c>
      <c r="I111" s="202" t="str">
        <f t="shared" si="9"/>
        <v>Future</v>
      </c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E111" s="188">
        <v>0.0</v>
      </c>
      <c r="AF111" s="188">
        <v>0.0</v>
      </c>
      <c r="AG111" s="188">
        <v>0.0</v>
      </c>
      <c r="AH111" s="188">
        <v>0.0</v>
      </c>
      <c r="AI111" s="188">
        <v>0.0</v>
      </c>
      <c r="AJ111" s="188">
        <v>0.0</v>
      </c>
      <c r="AK111" s="188">
        <v>0.0</v>
      </c>
      <c r="AL111" s="188">
        <v>0.0</v>
      </c>
      <c r="AM111" s="188">
        <v>0.0</v>
      </c>
      <c r="AN111" s="188">
        <v>0.0</v>
      </c>
      <c r="AO111" s="188">
        <v>0.0</v>
      </c>
      <c r="AP111" s="188">
        <v>0.0</v>
      </c>
      <c r="AQ111" s="188">
        <v>0.0</v>
      </c>
      <c r="AR111" s="188">
        <v>0.0</v>
      </c>
      <c r="AS111" s="188">
        <v>0.0</v>
      </c>
      <c r="AT111" s="188">
        <v>0.0</v>
      </c>
      <c r="AU111" s="188">
        <v>0.0</v>
      </c>
      <c r="AV111" s="188">
        <v>0.0</v>
      </c>
      <c r="AW111" s="188">
        <v>0.0</v>
      </c>
      <c r="AX111" s="188">
        <v>0.0</v>
      </c>
      <c r="AY111" s="188">
        <v>0.0</v>
      </c>
      <c r="AZ111" s="188">
        <v>0.0</v>
      </c>
      <c r="BA111" s="188">
        <v>0.0</v>
      </c>
      <c r="BB111" s="188">
        <v>0.0</v>
      </c>
      <c r="BC111" s="188">
        <v>0.0</v>
      </c>
      <c r="BD111" s="188">
        <v>0.0</v>
      </c>
      <c r="BE111" s="188">
        <v>0.0</v>
      </c>
      <c r="BF111" s="188">
        <v>0.0</v>
      </c>
    </row>
    <row r="112">
      <c r="A112" s="188">
        <f t="shared" si="5"/>
        <v>0</v>
      </c>
      <c r="B112" s="212">
        <f t="shared" si="92"/>
        <v>0</v>
      </c>
      <c r="C112" s="212">
        <f t="shared" si="108"/>
        <v>0</v>
      </c>
      <c r="D112" s="215">
        <v>47604.0</v>
      </c>
      <c r="E112" s="216">
        <f t="shared" ref="E112:H112" si="207">sumif($J$19:BF111,E$19,$J112:BF112)</f>
        <v>0</v>
      </c>
      <c r="F112" s="216">
        <f t="shared" si="207"/>
        <v>0</v>
      </c>
      <c r="G112" s="216">
        <f t="shared" si="207"/>
        <v>0</v>
      </c>
      <c r="H112" s="216">
        <f t="shared" si="207"/>
        <v>0</v>
      </c>
      <c r="I112" s="202" t="str">
        <f t="shared" si="9"/>
        <v>Future</v>
      </c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E112" s="188">
        <v>0.0</v>
      </c>
      <c r="AF112" s="188">
        <v>0.0</v>
      </c>
      <c r="AG112" s="188">
        <v>0.0</v>
      </c>
      <c r="AH112" s="188">
        <v>0.0</v>
      </c>
      <c r="AI112" s="188">
        <v>0.0</v>
      </c>
      <c r="AJ112" s="188">
        <v>0.0</v>
      </c>
      <c r="AK112" s="188">
        <v>0.0</v>
      </c>
      <c r="AL112" s="188">
        <v>0.0</v>
      </c>
      <c r="AM112" s="188">
        <v>0.0</v>
      </c>
      <c r="AN112" s="188">
        <v>0.0</v>
      </c>
      <c r="AO112" s="188">
        <v>0.0</v>
      </c>
      <c r="AP112" s="188">
        <v>0.0</v>
      </c>
      <c r="AQ112" s="188">
        <v>0.0</v>
      </c>
      <c r="AR112" s="188">
        <v>0.0</v>
      </c>
      <c r="AS112" s="188">
        <v>0.0</v>
      </c>
      <c r="AT112" s="188">
        <v>0.0</v>
      </c>
      <c r="AU112" s="188">
        <v>0.0</v>
      </c>
      <c r="AV112" s="188">
        <v>0.0</v>
      </c>
      <c r="AW112" s="188">
        <v>0.0</v>
      </c>
      <c r="AX112" s="188">
        <v>0.0</v>
      </c>
      <c r="AY112" s="188">
        <v>0.0</v>
      </c>
      <c r="AZ112" s="188">
        <v>0.0</v>
      </c>
      <c r="BA112" s="188">
        <v>0.0</v>
      </c>
      <c r="BB112" s="188">
        <v>0.0</v>
      </c>
      <c r="BC112" s="188">
        <v>0.0</v>
      </c>
      <c r="BD112" s="188">
        <v>0.0</v>
      </c>
      <c r="BE112" s="188">
        <v>0.0</v>
      </c>
      <c r="BF112" s="188">
        <v>0.0</v>
      </c>
    </row>
    <row r="113">
      <c r="A113" s="188">
        <f t="shared" si="5"/>
        <v>0</v>
      </c>
      <c r="B113" s="212">
        <f t="shared" si="92"/>
        <v>0</v>
      </c>
      <c r="C113" s="212">
        <f t="shared" si="108"/>
        <v>0</v>
      </c>
      <c r="D113" s="215">
        <v>47635.0</v>
      </c>
      <c r="E113" s="216">
        <f t="shared" ref="E113:H113" si="208">sumif($J$19:BF112,E$19,$J113:BF113)</f>
        <v>0</v>
      </c>
      <c r="F113" s="216">
        <f t="shared" si="208"/>
        <v>0</v>
      </c>
      <c r="G113" s="216">
        <f t="shared" si="208"/>
        <v>0</v>
      </c>
      <c r="H113" s="216">
        <f t="shared" si="208"/>
        <v>0</v>
      </c>
      <c r="I113" s="202" t="str">
        <f t="shared" si="9"/>
        <v>Future</v>
      </c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E113" s="188">
        <v>0.0</v>
      </c>
      <c r="AF113" s="188">
        <v>0.0</v>
      </c>
      <c r="AG113" s="188">
        <v>0.0</v>
      </c>
      <c r="AH113" s="188">
        <v>0.0</v>
      </c>
      <c r="AI113" s="188">
        <v>0.0</v>
      </c>
      <c r="AJ113" s="188">
        <v>0.0</v>
      </c>
      <c r="AK113" s="188">
        <v>0.0</v>
      </c>
      <c r="AL113" s="188">
        <v>0.0</v>
      </c>
      <c r="AM113" s="188">
        <v>0.0</v>
      </c>
      <c r="AN113" s="188">
        <v>0.0</v>
      </c>
      <c r="AO113" s="188">
        <v>0.0</v>
      </c>
      <c r="AP113" s="188">
        <v>0.0</v>
      </c>
      <c r="AQ113" s="188">
        <v>0.0</v>
      </c>
      <c r="AR113" s="188">
        <v>0.0</v>
      </c>
      <c r="AS113" s="188">
        <v>0.0</v>
      </c>
      <c r="AT113" s="188">
        <v>0.0</v>
      </c>
      <c r="AU113" s="188">
        <v>0.0</v>
      </c>
      <c r="AV113" s="188">
        <v>0.0</v>
      </c>
      <c r="AW113" s="188">
        <v>0.0</v>
      </c>
      <c r="AX113" s="188">
        <v>0.0</v>
      </c>
      <c r="AY113" s="188">
        <v>0.0</v>
      </c>
      <c r="AZ113" s="188">
        <v>0.0</v>
      </c>
      <c r="BA113" s="188">
        <v>0.0</v>
      </c>
      <c r="BB113" s="188">
        <v>0.0</v>
      </c>
      <c r="BC113" s="188">
        <v>0.0</v>
      </c>
      <c r="BD113" s="188">
        <v>0.0</v>
      </c>
      <c r="BE113" s="188">
        <v>0.0</v>
      </c>
      <c r="BF113" s="188">
        <v>0.0</v>
      </c>
    </row>
    <row r="114">
      <c r="A114" s="188">
        <f t="shared" si="5"/>
        <v>0</v>
      </c>
      <c r="B114" s="212">
        <f t="shared" si="92"/>
        <v>0</v>
      </c>
      <c r="C114" s="212">
        <f t="shared" si="108"/>
        <v>0</v>
      </c>
      <c r="D114" s="215">
        <v>47665.0</v>
      </c>
      <c r="E114" s="216">
        <f t="shared" ref="E114:H114" si="209">sumif($J$19:BF113,E$19,$J114:BF114)</f>
        <v>0</v>
      </c>
      <c r="F114" s="216">
        <f t="shared" si="209"/>
        <v>0</v>
      </c>
      <c r="G114" s="216">
        <f t="shared" si="209"/>
        <v>0</v>
      </c>
      <c r="H114" s="216">
        <f t="shared" si="209"/>
        <v>0</v>
      </c>
      <c r="I114" s="202" t="str">
        <f t="shared" si="9"/>
        <v>Future</v>
      </c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E114" s="188">
        <v>0.0</v>
      </c>
      <c r="AF114" s="188">
        <v>0.0</v>
      </c>
      <c r="AG114" s="188">
        <v>0.0</v>
      </c>
      <c r="AH114" s="188">
        <v>0.0</v>
      </c>
      <c r="AI114" s="188">
        <v>0.0</v>
      </c>
      <c r="AJ114" s="188">
        <v>0.0</v>
      </c>
      <c r="AK114" s="188">
        <v>0.0</v>
      </c>
      <c r="AL114" s="188">
        <v>0.0</v>
      </c>
      <c r="AM114" s="188">
        <v>0.0</v>
      </c>
      <c r="AN114" s="188">
        <v>0.0</v>
      </c>
      <c r="AO114" s="188">
        <v>0.0</v>
      </c>
      <c r="AP114" s="188">
        <v>0.0</v>
      </c>
      <c r="AQ114" s="188">
        <v>0.0</v>
      </c>
      <c r="AR114" s="188">
        <v>0.0</v>
      </c>
      <c r="AS114" s="188">
        <v>0.0</v>
      </c>
      <c r="AT114" s="188">
        <v>0.0</v>
      </c>
      <c r="AU114" s="188">
        <v>0.0</v>
      </c>
      <c r="AV114" s="188">
        <v>0.0</v>
      </c>
      <c r="AW114" s="188">
        <v>0.0</v>
      </c>
      <c r="AX114" s="188">
        <v>0.0</v>
      </c>
      <c r="AY114" s="188">
        <v>0.0</v>
      </c>
      <c r="AZ114" s="188">
        <v>0.0</v>
      </c>
      <c r="BA114" s="188">
        <v>0.0</v>
      </c>
      <c r="BB114" s="188">
        <v>0.0</v>
      </c>
      <c r="BC114" s="188">
        <v>0.0</v>
      </c>
      <c r="BD114" s="188">
        <v>0.0</v>
      </c>
      <c r="BE114" s="188">
        <v>0.0</v>
      </c>
      <c r="BF114" s="188">
        <v>0.0</v>
      </c>
    </row>
    <row r="115">
      <c r="A115" s="188">
        <f t="shared" si="5"/>
        <v>0</v>
      </c>
      <c r="B115" s="212">
        <f t="shared" si="92"/>
        <v>0</v>
      </c>
      <c r="C115" s="212">
        <f t="shared" si="108"/>
        <v>0</v>
      </c>
      <c r="D115" s="215">
        <v>47696.0</v>
      </c>
      <c r="E115" s="216">
        <f t="shared" ref="E115:H115" si="210">sumif($J$19:BF114,E$19,$J115:BF115)</f>
        <v>0</v>
      </c>
      <c r="F115" s="216">
        <f t="shared" si="210"/>
        <v>0</v>
      </c>
      <c r="G115" s="216">
        <f t="shared" si="210"/>
        <v>0</v>
      </c>
      <c r="H115" s="216">
        <f t="shared" si="210"/>
        <v>0</v>
      </c>
      <c r="I115" s="202" t="str">
        <f t="shared" si="9"/>
        <v>Future</v>
      </c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E115" s="188">
        <v>0.0</v>
      </c>
      <c r="AF115" s="188">
        <v>0.0</v>
      </c>
      <c r="AG115" s="188">
        <v>0.0</v>
      </c>
      <c r="AH115" s="188">
        <v>0.0</v>
      </c>
      <c r="AI115" s="188">
        <v>0.0</v>
      </c>
      <c r="AJ115" s="188">
        <v>0.0</v>
      </c>
      <c r="AK115" s="188">
        <v>0.0</v>
      </c>
      <c r="AL115" s="188">
        <v>0.0</v>
      </c>
      <c r="AM115" s="188">
        <v>0.0</v>
      </c>
      <c r="AN115" s="188">
        <v>0.0</v>
      </c>
      <c r="AO115" s="188">
        <v>0.0</v>
      </c>
      <c r="AP115" s="188">
        <v>0.0</v>
      </c>
      <c r="AQ115" s="188">
        <v>0.0</v>
      </c>
      <c r="AR115" s="188">
        <v>0.0</v>
      </c>
      <c r="AS115" s="188">
        <v>0.0</v>
      </c>
      <c r="AT115" s="188">
        <v>0.0</v>
      </c>
      <c r="AU115" s="188">
        <v>0.0</v>
      </c>
      <c r="AV115" s="188">
        <v>0.0</v>
      </c>
      <c r="AW115" s="188">
        <v>0.0</v>
      </c>
      <c r="AX115" s="188">
        <v>0.0</v>
      </c>
      <c r="AY115" s="188">
        <v>0.0</v>
      </c>
      <c r="AZ115" s="188">
        <v>0.0</v>
      </c>
      <c r="BA115" s="188">
        <v>0.0</v>
      </c>
      <c r="BB115" s="188">
        <v>0.0</v>
      </c>
      <c r="BC115" s="188">
        <v>0.0</v>
      </c>
      <c r="BD115" s="188">
        <v>0.0</v>
      </c>
      <c r="BE115" s="188">
        <v>0.0</v>
      </c>
      <c r="BF115" s="188">
        <v>0.0</v>
      </c>
    </row>
    <row r="116">
      <c r="A116" s="188">
        <f t="shared" si="5"/>
        <v>0</v>
      </c>
      <c r="B116" s="212">
        <f t="shared" si="92"/>
        <v>0</v>
      </c>
      <c r="C116" s="212">
        <f t="shared" si="108"/>
        <v>0</v>
      </c>
      <c r="D116" s="215">
        <v>47727.0</v>
      </c>
      <c r="E116" s="216">
        <f t="shared" ref="E116:H116" si="211">sumif($J$19:BF115,E$19,$J116:BF116)</f>
        <v>0</v>
      </c>
      <c r="F116" s="216">
        <f t="shared" si="211"/>
        <v>0</v>
      </c>
      <c r="G116" s="216">
        <f t="shared" si="211"/>
        <v>0</v>
      </c>
      <c r="H116" s="216">
        <f t="shared" si="211"/>
        <v>0</v>
      </c>
      <c r="I116" s="202" t="str">
        <f t="shared" si="9"/>
        <v>Future</v>
      </c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E116" s="188">
        <v>0.0</v>
      </c>
      <c r="AF116" s="188">
        <v>0.0</v>
      </c>
      <c r="AG116" s="188">
        <v>0.0</v>
      </c>
      <c r="AH116" s="188">
        <v>0.0</v>
      </c>
      <c r="AI116" s="188">
        <v>0.0</v>
      </c>
      <c r="AJ116" s="188">
        <v>0.0</v>
      </c>
      <c r="AK116" s="188">
        <v>0.0</v>
      </c>
      <c r="AL116" s="188">
        <v>0.0</v>
      </c>
      <c r="AM116" s="188">
        <v>0.0</v>
      </c>
      <c r="AN116" s="188">
        <v>0.0</v>
      </c>
      <c r="AO116" s="188">
        <v>0.0</v>
      </c>
      <c r="AP116" s="188">
        <v>0.0</v>
      </c>
      <c r="AQ116" s="188">
        <v>0.0</v>
      </c>
      <c r="AR116" s="188">
        <v>0.0</v>
      </c>
      <c r="AS116" s="188">
        <v>0.0</v>
      </c>
      <c r="AT116" s="188">
        <v>0.0</v>
      </c>
      <c r="AU116" s="188">
        <v>0.0</v>
      </c>
      <c r="AV116" s="188">
        <v>0.0</v>
      </c>
      <c r="AW116" s="188">
        <v>0.0</v>
      </c>
      <c r="AX116" s="188">
        <v>0.0</v>
      </c>
      <c r="AY116" s="188">
        <v>0.0</v>
      </c>
      <c r="AZ116" s="188">
        <v>0.0</v>
      </c>
      <c r="BA116" s="188">
        <v>0.0</v>
      </c>
      <c r="BB116" s="188">
        <v>0.0</v>
      </c>
      <c r="BC116" s="188">
        <v>0.0</v>
      </c>
      <c r="BD116" s="188">
        <v>0.0</v>
      </c>
      <c r="BE116" s="188">
        <v>0.0</v>
      </c>
      <c r="BF116" s="188">
        <v>0.0</v>
      </c>
    </row>
    <row r="117">
      <c r="A117" s="188">
        <f t="shared" si="5"/>
        <v>0</v>
      </c>
      <c r="B117" s="212">
        <f t="shared" si="92"/>
        <v>0</v>
      </c>
      <c r="C117" s="212">
        <f t="shared" si="108"/>
        <v>0</v>
      </c>
      <c r="D117" s="215">
        <v>47757.0</v>
      </c>
      <c r="E117" s="216">
        <f t="shared" ref="E117:H117" si="212">sumif($J$19:BF116,E$19,$J117:BF117)</f>
        <v>0</v>
      </c>
      <c r="F117" s="216">
        <f t="shared" si="212"/>
        <v>0</v>
      </c>
      <c r="G117" s="216">
        <f t="shared" si="212"/>
        <v>0</v>
      </c>
      <c r="H117" s="216">
        <f t="shared" si="212"/>
        <v>0</v>
      </c>
      <c r="I117" s="202" t="str">
        <f t="shared" si="9"/>
        <v>Future</v>
      </c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E117" s="188">
        <v>0.0</v>
      </c>
      <c r="AF117" s="188">
        <v>0.0</v>
      </c>
      <c r="AG117" s="188">
        <v>0.0</v>
      </c>
      <c r="AH117" s="188">
        <v>0.0</v>
      </c>
      <c r="AI117" s="188">
        <v>0.0</v>
      </c>
      <c r="AJ117" s="188">
        <v>0.0</v>
      </c>
      <c r="AK117" s="188">
        <v>0.0</v>
      </c>
      <c r="AL117" s="188">
        <v>0.0</v>
      </c>
      <c r="AM117" s="188">
        <v>0.0</v>
      </c>
      <c r="AN117" s="188">
        <v>0.0</v>
      </c>
      <c r="AO117" s="188">
        <v>0.0</v>
      </c>
      <c r="AP117" s="188">
        <v>0.0</v>
      </c>
      <c r="AQ117" s="188">
        <v>0.0</v>
      </c>
      <c r="AR117" s="188">
        <v>0.0</v>
      </c>
      <c r="AS117" s="188">
        <v>0.0</v>
      </c>
      <c r="AT117" s="188">
        <v>0.0</v>
      </c>
      <c r="AU117" s="188">
        <v>0.0</v>
      </c>
      <c r="AV117" s="188">
        <v>0.0</v>
      </c>
      <c r="AW117" s="188">
        <v>0.0</v>
      </c>
      <c r="AX117" s="188">
        <v>0.0</v>
      </c>
      <c r="AY117" s="188">
        <v>0.0</v>
      </c>
      <c r="AZ117" s="188">
        <v>0.0</v>
      </c>
      <c r="BA117" s="188">
        <v>0.0</v>
      </c>
      <c r="BB117" s="188">
        <v>0.0</v>
      </c>
      <c r="BC117" s="188">
        <v>0.0</v>
      </c>
      <c r="BD117" s="188">
        <v>0.0</v>
      </c>
      <c r="BE117" s="188">
        <v>0.0</v>
      </c>
      <c r="BF117" s="188">
        <v>0.0</v>
      </c>
    </row>
  </sheetData>
  <conditionalFormatting sqref="E20:I117">
    <cfRule type="cellIs" dxfId="19" priority="1" operator="equal">
      <formula>"Current"</formula>
    </cfRule>
  </conditionalFormatting>
  <conditionalFormatting sqref="A1:I117 AE1:BF7 AE9:BF117 J10:AD117">
    <cfRule type="cellIs" dxfId="19" priority="2" operator="equal">
      <formula>DATE(year(today()),month(today()),1)</formula>
    </cfRule>
  </conditionalFormatting>
  <hyperlinks>
    <hyperlink r:id="rId1" ref="J2"/>
    <hyperlink r:id="rId2" ref="K2"/>
    <hyperlink r:id="rId3" ref="M2"/>
    <hyperlink r:id="rId4" ref="N2"/>
    <hyperlink r:id="rId5" ref="O2"/>
    <hyperlink r:id="rId6" ref="P2"/>
    <hyperlink r:id="rId7" ref="Q2"/>
    <hyperlink r:id="rId8" ref="R2"/>
    <hyperlink r:id="rId9" ref="S2"/>
    <hyperlink r:id="rId10" ref="T2"/>
    <hyperlink r:id="rId11" ref="U2"/>
    <hyperlink r:id="rId12" ref="V2"/>
    <hyperlink r:id="rId13" ref="W2"/>
    <hyperlink r:id="rId14" ref="X2"/>
    <hyperlink r:id="rId15" ref="Y2"/>
    <hyperlink r:id="rId16" ref="Z2"/>
    <hyperlink r:id="rId17" ref="AA2"/>
    <hyperlink r:id="rId18" ref="AB2"/>
    <hyperlink r:id="rId19" ref="AC2"/>
  </hyperlinks>
  <drawing r:id="rId2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hidden="1" min="2" max="6" width="10.75"/>
    <col customWidth="1" hidden="1" min="7" max="7" width="10.88"/>
    <col customWidth="1" hidden="1" min="8" max="8" width="13.75"/>
    <col customWidth="1" hidden="1" min="9" max="9" width="11.5"/>
    <col customWidth="1" hidden="1" min="10" max="10" width="13.38"/>
    <col customWidth="1" hidden="1" min="11" max="11" width="13.25"/>
    <col customWidth="1" hidden="1" min="12" max="12" width="11.5"/>
    <col customWidth="1" hidden="1" min="13" max="13" width="12.25"/>
    <col customWidth="1" hidden="1" min="14" max="18" width="10.75"/>
    <col customWidth="1" hidden="1" min="19" max="19" width="10.88"/>
    <col customWidth="1" hidden="1" min="20" max="20" width="13.75"/>
    <col customWidth="1" hidden="1" min="21" max="21" width="11.5"/>
    <col customWidth="1" hidden="1" min="22" max="22" width="13.38"/>
    <col customWidth="1" hidden="1" min="23" max="23" width="13.25"/>
    <col customWidth="1" min="24" max="24" width="11.5"/>
    <col customWidth="1" min="25" max="25" width="12.25"/>
    <col customWidth="1" min="26" max="30" width="10.75"/>
    <col customWidth="1" min="31" max="31" width="10.88"/>
    <col customWidth="1" min="32" max="32" width="13.75"/>
    <col customWidth="1" min="33" max="33" width="11.5"/>
    <col customWidth="1" min="34" max="34" width="13.38"/>
    <col customWidth="1" min="35" max="35" width="13.25"/>
    <col customWidth="1" min="36" max="36" width="11.5"/>
    <col customWidth="1" min="37" max="37" width="12.25"/>
    <col customWidth="1" min="38" max="42" width="10.75"/>
    <col customWidth="1" min="43" max="43" width="10.88"/>
    <col customWidth="1" min="44" max="44" width="13.75"/>
    <col customWidth="1" min="45" max="45" width="11.5"/>
    <col customWidth="1" min="46" max="46" width="13.38"/>
    <col customWidth="1" min="47" max="47" width="13.25"/>
    <col customWidth="1" min="48" max="48" width="11.5"/>
    <col customWidth="1" min="49" max="49" width="12.25"/>
    <col customWidth="1" min="50" max="54" width="10.75"/>
    <col customWidth="1" min="55" max="55" width="10.88"/>
    <col customWidth="1" min="56" max="56" width="13.75"/>
    <col customWidth="1" min="57" max="57" width="11.5"/>
    <col customWidth="1" min="58" max="58" width="13.38"/>
    <col customWidth="1" min="59" max="59" width="13.25"/>
    <col customWidth="1" min="60" max="60" width="11.5"/>
    <col customWidth="1" min="61" max="61" width="12.25"/>
    <col customWidth="1" min="62" max="66" width="10.75"/>
    <col customWidth="1" min="67" max="67" width="10.88"/>
    <col customWidth="1" min="68" max="68" width="13.75"/>
    <col customWidth="1" min="69" max="69" width="11.5"/>
    <col customWidth="1" min="70" max="70" width="13.38"/>
    <col customWidth="1" min="71" max="71" width="13.25"/>
    <col customWidth="1" min="72" max="72" width="11.5"/>
    <col customWidth="1" min="73" max="73" width="12.25"/>
    <col customWidth="1" min="74" max="78" width="10.75"/>
    <col customWidth="1" min="79" max="79" width="11.25"/>
    <col customWidth="1" min="80" max="80" width="13.75"/>
    <col customWidth="1" min="81" max="81" width="11.5"/>
    <col customWidth="1" min="82" max="82" width="13.38"/>
    <col customWidth="1" min="83" max="83" width="13.25"/>
    <col customWidth="1" min="84" max="84" width="11.5"/>
    <col customWidth="1" min="85" max="85" width="12.25"/>
    <col customWidth="1" min="86" max="90" width="11.25"/>
    <col customWidth="1" min="91" max="91" width="10.88"/>
    <col customWidth="1" min="92" max="92" width="13.75"/>
    <col customWidth="1" min="93" max="93" width="11.5"/>
    <col customWidth="1" min="94" max="94" width="13.38"/>
  </cols>
  <sheetData>
    <row r="1">
      <c r="A1" s="219"/>
      <c r="B1" s="220">
        <v>44986.0</v>
      </c>
      <c r="C1" s="220">
        <v>45017.0</v>
      </c>
      <c r="D1" s="220">
        <v>45047.0</v>
      </c>
      <c r="E1" s="220">
        <v>45078.0</v>
      </c>
      <c r="F1" s="220">
        <v>45108.0</v>
      </c>
      <c r="G1" s="220">
        <v>45139.0</v>
      </c>
      <c r="H1" s="220">
        <v>45170.0</v>
      </c>
      <c r="I1" s="220">
        <v>45200.0</v>
      </c>
      <c r="J1" s="220">
        <v>45231.0</v>
      </c>
      <c r="K1" s="220">
        <v>45261.0</v>
      </c>
      <c r="L1" s="220">
        <v>45292.0</v>
      </c>
      <c r="M1" s="220">
        <v>45323.0</v>
      </c>
      <c r="N1" s="220">
        <v>45352.0</v>
      </c>
      <c r="O1" s="221">
        <v>45383.0</v>
      </c>
      <c r="P1" s="220">
        <v>45413.0</v>
      </c>
      <c r="Q1" s="220">
        <v>45444.0</v>
      </c>
      <c r="R1" s="220">
        <v>45474.0</v>
      </c>
      <c r="S1" s="220">
        <v>45505.0</v>
      </c>
      <c r="T1" s="220">
        <v>45536.0</v>
      </c>
      <c r="U1" s="220">
        <v>45566.0</v>
      </c>
      <c r="V1" s="220">
        <v>45597.0</v>
      </c>
      <c r="W1" s="220">
        <v>45627.0</v>
      </c>
      <c r="X1" s="220">
        <v>45658.0</v>
      </c>
      <c r="Y1" s="220">
        <v>45689.0</v>
      </c>
      <c r="Z1" s="220">
        <v>45717.0</v>
      </c>
      <c r="AA1" s="220">
        <v>45748.0</v>
      </c>
      <c r="AB1" s="222">
        <v>45778.0</v>
      </c>
      <c r="AC1" s="222">
        <v>45809.0</v>
      </c>
      <c r="AD1" s="220">
        <v>45839.0</v>
      </c>
      <c r="AE1" s="220">
        <v>45870.0</v>
      </c>
      <c r="AF1" s="220">
        <v>45901.0</v>
      </c>
      <c r="AG1" s="220">
        <v>45931.0</v>
      </c>
      <c r="AH1" s="220">
        <v>45962.0</v>
      </c>
      <c r="AI1" s="220">
        <v>45992.0</v>
      </c>
      <c r="AJ1" s="220">
        <v>46023.0</v>
      </c>
      <c r="AK1" s="220">
        <v>46054.0</v>
      </c>
      <c r="AL1" s="220">
        <v>46082.0</v>
      </c>
      <c r="AM1" s="220">
        <v>46113.0</v>
      </c>
      <c r="AN1" s="220">
        <v>46143.0</v>
      </c>
      <c r="AO1" s="220">
        <v>46174.0</v>
      </c>
      <c r="AP1" s="220">
        <v>46204.0</v>
      </c>
      <c r="AQ1" s="220">
        <v>46235.0</v>
      </c>
      <c r="AR1" s="220">
        <v>46266.0</v>
      </c>
      <c r="AS1" s="220">
        <v>46296.0</v>
      </c>
      <c r="AT1" s="220">
        <v>46327.0</v>
      </c>
      <c r="AU1" s="220">
        <v>46357.0</v>
      </c>
      <c r="AV1" s="220">
        <v>46388.0</v>
      </c>
      <c r="AW1" s="220">
        <v>46419.0</v>
      </c>
      <c r="AX1" s="220">
        <v>46447.0</v>
      </c>
      <c r="AY1" s="220">
        <v>46478.0</v>
      </c>
      <c r="AZ1" s="220">
        <v>46508.0</v>
      </c>
      <c r="BA1" s="220">
        <v>46539.0</v>
      </c>
      <c r="BB1" s="220">
        <v>46569.0</v>
      </c>
      <c r="BC1" s="220">
        <v>46600.0</v>
      </c>
      <c r="BD1" s="220">
        <v>46631.0</v>
      </c>
      <c r="BE1" s="220">
        <v>46661.0</v>
      </c>
      <c r="BF1" s="220">
        <v>46692.0</v>
      </c>
      <c r="BG1" s="220">
        <v>46722.0</v>
      </c>
      <c r="BH1" s="220">
        <v>46753.0</v>
      </c>
      <c r="BI1" s="220">
        <v>46784.0</v>
      </c>
      <c r="BJ1" s="220">
        <v>46813.0</v>
      </c>
      <c r="BK1" s="220">
        <v>46844.0</v>
      </c>
      <c r="BL1" s="220">
        <v>46874.0</v>
      </c>
      <c r="BM1" s="220">
        <v>46905.0</v>
      </c>
      <c r="BN1" s="220">
        <v>46935.0</v>
      </c>
      <c r="BO1" s="220">
        <v>46966.0</v>
      </c>
      <c r="BP1" s="220">
        <v>46997.0</v>
      </c>
      <c r="BQ1" s="220">
        <v>47027.0</v>
      </c>
      <c r="BR1" s="220">
        <v>47058.0</v>
      </c>
      <c r="BS1" s="220">
        <v>47088.0</v>
      </c>
      <c r="BT1" s="220">
        <v>47119.0</v>
      </c>
      <c r="BU1" s="220">
        <v>47150.0</v>
      </c>
      <c r="BV1" s="220">
        <v>47178.0</v>
      </c>
      <c r="BW1" s="220">
        <v>47209.0</v>
      </c>
      <c r="BX1" s="220">
        <v>47239.0</v>
      </c>
      <c r="BY1" s="220">
        <v>47270.0</v>
      </c>
      <c r="BZ1" s="220">
        <v>47300.0</v>
      </c>
      <c r="CA1" s="220">
        <v>47331.0</v>
      </c>
      <c r="CB1" s="220">
        <v>47362.0</v>
      </c>
      <c r="CC1" s="220">
        <v>47392.0</v>
      </c>
      <c r="CD1" s="220">
        <v>47423.0</v>
      </c>
      <c r="CE1" s="220">
        <v>47453.0</v>
      </c>
      <c r="CF1" s="220">
        <v>47484.0</v>
      </c>
      <c r="CG1" s="220">
        <v>47515.0</v>
      </c>
      <c r="CH1" s="220">
        <v>47543.0</v>
      </c>
      <c r="CI1" s="220">
        <v>47574.0</v>
      </c>
      <c r="CJ1" s="220">
        <v>47604.0</v>
      </c>
      <c r="CK1" s="220">
        <v>47635.0</v>
      </c>
      <c r="CL1" s="220">
        <v>47665.0</v>
      </c>
      <c r="CM1" s="220">
        <v>47696.0</v>
      </c>
      <c r="CN1" s="220">
        <v>47727.0</v>
      </c>
      <c r="CO1" s="220">
        <v>47757.0</v>
      </c>
      <c r="CP1" s="220">
        <v>47788.0</v>
      </c>
    </row>
    <row r="2">
      <c r="A2" s="223" t="s">
        <v>262</v>
      </c>
      <c r="B2" s="224">
        <v>0.0</v>
      </c>
      <c r="C2" s="225">
        <f>(C3-B3)/C3</f>
        <v>0.1891891892</v>
      </c>
      <c r="D2" s="226">
        <f t="shared" ref="D2:N2" si="1">(D3-C3)/D3%</f>
        <v>0</v>
      </c>
      <c r="E2" s="226">
        <f t="shared" si="1"/>
        <v>0</v>
      </c>
      <c r="F2" s="226">
        <f t="shared" si="1"/>
        <v>0</v>
      </c>
      <c r="G2" s="227">
        <f t="shared" si="1"/>
        <v>0</v>
      </c>
      <c r="H2" s="227">
        <f t="shared" si="1"/>
        <v>0</v>
      </c>
      <c r="I2" s="227">
        <f t="shared" si="1"/>
        <v>0</v>
      </c>
      <c r="J2" s="227">
        <f t="shared" si="1"/>
        <v>0</v>
      </c>
      <c r="K2" s="227">
        <f t="shared" si="1"/>
        <v>0</v>
      </c>
      <c r="L2" s="227">
        <f t="shared" si="1"/>
        <v>0</v>
      </c>
      <c r="M2" s="227">
        <f t="shared" si="1"/>
        <v>0</v>
      </c>
      <c r="N2" s="227">
        <f t="shared" si="1"/>
        <v>0</v>
      </c>
      <c r="O2" s="227">
        <v>0.12</v>
      </c>
      <c r="P2" s="227">
        <v>0.0</v>
      </c>
      <c r="Q2" s="227">
        <v>0.0</v>
      </c>
      <c r="R2" s="227">
        <v>0.0</v>
      </c>
      <c r="S2" s="227">
        <v>0.0</v>
      </c>
      <c r="T2" s="227">
        <v>0.0</v>
      </c>
      <c r="U2" s="228">
        <v>0.0</v>
      </c>
      <c r="V2" s="229">
        <v>0.0</v>
      </c>
      <c r="W2" s="229">
        <v>0.0</v>
      </c>
      <c r="X2" s="229">
        <v>0.0</v>
      </c>
      <c r="Y2" s="229">
        <v>0.0</v>
      </c>
      <c r="Z2" s="229">
        <v>0.0</v>
      </c>
      <c r="AA2" s="229">
        <v>0.1</v>
      </c>
      <c r="AB2" s="225">
        <f t="shared" ref="AB2:AL2" si="2">(AB3-AA3)/AB3%</f>
        <v>7.386270022</v>
      </c>
      <c r="AC2" s="225">
        <f t="shared" si="2"/>
        <v>0</v>
      </c>
      <c r="AD2" s="225">
        <f t="shared" si="2"/>
        <v>0</v>
      </c>
      <c r="AE2" s="225">
        <f t="shared" si="2"/>
        <v>0</v>
      </c>
      <c r="AF2" s="225">
        <f t="shared" si="2"/>
        <v>0</v>
      </c>
      <c r="AG2" s="225">
        <f t="shared" si="2"/>
        <v>0</v>
      </c>
      <c r="AH2" s="225">
        <f t="shared" si="2"/>
        <v>0</v>
      </c>
      <c r="AI2" s="225">
        <f t="shared" si="2"/>
        <v>0</v>
      </c>
      <c r="AJ2" s="225">
        <f t="shared" si="2"/>
        <v>0</v>
      </c>
      <c r="AK2" s="225">
        <f t="shared" si="2"/>
        <v>0</v>
      </c>
      <c r="AL2" s="225">
        <f t="shared" si="2"/>
        <v>0</v>
      </c>
      <c r="AM2" s="225">
        <f>(AM3-AL3)/AM3</f>
        <v>0.09622042028</v>
      </c>
      <c r="AN2" s="225">
        <f t="shared" ref="AN2:AX2" si="3">(AN3-AM3)/AN3%</f>
        <v>0</v>
      </c>
      <c r="AO2" s="225">
        <f t="shared" si="3"/>
        <v>0</v>
      </c>
      <c r="AP2" s="225">
        <f t="shared" si="3"/>
        <v>0</v>
      </c>
      <c r="AQ2" s="225">
        <f t="shared" si="3"/>
        <v>0</v>
      </c>
      <c r="AR2" s="225">
        <f t="shared" si="3"/>
        <v>0</v>
      </c>
      <c r="AS2" s="225">
        <f t="shared" si="3"/>
        <v>0</v>
      </c>
      <c r="AT2" s="225">
        <f t="shared" si="3"/>
        <v>0</v>
      </c>
      <c r="AU2" s="225">
        <f t="shared" si="3"/>
        <v>0</v>
      </c>
      <c r="AV2" s="225">
        <f t="shared" si="3"/>
        <v>0</v>
      </c>
      <c r="AW2" s="225">
        <f t="shared" si="3"/>
        <v>0</v>
      </c>
      <c r="AX2" s="225">
        <f t="shared" si="3"/>
        <v>0</v>
      </c>
      <c r="AY2" s="225">
        <f>(AY3-AX3)/AY3</f>
        <v>0.09571206199</v>
      </c>
      <c r="AZ2" s="225">
        <f t="shared" ref="AZ2:BJ2" si="4">(AZ3-AY3)/AZ3%</f>
        <v>0</v>
      </c>
      <c r="BA2" s="225">
        <f t="shared" si="4"/>
        <v>0</v>
      </c>
      <c r="BB2" s="225">
        <f t="shared" si="4"/>
        <v>0</v>
      </c>
      <c r="BC2" s="225">
        <f t="shared" si="4"/>
        <v>0</v>
      </c>
      <c r="BD2" s="225">
        <f t="shared" si="4"/>
        <v>0</v>
      </c>
      <c r="BE2" s="225">
        <f t="shared" si="4"/>
        <v>0</v>
      </c>
      <c r="BF2" s="225">
        <f t="shared" si="4"/>
        <v>0</v>
      </c>
      <c r="BG2" s="225">
        <f t="shared" si="4"/>
        <v>0</v>
      </c>
      <c r="BH2" s="225">
        <f t="shared" si="4"/>
        <v>0</v>
      </c>
      <c r="BI2" s="225">
        <f t="shared" si="4"/>
        <v>0</v>
      </c>
      <c r="BJ2" s="225">
        <f t="shared" si="4"/>
        <v>0</v>
      </c>
      <c r="BK2" s="225">
        <f>(BK3-BJ3)/BK3</f>
        <v>0.09525455711</v>
      </c>
      <c r="BL2" s="225">
        <f t="shared" ref="BL2:BV2" si="5">(BL3-BK3)/BL3%</f>
        <v>0</v>
      </c>
      <c r="BM2" s="225">
        <f t="shared" si="5"/>
        <v>0</v>
      </c>
      <c r="BN2" s="225">
        <f t="shared" si="5"/>
        <v>0</v>
      </c>
      <c r="BO2" s="225">
        <f t="shared" si="5"/>
        <v>0</v>
      </c>
      <c r="BP2" s="225">
        <f t="shared" si="5"/>
        <v>0</v>
      </c>
      <c r="BQ2" s="225">
        <f t="shared" si="5"/>
        <v>0</v>
      </c>
      <c r="BR2" s="225">
        <f t="shared" si="5"/>
        <v>0</v>
      </c>
      <c r="BS2" s="225">
        <f t="shared" si="5"/>
        <v>0</v>
      </c>
      <c r="BT2" s="225">
        <f t="shared" si="5"/>
        <v>0</v>
      </c>
      <c r="BU2" s="225">
        <f t="shared" si="5"/>
        <v>0</v>
      </c>
      <c r="BV2" s="225">
        <f t="shared" si="5"/>
        <v>0</v>
      </c>
      <c r="BW2" s="225">
        <f>(BW3-BV3)/BW3</f>
        <v>0.09484242257</v>
      </c>
      <c r="BX2" s="225">
        <f t="shared" ref="BX2:CH2" si="6">(BX3-BW3)/BX3%</f>
        <v>0</v>
      </c>
      <c r="BY2" s="225">
        <f t="shared" si="6"/>
        <v>0</v>
      </c>
      <c r="BZ2" s="225">
        <f t="shared" si="6"/>
        <v>0</v>
      </c>
      <c r="CA2" s="225">
        <f t="shared" si="6"/>
        <v>0</v>
      </c>
      <c r="CB2" s="225">
        <f t="shared" si="6"/>
        <v>0</v>
      </c>
      <c r="CC2" s="225">
        <f t="shared" si="6"/>
        <v>0</v>
      </c>
      <c r="CD2" s="225">
        <f t="shared" si="6"/>
        <v>0</v>
      </c>
      <c r="CE2" s="225">
        <f t="shared" si="6"/>
        <v>0</v>
      </c>
      <c r="CF2" s="225">
        <f t="shared" si="6"/>
        <v>0</v>
      </c>
      <c r="CG2" s="225">
        <f t="shared" si="6"/>
        <v>0</v>
      </c>
      <c r="CH2" s="225">
        <f t="shared" si="6"/>
        <v>0</v>
      </c>
      <c r="CI2" s="225">
        <f>(CI3-CH3)/CI3</f>
        <v>0.09447083743</v>
      </c>
      <c r="CJ2" s="225">
        <f t="shared" ref="CJ2:CP2" si="7">(CJ3-CI3)/CJ3%</f>
        <v>0</v>
      </c>
      <c r="CK2" s="225">
        <f t="shared" si="7"/>
        <v>0</v>
      </c>
      <c r="CL2" s="225">
        <f t="shared" si="7"/>
        <v>0</v>
      </c>
      <c r="CM2" s="225">
        <f t="shared" si="7"/>
        <v>0</v>
      </c>
      <c r="CN2" s="225">
        <f t="shared" si="7"/>
        <v>0</v>
      </c>
      <c r="CO2" s="225">
        <f t="shared" si="7"/>
        <v>0</v>
      </c>
      <c r="CP2" s="225">
        <f t="shared" si="7"/>
        <v>0</v>
      </c>
    </row>
    <row r="3">
      <c r="A3" s="223" t="s">
        <v>263</v>
      </c>
      <c r="B3" s="227">
        <v>1500000.0</v>
      </c>
      <c r="C3" s="227">
        <v>1850000.0</v>
      </c>
      <c r="D3" s="227">
        <v>1850000.0</v>
      </c>
      <c r="E3" s="227">
        <v>1850000.0</v>
      </c>
      <c r="F3" s="227">
        <v>1850000.0</v>
      </c>
      <c r="G3" s="227">
        <v>1850000.0</v>
      </c>
      <c r="H3" s="227">
        <v>1850000.0</v>
      </c>
      <c r="I3" s="227">
        <v>1850000.0</v>
      </c>
      <c r="J3" s="227">
        <v>1850000.0</v>
      </c>
      <c r="K3" s="227">
        <v>1850000.0</v>
      </c>
      <c r="L3" s="227">
        <v>1850000.0</v>
      </c>
      <c r="M3" s="227">
        <v>1850000.0</v>
      </c>
      <c r="N3" s="227">
        <v>1850000.0</v>
      </c>
      <c r="O3" s="227">
        <v>2099750.0</v>
      </c>
      <c r="P3" s="227">
        <f t="shared" ref="P3:Z3" si="8">O3</f>
        <v>2099750</v>
      </c>
      <c r="Q3" s="227">
        <f t="shared" si="8"/>
        <v>2099750</v>
      </c>
      <c r="R3" s="227">
        <f t="shared" si="8"/>
        <v>2099750</v>
      </c>
      <c r="S3" s="227">
        <f t="shared" si="8"/>
        <v>2099750</v>
      </c>
      <c r="T3" s="227">
        <f t="shared" si="8"/>
        <v>2099750</v>
      </c>
      <c r="U3" s="230">
        <f t="shared" si="8"/>
        <v>2099750</v>
      </c>
      <c r="V3" s="231">
        <f t="shared" si="8"/>
        <v>2099750</v>
      </c>
      <c r="W3" s="231">
        <f t="shared" si="8"/>
        <v>2099750</v>
      </c>
      <c r="X3" s="231">
        <f t="shared" si="8"/>
        <v>2099750</v>
      </c>
      <c r="Y3" s="231">
        <f t="shared" si="8"/>
        <v>2099750</v>
      </c>
      <c r="Z3" s="231">
        <f t="shared" si="8"/>
        <v>2099750</v>
      </c>
      <c r="AA3" s="231">
        <f t="shared" ref="AA3:CP3" si="9">AA4*12</f>
        <v>2273829.96</v>
      </c>
      <c r="AB3" s="232">
        <f t="shared" si="9"/>
        <v>2455175.88</v>
      </c>
      <c r="AC3" s="232">
        <f t="shared" si="9"/>
        <v>2455175.88</v>
      </c>
      <c r="AD3" s="231">
        <f t="shared" si="9"/>
        <v>2455175.88</v>
      </c>
      <c r="AE3" s="231">
        <f t="shared" si="9"/>
        <v>2455175.88</v>
      </c>
      <c r="AF3" s="231">
        <f t="shared" si="9"/>
        <v>2455175.88</v>
      </c>
      <c r="AG3" s="231">
        <f t="shared" si="9"/>
        <v>2455175.88</v>
      </c>
      <c r="AH3" s="231">
        <f t="shared" si="9"/>
        <v>2455175.88</v>
      </c>
      <c r="AI3" s="231">
        <f t="shared" si="9"/>
        <v>2455175.88</v>
      </c>
      <c r="AJ3" s="231">
        <f t="shared" si="9"/>
        <v>2455175.88</v>
      </c>
      <c r="AK3" s="231">
        <f t="shared" si="9"/>
        <v>2455175.88</v>
      </c>
      <c r="AL3" s="231">
        <f t="shared" si="9"/>
        <v>2455175.88</v>
      </c>
      <c r="AM3" s="231">
        <f t="shared" si="9"/>
        <v>2716564.896</v>
      </c>
      <c r="AN3" s="231">
        <f t="shared" si="9"/>
        <v>2716564.896</v>
      </c>
      <c r="AO3" s="231">
        <f t="shared" si="9"/>
        <v>2716564.896</v>
      </c>
      <c r="AP3" s="231">
        <f t="shared" si="9"/>
        <v>2716564.896</v>
      </c>
      <c r="AQ3" s="231">
        <f t="shared" si="9"/>
        <v>2716564.896</v>
      </c>
      <c r="AR3" s="231">
        <f t="shared" si="9"/>
        <v>2716564.896</v>
      </c>
      <c r="AS3" s="231">
        <f t="shared" si="9"/>
        <v>2716564.896</v>
      </c>
      <c r="AT3" s="231">
        <f t="shared" si="9"/>
        <v>2716564.896</v>
      </c>
      <c r="AU3" s="231">
        <f t="shared" si="9"/>
        <v>2716564.896</v>
      </c>
      <c r="AV3" s="231">
        <f t="shared" si="9"/>
        <v>2716564.896</v>
      </c>
      <c r="AW3" s="231">
        <f t="shared" si="9"/>
        <v>2716564.896</v>
      </c>
      <c r="AX3" s="231">
        <f t="shared" si="9"/>
        <v>2716564.896</v>
      </c>
      <c r="AY3" s="231">
        <f t="shared" si="9"/>
        <v>3004092.814</v>
      </c>
      <c r="AZ3" s="231">
        <f t="shared" si="9"/>
        <v>3004092.814</v>
      </c>
      <c r="BA3" s="231">
        <f t="shared" si="9"/>
        <v>3004092.814</v>
      </c>
      <c r="BB3" s="231">
        <f t="shared" si="9"/>
        <v>3004092.814</v>
      </c>
      <c r="BC3" s="231">
        <f t="shared" si="9"/>
        <v>3004092.814</v>
      </c>
      <c r="BD3" s="231">
        <f t="shared" si="9"/>
        <v>3004092.814</v>
      </c>
      <c r="BE3" s="231">
        <f t="shared" si="9"/>
        <v>3004092.814</v>
      </c>
      <c r="BF3" s="231">
        <f t="shared" si="9"/>
        <v>3004092.814</v>
      </c>
      <c r="BG3" s="231">
        <f t="shared" si="9"/>
        <v>3004092.814</v>
      </c>
      <c r="BH3" s="231">
        <f t="shared" si="9"/>
        <v>3004092.814</v>
      </c>
      <c r="BI3" s="231">
        <f t="shared" si="9"/>
        <v>3004092.814</v>
      </c>
      <c r="BJ3" s="231">
        <f t="shared" si="9"/>
        <v>3004092.814</v>
      </c>
      <c r="BK3" s="231">
        <f t="shared" si="9"/>
        <v>3320373.523</v>
      </c>
      <c r="BL3" s="231">
        <f t="shared" si="9"/>
        <v>3320373.523</v>
      </c>
      <c r="BM3" s="231">
        <f t="shared" si="9"/>
        <v>3320373.523</v>
      </c>
      <c r="BN3" s="231">
        <f t="shared" si="9"/>
        <v>3320373.523</v>
      </c>
      <c r="BO3" s="231">
        <f t="shared" si="9"/>
        <v>3320373.523</v>
      </c>
      <c r="BP3" s="231">
        <f t="shared" si="9"/>
        <v>3320373.523</v>
      </c>
      <c r="BQ3" s="231">
        <f t="shared" si="9"/>
        <v>3320373.523</v>
      </c>
      <c r="BR3" s="231">
        <f t="shared" si="9"/>
        <v>3320373.523</v>
      </c>
      <c r="BS3" s="231">
        <f t="shared" si="9"/>
        <v>3320373.523</v>
      </c>
      <c r="BT3" s="231">
        <f t="shared" si="9"/>
        <v>3320373.523</v>
      </c>
      <c r="BU3" s="231">
        <f t="shared" si="9"/>
        <v>3320373.523</v>
      </c>
      <c r="BV3" s="231">
        <f t="shared" si="9"/>
        <v>3320373.523</v>
      </c>
      <c r="BW3" s="231">
        <f t="shared" si="9"/>
        <v>3668282.303</v>
      </c>
      <c r="BX3" s="231">
        <f t="shared" si="9"/>
        <v>3668282.303</v>
      </c>
      <c r="BY3" s="231">
        <f t="shared" si="9"/>
        <v>3668282.303</v>
      </c>
      <c r="BZ3" s="231">
        <f t="shared" si="9"/>
        <v>3668282.303</v>
      </c>
      <c r="CA3" s="231">
        <f t="shared" si="9"/>
        <v>3668282.303</v>
      </c>
      <c r="CB3" s="231">
        <f t="shared" si="9"/>
        <v>3668282.303</v>
      </c>
      <c r="CC3" s="231">
        <f t="shared" si="9"/>
        <v>3668282.303</v>
      </c>
      <c r="CD3" s="231">
        <f t="shared" si="9"/>
        <v>3668282.303</v>
      </c>
      <c r="CE3" s="231">
        <f t="shared" si="9"/>
        <v>3668282.303</v>
      </c>
      <c r="CF3" s="231">
        <f t="shared" si="9"/>
        <v>3668282.303</v>
      </c>
      <c r="CG3" s="231">
        <f t="shared" si="9"/>
        <v>3668282.303</v>
      </c>
      <c r="CH3" s="231">
        <f t="shared" si="9"/>
        <v>3668282.303</v>
      </c>
      <c r="CI3" s="231">
        <f t="shared" si="9"/>
        <v>4050981.962</v>
      </c>
      <c r="CJ3" s="231">
        <f t="shared" si="9"/>
        <v>4050981.962</v>
      </c>
      <c r="CK3" s="231">
        <f t="shared" si="9"/>
        <v>4050981.962</v>
      </c>
      <c r="CL3" s="231">
        <f t="shared" si="9"/>
        <v>4050981.962</v>
      </c>
      <c r="CM3" s="231">
        <f t="shared" si="9"/>
        <v>4050981.962</v>
      </c>
      <c r="CN3" s="231">
        <f t="shared" si="9"/>
        <v>4050981.962</v>
      </c>
      <c r="CO3" s="231">
        <f t="shared" si="9"/>
        <v>4050981.962</v>
      </c>
      <c r="CP3" s="231">
        <f t="shared" si="9"/>
        <v>4050981.962</v>
      </c>
    </row>
    <row r="4">
      <c r="A4" s="223" t="s">
        <v>264</v>
      </c>
      <c r="B4" s="227">
        <f t="shared" ref="B4:N4" si="10">B3/12</f>
        <v>125000</v>
      </c>
      <c r="C4" s="227">
        <f t="shared" si="10"/>
        <v>154166.6667</v>
      </c>
      <c r="D4" s="227">
        <f t="shared" si="10"/>
        <v>154166.6667</v>
      </c>
      <c r="E4" s="227">
        <f t="shared" si="10"/>
        <v>154166.6667</v>
      </c>
      <c r="F4" s="227">
        <f t="shared" si="10"/>
        <v>154166.6667</v>
      </c>
      <c r="G4" s="227">
        <f t="shared" si="10"/>
        <v>154166.6667</v>
      </c>
      <c r="H4" s="227">
        <f t="shared" si="10"/>
        <v>154166.6667</v>
      </c>
      <c r="I4" s="227">
        <f t="shared" si="10"/>
        <v>154166.6667</v>
      </c>
      <c r="J4" s="227">
        <f t="shared" si="10"/>
        <v>154166.6667</v>
      </c>
      <c r="K4" s="227">
        <f t="shared" si="10"/>
        <v>154166.6667</v>
      </c>
      <c r="L4" s="227">
        <f t="shared" si="10"/>
        <v>154166.6667</v>
      </c>
      <c r="M4" s="227">
        <f t="shared" si="10"/>
        <v>154166.6667</v>
      </c>
      <c r="N4" s="227">
        <f t="shared" si="10"/>
        <v>154166.6667</v>
      </c>
      <c r="O4" s="227">
        <v>172667.0</v>
      </c>
      <c r="P4" s="227">
        <f t="shared" ref="P4:Z4" si="11">O4</f>
        <v>172667</v>
      </c>
      <c r="Q4" s="227">
        <f t="shared" si="11"/>
        <v>172667</v>
      </c>
      <c r="R4" s="227">
        <f t="shared" si="11"/>
        <v>172667</v>
      </c>
      <c r="S4" s="227">
        <f t="shared" si="11"/>
        <v>172667</v>
      </c>
      <c r="T4" s="227">
        <f t="shared" si="11"/>
        <v>172667</v>
      </c>
      <c r="U4" s="233">
        <f t="shared" si="11"/>
        <v>172667</v>
      </c>
      <c r="V4" s="234">
        <f t="shared" si="11"/>
        <v>172667</v>
      </c>
      <c r="W4" s="234">
        <f t="shared" si="11"/>
        <v>172667</v>
      </c>
      <c r="X4" s="234">
        <f t="shared" si="11"/>
        <v>172667</v>
      </c>
      <c r="Y4" s="234">
        <f t="shared" si="11"/>
        <v>172667</v>
      </c>
      <c r="Z4" s="234">
        <f t="shared" si="11"/>
        <v>172667</v>
      </c>
      <c r="AA4" s="234">
        <f t="shared" ref="AA4:CP4" si="12">AA5+AA8</f>
        <v>189485.83</v>
      </c>
      <c r="AB4" s="234">
        <f t="shared" si="12"/>
        <v>204597.99</v>
      </c>
      <c r="AC4" s="234">
        <f t="shared" si="12"/>
        <v>204597.99</v>
      </c>
      <c r="AD4" s="234">
        <f t="shared" si="12"/>
        <v>204597.99</v>
      </c>
      <c r="AE4" s="234">
        <f t="shared" si="12"/>
        <v>204597.99</v>
      </c>
      <c r="AF4" s="234">
        <f t="shared" si="12"/>
        <v>204597.99</v>
      </c>
      <c r="AG4" s="234">
        <f t="shared" si="12"/>
        <v>204597.99</v>
      </c>
      <c r="AH4" s="234">
        <f t="shared" si="12"/>
        <v>204597.99</v>
      </c>
      <c r="AI4" s="234">
        <f t="shared" si="12"/>
        <v>204597.99</v>
      </c>
      <c r="AJ4" s="234">
        <f t="shared" si="12"/>
        <v>204597.99</v>
      </c>
      <c r="AK4" s="234">
        <f t="shared" si="12"/>
        <v>204597.99</v>
      </c>
      <c r="AL4" s="234">
        <f t="shared" si="12"/>
        <v>204597.99</v>
      </c>
      <c r="AM4" s="234">
        <f t="shared" si="12"/>
        <v>226380.408</v>
      </c>
      <c r="AN4" s="234">
        <f t="shared" si="12"/>
        <v>226380.408</v>
      </c>
      <c r="AO4" s="234">
        <f t="shared" si="12"/>
        <v>226380.408</v>
      </c>
      <c r="AP4" s="234">
        <f t="shared" si="12"/>
        <v>226380.408</v>
      </c>
      <c r="AQ4" s="234">
        <f t="shared" si="12"/>
        <v>226380.408</v>
      </c>
      <c r="AR4" s="234">
        <f t="shared" si="12"/>
        <v>226380.408</v>
      </c>
      <c r="AS4" s="234">
        <f t="shared" si="12"/>
        <v>226380.408</v>
      </c>
      <c r="AT4" s="234">
        <f t="shared" si="12"/>
        <v>226380.408</v>
      </c>
      <c r="AU4" s="234">
        <f t="shared" si="12"/>
        <v>226380.408</v>
      </c>
      <c r="AV4" s="234">
        <f t="shared" si="12"/>
        <v>226380.408</v>
      </c>
      <c r="AW4" s="234">
        <f t="shared" si="12"/>
        <v>226380.408</v>
      </c>
      <c r="AX4" s="234">
        <f t="shared" si="12"/>
        <v>226380.408</v>
      </c>
      <c r="AY4" s="234">
        <f t="shared" si="12"/>
        <v>250341.0678</v>
      </c>
      <c r="AZ4" s="234">
        <f t="shared" si="12"/>
        <v>250341.0678</v>
      </c>
      <c r="BA4" s="234">
        <f t="shared" si="12"/>
        <v>250341.0678</v>
      </c>
      <c r="BB4" s="234">
        <f t="shared" si="12"/>
        <v>250341.0678</v>
      </c>
      <c r="BC4" s="234">
        <f t="shared" si="12"/>
        <v>250341.0678</v>
      </c>
      <c r="BD4" s="234">
        <f t="shared" si="12"/>
        <v>250341.0678</v>
      </c>
      <c r="BE4" s="234">
        <f t="shared" si="12"/>
        <v>250341.0678</v>
      </c>
      <c r="BF4" s="234">
        <f t="shared" si="12"/>
        <v>250341.0678</v>
      </c>
      <c r="BG4" s="234">
        <f t="shared" si="12"/>
        <v>250341.0678</v>
      </c>
      <c r="BH4" s="234">
        <f t="shared" si="12"/>
        <v>250341.0678</v>
      </c>
      <c r="BI4" s="234">
        <f t="shared" si="12"/>
        <v>250341.0678</v>
      </c>
      <c r="BJ4" s="234">
        <f t="shared" si="12"/>
        <v>250341.0678</v>
      </c>
      <c r="BK4" s="234">
        <f t="shared" si="12"/>
        <v>276697.7936</v>
      </c>
      <c r="BL4" s="234">
        <f t="shared" si="12"/>
        <v>276697.7936</v>
      </c>
      <c r="BM4" s="234">
        <f t="shared" si="12"/>
        <v>276697.7936</v>
      </c>
      <c r="BN4" s="234">
        <f t="shared" si="12"/>
        <v>276697.7936</v>
      </c>
      <c r="BO4" s="234">
        <f t="shared" si="12"/>
        <v>276697.7936</v>
      </c>
      <c r="BP4" s="234">
        <f t="shared" si="12"/>
        <v>276697.7936</v>
      </c>
      <c r="BQ4" s="234">
        <f t="shared" si="12"/>
        <v>276697.7936</v>
      </c>
      <c r="BR4" s="234">
        <f t="shared" si="12"/>
        <v>276697.7936</v>
      </c>
      <c r="BS4" s="234">
        <f t="shared" si="12"/>
        <v>276697.7936</v>
      </c>
      <c r="BT4" s="234">
        <f t="shared" si="12"/>
        <v>276697.7936</v>
      </c>
      <c r="BU4" s="234">
        <f t="shared" si="12"/>
        <v>276697.7936</v>
      </c>
      <c r="BV4" s="234">
        <f t="shared" si="12"/>
        <v>276697.7936</v>
      </c>
      <c r="BW4" s="234">
        <f t="shared" si="12"/>
        <v>305690.1919</v>
      </c>
      <c r="BX4" s="234">
        <f t="shared" si="12"/>
        <v>305690.1919</v>
      </c>
      <c r="BY4" s="234">
        <f t="shared" si="12"/>
        <v>305690.1919</v>
      </c>
      <c r="BZ4" s="234">
        <f t="shared" si="12"/>
        <v>305690.1919</v>
      </c>
      <c r="CA4" s="234">
        <f t="shared" si="12"/>
        <v>305690.1919</v>
      </c>
      <c r="CB4" s="234">
        <f t="shared" si="12"/>
        <v>305690.1919</v>
      </c>
      <c r="CC4" s="234">
        <f t="shared" si="12"/>
        <v>305690.1919</v>
      </c>
      <c r="CD4" s="234">
        <f t="shared" si="12"/>
        <v>305690.1919</v>
      </c>
      <c r="CE4" s="234">
        <f t="shared" si="12"/>
        <v>305690.1919</v>
      </c>
      <c r="CF4" s="234">
        <f t="shared" si="12"/>
        <v>305690.1919</v>
      </c>
      <c r="CG4" s="234">
        <f t="shared" si="12"/>
        <v>305690.1919</v>
      </c>
      <c r="CH4" s="234">
        <f t="shared" si="12"/>
        <v>305690.1919</v>
      </c>
      <c r="CI4" s="234">
        <f t="shared" si="12"/>
        <v>337581.8301</v>
      </c>
      <c r="CJ4" s="234">
        <f t="shared" si="12"/>
        <v>337581.8301</v>
      </c>
      <c r="CK4" s="234">
        <f t="shared" si="12"/>
        <v>337581.8301</v>
      </c>
      <c r="CL4" s="234">
        <f t="shared" si="12"/>
        <v>337581.8301</v>
      </c>
      <c r="CM4" s="234">
        <f t="shared" si="12"/>
        <v>337581.8301</v>
      </c>
      <c r="CN4" s="234">
        <f t="shared" si="12"/>
        <v>337581.8301</v>
      </c>
      <c r="CO4" s="234">
        <f t="shared" si="12"/>
        <v>337581.8301</v>
      </c>
      <c r="CP4" s="234">
        <f t="shared" si="12"/>
        <v>337581.8301</v>
      </c>
    </row>
    <row r="5">
      <c r="A5" s="223" t="s">
        <v>265</v>
      </c>
      <c r="B5" s="227">
        <f t="shared" ref="B5:N5" si="13">B4-B8</f>
        <v>-130</v>
      </c>
      <c r="C5" s="227">
        <f t="shared" si="13"/>
        <v>55506.66667</v>
      </c>
      <c r="D5" s="227">
        <f t="shared" si="13"/>
        <v>24534.66667</v>
      </c>
      <c r="E5" s="227">
        <f t="shared" si="13"/>
        <v>24534.66667</v>
      </c>
      <c r="F5" s="227">
        <f t="shared" si="13"/>
        <v>24534.66667</v>
      </c>
      <c r="G5" s="227">
        <f t="shared" si="13"/>
        <v>24534.66667</v>
      </c>
      <c r="H5" s="227">
        <f t="shared" si="13"/>
        <v>24534.66667</v>
      </c>
      <c r="I5" s="227">
        <f t="shared" si="13"/>
        <v>24534.66667</v>
      </c>
      <c r="J5" s="227">
        <f t="shared" si="13"/>
        <v>24534.66667</v>
      </c>
      <c r="K5" s="227">
        <f t="shared" si="13"/>
        <v>24534.66667</v>
      </c>
      <c r="L5" s="227">
        <f t="shared" si="13"/>
        <v>24534.66667</v>
      </c>
      <c r="M5" s="227">
        <f t="shared" si="13"/>
        <v>24534.66667</v>
      </c>
      <c r="N5" s="227">
        <f t="shared" si="13"/>
        <v>24534.66667</v>
      </c>
      <c r="O5" s="227">
        <v>31925.0</v>
      </c>
      <c r="P5" s="227">
        <f t="shared" ref="P5:Z5" si="14">O5</f>
        <v>31925</v>
      </c>
      <c r="Q5" s="227">
        <f t="shared" si="14"/>
        <v>31925</v>
      </c>
      <c r="R5" s="227">
        <f t="shared" si="14"/>
        <v>31925</v>
      </c>
      <c r="S5" s="227">
        <f t="shared" si="14"/>
        <v>31925</v>
      </c>
      <c r="T5" s="227">
        <f t="shared" si="14"/>
        <v>31925</v>
      </c>
      <c r="U5" s="230">
        <f t="shared" si="14"/>
        <v>31925</v>
      </c>
      <c r="V5" s="231">
        <f t="shared" si="14"/>
        <v>31925</v>
      </c>
      <c r="W5" s="231">
        <f t="shared" si="14"/>
        <v>31925</v>
      </c>
      <c r="X5" s="231">
        <f t="shared" si="14"/>
        <v>31925</v>
      </c>
      <c r="Y5" s="231">
        <f t="shared" si="14"/>
        <v>31925</v>
      </c>
      <c r="Z5" s="231">
        <f t="shared" si="14"/>
        <v>31925</v>
      </c>
      <c r="AA5" s="231">
        <f t="shared" ref="AA5:CP5" si="15">(AA8-Z8)*31%+Z5</f>
        <v>34743.83</v>
      </c>
      <c r="AB5" s="232">
        <f t="shared" si="15"/>
        <v>38319.99</v>
      </c>
      <c r="AC5" s="232">
        <f t="shared" si="15"/>
        <v>38319.99</v>
      </c>
      <c r="AD5" s="231">
        <f t="shared" si="15"/>
        <v>38319.99</v>
      </c>
      <c r="AE5" s="231">
        <f t="shared" si="15"/>
        <v>38319.99</v>
      </c>
      <c r="AF5" s="231">
        <f t="shared" si="15"/>
        <v>38319.99</v>
      </c>
      <c r="AG5" s="231">
        <f t="shared" si="15"/>
        <v>38319.99</v>
      </c>
      <c r="AH5" s="231">
        <f t="shared" si="15"/>
        <v>38319.99</v>
      </c>
      <c r="AI5" s="231">
        <f t="shared" si="15"/>
        <v>38319.99</v>
      </c>
      <c r="AJ5" s="231">
        <f t="shared" si="15"/>
        <v>38319.99</v>
      </c>
      <c r="AK5" s="231">
        <f t="shared" si="15"/>
        <v>38319.99</v>
      </c>
      <c r="AL5" s="231">
        <f t="shared" si="15"/>
        <v>38319.99</v>
      </c>
      <c r="AM5" s="231">
        <f t="shared" si="15"/>
        <v>43474.608</v>
      </c>
      <c r="AN5" s="231">
        <f t="shared" si="15"/>
        <v>43474.608</v>
      </c>
      <c r="AO5" s="231">
        <f t="shared" si="15"/>
        <v>43474.608</v>
      </c>
      <c r="AP5" s="231">
        <f t="shared" si="15"/>
        <v>43474.608</v>
      </c>
      <c r="AQ5" s="231">
        <f t="shared" si="15"/>
        <v>43474.608</v>
      </c>
      <c r="AR5" s="231">
        <f t="shared" si="15"/>
        <v>43474.608</v>
      </c>
      <c r="AS5" s="231">
        <f t="shared" si="15"/>
        <v>43474.608</v>
      </c>
      <c r="AT5" s="231">
        <f t="shared" si="15"/>
        <v>43474.608</v>
      </c>
      <c r="AU5" s="231">
        <f t="shared" si="15"/>
        <v>43474.608</v>
      </c>
      <c r="AV5" s="231">
        <f t="shared" si="15"/>
        <v>43474.608</v>
      </c>
      <c r="AW5" s="231">
        <f t="shared" si="15"/>
        <v>43474.608</v>
      </c>
      <c r="AX5" s="231">
        <f t="shared" si="15"/>
        <v>43474.608</v>
      </c>
      <c r="AY5" s="231">
        <f t="shared" si="15"/>
        <v>49144.6878</v>
      </c>
      <c r="AZ5" s="231">
        <f t="shared" si="15"/>
        <v>49144.6878</v>
      </c>
      <c r="BA5" s="231">
        <f t="shared" si="15"/>
        <v>49144.6878</v>
      </c>
      <c r="BB5" s="231">
        <f t="shared" si="15"/>
        <v>49144.6878</v>
      </c>
      <c r="BC5" s="231">
        <f t="shared" si="15"/>
        <v>49144.6878</v>
      </c>
      <c r="BD5" s="231">
        <f t="shared" si="15"/>
        <v>49144.6878</v>
      </c>
      <c r="BE5" s="231">
        <f t="shared" si="15"/>
        <v>49144.6878</v>
      </c>
      <c r="BF5" s="231">
        <f t="shared" si="15"/>
        <v>49144.6878</v>
      </c>
      <c r="BG5" s="231">
        <f t="shared" si="15"/>
        <v>49144.6878</v>
      </c>
      <c r="BH5" s="231">
        <f t="shared" si="15"/>
        <v>49144.6878</v>
      </c>
      <c r="BI5" s="231">
        <f t="shared" si="15"/>
        <v>49144.6878</v>
      </c>
      <c r="BJ5" s="231">
        <f t="shared" si="15"/>
        <v>49144.6878</v>
      </c>
      <c r="BK5" s="231">
        <f t="shared" si="15"/>
        <v>55381.77558</v>
      </c>
      <c r="BL5" s="231">
        <f t="shared" si="15"/>
        <v>55381.77558</v>
      </c>
      <c r="BM5" s="231">
        <f t="shared" si="15"/>
        <v>55381.77558</v>
      </c>
      <c r="BN5" s="231">
        <f t="shared" si="15"/>
        <v>55381.77558</v>
      </c>
      <c r="BO5" s="231">
        <f t="shared" si="15"/>
        <v>55381.77558</v>
      </c>
      <c r="BP5" s="231">
        <f t="shared" si="15"/>
        <v>55381.77558</v>
      </c>
      <c r="BQ5" s="231">
        <f t="shared" si="15"/>
        <v>55381.77558</v>
      </c>
      <c r="BR5" s="231">
        <f t="shared" si="15"/>
        <v>55381.77558</v>
      </c>
      <c r="BS5" s="231">
        <f t="shared" si="15"/>
        <v>55381.77558</v>
      </c>
      <c r="BT5" s="231">
        <f t="shared" si="15"/>
        <v>55381.77558</v>
      </c>
      <c r="BU5" s="231">
        <f t="shared" si="15"/>
        <v>55381.77558</v>
      </c>
      <c r="BV5" s="231">
        <f t="shared" si="15"/>
        <v>55381.77558</v>
      </c>
      <c r="BW5" s="231">
        <f t="shared" si="15"/>
        <v>62242.57214</v>
      </c>
      <c r="BX5" s="231">
        <f t="shared" si="15"/>
        <v>62242.57214</v>
      </c>
      <c r="BY5" s="231">
        <f t="shared" si="15"/>
        <v>62242.57214</v>
      </c>
      <c r="BZ5" s="231">
        <f t="shared" si="15"/>
        <v>62242.57214</v>
      </c>
      <c r="CA5" s="231">
        <f t="shared" si="15"/>
        <v>62242.57214</v>
      </c>
      <c r="CB5" s="231">
        <f t="shared" si="15"/>
        <v>62242.57214</v>
      </c>
      <c r="CC5" s="231">
        <f t="shared" si="15"/>
        <v>62242.57214</v>
      </c>
      <c r="CD5" s="231">
        <f t="shared" si="15"/>
        <v>62242.57214</v>
      </c>
      <c r="CE5" s="231">
        <f t="shared" si="15"/>
        <v>62242.57214</v>
      </c>
      <c r="CF5" s="231">
        <f t="shared" si="15"/>
        <v>62242.57214</v>
      </c>
      <c r="CG5" s="231">
        <f t="shared" si="15"/>
        <v>62242.57214</v>
      </c>
      <c r="CH5" s="231">
        <f t="shared" si="15"/>
        <v>62242.57214</v>
      </c>
      <c r="CI5" s="231">
        <f t="shared" si="15"/>
        <v>69789.44835</v>
      </c>
      <c r="CJ5" s="231">
        <f t="shared" si="15"/>
        <v>69789.44835</v>
      </c>
      <c r="CK5" s="231">
        <f t="shared" si="15"/>
        <v>69789.44835</v>
      </c>
      <c r="CL5" s="231">
        <f t="shared" si="15"/>
        <v>69789.44835</v>
      </c>
      <c r="CM5" s="231">
        <f t="shared" si="15"/>
        <v>69789.44835</v>
      </c>
      <c r="CN5" s="231">
        <f t="shared" si="15"/>
        <v>69789.44835</v>
      </c>
      <c r="CO5" s="231">
        <f t="shared" si="15"/>
        <v>69789.44835</v>
      </c>
      <c r="CP5" s="231">
        <f t="shared" si="15"/>
        <v>69789.44835</v>
      </c>
    </row>
    <row r="6">
      <c r="A6" s="223" t="s">
        <v>266</v>
      </c>
      <c r="B6" s="227">
        <v>3466.81</v>
      </c>
      <c r="C6" s="226">
        <f t="shared" ref="C6:K6" si="16">B22</f>
        <v>18000</v>
      </c>
      <c r="D6" s="226">
        <f t="shared" si="16"/>
        <v>24000</v>
      </c>
      <c r="E6" s="226">
        <f t="shared" si="16"/>
        <v>30000</v>
      </c>
      <c r="F6" s="226">
        <f t="shared" si="16"/>
        <v>0</v>
      </c>
      <c r="G6" s="226">
        <f t="shared" si="16"/>
        <v>10800</v>
      </c>
      <c r="H6" s="226">
        <f t="shared" si="16"/>
        <v>0</v>
      </c>
      <c r="I6" s="226">
        <f t="shared" si="16"/>
        <v>0</v>
      </c>
      <c r="J6" s="226">
        <f t="shared" si="16"/>
        <v>0</v>
      </c>
      <c r="K6" s="226">
        <f t="shared" si="16"/>
        <v>0</v>
      </c>
      <c r="L6" s="226">
        <v>17592.609999999993</v>
      </c>
      <c r="M6" s="226">
        <v>18307.730000000003</v>
      </c>
      <c r="N6" s="226">
        <v>140217.66</v>
      </c>
      <c r="O6" s="226">
        <v>137106.52</v>
      </c>
      <c r="P6" s="226">
        <v>143883.22999999998</v>
      </c>
      <c r="Q6" s="226">
        <v>152410.71</v>
      </c>
      <c r="R6" s="226">
        <v>157367.16</v>
      </c>
      <c r="S6" s="226">
        <v>123416.54</v>
      </c>
      <c r="T6" s="226">
        <v>120331.87</v>
      </c>
      <c r="U6" s="230">
        <v>76707.13</v>
      </c>
      <c r="V6" s="231">
        <f t="shared" ref="V6:CP6" si="17">U22</f>
        <v>64441.75</v>
      </c>
      <c r="W6" s="231">
        <f t="shared" si="17"/>
        <v>12282</v>
      </c>
      <c r="X6" s="231">
        <f t="shared" si="17"/>
        <v>75350.04</v>
      </c>
      <c r="Y6" s="231">
        <f t="shared" si="17"/>
        <v>86178.85</v>
      </c>
      <c r="Z6" s="231">
        <f t="shared" si="17"/>
        <v>136769.87</v>
      </c>
      <c r="AA6" s="231">
        <f t="shared" si="17"/>
        <v>148220.83</v>
      </c>
      <c r="AB6" s="232">
        <f t="shared" si="17"/>
        <v>38355.87</v>
      </c>
      <c r="AC6" s="232">
        <f t="shared" si="17"/>
        <v>4671.78</v>
      </c>
      <c r="AD6" s="231">
        <f t="shared" si="17"/>
        <v>0</v>
      </c>
      <c r="AE6" s="231">
        <f t="shared" si="17"/>
        <v>54732.34</v>
      </c>
      <c r="AF6" s="231">
        <f t="shared" si="17"/>
        <v>67019.95</v>
      </c>
      <c r="AG6" s="231">
        <f t="shared" si="17"/>
        <v>11649.34</v>
      </c>
      <c r="AH6" s="231">
        <f t="shared" si="17"/>
        <v>26113.85</v>
      </c>
      <c r="AI6" s="231">
        <f t="shared" si="17"/>
        <v>55541</v>
      </c>
      <c r="AJ6" s="231">
        <f t="shared" si="17"/>
        <v>114780.32</v>
      </c>
      <c r="AK6" s="231">
        <f t="shared" si="17"/>
        <v>172543.64</v>
      </c>
      <c r="AL6" s="231">
        <f t="shared" si="17"/>
        <v>234420.89</v>
      </c>
      <c r="AM6" s="231">
        <f t="shared" si="17"/>
        <v>290293.14</v>
      </c>
      <c r="AN6" s="231">
        <f t="shared" si="17"/>
        <v>361798.29</v>
      </c>
      <c r="AO6" s="231">
        <f t="shared" si="17"/>
        <v>437301.34</v>
      </c>
      <c r="AP6" s="231">
        <f t="shared" si="17"/>
        <v>477281.02</v>
      </c>
      <c r="AQ6" s="231">
        <f t="shared" si="17"/>
        <v>554961.7</v>
      </c>
      <c r="AR6" s="231">
        <f t="shared" si="17"/>
        <v>632941.38</v>
      </c>
      <c r="AS6" s="231">
        <f t="shared" si="17"/>
        <v>709921.06</v>
      </c>
      <c r="AT6" s="231">
        <f t="shared" si="17"/>
        <v>777126.13</v>
      </c>
      <c r="AU6" s="231">
        <f t="shared" si="17"/>
        <v>858198.09</v>
      </c>
      <c r="AV6" s="231">
        <f t="shared" si="17"/>
        <v>938270.05</v>
      </c>
      <c r="AW6" s="231">
        <f t="shared" si="17"/>
        <v>1031186.41</v>
      </c>
      <c r="AX6" s="231">
        <f t="shared" si="17"/>
        <v>1118102.77</v>
      </c>
      <c r="AY6" s="231">
        <f t="shared" si="17"/>
        <v>1181148.22</v>
      </c>
      <c r="AZ6" s="231">
        <f t="shared" si="17"/>
        <v>1291841.7</v>
      </c>
      <c r="BA6" s="231">
        <f t="shared" si="17"/>
        <v>1401535.08</v>
      </c>
      <c r="BB6" s="231">
        <f t="shared" si="17"/>
        <v>1510228.46</v>
      </c>
      <c r="BC6" s="231">
        <f t="shared" si="17"/>
        <v>1616621.84</v>
      </c>
      <c r="BD6" s="231">
        <f t="shared" si="17"/>
        <v>1723315.22</v>
      </c>
      <c r="BE6" s="231">
        <f t="shared" si="17"/>
        <v>1834008.6</v>
      </c>
      <c r="BF6" s="231">
        <f t="shared" si="17"/>
        <v>1928975.98</v>
      </c>
      <c r="BG6" s="231">
        <f t="shared" si="17"/>
        <v>2037669.36</v>
      </c>
      <c r="BH6" s="231">
        <f t="shared" si="17"/>
        <v>2140362.74</v>
      </c>
      <c r="BI6" s="231">
        <f t="shared" si="17"/>
        <v>2246556.12</v>
      </c>
      <c r="BJ6" s="231">
        <f t="shared" si="17"/>
        <v>2351749.5</v>
      </c>
      <c r="BK6" s="231">
        <f t="shared" si="17"/>
        <v>2450942.88</v>
      </c>
      <c r="BL6" s="231">
        <f t="shared" si="17"/>
        <v>2589832.998</v>
      </c>
      <c r="BM6" s="231">
        <f t="shared" si="17"/>
        <v>2727723.016</v>
      </c>
      <c r="BN6" s="231">
        <f t="shared" si="17"/>
        <v>2864613.034</v>
      </c>
      <c r="BO6" s="231">
        <f t="shared" si="17"/>
        <v>2999203.052</v>
      </c>
      <c r="BP6" s="231">
        <f t="shared" si="17"/>
        <v>3134093.07</v>
      </c>
      <c r="BQ6" s="231">
        <f t="shared" si="17"/>
        <v>3267983.088</v>
      </c>
      <c r="BR6" s="231">
        <f t="shared" si="17"/>
        <v>3381175.106</v>
      </c>
      <c r="BS6" s="231">
        <f t="shared" si="17"/>
        <v>3522355.124</v>
      </c>
      <c r="BT6" s="231">
        <f t="shared" si="17"/>
        <v>3662535.142</v>
      </c>
      <c r="BU6" s="231">
        <f t="shared" si="17"/>
        <v>3801215.16</v>
      </c>
      <c r="BV6" s="231">
        <f t="shared" si="17"/>
        <v>3938895.178</v>
      </c>
      <c r="BW6" s="231">
        <f t="shared" si="17"/>
        <v>4075575.196</v>
      </c>
      <c r="BX6" s="231">
        <f t="shared" si="17"/>
        <v>4228386.916</v>
      </c>
      <c r="BY6" s="231">
        <f t="shared" si="17"/>
        <v>4385198.536</v>
      </c>
      <c r="BZ6" s="231">
        <f t="shared" si="17"/>
        <v>4541010.155</v>
      </c>
      <c r="CA6" s="231">
        <f t="shared" si="17"/>
        <v>4694521.775</v>
      </c>
      <c r="CB6" s="231">
        <f t="shared" si="17"/>
        <v>4843333.395</v>
      </c>
      <c r="CC6" s="231">
        <f t="shared" si="17"/>
        <v>5011645.015</v>
      </c>
      <c r="CD6" s="231">
        <f t="shared" si="17"/>
        <v>5164230.635</v>
      </c>
      <c r="CE6" s="231">
        <f t="shared" si="17"/>
        <v>5330542.254</v>
      </c>
      <c r="CF6" s="231">
        <f t="shared" si="17"/>
        <v>5495853.874</v>
      </c>
      <c r="CG6" s="231">
        <f t="shared" si="17"/>
        <v>5659665.494</v>
      </c>
      <c r="CH6" s="231">
        <f t="shared" si="17"/>
        <v>5822477.114</v>
      </c>
      <c r="CI6" s="231">
        <f t="shared" si="17"/>
        <v>5984288.734</v>
      </c>
      <c r="CJ6" s="231">
        <f t="shared" si="17"/>
        <v>6172417.215</v>
      </c>
      <c r="CK6" s="231">
        <f t="shared" si="17"/>
        <v>6354545.597</v>
      </c>
      <c r="CL6" s="231">
        <f t="shared" si="17"/>
        <v>6535673.979</v>
      </c>
      <c r="CM6" s="231">
        <f t="shared" si="17"/>
        <v>6719502.361</v>
      </c>
      <c r="CN6" s="231">
        <f t="shared" si="17"/>
        <v>6903630.743</v>
      </c>
      <c r="CO6" s="231">
        <f t="shared" si="17"/>
        <v>7086759.124</v>
      </c>
      <c r="CP6" s="231">
        <f t="shared" si="17"/>
        <v>7254161.506</v>
      </c>
    </row>
    <row r="7">
      <c r="A7" s="223" t="s">
        <v>262</v>
      </c>
      <c r="B7" s="224">
        <v>0.0</v>
      </c>
      <c r="C7" s="226">
        <f t="shared" ref="C7:M7" si="18">(C8-B8)/C8%</f>
        <v>-26.82951551</v>
      </c>
      <c r="D7" s="226">
        <f t="shared" si="18"/>
        <v>23.89224883</v>
      </c>
      <c r="E7" s="226">
        <f t="shared" si="18"/>
        <v>0</v>
      </c>
      <c r="F7" s="226">
        <f t="shared" si="18"/>
        <v>0</v>
      </c>
      <c r="G7" s="226">
        <f t="shared" si="18"/>
        <v>0</v>
      </c>
      <c r="H7" s="226">
        <f t="shared" si="18"/>
        <v>0</v>
      </c>
      <c r="I7" s="226">
        <f t="shared" si="18"/>
        <v>0</v>
      </c>
      <c r="J7" s="226">
        <f t="shared" si="18"/>
        <v>0</v>
      </c>
      <c r="K7" s="226">
        <f t="shared" si="18"/>
        <v>0</v>
      </c>
      <c r="L7" s="226">
        <f t="shared" si="18"/>
        <v>0</v>
      </c>
      <c r="M7" s="226">
        <f t="shared" si="18"/>
        <v>0</v>
      </c>
      <c r="N7" s="226">
        <v>0.0</v>
      </c>
      <c r="O7" s="226">
        <v>0.135</v>
      </c>
      <c r="P7" s="226">
        <v>0.0</v>
      </c>
      <c r="Q7" s="226">
        <v>0.0</v>
      </c>
      <c r="R7" s="226">
        <v>0.0</v>
      </c>
      <c r="S7" s="226">
        <v>0.0</v>
      </c>
      <c r="T7" s="226">
        <v>0.0</v>
      </c>
      <c r="U7" s="235">
        <v>0.0</v>
      </c>
      <c r="V7" s="236">
        <v>0.0</v>
      </c>
      <c r="W7" s="236">
        <v>0.0</v>
      </c>
      <c r="X7" s="236">
        <v>0.0</v>
      </c>
      <c r="Y7" s="236">
        <v>0.0</v>
      </c>
      <c r="Z7" s="236">
        <v>0.0</v>
      </c>
      <c r="AA7" s="229">
        <f>(AA8-Z8)/Z8</f>
        <v>0.06243091267</v>
      </c>
      <c r="AB7" s="236">
        <v>0.0</v>
      </c>
      <c r="AC7" s="236">
        <v>0.0</v>
      </c>
      <c r="AD7" s="236">
        <v>0.0</v>
      </c>
      <c r="AE7" s="236">
        <v>0.0</v>
      </c>
      <c r="AF7" s="236">
        <v>0.0</v>
      </c>
      <c r="AG7" s="236">
        <v>0.0</v>
      </c>
      <c r="AH7" s="236">
        <v>0.0</v>
      </c>
      <c r="AI7" s="236">
        <v>0.0</v>
      </c>
      <c r="AJ7" s="236">
        <v>0.0</v>
      </c>
      <c r="AK7" s="236">
        <v>0.0</v>
      </c>
      <c r="AL7" s="236">
        <v>0.0</v>
      </c>
      <c r="AM7" s="236">
        <v>0.1</v>
      </c>
      <c r="AN7" s="236">
        <v>0.0</v>
      </c>
      <c r="AO7" s="236">
        <v>0.0</v>
      </c>
      <c r="AP7" s="236">
        <v>0.0</v>
      </c>
      <c r="AQ7" s="236">
        <v>0.0</v>
      </c>
      <c r="AR7" s="236">
        <v>0.0</v>
      </c>
      <c r="AS7" s="236">
        <v>0.0</v>
      </c>
      <c r="AT7" s="236">
        <v>0.0</v>
      </c>
      <c r="AU7" s="236">
        <v>0.0</v>
      </c>
      <c r="AV7" s="236">
        <v>0.0</v>
      </c>
      <c r="AW7" s="236">
        <v>0.0</v>
      </c>
      <c r="AX7" s="236">
        <v>0.0</v>
      </c>
      <c r="AY7" s="236">
        <v>0.1</v>
      </c>
      <c r="AZ7" s="236">
        <v>0.0</v>
      </c>
      <c r="BA7" s="236">
        <v>0.0</v>
      </c>
      <c r="BB7" s="236">
        <v>0.0</v>
      </c>
      <c r="BC7" s="236">
        <v>0.0</v>
      </c>
      <c r="BD7" s="236">
        <v>0.0</v>
      </c>
      <c r="BE7" s="236">
        <v>0.0</v>
      </c>
      <c r="BF7" s="236">
        <v>0.0</v>
      </c>
      <c r="BG7" s="236">
        <v>0.0</v>
      </c>
      <c r="BH7" s="236">
        <v>0.0</v>
      </c>
      <c r="BI7" s="236">
        <v>0.0</v>
      </c>
      <c r="BJ7" s="236">
        <v>0.0</v>
      </c>
      <c r="BK7" s="236">
        <v>0.1</v>
      </c>
      <c r="BL7" s="236">
        <v>0.0</v>
      </c>
      <c r="BM7" s="236">
        <v>0.0</v>
      </c>
      <c r="BN7" s="236">
        <v>0.0</v>
      </c>
      <c r="BO7" s="236">
        <v>0.0</v>
      </c>
      <c r="BP7" s="236">
        <v>0.0</v>
      </c>
      <c r="BQ7" s="236">
        <v>0.0</v>
      </c>
      <c r="BR7" s="236">
        <v>0.0</v>
      </c>
      <c r="BS7" s="236">
        <v>0.0</v>
      </c>
      <c r="BT7" s="236">
        <v>0.0</v>
      </c>
      <c r="BU7" s="236">
        <v>0.0</v>
      </c>
      <c r="BV7" s="236">
        <v>0.0</v>
      </c>
      <c r="BW7" s="236">
        <v>0.1</v>
      </c>
      <c r="BX7" s="236">
        <v>0.0</v>
      </c>
      <c r="BY7" s="236">
        <v>0.0</v>
      </c>
      <c r="BZ7" s="236">
        <v>0.0</v>
      </c>
      <c r="CA7" s="236">
        <v>0.0</v>
      </c>
      <c r="CB7" s="236">
        <v>0.0</v>
      </c>
      <c r="CC7" s="236">
        <v>0.0</v>
      </c>
      <c r="CD7" s="236">
        <v>0.0</v>
      </c>
      <c r="CE7" s="236">
        <v>0.0</v>
      </c>
      <c r="CF7" s="236">
        <v>0.0</v>
      </c>
      <c r="CG7" s="236">
        <v>0.0</v>
      </c>
      <c r="CH7" s="236">
        <v>0.0</v>
      </c>
      <c r="CI7" s="236">
        <v>0.1</v>
      </c>
      <c r="CJ7" s="236">
        <v>0.0</v>
      </c>
      <c r="CK7" s="236">
        <v>0.0</v>
      </c>
      <c r="CL7" s="236">
        <v>0.0</v>
      </c>
      <c r="CM7" s="236">
        <v>0.0</v>
      </c>
      <c r="CN7" s="236">
        <v>0.0</v>
      </c>
      <c r="CO7" s="236">
        <v>0.0</v>
      </c>
      <c r="CP7" s="236">
        <v>0.0</v>
      </c>
    </row>
    <row r="8">
      <c r="A8" s="223" t="s">
        <v>267</v>
      </c>
      <c r="B8" s="227">
        <v>125130.0</v>
      </c>
      <c r="C8" s="227">
        <v>98660.0</v>
      </c>
      <c r="D8" s="227">
        <v>129632.0</v>
      </c>
      <c r="E8" s="227">
        <v>129632.0</v>
      </c>
      <c r="F8" s="227">
        <v>129632.0</v>
      </c>
      <c r="G8" s="227">
        <v>129632.0</v>
      </c>
      <c r="H8" s="227">
        <v>129632.0</v>
      </c>
      <c r="I8" s="227">
        <v>129632.0</v>
      </c>
      <c r="J8" s="227">
        <v>129632.0</v>
      </c>
      <c r="K8" s="227">
        <v>129632.0</v>
      </c>
      <c r="L8" s="227">
        <v>129632.0</v>
      </c>
      <c r="M8" s="227">
        <v>129632.0</v>
      </c>
      <c r="N8" s="227">
        <f>M8+M8*N7</f>
        <v>129632</v>
      </c>
      <c r="O8" s="227">
        <v>129632.0</v>
      </c>
      <c r="P8" s="227">
        <v>161790.0</v>
      </c>
      <c r="Q8" s="227">
        <v>143373.0</v>
      </c>
      <c r="R8" s="227">
        <v>143373.0</v>
      </c>
      <c r="S8" s="227">
        <v>143373.0</v>
      </c>
      <c r="T8" s="227">
        <v>145649.0</v>
      </c>
      <c r="U8" s="233">
        <v>145649.0</v>
      </c>
      <c r="V8" s="234">
        <v>145649.0</v>
      </c>
      <c r="W8" s="234">
        <v>145649.0</v>
      </c>
      <c r="X8" s="234">
        <v>145649.0</v>
      </c>
      <c r="Y8" s="234">
        <v>145649.0</v>
      </c>
      <c r="Z8" s="234">
        <v>145649.0</v>
      </c>
      <c r="AA8" s="234">
        <v>154742.0</v>
      </c>
      <c r="AB8" s="234">
        <v>166278.0</v>
      </c>
      <c r="AC8" s="234">
        <f t="shared" ref="AC8:CP8" si="19">AB8+AB8*AC7</f>
        <v>166278</v>
      </c>
      <c r="AD8" s="234">
        <f t="shared" si="19"/>
        <v>166278</v>
      </c>
      <c r="AE8" s="234">
        <f t="shared" si="19"/>
        <v>166278</v>
      </c>
      <c r="AF8" s="234">
        <f t="shared" si="19"/>
        <v>166278</v>
      </c>
      <c r="AG8" s="234">
        <f t="shared" si="19"/>
        <v>166278</v>
      </c>
      <c r="AH8" s="234">
        <f t="shared" si="19"/>
        <v>166278</v>
      </c>
      <c r="AI8" s="234">
        <f t="shared" si="19"/>
        <v>166278</v>
      </c>
      <c r="AJ8" s="234">
        <f t="shared" si="19"/>
        <v>166278</v>
      </c>
      <c r="AK8" s="234">
        <f t="shared" si="19"/>
        <v>166278</v>
      </c>
      <c r="AL8" s="234">
        <f t="shared" si="19"/>
        <v>166278</v>
      </c>
      <c r="AM8" s="234">
        <f t="shared" si="19"/>
        <v>182905.8</v>
      </c>
      <c r="AN8" s="234">
        <f t="shared" si="19"/>
        <v>182905.8</v>
      </c>
      <c r="AO8" s="234">
        <f t="shared" si="19"/>
        <v>182905.8</v>
      </c>
      <c r="AP8" s="234">
        <f t="shared" si="19"/>
        <v>182905.8</v>
      </c>
      <c r="AQ8" s="234">
        <f t="shared" si="19"/>
        <v>182905.8</v>
      </c>
      <c r="AR8" s="234">
        <f t="shared" si="19"/>
        <v>182905.8</v>
      </c>
      <c r="AS8" s="234">
        <f t="shared" si="19"/>
        <v>182905.8</v>
      </c>
      <c r="AT8" s="234">
        <f t="shared" si="19"/>
        <v>182905.8</v>
      </c>
      <c r="AU8" s="234">
        <f t="shared" si="19"/>
        <v>182905.8</v>
      </c>
      <c r="AV8" s="234">
        <f t="shared" si="19"/>
        <v>182905.8</v>
      </c>
      <c r="AW8" s="234">
        <f t="shared" si="19"/>
        <v>182905.8</v>
      </c>
      <c r="AX8" s="234">
        <f t="shared" si="19"/>
        <v>182905.8</v>
      </c>
      <c r="AY8" s="234">
        <f t="shared" si="19"/>
        <v>201196.38</v>
      </c>
      <c r="AZ8" s="234">
        <f t="shared" si="19"/>
        <v>201196.38</v>
      </c>
      <c r="BA8" s="234">
        <f t="shared" si="19"/>
        <v>201196.38</v>
      </c>
      <c r="BB8" s="234">
        <f t="shared" si="19"/>
        <v>201196.38</v>
      </c>
      <c r="BC8" s="234">
        <f t="shared" si="19"/>
        <v>201196.38</v>
      </c>
      <c r="BD8" s="234">
        <f t="shared" si="19"/>
        <v>201196.38</v>
      </c>
      <c r="BE8" s="234">
        <f t="shared" si="19"/>
        <v>201196.38</v>
      </c>
      <c r="BF8" s="234">
        <f t="shared" si="19"/>
        <v>201196.38</v>
      </c>
      <c r="BG8" s="234">
        <f t="shared" si="19"/>
        <v>201196.38</v>
      </c>
      <c r="BH8" s="234">
        <f t="shared" si="19"/>
        <v>201196.38</v>
      </c>
      <c r="BI8" s="234">
        <f t="shared" si="19"/>
        <v>201196.38</v>
      </c>
      <c r="BJ8" s="234">
        <f t="shared" si="19"/>
        <v>201196.38</v>
      </c>
      <c r="BK8" s="234">
        <f t="shared" si="19"/>
        <v>221316.018</v>
      </c>
      <c r="BL8" s="234">
        <f t="shared" si="19"/>
        <v>221316.018</v>
      </c>
      <c r="BM8" s="234">
        <f t="shared" si="19"/>
        <v>221316.018</v>
      </c>
      <c r="BN8" s="234">
        <f t="shared" si="19"/>
        <v>221316.018</v>
      </c>
      <c r="BO8" s="234">
        <f t="shared" si="19"/>
        <v>221316.018</v>
      </c>
      <c r="BP8" s="234">
        <f t="shared" si="19"/>
        <v>221316.018</v>
      </c>
      <c r="BQ8" s="234">
        <f t="shared" si="19"/>
        <v>221316.018</v>
      </c>
      <c r="BR8" s="234">
        <f t="shared" si="19"/>
        <v>221316.018</v>
      </c>
      <c r="BS8" s="234">
        <f t="shared" si="19"/>
        <v>221316.018</v>
      </c>
      <c r="BT8" s="234">
        <f t="shared" si="19"/>
        <v>221316.018</v>
      </c>
      <c r="BU8" s="234">
        <f t="shared" si="19"/>
        <v>221316.018</v>
      </c>
      <c r="BV8" s="234">
        <f t="shared" si="19"/>
        <v>221316.018</v>
      </c>
      <c r="BW8" s="234">
        <f t="shared" si="19"/>
        <v>243447.6198</v>
      </c>
      <c r="BX8" s="234">
        <f t="shared" si="19"/>
        <v>243447.6198</v>
      </c>
      <c r="BY8" s="234">
        <f t="shared" si="19"/>
        <v>243447.6198</v>
      </c>
      <c r="BZ8" s="234">
        <f t="shared" si="19"/>
        <v>243447.6198</v>
      </c>
      <c r="CA8" s="234">
        <f t="shared" si="19"/>
        <v>243447.6198</v>
      </c>
      <c r="CB8" s="234">
        <f t="shared" si="19"/>
        <v>243447.6198</v>
      </c>
      <c r="CC8" s="234">
        <f t="shared" si="19"/>
        <v>243447.6198</v>
      </c>
      <c r="CD8" s="234">
        <f t="shared" si="19"/>
        <v>243447.6198</v>
      </c>
      <c r="CE8" s="234">
        <f t="shared" si="19"/>
        <v>243447.6198</v>
      </c>
      <c r="CF8" s="234">
        <f t="shared" si="19"/>
        <v>243447.6198</v>
      </c>
      <c r="CG8" s="234">
        <f t="shared" si="19"/>
        <v>243447.6198</v>
      </c>
      <c r="CH8" s="234">
        <f t="shared" si="19"/>
        <v>243447.6198</v>
      </c>
      <c r="CI8" s="234">
        <f t="shared" si="19"/>
        <v>267792.3818</v>
      </c>
      <c r="CJ8" s="234">
        <f t="shared" si="19"/>
        <v>267792.3818</v>
      </c>
      <c r="CK8" s="234">
        <f t="shared" si="19"/>
        <v>267792.3818</v>
      </c>
      <c r="CL8" s="234">
        <f t="shared" si="19"/>
        <v>267792.3818</v>
      </c>
      <c r="CM8" s="234">
        <f t="shared" si="19"/>
        <v>267792.3818</v>
      </c>
      <c r="CN8" s="234">
        <f t="shared" si="19"/>
        <v>267792.3818</v>
      </c>
      <c r="CO8" s="234">
        <f t="shared" si="19"/>
        <v>267792.3818</v>
      </c>
      <c r="CP8" s="234">
        <f t="shared" si="19"/>
        <v>267792.3818</v>
      </c>
    </row>
    <row r="9">
      <c r="A9" s="223" t="s">
        <v>268</v>
      </c>
      <c r="B9" s="227">
        <v>0.0</v>
      </c>
      <c r="C9" s="227">
        <v>0.0</v>
      </c>
      <c r="D9" s="227">
        <v>0.0</v>
      </c>
      <c r="E9" s="227">
        <v>0.0</v>
      </c>
      <c r="F9" s="227">
        <v>0.0</v>
      </c>
      <c r="G9" s="227">
        <v>0.0</v>
      </c>
      <c r="H9" s="227">
        <v>0.0</v>
      </c>
      <c r="I9" s="227">
        <v>0.0</v>
      </c>
      <c r="J9" s="227">
        <v>0.0</v>
      </c>
      <c r="K9" s="227">
        <v>0.0</v>
      </c>
      <c r="L9" s="227">
        <v>17500.0</v>
      </c>
      <c r="M9" s="227">
        <v>1000.0</v>
      </c>
      <c r="N9" s="227">
        <v>1000.0</v>
      </c>
      <c r="O9" s="227">
        <v>1000.0</v>
      </c>
      <c r="P9" s="227">
        <v>1000.0</v>
      </c>
      <c r="Q9" s="227">
        <v>1000.0</v>
      </c>
      <c r="R9" s="227">
        <f>1000+12000+6053</f>
        <v>19053</v>
      </c>
      <c r="S9" s="227">
        <v>0.0</v>
      </c>
      <c r="T9" s="227">
        <v>2000.0</v>
      </c>
      <c r="U9" s="233">
        <v>0.0</v>
      </c>
      <c r="V9" s="234">
        <v>0.0</v>
      </c>
      <c r="W9" s="234">
        <v>0.0</v>
      </c>
      <c r="X9" s="234">
        <v>0.0</v>
      </c>
      <c r="Y9" s="234">
        <v>0.0</v>
      </c>
      <c r="Z9" s="234">
        <v>0.0</v>
      </c>
      <c r="AA9" s="234">
        <v>0.0</v>
      </c>
      <c r="AB9" s="234">
        <v>0.0</v>
      </c>
      <c r="AC9" s="234">
        <v>0.0</v>
      </c>
      <c r="AD9" s="234">
        <v>0.0</v>
      </c>
      <c r="AE9" s="234">
        <v>0.0</v>
      </c>
      <c r="AF9" s="234">
        <v>0.0</v>
      </c>
      <c r="AG9" s="234">
        <v>0.0</v>
      </c>
      <c r="AH9" s="234">
        <v>0.0</v>
      </c>
      <c r="AI9" s="234">
        <v>0.0</v>
      </c>
      <c r="AJ9" s="234">
        <v>0.0</v>
      </c>
      <c r="AK9" s="234">
        <v>0.0</v>
      </c>
      <c r="AL9" s="234">
        <v>0.0</v>
      </c>
      <c r="AM9" s="234">
        <v>0.0</v>
      </c>
      <c r="AN9" s="234">
        <v>0.0</v>
      </c>
      <c r="AO9" s="234">
        <v>0.0</v>
      </c>
      <c r="AP9" s="234">
        <v>0.0</v>
      </c>
      <c r="AQ9" s="234">
        <v>0.0</v>
      </c>
      <c r="AR9" s="234">
        <v>0.0</v>
      </c>
      <c r="AS9" s="234">
        <v>0.0</v>
      </c>
      <c r="AT9" s="234">
        <v>0.0</v>
      </c>
      <c r="AU9" s="234">
        <v>0.0</v>
      </c>
      <c r="AV9" s="234">
        <v>0.0</v>
      </c>
      <c r="AW9" s="234">
        <v>0.0</v>
      </c>
      <c r="AX9" s="234">
        <v>0.0</v>
      </c>
      <c r="AY9" s="234">
        <v>0.0</v>
      </c>
      <c r="AZ9" s="234">
        <v>0.0</v>
      </c>
      <c r="BA9" s="234">
        <v>0.0</v>
      </c>
      <c r="BB9" s="234">
        <v>0.0</v>
      </c>
      <c r="BC9" s="234">
        <v>0.0</v>
      </c>
      <c r="BD9" s="234">
        <v>0.0</v>
      </c>
      <c r="BE9" s="234">
        <v>0.0</v>
      </c>
      <c r="BF9" s="234">
        <v>0.0</v>
      </c>
      <c r="BG9" s="234">
        <v>0.0</v>
      </c>
      <c r="BH9" s="234">
        <v>0.0</v>
      </c>
      <c r="BI9" s="234">
        <v>0.0</v>
      </c>
      <c r="BJ9" s="234">
        <v>0.0</v>
      </c>
      <c r="BK9" s="234">
        <v>0.0</v>
      </c>
      <c r="BL9" s="234">
        <v>0.0</v>
      </c>
      <c r="BM9" s="234">
        <v>0.0</v>
      </c>
      <c r="BN9" s="234">
        <v>0.0</v>
      </c>
      <c r="BO9" s="234">
        <v>0.0</v>
      </c>
      <c r="BP9" s="234">
        <v>0.0</v>
      </c>
      <c r="BQ9" s="234">
        <v>0.0</v>
      </c>
      <c r="BR9" s="234">
        <v>0.0</v>
      </c>
      <c r="BS9" s="234">
        <v>0.0</v>
      </c>
      <c r="BT9" s="234">
        <v>0.0</v>
      </c>
      <c r="BU9" s="234">
        <v>0.0</v>
      </c>
      <c r="BV9" s="234">
        <v>0.0</v>
      </c>
      <c r="BW9" s="234">
        <v>0.0</v>
      </c>
      <c r="BX9" s="234">
        <v>0.0</v>
      </c>
      <c r="BY9" s="234">
        <v>0.0</v>
      </c>
      <c r="BZ9" s="234">
        <v>0.0</v>
      </c>
      <c r="CA9" s="234">
        <v>0.0</v>
      </c>
      <c r="CB9" s="234">
        <v>0.0</v>
      </c>
      <c r="CC9" s="234">
        <v>0.0</v>
      </c>
      <c r="CD9" s="234">
        <v>0.0</v>
      </c>
      <c r="CE9" s="234">
        <v>0.0</v>
      </c>
      <c r="CF9" s="234">
        <v>0.0</v>
      </c>
      <c r="CG9" s="234">
        <v>0.0</v>
      </c>
      <c r="CH9" s="234">
        <v>0.0</v>
      </c>
      <c r="CI9" s="234">
        <v>0.0</v>
      </c>
      <c r="CJ9" s="234">
        <v>0.0</v>
      </c>
      <c r="CK9" s="234">
        <v>0.0</v>
      </c>
      <c r="CL9" s="234">
        <v>0.0</v>
      </c>
      <c r="CM9" s="234">
        <v>0.0</v>
      </c>
      <c r="CN9" s="234">
        <v>0.0</v>
      </c>
      <c r="CO9" s="234">
        <v>0.0</v>
      </c>
      <c r="CP9" s="234">
        <v>0.0</v>
      </c>
    </row>
    <row r="10">
      <c r="A10" s="223" t="s">
        <v>269</v>
      </c>
      <c r="B10" s="227">
        <v>0.0</v>
      </c>
      <c r="C10" s="227">
        <v>0.0</v>
      </c>
      <c r="D10" s="227">
        <f t="shared" ref="D10:F10" si="20">500</f>
        <v>500</v>
      </c>
      <c r="E10" s="227">
        <f t="shared" si="20"/>
        <v>500</v>
      </c>
      <c r="F10" s="227">
        <f t="shared" si="20"/>
        <v>500</v>
      </c>
      <c r="G10" s="227">
        <f>500+1000</f>
        <v>1500</v>
      </c>
      <c r="H10" s="227">
        <f t="shared" ref="H10:R10" si="21">500+3000</f>
        <v>3500</v>
      </c>
      <c r="I10" s="227">
        <f t="shared" si="21"/>
        <v>3500</v>
      </c>
      <c r="J10" s="227">
        <f t="shared" si="21"/>
        <v>3500</v>
      </c>
      <c r="K10" s="227">
        <f t="shared" si="21"/>
        <v>3500</v>
      </c>
      <c r="L10" s="227">
        <f t="shared" si="21"/>
        <v>3500</v>
      </c>
      <c r="M10" s="227">
        <f t="shared" si="21"/>
        <v>3500</v>
      </c>
      <c r="N10" s="227">
        <f t="shared" si="21"/>
        <v>3500</v>
      </c>
      <c r="O10" s="227">
        <f t="shared" si="21"/>
        <v>3500</v>
      </c>
      <c r="P10" s="227">
        <f t="shared" si="21"/>
        <v>3500</v>
      </c>
      <c r="Q10" s="227">
        <f t="shared" si="21"/>
        <v>3500</v>
      </c>
      <c r="R10" s="227">
        <f t="shared" si="21"/>
        <v>3500</v>
      </c>
      <c r="S10" s="227">
        <f>2120+1000+500</f>
        <v>3620</v>
      </c>
      <c r="T10" s="227">
        <f>1695+1000+1000</f>
        <v>3695</v>
      </c>
      <c r="U10" s="233">
        <f t="shared" ref="U10:Y10" si="22">1195+1000+1000</f>
        <v>3195</v>
      </c>
      <c r="V10" s="234">
        <f t="shared" si="22"/>
        <v>3195</v>
      </c>
      <c r="W10" s="234">
        <f t="shared" si="22"/>
        <v>3195</v>
      </c>
      <c r="X10" s="234">
        <f t="shared" si="22"/>
        <v>3195</v>
      </c>
      <c r="Y10" s="234">
        <f t="shared" si="22"/>
        <v>3195</v>
      </c>
      <c r="Z10" s="234">
        <f>1195+1200+1000</f>
        <v>3395</v>
      </c>
      <c r="AA10" s="234">
        <v>0.0</v>
      </c>
      <c r="AB10" s="234">
        <v>0.0</v>
      </c>
      <c r="AC10" s="234">
        <v>0.0</v>
      </c>
      <c r="AD10" s="234">
        <v>0.0</v>
      </c>
      <c r="AE10" s="234">
        <v>0.0</v>
      </c>
      <c r="AF10" s="234">
        <v>0.0</v>
      </c>
      <c r="AG10" s="234">
        <v>0.0</v>
      </c>
      <c r="AH10" s="234">
        <v>0.0</v>
      </c>
      <c r="AI10" s="234">
        <v>0.0</v>
      </c>
      <c r="AJ10" s="234">
        <v>0.0</v>
      </c>
      <c r="AK10" s="234">
        <v>0.0</v>
      </c>
      <c r="AL10" s="234">
        <v>0.0</v>
      </c>
      <c r="AM10" s="234">
        <v>0.0</v>
      </c>
      <c r="AN10" s="234">
        <v>0.0</v>
      </c>
      <c r="AO10" s="234">
        <v>0.0</v>
      </c>
      <c r="AP10" s="234">
        <v>0.0</v>
      </c>
      <c r="AQ10" s="234">
        <v>0.0</v>
      </c>
      <c r="AR10" s="234">
        <v>0.0</v>
      </c>
      <c r="AS10" s="234">
        <v>0.0</v>
      </c>
      <c r="AT10" s="234">
        <v>0.0</v>
      </c>
      <c r="AU10" s="234">
        <v>0.0</v>
      </c>
      <c r="AV10" s="234">
        <v>0.0</v>
      </c>
      <c r="AW10" s="234">
        <v>0.0</v>
      </c>
      <c r="AX10" s="234">
        <v>0.0</v>
      </c>
      <c r="AY10" s="234">
        <v>0.0</v>
      </c>
      <c r="AZ10" s="234">
        <v>0.0</v>
      </c>
      <c r="BA10" s="234">
        <v>0.0</v>
      </c>
      <c r="BB10" s="234">
        <v>0.0</v>
      </c>
      <c r="BC10" s="234">
        <v>0.0</v>
      </c>
      <c r="BD10" s="234">
        <v>0.0</v>
      </c>
      <c r="BE10" s="234">
        <v>0.0</v>
      </c>
      <c r="BF10" s="234">
        <v>0.0</v>
      </c>
      <c r="BG10" s="234">
        <v>0.0</v>
      </c>
      <c r="BH10" s="234">
        <v>0.0</v>
      </c>
      <c r="BI10" s="234">
        <v>0.0</v>
      </c>
      <c r="BJ10" s="234">
        <v>0.0</v>
      </c>
      <c r="BK10" s="234">
        <v>0.0</v>
      </c>
      <c r="BL10" s="234">
        <v>0.0</v>
      </c>
      <c r="BM10" s="234">
        <v>0.0</v>
      </c>
      <c r="BN10" s="234">
        <v>0.0</v>
      </c>
      <c r="BO10" s="234">
        <v>0.0</v>
      </c>
      <c r="BP10" s="234">
        <v>0.0</v>
      </c>
      <c r="BQ10" s="234">
        <v>0.0</v>
      </c>
      <c r="BR10" s="234">
        <v>0.0</v>
      </c>
      <c r="BS10" s="234">
        <v>0.0</v>
      </c>
      <c r="BT10" s="234">
        <v>0.0</v>
      </c>
      <c r="BU10" s="234">
        <v>0.0</v>
      </c>
      <c r="BV10" s="234">
        <v>0.0</v>
      </c>
      <c r="BW10" s="234">
        <v>0.0</v>
      </c>
      <c r="BX10" s="234">
        <v>0.0</v>
      </c>
      <c r="BY10" s="234">
        <v>0.0</v>
      </c>
      <c r="BZ10" s="234">
        <v>0.0</v>
      </c>
      <c r="CA10" s="234">
        <v>0.0</v>
      </c>
      <c r="CB10" s="234">
        <v>0.0</v>
      </c>
      <c r="CC10" s="234">
        <v>0.0</v>
      </c>
      <c r="CD10" s="234">
        <v>0.0</v>
      </c>
      <c r="CE10" s="234">
        <v>0.0</v>
      </c>
      <c r="CF10" s="234">
        <v>0.0</v>
      </c>
      <c r="CG10" s="234">
        <v>0.0</v>
      </c>
      <c r="CH10" s="234">
        <v>0.0</v>
      </c>
      <c r="CI10" s="234">
        <v>0.0</v>
      </c>
      <c r="CJ10" s="234">
        <v>0.0</v>
      </c>
      <c r="CK10" s="234">
        <v>0.0</v>
      </c>
      <c r="CL10" s="234">
        <v>0.0</v>
      </c>
      <c r="CM10" s="234">
        <v>0.0</v>
      </c>
      <c r="CN10" s="234">
        <v>0.0</v>
      </c>
      <c r="CO10" s="234">
        <v>0.0</v>
      </c>
      <c r="CP10" s="234">
        <v>0.0</v>
      </c>
    </row>
    <row r="11">
      <c r="A11" s="223" t="s">
        <v>270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33"/>
      <c r="V11" s="234"/>
      <c r="W11" s="234"/>
      <c r="X11" s="234">
        <v>0.0</v>
      </c>
      <c r="Y11" s="234">
        <v>0.0</v>
      </c>
      <c r="Z11" s="234">
        <v>0.0</v>
      </c>
      <c r="AA11" s="234">
        <v>0.0</v>
      </c>
      <c r="AB11" s="234">
        <f>2070.01+672.66+673.18</f>
        <v>3415.85</v>
      </c>
      <c r="AC11" s="234">
        <f>672.2+673.18+673</f>
        <v>2018.38</v>
      </c>
      <c r="AD11" s="234">
        <v>0.0</v>
      </c>
      <c r="AE11" s="234">
        <v>0.0</v>
      </c>
      <c r="AF11" s="234">
        <v>0.0</v>
      </c>
      <c r="AG11" s="234">
        <v>0.0</v>
      </c>
      <c r="AH11" s="234">
        <v>0.0</v>
      </c>
      <c r="AI11" s="234">
        <v>0.0</v>
      </c>
      <c r="AJ11" s="234">
        <v>0.0</v>
      </c>
      <c r="AK11" s="234">
        <v>0.0</v>
      </c>
      <c r="AL11" s="234">
        <v>0.0</v>
      </c>
      <c r="AM11" s="234">
        <v>0.0</v>
      </c>
      <c r="AN11" s="234">
        <v>0.0</v>
      </c>
      <c r="AO11" s="234">
        <v>0.0</v>
      </c>
      <c r="AP11" s="234">
        <v>0.0</v>
      </c>
      <c r="AQ11" s="234">
        <v>0.0</v>
      </c>
      <c r="AR11" s="234">
        <v>0.0</v>
      </c>
      <c r="AS11" s="234">
        <v>0.0</v>
      </c>
      <c r="AT11" s="234">
        <v>0.0</v>
      </c>
      <c r="AU11" s="234">
        <v>0.0</v>
      </c>
      <c r="AV11" s="234">
        <v>0.0</v>
      </c>
      <c r="AW11" s="234">
        <v>0.0</v>
      </c>
      <c r="AX11" s="234">
        <v>0.0</v>
      </c>
      <c r="AY11" s="234">
        <v>0.0</v>
      </c>
      <c r="AZ11" s="234">
        <v>0.0</v>
      </c>
      <c r="BA11" s="234">
        <v>0.0</v>
      </c>
      <c r="BB11" s="234">
        <v>0.0</v>
      </c>
      <c r="BC11" s="234">
        <v>0.0</v>
      </c>
      <c r="BD11" s="234">
        <v>0.0</v>
      </c>
      <c r="BE11" s="234">
        <v>0.0</v>
      </c>
      <c r="BF11" s="234">
        <v>0.0</v>
      </c>
      <c r="BG11" s="234">
        <v>0.0</v>
      </c>
      <c r="BH11" s="234">
        <v>0.0</v>
      </c>
      <c r="BI11" s="234">
        <v>0.0</v>
      </c>
      <c r="BJ11" s="234">
        <v>0.0</v>
      </c>
      <c r="BK11" s="234">
        <v>0.0</v>
      </c>
      <c r="BL11" s="234">
        <v>0.0</v>
      </c>
      <c r="BM11" s="234">
        <v>0.0</v>
      </c>
      <c r="BN11" s="234">
        <v>0.0</v>
      </c>
      <c r="BO11" s="234">
        <v>0.0</v>
      </c>
      <c r="BP11" s="234">
        <v>0.0</v>
      </c>
      <c r="BQ11" s="234">
        <v>0.0</v>
      </c>
      <c r="BR11" s="234">
        <v>0.0</v>
      </c>
      <c r="BS11" s="234">
        <v>0.0</v>
      </c>
      <c r="BT11" s="234">
        <v>0.0</v>
      </c>
      <c r="BU11" s="234">
        <v>0.0</v>
      </c>
      <c r="BV11" s="234">
        <v>0.0</v>
      </c>
      <c r="BW11" s="234">
        <v>0.0</v>
      </c>
      <c r="BX11" s="234">
        <v>0.0</v>
      </c>
      <c r="BY11" s="234">
        <v>0.0</v>
      </c>
      <c r="BZ11" s="234">
        <v>0.0</v>
      </c>
      <c r="CA11" s="234">
        <v>0.0</v>
      </c>
      <c r="CB11" s="234">
        <v>0.0</v>
      </c>
      <c r="CC11" s="234">
        <v>0.0</v>
      </c>
      <c r="CD11" s="234">
        <v>0.0</v>
      </c>
      <c r="CE11" s="234">
        <v>0.0</v>
      </c>
      <c r="CF11" s="234">
        <v>0.0</v>
      </c>
      <c r="CG11" s="234">
        <v>0.0</v>
      </c>
      <c r="CH11" s="234">
        <v>0.0</v>
      </c>
      <c r="CI11" s="234">
        <v>0.0</v>
      </c>
      <c r="CJ11" s="234">
        <v>0.0</v>
      </c>
      <c r="CK11" s="234">
        <v>0.0</v>
      </c>
      <c r="CL11" s="234">
        <v>0.0</v>
      </c>
      <c r="CM11" s="234">
        <v>0.0</v>
      </c>
      <c r="CN11" s="234">
        <v>0.0</v>
      </c>
      <c r="CO11" s="234">
        <v>0.0</v>
      </c>
      <c r="CP11" s="234">
        <v>0.0</v>
      </c>
    </row>
    <row r="12">
      <c r="A12" s="223" t="s">
        <v>271</v>
      </c>
      <c r="B12" s="227">
        <v>0.0</v>
      </c>
      <c r="C12" s="227">
        <v>0.0</v>
      </c>
      <c r="D12" s="227">
        <v>0.0</v>
      </c>
      <c r="E12" s="227">
        <v>0.0</v>
      </c>
      <c r="F12" s="227">
        <v>0.0</v>
      </c>
      <c r="G12" s="227">
        <v>0.0</v>
      </c>
      <c r="H12" s="227">
        <v>0.0</v>
      </c>
      <c r="I12" s="227">
        <v>0.0</v>
      </c>
      <c r="J12" s="227">
        <v>0.0</v>
      </c>
      <c r="K12" s="227">
        <v>0.0</v>
      </c>
      <c r="L12" s="227">
        <v>0.0</v>
      </c>
      <c r="M12" s="227">
        <v>0.0</v>
      </c>
      <c r="N12" s="227">
        <v>5200.0</v>
      </c>
      <c r="O12" s="227">
        <f>3725+6800+7725+2975</f>
        <v>21225</v>
      </c>
      <c r="P12" s="227">
        <f>2975+4250+1700+1700</f>
        <v>10625</v>
      </c>
      <c r="Q12" s="227">
        <f>1275+2125+850+850</f>
        <v>5100</v>
      </c>
      <c r="R12" s="227">
        <f>850+850+850+2550+6700</f>
        <v>11800</v>
      </c>
      <c r="S12" s="227">
        <f>2250+850</f>
        <v>3100</v>
      </c>
      <c r="T12" s="227">
        <v>0.0</v>
      </c>
      <c r="U12" s="233">
        <v>0.0</v>
      </c>
      <c r="V12" s="237">
        <v>0.0</v>
      </c>
      <c r="W12" s="237">
        <v>0.0</v>
      </c>
      <c r="X12" s="237">
        <v>0.0</v>
      </c>
      <c r="Y12" s="237">
        <v>0.0</v>
      </c>
      <c r="Z12" s="237">
        <f>5300+5.5*850+0.5*1100</f>
        <v>10525</v>
      </c>
      <c r="AA12" s="237">
        <f>9700+4500+6950</f>
        <v>21150</v>
      </c>
      <c r="AB12" s="234">
        <f>5350+2550+1700+2125</f>
        <v>11725</v>
      </c>
      <c r="AC12" s="234">
        <f t="shared" ref="AC12:AG12" si="23">850*3/7*365/12</f>
        <v>11080.35714</v>
      </c>
      <c r="AD12" s="234">
        <f t="shared" si="23"/>
        <v>11080.35714</v>
      </c>
      <c r="AE12" s="234">
        <f t="shared" si="23"/>
        <v>11080.35714</v>
      </c>
      <c r="AF12" s="234">
        <f t="shared" si="23"/>
        <v>11080.35714</v>
      </c>
      <c r="AG12" s="234">
        <f t="shared" si="23"/>
        <v>11080.35714</v>
      </c>
      <c r="AH12" s="234">
        <v>2125.0</v>
      </c>
      <c r="AI12" s="234">
        <v>0.0</v>
      </c>
      <c r="AJ12" s="234">
        <v>0.0</v>
      </c>
      <c r="AK12" s="234">
        <v>0.0</v>
      </c>
      <c r="AL12" s="234">
        <v>0.0</v>
      </c>
      <c r="AM12" s="237">
        <v>0.0</v>
      </c>
      <c r="AN12" s="237">
        <v>0.0</v>
      </c>
      <c r="AO12" s="237">
        <v>0.0</v>
      </c>
      <c r="AP12" s="237">
        <v>0.0</v>
      </c>
      <c r="AQ12" s="237">
        <v>0.0</v>
      </c>
      <c r="AR12" s="237">
        <v>0.0</v>
      </c>
      <c r="AS12" s="237">
        <v>0.0</v>
      </c>
      <c r="AT12" s="237">
        <v>0.0</v>
      </c>
      <c r="AU12" s="237">
        <v>0.0</v>
      </c>
      <c r="AV12" s="237">
        <v>0.0</v>
      </c>
      <c r="AW12" s="237">
        <v>0.0</v>
      </c>
      <c r="AX12" s="237">
        <v>0.0</v>
      </c>
      <c r="AY12" s="237">
        <v>0.0</v>
      </c>
      <c r="AZ12" s="237">
        <v>0.0</v>
      </c>
      <c r="BA12" s="237">
        <v>0.0</v>
      </c>
      <c r="BB12" s="237">
        <v>0.0</v>
      </c>
      <c r="BC12" s="237">
        <v>0.0</v>
      </c>
      <c r="BD12" s="237">
        <v>0.0</v>
      </c>
      <c r="BE12" s="237">
        <v>0.0</v>
      </c>
      <c r="BF12" s="237">
        <v>0.0</v>
      </c>
      <c r="BG12" s="237">
        <v>0.0</v>
      </c>
      <c r="BH12" s="237">
        <v>0.0</v>
      </c>
      <c r="BI12" s="237">
        <v>0.0</v>
      </c>
      <c r="BJ12" s="237">
        <v>0.0</v>
      </c>
      <c r="BK12" s="237">
        <v>0.0</v>
      </c>
      <c r="BL12" s="237">
        <v>0.0</v>
      </c>
      <c r="BM12" s="237">
        <v>0.0</v>
      </c>
      <c r="BN12" s="237">
        <v>0.0</v>
      </c>
      <c r="BO12" s="237">
        <v>0.0</v>
      </c>
      <c r="BP12" s="237">
        <v>0.0</v>
      </c>
      <c r="BQ12" s="237">
        <v>0.0</v>
      </c>
      <c r="BR12" s="237">
        <v>0.0</v>
      </c>
      <c r="BS12" s="237">
        <v>0.0</v>
      </c>
      <c r="BT12" s="237">
        <v>0.0</v>
      </c>
      <c r="BU12" s="237">
        <v>0.0</v>
      </c>
      <c r="BV12" s="237">
        <v>0.0</v>
      </c>
      <c r="BW12" s="237">
        <v>0.0</v>
      </c>
      <c r="BX12" s="237">
        <v>0.0</v>
      </c>
      <c r="BY12" s="237">
        <v>0.0</v>
      </c>
      <c r="BZ12" s="237">
        <v>0.0</v>
      </c>
      <c r="CA12" s="237">
        <v>0.0</v>
      </c>
      <c r="CB12" s="237">
        <v>0.0</v>
      </c>
      <c r="CC12" s="237">
        <v>0.0</v>
      </c>
      <c r="CD12" s="237">
        <v>0.0</v>
      </c>
      <c r="CE12" s="237">
        <v>0.0</v>
      </c>
      <c r="CF12" s="237">
        <v>0.0</v>
      </c>
      <c r="CG12" s="237">
        <v>0.0</v>
      </c>
      <c r="CH12" s="237">
        <v>0.0</v>
      </c>
      <c r="CI12" s="237">
        <v>0.0</v>
      </c>
      <c r="CJ12" s="237">
        <v>0.0</v>
      </c>
      <c r="CK12" s="237">
        <v>0.0</v>
      </c>
      <c r="CL12" s="237">
        <v>0.0</v>
      </c>
      <c r="CM12" s="237">
        <v>0.0</v>
      </c>
      <c r="CN12" s="237">
        <v>0.0</v>
      </c>
      <c r="CO12" s="237">
        <v>0.0</v>
      </c>
      <c r="CP12" s="237">
        <v>0.0</v>
      </c>
    </row>
    <row r="13">
      <c r="A13" s="223" t="s">
        <v>272</v>
      </c>
      <c r="B13" s="227">
        <v>0.0</v>
      </c>
      <c r="C13" s="227">
        <v>0.0</v>
      </c>
      <c r="D13" s="227">
        <v>0.0</v>
      </c>
      <c r="E13" s="227">
        <v>0.0</v>
      </c>
      <c r="F13" s="227">
        <v>0.0</v>
      </c>
      <c r="G13" s="227">
        <v>0.0</v>
      </c>
      <c r="H13" s="227">
        <v>0.0</v>
      </c>
      <c r="I13" s="227">
        <v>0.0</v>
      </c>
      <c r="J13" s="227">
        <v>0.0</v>
      </c>
      <c r="K13" s="227">
        <v>0.0</v>
      </c>
      <c r="L13" s="227">
        <v>0.0</v>
      </c>
      <c r="M13" s="227">
        <v>0.0</v>
      </c>
      <c r="N13" s="227">
        <v>0.0</v>
      </c>
      <c r="O13" s="227">
        <f>45100+6000+7000</f>
        <v>58100</v>
      </c>
      <c r="P13" s="227">
        <v>45000.0</v>
      </c>
      <c r="Q13" s="227">
        <v>50000.0</v>
      </c>
      <c r="R13" s="227">
        <v>45000.0</v>
      </c>
      <c r="S13" s="227">
        <v>45000.0</v>
      </c>
      <c r="T13" s="227">
        <v>45000.0</v>
      </c>
      <c r="U13" s="233">
        <v>0.0</v>
      </c>
      <c r="V13" s="237">
        <v>0.0</v>
      </c>
      <c r="W13" s="237">
        <v>0.0</v>
      </c>
      <c r="X13" s="237">
        <v>0.0</v>
      </c>
      <c r="Y13" s="237">
        <v>0.0</v>
      </c>
      <c r="Z13" s="237">
        <v>0.0</v>
      </c>
      <c r="AA13" s="237">
        <v>21000.0</v>
      </c>
      <c r="AB13" s="237">
        <v>21095.0</v>
      </c>
      <c r="AC13" s="237">
        <v>21145.0</v>
      </c>
      <c r="AD13" s="237">
        <v>21547.0</v>
      </c>
      <c r="AE13" s="237">
        <f t="shared" ref="AE13:AG13" si="24">AVERAGE(AA13:AD13)</f>
        <v>21196.75</v>
      </c>
      <c r="AF13" s="237">
        <f t="shared" si="24"/>
        <v>21245.9375</v>
      </c>
      <c r="AG13" s="237">
        <f t="shared" si="24"/>
        <v>21283.67188</v>
      </c>
      <c r="AH13" s="237">
        <v>21885.0</v>
      </c>
      <c r="AI13" s="237">
        <v>0.0</v>
      </c>
      <c r="AJ13" s="237">
        <v>0.0</v>
      </c>
      <c r="AK13" s="237">
        <v>0.0</v>
      </c>
      <c r="AL13" s="237">
        <v>0.0</v>
      </c>
      <c r="AM13" s="237">
        <v>0.0</v>
      </c>
      <c r="AN13" s="237">
        <v>0.0</v>
      </c>
      <c r="AO13" s="237">
        <v>0.0</v>
      </c>
      <c r="AP13" s="237">
        <v>0.0</v>
      </c>
      <c r="AQ13" s="237">
        <v>0.0</v>
      </c>
      <c r="AR13" s="237">
        <v>0.0</v>
      </c>
      <c r="AS13" s="237">
        <v>0.0</v>
      </c>
      <c r="AT13" s="237">
        <v>0.0</v>
      </c>
      <c r="AU13" s="237">
        <v>0.0</v>
      </c>
      <c r="AV13" s="237">
        <v>0.0</v>
      </c>
      <c r="AW13" s="237">
        <v>0.0</v>
      </c>
      <c r="AX13" s="237">
        <v>0.0</v>
      </c>
      <c r="AY13" s="237">
        <v>0.0</v>
      </c>
      <c r="AZ13" s="237">
        <v>0.0</v>
      </c>
      <c r="BA13" s="237">
        <v>0.0</v>
      </c>
      <c r="BB13" s="237">
        <v>0.0</v>
      </c>
      <c r="BC13" s="237">
        <v>0.0</v>
      </c>
      <c r="BD13" s="237">
        <v>0.0</v>
      </c>
      <c r="BE13" s="237">
        <v>0.0</v>
      </c>
      <c r="BF13" s="237">
        <v>0.0</v>
      </c>
      <c r="BG13" s="237">
        <v>0.0</v>
      </c>
      <c r="BH13" s="237">
        <v>0.0</v>
      </c>
      <c r="BI13" s="237">
        <v>0.0</v>
      </c>
      <c r="BJ13" s="237">
        <v>0.0</v>
      </c>
      <c r="BK13" s="237">
        <v>0.0</v>
      </c>
      <c r="BL13" s="237">
        <v>0.0</v>
      </c>
      <c r="BM13" s="237">
        <v>0.0</v>
      </c>
      <c r="BN13" s="237">
        <v>0.0</v>
      </c>
      <c r="BO13" s="237">
        <v>0.0</v>
      </c>
      <c r="BP13" s="237">
        <v>0.0</v>
      </c>
      <c r="BQ13" s="237">
        <v>0.0</v>
      </c>
      <c r="BR13" s="237">
        <v>0.0</v>
      </c>
      <c r="BS13" s="237">
        <v>0.0</v>
      </c>
      <c r="BT13" s="237">
        <v>0.0</v>
      </c>
      <c r="BU13" s="237">
        <v>0.0</v>
      </c>
      <c r="BV13" s="237">
        <v>0.0</v>
      </c>
      <c r="BW13" s="237">
        <v>0.0</v>
      </c>
      <c r="BX13" s="237">
        <v>0.0</v>
      </c>
      <c r="BY13" s="237">
        <v>0.0</v>
      </c>
      <c r="BZ13" s="237">
        <v>0.0</v>
      </c>
      <c r="CA13" s="237">
        <v>0.0</v>
      </c>
      <c r="CB13" s="237">
        <v>0.0</v>
      </c>
      <c r="CC13" s="237">
        <v>0.0</v>
      </c>
      <c r="CD13" s="237">
        <v>0.0</v>
      </c>
      <c r="CE13" s="237">
        <v>0.0</v>
      </c>
      <c r="CF13" s="237">
        <v>0.0</v>
      </c>
      <c r="CG13" s="237">
        <v>0.0</v>
      </c>
      <c r="CH13" s="237">
        <v>0.0</v>
      </c>
      <c r="CI13" s="237">
        <v>0.0</v>
      </c>
      <c r="CJ13" s="237">
        <v>0.0</v>
      </c>
      <c r="CK13" s="237">
        <v>0.0</v>
      </c>
      <c r="CL13" s="237">
        <v>0.0</v>
      </c>
      <c r="CM13" s="237">
        <v>0.0</v>
      </c>
      <c r="CN13" s="237">
        <v>0.0</v>
      </c>
      <c r="CO13" s="237">
        <v>0.0</v>
      </c>
      <c r="CP13" s="237">
        <v>0.0</v>
      </c>
    </row>
    <row r="14">
      <c r="A14" s="238" t="s">
        <v>273</v>
      </c>
      <c r="B14" s="239">
        <f>sum(B6:B13)</f>
        <v>128596.81</v>
      </c>
      <c r="C14" s="239">
        <f t="shared" ref="C14:N14" si="25">sum(C6:C12)</f>
        <v>116633.1705</v>
      </c>
      <c r="D14" s="239">
        <f t="shared" si="25"/>
        <v>154155.8922</v>
      </c>
      <c r="E14" s="239">
        <f t="shared" si="25"/>
        <v>160132</v>
      </c>
      <c r="F14" s="239">
        <f t="shared" si="25"/>
        <v>130132</v>
      </c>
      <c r="G14" s="239">
        <f t="shared" si="25"/>
        <v>141932</v>
      </c>
      <c r="H14" s="239">
        <f t="shared" si="25"/>
        <v>133132</v>
      </c>
      <c r="I14" s="239">
        <f t="shared" si="25"/>
        <v>133132</v>
      </c>
      <c r="J14" s="239">
        <f t="shared" si="25"/>
        <v>133132</v>
      </c>
      <c r="K14" s="239">
        <f t="shared" si="25"/>
        <v>133132</v>
      </c>
      <c r="L14" s="239">
        <f t="shared" si="25"/>
        <v>168224.61</v>
      </c>
      <c r="M14" s="239">
        <f t="shared" si="25"/>
        <v>152439.73</v>
      </c>
      <c r="N14" s="239">
        <f t="shared" si="25"/>
        <v>279549.66</v>
      </c>
      <c r="O14" s="239">
        <f>sum(O6:O12)-O7</f>
        <v>292463.52</v>
      </c>
      <c r="P14" s="239">
        <f t="shared" ref="P14:CP14" si="26">sum(P6:P13)</f>
        <v>365798.23</v>
      </c>
      <c r="Q14" s="239">
        <f t="shared" si="26"/>
        <v>355383.71</v>
      </c>
      <c r="R14" s="239">
        <f t="shared" si="26"/>
        <v>380093.16</v>
      </c>
      <c r="S14" s="239">
        <f t="shared" si="26"/>
        <v>318509.54</v>
      </c>
      <c r="T14" s="239">
        <f t="shared" si="26"/>
        <v>316675.87</v>
      </c>
      <c r="U14" s="240">
        <f t="shared" si="26"/>
        <v>225551.13</v>
      </c>
      <c r="V14" s="240">
        <f t="shared" si="26"/>
        <v>213285.75</v>
      </c>
      <c r="W14" s="240">
        <f t="shared" si="26"/>
        <v>161126</v>
      </c>
      <c r="X14" s="240">
        <f t="shared" si="26"/>
        <v>224194.04</v>
      </c>
      <c r="Y14" s="240">
        <f t="shared" si="26"/>
        <v>235022.85</v>
      </c>
      <c r="Z14" s="240">
        <f t="shared" si="26"/>
        <v>296338.87</v>
      </c>
      <c r="AA14" s="240">
        <f t="shared" si="26"/>
        <v>345112.8924</v>
      </c>
      <c r="AB14" s="240">
        <f t="shared" si="26"/>
        <v>240869.72</v>
      </c>
      <c r="AC14" s="240">
        <f t="shared" si="26"/>
        <v>205193.5171</v>
      </c>
      <c r="AD14" s="240">
        <f t="shared" si="26"/>
        <v>198905.3571</v>
      </c>
      <c r="AE14" s="240">
        <f t="shared" si="26"/>
        <v>253287.4471</v>
      </c>
      <c r="AF14" s="240">
        <f t="shared" si="26"/>
        <v>265624.2446</v>
      </c>
      <c r="AG14" s="240">
        <f t="shared" si="26"/>
        <v>210291.369</v>
      </c>
      <c r="AH14" s="240">
        <f t="shared" si="26"/>
        <v>216401.85</v>
      </c>
      <c r="AI14" s="240">
        <f t="shared" si="26"/>
        <v>221819</v>
      </c>
      <c r="AJ14" s="240">
        <f t="shared" si="26"/>
        <v>281058.32</v>
      </c>
      <c r="AK14" s="240">
        <f t="shared" si="26"/>
        <v>338821.64</v>
      </c>
      <c r="AL14" s="240">
        <f t="shared" si="26"/>
        <v>400698.89</v>
      </c>
      <c r="AM14" s="240">
        <f t="shared" si="26"/>
        <v>473199.04</v>
      </c>
      <c r="AN14" s="240">
        <f t="shared" si="26"/>
        <v>544704.09</v>
      </c>
      <c r="AO14" s="240">
        <f t="shared" si="26"/>
        <v>620207.14</v>
      </c>
      <c r="AP14" s="240">
        <f t="shared" si="26"/>
        <v>660186.82</v>
      </c>
      <c r="AQ14" s="240">
        <f t="shared" si="26"/>
        <v>737867.5</v>
      </c>
      <c r="AR14" s="240">
        <f t="shared" si="26"/>
        <v>815847.18</v>
      </c>
      <c r="AS14" s="240">
        <f t="shared" si="26"/>
        <v>892826.86</v>
      </c>
      <c r="AT14" s="240">
        <f t="shared" si="26"/>
        <v>960031.93</v>
      </c>
      <c r="AU14" s="240">
        <f t="shared" si="26"/>
        <v>1041103.89</v>
      </c>
      <c r="AV14" s="240">
        <f t="shared" si="26"/>
        <v>1121175.85</v>
      </c>
      <c r="AW14" s="240">
        <f t="shared" si="26"/>
        <v>1214092.21</v>
      </c>
      <c r="AX14" s="240">
        <f t="shared" si="26"/>
        <v>1301008.57</v>
      </c>
      <c r="AY14" s="240">
        <f t="shared" si="26"/>
        <v>1382344.7</v>
      </c>
      <c r="AZ14" s="240">
        <f t="shared" si="26"/>
        <v>1493038.08</v>
      </c>
      <c r="BA14" s="240">
        <f t="shared" si="26"/>
        <v>1602731.46</v>
      </c>
      <c r="BB14" s="240">
        <f t="shared" si="26"/>
        <v>1711424.84</v>
      </c>
      <c r="BC14" s="240">
        <f t="shared" si="26"/>
        <v>1817818.22</v>
      </c>
      <c r="BD14" s="240">
        <f t="shared" si="26"/>
        <v>1924511.6</v>
      </c>
      <c r="BE14" s="240">
        <f t="shared" si="26"/>
        <v>2035204.98</v>
      </c>
      <c r="BF14" s="240">
        <f t="shared" si="26"/>
        <v>2130172.36</v>
      </c>
      <c r="BG14" s="240">
        <f t="shared" si="26"/>
        <v>2238865.74</v>
      </c>
      <c r="BH14" s="240">
        <f t="shared" si="26"/>
        <v>2341559.12</v>
      </c>
      <c r="BI14" s="240">
        <f t="shared" si="26"/>
        <v>2447752.5</v>
      </c>
      <c r="BJ14" s="240">
        <f t="shared" si="26"/>
        <v>2552945.88</v>
      </c>
      <c r="BK14" s="240">
        <f t="shared" si="26"/>
        <v>2672258.998</v>
      </c>
      <c r="BL14" s="240">
        <f t="shared" si="26"/>
        <v>2811149.016</v>
      </c>
      <c r="BM14" s="240">
        <f t="shared" si="26"/>
        <v>2949039.034</v>
      </c>
      <c r="BN14" s="240">
        <f t="shared" si="26"/>
        <v>3085929.052</v>
      </c>
      <c r="BO14" s="240">
        <f t="shared" si="26"/>
        <v>3220519.07</v>
      </c>
      <c r="BP14" s="240">
        <f t="shared" si="26"/>
        <v>3355409.088</v>
      </c>
      <c r="BQ14" s="240">
        <f t="shared" si="26"/>
        <v>3489299.106</v>
      </c>
      <c r="BR14" s="240">
        <f t="shared" si="26"/>
        <v>3602491.124</v>
      </c>
      <c r="BS14" s="240">
        <f t="shared" si="26"/>
        <v>3743671.142</v>
      </c>
      <c r="BT14" s="240">
        <f t="shared" si="26"/>
        <v>3883851.16</v>
      </c>
      <c r="BU14" s="240">
        <f t="shared" si="26"/>
        <v>4022531.178</v>
      </c>
      <c r="BV14" s="240">
        <f t="shared" si="26"/>
        <v>4160211.196</v>
      </c>
      <c r="BW14" s="240">
        <f t="shared" si="26"/>
        <v>4319022.916</v>
      </c>
      <c r="BX14" s="240">
        <f t="shared" si="26"/>
        <v>4471834.536</v>
      </c>
      <c r="BY14" s="240">
        <f t="shared" si="26"/>
        <v>4628646.155</v>
      </c>
      <c r="BZ14" s="240">
        <f t="shared" si="26"/>
        <v>4784457.775</v>
      </c>
      <c r="CA14" s="240">
        <f t="shared" si="26"/>
        <v>4937969.395</v>
      </c>
      <c r="CB14" s="240">
        <f t="shared" si="26"/>
        <v>5086781.015</v>
      </c>
      <c r="CC14" s="240">
        <f t="shared" si="26"/>
        <v>5255092.635</v>
      </c>
      <c r="CD14" s="240">
        <f t="shared" si="26"/>
        <v>5407678.254</v>
      </c>
      <c r="CE14" s="240">
        <f t="shared" si="26"/>
        <v>5573989.874</v>
      </c>
      <c r="CF14" s="240">
        <f t="shared" si="26"/>
        <v>5739301.494</v>
      </c>
      <c r="CG14" s="240">
        <f t="shared" si="26"/>
        <v>5903113.114</v>
      </c>
      <c r="CH14" s="240">
        <f t="shared" si="26"/>
        <v>6065924.734</v>
      </c>
      <c r="CI14" s="240">
        <f t="shared" si="26"/>
        <v>6252081.215</v>
      </c>
      <c r="CJ14" s="240">
        <f t="shared" si="26"/>
        <v>6440209.597</v>
      </c>
      <c r="CK14" s="240">
        <f t="shared" si="26"/>
        <v>6622337.979</v>
      </c>
      <c r="CL14" s="240">
        <f t="shared" si="26"/>
        <v>6803466.361</v>
      </c>
      <c r="CM14" s="240">
        <f t="shared" si="26"/>
        <v>6987294.743</v>
      </c>
      <c r="CN14" s="240">
        <f t="shared" si="26"/>
        <v>7171423.124</v>
      </c>
      <c r="CO14" s="240">
        <f t="shared" si="26"/>
        <v>7354551.506</v>
      </c>
      <c r="CP14" s="240">
        <f t="shared" si="26"/>
        <v>7521953.888</v>
      </c>
    </row>
    <row r="15">
      <c r="A15" s="241" t="s">
        <v>274</v>
      </c>
      <c r="B15" s="242">
        <f t="shared" ref="B15:R15" si="27">B8+B12+B13+B10</f>
        <v>125130</v>
      </c>
      <c r="C15" s="242">
        <f t="shared" si="27"/>
        <v>98660</v>
      </c>
      <c r="D15" s="242">
        <f t="shared" si="27"/>
        <v>130132</v>
      </c>
      <c r="E15" s="242">
        <f t="shared" si="27"/>
        <v>130132</v>
      </c>
      <c r="F15" s="242">
        <f t="shared" si="27"/>
        <v>130132</v>
      </c>
      <c r="G15" s="242">
        <f t="shared" si="27"/>
        <v>131132</v>
      </c>
      <c r="H15" s="242">
        <f t="shared" si="27"/>
        <v>133132</v>
      </c>
      <c r="I15" s="242">
        <f t="shared" si="27"/>
        <v>133132</v>
      </c>
      <c r="J15" s="242">
        <f t="shared" si="27"/>
        <v>133132</v>
      </c>
      <c r="K15" s="242">
        <f t="shared" si="27"/>
        <v>133132</v>
      </c>
      <c r="L15" s="242">
        <f t="shared" si="27"/>
        <v>133132</v>
      </c>
      <c r="M15" s="242">
        <f t="shared" si="27"/>
        <v>133132</v>
      </c>
      <c r="N15" s="242">
        <f t="shared" si="27"/>
        <v>138332</v>
      </c>
      <c r="O15" s="242">
        <f t="shared" si="27"/>
        <v>212457</v>
      </c>
      <c r="P15" s="242">
        <f t="shared" si="27"/>
        <v>220915</v>
      </c>
      <c r="Q15" s="242">
        <f t="shared" si="27"/>
        <v>201973</v>
      </c>
      <c r="R15" s="242">
        <f t="shared" si="27"/>
        <v>203673</v>
      </c>
      <c r="S15" s="242">
        <f t="shared" ref="S15:AA15" si="28">S8+S12+S13+S10+S9</f>
        <v>195093</v>
      </c>
      <c r="T15" s="242">
        <f t="shared" si="28"/>
        <v>196344</v>
      </c>
      <c r="U15" s="242">
        <f t="shared" si="28"/>
        <v>148844</v>
      </c>
      <c r="V15" s="242">
        <f t="shared" si="28"/>
        <v>148844</v>
      </c>
      <c r="W15" s="242">
        <f t="shared" si="28"/>
        <v>148844</v>
      </c>
      <c r="X15" s="242">
        <f t="shared" si="28"/>
        <v>148844</v>
      </c>
      <c r="Y15" s="242">
        <f t="shared" si="28"/>
        <v>148844</v>
      </c>
      <c r="Z15" s="242">
        <f t="shared" si="28"/>
        <v>159569</v>
      </c>
      <c r="AA15" s="242">
        <f t="shared" si="28"/>
        <v>196892</v>
      </c>
      <c r="AB15" s="242">
        <f t="shared" ref="AB15:CP15" si="29">sum(AB8:AB13)</f>
        <v>202513.85</v>
      </c>
      <c r="AC15" s="242">
        <f t="shared" si="29"/>
        <v>200521.7371</v>
      </c>
      <c r="AD15" s="242">
        <f t="shared" si="29"/>
        <v>198905.3571</v>
      </c>
      <c r="AE15" s="242">
        <f t="shared" si="29"/>
        <v>198555.1071</v>
      </c>
      <c r="AF15" s="242">
        <f t="shared" si="29"/>
        <v>198604.2946</v>
      </c>
      <c r="AG15" s="242">
        <f t="shared" si="29"/>
        <v>198642.029</v>
      </c>
      <c r="AH15" s="242">
        <f t="shared" si="29"/>
        <v>190288</v>
      </c>
      <c r="AI15" s="242">
        <f t="shared" si="29"/>
        <v>166278</v>
      </c>
      <c r="AJ15" s="242">
        <f t="shared" si="29"/>
        <v>166278</v>
      </c>
      <c r="AK15" s="242">
        <f t="shared" si="29"/>
        <v>166278</v>
      </c>
      <c r="AL15" s="242">
        <f t="shared" si="29"/>
        <v>166278</v>
      </c>
      <c r="AM15" s="242">
        <f t="shared" si="29"/>
        <v>182905.8</v>
      </c>
      <c r="AN15" s="242">
        <f t="shared" si="29"/>
        <v>182905.8</v>
      </c>
      <c r="AO15" s="242">
        <f t="shared" si="29"/>
        <v>182905.8</v>
      </c>
      <c r="AP15" s="242">
        <f t="shared" si="29"/>
        <v>182905.8</v>
      </c>
      <c r="AQ15" s="242">
        <f t="shared" si="29"/>
        <v>182905.8</v>
      </c>
      <c r="AR15" s="242">
        <f t="shared" si="29"/>
        <v>182905.8</v>
      </c>
      <c r="AS15" s="242">
        <f t="shared" si="29"/>
        <v>182905.8</v>
      </c>
      <c r="AT15" s="242">
        <f t="shared" si="29"/>
        <v>182905.8</v>
      </c>
      <c r="AU15" s="242">
        <f t="shared" si="29"/>
        <v>182905.8</v>
      </c>
      <c r="AV15" s="242">
        <f t="shared" si="29"/>
        <v>182905.8</v>
      </c>
      <c r="AW15" s="242">
        <f t="shared" si="29"/>
        <v>182905.8</v>
      </c>
      <c r="AX15" s="242">
        <f t="shared" si="29"/>
        <v>182905.8</v>
      </c>
      <c r="AY15" s="242">
        <f t="shared" si="29"/>
        <v>201196.38</v>
      </c>
      <c r="AZ15" s="242">
        <f t="shared" si="29"/>
        <v>201196.38</v>
      </c>
      <c r="BA15" s="242">
        <f t="shared" si="29"/>
        <v>201196.38</v>
      </c>
      <c r="BB15" s="242">
        <f t="shared" si="29"/>
        <v>201196.38</v>
      </c>
      <c r="BC15" s="242">
        <f t="shared" si="29"/>
        <v>201196.38</v>
      </c>
      <c r="BD15" s="242">
        <f t="shared" si="29"/>
        <v>201196.38</v>
      </c>
      <c r="BE15" s="242">
        <f t="shared" si="29"/>
        <v>201196.38</v>
      </c>
      <c r="BF15" s="242">
        <f t="shared" si="29"/>
        <v>201196.38</v>
      </c>
      <c r="BG15" s="242">
        <f t="shared" si="29"/>
        <v>201196.38</v>
      </c>
      <c r="BH15" s="242">
        <f t="shared" si="29"/>
        <v>201196.38</v>
      </c>
      <c r="BI15" s="242">
        <f t="shared" si="29"/>
        <v>201196.38</v>
      </c>
      <c r="BJ15" s="242">
        <f t="shared" si="29"/>
        <v>201196.38</v>
      </c>
      <c r="BK15" s="242">
        <f t="shared" si="29"/>
        <v>221316.018</v>
      </c>
      <c r="BL15" s="242">
        <f t="shared" si="29"/>
        <v>221316.018</v>
      </c>
      <c r="BM15" s="242">
        <f t="shared" si="29"/>
        <v>221316.018</v>
      </c>
      <c r="BN15" s="242">
        <f t="shared" si="29"/>
        <v>221316.018</v>
      </c>
      <c r="BO15" s="242">
        <f t="shared" si="29"/>
        <v>221316.018</v>
      </c>
      <c r="BP15" s="242">
        <f t="shared" si="29"/>
        <v>221316.018</v>
      </c>
      <c r="BQ15" s="242">
        <f t="shared" si="29"/>
        <v>221316.018</v>
      </c>
      <c r="BR15" s="242">
        <f t="shared" si="29"/>
        <v>221316.018</v>
      </c>
      <c r="BS15" s="242">
        <f t="shared" si="29"/>
        <v>221316.018</v>
      </c>
      <c r="BT15" s="242">
        <f t="shared" si="29"/>
        <v>221316.018</v>
      </c>
      <c r="BU15" s="242">
        <f t="shared" si="29"/>
        <v>221316.018</v>
      </c>
      <c r="BV15" s="242">
        <f t="shared" si="29"/>
        <v>221316.018</v>
      </c>
      <c r="BW15" s="242">
        <f t="shared" si="29"/>
        <v>243447.6198</v>
      </c>
      <c r="BX15" s="242">
        <f t="shared" si="29"/>
        <v>243447.6198</v>
      </c>
      <c r="BY15" s="242">
        <f t="shared" si="29"/>
        <v>243447.6198</v>
      </c>
      <c r="BZ15" s="242">
        <f t="shared" si="29"/>
        <v>243447.6198</v>
      </c>
      <c r="CA15" s="242">
        <f t="shared" si="29"/>
        <v>243447.6198</v>
      </c>
      <c r="CB15" s="242">
        <f t="shared" si="29"/>
        <v>243447.6198</v>
      </c>
      <c r="CC15" s="242">
        <f t="shared" si="29"/>
        <v>243447.6198</v>
      </c>
      <c r="CD15" s="242">
        <f t="shared" si="29"/>
        <v>243447.6198</v>
      </c>
      <c r="CE15" s="242">
        <f t="shared" si="29"/>
        <v>243447.6198</v>
      </c>
      <c r="CF15" s="242">
        <f t="shared" si="29"/>
        <v>243447.6198</v>
      </c>
      <c r="CG15" s="242">
        <f t="shared" si="29"/>
        <v>243447.6198</v>
      </c>
      <c r="CH15" s="242">
        <f t="shared" si="29"/>
        <v>243447.6198</v>
      </c>
      <c r="CI15" s="242">
        <f t="shared" si="29"/>
        <v>267792.3818</v>
      </c>
      <c r="CJ15" s="242">
        <f t="shared" si="29"/>
        <v>267792.3818</v>
      </c>
      <c r="CK15" s="242">
        <f t="shared" si="29"/>
        <v>267792.3818</v>
      </c>
      <c r="CL15" s="242">
        <f t="shared" si="29"/>
        <v>267792.3818</v>
      </c>
      <c r="CM15" s="242">
        <f t="shared" si="29"/>
        <v>267792.3818</v>
      </c>
      <c r="CN15" s="242">
        <f t="shared" si="29"/>
        <v>267792.3818</v>
      </c>
      <c r="CO15" s="242">
        <f t="shared" si="29"/>
        <v>267792.3818</v>
      </c>
      <c r="CP15" s="242">
        <f t="shared" si="29"/>
        <v>267792.3818</v>
      </c>
    </row>
    <row r="16">
      <c r="A16" s="223" t="s">
        <v>275</v>
      </c>
      <c r="B16" s="243">
        <f>if(today()&lt;B17,today(),B17)</f>
        <v>45016</v>
      </c>
      <c r="C16" s="243">
        <f>if(today()&gt;B17,if(today()&lt;C17,today(),C17),"1 Apr 2023")</f>
        <v>45046</v>
      </c>
      <c r="D16" s="243">
        <f>if(today()&gt;C17,if(today()&lt;D17,today(),D17),"1 May 2023")</f>
        <v>45077</v>
      </c>
      <c r="E16" s="243">
        <f>if(today()&gt;D17,if(today()&lt;E17,today(),E17),"1 Jun 2023")</f>
        <v>45107</v>
      </c>
      <c r="F16" s="243">
        <f>if(today()&gt;E17,if(today()&lt;F17,today(),F17),"1 Jul 2023")</f>
        <v>45138</v>
      </c>
      <c r="G16" s="243">
        <f>if(today()&gt;F17,if(today()&lt;G17,today(),G17),"1 Aug 2023")</f>
        <v>45169</v>
      </c>
      <c r="H16" s="243">
        <f>if(today()&gt;G17,if(today()&lt;H17,today(),H17),"1 Sep 2023")</f>
        <v>45199</v>
      </c>
      <c r="I16" s="243">
        <f>if(today()&gt;H17,if(today()&lt;I17,today(),I17),"1 Oct 2023")</f>
        <v>45230</v>
      </c>
      <c r="J16" s="243">
        <f>if(today()&gt;I17,if(today()&lt;J17,today(),J17),"1 Nov 2023")</f>
        <v>45260</v>
      </c>
      <c r="K16" s="243">
        <f>if(today()&gt;J17,if(today()&lt;K17,today(),K17),"1 Dec 2023")</f>
        <v>45291</v>
      </c>
      <c r="L16" s="243">
        <v>45292.0</v>
      </c>
      <c r="M16" s="243">
        <v>45323.0</v>
      </c>
      <c r="N16" s="243">
        <v>45352.0</v>
      </c>
      <c r="O16" s="243">
        <v>45383.0</v>
      </c>
      <c r="P16" s="243">
        <v>45413.0</v>
      </c>
      <c r="Q16" s="243">
        <v>45444.0</v>
      </c>
      <c r="R16" s="243">
        <v>45474.0</v>
      </c>
      <c r="S16" s="243">
        <v>45505.0</v>
      </c>
      <c r="T16" s="243">
        <v>45536.0</v>
      </c>
      <c r="U16" s="244">
        <v>45566.0</v>
      </c>
      <c r="V16" s="245">
        <v>45597.0</v>
      </c>
      <c r="W16" s="245">
        <v>45627.0</v>
      </c>
      <c r="X16" s="245">
        <v>45658.0</v>
      </c>
      <c r="Y16" s="245">
        <v>45689.0</v>
      </c>
      <c r="Z16" s="245">
        <v>45717.0</v>
      </c>
      <c r="AA16" s="245">
        <v>45748.0</v>
      </c>
      <c r="AB16" s="245">
        <v>45778.0</v>
      </c>
      <c r="AC16" s="245">
        <v>45809.0</v>
      </c>
      <c r="AD16" s="245">
        <v>45839.0</v>
      </c>
      <c r="AE16" s="245">
        <v>45870.0</v>
      </c>
      <c r="AF16" s="245">
        <v>45901.0</v>
      </c>
      <c r="AG16" s="245">
        <v>45931.0</v>
      </c>
      <c r="AH16" s="245">
        <v>45962.0</v>
      </c>
      <c r="AI16" s="245">
        <v>45992.0</v>
      </c>
      <c r="AJ16" s="245">
        <v>46023.0</v>
      </c>
      <c r="AK16" s="245">
        <v>46054.0</v>
      </c>
      <c r="AL16" s="245">
        <v>46082.0</v>
      </c>
      <c r="AM16" s="245">
        <v>46113.0</v>
      </c>
      <c r="AN16" s="245">
        <v>46143.0</v>
      </c>
      <c r="AO16" s="245">
        <v>46174.0</v>
      </c>
      <c r="AP16" s="245">
        <v>46204.0</v>
      </c>
      <c r="AQ16" s="245">
        <v>46235.0</v>
      </c>
      <c r="AR16" s="245">
        <v>46266.0</v>
      </c>
      <c r="AS16" s="245">
        <v>46296.0</v>
      </c>
      <c r="AT16" s="245">
        <v>46327.0</v>
      </c>
      <c r="AU16" s="245">
        <v>46357.0</v>
      </c>
      <c r="AV16" s="245">
        <v>46388.0</v>
      </c>
      <c r="AW16" s="245">
        <v>46419.0</v>
      </c>
      <c r="AX16" s="245">
        <v>46447.0</v>
      </c>
      <c r="AY16" s="245">
        <v>46478.0</v>
      </c>
      <c r="AZ16" s="245">
        <v>46508.0</v>
      </c>
      <c r="BA16" s="245">
        <v>46539.0</v>
      </c>
      <c r="BB16" s="245">
        <v>46569.0</v>
      </c>
      <c r="BC16" s="245">
        <v>46600.0</v>
      </c>
      <c r="BD16" s="245">
        <v>46631.0</v>
      </c>
      <c r="BE16" s="245">
        <v>46661.0</v>
      </c>
      <c r="BF16" s="245">
        <v>46692.0</v>
      </c>
      <c r="BG16" s="245">
        <v>46722.0</v>
      </c>
      <c r="BH16" s="245">
        <v>46753.0</v>
      </c>
      <c r="BI16" s="245">
        <v>46784.0</v>
      </c>
      <c r="BJ16" s="245">
        <v>46813.0</v>
      </c>
      <c r="BK16" s="245">
        <v>46844.0</v>
      </c>
      <c r="BL16" s="245">
        <v>46874.0</v>
      </c>
      <c r="BM16" s="245">
        <v>46905.0</v>
      </c>
      <c r="BN16" s="245">
        <v>46935.0</v>
      </c>
      <c r="BO16" s="245">
        <v>46966.0</v>
      </c>
      <c r="BP16" s="245">
        <v>46997.0</v>
      </c>
      <c r="BQ16" s="245">
        <v>46997.0</v>
      </c>
      <c r="BR16" s="245">
        <v>46997.0</v>
      </c>
      <c r="BS16" s="245">
        <v>46997.0</v>
      </c>
      <c r="BT16" s="245">
        <v>46997.0</v>
      </c>
      <c r="BU16" s="245">
        <v>46997.0</v>
      </c>
      <c r="BV16" s="245">
        <v>46997.0</v>
      </c>
      <c r="BW16" s="245">
        <v>46844.0</v>
      </c>
      <c r="BX16" s="245">
        <v>46874.0</v>
      </c>
      <c r="BY16" s="245">
        <v>46905.0</v>
      </c>
      <c r="BZ16" s="245">
        <v>46905.0</v>
      </c>
      <c r="CA16" s="245">
        <v>46844.0</v>
      </c>
      <c r="CB16" s="245">
        <v>46874.0</v>
      </c>
      <c r="CC16" s="245">
        <v>46905.0</v>
      </c>
      <c r="CD16" s="245">
        <v>46905.0</v>
      </c>
      <c r="CE16" s="245">
        <v>46844.0</v>
      </c>
      <c r="CF16" s="245">
        <v>46874.0</v>
      </c>
      <c r="CG16" s="245">
        <v>46905.0</v>
      </c>
      <c r="CH16" s="245">
        <v>46905.0</v>
      </c>
      <c r="CI16" s="245">
        <v>46844.0</v>
      </c>
      <c r="CJ16" s="245">
        <v>46874.0</v>
      </c>
      <c r="CK16" s="245">
        <v>46905.0</v>
      </c>
      <c r="CL16" s="245">
        <v>46905.0</v>
      </c>
      <c r="CM16" s="245">
        <v>46844.0</v>
      </c>
      <c r="CN16" s="245">
        <v>46905.0</v>
      </c>
      <c r="CO16" s="245">
        <v>46905.0</v>
      </c>
      <c r="CP16" s="245">
        <v>46844.0</v>
      </c>
    </row>
    <row r="17">
      <c r="A17" s="223" t="s">
        <v>181</v>
      </c>
      <c r="B17" s="243">
        <v>45016.0</v>
      </c>
      <c r="C17" s="243">
        <v>45046.0</v>
      </c>
      <c r="D17" s="243">
        <v>45077.0</v>
      </c>
      <c r="E17" s="243">
        <v>45107.0</v>
      </c>
      <c r="F17" s="243">
        <v>45138.0</v>
      </c>
      <c r="G17" s="243">
        <v>45169.0</v>
      </c>
      <c r="H17" s="243">
        <v>45199.0</v>
      </c>
      <c r="I17" s="243">
        <v>45230.0</v>
      </c>
      <c r="J17" s="243">
        <v>45260.0</v>
      </c>
      <c r="K17" s="243">
        <v>45291.0</v>
      </c>
      <c r="L17" s="243">
        <v>45322.0</v>
      </c>
      <c r="M17" s="243">
        <v>45351.0</v>
      </c>
      <c r="N17" s="243">
        <v>45382.0</v>
      </c>
      <c r="O17" s="243">
        <v>45412.0</v>
      </c>
      <c r="P17" s="243">
        <v>45443.0</v>
      </c>
      <c r="Q17" s="243">
        <v>45473.0</v>
      </c>
      <c r="R17" s="243">
        <v>45504.0</v>
      </c>
      <c r="S17" s="243">
        <v>45535.0</v>
      </c>
      <c r="T17" s="243">
        <v>45565.0</v>
      </c>
      <c r="U17" s="245">
        <v>45596.0</v>
      </c>
      <c r="V17" s="245">
        <v>45626.0</v>
      </c>
      <c r="W17" s="245">
        <v>45657.0</v>
      </c>
      <c r="X17" s="245">
        <v>45688.0</v>
      </c>
      <c r="Y17" s="245">
        <v>45716.0</v>
      </c>
      <c r="Z17" s="245">
        <v>45747.0</v>
      </c>
      <c r="AA17" s="245">
        <v>45777.0</v>
      </c>
      <c r="AB17" s="245">
        <v>45808.0</v>
      </c>
      <c r="AC17" s="245">
        <v>45838.0</v>
      </c>
      <c r="AD17" s="245">
        <v>45869.0</v>
      </c>
      <c r="AE17" s="245">
        <v>45900.0</v>
      </c>
      <c r="AF17" s="245">
        <v>45930.0</v>
      </c>
      <c r="AG17" s="245">
        <v>45961.0</v>
      </c>
      <c r="AH17" s="245">
        <v>45991.0</v>
      </c>
      <c r="AI17" s="245">
        <v>46022.0</v>
      </c>
      <c r="AJ17" s="245">
        <v>46053.0</v>
      </c>
      <c r="AK17" s="245">
        <v>46081.0</v>
      </c>
      <c r="AL17" s="245">
        <v>46112.0</v>
      </c>
      <c r="AM17" s="245">
        <v>46142.0</v>
      </c>
      <c r="AN17" s="245">
        <v>46173.0</v>
      </c>
      <c r="AO17" s="245">
        <v>46203.0</v>
      </c>
      <c r="AP17" s="245">
        <v>46234.0</v>
      </c>
      <c r="AQ17" s="245">
        <v>46265.0</v>
      </c>
      <c r="AR17" s="245">
        <v>46295.0</v>
      </c>
      <c r="AS17" s="245">
        <v>46326.0</v>
      </c>
      <c r="AT17" s="245">
        <v>46356.0</v>
      </c>
      <c r="AU17" s="245">
        <v>46387.0</v>
      </c>
      <c r="AV17" s="245">
        <v>46418.0</v>
      </c>
      <c r="AW17" s="245">
        <v>46446.0</v>
      </c>
      <c r="AX17" s="245">
        <v>46477.0</v>
      </c>
      <c r="AY17" s="245">
        <v>46507.0</v>
      </c>
      <c r="AZ17" s="245">
        <v>46538.0</v>
      </c>
      <c r="BA17" s="245">
        <v>46568.0</v>
      </c>
      <c r="BB17" s="245">
        <v>46599.0</v>
      </c>
      <c r="BC17" s="245">
        <v>46630.0</v>
      </c>
      <c r="BD17" s="245">
        <v>46660.0</v>
      </c>
      <c r="BE17" s="245">
        <v>46691.0</v>
      </c>
      <c r="BF17" s="245">
        <v>46721.0</v>
      </c>
      <c r="BG17" s="245">
        <v>46752.0</v>
      </c>
      <c r="BH17" s="245">
        <v>46783.0</v>
      </c>
      <c r="BI17" s="245">
        <v>46812.0</v>
      </c>
      <c r="BJ17" s="245">
        <v>46843.0</v>
      </c>
      <c r="BK17" s="245">
        <v>46873.0</v>
      </c>
      <c r="BL17" s="245">
        <v>46904.0</v>
      </c>
      <c r="BM17" s="245">
        <v>46934.0</v>
      </c>
      <c r="BN17" s="245">
        <v>46965.0</v>
      </c>
      <c r="BO17" s="245">
        <v>46996.0</v>
      </c>
      <c r="BP17" s="245">
        <v>47026.0</v>
      </c>
      <c r="BQ17" s="245">
        <v>47026.0</v>
      </c>
      <c r="BR17" s="245">
        <v>47026.0</v>
      </c>
      <c r="BS17" s="245">
        <v>47026.0</v>
      </c>
      <c r="BT17" s="245">
        <v>47026.0</v>
      </c>
      <c r="BU17" s="245">
        <v>47026.0</v>
      </c>
      <c r="BV17" s="245">
        <v>47026.0</v>
      </c>
      <c r="BW17" s="245">
        <v>46873.0</v>
      </c>
      <c r="BX17" s="245">
        <v>46904.0</v>
      </c>
      <c r="BY17" s="245">
        <v>46934.0</v>
      </c>
      <c r="BZ17" s="245">
        <v>46934.0</v>
      </c>
      <c r="CA17" s="245">
        <v>46873.0</v>
      </c>
      <c r="CB17" s="245">
        <v>46904.0</v>
      </c>
      <c r="CC17" s="245">
        <v>46934.0</v>
      </c>
      <c r="CD17" s="245">
        <v>46934.0</v>
      </c>
      <c r="CE17" s="245">
        <v>46873.0</v>
      </c>
      <c r="CF17" s="245">
        <v>46904.0</v>
      </c>
      <c r="CG17" s="245">
        <v>46934.0</v>
      </c>
      <c r="CH17" s="245">
        <v>46934.0</v>
      </c>
      <c r="CI17" s="245">
        <v>46873.0</v>
      </c>
      <c r="CJ17" s="245">
        <v>46904.0</v>
      </c>
      <c r="CK17" s="245">
        <v>46934.0</v>
      </c>
      <c r="CL17" s="245">
        <v>46934.0</v>
      </c>
      <c r="CM17" s="245">
        <v>46873.0</v>
      </c>
      <c r="CN17" s="245">
        <v>46934.0</v>
      </c>
      <c r="CO17" s="245">
        <v>46934.0</v>
      </c>
      <c r="CP17" s="245">
        <v>46873.0</v>
      </c>
    </row>
    <row r="18">
      <c r="A18" s="238" t="s">
        <v>276</v>
      </c>
      <c r="B18" s="239">
        <f t="shared" ref="B18:CP18" si="30">if( today()&gt;B17,0,days(B17,B16)+1)</f>
        <v>0</v>
      </c>
      <c r="C18" s="239">
        <f t="shared" si="30"/>
        <v>0</v>
      </c>
      <c r="D18" s="239">
        <f t="shared" si="30"/>
        <v>0</v>
      </c>
      <c r="E18" s="239">
        <f t="shared" si="30"/>
        <v>0</v>
      </c>
      <c r="F18" s="239">
        <f t="shared" si="30"/>
        <v>0</v>
      </c>
      <c r="G18" s="239">
        <f t="shared" si="30"/>
        <v>0</v>
      </c>
      <c r="H18" s="239">
        <f t="shared" si="30"/>
        <v>0</v>
      </c>
      <c r="I18" s="239">
        <f t="shared" si="30"/>
        <v>0</v>
      </c>
      <c r="J18" s="239">
        <f t="shared" si="30"/>
        <v>0</v>
      </c>
      <c r="K18" s="239">
        <f t="shared" si="30"/>
        <v>0</v>
      </c>
      <c r="L18" s="239">
        <f t="shared" si="30"/>
        <v>0</v>
      </c>
      <c r="M18" s="239">
        <f t="shared" si="30"/>
        <v>0</v>
      </c>
      <c r="N18" s="239">
        <f t="shared" si="30"/>
        <v>0</v>
      </c>
      <c r="O18" s="239">
        <f t="shared" si="30"/>
        <v>0</v>
      </c>
      <c r="P18" s="239">
        <f t="shared" si="30"/>
        <v>0</v>
      </c>
      <c r="Q18" s="239">
        <f t="shared" si="30"/>
        <v>0</v>
      </c>
      <c r="R18" s="239">
        <f t="shared" si="30"/>
        <v>0</v>
      </c>
      <c r="S18" s="239">
        <f t="shared" si="30"/>
        <v>0</v>
      </c>
      <c r="T18" s="239">
        <f t="shared" si="30"/>
        <v>0</v>
      </c>
      <c r="U18" s="246">
        <f t="shared" si="30"/>
        <v>0</v>
      </c>
      <c r="V18" s="246">
        <f t="shared" si="30"/>
        <v>0</v>
      </c>
      <c r="W18" s="246">
        <f t="shared" si="30"/>
        <v>0</v>
      </c>
      <c r="X18" s="246">
        <f t="shared" si="30"/>
        <v>0</v>
      </c>
      <c r="Y18" s="246">
        <f t="shared" si="30"/>
        <v>0</v>
      </c>
      <c r="Z18" s="246">
        <f t="shared" si="30"/>
        <v>0</v>
      </c>
      <c r="AA18" s="246">
        <f t="shared" si="30"/>
        <v>0</v>
      </c>
      <c r="AB18" s="246">
        <f t="shared" si="30"/>
        <v>0</v>
      </c>
      <c r="AC18" s="246">
        <f t="shared" si="30"/>
        <v>0</v>
      </c>
      <c r="AD18" s="246">
        <f t="shared" si="30"/>
        <v>0</v>
      </c>
      <c r="AE18" s="246">
        <f t="shared" si="30"/>
        <v>0</v>
      </c>
      <c r="AF18" s="246">
        <f t="shared" si="30"/>
        <v>0</v>
      </c>
      <c r="AG18" s="246">
        <f t="shared" si="30"/>
        <v>0</v>
      </c>
      <c r="AH18" s="246">
        <f t="shared" si="30"/>
        <v>30</v>
      </c>
      <c r="AI18" s="246">
        <f t="shared" si="30"/>
        <v>31</v>
      </c>
      <c r="AJ18" s="246">
        <f t="shared" si="30"/>
        <v>31</v>
      </c>
      <c r="AK18" s="246">
        <f t="shared" si="30"/>
        <v>28</v>
      </c>
      <c r="AL18" s="246">
        <f t="shared" si="30"/>
        <v>31</v>
      </c>
      <c r="AM18" s="246">
        <f t="shared" si="30"/>
        <v>30</v>
      </c>
      <c r="AN18" s="246">
        <f t="shared" si="30"/>
        <v>31</v>
      </c>
      <c r="AO18" s="246">
        <f t="shared" si="30"/>
        <v>30</v>
      </c>
      <c r="AP18" s="246">
        <f t="shared" si="30"/>
        <v>31</v>
      </c>
      <c r="AQ18" s="246">
        <f t="shared" si="30"/>
        <v>31</v>
      </c>
      <c r="AR18" s="246">
        <f t="shared" si="30"/>
        <v>30</v>
      </c>
      <c r="AS18" s="246">
        <f t="shared" si="30"/>
        <v>31</v>
      </c>
      <c r="AT18" s="246">
        <f t="shared" si="30"/>
        <v>30</v>
      </c>
      <c r="AU18" s="246">
        <f t="shared" si="30"/>
        <v>31</v>
      </c>
      <c r="AV18" s="246">
        <f t="shared" si="30"/>
        <v>31</v>
      </c>
      <c r="AW18" s="246">
        <f t="shared" si="30"/>
        <v>28</v>
      </c>
      <c r="AX18" s="246">
        <f t="shared" si="30"/>
        <v>31</v>
      </c>
      <c r="AY18" s="246">
        <f t="shared" si="30"/>
        <v>30</v>
      </c>
      <c r="AZ18" s="246">
        <f t="shared" si="30"/>
        <v>31</v>
      </c>
      <c r="BA18" s="246">
        <f t="shared" si="30"/>
        <v>30</v>
      </c>
      <c r="BB18" s="246">
        <f t="shared" si="30"/>
        <v>31</v>
      </c>
      <c r="BC18" s="246">
        <f t="shared" si="30"/>
        <v>31</v>
      </c>
      <c r="BD18" s="246">
        <f t="shared" si="30"/>
        <v>30</v>
      </c>
      <c r="BE18" s="246">
        <f t="shared" si="30"/>
        <v>31</v>
      </c>
      <c r="BF18" s="246">
        <f t="shared" si="30"/>
        <v>30</v>
      </c>
      <c r="BG18" s="246">
        <f t="shared" si="30"/>
        <v>31</v>
      </c>
      <c r="BH18" s="246">
        <f t="shared" si="30"/>
        <v>31</v>
      </c>
      <c r="BI18" s="246">
        <f t="shared" si="30"/>
        <v>29</v>
      </c>
      <c r="BJ18" s="246">
        <f t="shared" si="30"/>
        <v>31</v>
      </c>
      <c r="BK18" s="246">
        <f t="shared" si="30"/>
        <v>30</v>
      </c>
      <c r="BL18" s="246">
        <f t="shared" si="30"/>
        <v>31</v>
      </c>
      <c r="BM18" s="246">
        <f t="shared" si="30"/>
        <v>30</v>
      </c>
      <c r="BN18" s="246">
        <f t="shared" si="30"/>
        <v>31</v>
      </c>
      <c r="BO18" s="246">
        <f t="shared" si="30"/>
        <v>31</v>
      </c>
      <c r="BP18" s="246">
        <f t="shared" si="30"/>
        <v>30</v>
      </c>
      <c r="BQ18" s="246">
        <f t="shared" si="30"/>
        <v>30</v>
      </c>
      <c r="BR18" s="246">
        <f t="shared" si="30"/>
        <v>30</v>
      </c>
      <c r="BS18" s="246">
        <f t="shared" si="30"/>
        <v>30</v>
      </c>
      <c r="BT18" s="246">
        <f t="shared" si="30"/>
        <v>30</v>
      </c>
      <c r="BU18" s="246">
        <f t="shared" si="30"/>
        <v>30</v>
      </c>
      <c r="BV18" s="246">
        <f t="shared" si="30"/>
        <v>30</v>
      </c>
      <c r="BW18" s="246">
        <f t="shared" si="30"/>
        <v>30</v>
      </c>
      <c r="BX18" s="246">
        <f t="shared" si="30"/>
        <v>31</v>
      </c>
      <c r="BY18" s="246">
        <f t="shared" si="30"/>
        <v>30</v>
      </c>
      <c r="BZ18" s="246">
        <f t="shared" si="30"/>
        <v>30</v>
      </c>
      <c r="CA18" s="246">
        <f t="shared" si="30"/>
        <v>30</v>
      </c>
      <c r="CB18" s="246">
        <f t="shared" si="30"/>
        <v>31</v>
      </c>
      <c r="CC18" s="246">
        <f t="shared" si="30"/>
        <v>30</v>
      </c>
      <c r="CD18" s="246">
        <f t="shared" si="30"/>
        <v>30</v>
      </c>
      <c r="CE18" s="246">
        <f t="shared" si="30"/>
        <v>30</v>
      </c>
      <c r="CF18" s="246">
        <f t="shared" si="30"/>
        <v>31</v>
      </c>
      <c r="CG18" s="246">
        <f t="shared" si="30"/>
        <v>30</v>
      </c>
      <c r="CH18" s="246">
        <f t="shared" si="30"/>
        <v>30</v>
      </c>
      <c r="CI18" s="246">
        <f t="shared" si="30"/>
        <v>30</v>
      </c>
      <c r="CJ18" s="246">
        <f t="shared" si="30"/>
        <v>31</v>
      </c>
      <c r="CK18" s="246">
        <f t="shared" si="30"/>
        <v>30</v>
      </c>
      <c r="CL18" s="246">
        <f t="shared" si="30"/>
        <v>30</v>
      </c>
      <c r="CM18" s="246">
        <f t="shared" si="30"/>
        <v>30</v>
      </c>
      <c r="CN18" s="246">
        <f t="shared" si="30"/>
        <v>30</v>
      </c>
      <c r="CO18" s="246">
        <f t="shared" si="30"/>
        <v>30</v>
      </c>
      <c r="CP18" s="246">
        <f t="shared" si="30"/>
        <v>30</v>
      </c>
    </row>
    <row r="19">
      <c r="A19" s="247" t="s">
        <v>277</v>
      </c>
      <c r="B19" s="248">
        <v>0.0</v>
      </c>
      <c r="C19" s="248">
        <v>0.0</v>
      </c>
      <c r="D19" s="248">
        <v>0.0</v>
      </c>
      <c r="E19" s="248">
        <v>0.0</v>
      </c>
      <c r="F19" s="248">
        <v>0.0</v>
      </c>
      <c r="G19" s="248">
        <v>0.0</v>
      </c>
      <c r="H19" s="248">
        <v>0.0</v>
      </c>
      <c r="I19" s="248">
        <v>0.0</v>
      </c>
      <c r="J19" s="248">
        <v>0.0</v>
      </c>
      <c r="K19" s="248">
        <v>0.0</v>
      </c>
      <c r="L19" s="248">
        <v>0.0</v>
      </c>
      <c r="M19" s="248">
        <v>0.0</v>
      </c>
      <c r="N19" s="248">
        <v>0.0</v>
      </c>
      <c r="O19" s="248">
        <v>0.0</v>
      </c>
      <c r="P19" s="248">
        <v>0.0</v>
      </c>
      <c r="Q19" s="248">
        <v>0.0</v>
      </c>
      <c r="R19" s="248">
        <v>0.0</v>
      </c>
      <c r="S19" s="248">
        <v>0.0</v>
      </c>
      <c r="T19" s="248">
        <v>0.0</v>
      </c>
      <c r="U19" s="249">
        <f>'Planned Expenses'!A294</f>
        <v>35441.75</v>
      </c>
      <c r="V19" s="249">
        <f>'Planned Expenses'!A305</f>
        <v>12282</v>
      </c>
      <c r="W19" s="249">
        <f>'Planned Expenses'!A316</f>
        <v>75350.04</v>
      </c>
      <c r="X19" s="249">
        <f>'Planned Expenses'!A327</f>
        <v>86178.85</v>
      </c>
      <c r="Y19" s="249">
        <f>'Planned Expenses'!A338</f>
        <v>136769.87</v>
      </c>
      <c r="Z19" s="249">
        <f>'Planned Expenses'!A349</f>
        <v>148220.83</v>
      </c>
      <c r="AA19" s="249">
        <f>'Planned Expenses'!A360</f>
        <v>38355.87</v>
      </c>
      <c r="AB19" s="249">
        <f>'Planned Expenses'!A371</f>
        <v>4671.78</v>
      </c>
      <c r="AC19" s="249">
        <f>'Planned Expenses'!A382</f>
        <v>0</v>
      </c>
      <c r="AD19" s="249">
        <f>'Planned Expenses'!A393</f>
        <v>54732.34</v>
      </c>
      <c r="AE19" s="249">
        <f>'Planned Expenses'!A404</f>
        <v>67019.95</v>
      </c>
      <c r="AF19" s="249">
        <f>'Planned Expenses'!A415</f>
        <v>11649.34</v>
      </c>
      <c r="AG19" s="249">
        <f>'Planned Expenses'!A426</f>
        <v>13113.85</v>
      </c>
      <c r="AH19" s="249">
        <f>'Planned Expenses'!A437</f>
        <v>31041</v>
      </c>
      <c r="AI19" s="249">
        <f>'Planned Expenses'!A448</f>
        <v>87280.32</v>
      </c>
      <c r="AJ19" s="249">
        <f>'Planned Expenses'!A459</f>
        <v>141543.64</v>
      </c>
      <c r="AK19" s="249">
        <f>'Planned Expenses'!A470</f>
        <v>199420.89</v>
      </c>
      <c r="AL19" s="249">
        <f>'Planned Expenses'!A481</f>
        <v>250793.14</v>
      </c>
      <c r="AM19" s="249">
        <f>'Planned Expenses'!A492</f>
        <v>317298.29</v>
      </c>
      <c r="AN19" s="249">
        <f>'Planned Expenses'!A503</f>
        <v>387301.34</v>
      </c>
      <c r="AO19" s="249">
        <f>'Planned Expenses'!A514</f>
        <v>421281.02</v>
      </c>
      <c r="AP19" s="249">
        <f>'Planned Expenses'!A525</f>
        <v>492461.7</v>
      </c>
      <c r="AQ19" s="249">
        <f>'Planned Expenses'!A536</f>
        <v>563441.38</v>
      </c>
      <c r="AR19" s="249">
        <f>'Planned Expenses'!A547</f>
        <v>632921.06</v>
      </c>
      <c r="AS19" s="249">
        <f>'Planned Expenses'!A558</f>
        <v>692126.13</v>
      </c>
      <c r="AT19" s="249">
        <f>'Planned Expenses'!A569</f>
        <v>764698.09</v>
      </c>
      <c r="AU19" s="249">
        <f>'Planned Expenses'!A580</f>
        <v>835770.05</v>
      </c>
      <c r="AV19" s="249">
        <f>'Planned Expenses'!A591</f>
        <v>919186.41</v>
      </c>
      <c r="AW19" s="249">
        <f>'Planned Expenses'!A602</f>
        <v>996102.77</v>
      </c>
      <c r="AX19" s="249">
        <f>'Planned Expenses'!A613</f>
        <v>1048648.22</v>
      </c>
      <c r="AY19" s="249">
        <f>'Planned Expenses'!A624</f>
        <v>1148341.7</v>
      </c>
      <c r="AZ19" s="249">
        <f>'Planned Expenses'!A635</f>
        <v>1246535.08</v>
      </c>
      <c r="BA19" s="249">
        <f>'Planned Expenses'!A646</f>
        <v>1343228.46</v>
      </c>
      <c r="BB19" s="249">
        <f>'Planned Expenses'!A657</f>
        <v>1437121.84</v>
      </c>
      <c r="BC19" s="249">
        <f>'Planned Expenses'!A668</f>
        <v>1530815.22</v>
      </c>
      <c r="BD19" s="249">
        <f>'Planned Expenses'!A679</f>
        <v>1628008.6</v>
      </c>
      <c r="BE19" s="249">
        <f>'Planned Expenses'!A690</f>
        <v>1708975.98</v>
      </c>
      <c r="BF19" s="249">
        <f>'Planned Expenses'!A701</f>
        <v>1803169.36</v>
      </c>
      <c r="BG19" s="249">
        <f>'Planned Expenses'!A712</f>
        <v>1890862.74</v>
      </c>
      <c r="BH19" s="249">
        <f>'Planned Expenses'!A723</f>
        <v>1981556.12</v>
      </c>
      <c r="BI19" s="249">
        <f>'Planned Expenses'!A734</f>
        <v>2070749.5</v>
      </c>
      <c r="BJ19" s="249">
        <f>'Planned Expenses'!A745</f>
        <v>2153442.88</v>
      </c>
      <c r="BK19" s="249">
        <f>'Planned Expenses'!A756</f>
        <v>2275332.998</v>
      </c>
      <c r="BL19" s="249">
        <f>'Planned Expenses'!A767</f>
        <v>2395723.016</v>
      </c>
      <c r="BM19" s="249">
        <f>'Planned Expenses'!A778</f>
        <v>2514613.034</v>
      </c>
      <c r="BN19" s="249">
        <f>'Planned Expenses'!A789</f>
        <v>2630703.052</v>
      </c>
      <c r="BO19" s="249">
        <f>'Planned Expenses'!A800</f>
        <v>2746593.07</v>
      </c>
      <c r="BP19" s="249">
        <f>'Planned Expenses'!A811</f>
        <v>2860983.088</v>
      </c>
      <c r="BQ19" s="249">
        <f>'Planned Expenses'!A822</f>
        <v>2954175.106</v>
      </c>
      <c r="BR19" s="249">
        <f>'Planned Expenses'!A833</f>
        <v>3074855.124</v>
      </c>
      <c r="BS19" s="249">
        <f>'Planned Expenses'!A844</f>
        <v>3194035.142</v>
      </c>
      <c r="BT19" s="249">
        <f>'Planned Expenses'!A855</f>
        <v>3311215.16</v>
      </c>
      <c r="BU19" s="249">
        <f>'Planned Expenses'!A866</f>
        <v>3426895.178</v>
      </c>
      <c r="BV19" s="249">
        <f>'Planned Expenses'!A877</f>
        <v>3541075.196</v>
      </c>
      <c r="BW19" s="249">
        <f>'Planned Expenses'!A888</f>
        <v>3670886.916</v>
      </c>
      <c r="BX19" s="249">
        <f>'Planned Expenses'!A899</f>
        <v>3804198.536</v>
      </c>
      <c r="BY19" s="249">
        <f>'Planned Expenses'!A910</f>
        <v>3936010.155</v>
      </c>
      <c r="BZ19" s="249">
        <f>'Planned Expenses'!A921</f>
        <v>4065021.775</v>
      </c>
      <c r="CA19" s="249">
        <f>'Planned Expenses'!A932</f>
        <v>4189333.395</v>
      </c>
      <c r="CB19" s="249">
        <f>'Planned Expenses'!A943</f>
        <v>4333145.015</v>
      </c>
      <c r="CC19" s="249">
        <f>'Planned Expenses'!A954</f>
        <v>4461230.635</v>
      </c>
      <c r="CD19" s="249">
        <f>'Planned Expenses'!A965</f>
        <v>4603042.254</v>
      </c>
      <c r="CE19" s="249">
        <f>'Planned Expenses'!A976</f>
        <v>4743853.874</v>
      </c>
      <c r="CF19" s="249">
        <f>'Planned Expenses'!A987</f>
        <v>4883165.494</v>
      </c>
      <c r="CG19" s="249">
        <f>'Planned Expenses'!A998</f>
        <v>5021477.114</v>
      </c>
      <c r="CH19" s="249">
        <f>'Planned Expenses'!A1009</f>
        <v>5158788.734</v>
      </c>
      <c r="CI19" s="249">
        <f>'Planned Expenses'!A1020</f>
        <v>5321917.215</v>
      </c>
      <c r="CJ19" s="249">
        <f>'Planned Expenses'!A1031</f>
        <v>5478545.597</v>
      </c>
      <c r="CK19" s="249">
        <f>'Planned Expenses'!A1042</f>
        <v>5633673.979</v>
      </c>
      <c r="CL19" s="249">
        <f>'Planned Expenses'!A1053</f>
        <v>5791002.361</v>
      </c>
      <c r="CM19" s="249">
        <f>'Planned Expenses'!A1064</f>
        <v>5948130.743</v>
      </c>
      <c r="CN19" s="249">
        <f>'Planned Expenses'!A1075</f>
        <v>6104259.124</v>
      </c>
      <c r="CO19" s="249">
        <f>'Planned Expenses'!A1086</f>
        <v>6244661.506</v>
      </c>
      <c r="CP19" s="249">
        <f>'Planned Expenses'!A1097</f>
        <v>6411559.888</v>
      </c>
    </row>
    <row r="20">
      <c r="A20" s="223" t="s">
        <v>278</v>
      </c>
      <c r="B20" s="250">
        <f>sum('Planned Expenses'!D32)</f>
        <v>0</v>
      </c>
      <c r="C20" s="251">
        <v>0.0</v>
      </c>
      <c r="D20" s="251">
        <v>0.0</v>
      </c>
      <c r="E20" s="251">
        <v>0.0</v>
      </c>
      <c r="F20" s="251">
        <v>0.0</v>
      </c>
      <c r="G20" s="251">
        <v>0.0</v>
      </c>
      <c r="H20" s="251">
        <v>0.0</v>
      </c>
      <c r="I20" s="251">
        <v>0.0</v>
      </c>
      <c r="J20" s="251">
        <v>0.0</v>
      </c>
      <c r="K20" s="251">
        <v>0.0</v>
      </c>
      <c r="L20" s="251">
        <v>0.0</v>
      </c>
      <c r="M20" s="251">
        <v>0.0</v>
      </c>
      <c r="N20" s="251">
        <v>0.0</v>
      </c>
      <c r="O20" s="251">
        <v>0.0</v>
      </c>
      <c r="P20" s="251">
        <v>0.0</v>
      </c>
      <c r="Q20" s="251">
        <v>0.0</v>
      </c>
      <c r="R20" s="251">
        <v>0.0</v>
      </c>
      <c r="S20" s="251">
        <v>0.0</v>
      </c>
      <c r="T20" s="251">
        <v>0.0</v>
      </c>
      <c r="U20" s="252">
        <v>0.0</v>
      </c>
      <c r="V20" s="252">
        <v>0.0</v>
      </c>
      <c r="W20" s="252">
        <v>0.0</v>
      </c>
      <c r="X20" s="252">
        <v>0.0</v>
      </c>
      <c r="Y20" s="252">
        <v>0.0</v>
      </c>
      <c r="Z20" s="252">
        <v>0.0</v>
      </c>
      <c r="AA20" s="252">
        <v>0.0</v>
      </c>
      <c r="AB20" s="252">
        <v>0.0</v>
      </c>
      <c r="AC20" s="252">
        <v>0.0</v>
      </c>
      <c r="AD20" s="252">
        <v>0.0</v>
      </c>
      <c r="AE20" s="252">
        <v>0.0</v>
      </c>
      <c r="AF20" s="252">
        <v>0.0</v>
      </c>
      <c r="AG20" s="252">
        <v>0.0</v>
      </c>
      <c r="AH20" s="252">
        <v>0.0</v>
      </c>
      <c r="AI20" s="252">
        <v>0.0</v>
      </c>
      <c r="AJ20" s="252">
        <v>0.0</v>
      </c>
      <c r="AK20" s="252">
        <v>0.0</v>
      </c>
      <c r="AL20" s="252">
        <v>0.0</v>
      </c>
      <c r="AM20" s="252">
        <v>0.0</v>
      </c>
      <c r="AN20" s="252">
        <v>0.0</v>
      </c>
      <c r="AO20" s="252">
        <v>0.0</v>
      </c>
      <c r="AP20" s="252">
        <v>0.0</v>
      </c>
      <c r="AQ20" s="252">
        <v>0.0</v>
      </c>
      <c r="AR20" s="252">
        <v>0.0</v>
      </c>
      <c r="AS20" s="252">
        <v>0.0</v>
      </c>
      <c r="AT20" s="252">
        <v>0.0</v>
      </c>
      <c r="AU20" s="252">
        <v>0.0</v>
      </c>
      <c r="AV20" s="252">
        <v>0.0</v>
      </c>
      <c r="AW20" s="252">
        <v>0.0</v>
      </c>
      <c r="AX20" s="252">
        <v>0.0</v>
      </c>
      <c r="AY20" s="252">
        <v>0.0</v>
      </c>
      <c r="AZ20" s="252">
        <v>0.0</v>
      </c>
      <c r="BA20" s="252">
        <v>0.0</v>
      </c>
      <c r="BB20" s="252">
        <v>0.0</v>
      </c>
      <c r="BC20" s="252">
        <v>0.0</v>
      </c>
      <c r="BD20" s="252">
        <v>0.0</v>
      </c>
      <c r="BE20" s="252">
        <v>0.0</v>
      </c>
      <c r="BF20" s="252">
        <v>0.0</v>
      </c>
      <c r="BG20" s="252">
        <v>0.0</v>
      </c>
      <c r="BH20" s="252">
        <v>0.0</v>
      </c>
      <c r="BI20" s="252">
        <v>0.0</v>
      </c>
      <c r="BJ20" s="252">
        <v>0.0</v>
      </c>
      <c r="BK20" s="252">
        <v>0.0</v>
      </c>
      <c r="BL20" s="252">
        <v>0.0</v>
      </c>
      <c r="BM20" s="252">
        <v>0.0</v>
      </c>
      <c r="BN20" s="252">
        <v>0.0</v>
      </c>
      <c r="BO20" s="252">
        <v>0.0</v>
      </c>
      <c r="BP20" s="252">
        <v>0.0</v>
      </c>
      <c r="BQ20" s="252">
        <v>0.0</v>
      </c>
      <c r="BR20" s="252">
        <v>0.0</v>
      </c>
      <c r="BS20" s="252">
        <v>0.0</v>
      </c>
      <c r="BT20" s="252">
        <v>0.0</v>
      </c>
      <c r="BU20" s="252">
        <v>0.0</v>
      </c>
      <c r="BV20" s="252">
        <v>0.0</v>
      </c>
      <c r="BW20" s="252">
        <v>0.0</v>
      </c>
      <c r="BX20" s="252">
        <v>0.0</v>
      </c>
      <c r="BY20" s="252">
        <v>0.0</v>
      </c>
      <c r="BZ20" s="252">
        <v>0.0</v>
      </c>
      <c r="CA20" s="252">
        <v>0.0</v>
      </c>
      <c r="CB20" s="252">
        <v>0.0</v>
      </c>
      <c r="CC20" s="252">
        <v>0.0</v>
      </c>
      <c r="CD20" s="252">
        <v>0.0</v>
      </c>
      <c r="CE20" s="252">
        <v>0.0</v>
      </c>
      <c r="CF20" s="252">
        <v>0.0</v>
      </c>
      <c r="CG20" s="252">
        <v>0.0</v>
      </c>
      <c r="CH20" s="252">
        <v>0.0</v>
      </c>
      <c r="CI20" s="252">
        <v>0.0</v>
      </c>
      <c r="CJ20" s="252">
        <v>0.0</v>
      </c>
      <c r="CK20" s="252">
        <v>0.0</v>
      </c>
      <c r="CL20" s="252">
        <v>0.0</v>
      </c>
      <c r="CM20" s="252">
        <v>0.0</v>
      </c>
      <c r="CN20" s="252">
        <v>0.0</v>
      </c>
      <c r="CO20" s="252">
        <v>0.0</v>
      </c>
      <c r="CP20" s="252">
        <v>0.0</v>
      </c>
    </row>
    <row r="21">
      <c r="A21" s="247" t="s">
        <v>279</v>
      </c>
      <c r="B21" s="249">
        <f>'Planned Expenses'!B32</f>
        <v>18000</v>
      </c>
      <c r="C21" s="249">
        <f>'Planned Expenses'!B47</f>
        <v>24000</v>
      </c>
      <c r="D21" s="249">
        <f>'Planned Expenses'!B62</f>
        <v>30000</v>
      </c>
      <c r="E21" s="249">
        <f>'Planned Expenses'!B78</f>
        <v>0</v>
      </c>
      <c r="F21" s="249">
        <f>'Planned Expenses'!B93</f>
        <v>10800</v>
      </c>
      <c r="G21" s="249">
        <f>'Planned Expenses'!B108</f>
        <v>0</v>
      </c>
      <c r="H21" s="248">
        <v>0.0</v>
      </c>
      <c r="I21" s="248">
        <v>0.0</v>
      </c>
      <c r="J21" s="248">
        <v>0.0</v>
      </c>
      <c r="K21" s="248">
        <v>0.0</v>
      </c>
      <c r="L21" s="248">
        <v>0.0</v>
      </c>
      <c r="M21" s="248">
        <v>0.0</v>
      </c>
      <c r="N21" s="248">
        <v>0.0</v>
      </c>
      <c r="O21" s="248">
        <v>0.0</v>
      </c>
      <c r="P21" s="248">
        <v>0.0</v>
      </c>
      <c r="Q21" s="248">
        <v>0.0</v>
      </c>
      <c r="R21" s="248">
        <v>0.0</v>
      </c>
      <c r="S21" s="248">
        <v>0.0</v>
      </c>
      <c r="T21" s="248">
        <v>0.0</v>
      </c>
      <c r="U21" s="249">
        <f>'Planned Expenses'!B294</f>
        <v>29000</v>
      </c>
      <c r="V21" s="249">
        <f>'Planned Expenses'!B305</f>
        <v>0</v>
      </c>
      <c r="W21" s="249">
        <f>'Planned Expenses'!B316</f>
        <v>0</v>
      </c>
      <c r="X21" s="249">
        <f>'Planned Expenses'!B327</f>
        <v>0</v>
      </c>
      <c r="Y21" s="249">
        <f>'Planned Expenses'!B338</f>
        <v>0</v>
      </c>
      <c r="Z21" s="249">
        <f>'Planned Expenses'!B349</f>
        <v>0</v>
      </c>
      <c r="AA21" s="249">
        <f>'Planned Expenses'!B360</f>
        <v>0</v>
      </c>
      <c r="AB21" s="249">
        <f>'Planned Expenses'!B371</f>
        <v>0</v>
      </c>
      <c r="AC21" s="249">
        <f>'Planned Expenses'!B382</f>
        <v>0</v>
      </c>
      <c r="AD21" s="249">
        <f>'Planned Expenses'!B393</f>
        <v>0</v>
      </c>
      <c r="AE21" s="249">
        <f>'Planned Expenses'!B404</f>
        <v>0</v>
      </c>
      <c r="AF21" s="249">
        <f>'Planned Expenses'!B415</f>
        <v>0</v>
      </c>
      <c r="AG21" s="249">
        <f>'Planned Expenses'!B426</f>
        <v>13000</v>
      </c>
      <c r="AH21" s="249">
        <f>'Planned Expenses'!B437</f>
        <v>24500</v>
      </c>
      <c r="AI21" s="249">
        <f>'Planned Expenses'!B448</f>
        <v>27500</v>
      </c>
      <c r="AJ21" s="249">
        <f>'Planned Expenses'!B459</f>
        <v>31000</v>
      </c>
      <c r="AK21" s="249">
        <f>'Planned Expenses'!B470</f>
        <v>35000</v>
      </c>
      <c r="AL21" s="249">
        <f>'Planned Expenses'!B481</f>
        <v>39500</v>
      </c>
      <c r="AM21" s="249">
        <f>'Planned Expenses'!B492</f>
        <v>44500</v>
      </c>
      <c r="AN21" s="249">
        <f>'Planned Expenses'!B503</f>
        <v>50000</v>
      </c>
      <c r="AO21" s="249">
        <f>'Planned Expenses'!B514</f>
        <v>56000</v>
      </c>
      <c r="AP21" s="249">
        <f>'Planned Expenses'!B525</f>
        <v>62500</v>
      </c>
      <c r="AQ21" s="249">
        <f>'Planned Expenses'!B536</f>
        <v>69500</v>
      </c>
      <c r="AR21" s="249">
        <f>'Planned Expenses'!B547</f>
        <v>77000</v>
      </c>
      <c r="AS21" s="249">
        <f>'Planned Expenses'!B558</f>
        <v>85000</v>
      </c>
      <c r="AT21" s="249">
        <f>'Planned Expenses'!B569</f>
        <v>93500</v>
      </c>
      <c r="AU21" s="249">
        <f>'Planned Expenses'!B580</f>
        <v>102500</v>
      </c>
      <c r="AV21" s="249">
        <f>'Planned Expenses'!B591</f>
        <v>112000</v>
      </c>
      <c r="AW21" s="249">
        <f>'Planned Expenses'!B602</f>
        <v>122000</v>
      </c>
      <c r="AX21" s="249">
        <f>'Planned Expenses'!B613</f>
        <v>132500</v>
      </c>
      <c r="AY21" s="249">
        <f>'Planned Expenses'!B624</f>
        <v>143500</v>
      </c>
      <c r="AZ21" s="249">
        <f>'Planned Expenses'!B635</f>
        <v>155000</v>
      </c>
      <c r="BA21" s="249">
        <f>'Planned Expenses'!B646</f>
        <v>167000</v>
      </c>
      <c r="BB21" s="249">
        <f>'Planned Expenses'!B657</f>
        <v>179500</v>
      </c>
      <c r="BC21" s="249">
        <f>'Planned Expenses'!B668</f>
        <v>192500</v>
      </c>
      <c r="BD21" s="249">
        <f>'Planned Expenses'!B679</f>
        <v>206000</v>
      </c>
      <c r="BE21" s="249">
        <f>'Planned Expenses'!B690</f>
        <v>220000</v>
      </c>
      <c r="BF21" s="249">
        <f>'Planned Expenses'!B701</f>
        <v>234500</v>
      </c>
      <c r="BG21" s="249">
        <f>'Planned Expenses'!B712</f>
        <v>249500</v>
      </c>
      <c r="BH21" s="249">
        <f>'Planned Expenses'!B723</f>
        <v>265000</v>
      </c>
      <c r="BI21" s="249">
        <f>'Planned Expenses'!B734</f>
        <v>281000</v>
      </c>
      <c r="BJ21" s="249">
        <f>'Planned Expenses'!B745</f>
        <v>297500</v>
      </c>
      <c r="BK21" s="249">
        <f>'Planned Expenses'!B756</f>
        <v>314500</v>
      </c>
      <c r="BL21" s="249">
        <f>'Planned Expenses'!B767</f>
        <v>332000</v>
      </c>
      <c r="BM21" s="249">
        <f>'Planned Expenses'!B778</f>
        <v>350000</v>
      </c>
      <c r="BN21" s="249">
        <f>'Planned Expenses'!B789</f>
        <v>368500</v>
      </c>
      <c r="BO21" s="249">
        <f>'Planned Expenses'!B800</f>
        <v>387500</v>
      </c>
      <c r="BP21" s="249">
        <f>'Planned Expenses'!B811</f>
        <v>407000</v>
      </c>
      <c r="BQ21" s="249">
        <f>'Planned Expenses'!B822</f>
        <v>427000</v>
      </c>
      <c r="BR21" s="249">
        <f>'Planned Expenses'!B833</f>
        <v>447500</v>
      </c>
      <c r="BS21" s="249">
        <f>'Planned Expenses'!B844</f>
        <v>468500</v>
      </c>
      <c r="BT21" s="249">
        <f>'Planned Expenses'!B855</f>
        <v>490000</v>
      </c>
      <c r="BU21" s="249">
        <f>'Planned Expenses'!B866</f>
        <v>512000</v>
      </c>
      <c r="BV21" s="249">
        <f>'Planned Expenses'!B877</f>
        <v>534500</v>
      </c>
      <c r="BW21" s="249">
        <f>'Planned Expenses'!B888</f>
        <v>557500</v>
      </c>
      <c r="BX21" s="249">
        <f>'Planned Expenses'!B899</f>
        <v>581000</v>
      </c>
      <c r="BY21" s="249">
        <f>'Planned Expenses'!B910</f>
        <v>605000</v>
      </c>
      <c r="BZ21" s="249">
        <f>'Planned Expenses'!B921</f>
        <v>629500</v>
      </c>
      <c r="CA21" s="249">
        <f>'Planned Expenses'!B932</f>
        <v>654000</v>
      </c>
      <c r="CB21" s="249">
        <f>'Planned Expenses'!B943</f>
        <v>678500</v>
      </c>
      <c r="CC21" s="249">
        <f>'Planned Expenses'!B954</f>
        <v>703000</v>
      </c>
      <c r="CD21" s="249">
        <f>'Planned Expenses'!B965</f>
        <v>727500</v>
      </c>
      <c r="CE21" s="249">
        <f>'Planned Expenses'!B976</f>
        <v>752000</v>
      </c>
      <c r="CF21" s="249">
        <f>'Planned Expenses'!B987</f>
        <v>776500</v>
      </c>
      <c r="CG21" s="249">
        <f>'Planned Expenses'!B998</f>
        <v>801000</v>
      </c>
      <c r="CH21" s="249">
        <f>'Planned Expenses'!B1009</f>
        <v>825500</v>
      </c>
      <c r="CI21" s="249">
        <f>'Planned Expenses'!B1020</f>
        <v>850500</v>
      </c>
      <c r="CJ21" s="249">
        <f>'Planned Expenses'!B1031</f>
        <v>876000</v>
      </c>
      <c r="CK21" s="249">
        <f>'Planned Expenses'!B1042</f>
        <v>902000</v>
      </c>
      <c r="CL21" s="249">
        <f>'Planned Expenses'!B1053</f>
        <v>928500</v>
      </c>
      <c r="CM21" s="249">
        <f>'Planned Expenses'!B1064</f>
        <v>955500</v>
      </c>
      <c r="CN21" s="249">
        <f>'Planned Expenses'!B1075</f>
        <v>982500</v>
      </c>
      <c r="CO21" s="249">
        <f>'Planned Expenses'!B1086</f>
        <v>1009500</v>
      </c>
      <c r="CP21" s="249">
        <f>'Planned Expenses'!B1097</f>
        <v>1036500</v>
      </c>
    </row>
    <row r="22">
      <c r="A22" s="238" t="s">
        <v>280</v>
      </c>
      <c r="B22" s="239">
        <f t="shared" ref="B22:CP22" si="31">sum(B19:B21)</f>
        <v>18000</v>
      </c>
      <c r="C22" s="239">
        <f t="shared" si="31"/>
        <v>24000</v>
      </c>
      <c r="D22" s="239">
        <f t="shared" si="31"/>
        <v>30000</v>
      </c>
      <c r="E22" s="239">
        <f t="shared" si="31"/>
        <v>0</v>
      </c>
      <c r="F22" s="239">
        <f t="shared" si="31"/>
        <v>10800</v>
      </c>
      <c r="G22" s="239">
        <f t="shared" si="31"/>
        <v>0</v>
      </c>
      <c r="H22" s="239">
        <f t="shared" si="31"/>
        <v>0</v>
      </c>
      <c r="I22" s="239">
        <f t="shared" si="31"/>
        <v>0</v>
      </c>
      <c r="J22" s="239">
        <f t="shared" si="31"/>
        <v>0</v>
      </c>
      <c r="K22" s="239">
        <f t="shared" si="31"/>
        <v>0</v>
      </c>
      <c r="L22" s="239">
        <f t="shared" si="31"/>
        <v>0</v>
      </c>
      <c r="M22" s="239">
        <f t="shared" si="31"/>
        <v>0</v>
      </c>
      <c r="N22" s="239">
        <f t="shared" si="31"/>
        <v>0</v>
      </c>
      <c r="O22" s="239">
        <f t="shared" si="31"/>
        <v>0</v>
      </c>
      <c r="P22" s="239">
        <f t="shared" si="31"/>
        <v>0</v>
      </c>
      <c r="Q22" s="239">
        <f t="shared" si="31"/>
        <v>0</v>
      </c>
      <c r="R22" s="239">
        <f t="shared" si="31"/>
        <v>0</v>
      </c>
      <c r="S22" s="239">
        <f t="shared" si="31"/>
        <v>0</v>
      </c>
      <c r="T22" s="239">
        <f t="shared" si="31"/>
        <v>0</v>
      </c>
      <c r="U22" s="246">
        <f t="shared" si="31"/>
        <v>64441.75</v>
      </c>
      <c r="V22" s="246">
        <f t="shared" si="31"/>
        <v>12282</v>
      </c>
      <c r="W22" s="246">
        <f t="shared" si="31"/>
        <v>75350.04</v>
      </c>
      <c r="X22" s="246">
        <f t="shared" si="31"/>
        <v>86178.85</v>
      </c>
      <c r="Y22" s="246">
        <f t="shared" si="31"/>
        <v>136769.87</v>
      </c>
      <c r="Z22" s="246">
        <f t="shared" si="31"/>
        <v>148220.83</v>
      </c>
      <c r="AA22" s="246">
        <f t="shared" si="31"/>
        <v>38355.87</v>
      </c>
      <c r="AB22" s="246">
        <f t="shared" si="31"/>
        <v>4671.78</v>
      </c>
      <c r="AC22" s="246">
        <f t="shared" si="31"/>
        <v>0</v>
      </c>
      <c r="AD22" s="246">
        <f t="shared" si="31"/>
        <v>54732.34</v>
      </c>
      <c r="AE22" s="246">
        <f t="shared" si="31"/>
        <v>67019.95</v>
      </c>
      <c r="AF22" s="246">
        <f t="shared" si="31"/>
        <v>11649.34</v>
      </c>
      <c r="AG22" s="246">
        <f t="shared" si="31"/>
        <v>26113.85</v>
      </c>
      <c r="AH22" s="246">
        <f t="shared" si="31"/>
        <v>55541</v>
      </c>
      <c r="AI22" s="246">
        <f t="shared" si="31"/>
        <v>114780.32</v>
      </c>
      <c r="AJ22" s="246">
        <f t="shared" si="31"/>
        <v>172543.64</v>
      </c>
      <c r="AK22" s="246">
        <f t="shared" si="31"/>
        <v>234420.89</v>
      </c>
      <c r="AL22" s="246">
        <f t="shared" si="31"/>
        <v>290293.14</v>
      </c>
      <c r="AM22" s="246">
        <f t="shared" si="31"/>
        <v>361798.29</v>
      </c>
      <c r="AN22" s="246">
        <f t="shared" si="31"/>
        <v>437301.34</v>
      </c>
      <c r="AO22" s="246">
        <f t="shared" si="31"/>
        <v>477281.02</v>
      </c>
      <c r="AP22" s="246">
        <f t="shared" si="31"/>
        <v>554961.7</v>
      </c>
      <c r="AQ22" s="246">
        <f t="shared" si="31"/>
        <v>632941.38</v>
      </c>
      <c r="AR22" s="246">
        <f t="shared" si="31"/>
        <v>709921.06</v>
      </c>
      <c r="AS22" s="246">
        <f t="shared" si="31"/>
        <v>777126.13</v>
      </c>
      <c r="AT22" s="246">
        <f t="shared" si="31"/>
        <v>858198.09</v>
      </c>
      <c r="AU22" s="246">
        <f t="shared" si="31"/>
        <v>938270.05</v>
      </c>
      <c r="AV22" s="246">
        <f t="shared" si="31"/>
        <v>1031186.41</v>
      </c>
      <c r="AW22" s="246">
        <f t="shared" si="31"/>
        <v>1118102.77</v>
      </c>
      <c r="AX22" s="246">
        <f t="shared" si="31"/>
        <v>1181148.22</v>
      </c>
      <c r="AY22" s="246">
        <f t="shared" si="31"/>
        <v>1291841.7</v>
      </c>
      <c r="AZ22" s="246">
        <f t="shared" si="31"/>
        <v>1401535.08</v>
      </c>
      <c r="BA22" s="246">
        <f t="shared" si="31"/>
        <v>1510228.46</v>
      </c>
      <c r="BB22" s="246">
        <f t="shared" si="31"/>
        <v>1616621.84</v>
      </c>
      <c r="BC22" s="246">
        <f t="shared" si="31"/>
        <v>1723315.22</v>
      </c>
      <c r="BD22" s="246">
        <f t="shared" si="31"/>
        <v>1834008.6</v>
      </c>
      <c r="BE22" s="246">
        <f t="shared" si="31"/>
        <v>1928975.98</v>
      </c>
      <c r="BF22" s="246">
        <f t="shared" si="31"/>
        <v>2037669.36</v>
      </c>
      <c r="BG22" s="246">
        <f t="shared" si="31"/>
        <v>2140362.74</v>
      </c>
      <c r="BH22" s="246">
        <f t="shared" si="31"/>
        <v>2246556.12</v>
      </c>
      <c r="BI22" s="246">
        <f t="shared" si="31"/>
        <v>2351749.5</v>
      </c>
      <c r="BJ22" s="246">
        <f t="shared" si="31"/>
        <v>2450942.88</v>
      </c>
      <c r="BK22" s="246">
        <f t="shared" si="31"/>
        <v>2589832.998</v>
      </c>
      <c r="BL22" s="246">
        <f t="shared" si="31"/>
        <v>2727723.016</v>
      </c>
      <c r="BM22" s="246">
        <f t="shared" si="31"/>
        <v>2864613.034</v>
      </c>
      <c r="BN22" s="246">
        <f t="shared" si="31"/>
        <v>2999203.052</v>
      </c>
      <c r="BO22" s="246">
        <f t="shared" si="31"/>
        <v>3134093.07</v>
      </c>
      <c r="BP22" s="246">
        <f t="shared" si="31"/>
        <v>3267983.088</v>
      </c>
      <c r="BQ22" s="246">
        <f t="shared" si="31"/>
        <v>3381175.106</v>
      </c>
      <c r="BR22" s="246">
        <f t="shared" si="31"/>
        <v>3522355.124</v>
      </c>
      <c r="BS22" s="246">
        <f t="shared" si="31"/>
        <v>3662535.142</v>
      </c>
      <c r="BT22" s="246">
        <f t="shared" si="31"/>
        <v>3801215.16</v>
      </c>
      <c r="BU22" s="246">
        <f t="shared" si="31"/>
        <v>3938895.178</v>
      </c>
      <c r="BV22" s="246">
        <f t="shared" si="31"/>
        <v>4075575.196</v>
      </c>
      <c r="BW22" s="246">
        <f t="shared" si="31"/>
        <v>4228386.916</v>
      </c>
      <c r="BX22" s="246">
        <f t="shared" si="31"/>
        <v>4385198.536</v>
      </c>
      <c r="BY22" s="246">
        <f t="shared" si="31"/>
        <v>4541010.155</v>
      </c>
      <c r="BZ22" s="246">
        <f t="shared" si="31"/>
        <v>4694521.775</v>
      </c>
      <c r="CA22" s="246">
        <f t="shared" si="31"/>
        <v>4843333.395</v>
      </c>
      <c r="CB22" s="246">
        <f t="shared" si="31"/>
        <v>5011645.015</v>
      </c>
      <c r="CC22" s="246">
        <f t="shared" si="31"/>
        <v>5164230.635</v>
      </c>
      <c r="CD22" s="246">
        <f t="shared" si="31"/>
        <v>5330542.254</v>
      </c>
      <c r="CE22" s="246">
        <f t="shared" si="31"/>
        <v>5495853.874</v>
      </c>
      <c r="CF22" s="246">
        <f t="shared" si="31"/>
        <v>5659665.494</v>
      </c>
      <c r="CG22" s="246">
        <f t="shared" si="31"/>
        <v>5822477.114</v>
      </c>
      <c r="CH22" s="246">
        <f t="shared" si="31"/>
        <v>5984288.734</v>
      </c>
      <c r="CI22" s="246">
        <f t="shared" si="31"/>
        <v>6172417.215</v>
      </c>
      <c r="CJ22" s="246">
        <f t="shared" si="31"/>
        <v>6354545.597</v>
      </c>
      <c r="CK22" s="246">
        <f t="shared" si="31"/>
        <v>6535673.979</v>
      </c>
      <c r="CL22" s="246">
        <f t="shared" si="31"/>
        <v>6719502.361</v>
      </c>
      <c r="CM22" s="246">
        <f t="shared" si="31"/>
        <v>6903630.743</v>
      </c>
      <c r="CN22" s="246">
        <f t="shared" si="31"/>
        <v>7086759.124</v>
      </c>
      <c r="CO22" s="246">
        <f t="shared" si="31"/>
        <v>7254161.506</v>
      </c>
      <c r="CP22" s="246">
        <f t="shared" si="31"/>
        <v>7448059.888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9.0" topLeftCell="H20" activePane="bottomRight" state="frozen"/>
      <selection activeCell="H1" sqref="H1" pane="topRight"/>
      <selection activeCell="A20" sqref="A20" pane="bottomLeft"/>
      <selection activeCell="H20" sqref="H20" pane="bottomRight"/>
    </sheetView>
  </sheetViews>
  <sheetFormatPr customHeight="1" defaultColWidth="12.63" defaultRowHeight="15.75"/>
  <cols>
    <col customWidth="1" min="1" max="1" width="9.88"/>
    <col customWidth="1" min="2" max="3" width="10.38"/>
    <col customWidth="1" min="4" max="4" width="8.88"/>
    <col customWidth="1" min="5" max="6" width="10.75"/>
    <col customWidth="1" min="7" max="7" width="10.38"/>
    <col customWidth="1" min="8" max="8" width="10.5"/>
    <col customWidth="1" min="9" max="11" width="11.13"/>
    <col customWidth="1" min="12" max="15" width="10.88"/>
  </cols>
  <sheetData>
    <row r="1">
      <c r="A1" s="202"/>
      <c r="B1" s="202"/>
      <c r="C1" s="202"/>
      <c r="D1" s="202">
        <f>sum(H1:K1)</f>
        <v>0</v>
      </c>
      <c r="E1" s="204"/>
      <c r="F1" s="204"/>
      <c r="G1" s="204" t="s">
        <v>64</v>
      </c>
      <c r="H1" s="204"/>
      <c r="I1" s="204"/>
      <c r="J1" s="204"/>
      <c r="K1" s="204"/>
      <c r="L1" s="204"/>
      <c r="M1" s="204"/>
      <c r="N1" s="204"/>
      <c r="O1" s="204"/>
    </row>
    <row r="2">
      <c r="A2" s="202"/>
      <c r="B2" s="202">
        <v>4173.59</v>
      </c>
      <c r="C2" s="202"/>
      <c r="D2" s="202"/>
      <c r="E2" s="204"/>
      <c r="F2" s="204"/>
      <c r="G2" s="204" t="s">
        <v>223</v>
      </c>
      <c r="H2" s="204" t="s">
        <v>281</v>
      </c>
      <c r="I2" s="204" t="s">
        <v>282</v>
      </c>
      <c r="J2" s="204" t="s">
        <v>283</v>
      </c>
      <c r="K2" s="204" t="s">
        <v>284</v>
      </c>
      <c r="L2" s="204" t="s">
        <v>163</v>
      </c>
      <c r="M2" s="204" t="s">
        <v>163</v>
      </c>
      <c r="N2" s="204" t="s">
        <v>285</v>
      </c>
      <c r="O2" s="204" t="s">
        <v>286</v>
      </c>
    </row>
    <row r="3">
      <c r="A3" s="202"/>
      <c r="B3" s="202">
        <v>271.28</v>
      </c>
      <c r="C3" s="202"/>
      <c r="D3" s="202"/>
      <c r="E3" s="204"/>
      <c r="F3" s="204"/>
      <c r="G3" s="204" t="s">
        <v>175</v>
      </c>
      <c r="H3" s="202" t="s">
        <v>287</v>
      </c>
      <c r="I3" s="202" t="s">
        <v>155</v>
      </c>
      <c r="J3" s="202" t="s">
        <v>283</v>
      </c>
      <c r="K3" s="202" t="s">
        <v>157</v>
      </c>
      <c r="L3" s="202" t="s">
        <v>288</v>
      </c>
      <c r="M3" s="202" t="s">
        <v>288</v>
      </c>
      <c r="N3" s="202" t="s">
        <v>288</v>
      </c>
      <c r="O3" s="202"/>
    </row>
    <row r="4">
      <c r="A4" s="202"/>
      <c r="B4" s="202">
        <v>145822.76</v>
      </c>
      <c r="C4" s="202"/>
      <c r="D4" s="202"/>
      <c r="E4" s="204"/>
      <c r="F4" s="204"/>
      <c r="G4" s="204" t="s">
        <v>176</v>
      </c>
      <c r="H4" s="202"/>
      <c r="I4" s="202">
        <v>300000.0</v>
      </c>
      <c r="J4" s="202">
        <v>500000.0</v>
      </c>
      <c r="K4" s="202">
        <v>692275.0</v>
      </c>
      <c r="L4" s="202">
        <v>134000.0</v>
      </c>
      <c r="M4" s="202">
        <v>750000.0</v>
      </c>
      <c r="N4" s="202">
        <v>134000.0</v>
      </c>
      <c r="O4" s="202"/>
    </row>
    <row r="5" hidden="1">
      <c r="A5" s="202"/>
      <c r="B5" s="202"/>
      <c r="C5" s="202"/>
      <c r="D5" s="202"/>
      <c r="E5" s="204"/>
      <c r="F5" s="204"/>
      <c r="G5" s="204" t="s">
        <v>177</v>
      </c>
      <c r="H5" s="202"/>
      <c r="I5" s="202"/>
      <c r="J5" s="202"/>
      <c r="K5" s="202"/>
      <c r="L5" s="202"/>
      <c r="M5" s="202"/>
      <c r="N5" s="202"/>
      <c r="O5" s="202"/>
    </row>
    <row r="6" hidden="1">
      <c r="A6" s="202"/>
      <c r="B6" s="202"/>
      <c r="C6" s="202"/>
      <c r="D6" s="202"/>
      <c r="E6" s="204"/>
      <c r="F6" s="204"/>
      <c r="G6" s="204" t="s">
        <v>178</v>
      </c>
      <c r="H6" s="202"/>
      <c r="I6" s="202"/>
      <c r="J6" s="202"/>
      <c r="K6" s="202"/>
      <c r="L6" s="202"/>
      <c r="M6" s="202"/>
      <c r="N6" s="202"/>
      <c r="O6" s="202"/>
    </row>
    <row r="7" hidden="1">
      <c r="A7" s="202"/>
      <c r="B7" s="202"/>
      <c r="C7" s="202"/>
      <c r="D7" s="202"/>
      <c r="E7" s="204"/>
      <c r="F7" s="204"/>
      <c r="G7" s="204" t="s">
        <v>179</v>
      </c>
      <c r="H7" s="202"/>
      <c r="I7" s="202"/>
      <c r="J7" s="202"/>
      <c r="K7" s="202"/>
      <c r="L7" s="202"/>
      <c r="M7" s="202"/>
      <c r="N7" s="202"/>
      <c r="O7" s="202"/>
    </row>
    <row r="8" hidden="1">
      <c r="A8" s="202"/>
      <c r="B8" s="208">
        <v>45383.0</v>
      </c>
      <c r="C8" s="208"/>
      <c r="D8" s="202"/>
      <c r="E8" s="204"/>
      <c r="F8" s="204"/>
      <c r="G8" s="204" t="s">
        <v>245</v>
      </c>
      <c r="H8" s="208">
        <v>45231.0</v>
      </c>
      <c r="I8" s="210">
        <v>45018.0</v>
      </c>
      <c r="J8" s="210">
        <v>45018.0</v>
      </c>
      <c r="K8" s="210">
        <v>45018.0</v>
      </c>
      <c r="L8" s="210"/>
      <c r="M8" s="210"/>
      <c r="N8" s="210"/>
      <c r="O8" s="210"/>
    </row>
    <row r="9" hidden="1">
      <c r="A9" s="202"/>
      <c r="B9" s="202"/>
      <c r="C9" s="202"/>
      <c r="D9" s="202"/>
      <c r="E9" s="204"/>
      <c r="F9" s="204"/>
      <c r="G9" s="204" t="s">
        <v>246</v>
      </c>
      <c r="H9" s="208">
        <v>47757.0</v>
      </c>
      <c r="I9" s="210">
        <v>46814.0</v>
      </c>
      <c r="J9" s="210">
        <v>46814.0</v>
      </c>
      <c r="K9" s="210">
        <v>46814.0</v>
      </c>
      <c r="L9" s="210"/>
      <c r="M9" s="210"/>
      <c r="N9" s="210"/>
      <c r="O9" s="210"/>
    </row>
    <row r="10" hidden="1">
      <c r="A10" s="202"/>
      <c r="B10" s="202"/>
      <c r="C10" s="202"/>
      <c r="D10" s="202"/>
      <c r="E10" s="204"/>
      <c r="F10" s="204"/>
      <c r="G10" s="204" t="s">
        <v>182</v>
      </c>
      <c r="H10" s="202"/>
      <c r="I10" s="202"/>
      <c r="J10" s="202"/>
      <c r="K10" s="202"/>
      <c r="L10" s="202"/>
      <c r="M10" s="202"/>
      <c r="N10" s="202"/>
      <c r="O10" s="202"/>
    </row>
    <row r="11" hidden="1">
      <c r="A11" s="202"/>
      <c r="B11" s="202"/>
      <c r="C11" s="202"/>
      <c r="D11" s="202"/>
      <c r="E11" s="204"/>
      <c r="F11" s="204"/>
      <c r="G11" s="204" t="s">
        <v>247</v>
      </c>
      <c r="H11" s="188"/>
      <c r="I11" s="188"/>
      <c r="J11" s="188"/>
      <c r="K11" s="188"/>
      <c r="L11" s="188"/>
      <c r="M11" s="188"/>
      <c r="N11" s="188"/>
      <c r="O11" s="188"/>
    </row>
    <row r="12">
      <c r="A12" s="202"/>
      <c r="B12" s="202">
        <v>224954.0</v>
      </c>
      <c r="C12" s="202"/>
      <c r="D12" s="202"/>
      <c r="E12" s="204"/>
      <c r="F12" s="204"/>
      <c r="G12" s="204" t="s">
        <v>249</v>
      </c>
      <c r="H12" s="212">
        <f t="shared" ref="H12:K12" si="1">SUMIFS(H20:H117,$D20:$D117,"&gt;"&amp;#REF!)</f>
        <v>0</v>
      </c>
      <c r="I12" s="212">
        <f t="shared" si="1"/>
        <v>0</v>
      </c>
      <c r="J12" s="212">
        <f t="shared" si="1"/>
        <v>0</v>
      </c>
      <c r="K12" s="212">
        <f t="shared" si="1"/>
        <v>0</v>
      </c>
      <c r="L12" s="212">
        <v>60.0</v>
      </c>
      <c r="M12" s="212">
        <f>SUMIFS(M20:M117,$D20:$D117,"&gt;"&amp;#REF!)</f>
        <v>0</v>
      </c>
      <c r="N12" s="212">
        <v>60.0</v>
      </c>
      <c r="O12" s="212"/>
    </row>
    <row r="13">
      <c r="A13" s="202"/>
      <c r="B13" s="202"/>
      <c r="C13" s="202"/>
      <c r="D13" s="202"/>
      <c r="E13" s="204"/>
      <c r="F13" s="204"/>
      <c r="G13" s="204" t="s">
        <v>250</v>
      </c>
      <c r="H13" s="212">
        <f>COUNTIFs(H20:H117,"&gt;"&amp;0,$D20:$D117,"&gt;"&amp;#REF!)</f>
        <v>0</v>
      </c>
      <c r="I13" s="212">
        <v>48.0</v>
      </c>
      <c r="J13" s="212">
        <v>48.0</v>
      </c>
      <c r="K13" s="212">
        <f>COUNTIFs(K20:K117,"&gt;"&amp;0,$D20:$D117,"&gt;"&amp;#REF!)</f>
        <v>0</v>
      </c>
      <c r="L13" s="212">
        <v>60.0</v>
      </c>
      <c r="M13" s="212">
        <f>COUNTIFs(M20:M117,"&gt;"&amp;0,$D20:$D117,"&gt;"&amp;#REF!)</f>
        <v>0</v>
      </c>
      <c r="N13" s="212">
        <v>60.0</v>
      </c>
      <c r="O13" s="212"/>
    </row>
    <row r="14" hidden="1">
      <c r="A14" s="202"/>
      <c r="B14" s="202"/>
      <c r="C14" s="202"/>
      <c r="D14" s="202"/>
      <c r="E14" s="204"/>
      <c r="F14" s="204"/>
      <c r="G14" s="204" t="s">
        <v>251</v>
      </c>
      <c r="H14" s="213"/>
      <c r="I14" s="213"/>
      <c r="J14" s="213"/>
      <c r="K14" s="213"/>
      <c r="L14" s="213"/>
      <c r="M14" s="213"/>
      <c r="N14" s="213"/>
      <c r="O14" s="213"/>
    </row>
    <row r="15" hidden="1">
      <c r="A15" s="202"/>
      <c r="B15" s="202"/>
      <c r="C15" s="202"/>
      <c r="D15" s="202"/>
      <c r="E15" s="204"/>
      <c r="F15" s="204"/>
      <c r="G15" s="204" t="s">
        <v>252</v>
      </c>
      <c r="H15" s="212"/>
      <c r="I15" s="212"/>
      <c r="J15" s="212"/>
      <c r="K15" s="212"/>
      <c r="L15" s="212"/>
      <c r="M15" s="212"/>
      <c r="N15" s="212"/>
      <c r="O15" s="212"/>
    </row>
    <row r="16" hidden="1">
      <c r="A16" s="202"/>
      <c r="B16" s="202"/>
      <c r="C16" s="202"/>
      <c r="D16" s="202"/>
      <c r="E16" s="204"/>
      <c r="F16" s="204"/>
      <c r="G16" s="204" t="s">
        <v>253</v>
      </c>
      <c r="H16" s="212"/>
      <c r="I16" s="212"/>
      <c r="J16" s="212"/>
      <c r="K16" s="212"/>
      <c r="L16" s="212"/>
      <c r="M16" s="212"/>
      <c r="N16" s="212"/>
      <c r="O16" s="212"/>
    </row>
    <row r="17" hidden="1">
      <c r="A17" s="202"/>
      <c r="B17" s="202"/>
      <c r="C17" s="202"/>
      <c r="D17" s="202"/>
      <c r="E17" s="204"/>
      <c r="F17" s="204"/>
      <c r="G17" s="204" t="s">
        <v>254</v>
      </c>
      <c r="H17" s="212"/>
      <c r="I17" s="212"/>
      <c r="J17" s="212"/>
      <c r="K17" s="212"/>
      <c r="L17" s="212"/>
      <c r="M17" s="212"/>
      <c r="N17" s="212"/>
      <c r="O17" s="212"/>
    </row>
    <row r="18">
      <c r="A18" s="202"/>
      <c r="D18" s="202"/>
      <c r="E18" s="204">
        <f t="shared" ref="E18:F18" si="2">sum(E20:E117)</f>
        <v>1197824</v>
      </c>
      <c r="F18" s="204">
        <f t="shared" si="2"/>
        <v>1729874</v>
      </c>
      <c r="G18" s="204" t="s">
        <v>255</v>
      </c>
      <c r="H18" s="212">
        <v>12770.0</v>
      </c>
      <c r="I18" s="212">
        <v>9290.0</v>
      </c>
      <c r="J18" s="212">
        <v>9290.0</v>
      </c>
      <c r="K18" s="212">
        <v>15577.0</v>
      </c>
      <c r="L18" s="212">
        <v>2972.0</v>
      </c>
      <c r="M18" s="212">
        <v>1674.0</v>
      </c>
      <c r="N18" s="212">
        <v>7000.0</v>
      </c>
      <c r="O18" s="212">
        <v>2500.0</v>
      </c>
    </row>
    <row r="19">
      <c r="A19" s="202" t="s">
        <v>256</v>
      </c>
      <c r="B19" s="204" t="s">
        <v>257</v>
      </c>
      <c r="C19" s="204" t="s">
        <v>109</v>
      </c>
      <c r="D19" s="204">
        <f>sumif(G20:G117,"Future",B20:B117)</f>
        <v>2366752</v>
      </c>
      <c r="E19" s="202" t="s">
        <v>289</v>
      </c>
      <c r="F19" s="202" t="s">
        <v>290</v>
      </c>
      <c r="G19" s="204" t="s">
        <v>174</v>
      </c>
      <c r="H19" s="202" t="s">
        <v>289</v>
      </c>
      <c r="I19" s="202" t="s">
        <v>290</v>
      </c>
      <c r="J19" s="202" t="s">
        <v>290</v>
      </c>
      <c r="K19" s="202" t="s">
        <v>290</v>
      </c>
      <c r="L19" s="202" t="s">
        <v>289</v>
      </c>
      <c r="M19" s="202" t="s">
        <v>289</v>
      </c>
      <c r="N19" s="202" t="s">
        <v>290</v>
      </c>
      <c r="O19" s="202" t="s">
        <v>290</v>
      </c>
    </row>
    <row r="20">
      <c r="A20" s="188">
        <f t="shared" ref="A20:A117" si="4">ceiling(sum(H20:O117)-sum(H20:O20),1)</f>
        <v>3253773</v>
      </c>
      <c r="B20" s="212">
        <f t="shared" ref="B20:B49" si="5">ceiling(sum(H20:O20),1)</f>
        <v>5900</v>
      </c>
      <c r="C20" s="212">
        <f t="shared" ref="C20:C117" si="6">sum(E20:F20)</f>
        <v>5900</v>
      </c>
      <c r="D20" s="215">
        <v>44805.0</v>
      </c>
      <c r="E20" s="202">
        <f t="shared" ref="E20:F20" si="3">sumif($H$19:O19,E$19,$H20:O20)</f>
        <v>5900</v>
      </c>
      <c r="F20" s="202">
        <f t="shared" si="3"/>
        <v>0</v>
      </c>
      <c r="G20" s="202" t="str">
        <f t="shared" ref="G20:G117" si="8">if(D20=DATE(year(today()),month(today()),1),"Current",if(D20&gt;DATE(year(today()),month(today()),1), "Future","Past"))</f>
        <v>Past</v>
      </c>
      <c r="H20" s="188"/>
      <c r="I20" s="188"/>
      <c r="J20" s="188"/>
      <c r="K20" s="188"/>
      <c r="L20" s="188"/>
      <c r="M20" s="188">
        <v>5900.0</v>
      </c>
      <c r="N20" s="188"/>
      <c r="O20" s="188"/>
    </row>
    <row r="21">
      <c r="A21" s="188">
        <f t="shared" si="4"/>
        <v>3247873</v>
      </c>
      <c r="B21" s="212">
        <f t="shared" si="5"/>
        <v>5900</v>
      </c>
      <c r="C21" s="212">
        <f t="shared" si="6"/>
        <v>5900</v>
      </c>
      <c r="D21" s="215">
        <v>44835.0</v>
      </c>
      <c r="E21" s="202">
        <f t="shared" ref="E21:F21" si="7">sumif($H$19:O20,E$19,$H21:O21)</f>
        <v>5900</v>
      </c>
      <c r="F21" s="202">
        <f t="shared" si="7"/>
        <v>0</v>
      </c>
      <c r="G21" s="202" t="str">
        <f t="shared" si="8"/>
        <v>Past</v>
      </c>
      <c r="H21" s="188"/>
      <c r="I21" s="188"/>
      <c r="J21" s="188"/>
      <c r="K21" s="188"/>
      <c r="L21" s="188"/>
      <c r="M21" s="188">
        <v>5900.0</v>
      </c>
      <c r="N21" s="188"/>
      <c r="O21" s="188"/>
    </row>
    <row r="22">
      <c r="A22" s="188">
        <f t="shared" si="4"/>
        <v>3241973</v>
      </c>
      <c r="B22" s="212">
        <f t="shared" si="5"/>
        <v>5900</v>
      </c>
      <c r="C22" s="212">
        <f t="shared" si="6"/>
        <v>5900</v>
      </c>
      <c r="D22" s="215">
        <v>44866.0</v>
      </c>
      <c r="E22" s="202">
        <f t="shared" ref="E22:F22" si="9">sumif($H$19:O21,E$19,$H22:O22)</f>
        <v>5900</v>
      </c>
      <c r="F22" s="202">
        <f t="shared" si="9"/>
        <v>0</v>
      </c>
      <c r="G22" s="202" t="str">
        <f t="shared" si="8"/>
        <v>Past</v>
      </c>
      <c r="H22" s="188"/>
      <c r="I22" s="188"/>
      <c r="J22" s="188"/>
      <c r="K22" s="188"/>
      <c r="L22" s="188"/>
      <c r="M22" s="188">
        <v>5900.0</v>
      </c>
      <c r="N22" s="188"/>
      <c r="O22" s="188"/>
    </row>
    <row r="23">
      <c r="A23" s="188">
        <f t="shared" si="4"/>
        <v>3236073</v>
      </c>
      <c r="B23" s="212">
        <f t="shared" si="5"/>
        <v>5900</v>
      </c>
      <c r="C23" s="212">
        <f t="shared" si="6"/>
        <v>5900</v>
      </c>
      <c r="D23" s="215">
        <v>44896.0</v>
      </c>
      <c r="E23" s="202">
        <f t="shared" ref="E23:F23" si="10">sumif($H$19:O22,E$19,$H23:O23)</f>
        <v>5900</v>
      </c>
      <c r="F23" s="202">
        <f t="shared" si="10"/>
        <v>0</v>
      </c>
      <c r="G23" s="202" t="str">
        <f t="shared" si="8"/>
        <v>Past</v>
      </c>
      <c r="H23" s="188"/>
      <c r="I23" s="188"/>
      <c r="J23" s="188"/>
      <c r="K23" s="188"/>
      <c r="L23" s="188"/>
      <c r="M23" s="188">
        <v>5900.0</v>
      </c>
      <c r="N23" s="188"/>
      <c r="O23" s="188"/>
    </row>
    <row r="24">
      <c r="A24" s="188">
        <f t="shared" si="4"/>
        <v>3230173</v>
      </c>
      <c r="B24" s="212">
        <f t="shared" si="5"/>
        <v>5900</v>
      </c>
      <c r="C24" s="212">
        <f t="shared" si="6"/>
        <v>5900</v>
      </c>
      <c r="D24" s="215">
        <v>44927.0</v>
      </c>
      <c r="E24" s="202">
        <f t="shared" ref="E24:F24" si="11">sumif($H$19:O23,E$19,$H24:O24)</f>
        <v>5900</v>
      </c>
      <c r="F24" s="202">
        <f t="shared" si="11"/>
        <v>0</v>
      </c>
      <c r="G24" s="202" t="str">
        <f t="shared" si="8"/>
        <v>Past</v>
      </c>
      <c r="H24" s="188"/>
      <c r="I24" s="188"/>
      <c r="J24" s="188"/>
      <c r="K24" s="188"/>
      <c r="L24" s="188"/>
      <c r="M24" s="188">
        <v>5900.0</v>
      </c>
      <c r="N24" s="188"/>
      <c r="O24" s="188"/>
    </row>
    <row r="25">
      <c r="A25" s="188">
        <f t="shared" si="4"/>
        <v>3224273</v>
      </c>
      <c r="B25" s="212">
        <f t="shared" si="5"/>
        <v>5900</v>
      </c>
      <c r="C25" s="212">
        <f t="shared" si="6"/>
        <v>5900</v>
      </c>
      <c r="D25" s="215">
        <v>44958.0</v>
      </c>
      <c r="E25" s="202">
        <f t="shared" ref="E25:F25" si="12">sumif($H$19:O24,E$19,$H25:O25)</f>
        <v>5900</v>
      </c>
      <c r="F25" s="202">
        <f t="shared" si="12"/>
        <v>0</v>
      </c>
      <c r="G25" s="202" t="str">
        <f t="shared" si="8"/>
        <v>Past</v>
      </c>
      <c r="H25" s="188"/>
      <c r="I25" s="188"/>
      <c r="J25" s="188"/>
      <c r="K25" s="188"/>
      <c r="L25" s="188"/>
      <c r="M25" s="188">
        <v>5900.0</v>
      </c>
      <c r="N25" s="188"/>
      <c r="O25" s="188"/>
    </row>
    <row r="26">
      <c r="A26" s="188">
        <f t="shared" si="4"/>
        <v>3218373</v>
      </c>
      <c r="B26" s="212">
        <f t="shared" si="5"/>
        <v>5900</v>
      </c>
      <c r="C26" s="212">
        <f t="shared" si="6"/>
        <v>5900</v>
      </c>
      <c r="D26" s="215">
        <v>44986.0</v>
      </c>
      <c r="E26" s="202">
        <f t="shared" ref="E26:F26" si="13">sumif($H$19:O25,E$19,$H26:O26)</f>
        <v>5900</v>
      </c>
      <c r="F26" s="202">
        <f t="shared" si="13"/>
        <v>0</v>
      </c>
      <c r="G26" s="202" t="str">
        <f t="shared" si="8"/>
        <v>Past</v>
      </c>
      <c r="H26" s="188"/>
      <c r="I26" s="188"/>
      <c r="J26" s="188"/>
      <c r="K26" s="188"/>
      <c r="L26" s="188"/>
      <c r="M26" s="188">
        <v>5900.0</v>
      </c>
      <c r="N26" s="188"/>
      <c r="O26" s="188"/>
    </row>
    <row r="27">
      <c r="A27" s="188">
        <f t="shared" si="4"/>
        <v>3196896</v>
      </c>
      <c r="B27" s="212">
        <f t="shared" si="5"/>
        <v>21477</v>
      </c>
      <c r="C27" s="212">
        <f t="shared" si="6"/>
        <v>21477</v>
      </c>
      <c r="D27" s="215">
        <v>45017.0</v>
      </c>
      <c r="E27" s="202">
        <f t="shared" ref="E27:F27" si="14">sumif($H$19:O26,E$19,$H27:O27)</f>
        <v>5900</v>
      </c>
      <c r="F27" s="202">
        <f t="shared" si="14"/>
        <v>15577</v>
      </c>
      <c r="G27" s="202" t="str">
        <f t="shared" si="8"/>
        <v>Past</v>
      </c>
      <c r="H27" s="188"/>
      <c r="I27" s="188"/>
      <c r="J27" s="188"/>
      <c r="K27" s="188">
        <f t="shared" ref="K27:K46" si="16">K$18</f>
        <v>15577</v>
      </c>
      <c r="L27" s="188"/>
      <c r="M27" s="188">
        <v>5900.0</v>
      </c>
      <c r="N27" s="188"/>
      <c r="O27" s="188"/>
    </row>
    <row r="28">
      <c r="A28" s="188">
        <f t="shared" si="4"/>
        <v>3175419</v>
      </c>
      <c r="B28" s="212">
        <f t="shared" si="5"/>
        <v>21477</v>
      </c>
      <c r="C28" s="212">
        <f t="shared" si="6"/>
        <v>21477</v>
      </c>
      <c r="D28" s="215">
        <v>45047.0</v>
      </c>
      <c r="E28" s="202">
        <f t="shared" ref="E28:F28" si="15">sumif($H$19:O27,E$19,$H28:O28)</f>
        <v>5900</v>
      </c>
      <c r="F28" s="202">
        <f t="shared" si="15"/>
        <v>15577</v>
      </c>
      <c r="G28" s="202" t="str">
        <f t="shared" si="8"/>
        <v>Past</v>
      </c>
      <c r="H28" s="188"/>
      <c r="I28" s="188"/>
      <c r="J28" s="188"/>
      <c r="K28" s="188">
        <f t="shared" si="16"/>
        <v>15577</v>
      </c>
      <c r="L28" s="188"/>
      <c r="M28" s="188">
        <v>5900.0</v>
      </c>
      <c r="N28" s="188"/>
      <c r="O28" s="188"/>
    </row>
    <row r="29">
      <c r="A29" s="188">
        <f t="shared" si="4"/>
        <v>3153942</v>
      </c>
      <c r="B29" s="212">
        <f t="shared" si="5"/>
        <v>21477</v>
      </c>
      <c r="C29" s="212">
        <f t="shared" si="6"/>
        <v>21477</v>
      </c>
      <c r="D29" s="215">
        <v>45078.0</v>
      </c>
      <c r="E29" s="202">
        <f t="shared" ref="E29:F29" si="17">sumif($H$19:O28,E$19,$H29:O29)</f>
        <v>5900</v>
      </c>
      <c r="F29" s="202">
        <f t="shared" si="17"/>
        <v>15577</v>
      </c>
      <c r="G29" s="202" t="str">
        <f t="shared" si="8"/>
        <v>Past</v>
      </c>
      <c r="H29" s="188"/>
      <c r="I29" s="188"/>
      <c r="J29" s="188"/>
      <c r="K29" s="188">
        <f t="shared" si="16"/>
        <v>15577</v>
      </c>
      <c r="L29" s="188"/>
      <c r="M29" s="188">
        <v>5900.0</v>
      </c>
      <c r="N29" s="188"/>
      <c r="O29" s="188"/>
    </row>
    <row r="30">
      <c r="A30" s="188">
        <f t="shared" si="4"/>
        <v>3132465</v>
      </c>
      <c r="B30" s="212">
        <f t="shared" si="5"/>
        <v>21477</v>
      </c>
      <c r="C30" s="212">
        <f t="shared" si="6"/>
        <v>21477</v>
      </c>
      <c r="D30" s="215">
        <v>45108.0</v>
      </c>
      <c r="E30" s="202">
        <f t="shared" ref="E30:F30" si="18">sumif($H$19:O29,E$19,$H30:O30)</f>
        <v>5900</v>
      </c>
      <c r="F30" s="202">
        <f t="shared" si="18"/>
        <v>15577</v>
      </c>
      <c r="G30" s="202" t="str">
        <f t="shared" si="8"/>
        <v>Past</v>
      </c>
      <c r="H30" s="188"/>
      <c r="I30" s="188"/>
      <c r="J30" s="188"/>
      <c r="K30" s="188">
        <f t="shared" si="16"/>
        <v>15577</v>
      </c>
      <c r="L30" s="188"/>
      <c r="M30" s="188">
        <v>5900.0</v>
      </c>
      <c r="N30" s="188"/>
      <c r="O30" s="188"/>
    </row>
    <row r="31">
      <c r="A31" s="188">
        <f t="shared" si="4"/>
        <v>3110988</v>
      </c>
      <c r="B31" s="212">
        <f t="shared" si="5"/>
        <v>21477</v>
      </c>
      <c r="C31" s="212">
        <f t="shared" si="6"/>
        <v>21477</v>
      </c>
      <c r="D31" s="215">
        <v>45139.0</v>
      </c>
      <c r="E31" s="202">
        <f t="shared" ref="E31:F31" si="19">sumif($H$19:O30,E$19,$H31:O31)</f>
        <v>5900</v>
      </c>
      <c r="F31" s="202">
        <f t="shared" si="19"/>
        <v>15577</v>
      </c>
      <c r="G31" s="202" t="str">
        <f t="shared" si="8"/>
        <v>Past</v>
      </c>
      <c r="H31" s="188"/>
      <c r="I31" s="188"/>
      <c r="J31" s="188"/>
      <c r="K31" s="188">
        <f t="shared" si="16"/>
        <v>15577</v>
      </c>
      <c r="L31" s="188"/>
      <c r="M31" s="188">
        <v>5900.0</v>
      </c>
      <c r="N31" s="188"/>
      <c r="O31" s="188"/>
    </row>
    <row r="32">
      <c r="A32" s="188">
        <f t="shared" si="4"/>
        <v>3089511</v>
      </c>
      <c r="B32" s="212">
        <f t="shared" si="5"/>
        <v>21477</v>
      </c>
      <c r="C32" s="212">
        <f t="shared" si="6"/>
        <v>21477</v>
      </c>
      <c r="D32" s="215">
        <v>45170.0</v>
      </c>
      <c r="E32" s="202">
        <f t="shared" ref="E32:F32" si="20">sumif($H$19:O31,E$19,$H32:O32)</f>
        <v>5900</v>
      </c>
      <c r="F32" s="202">
        <f t="shared" si="20"/>
        <v>15577</v>
      </c>
      <c r="G32" s="202" t="str">
        <f t="shared" si="8"/>
        <v>Past</v>
      </c>
      <c r="H32" s="188"/>
      <c r="I32" s="188"/>
      <c r="J32" s="188"/>
      <c r="K32" s="188">
        <f t="shared" si="16"/>
        <v>15577</v>
      </c>
      <c r="L32" s="188"/>
      <c r="M32" s="188">
        <v>5900.0</v>
      </c>
      <c r="N32" s="188"/>
      <c r="O32" s="188"/>
    </row>
    <row r="33">
      <c r="A33" s="188">
        <f t="shared" si="4"/>
        <v>3068034</v>
      </c>
      <c r="B33" s="212">
        <f t="shared" si="5"/>
        <v>21477</v>
      </c>
      <c r="C33" s="212">
        <f t="shared" si="6"/>
        <v>21477</v>
      </c>
      <c r="D33" s="215">
        <v>45200.0</v>
      </c>
      <c r="E33" s="202">
        <f t="shared" ref="E33:F33" si="21">sumif($H$19:O32,E$19,$H33:O33)</f>
        <v>5900</v>
      </c>
      <c r="F33" s="202">
        <f t="shared" si="21"/>
        <v>15577</v>
      </c>
      <c r="G33" s="202" t="str">
        <f t="shared" si="8"/>
        <v>Past</v>
      </c>
      <c r="H33" s="188"/>
      <c r="I33" s="188"/>
      <c r="J33" s="188"/>
      <c r="K33" s="188">
        <f t="shared" si="16"/>
        <v>15577</v>
      </c>
      <c r="L33" s="188"/>
      <c r="M33" s="188">
        <v>5900.0</v>
      </c>
      <c r="N33" s="188"/>
      <c r="O33" s="188"/>
    </row>
    <row r="34">
      <c r="A34" s="188">
        <f t="shared" si="4"/>
        <v>3033787</v>
      </c>
      <c r="B34" s="212">
        <f t="shared" si="5"/>
        <v>34247</v>
      </c>
      <c r="C34" s="212">
        <f t="shared" si="6"/>
        <v>34247</v>
      </c>
      <c r="D34" s="215">
        <v>45231.0</v>
      </c>
      <c r="E34" s="202">
        <f t="shared" ref="E34:F34" si="22">sumif($H$19:O33,E$19,$H34:O34)</f>
        <v>18670</v>
      </c>
      <c r="F34" s="202">
        <f t="shared" si="22"/>
        <v>15577</v>
      </c>
      <c r="G34" s="202" t="str">
        <f t="shared" si="8"/>
        <v>Past</v>
      </c>
      <c r="H34" s="188">
        <f t="shared" ref="H34:H46" si="24">H$18</f>
        <v>12770</v>
      </c>
      <c r="I34" s="188"/>
      <c r="J34" s="188"/>
      <c r="K34" s="188">
        <f t="shared" si="16"/>
        <v>15577</v>
      </c>
      <c r="L34" s="188"/>
      <c r="M34" s="188">
        <v>5900.0</v>
      </c>
      <c r="N34" s="188"/>
      <c r="O34" s="188"/>
    </row>
    <row r="35">
      <c r="A35" s="188">
        <f t="shared" si="4"/>
        <v>2999540</v>
      </c>
      <c r="B35" s="212">
        <f t="shared" si="5"/>
        <v>34247</v>
      </c>
      <c r="C35" s="212">
        <f t="shared" si="6"/>
        <v>34247</v>
      </c>
      <c r="D35" s="215">
        <v>45261.0</v>
      </c>
      <c r="E35" s="202">
        <f t="shared" ref="E35:F35" si="23">sumif($H$19:O34,E$19,$H35:O35)</f>
        <v>18670</v>
      </c>
      <c r="F35" s="202">
        <f t="shared" si="23"/>
        <v>15577</v>
      </c>
      <c r="G35" s="202" t="str">
        <f t="shared" si="8"/>
        <v>Past</v>
      </c>
      <c r="H35" s="188">
        <f t="shared" si="24"/>
        <v>12770</v>
      </c>
      <c r="I35" s="188"/>
      <c r="J35" s="188"/>
      <c r="K35" s="188">
        <f t="shared" si="16"/>
        <v>15577</v>
      </c>
      <c r="L35" s="188"/>
      <c r="M35" s="188">
        <v>5900.0</v>
      </c>
      <c r="N35" s="188"/>
      <c r="O35" s="188"/>
    </row>
    <row r="36">
      <c r="A36" s="188">
        <f t="shared" si="4"/>
        <v>2965293</v>
      </c>
      <c r="B36" s="212">
        <f t="shared" si="5"/>
        <v>34247</v>
      </c>
      <c r="C36" s="212">
        <f t="shared" si="6"/>
        <v>34247</v>
      </c>
      <c r="D36" s="215">
        <v>45292.0</v>
      </c>
      <c r="E36" s="202">
        <f t="shared" ref="E36:F36" si="25">sumif($H$19:O35,E$19,$H36:O36)</f>
        <v>18670</v>
      </c>
      <c r="F36" s="202">
        <f t="shared" si="25"/>
        <v>15577</v>
      </c>
      <c r="G36" s="202" t="str">
        <f t="shared" si="8"/>
        <v>Past</v>
      </c>
      <c r="H36" s="188">
        <f t="shared" si="24"/>
        <v>12770</v>
      </c>
      <c r="I36" s="188"/>
      <c r="J36" s="188"/>
      <c r="K36" s="188">
        <f t="shared" si="16"/>
        <v>15577</v>
      </c>
      <c r="L36" s="188"/>
      <c r="M36" s="188">
        <v>5900.0</v>
      </c>
      <c r="N36" s="188"/>
      <c r="O36" s="188"/>
    </row>
    <row r="37">
      <c r="A37" s="188">
        <f t="shared" si="4"/>
        <v>2931046</v>
      </c>
      <c r="B37" s="212">
        <f t="shared" si="5"/>
        <v>34247</v>
      </c>
      <c r="C37" s="212">
        <f t="shared" si="6"/>
        <v>34247</v>
      </c>
      <c r="D37" s="215">
        <v>45323.0</v>
      </c>
      <c r="E37" s="202">
        <f t="shared" ref="E37:F37" si="26">sumif($H$19:O36,E$19,$H37:O37)</f>
        <v>18670</v>
      </c>
      <c r="F37" s="202">
        <f t="shared" si="26"/>
        <v>15577</v>
      </c>
      <c r="G37" s="202" t="str">
        <f t="shared" si="8"/>
        <v>Past</v>
      </c>
      <c r="H37" s="188">
        <f t="shared" si="24"/>
        <v>12770</v>
      </c>
      <c r="I37" s="188"/>
      <c r="J37" s="188"/>
      <c r="K37" s="188">
        <f t="shared" si="16"/>
        <v>15577</v>
      </c>
      <c r="L37" s="188"/>
      <c r="M37" s="188">
        <v>5900.0</v>
      </c>
      <c r="N37" s="188"/>
      <c r="O37" s="188"/>
    </row>
    <row r="38">
      <c r="A38" s="188">
        <f t="shared" si="4"/>
        <v>2896799</v>
      </c>
      <c r="B38" s="212">
        <f t="shared" si="5"/>
        <v>34247</v>
      </c>
      <c r="C38" s="212">
        <f t="shared" si="6"/>
        <v>34247</v>
      </c>
      <c r="D38" s="215">
        <v>45352.0</v>
      </c>
      <c r="E38" s="202">
        <f t="shared" ref="E38:F38" si="27">sumif($H$19:O37,E$19,$H38:O38)</f>
        <v>18670</v>
      </c>
      <c r="F38" s="202">
        <f t="shared" si="27"/>
        <v>15577</v>
      </c>
      <c r="G38" s="202" t="str">
        <f t="shared" si="8"/>
        <v>Past</v>
      </c>
      <c r="H38" s="188">
        <f t="shared" si="24"/>
        <v>12770</v>
      </c>
      <c r="I38" s="188"/>
      <c r="J38" s="188"/>
      <c r="K38" s="188">
        <f t="shared" si="16"/>
        <v>15577</v>
      </c>
      <c r="L38" s="188"/>
      <c r="M38" s="188">
        <v>5900.0</v>
      </c>
      <c r="N38" s="188"/>
      <c r="O38" s="188"/>
    </row>
    <row r="39">
      <c r="A39" s="188">
        <f t="shared" si="4"/>
        <v>2862552</v>
      </c>
      <c r="B39" s="212">
        <f t="shared" si="5"/>
        <v>34247</v>
      </c>
      <c r="C39" s="212">
        <f t="shared" si="6"/>
        <v>34247</v>
      </c>
      <c r="D39" s="215">
        <v>45383.0</v>
      </c>
      <c r="E39" s="202">
        <f t="shared" ref="E39:F39" si="28">sumif($H$19:O38,E$19,$H39:O39)</f>
        <v>18670</v>
      </c>
      <c r="F39" s="202">
        <f t="shared" si="28"/>
        <v>15577</v>
      </c>
      <c r="G39" s="202" t="str">
        <f t="shared" si="8"/>
        <v>Past</v>
      </c>
      <c r="H39" s="188">
        <f t="shared" si="24"/>
        <v>12770</v>
      </c>
      <c r="I39" s="188"/>
      <c r="J39" s="188"/>
      <c r="K39" s="188">
        <f t="shared" si="16"/>
        <v>15577</v>
      </c>
      <c r="L39" s="188"/>
      <c r="M39" s="188">
        <v>5900.0</v>
      </c>
      <c r="N39" s="188"/>
      <c r="O39" s="188"/>
    </row>
    <row r="40">
      <c r="A40" s="188">
        <f t="shared" si="4"/>
        <v>2832531</v>
      </c>
      <c r="B40" s="212">
        <f t="shared" si="5"/>
        <v>30021</v>
      </c>
      <c r="C40" s="212">
        <f t="shared" si="6"/>
        <v>30021</v>
      </c>
      <c r="D40" s="215">
        <v>45413.0</v>
      </c>
      <c r="E40" s="202">
        <f t="shared" ref="E40:F40" si="29">sumif($H$19:O39,E$19,$H40:O40)</f>
        <v>14444</v>
      </c>
      <c r="F40" s="202">
        <f t="shared" si="29"/>
        <v>15577</v>
      </c>
      <c r="G40" s="202" t="str">
        <f t="shared" si="8"/>
        <v>Past</v>
      </c>
      <c r="H40" s="188">
        <f t="shared" si="24"/>
        <v>12770</v>
      </c>
      <c r="I40" s="188"/>
      <c r="J40" s="188"/>
      <c r="K40" s="188">
        <f t="shared" si="16"/>
        <v>15577</v>
      </c>
      <c r="L40" s="188"/>
      <c r="M40" s="188">
        <f t="shared" ref="M40:M42" si="31">M$18</f>
        <v>1674</v>
      </c>
      <c r="N40" s="188"/>
      <c r="O40" s="188"/>
    </row>
    <row r="41">
      <c r="A41" s="188">
        <f t="shared" si="4"/>
        <v>2802510</v>
      </c>
      <c r="B41" s="212">
        <f t="shared" si="5"/>
        <v>30021</v>
      </c>
      <c r="C41" s="212">
        <f t="shared" si="6"/>
        <v>30021</v>
      </c>
      <c r="D41" s="215">
        <v>45444.0</v>
      </c>
      <c r="E41" s="202">
        <f t="shared" ref="E41:F41" si="30">sumif($H$19:O40,E$19,$H41:O41)</f>
        <v>14444</v>
      </c>
      <c r="F41" s="202">
        <f t="shared" si="30"/>
        <v>15577</v>
      </c>
      <c r="G41" s="202" t="str">
        <f t="shared" si="8"/>
        <v>Past</v>
      </c>
      <c r="H41" s="188">
        <f t="shared" si="24"/>
        <v>12770</v>
      </c>
      <c r="I41" s="188"/>
      <c r="J41" s="188"/>
      <c r="K41" s="188">
        <f t="shared" si="16"/>
        <v>15577</v>
      </c>
      <c r="L41" s="188"/>
      <c r="M41" s="188">
        <f t="shared" si="31"/>
        <v>1674</v>
      </c>
      <c r="N41" s="188"/>
      <c r="O41" s="188"/>
    </row>
    <row r="42">
      <c r="A42" s="188">
        <f t="shared" si="4"/>
        <v>2772489</v>
      </c>
      <c r="B42" s="212">
        <f t="shared" si="5"/>
        <v>30021</v>
      </c>
      <c r="C42" s="212">
        <f t="shared" si="6"/>
        <v>30021</v>
      </c>
      <c r="D42" s="215">
        <v>45474.0</v>
      </c>
      <c r="E42" s="202">
        <f t="shared" ref="E42:F42" si="32">sumif($H$19:O41,E$19,$H42:O42)</f>
        <v>14444</v>
      </c>
      <c r="F42" s="202">
        <f t="shared" si="32"/>
        <v>15577</v>
      </c>
      <c r="G42" s="202" t="str">
        <f t="shared" si="8"/>
        <v>Past</v>
      </c>
      <c r="H42" s="188">
        <f t="shared" si="24"/>
        <v>12770</v>
      </c>
      <c r="I42" s="188"/>
      <c r="J42" s="188"/>
      <c r="K42" s="188">
        <f t="shared" si="16"/>
        <v>15577</v>
      </c>
      <c r="L42" s="188"/>
      <c r="M42" s="188">
        <f t="shared" si="31"/>
        <v>1674</v>
      </c>
      <c r="N42" s="188"/>
      <c r="O42" s="188"/>
    </row>
    <row r="43">
      <c r="A43" s="188">
        <f t="shared" si="4"/>
        <v>2743324</v>
      </c>
      <c r="B43" s="212">
        <f t="shared" si="5"/>
        <v>29165</v>
      </c>
      <c r="C43" s="212">
        <f t="shared" si="6"/>
        <v>29165</v>
      </c>
      <c r="D43" s="215">
        <v>45505.0</v>
      </c>
      <c r="E43" s="202">
        <f t="shared" ref="E43:F43" si="33">sumif($H$19:O42,E$19,$H43:O43)</f>
        <v>13588</v>
      </c>
      <c r="F43" s="202">
        <f t="shared" si="33"/>
        <v>15577</v>
      </c>
      <c r="G43" s="202" t="str">
        <f t="shared" si="8"/>
        <v>Past</v>
      </c>
      <c r="H43" s="188">
        <f t="shared" si="24"/>
        <v>12770</v>
      </c>
      <c r="I43" s="188"/>
      <c r="J43" s="188"/>
      <c r="K43" s="188">
        <f t="shared" si="16"/>
        <v>15577</v>
      </c>
      <c r="L43" s="188"/>
      <c r="M43" s="188">
        <v>818.0</v>
      </c>
      <c r="N43" s="188"/>
      <c r="O43" s="188"/>
    </row>
    <row r="44">
      <c r="A44" s="188">
        <f t="shared" si="4"/>
        <v>2714977</v>
      </c>
      <c r="B44" s="212">
        <f t="shared" si="5"/>
        <v>28347</v>
      </c>
      <c r="C44" s="212">
        <f t="shared" si="6"/>
        <v>28347</v>
      </c>
      <c r="D44" s="215">
        <v>45536.0</v>
      </c>
      <c r="E44" s="202">
        <f t="shared" ref="E44:F44" si="34">sumif($H$19:O43,E$19,$H44:O44)</f>
        <v>12770</v>
      </c>
      <c r="F44" s="202">
        <f t="shared" si="34"/>
        <v>15577</v>
      </c>
      <c r="G44" s="202" t="str">
        <f t="shared" si="8"/>
        <v>Past</v>
      </c>
      <c r="H44" s="188">
        <f t="shared" si="24"/>
        <v>12770</v>
      </c>
      <c r="I44" s="188"/>
      <c r="J44" s="188"/>
      <c r="K44" s="188">
        <f t="shared" si="16"/>
        <v>15577</v>
      </c>
      <c r="L44" s="218"/>
      <c r="M44" s="188">
        <v>0.0</v>
      </c>
      <c r="N44" s="218"/>
      <c r="O44" s="218"/>
    </row>
    <row r="45">
      <c r="A45" s="188">
        <f t="shared" si="4"/>
        <v>2686630</v>
      </c>
      <c r="B45" s="212">
        <f t="shared" si="5"/>
        <v>28347</v>
      </c>
      <c r="C45" s="212">
        <f t="shared" si="6"/>
        <v>28347</v>
      </c>
      <c r="D45" s="215">
        <v>45566.0</v>
      </c>
      <c r="E45" s="202">
        <f t="shared" ref="E45:F45" si="35">sumif($H$19:O44,E$19,$H45:O45)</f>
        <v>12770</v>
      </c>
      <c r="F45" s="202">
        <f t="shared" si="35"/>
        <v>15577</v>
      </c>
      <c r="G45" s="202" t="str">
        <f t="shared" si="8"/>
        <v>Past</v>
      </c>
      <c r="H45" s="188">
        <f t="shared" si="24"/>
        <v>12770</v>
      </c>
      <c r="I45" s="188"/>
      <c r="J45" s="188"/>
      <c r="K45" s="188">
        <f t="shared" si="16"/>
        <v>15577</v>
      </c>
      <c r="L45" s="188"/>
      <c r="M45" s="188">
        <v>0.0</v>
      </c>
      <c r="N45" s="188"/>
      <c r="O45" s="188"/>
    </row>
    <row r="46">
      <c r="A46" s="188">
        <f t="shared" si="4"/>
        <v>2648118</v>
      </c>
      <c r="B46" s="212">
        <f t="shared" si="5"/>
        <v>38512</v>
      </c>
      <c r="C46" s="212">
        <f t="shared" si="6"/>
        <v>0</v>
      </c>
      <c r="D46" s="215">
        <v>45597.0</v>
      </c>
      <c r="E46" s="202">
        <v>0.0</v>
      </c>
      <c r="F46" s="202">
        <v>0.0</v>
      </c>
      <c r="G46" s="202" t="str">
        <f t="shared" si="8"/>
        <v>Past</v>
      </c>
      <c r="H46" s="188">
        <f t="shared" si="24"/>
        <v>12770</v>
      </c>
      <c r="I46" s="188">
        <v>10165.0</v>
      </c>
      <c r="J46" s="188"/>
      <c r="K46" s="188">
        <f t="shared" si="16"/>
        <v>15577</v>
      </c>
      <c r="L46" s="188"/>
      <c r="M46" s="188">
        <v>0.0</v>
      </c>
      <c r="N46" s="188"/>
      <c r="O46" s="188"/>
    </row>
    <row r="47">
      <c r="A47" s="188">
        <f t="shared" si="4"/>
        <v>2648118</v>
      </c>
      <c r="B47" s="212">
        <f t="shared" si="5"/>
        <v>0</v>
      </c>
      <c r="C47" s="212">
        <f t="shared" si="6"/>
        <v>-24867</v>
      </c>
      <c r="D47" s="215">
        <v>45627.0</v>
      </c>
      <c r="E47" s="188">
        <f>sumif($H$19:O46,E$19,$H47:O47)-H47</f>
        <v>0</v>
      </c>
      <c r="F47" s="202">
        <f>sumif($H$19:O46,F$19,$H47:O47)-15577-9290</f>
        <v>-24867</v>
      </c>
      <c r="G47" s="202" t="str">
        <f t="shared" si="8"/>
        <v>Past</v>
      </c>
      <c r="H47" s="253"/>
      <c r="I47" s="253"/>
      <c r="J47" s="253"/>
      <c r="K47" s="253"/>
      <c r="L47" s="188"/>
      <c r="M47" s="188">
        <v>0.0</v>
      </c>
      <c r="N47" s="188"/>
      <c r="O47" s="188"/>
    </row>
    <row r="48">
      <c r="A48" s="188">
        <f t="shared" si="4"/>
        <v>2648118</v>
      </c>
      <c r="B48" s="212">
        <f t="shared" si="5"/>
        <v>0</v>
      </c>
      <c r="C48" s="212">
        <f t="shared" si="6"/>
        <v>0</v>
      </c>
      <c r="D48" s="215">
        <v>45658.0</v>
      </c>
      <c r="E48" s="202">
        <f t="shared" ref="E48:F48" si="36">sumif($H$19:O47,E$19,$H48:O48)</f>
        <v>0</v>
      </c>
      <c r="F48" s="202">
        <f t="shared" si="36"/>
        <v>0</v>
      </c>
      <c r="G48" s="202" t="str">
        <f t="shared" si="8"/>
        <v>Past</v>
      </c>
      <c r="H48" s="253"/>
      <c r="I48" s="253"/>
      <c r="J48" s="253"/>
      <c r="K48" s="253"/>
      <c r="L48" s="188"/>
      <c r="M48" s="188">
        <v>0.0</v>
      </c>
      <c r="N48" s="188"/>
      <c r="O48" s="188"/>
    </row>
    <row r="49">
      <c r="A49" s="188">
        <f t="shared" si="4"/>
        <v>2648118</v>
      </c>
      <c r="B49" s="212">
        <f t="shared" si="5"/>
        <v>0</v>
      </c>
      <c r="C49" s="212">
        <f t="shared" si="6"/>
        <v>0</v>
      </c>
      <c r="D49" s="215">
        <v>45689.0</v>
      </c>
      <c r="E49" s="202">
        <f t="shared" ref="E49:F49" si="37">sumif($H$19:O48,E$19,$H49:O49)</f>
        <v>0</v>
      </c>
      <c r="F49" s="202">
        <f t="shared" si="37"/>
        <v>0</v>
      </c>
      <c r="G49" s="202" t="str">
        <f t="shared" si="8"/>
        <v>Past</v>
      </c>
      <c r="H49" s="253"/>
      <c r="I49" s="253"/>
      <c r="J49" s="253"/>
      <c r="K49" s="253"/>
      <c r="L49" s="188"/>
      <c r="M49" s="188">
        <v>0.0</v>
      </c>
      <c r="N49" s="188"/>
      <c r="O49" s="188"/>
    </row>
    <row r="50">
      <c r="A50" s="188">
        <f t="shared" si="4"/>
        <v>2635348</v>
      </c>
      <c r="B50" s="212">
        <v>0.0</v>
      </c>
      <c r="C50" s="212">
        <f t="shared" si="6"/>
        <v>0</v>
      </c>
      <c r="D50" s="215">
        <v>45717.0</v>
      </c>
      <c r="E50" s="202">
        <v>0.0</v>
      </c>
      <c r="F50" s="202">
        <f>sumif($H$19:O49,F$19,$H50:O50)</f>
        <v>0</v>
      </c>
      <c r="G50" s="202" t="str">
        <f t="shared" si="8"/>
        <v>Past</v>
      </c>
      <c r="H50" s="188">
        <f t="shared" ref="H50:H117" si="38">H$18</f>
        <v>12770</v>
      </c>
      <c r="I50" s="188" t="s">
        <v>291</v>
      </c>
      <c r="J50" s="188"/>
      <c r="K50" s="188" t="s">
        <v>291</v>
      </c>
      <c r="L50" s="188"/>
      <c r="M50" s="188">
        <v>0.0</v>
      </c>
      <c r="N50" s="188"/>
      <c r="O50" s="188"/>
    </row>
    <row r="51">
      <c r="A51" s="188">
        <f t="shared" si="4"/>
        <v>2594739</v>
      </c>
      <c r="B51" s="212">
        <v>0.0</v>
      </c>
      <c r="C51" s="212">
        <f t="shared" si="6"/>
        <v>0</v>
      </c>
      <c r="D51" s="215">
        <v>45748.0</v>
      </c>
      <c r="E51" s="202">
        <v>0.0</v>
      </c>
      <c r="F51" s="202">
        <v>0.0</v>
      </c>
      <c r="G51" s="202" t="str">
        <f t="shared" si="8"/>
        <v>Past</v>
      </c>
      <c r="H51" s="188">
        <f t="shared" si="38"/>
        <v>12770</v>
      </c>
      <c r="I51" s="188">
        <f>I$18</f>
        <v>9290</v>
      </c>
      <c r="J51" s="188"/>
      <c r="K51" s="188">
        <f>K$18</f>
        <v>15577</v>
      </c>
      <c r="L51" s="188">
        <v>2972.0</v>
      </c>
      <c r="M51" s="188">
        <v>0.0</v>
      </c>
      <c r="N51" s="188"/>
      <c r="O51" s="188"/>
    </row>
    <row r="52">
      <c r="A52" s="188">
        <f t="shared" si="4"/>
        <v>2581969</v>
      </c>
      <c r="B52" s="212">
        <f t="shared" ref="B52:B117" si="39">ceiling(sum(H52:O52),1)</f>
        <v>12770</v>
      </c>
      <c r="C52" s="212">
        <f t="shared" si="6"/>
        <v>0</v>
      </c>
      <c r="D52" s="215">
        <v>45778.0</v>
      </c>
      <c r="E52" s="202">
        <v>0.0</v>
      </c>
      <c r="F52" s="202">
        <v>0.0</v>
      </c>
      <c r="G52" s="202" t="str">
        <f t="shared" si="8"/>
        <v>Past</v>
      </c>
      <c r="H52" s="188">
        <f t="shared" si="38"/>
        <v>12770</v>
      </c>
      <c r="I52" s="253">
        <v>0.0</v>
      </c>
      <c r="J52" s="253"/>
      <c r="K52" s="253">
        <v>0.0</v>
      </c>
      <c r="L52" s="253">
        <v>0.0</v>
      </c>
      <c r="M52" s="188">
        <v>0.0</v>
      </c>
      <c r="N52" s="253">
        <v>0.0</v>
      </c>
      <c r="O52" s="253">
        <v>0.0</v>
      </c>
    </row>
    <row r="53">
      <c r="A53" s="188">
        <f t="shared" si="4"/>
        <v>2566699</v>
      </c>
      <c r="B53" s="212">
        <f t="shared" si="39"/>
        <v>15270</v>
      </c>
      <c r="C53" s="212">
        <f t="shared" si="6"/>
        <v>0</v>
      </c>
      <c r="D53" s="215">
        <v>45809.0</v>
      </c>
      <c r="E53" s="202">
        <v>0.0</v>
      </c>
      <c r="F53" s="202">
        <v>0.0</v>
      </c>
      <c r="G53" s="202" t="str">
        <f t="shared" si="8"/>
        <v>Past</v>
      </c>
      <c r="H53" s="188">
        <f t="shared" si="38"/>
        <v>12770</v>
      </c>
      <c r="I53" s="188">
        <v>0.0</v>
      </c>
      <c r="J53" s="188"/>
      <c r="K53" s="188">
        <v>0.0</v>
      </c>
      <c r="L53" s="188">
        <v>0.0</v>
      </c>
      <c r="M53" s="188">
        <v>0.0</v>
      </c>
      <c r="N53" s="188">
        <v>0.0</v>
      </c>
      <c r="O53" s="188">
        <v>2500.0</v>
      </c>
    </row>
    <row r="54">
      <c r="A54" s="188">
        <f t="shared" si="4"/>
        <v>2516772</v>
      </c>
      <c r="B54" s="212">
        <f t="shared" si="39"/>
        <v>49927</v>
      </c>
      <c r="C54" s="212">
        <f t="shared" si="6"/>
        <v>0</v>
      </c>
      <c r="D54" s="215">
        <v>45839.0</v>
      </c>
      <c r="E54" s="202">
        <v>0.0</v>
      </c>
      <c r="F54" s="202">
        <v>0.0</v>
      </c>
      <c r="G54" s="202" t="str">
        <f t="shared" si="8"/>
        <v>Past</v>
      </c>
      <c r="H54" s="188">
        <f t="shared" si="38"/>
        <v>12770</v>
      </c>
      <c r="I54" s="188">
        <f t="shared" ref="I54:I57" si="40">I$18</f>
        <v>9290</v>
      </c>
      <c r="J54" s="188"/>
      <c r="K54" s="188">
        <f t="shared" ref="K54:K55" si="41">K$18</f>
        <v>15577</v>
      </c>
      <c r="L54" s="188">
        <v>2972.0</v>
      </c>
      <c r="M54" s="188">
        <v>0.0</v>
      </c>
      <c r="N54" s="188">
        <v>6818.0</v>
      </c>
      <c r="O54" s="188">
        <v>2500.0</v>
      </c>
    </row>
    <row r="55">
      <c r="A55" s="188">
        <f t="shared" si="4"/>
        <v>2476163</v>
      </c>
      <c r="B55" s="212">
        <f t="shared" si="39"/>
        <v>40609</v>
      </c>
      <c r="C55" s="212">
        <f t="shared" si="6"/>
        <v>0</v>
      </c>
      <c r="D55" s="215">
        <v>45870.0</v>
      </c>
      <c r="E55" s="202">
        <v>0.0</v>
      </c>
      <c r="F55" s="202">
        <v>0.0</v>
      </c>
      <c r="G55" s="202" t="str">
        <f t="shared" si="8"/>
        <v>Past</v>
      </c>
      <c r="H55" s="188">
        <f t="shared" si="38"/>
        <v>12770</v>
      </c>
      <c r="I55" s="188">
        <f t="shared" si="40"/>
        <v>9290</v>
      </c>
      <c r="J55" s="188"/>
      <c r="K55" s="188">
        <f t="shared" si="41"/>
        <v>15577</v>
      </c>
      <c r="L55" s="188">
        <v>2972.0</v>
      </c>
      <c r="M55" s="188">
        <v>0.0</v>
      </c>
      <c r="N55" s="188">
        <v>0.0</v>
      </c>
      <c r="O55" s="188">
        <v>0.0</v>
      </c>
    </row>
    <row r="56">
      <c r="A56" s="188">
        <f t="shared" si="4"/>
        <v>2435631</v>
      </c>
      <c r="B56" s="212">
        <f t="shared" si="39"/>
        <v>40532</v>
      </c>
      <c r="C56" s="212">
        <f t="shared" si="6"/>
        <v>0</v>
      </c>
      <c r="D56" s="215">
        <v>45901.0</v>
      </c>
      <c r="E56" s="202">
        <v>0.0</v>
      </c>
      <c r="F56" s="202">
        <v>0.0</v>
      </c>
      <c r="G56" s="202" t="str">
        <f t="shared" si="8"/>
        <v>Past</v>
      </c>
      <c r="H56" s="188">
        <f t="shared" si="38"/>
        <v>12770</v>
      </c>
      <c r="I56" s="188">
        <f t="shared" si="40"/>
        <v>9290</v>
      </c>
      <c r="J56" s="188">
        <v>15500.0</v>
      </c>
      <c r="K56" s="188">
        <v>0.0</v>
      </c>
      <c r="L56" s="188">
        <v>2972.0</v>
      </c>
      <c r="M56" s="188">
        <v>0.0</v>
      </c>
      <c r="N56" s="188">
        <v>0.0</v>
      </c>
      <c r="O56" s="188">
        <v>0.0</v>
      </c>
    </row>
    <row r="57">
      <c r="A57" s="188">
        <f t="shared" si="4"/>
        <v>2379522</v>
      </c>
      <c r="B57" s="212">
        <f t="shared" si="39"/>
        <v>56109</v>
      </c>
      <c r="C57" s="212">
        <f t="shared" si="6"/>
        <v>0</v>
      </c>
      <c r="D57" s="215">
        <v>45931.0</v>
      </c>
      <c r="E57" s="202">
        <v>0.0</v>
      </c>
      <c r="F57" s="202">
        <v>0.0</v>
      </c>
      <c r="G57" s="202" t="str">
        <f t="shared" si="8"/>
        <v>Past</v>
      </c>
      <c r="H57" s="188">
        <f t="shared" si="38"/>
        <v>12770</v>
      </c>
      <c r="I57" s="188">
        <f t="shared" si="40"/>
        <v>9290</v>
      </c>
      <c r="J57" s="188">
        <v>15500.0</v>
      </c>
      <c r="K57" s="188">
        <f>K$18</f>
        <v>15577</v>
      </c>
      <c r="L57" s="188">
        <v>2972.0</v>
      </c>
      <c r="M57" s="188">
        <v>0.0</v>
      </c>
      <c r="N57" s="188">
        <v>0.0</v>
      </c>
      <c r="O57" s="188">
        <v>0.0</v>
      </c>
    </row>
    <row r="58">
      <c r="A58" s="188">
        <f t="shared" si="4"/>
        <v>2366752</v>
      </c>
      <c r="B58" s="212">
        <f t="shared" si="39"/>
        <v>12770</v>
      </c>
      <c r="C58" s="212">
        <f t="shared" si="6"/>
        <v>12770</v>
      </c>
      <c r="D58" s="215">
        <v>45962.0</v>
      </c>
      <c r="E58" s="202">
        <f t="shared" ref="E58:F58" si="42">sumif($H$19:O57,E$19,$H58:O58)</f>
        <v>12770</v>
      </c>
      <c r="F58" s="202">
        <f t="shared" si="42"/>
        <v>0</v>
      </c>
      <c r="G58" s="202" t="str">
        <f t="shared" si="8"/>
        <v>Current</v>
      </c>
      <c r="H58" s="188">
        <f t="shared" si="38"/>
        <v>12770</v>
      </c>
      <c r="I58" s="188" t="str">
        <f>"PAID "&amp;I$18</f>
        <v>PAID 9290</v>
      </c>
      <c r="J58" s="188" t="str">
        <f>"PAID "&amp;15500</f>
        <v>PAID 15500</v>
      </c>
      <c r="K58" s="188" t="str">
        <f>"PAID"&amp;K$18</f>
        <v>PAID15577</v>
      </c>
      <c r="L58" s="188" t="str">
        <f>"PAID "&amp;2972</f>
        <v>PAID 2972</v>
      </c>
      <c r="M58" s="188">
        <v>0.0</v>
      </c>
      <c r="N58" s="188">
        <v>0.0</v>
      </c>
      <c r="O58" s="188">
        <v>0.0</v>
      </c>
    </row>
    <row r="59">
      <c r="A59" s="188">
        <f t="shared" si="4"/>
        <v>2310643</v>
      </c>
      <c r="B59" s="212">
        <f t="shared" si="39"/>
        <v>56109</v>
      </c>
      <c r="C59" s="212">
        <f t="shared" si="6"/>
        <v>56109</v>
      </c>
      <c r="D59" s="215">
        <v>45992.0</v>
      </c>
      <c r="E59" s="202">
        <f t="shared" ref="E59:F59" si="43">sumif($H$19:O58,E$19,$H59:O59)</f>
        <v>15742</v>
      </c>
      <c r="F59" s="202">
        <f t="shared" si="43"/>
        <v>40367</v>
      </c>
      <c r="G59" s="202" t="str">
        <f t="shared" si="8"/>
        <v>Future</v>
      </c>
      <c r="H59" s="188">
        <f t="shared" si="38"/>
        <v>12770</v>
      </c>
      <c r="I59" s="188">
        <f t="shared" ref="I59:I92" si="45">I$18</f>
        <v>9290</v>
      </c>
      <c r="J59" s="188">
        <v>15500.0</v>
      </c>
      <c r="K59" s="188">
        <f t="shared" ref="K59:K86" si="46">K$18</f>
        <v>15577</v>
      </c>
      <c r="L59" s="188">
        <v>2972.0</v>
      </c>
      <c r="M59" s="188">
        <v>0.0</v>
      </c>
      <c r="N59" s="188">
        <v>0.0</v>
      </c>
      <c r="O59" s="188">
        <v>0.0</v>
      </c>
    </row>
    <row r="60">
      <c r="A60" s="188">
        <f t="shared" si="4"/>
        <v>2254534</v>
      </c>
      <c r="B60" s="212">
        <f t="shared" si="39"/>
        <v>56109</v>
      </c>
      <c r="C60" s="212">
        <f t="shared" si="6"/>
        <v>56109</v>
      </c>
      <c r="D60" s="215">
        <v>46023.0</v>
      </c>
      <c r="E60" s="202">
        <f t="shared" ref="E60:F60" si="44">sumif($H$19:O59,E$19,$H60:O60)</f>
        <v>15742</v>
      </c>
      <c r="F60" s="202">
        <f t="shared" si="44"/>
        <v>40367</v>
      </c>
      <c r="G60" s="202" t="str">
        <f t="shared" si="8"/>
        <v>Future</v>
      </c>
      <c r="H60" s="188">
        <f t="shared" si="38"/>
        <v>12770</v>
      </c>
      <c r="I60" s="188">
        <f t="shared" si="45"/>
        <v>9290</v>
      </c>
      <c r="J60" s="188">
        <v>15500.0</v>
      </c>
      <c r="K60" s="188">
        <f t="shared" si="46"/>
        <v>15577</v>
      </c>
      <c r="L60" s="188">
        <v>2972.0</v>
      </c>
      <c r="M60" s="188">
        <v>0.0</v>
      </c>
      <c r="N60" s="188">
        <v>0.0</v>
      </c>
      <c r="O60" s="188">
        <v>0.0</v>
      </c>
    </row>
    <row r="61">
      <c r="A61" s="188">
        <f t="shared" si="4"/>
        <v>2198425</v>
      </c>
      <c r="B61" s="212">
        <f t="shared" si="39"/>
        <v>56109</v>
      </c>
      <c r="C61" s="212">
        <f t="shared" si="6"/>
        <v>56109</v>
      </c>
      <c r="D61" s="215">
        <v>46054.0</v>
      </c>
      <c r="E61" s="202">
        <f t="shared" ref="E61:F61" si="47">sumif($H$19:O60,E$19,$H61:O61)</f>
        <v>15742</v>
      </c>
      <c r="F61" s="202">
        <f t="shared" si="47"/>
        <v>40367</v>
      </c>
      <c r="G61" s="202" t="str">
        <f t="shared" si="8"/>
        <v>Future</v>
      </c>
      <c r="H61" s="188">
        <f t="shared" si="38"/>
        <v>12770</v>
      </c>
      <c r="I61" s="188">
        <f t="shared" si="45"/>
        <v>9290</v>
      </c>
      <c r="J61" s="188">
        <v>15500.0</v>
      </c>
      <c r="K61" s="188">
        <f t="shared" si="46"/>
        <v>15577</v>
      </c>
      <c r="L61" s="188">
        <v>2972.0</v>
      </c>
      <c r="M61" s="188">
        <v>0.0</v>
      </c>
      <c r="N61" s="188">
        <v>0.0</v>
      </c>
      <c r="O61" s="188">
        <v>0.0</v>
      </c>
    </row>
    <row r="62">
      <c r="A62" s="188">
        <f t="shared" si="4"/>
        <v>2142316</v>
      </c>
      <c r="B62" s="212">
        <f t="shared" si="39"/>
        <v>56109</v>
      </c>
      <c r="C62" s="212">
        <f t="shared" si="6"/>
        <v>56109</v>
      </c>
      <c r="D62" s="215">
        <v>46082.0</v>
      </c>
      <c r="E62" s="202">
        <f t="shared" ref="E62:F62" si="48">sumif($H$19:O61,E$19,$H62:O62)</f>
        <v>15742</v>
      </c>
      <c r="F62" s="202">
        <f t="shared" si="48"/>
        <v>40367</v>
      </c>
      <c r="G62" s="202" t="str">
        <f t="shared" si="8"/>
        <v>Future</v>
      </c>
      <c r="H62" s="188">
        <f t="shared" si="38"/>
        <v>12770</v>
      </c>
      <c r="I62" s="188">
        <f t="shared" si="45"/>
        <v>9290</v>
      </c>
      <c r="J62" s="188">
        <v>15500.0</v>
      </c>
      <c r="K62" s="188">
        <f t="shared" si="46"/>
        <v>15577</v>
      </c>
      <c r="L62" s="188">
        <v>2972.0</v>
      </c>
      <c r="M62" s="188">
        <v>0.0</v>
      </c>
      <c r="N62" s="188">
        <v>0.0</v>
      </c>
      <c r="O62" s="188">
        <v>0.0</v>
      </c>
    </row>
    <row r="63">
      <c r="A63" s="188">
        <f t="shared" si="4"/>
        <v>2086207</v>
      </c>
      <c r="B63" s="212">
        <f t="shared" si="39"/>
        <v>56109</v>
      </c>
      <c r="C63" s="212">
        <f t="shared" si="6"/>
        <v>56109</v>
      </c>
      <c r="D63" s="215">
        <v>46113.0</v>
      </c>
      <c r="E63" s="202">
        <f t="shared" ref="E63:F63" si="49">sumif($H$19:O62,E$19,$H63:O63)</f>
        <v>15742</v>
      </c>
      <c r="F63" s="202">
        <f t="shared" si="49"/>
        <v>40367</v>
      </c>
      <c r="G63" s="202" t="str">
        <f t="shared" si="8"/>
        <v>Future</v>
      </c>
      <c r="H63" s="188">
        <f t="shared" si="38"/>
        <v>12770</v>
      </c>
      <c r="I63" s="188">
        <f t="shared" si="45"/>
        <v>9290</v>
      </c>
      <c r="J63" s="188">
        <v>15500.0</v>
      </c>
      <c r="K63" s="188">
        <f t="shared" si="46"/>
        <v>15577</v>
      </c>
      <c r="L63" s="188">
        <v>2972.0</v>
      </c>
      <c r="M63" s="188">
        <v>0.0</v>
      </c>
      <c r="N63" s="188">
        <v>0.0</v>
      </c>
      <c r="O63" s="188">
        <v>0.0</v>
      </c>
    </row>
    <row r="64">
      <c r="A64" s="188">
        <f t="shared" si="4"/>
        <v>2030098</v>
      </c>
      <c r="B64" s="212">
        <f t="shared" si="39"/>
        <v>56109</v>
      </c>
      <c r="C64" s="212">
        <f t="shared" si="6"/>
        <v>56109</v>
      </c>
      <c r="D64" s="215">
        <v>46143.0</v>
      </c>
      <c r="E64" s="202">
        <f t="shared" ref="E64:F64" si="50">sumif($H$19:O63,E$19,$H64:O64)</f>
        <v>15742</v>
      </c>
      <c r="F64" s="202">
        <f t="shared" si="50"/>
        <v>40367</v>
      </c>
      <c r="G64" s="202" t="str">
        <f t="shared" si="8"/>
        <v>Future</v>
      </c>
      <c r="H64" s="188">
        <f t="shared" si="38"/>
        <v>12770</v>
      </c>
      <c r="I64" s="188">
        <f t="shared" si="45"/>
        <v>9290</v>
      </c>
      <c r="J64" s="188">
        <v>15500.0</v>
      </c>
      <c r="K64" s="188">
        <f t="shared" si="46"/>
        <v>15577</v>
      </c>
      <c r="L64" s="188">
        <v>2972.0</v>
      </c>
      <c r="M64" s="188">
        <v>0.0</v>
      </c>
      <c r="N64" s="188">
        <v>0.0</v>
      </c>
      <c r="O64" s="188"/>
    </row>
    <row r="65">
      <c r="A65" s="188">
        <f t="shared" si="4"/>
        <v>1973989</v>
      </c>
      <c r="B65" s="212">
        <f t="shared" si="39"/>
        <v>56109</v>
      </c>
      <c r="C65" s="212">
        <f t="shared" si="6"/>
        <v>56109</v>
      </c>
      <c r="D65" s="215">
        <v>46174.0</v>
      </c>
      <c r="E65" s="202">
        <f t="shared" ref="E65:F65" si="51">sumif($H$19:O64,E$19,$H65:O65)</f>
        <v>15742</v>
      </c>
      <c r="F65" s="202">
        <f t="shared" si="51"/>
        <v>40367</v>
      </c>
      <c r="G65" s="202" t="str">
        <f t="shared" si="8"/>
        <v>Future</v>
      </c>
      <c r="H65" s="188">
        <f t="shared" si="38"/>
        <v>12770</v>
      </c>
      <c r="I65" s="188">
        <f t="shared" si="45"/>
        <v>9290</v>
      </c>
      <c r="J65" s="188">
        <v>15500.0</v>
      </c>
      <c r="K65" s="188">
        <f t="shared" si="46"/>
        <v>15577</v>
      </c>
      <c r="L65" s="188">
        <v>2972.0</v>
      </c>
      <c r="M65" s="188">
        <v>0.0</v>
      </c>
      <c r="N65" s="188">
        <v>0.0</v>
      </c>
      <c r="O65" s="188"/>
    </row>
    <row r="66">
      <c r="A66" s="188">
        <f t="shared" si="4"/>
        <v>1917880</v>
      </c>
      <c r="B66" s="212">
        <f t="shared" si="39"/>
        <v>56109</v>
      </c>
      <c r="C66" s="212">
        <f t="shared" si="6"/>
        <v>56109</v>
      </c>
      <c r="D66" s="215">
        <v>46204.0</v>
      </c>
      <c r="E66" s="202">
        <f t="shared" ref="E66:F66" si="52">sumif($H$19:O65,E$19,$H66:O66)</f>
        <v>15742</v>
      </c>
      <c r="F66" s="202">
        <f t="shared" si="52"/>
        <v>40367</v>
      </c>
      <c r="G66" s="202" t="str">
        <f t="shared" si="8"/>
        <v>Future</v>
      </c>
      <c r="H66" s="188">
        <f t="shared" si="38"/>
        <v>12770</v>
      </c>
      <c r="I66" s="188">
        <f t="shared" si="45"/>
        <v>9290</v>
      </c>
      <c r="J66" s="188">
        <v>15500.0</v>
      </c>
      <c r="K66" s="188">
        <f t="shared" si="46"/>
        <v>15577</v>
      </c>
      <c r="L66" s="188">
        <v>2972.0</v>
      </c>
      <c r="M66" s="188">
        <v>0.0</v>
      </c>
      <c r="N66" s="188">
        <v>0.0</v>
      </c>
      <c r="O66" s="188"/>
    </row>
    <row r="67">
      <c r="A67" s="188">
        <f t="shared" si="4"/>
        <v>1861771</v>
      </c>
      <c r="B67" s="212">
        <f t="shared" si="39"/>
        <v>56109</v>
      </c>
      <c r="C67" s="212">
        <f t="shared" si="6"/>
        <v>56109</v>
      </c>
      <c r="D67" s="215">
        <v>46235.0</v>
      </c>
      <c r="E67" s="202">
        <f t="shared" ref="E67:F67" si="53">sumif($H$19:O66,E$19,$H67:O67)</f>
        <v>15742</v>
      </c>
      <c r="F67" s="202">
        <f t="shared" si="53"/>
        <v>40367</v>
      </c>
      <c r="G67" s="202" t="str">
        <f t="shared" si="8"/>
        <v>Future</v>
      </c>
      <c r="H67" s="188">
        <f t="shared" si="38"/>
        <v>12770</v>
      </c>
      <c r="I67" s="188">
        <f t="shared" si="45"/>
        <v>9290</v>
      </c>
      <c r="J67" s="188">
        <v>15500.0</v>
      </c>
      <c r="K67" s="188">
        <f t="shared" si="46"/>
        <v>15577</v>
      </c>
      <c r="L67" s="188">
        <v>2972.0</v>
      </c>
      <c r="M67" s="188">
        <v>0.0</v>
      </c>
      <c r="N67" s="188">
        <v>0.0</v>
      </c>
      <c r="O67" s="188"/>
    </row>
    <row r="68">
      <c r="A68" s="188">
        <f t="shared" si="4"/>
        <v>1805662</v>
      </c>
      <c r="B68" s="212">
        <f t="shared" si="39"/>
        <v>56109</v>
      </c>
      <c r="C68" s="212">
        <f t="shared" si="6"/>
        <v>56109</v>
      </c>
      <c r="D68" s="215">
        <v>46266.0</v>
      </c>
      <c r="E68" s="202">
        <f t="shared" ref="E68:F68" si="54">sumif($H$19:O67,E$19,$H68:O68)</f>
        <v>15742</v>
      </c>
      <c r="F68" s="202">
        <f t="shared" si="54"/>
        <v>40367</v>
      </c>
      <c r="G68" s="202" t="str">
        <f t="shared" si="8"/>
        <v>Future</v>
      </c>
      <c r="H68" s="188">
        <f t="shared" si="38"/>
        <v>12770</v>
      </c>
      <c r="I68" s="188">
        <f t="shared" si="45"/>
        <v>9290</v>
      </c>
      <c r="J68" s="188">
        <v>15500.0</v>
      </c>
      <c r="K68" s="188">
        <f t="shared" si="46"/>
        <v>15577</v>
      </c>
      <c r="L68" s="188">
        <v>2972.0</v>
      </c>
      <c r="M68" s="188">
        <v>0.0</v>
      </c>
      <c r="N68" s="188">
        <v>0.0</v>
      </c>
      <c r="O68" s="188"/>
    </row>
    <row r="69">
      <c r="A69" s="188">
        <f t="shared" si="4"/>
        <v>1749553</v>
      </c>
      <c r="B69" s="212">
        <f t="shared" si="39"/>
        <v>56109</v>
      </c>
      <c r="C69" s="212">
        <f t="shared" si="6"/>
        <v>56109</v>
      </c>
      <c r="D69" s="215">
        <v>46296.0</v>
      </c>
      <c r="E69" s="202">
        <f t="shared" ref="E69:F69" si="55">sumif($H$19:O68,E$19,$H69:O69)</f>
        <v>15742</v>
      </c>
      <c r="F69" s="202">
        <f t="shared" si="55"/>
        <v>40367</v>
      </c>
      <c r="G69" s="202" t="str">
        <f t="shared" si="8"/>
        <v>Future</v>
      </c>
      <c r="H69" s="188">
        <f t="shared" si="38"/>
        <v>12770</v>
      </c>
      <c r="I69" s="188">
        <f t="shared" si="45"/>
        <v>9290</v>
      </c>
      <c r="J69" s="188">
        <v>15500.0</v>
      </c>
      <c r="K69" s="188">
        <f t="shared" si="46"/>
        <v>15577</v>
      </c>
      <c r="L69" s="188">
        <v>2972.0</v>
      </c>
      <c r="M69" s="188">
        <v>0.0</v>
      </c>
      <c r="N69" s="188">
        <v>0.0</v>
      </c>
      <c r="O69" s="188"/>
    </row>
    <row r="70">
      <c r="A70" s="188">
        <f t="shared" si="4"/>
        <v>1693444</v>
      </c>
      <c r="B70" s="212">
        <f t="shared" si="39"/>
        <v>56109</v>
      </c>
      <c r="C70" s="212">
        <f t="shared" si="6"/>
        <v>56109</v>
      </c>
      <c r="D70" s="215">
        <v>46327.0</v>
      </c>
      <c r="E70" s="202">
        <f t="shared" ref="E70:F70" si="56">sumif($H$19:O69,E$19,$H70:O70)</f>
        <v>15742</v>
      </c>
      <c r="F70" s="202">
        <f t="shared" si="56"/>
        <v>40367</v>
      </c>
      <c r="G70" s="202" t="str">
        <f t="shared" si="8"/>
        <v>Future</v>
      </c>
      <c r="H70" s="188">
        <f t="shared" si="38"/>
        <v>12770</v>
      </c>
      <c r="I70" s="188">
        <f t="shared" si="45"/>
        <v>9290</v>
      </c>
      <c r="J70" s="188">
        <v>15500.0</v>
      </c>
      <c r="K70" s="188">
        <f t="shared" si="46"/>
        <v>15577</v>
      </c>
      <c r="L70" s="188">
        <v>2972.0</v>
      </c>
      <c r="M70" s="188">
        <v>0.0</v>
      </c>
      <c r="N70" s="188"/>
      <c r="O70" s="188"/>
    </row>
    <row r="71">
      <c r="A71" s="188">
        <f t="shared" si="4"/>
        <v>1637335</v>
      </c>
      <c r="B71" s="212">
        <f t="shared" si="39"/>
        <v>56109</v>
      </c>
      <c r="C71" s="212">
        <f t="shared" si="6"/>
        <v>56109</v>
      </c>
      <c r="D71" s="215">
        <v>46357.0</v>
      </c>
      <c r="E71" s="202">
        <f t="shared" ref="E71:F71" si="57">sumif($H$19:O70,E$19,$H71:O71)</f>
        <v>15742</v>
      </c>
      <c r="F71" s="202">
        <f t="shared" si="57"/>
        <v>40367</v>
      </c>
      <c r="G71" s="202" t="str">
        <f t="shared" si="8"/>
        <v>Future</v>
      </c>
      <c r="H71" s="188">
        <f t="shared" si="38"/>
        <v>12770</v>
      </c>
      <c r="I71" s="188">
        <f t="shared" si="45"/>
        <v>9290</v>
      </c>
      <c r="J71" s="188">
        <v>15500.0</v>
      </c>
      <c r="K71" s="188">
        <f t="shared" si="46"/>
        <v>15577</v>
      </c>
      <c r="L71" s="188">
        <v>2972.0</v>
      </c>
      <c r="M71" s="188">
        <v>0.0</v>
      </c>
      <c r="N71" s="188"/>
      <c r="O71" s="188"/>
    </row>
    <row r="72">
      <c r="A72" s="188">
        <f t="shared" si="4"/>
        <v>1581226</v>
      </c>
      <c r="B72" s="212">
        <f t="shared" si="39"/>
        <v>56109</v>
      </c>
      <c r="C72" s="212">
        <f t="shared" si="6"/>
        <v>56109</v>
      </c>
      <c r="D72" s="215">
        <v>46388.0</v>
      </c>
      <c r="E72" s="202">
        <f t="shared" ref="E72:F72" si="58">sumif($H$19:O71,E$19,$H72:O72)</f>
        <v>15742</v>
      </c>
      <c r="F72" s="202">
        <f t="shared" si="58"/>
        <v>40367</v>
      </c>
      <c r="G72" s="202" t="str">
        <f t="shared" si="8"/>
        <v>Future</v>
      </c>
      <c r="H72" s="188">
        <f t="shared" si="38"/>
        <v>12770</v>
      </c>
      <c r="I72" s="188">
        <f t="shared" si="45"/>
        <v>9290</v>
      </c>
      <c r="J72" s="188">
        <v>15500.0</v>
      </c>
      <c r="K72" s="188">
        <f t="shared" si="46"/>
        <v>15577</v>
      </c>
      <c r="L72" s="188">
        <v>2972.0</v>
      </c>
      <c r="M72" s="188">
        <v>0.0</v>
      </c>
      <c r="N72" s="188"/>
      <c r="O72" s="188"/>
    </row>
    <row r="73">
      <c r="A73" s="188">
        <f t="shared" si="4"/>
        <v>1525117</v>
      </c>
      <c r="B73" s="212">
        <f t="shared" si="39"/>
        <v>56109</v>
      </c>
      <c r="C73" s="212">
        <f t="shared" si="6"/>
        <v>56109</v>
      </c>
      <c r="D73" s="215">
        <v>46419.0</v>
      </c>
      <c r="E73" s="202">
        <f t="shared" ref="E73:F73" si="59">sumif($H$19:O72,E$19,$H73:O73)</f>
        <v>15742</v>
      </c>
      <c r="F73" s="202">
        <f t="shared" si="59"/>
        <v>40367</v>
      </c>
      <c r="G73" s="202" t="str">
        <f t="shared" si="8"/>
        <v>Future</v>
      </c>
      <c r="H73" s="188">
        <f t="shared" si="38"/>
        <v>12770</v>
      </c>
      <c r="I73" s="188">
        <f t="shared" si="45"/>
        <v>9290</v>
      </c>
      <c r="J73" s="188">
        <v>15500.0</v>
      </c>
      <c r="K73" s="188">
        <f t="shared" si="46"/>
        <v>15577</v>
      </c>
      <c r="L73" s="188">
        <v>2972.0</v>
      </c>
      <c r="M73" s="188">
        <v>0.0</v>
      </c>
      <c r="N73" s="188"/>
      <c r="O73" s="188"/>
    </row>
    <row r="74">
      <c r="A74" s="188">
        <f t="shared" si="4"/>
        <v>1469008</v>
      </c>
      <c r="B74" s="212">
        <f t="shared" si="39"/>
        <v>56109</v>
      </c>
      <c r="C74" s="212">
        <f t="shared" si="6"/>
        <v>56109</v>
      </c>
      <c r="D74" s="215">
        <v>46447.0</v>
      </c>
      <c r="E74" s="202">
        <f t="shared" ref="E74:F74" si="60">sumif($H$19:O73,E$19,$H74:O74)</f>
        <v>15742</v>
      </c>
      <c r="F74" s="202">
        <f t="shared" si="60"/>
        <v>40367</v>
      </c>
      <c r="G74" s="202" t="str">
        <f t="shared" si="8"/>
        <v>Future</v>
      </c>
      <c r="H74" s="188">
        <f t="shared" si="38"/>
        <v>12770</v>
      </c>
      <c r="I74" s="188">
        <f t="shared" si="45"/>
        <v>9290</v>
      </c>
      <c r="J74" s="188">
        <v>15500.0</v>
      </c>
      <c r="K74" s="188">
        <f t="shared" si="46"/>
        <v>15577</v>
      </c>
      <c r="L74" s="188">
        <v>2972.0</v>
      </c>
      <c r="M74" s="188">
        <v>0.0</v>
      </c>
      <c r="N74" s="188"/>
      <c r="O74" s="188"/>
    </row>
    <row r="75">
      <c r="A75" s="188">
        <f t="shared" si="4"/>
        <v>1412899</v>
      </c>
      <c r="B75" s="212">
        <f t="shared" si="39"/>
        <v>56109</v>
      </c>
      <c r="C75" s="212">
        <f t="shared" si="6"/>
        <v>56109</v>
      </c>
      <c r="D75" s="215">
        <v>46478.0</v>
      </c>
      <c r="E75" s="202">
        <f t="shared" ref="E75:F75" si="61">sumif($H$19:O74,E$19,$H75:O75)</f>
        <v>15742</v>
      </c>
      <c r="F75" s="202">
        <f t="shared" si="61"/>
        <v>40367</v>
      </c>
      <c r="G75" s="202" t="str">
        <f t="shared" si="8"/>
        <v>Future</v>
      </c>
      <c r="H75" s="188">
        <f t="shared" si="38"/>
        <v>12770</v>
      </c>
      <c r="I75" s="188">
        <f t="shared" si="45"/>
        <v>9290</v>
      </c>
      <c r="J75" s="188">
        <v>15500.0</v>
      </c>
      <c r="K75" s="188">
        <f t="shared" si="46"/>
        <v>15577</v>
      </c>
      <c r="L75" s="188">
        <v>2972.0</v>
      </c>
      <c r="M75" s="188">
        <v>0.0</v>
      </c>
      <c r="N75" s="188"/>
      <c r="O75" s="188"/>
    </row>
    <row r="76">
      <c r="A76" s="188">
        <f t="shared" si="4"/>
        <v>1356790</v>
      </c>
      <c r="B76" s="212">
        <f t="shared" si="39"/>
        <v>56109</v>
      </c>
      <c r="C76" s="212">
        <f t="shared" si="6"/>
        <v>56109</v>
      </c>
      <c r="D76" s="215">
        <v>46508.0</v>
      </c>
      <c r="E76" s="202">
        <f t="shared" ref="E76:F76" si="62">sumif($H$19:O75,E$19,$H76:O76)</f>
        <v>15742</v>
      </c>
      <c r="F76" s="202">
        <f t="shared" si="62"/>
        <v>40367</v>
      </c>
      <c r="G76" s="202" t="str">
        <f t="shared" si="8"/>
        <v>Future</v>
      </c>
      <c r="H76" s="188">
        <f t="shared" si="38"/>
        <v>12770</v>
      </c>
      <c r="I76" s="188">
        <f t="shared" si="45"/>
        <v>9290</v>
      </c>
      <c r="J76" s="188">
        <v>15500.0</v>
      </c>
      <c r="K76" s="188">
        <f t="shared" si="46"/>
        <v>15577</v>
      </c>
      <c r="L76" s="188">
        <v>2972.0</v>
      </c>
      <c r="M76" s="188">
        <v>0.0</v>
      </c>
      <c r="N76" s="188"/>
      <c r="O76" s="188"/>
    </row>
    <row r="77">
      <c r="A77" s="188">
        <f t="shared" si="4"/>
        <v>1300681</v>
      </c>
      <c r="B77" s="212">
        <f t="shared" si="39"/>
        <v>56109</v>
      </c>
      <c r="C77" s="212">
        <f t="shared" si="6"/>
        <v>56109</v>
      </c>
      <c r="D77" s="215">
        <v>46539.0</v>
      </c>
      <c r="E77" s="202">
        <f t="shared" ref="E77:F77" si="63">sumif($H$19:O76,E$19,$H77:O77)</f>
        <v>15742</v>
      </c>
      <c r="F77" s="202">
        <f t="shared" si="63"/>
        <v>40367</v>
      </c>
      <c r="G77" s="202" t="str">
        <f t="shared" si="8"/>
        <v>Future</v>
      </c>
      <c r="H77" s="188">
        <f t="shared" si="38"/>
        <v>12770</v>
      </c>
      <c r="I77" s="188">
        <f t="shared" si="45"/>
        <v>9290</v>
      </c>
      <c r="J77" s="188">
        <v>15500.0</v>
      </c>
      <c r="K77" s="188">
        <f t="shared" si="46"/>
        <v>15577</v>
      </c>
      <c r="L77" s="188">
        <v>2972.0</v>
      </c>
      <c r="M77" s="188">
        <v>0.0</v>
      </c>
      <c r="N77" s="188"/>
      <c r="O77" s="188"/>
    </row>
    <row r="78">
      <c r="A78" s="188">
        <f t="shared" si="4"/>
        <v>1244572</v>
      </c>
      <c r="B78" s="212">
        <f t="shared" si="39"/>
        <v>56109</v>
      </c>
      <c r="C78" s="212">
        <f t="shared" si="6"/>
        <v>56109</v>
      </c>
      <c r="D78" s="215">
        <v>46569.0</v>
      </c>
      <c r="E78" s="202">
        <f t="shared" ref="E78:F78" si="64">sumif($H$19:O77,E$19,$H78:O78)</f>
        <v>15742</v>
      </c>
      <c r="F78" s="202">
        <f t="shared" si="64"/>
        <v>40367</v>
      </c>
      <c r="G78" s="202" t="str">
        <f t="shared" si="8"/>
        <v>Future</v>
      </c>
      <c r="H78" s="188">
        <f t="shared" si="38"/>
        <v>12770</v>
      </c>
      <c r="I78" s="188">
        <f t="shared" si="45"/>
        <v>9290</v>
      </c>
      <c r="J78" s="188">
        <v>15500.0</v>
      </c>
      <c r="K78" s="188">
        <f t="shared" si="46"/>
        <v>15577</v>
      </c>
      <c r="L78" s="188">
        <v>2972.0</v>
      </c>
      <c r="M78" s="188">
        <v>0.0</v>
      </c>
      <c r="N78" s="188"/>
      <c r="O78" s="188"/>
    </row>
    <row r="79">
      <c r="A79" s="188">
        <f t="shared" si="4"/>
        <v>1188463</v>
      </c>
      <c r="B79" s="212">
        <f t="shared" si="39"/>
        <v>56109</v>
      </c>
      <c r="C79" s="212">
        <f t="shared" si="6"/>
        <v>56109</v>
      </c>
      <c r="D79" s="215">
        <v>46600.0</v>
      </c>
      <c r="E79" s="202">
        <f t="shared" ref="E79:F79" si="65">sumif($H$19:O78,E$19,$H79:O79)</f>
        <v>15742</v>
      </c>
      <c r="F79" s="202">
        <f t="shared" si="65"/>
        <v>40367</v>
      </c>
      <c r="G79" s="202" t="str">
        <f t="shared" si="8"/>
        <v>Future</v>
      </c>
      <c r="H79" s="188">
        <f t="shared" si="38"/>
        <v>12770</v>
      </c>
      <c r="I79" s="188">
        <f t="shared" si="45"/>
        <v>9290</v>
      </c>
      <c r="J79" s="188">
        <v>15500.0</v>
      </c>
      <c r="K79" s="188">
        <f t="shared" si="46"/>
        <v>15577</v>
      </c>
      <c r="L79" s="188">
        <v>2972.0</v>
      </c>
      <c r="M79" s="188">
        <v>0.0</v>
      </c>
      <c r="N79" s="188"/>
      <c r="O79" s="188"/>
    </row>
    <row r="80">
      <c r="A80" s="188">
        <f t="shared" si="4"/>
        <v>1132354</v>
      </c>
      <c r="B80" s="212">
        <f t="shared" si="39"/>
        <v>56109</v>
      </c>
      <c r="C80" s="212">
        <f t="shared" si="6"/>
        <v>56109</v>
      </c>
      <c r="D80" s="215">
        <v>46631.0</v>
      </c>
      <c r="E80" s="202">
        <f t="shared" ref="E80:F80" si="66">sumif($H$19:O79,E$19,$H80:O80)</f>
        <v>15742</v>
      </c>
      <c r="F80" s="202">
        <f t="shared" si="66"/>
        <v>40367</v>
      </c>
      <c r="G80" s="202" t="str">
        <f t="shared" si="8"/>
        <v>Future</v>
      </c>
      <c r="H80" s="188">
        <f t="shared" si="38"/>
        <v>12770</v>
      </c>
      <c r="I80" s="188">
        <f t="shared" si="45"/>
        <v>9290</v>
      </c>
      <c r="J80" s="188">
        <v>15500.0</v>
      </c>
      <c r="K80" s="188">
        <f t="shared" si="46"/>
        <v>15577</v>
      </c>
      <c r="L80" s="188">
        <v>2972.0</v>
      </c>
      <c r="M80" s="188">
        <v>0.0</v>
      </c>
      <c r="N80" s="188"/>
      <c r="O80" s="188"/>
    </row>
    <row r="81">
      <c r="A81" s="188">
        <f t="shared" si="4"/>
        <v>1076245</v>
      </c>
      <c r="B81" s="212">
        <f t="shared" si="39"/>
        <v>56109</v>
      </c>
      <c r="C81" s="212">
        <f t="shared" si="6"/>
        <v>56109</v>
      </c>
      <c r="D81" s="215">
        <v>46661.0</v>
      </c>
      <c r="E81" s="202">
        <f t="shared" ref="E81:F81" si="67">sumif($H$19:O80,E$19,$H81:O81)</f>
        <v>15742</v>
      </c>
      <c r="F81" s="202">
        <f t="shared" si="67"/>
        <v>40367</v>
      </c>
      <c r="G81" s="202" t="str">
        <f t="shared" si="8"/>
        <v>Future</v>
      </c>
      <c r="H81" s="188">
        <f t="shared" si="38"/>
        <v>12770</v>
      </c>
      <c r="I81" s="188">
        <f t="shared" si="45"/>
        <v>9290</v>
      </c>
      <c r="J81" s="188">
        <v>15500.0</v>
      </c>
      <c r="K81" s="188">
        <f t="shared" si="46"/>
        <v>15577</v>
      </c>
      <c r="L81" s="188">
        <v>2972.0</v>
      </c>
      <c r="M81" s="188">
        <v>0.0</v>
      </c>
      <c r="N81" s="188"/>
      <c r="O81" s="188"/>
    </row>
    <row r="82">
      <c r="A82" s="188">
        <f t="shared" si="4"/>
        <v>1020136</v>
      </c>
      <c r="B82" s="212">
        <f t="shared" si="39"/>
        <v>56109</v>
      </c>
      <c r="C82" s="212">
        <f t="shared" si="6"/>
        <v>56109</v>
      </c>
      <c r="D82" s="215">
        <v>46692.0</v>
      </c>
      <c r="E82" s="202">
        <f t="shared" ref="E82:F82" si="68">sumif($H$19:O81,E$19,$H82:O82)</f>
        <v>15742</v>
      </c>
      <c r="F82" s="202">
        <f t="shared" si="68"/>
        <v>40367</v>
      </c>
      <c r="G82" s="202" t="str">
        <f t="shared" si="8"/>
        <v>Future</v>
      </c>
      <c r="H82" s="188">
        <f t="shared" si="38"/>
        <v>12770</v>
      </c>
      <c r="I82" s="188">
        <f t="shared" si="45"/>
        <v>9290</v>
      </c>
      <c r="J82" s="188">
        <v>15500.0</v>
      </c>
      <c r="K82" s="188">
        <f t="shared" si="46"/>
        <v>15577</v>
      </c>
      <c r="L82" s="188">
        <v>2972.0</v>
      </c>
      <c r="M82" s="188">
        <v>0.0</v>
      </c>
      <c r="N82" s="188"/>
      <c r="O82" s="188"/>
    </row>
    <row r="83">
      <c r="A83" s="188">
        <f t="shared" si="4"/>
        <v>964027</v>
      </c>
      <c r="B83" s="212">
        <f t="shared" si="39"/>
        <v>56109</v>
      </c>
      <c r="C83" s="212">
        <f t="shared" si="6"/>
        <v>56109</v>
      </c>
      <c r="D83" s="215">
        <v>46722.0</v>
      </c>
      <c r="E83" s="202">
        <f t="shared" ref="E83:F83" si="69">sumif($H$19:O82,E$19,$H83:O83)</f>
        <v>15742</v>
      </c>
      <c r="F83" s="202">
        <f t="shared" si="69"/>
        <v>40367</v>
      </c>
      <c r="G83" s="202" t="str">
        <f t="shared" si="8"/>
        <v>Future</v>
      </c>
      <c r="H83" s="188">
        <f t="shared" si="38"/>
        <v>12770</v>
      </c>
      <c r="I83" s="188">
        <f t="shared" si="45"/>
        <v>9290</v>
      </c>
      <c r="J83" s="188">
        <v>15500.0</v>
      </c>
      <c r="K83" s="188">
        <f t="shared" si="46"/>
        <v>15577</v>
      </c>
      <c r="L83" s="188">
        <v>2972.0</v>
      </c>
      <c r="M83" s="188">
        <v>0.0</v>
      </c>
      <c r="N83" s="188"/>
      <c r="O83" s="188"/>
    </row>
    <row r="84">
      <c r="A84" s="188">
        <f t="shared" si="4"/>
        <v>907918</v>
      </c>
      <c r="B84" s="212">
        <f t="shared" si="39"/>
        <v>56109</v>
      </c>
      <c r="C84" s="212">
        <f t="shared" si="6"/>
        <v>56109</v>
      </c>
      <c r="D84" s="215">
        <v>46753.0</v>
      </c>
      <c r="E84" s="202">
        <f t="shared" ref="E84:F84" si="70">sumif($H$19:O83,E$19,$H84:O84)</f>
        <v>15742</v>
      </c>
      <c r="F84" s="202">
        <f t="shared" si="70"/>
        <v>40367</v>
      </c>
      <c r="G84" s="202" t="str">
        <f t="shared" si="8"/>
        <v>Future</v>
      </c>
      <c r="H84" s="188">
        <f t="shared" si="38"/>
        <v>12770</v>
      </c>
      <c r="I84" s="188">
        <f t="shared" si="45"/>
        <v>9290</v>
      </c>
      <c r="J84" s="188">
        <v>15500.0</v>
      </c>
      <c r="K84" s="188">
        <f t="shared" si="46"/>
        <v>15577</v>
      </c>
      <c r="L84" s="188">
        <v>2972.0</v>
      </c>
      <c r="M84" s="188">
        <v>0.0</v>
      </c>
      <c r="N84" s="188"/>
      <c r="O84" s="188"/>
    </row>
    <row r="85">
      <c r="A85" s="188">
        <f t="shared" si="4"/>
        <v>851809</v>
      </c>
      <c r="B85" s="212">
        <f t="shared" si="39"/>
        <v>56109</v>
      </c>
      <c r="C85" s="212">
        <f t="shared" si="6"/>
        <v>56109</v>
      </c>
      <c r="D85" s="215">
        <v>46784.0</v>
      </c>
      <c r="E85" s="202">
        <f t="shared" ref="E85:F85" si="71">sumif($H$19:O84,E$19,$H85:O85)</f>
        <v>15742</v>
      </c>
      <c r="F85" s="202">
        <f t="shared" si="71"/>
        <v>40367</v>
      </c>
      <c r="G85" s="202" t="str">
        <f t="shared" si="8"/>
        <v>Future</v>
      </c>
      <c r="H85" s="188">
        <f t="shared" si="38"/>
        <v>12770</v>
      </c>
      <c r="I85" s="188">
        <f t="shared" si="45"/>
        <v>9290</v>
      </c>
      <c r="J85" s="188">
        <v>15500.0</v>
      </c>
      <c r="K85" s="188">
        <f t="shared" si="46"/>
        <v>15577</v>
      </c>
      <c r="L85" s="188">
        <v>2972.0</v>
      </c>
      <c r="M85" s="188">
        <v>0.0</v>
      </c>
      <c r="N85" s="188"/>
      <c r="O85" s="188"/>
    </row>
    <row r="86">
      <c r="A86" s="188">
        <f t="shared" si="4"/>
        <v>795700</v>
      </c>
      <c r="B86" s="212">
        <f t="shared" si="39"/>
        <v>56109</v>
      </c>
      <c r="C86" s="212">
        <f t="shared" si="6"/>
        <v>56109</v>
      </c>
      <c r="D86" s="215">
        <v>46813.0</v>
      </c>
      <c r="E86" s="202">
        <f t="shared" ref="E86:F86" si="72">sumif($H$19:O85,E$19,$H86:O86)</f>
        <v>15742</v>
      </c>
      <c r="F86" s="202">
        <f t="shared" si="72"/>
        <v>40367</v>
      </c>
      <c r="G86" s="202" t="str">
        <f t="shared" si="8"/>
        <v>Future</v>
      </c>
      <c r="H86" s="188">
        <f t="shared" si="38"/>
        <v>12770</v>
      </c>
      <c r="I86" s="188">
        <f t="shared" si="45"/>
        <v>9290</v>
      </c>
      <c r="J86" s="188">
        <v>15500.0</v>
      </c>
      <c r="K86" s="188">
        <f t="shared" si="46"/>
        <v>15577</v>
      </c>
      <c r="L86" s="188">
        <v>2972.0</v>
      </c>
      <c r="M86" s="188">
        <v>0.0</v>
      </c>
      <c r="N86" s="188"/>
      <c r="O86" s="188"/>
    </row>
    <row r="87">
      <c r="A87" s="188">
        <f t="shared" si="4"/>
        <v>755168</v>
      </c>
      <c r="B87" s="212">
        <f t="shared" si="39"/>
        <v>40532</v>
      </c>
      <c r="C87" s="212">
        <f t="shared" si="6"/>
        <v>40532</v>
      </c>
      <c r="D87" s="215">
        <v>46844.0</v>
      </c>
      <c r="E87" s="202">
        <f t="shared" ref="E87:F87" si="73">sumif($H$19:O86,E$19,$H87:O87)</f>
        <v>15742</v>
      </c>
      <c r="F87" s="202">
        <f t="shared" si="73"/>
        <v>24790</v>
      </c>
      <c r="G87" s="202" t="str">
        <f t="shared" si="8"/>
        <v>Future</v>
      </c>
      <c r="H87" s="188">
        <f t="shared" si="38"/>
        <v>12770</v>
      </c>
      <c r="I87" s="188">
        <f t="shared" si="45"/>
        <v>9290</v>
      </c>
      <c r="J87" s="188">
        <v>15500.0</v>
      </c>
      <c r="K87" s="188"/>
      <c r="L87" s="188">
        <v>2972.0</v>
      </c>
      <c r="M87" s="188">
        <v>0.0</v>
      </c>
      <c r="N87" s="188"/>
      <c r="O87" s="188"/>
    </row>
    <row r="88">
      <c r="A88" s="188">
        <f t="shared" si="4"/>
        <v>714636</v>
      </c>
      <c r="B88" s="212">
        <f t="shared" si="39"/>
        <v>40532</v>
      </c>
      <c r="C88" s="212">
        <f t="shared" si="6"/>
        <v>40532</v>
      </c>
      <c r="D88" s="215">
        <v>46874.0</v>
      </c>
      <c r="E88" s="202">
        <f t="shared" ref="E88:F88" si="74">sumif($H$19:O87,E$19,$H88:O88)</f>
        <v>15742</v>
      </c>
      <c r="F88" s="202">
        <f t="shared" si="74"/>
        <v>24790</v>
      </c>
      <c r="G88" s="202" t="str">
        <f t="shared" si="8"/>
        <v>Future</v>
      </c>
      <c r="H88" s="188">
        <f t="shared" si="38"/>
        <v>12770</v>
      </c>
      <c r="I88" s="188">
        <f t="shared" si="45"/>
        <v>9290</v>
      </c>
      <c r="J88" s="188">
        <v>15500.0</v>
      </c>
      <c r="K88" s="188"/>
      <c r="L88" s="188">
        <v>2972.0</v>
      </c>
      <c r="M88" s="188">
        <v>0.0</v>
      </c>
      <c r="N88" s="188"/>
      <c r="O88" s="188"/>
    </row>
    <row r="89">
      <c r="A89" s="188">
        <f t="shared" si="4"/>
        <v>674104</v>
      </c>
      <c r="B89" s="212">
        <f t="shared" si="39"/>
        <v>40532</v>
      </c>
      <c r="C89" s="212">
        <f t="shared" si="6"/>
        <v>40532</v>
      </c>
      <c r="D89" s="215">
        <v>46905.0</v>
      </c>
      <c r="E89" s="202">
        <f t="shared" ref="E89:F89" si="75">sumif($H$19:O88,E$19,$H89:O89)</f>
        <v>15742</v>
      </c>
      <c r="F89" s="202">
        <f t="shared" si="75"/>
        <v>24790</v>
      </c>
      <c r="G89" s="202" t="str">
        <f t="shared" si="8"/>
        <v>Future</v>
      </c>
      <c r="H89" s="188">
        <f t="shared" si="38"/>
        <v>12770</v>
      </c>
      <c r="I89" s="188">
        <f t="shared" si="45"/>
        <v>9290</v>
      </c>
      <c r="J89" s="188">
        <v>15500.0</v>
      </c>
      <c r="K89" s="188"/>
      <c r="L89" s="188">
        <v>2972.0</v>
      </c>
      <c r="M89" s="188">
        <v>0.0</v>
      </c>
      <c r="N89" s="188"/>
      <c r="O89" s="188"/>
    </row>
    <row r="90">
      <c r="A90" s="188">
        <f t="shared" si="4"/>
        <v>633572</v>
      </c>
      <c r="B90" s="212">
        <f t="shared" si="39"/>
        <v>40532</v>
      </c>
      <c r="C90" s="212">
        <f t="shared" si="6"/>
        <v>40532</v>
      </c>
      <c r="D90" s="215">
        <v>46935.0</v>
      </c>
      <c r="E90" s="202">
        <f t="shared" ref="E90:F90" si="76">sumif($H$19:O89,E$19,$H90:O90)</f>
        <v>15742</v>
      </c>
      <c r="F90" s="202">
        <f t="shared" si="76"/>
        <v>24790</v>
      </c>
      <c r="G90" s="202" t="str">
        <f t="shared" si="8"/>
        <v>Future</v>
      </c>
      <c r="H90" s="188">
        <f t="shared" si="38"/>
        <v>12770</v>
      </c>
      <c r="I90" s="188">
        <f t="shared" si="45"/>
        <v>9290</v>
      </c>
      <c r="J90" s="188">
        <v>15500.0</v>
      </c>
      <c r="K90" s="188"/>
      <c r="L90" s="188">
        <v>2972.0</v>
      </c>
      <c r="M90" s="188">
        <v>0.0</v>
      </c>
      <c r="N90" s="188"/>
      <c r="O90" s="188"/>
    </row>
    <row r="91">
      <c r="A91" s="188">
        <f t="shared" si="4"/>
        <v>593040</v>
      </c>
      <c r="B91" s="212">
        <f t="shared" si="39"/>
        <v>40532</v>
      </c>
      <c r="C91" s="212">
        <f t="shared" si="6"/>
        <v>40532</v>
      </c>
      <c r="D91" s="215">
        <v>46966.0</v>
      </c>
      <c r="E91" s="202">
        <f t="shared" ref="E91:F91" si="77">sumif($H$19:O90,E$19,$H91:O91)</f>
        <v>15742</v>
      </c>
      <c r="F91" s="202">
        <f t="shared" si="77"/>
        <v>24790</v>
      </c>
      <c r="G91" s="202" t="str">
        <f t="shared" si="8"/>
        <v>Future</v>
      </c>
      <c r="H91" s="188">
        <f t="shared" si="38"/>
        <v>12770</v>
      </c>
      <c r="I91" s="188">
        <f t="shared" si="45"/>
        <v>9290</v>
      </c>
      <c r="J91" s="188">
        <v>15500.0</v>
      </c>
      <c r="K91" s="188"/>
      <c r="L91" s="188">
        <v>2972.0</v>
      </c>
      <c r="M91" s="188">
        <v>0.0</v>
      </c>
      <c r="N91" s="188"/>
      <c r="O91" s="188"/>
    </row>
    <row r="92">
      <c r="A92" s="188">
        <f t="shared" si="4"/>
        <v>552508</v>
      </c>
      <c r="B92" s="212">
        <f t="shared" si="39"/>
        <v>40532</v>
      </c>
      <c r="C92" s="212">
        <f t="shared" si="6"/>
        <v>40532</v>
      </c>
      <c r="D92" s="215">
        <v>46997.0</v>
      </c>
      <c r="E92" s="202">
        <f t="shared" ref="E92:F92" si="78">sumif($H$19:O91,E$19,$H92:O92)</f>
        <v>15742</v>
      </c>
      <c r="F92" s="202">
        <f t="shared" si="78"/>
        <v>24790</v>
      </c>
      <c r="G92" s="202" t="str">
        <f t="shared" si="8"/>
        <v>Future</v>
      </c>
      <c r="H92" s="188">
        <f t="shared" si="38"/>
        <v>12770</v>
      </c>
      <c r="I92" s="188">
        <f t="shared" si="45"/>
        <v>9290</v>
      </c>
      <c r="J92" s="188">
        <v>15500.0</v>
      </c>
      <c r="K92" s="188"/>
      <c r="L92" s="188">
        <v>2972.0</v>
      </c>
      <c r="M92" s="188">
        <v>0.0</v>
      </c>
      <c r="N92" s="188"/>
      <c r="O92" s="188"/>
    </row>
    <row r="93">
      <c r="A93" s="188">
        <f t="shared" si="4"/>
        <v>512004</v>
      </c>
      <c r="B93" s="212">
        <f t="shared" si="39"/>
        <v>40504</v>
      </c>
      <c r="C93" s="212">
        <f t="shared" si="6"/>
        <v>40504</v>
      </c>
      <c r="D93" s="215">
        <v>47027.0</v>
      </c>
      <c r="E93" s="202">
        <f t="shared" ref="E93:F93" si="79">sumif($H$19:O92,E$19,$H93:O93)</f>
        <v>15742</v>
      </c>
      <c r="F93" s="202">
        <f t="shared" si="79"/>
        <v>24762</v>
      </c>
      <c r="G93" s="202" t="str">
        <f t="shared" si="8"/>
        <v>Future</v>
      </c>
      <c r="H93" s="188">
        <f t="shared" si="38"/>
        <v>12770</v>
      </c>
      <c r="I93" s="188">
        <v>9262.0</v>
      </c>
      <c r="J93" s="188">
        <v>15500.0</v>
      </c>
      <c r="K93" s="188"/>
      <c r="L93" s="188">
        <v>2972.0</v>
      </c>
      <c r="M93" s="188">
        <v>0.0</v>
      </c>
      <c r="N93" s="188"/>
      <c r="O93" s="188"/>
    </row>
    <row r="94">
      <c r="A94" s="188">
        <f t="shared" si="4"/>
        <v>480762</v>
      </c>
      <c r="B94" s="212">
        <f t="shared" si="39"/>
        <v>31242</v>
      </c>
      <c r="C94" s="212">
        <f t="shared" si="6"/>
        <v>31242</v>
      </c>
      <c r="D94" s="215">
        <v>47058.0</v>
      </c>
      <c r="E94" s="202">
        <f t="shared" ref="E94:F94" si="80">sumif($H$19:O93,E$19,$H94:O94)</f>
        <v>15742</v>
      </c>
      <c r="F94" s="202">
        <f t="shared" si="80"/>
        <v>15500</v>
      </c>
      <c r="G94" s="202" t="str">
        <f t="shared" si="8"/>
        <v>Future</v>
      </c>
      <c r="H94" s="188">
        <f t="shared" si="38"/>
        <v>12770</v>
      </c>
      <c r="I94" s="188"/>
      <c r="J94" s="188">
        <v>15500.0</v>
      </c>
      <c r="K94" s="188"/>
      <c r="L94" s="188">
        <v>2972.0</v>
      </c>
      <c r="M94" s="188">
        <v>0.0</v>
      </c>
      <c r="N94" s="188"/>
      <c r="O94" s="188"/>
    </row>
    <row r="95">
      <c r="A95" s="188">
        <f t="shared" si="4"/>
        <v>449520</v>
      </c>
      <c r="B95" s="212">
        <f t="shared" si="39"/>
        <v>31242</v>
      </c>
      <c r="C95" s="212">
        <f t="shared" si="6"/>
        <v>31242</v>
      </c>
      <c r="D95" s="215">
        <v>47088.0</v>
      </c>
      <c r="E95" s="202">
        <f t="shared" ref="E95:F95" si="81">sumif($H$19:O94,E$19,$H95:O95)</f>
        <v>15742</v>
      </c>
      <c r="F95" s="202">
        <f t="shared" si="81"/>
        <v>15500</v>
      </c>
      <c r="G95" s="202" t="str">
        <f t="shared" si="8"/>
        <v>Future</v>
      </c>
      <c r="H95" s="188">
        <f t="shared" si="38"/>
        <v>12770</v>
      </c>
      <c r="I95" s="188"/>
      <c r="J95" s="188">
        <v>15500.0</v>
      </c>
      <c r="K95" s="188"/>
      <c r="L95" s="188">
        <v>2972.0</v>
      </c>
      <c r="M95" s="188">
        <v>0.0</v>
      </c>
      <c r="N95" s="188"/>
      <c r="O95" s="188"/>
    </row>
    <row r="96">
      <c r="A96" s="188">
        <f t="shared" si="4"/>
        <v>418278</v>
      </c>
      <c r="B96" s="212">
        <f t="shared" si="39"/>
        <v>31242</v>
      </c>
      <c r="C96" s="212">
        <f t="shared" si="6"/>
        <v>31242</v>
      </c>
      <c r="D96" s="215">
        <v>47119.0</v>
      </c>
      <c r="E96" s="202">
        <f t="shared" ref="E96:F96" si="82">sumif($H$19:O95,E$19,$H96:O96)</f>
        <v>15742</v>
      </c>
      <c r="F96" s="202">
        <f t="shared" si="82"/>
        <v>15500</v>
      </c>
      <c r="G96" s="202" t="str">
        <f t="shared" si="8"/>
        <v>Future</v>
      </c>
      <c r="H96" s="188">
        <f t="shared" si="38"/>
        <v>12770</v>
      </c>
      <c r="I96" s="188"/>
      <c r="J96" s="188">
        <v>15500.0</v>
      </c>
      <c r="K96" s="188"/>
      <c r="L96" s="188">
        <v>2972.0</v>
      </c>
      <c r="M96" s="188">
        <v>0.0</v>
      </c>
      <c r="N96" s="188"/>
      <c r="O96" s="188"/>
    </row>
    <row r="97">
      <c r="A97" s="188">
        <f t="shared" si="4"/>
        <v>387036</v>
      </c>
      <c r="B97" s="212">
        <f t="shared" si="39"/>
        <v>31242</v>
      </c>
      <c r="C97" s="212">
        <f t="shared" si="6"/>
        <v>31242</v>
      </c>
      <c r="D97" s="215">
        <v>47150.0</v>
      </c>
      <c r="E97" s="202">
        <f t="shared" ref="E97:F97" si="83">sumif($H$19:O96,E$19,$H97:O97)</f>
        <v>15742</v>
      </c>
      <c r="F97" s="202">
        <f t="shared" si="83"/>
        <v>15500</v>
      </c>
      <c r="G97" s="202" t="str">
        <f t="shared" si="8"/>
        <v>Future</v>
      </c>
      <c r="H97" s="188">
        <f t="shared" si="38"/>
        <v>12770</v>
      </c>
      <c r="I97" s="188"/>
      <c r="J97" s="188">
        <v>15500.0</v>
      </c>
      <c r="K97" s="188"/>
      <c r="L97" s="188">
        <v>2972.0</v>
      </c>
      <c r="M97" s="188">
        <v>0.0</v>
      </c>
      <c r="N97" s="188"/>
      <c r="O97" s="188"/>
    </row>
    <row r="98">
      <c r="A98" s="188">
        <f t="shared" si="4"/>
        <v>355794</v>
      </c>
      <c r="B98" s="212">
        <f t="shared" si="39"/>
        <v>31242</v>
      </c>
      <c r="C98" s="212">
        <f t="shared" si="6"/>
        <v>31242</v>
      </c>
      <c r="D98" s="215">
        <v>47178.0</v>
      </c>
      <c r="E98" s="202">
        <f t="shared" ref="E98:F98" si="84">sumif($H$19:O97,E$19,$H98:O98)</f>
        <v>15742</v>
      </c>
      <c r="F98" s="202">
        <f t="shared" si="84"/>
        <v>15500</v>
      </c>
      <c r="G98" s="202" t="str">
        <f t="shared" si="8"/>
        <v>Future</v>
      </c>
      <c r="H98" s="188">
        <f t="shared" si="38"/>
        <v>12770</v>
      </c>
      <c r="I98" s="188"/>
      <c r="J98" s="188">
        <v>15500.0</v>
      </c>
      <c r="K98" s="188"/>
      <c r="L98" s="188">
        <v>2972.0</v>
      </c>
      <c r="M98" s="188">
        <v>0.0</v>
      </c>
      <c r="N98" s="188"/>
      <c r="O98" s="188"/>
    </row>
    <row r="99">
      <c r="A99" s="188">
        <f t="shared" si="4"/>
        <v>324552</v>
      </c>
      <c r="B99" s="212">
        <f t="shared" si="39"/>
        <v>31242</v>
      </c>
      <c r="C99" s="212">
        <f t="shared" si="6"/>
        <v>31242</v>
      </c>
      <c r="D99" s="215">
        <v>47209.0</v>
      </c>
      <c r="E99" s="202">
        <f t="shared" ref="E99:F99" si="85">sumif($H$19:O98,E$19,$H99:O99)</f>
        <v>15742</v>
      </c>
      <c r="F99" s="202">
        <f t="shared" si="85"/>
        <v>15500</v>
      </c>
      <c r="G99" s="202" t="str">
        <f t="shared" si="8"/>
        <v>Future</v>
      </c>
      <c r="H99" s="188">
        <f t="shared" si="38"/>
        <v>12770</v>
      </c>
      <c r="I99" s="188"/>
      <c r="J99" s="188">
        <v>15500.0</v>
      </c>
      <c r="K99" s="188"/>
      <c r="L99" s="188">
        <v>2972.0</v>
      </c>
      <c r="M99" s="188">
        <v>0.0</v>
      </c>
      <c r="N99" s="188"/>
      <c r="O99" s="188"/>
    </row>
    <row r="100">
      <c r="A100" s="188">
        <f t="shared" si="4"/>
        <v>293310</v>
      </c>
      <c r="B100" s="212">
        <f t="shared" si="39"/>
        <v>31242</v>
      </c>
      <c r="C100" s="212">
        <f t="shared" si="6"/>
        <v>31242</v>
      </c>
      <c r="D100" s="215">
        <v>47239.0</v>
      </c>
      <c r="E100" s="202">
        <f t="shared" ref="E100:F100" si="86">sumif($H$19:O99,E$19,$H100:O100)</f>
        <v>15742</v>
      </c>
      <c r="F100" s="202">
        <f t="shared" si="86"/>
        <v>15500</v>
      </c>
      <c r="G100" s="202" t="str">
        <f t="shared" si="8"/>
        <v>Future</v>
      </c>
      <c r="H100" s="188">
        <f t="shared" si="38"/>
        <v>12770</v>
      </c>
      <c r="I100" s="188"/>
      <c r="J100" s="188">
        <v>15500.0</v>
      </c>
      <c r="K100" s="188"/>
      <c r="L100" s="188">
        <v>2972.0</v>
      </c>
      <c r="M100" s="188">
        <v>0.0</v>
      </c>
      <c r="N100" s="188"/>
      <c r="O100" s="188"/>
    </row>
    <row r="101">
      <c r="A101" s="188">
        <f t="shared" si="4"/>
        <v>262068</v>
      </c>
      <c r="B101" s="212">
        <f t="shared" si="39"/>
        <v>31242</v>
      </c>
      <c r="C101" s="212">
        <f t="shared" si="6"/>
        <v>31242</v>
      </c>
      <c r="D101" s="215">
        <v>47270.0</v>
      </c>
      <c r="E101" s="202">
        <f t="shared" ref="E101:F101" si="87">sumif($H$19:O100,E$19,$H101:O101)</f>
        <v>15742</v>
      </c>
      <c r="F101" s="202">
        <f t="shared" si="87"/>
        <v>15500</v>
      </c>
      <c r="G101" s="202" t="str">
        <f t="shared" si="8"/>
        <v>Future</v>
      </c>
      <c r="H101" s="188">
        <f t="shared" si="38"/>
        <v>12770</v>
      </c>
      <c r="I101" s="188"/>
      <c r="J101" s="188">
        <v>15500.0</v>
      </c>
      <c r="K101" s="188"/>
      <c r="L101" s="188">
        <v>2972.0</v>
      </c>
      <c r="M101" s="188">
        <v>0.0</v>
      </c>
      <c r="N101" s="188"/>
      <c r="O101" s="188"/>
    </row>
    <row r="102">
      <c r="A102" s="188">
        <f t="shared" si="4"/>
        <v>230826</v>
      </c>
      <c r="B102" s="212">
        <f t="shared" si="39"/>
        <v>31242</v>
      </c>
      <c r="C102" s="212">
        <f t="shared" si="6"/>
        <v>31242</v>
      </c>
      <c r="D102" s="215">
        <v>47300.0</v>
      </c>
      <c r="E102" s="202">
        <f t="shared" ref="E102:F102" si="88">sumif($H$19:O101,E$19,$H102:O102)</f>
        <v>15742</v>
      </c>
      <c r="F102" s="202">
        <f t="shared" si="88"/>
        <v>15500</v>
      </c>
      <c r="G102" s="202" t="str">
        <f t="shared" si="8"/>
        <v>Future</v>
      </c>
      <c r="H102" s="188">
        <f t="shared" si="38"/>
        <v>12770</v>
      </c>
      <c r="I102" s="188"/>
      <c r="J102" s="188">
        <v>15500.0</v>
      </c>
      <c r="K102" s="188"/>
      <c r="L102" s="188">
        <v>2972.0</v>
      </c>
      <c r="M102" s="188">
        <v>0.0</v>
      </c>
      <c r="N102" s="188"/>
      <c r="O102" s="188"/>
    </row>
    <row r="103">
      <c r="A103" s="188">
        <f t="shared" si="4"/>
        <v>199584</v>
      </c>
      <c r="B103" s="212">
        <f t="shared" si="39"/>
        <v>31242</v>
      </c>
      <c r="C103" s="212">
        <f t="shared" si="6"/>
        <v>31242</v>
      </c>
      <c r="D103" s="215">
        <v>47331.0</v>
      </c>
      <c r="E103" s="202">
        <f t="shared" ref="E103:F103" si="89">sumif($H$19:O102,E$19,$H103:O103)</f>
        <v>15742</v>
      </c>
      <c r="F103" s="202">
        <f t="shared" si="89"/>
        <v>15500</v>
      </c>
      <c r="G103" s="202" t="str">
        <f t="shared" si="8"/>
        <v>Future</v>
      </c>
      <c r="H103" s="188">
        <f t="shared" si="38"/>
        <v>12770</v>
      </c>
      <c r="I103" s="188"/>
      <c r="J103" s="188">
        <v>15500.0</v>
      </c>
      <c r="K103" s="188"/>
      <c r="L103" s="188">
        <v>2972.0</v>
      </c>
      <c r="M103" s="188">
        <v>0.0</v>
      </c>
      <c r="N103" s="188"/>
      <c r="O103" s="188"/>
    </row>
    <row r="104">
      <c r="A104" s="188">
        <f t="shared" si="4"/>
        <v>183842</v>
      </c>
      <c r="B104" s="212">
        <f t="shared" si="39"/>
        <v>15742</v>
      </c>
      <c r="C104" s="212">
        <f t="shared" si="6"/>
        <v>15742</v>
      </c>
      <c r="D104" s="215">
        <v>47362.0</v>
      </c>
      <c r="E104" s="202">
        <f t="shared" ref="E104:F104" si="90">sumif($H$19:O103,E$19,$H104:O104)</f>
        <v>15742</v>
      </c>
      <c r="F104" s="202">
        <f t="shared" si="90"/>
        <v>0</v>
      </c>
      <c r="G104" s="202" t="str">
        <f t="shared" si="8"/>
        <v>Future</v>
      </c>
      <c r="H104" s="188">
        <f t="shared" si="38"/>
        <v>12770</v>
      </c>
      <c r="I104" s="188"/>
      <c r="J104" s="188"/>
      <c r="K104" s="188"/>
      <c r="L104" s="188">
        <v>2972.0</v>
      </c>
      <c r="M104" s="188">
        <v>0.0</v>
      </c>
      <c r="N104" s="188"/>
      <c r="O104" s="188"/>
    </row>
    <row r="105">
      <c r="A105" s="188">
        <f t="shared" si="4"/>
        <v>168100</v>
      </c>
      <c r="B105" s="212">
        <f t="shared" si="39"/>
        <v>15742</v>
      </c>
      <c r="C105" s="212">
        <f t="shared" si="6"/>
        <v>15742</v>
      </c>
      <c r="D105" s="215">
        <v>47392.0</v>
      </c>
      <c r="E105" s="202">
        <f t="shared" ref="E105:F105" si="91">sumif($H$19:O104,E$19,$H105:O105)</f>
        <v>15742</v>
      </c>
      <c r="F105" s="202">
        <f t="shared" si="91"/>
        <v>0</v>
      </c>
      <c r="G105" s="202" t="str">
        <f t="shared" si="8"/>
        <v>Future</v>
      </c>
      <c r="H105" s="188">
        <f t="shared" si="38"/>
        <v>12770</v>
      </c>
      <c r="I105" s="188"/>
      <c r="J105" s="188"/>
      <c r="K105" s="188"/>
      <c r="L105" s="188">
        <v>2972.0</v>
      </c>
      <c r="M105" s="188">
        <v>0.0</v>
      </c>
      <c r="N105" s="188"/>
      <c r="O105" s="188"/>
    </row>
    <row r="106">
      <c r="A106" s="188">
        <f t="shared" si="4"/>
        <v>152358</v>
      </c>
      <c r="B106" s="212">
        <f t="shared" si="39"/>
        <v>15742</v>
      </c>
      <c r="C106" s="212">
        <f t="shared" si="6"/>
        <v>15742</v>
      </c>
      <c r="D106" s="215">
        <v>47423.0</v>
      </c>
      <c r="E106" s="202">
        <f t="shared" ref="E106:F106" si="92">sumif($H$19:O105,E$19,$H106:O106)</f>
        <v>15742</v>
      </c>
      <c r="F106" s="202">
        <f t="shared" si="92"/>
        <v>0</v>
      </c>
      <c r="G106" s="202" t="str">
        <f t="shared" si="8"/>
        <v>Future</v>
      </c>
      <c r="H106" s="188">
        <f t="shared" si="38"/>
        <v>12770</v>
      </c>
      <c r="I106" s="188"/>
      <c r="J106" s="188"/>
      <c r="K106" s="188"/>
      <c r="L106" s="188">
        <v>2972.0</v>
      </c>
      <c r="M106" s="188">
        <v>0.0</v>
      </c>
      <c r="N106" s="188"/>
      <c r="O106" s="188"/>
    </row>
    <row r="107">
      <c r="A107" s="188">
        <f t="shared" si="4"/>
        <v>136616</v>
      </c>
      <c r="B107" s="212">
        <f t="shared" si="39"/>
        <v>15742</v>
      </c>
      <c r="C107" s="212">
        <f t="shared" si="6"/>
        <v>15742</v>
      </c>
      <c r="D107" s="215">
        <v>47453.0</v>
      </c>
      <c r="E107" s="202">
        <f t="shared" ref="E107:F107" si="93">sumif($H$19:O106,E$19,$H107:O107)</f>
        <v>15742</v>
      </c>
      <c r="F107" s="202">
        <f t="shared" si="93"/>
        <v>0</v>
      </c>
      <c r="G107" s="202" t="str">
        <f t="shared" si="8"/>
        <v>Future</v>
      </c>
      <c r="H107" s="188">
        <f t="shared" si="38"/>
        <v>12770</v>
      </c>
      <c r="I107" s="188"/>
      <c r="J107" s="188"/>
      <c r="K107" s="188"/>
      <c r="L107" s="188">
        <v>2972.0</v>
      </c>
      <c r="M107" s="188">
        <v>0.0</v>
      </c>
      <c r="N107" s="188"/>
      <c r="O107" s="188"/>
    </row>
    <row r="108">
      <c r="A108" s="188">
        <f t="shared" si="4"/>
        <v>120874</v>
      </c>
      <c r="B108" s="212">
        <f t="shared" si="39"/>
        <v>15742</v>
      </c>
      <c r="C108" s="212">
        <f t="shared" si="6"/>
        <v>15742</v>
      </c>
      <c r="D108" s="215">
        <v>47484.0</v>
      </c>
      <c r="E108" s="202">
        <f t="shared" ref="E108:F108" si="94">sumif($H$19:O107,E$19,$H108:O108)</f>
        <v>15742</v>
      </c>
      <c r="F108" s="202">
        <f t="shared" si="94"/>
        <v>0</v>
      </c>
      <c r="G108" s="202" t="str">
        <f t="shared" si="8"/>
        <v>Future</v>
      </c>
      <c r="H108" s="188">
        <f t="shared" si="38"/>
        <v>12770</v>
      </c>
      <c r="I108" s="188"/>
      <c r="J108" s="188"/>
      <c r="K108" s="188"/>
      <c r="L108" s="188">
        <v>2972.0</v>
      </c>
      <c r="M108" s="188">
        <v>0.0</v>
      </c>
      <c r="N108" s="188"/>
      <c r="O108" s="188"/>
    </row>
    <row r="109">
      <c r="A109" s="188">
        <f t="shared" si="4"/>
        <v>105132</v>
      </c>
      <c r="B109" s="212">
        <f t="shared" si="39"/>
        <v>15742</v>
      </c>
      <c r="C109" s="212">
        <f t="shared" si="6"/>
        <v>15742</v>
      </c>
      <c r="D109" s="215">
        <v>47515.0</v>
      </c>
      <c r="E109" s="202">
        <f t="shared" ref="E109:F109" si="95">sumif($H$19:O108,E$19,$H109:O109)</f>
        <v>15742</v>
      </c>
      <c r="F109" s="202">
        <f t="shared" si="95"/>
        <v>0</v>
      </c>
      <c r="G109" s="202" t="str">
        <f t="shared" si="8"/>
        <v>Future</v>
      </c>
      <c r="H109" s="188">
        <f t="shared" si="38"/>
        <v>12770</v>
      </c>
      <c r="I109" s="188"/>
      <c r="J109" s="188"/>
      <c r="K109" s="188"/>
      <c r="L109" s="188">
        <v>2972.0</v>
      </c>
      <c r="M109" s="188">
        <v>0.0</v>
      </c>
      <c r="N109" s="188"/>
      <c r="O109" s="188"/>
    </row>
    <row r="110">
      <c r="A110" s="188">
        <f t="shared" si="4"/>
        <v>89390</v>
      </c>
      <c r="B110" s="212">
        <f t="shared" si="39"/>
        <v>15742</v>
      </c>
      <c r="C110" s="212">
        <f t="shared" si="6"/>
        <v>15742</v>
      </c>
      <c r="D110" s="215">
        <v>47543.0</v>
      </c>
      <c r="E110" s="202">
        <f t="shared" ref="E110:F110" si="96">sumif($H$19:O109,E$19,$H110:O110)</f>
        <v>15742</v>
      </c>
      <c r="F110" s="202">
        <f t="shared" si="96"/>
        <v>0</v>
      </c>
      <c r="G110" s="202" t="str">
        <f t="shared" si="8"/>
        <v>Future</v>
      </c>
      <c r="H110" s="188">
        <f t="shared" si="38"/>
        <v>12770</v>
      </c>
      <c r="I110" s="188"/>
      <c r="J110" s="188"/>
      <c r="K110" s="188"/>
      <c r="L110" s="188">
        <v>2972.0</v>
      </c>
      <c r="M110" s="188">
        <v>0.0</v>
      </c>
      <c r="N110" s="188"/>
      <c r="O110" s="188"/>
    </row>
    <row r="111">
      <c r="A111" s="188">
        <f t="shared" si="4"/>
        <v>76620</v>
      </c>
      <c r="B111" s="212">
        <f t="shared" si="39"/>
        <v>12770</v>
      </c>
      <c r="C111" s="212">
        <f t="shared" si="6"/>
        <v>12770</v>
      </c>
      <c r="D111" s="215">
        <v>47574.0</v>
      </c>
      <c r="E111" s="202">
        <f t="shared" ref="E111:F111" si="97">sumif($H$19:O110,E$19,$H111:O111)</f>
        <v>12770</v>
      </c>
      <c r="F111" s="202">
        <f t="shared" si="97"/>
        <v>0</v>
      </c>
      <c r="G111" s="202" t="str">
        <f t="shared" si="8"/>
        <v>Future</v>
      </c>
      <c r="H111" s="188">
        <f t="shared" si="38"/>
        <v>12770</v>
      </c>
      <c r="I111" s="188"/>
      <c r="J111" s="188"/>
      <c r="K111" s="188"/>
      <c r="L111" s="188"/>
      <c r="M111" s="188">
        <v>0.0</v>
      </c>
      <c r="N111" s="188"/>
      <c r="O111" s="188"/>
    </row>
    <row r="112">
      <c r="A112" s="188">
        <f t="shared" si="4"/>
        <v>63850</v>
      </c>
      <c r="B112" s="212">
        <f t="shared" si="39"/>
        <v>12770</v>
      </c>
      <c r="C112" s="212">
        <f t="shared" si="6"/>
        <v>12770</v>
      </c>
      <c r="D112" s="215">
        <v>47604.0</v>
      </c>
      <c r="E112" s="202">
        <f t="shared" ref="E112:F112" si="98">sumif($H$19:O111,E$19,$H112:O112)</f>
        <v>12770</v>
      </c>
      <c r="F112" s="202">
        <f t="shared" si="98"/>
        <v>0</v>
      </c>
      <c r="G112" s="202" t="str">
        <f t="shared" si="8"/>
        <v>Future</v>
      </c>
      <c r="H112" s="188">
        <f t="shared" si="38"/>
        <v>12770</v>
      </c>
      <c r="I112" s="188"/>
      <c r="J112" s="188"/>
      <c r="K112" s="188"/>
      <c r="L112" s="188"/>
      <c r="M112" s="188">
        <v>0.0</v>
      </c>
      <c r="N112" s="188"/>
      <c r="O112" s="188"/>
    </row>
    <row r="113">
      <c r="A113" s="188">
        <f t="shared" si="4"/>
        <v>51080</v>
      </c>
      <c r="B113" s="212">
        <f t="shared" si="39"/>
        <v>12770</v>
      </c>
      <c r="C113" s="212">
        <f t="shared" si="6"/>
        <v>12770</v>
      </c>
      <c r="D113" s="215">
        <v>47635.0</v>
      </c>
      <c r="E113" s="202">
        <f t="shared" ref="E113:F113" si="99">sumif($H$19:O112,E$19,$H113:O113)</f>
        <v>12770</v>
      </c>
      <c r="F113" s="202">
        <f t="shared" si="99"/>
        <v>0</v>
      </c>
      <c r="G113" s="202" t="str">
        <f t="shared" si="8"/>
        <v>Future</v>
      </c>
      <c r="H113" s="188">
        <f t="shared" si="38"/>
        <v>12770</v>
      </c>
      <c r="I113" s="188"/>
      <c r="J113" s="188"/>
      <c r="K113" s="188"/>
      <c r="L113" s="188"/>
      <c r="M113" s="188">
        <v>0.0</v>
      </c>
      <c r="N113" s="188"/>
      <c r="O113" s="188"/>
    </row>
    <row r="114">
      <c r="A114" s="188">
        <f t="shared" si="4"/>
        <v>38310</v>
      </c>
      <c r="B114" s="212">
        <f t="shared" si="39"/>
        <v>12770</v>
      </c>
      <c r="C114" s="212">
        <f t="shared" si="6"/>
        <v>12770</v>
      </c>
      <c r="D114" s="215">
        <v>47665.0</v>
      </c>
      <c r="E114" s="202">
        <f t="shared" ref="E114:F114" si="100">sumif($H$19:O113,E$19,$H114:O114)</f>
        <v>12770</v>
      </c>
      <c r="F114" s="202">
        <f t="shared" si="100"/>
        <v>0</v>
      </c>
      <c r="G114" s="202" t="str">
        <f t="shared" si="8"/>
        <v>Future</v>
      </c>
      <c r="H114" s="188">
        <f t="shared" si="38"/>
        <v>12770</v>
      </c>
      <c r="I114" s="188"/>
      <c r="J114" s="188"/>
      <c r="K114" s="188"/>
      <c r="L114" s="188"/>
      <c r="M114" s="188">
        <v>0.0</v>
      </c>
      <c r="N114" s="188"/>
      <c r="O114" s="188"/>
    </row>
    <row r="115">
      <c r="A115" s="188">
        <f t="shared" si="4"/>
        <v>25540</v>
      </c>
      <c r="B115" s="212">
        <f t="shared" si="39"/>
        <v>12770</v>
      </c>
      <c r="C115" s="212">
        <f t="shared" si="6"/>
        <v>12770</v>
      </c>
      <c r="D115" s="215">
        <v>47696.0</v>
      </c>
      <c r="E115" s="202">
        <f t="shared" ref="E115:F115" si="101">sumif($H$19:O114,E$19,$H115:O115)</f>
        <v>12770</v>
      </c>
      <c r="F115" s="202">
        <f t="shared" si="101"/>
        <v>0</v>
      </c>
      <c r="G115" s="202" t="str">
        <f t="shared" si="8"/>
        <v>Future</v>
      </c>
      <c r="H115" s="188">
        <f t="shared" si="38"/>
        <v>12770</v>
      </c>
      <c r="I115" s="188"/>
      <c r="J115" s="188"/>
      <c r="K115" s="188"/>
      <c r="L115" s="188"/>
      <c r="M115" s="188">
        <v>0.0</v>
      </c>
      <c r="N115" s="188"/>
      <c r="O115" s="188"/>
    </row>
    <row r="116">
      <c r="A116" s="188">
        <f t="shared" si="4"/>
        <v>12770</v>
      </c>
      <c r="B116" s="212">
        <f t="shared" si="39"/>
        <v>12770</v>
      </c>
      <c r="C116" s="212">
        <f t="shared" si="6"/>
        <v>12770</v>
      </c>
      <c r="D116" s="215">
        <v>47727.0</v>
      </c>
      <c r="E116" s="202">
        <f t="shared" ref="E116:F116" si="102">sumif($H$19:O115,E$19,$H116:O116)</f>
        <v>12770</v>
      </c>
      <c r="F116" s="202">
        <f t="shared" si="102"/>
        <v>0</v>
      </c>
      <c r="G116" s="202" t="str">
        <f t="shared" si="8"/>
        <v>Future</v>
      </c>
      <c r="H116" s="188">
        <f t="shared" si="38"/>
        <v>12770</v>
      </c>
      <c r="I116" s="188"/>
      <c r="J116" s="188"/>
      <c r="K116" s="188"/>
      <c r="L116" s="188"/>
      <c r="M116" s="188">
        <v>0.0</v>
      </c>
      <c r="N116" s="188"/>
      <c r="O116" s="188"/>
    </row>
    <row r="117">
      <c r="A117" s="188">
        <f t="shared" si="4"/>
        <v>0</v>
      </c>
      <c r="B117" s="212">
        <f t="shared" si="39"/>
        <v>12770</v>
      </c>
      <c r="C117" s="212">
        <f t="shared" si="6"/>
        <v>12770</v>
      </c>
      <c r="D117" s="215">
        <v>47757.0</v>
      </c>
      <c r="E117" s="202">
        <f t="shared" ref="E117:F117" si="103">sumif($H$19:O116,E$19,$H117:O117)</f>
        <v>12770</v>
      </c>
      <c r="F117" s="202">
        <f t="shared" si="103"/>
        <v>0</v>
      </c>
      <c r="G117" s="202" t="str">
        <f t="shared" si="8"/>
        <v>Future</v>
      </c>
      <c r="H117" s="188">
        <f t="shared" si="38"/>
        <v>12770</v>
      </c>
      <c r="I117" s="188"/>
      <c r="J117" s="188"/>
      <c r="K117" s="188"/>
      <c r="L117" s="188"/>
      <c r="M117" s="188">
        <v>0.0</v>
      </c>
      <c r="N117" s="188"/>
      <c r="O117" s="188"/>
    </row>
  </sheetData>
  <conditionalFormatting sqref="E20:G117">
    <cfRule type="cellIs" dxfId="19" priority="1" operator="equal">
      <formula>"Current"</formula>
    </cfRule>
  </conditionalFormatting>
  <conditionalFormatting sqref="A1:O117">
    <cfRule type="cellIs" dxfId="19" priority="2" operator="equal">
      <formula>DATE(year(today()),month(today()),1)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/>
  <cols>
    <col customWidth="1" min="3" max="3" width="8.38"/>
    <col customWidth="1" min="4" max="4" width="10.88"/>
    <col customWidth="1" min="5" max="5" width="13.38"/>
    <col customWidth="1" min="6" max="6" width="9.5"/>
    <col customWidth="1" min="7" max="7" width="11.0"/>
    <col customWidth="1" min="8" max="8" width="13.38"/>
    <col customWidth="1" min="9" max="9" width="11.0"/>
    <col customWidth="1" min="10" max="10" width="11.88"/>
    <col customWidth="1" min="11" max="11" width="13.38"/>
    <col customWidth="1" min="12" max="13" width="11.88"/>
    <col customWidth="1" min="14" max="14" width="13.38"/>
    <col customWidth="1" min="15" max="16" width="11.88"/>
    <col customWidth="1" min="17" max="17" width="13.38"/>
    <col customWidth="1" min="18" max="19" width="11.88"/>
    <col customWidth="1" min="20" max="20" width="13.38"/>
    <col customWidth="1" min="21" max="21" width="11.88"/>
  </cols>
  <sheetData>
    <row r="1">
      <c r="D1" s="254" t="s">
        <v>292</v>
      </c>
      <c r="E1" s="255" t="s">
        <v>293</v>
      </c>
      <c r="F1" s="256" t="s">
        <v>257</v>
      </c>
      <c r="G1" s="255" t="s">
        <v>292</v>
      </c>
      <c r="H1" s="255" t="s">
        <v>293</v>
      </c>
      <c r="I1" s="256" t="s">
        <v>257</v>
      </c>
      <c r="J1" s="255" t="s">
        <v>292</v>
      </c>
      <c r="K1" s="255" t="s">
        <v>293</v>
      </c>
      <c r="L1" s="256" t="s">
        <v>257</v>
      </c>
      <c r="M1" s="255" t="s">
        <v>292</v>
      </c>
      <c r="N1" s="255" t="s">
        <v>293</v>
      </c>
      <c r="O1" s="256" t="s">
        <v>257</v>
      </c>
      <c r="P1" s="255" t="s">
        <v>292</v>
      </c>
      <c r="Q1" s="255" t="s">
        <v>293</v>
      </c>
      <c r="R1" s="256" t="s">
        <v>257</v>
      </c>
      <c r="S1" s="255" t="s">
        <v>292</v>
      </c>
      <c r="T1" s="255" t="s">
        <v>293</v>
      </c>
      <c r="U1" s="256" t="s">
        <v>257</v>
      </c>
      <c r="V1" s="257"/>
      <c r="W1" s="257"/>
      <c r="X1" s="257"/>
      <c r="Y1" s="257"/>
      <c r="Z1" s="190"/>
    </row>
    <row r="2">
      <c r="D2" s="193">
        <v>800000.0</v>
      </c>
      <c r="E2" s="2">
        <f>countif(E8:E1012,"Paid")</f>
        <v>25</v>
      </c>
      <c r="F2" s="194">
        <f>count(D8:D1012)</f>
        <v>84</v>
      </c>
      <c r="G2" s="193">
        <v>692275.0</v>
      </c>
      <c r="H2" s="2">
        <f>countif(H8:H1012,"Paid")</f>
        <v>32</v>
      </c>
      <c r="I2" s="194">
        <f>count(G8:G1012)</f>
        <v>60</v>
      </c>
      <c r="J2" s="193">
        <v>300000.0</v>
      </c>
      <c r="K2" s="2">
        <f>countif(K8:K1012,"Paid")</f>
        <v>13</v>
      </c>
      <c r="L2" s="194">
        <f>count(J8:J1012)</f>
        <v>48</v>
      </c>
      <c r="M2" s="193">
        <v>134000.0</v>
      </c>
      <c r="N2" s="2">
        <f>countif(N8:N1012,"Paid")</f>
        <v>8</v>
      </c>
      <c r="O2" s="194">
        <f>count(M8:M1012)</f>
        <v>60</v>
      </c>
      <c r="P2" s="193">
        <v>100000.0</v>
      </c>
      <c r="Q2" s="2">
        <f>countif(Q8:Q1012,"Paid")</f>
        <v>7</v>
      </c>
      <c r="R2" s="194">
        <f>count(P8:P1012)</f>
        <v>18</v>
      </c>
      <c r="S2" s="193">
        <v>233687.0</v>
      </c>
      <c r="T2" s="2">
        <f>countif(T8:T1012,"Paid")</f>
        <v>7</v>
      </c>
      <c r="U2" s="194">
        <f>count(S8:S1012)</f>
        <v>12</v>
      </c>
      <c r="Z2" s="194"/>
    </row>
    <row r="3">
      <c r="D3" s="193" t="s">
        <v>294</v>
      </c>
      <c r="E3" s="6" t="s">
        <v>295</v>
      </c>
      <c r="F3" s="194"/>
      <c r="G3" s="6" t="s">
        <v>294</v>
      </c>
      <c r="H3" s="6" t="s">
        <v>295</v>
      </c>
      <c r="I3" s="194"/>
      <c r="J3" s="6" t="s">
        <v>294</v>
      </c>
      <c r="K3" s="6" t="s">
        <v>295</v>
      </c>
      <c r="L3" s="194"/>
      <c r="M3" s="6" t="s">
        <v>294</v>
      </c>
      <c r="N3" s="6" t="s">
        <v>295</v>
      </c>
      <c r="O3" s="194"/>
      <c r="P3" s="6" t="s">
        <v>294</v>
      </c>
      <c r="Q3" s="6" t="s">
        <v>295</v>
      </c>
      <c r="R3" s="194"/>
      <c r="S3" s="6" t="s">
        <v>294</v>
      </c>
      <c r="T3" s="6" t="s">
        <v>295</v>
      </c>
      <c r="U3" s="194"/>
      <c r="Z3" s="194"/>
    </row>
    <row r="4">
      <c r="D4" s="193">
        <v>12770.0</v>
      </c>
      <c r="E4" s="6">
        <f>F2-E2</f>
        <v>59</v>
      </c>
      <c r="F4" s="192"/>
      <c r="G4" s="193">
        <v>15577.0</v>
      </c>
      <c r="H4" s="6">
        <f>I2-H2</f>
        <v>28</v>
      </c>
      <c r="I4" s="194"/>
      <c r="J4" s="193">
        <v>9290.0</v>
      </c>
      <c r="K4" s="6">
        <f>L2-K2</f>
        <v>35</v>
      </c>
      <c r="L4" s="194"/>
      <c r="M4" s="193">
        <v>2972.0</v>
      </c>
      <c r="N4" s="6">
        <f>O2-N2</f>
        <v>52</v>
      </c>
      <c r="O4" s="194"/>
      <c r="P4" s="193">
        <v>6818.0</v>
      </c>
      <c r="Q4" s="6">
        <f>R2-Q2</f>
        <v>11</v>
      </c>
      <c r="R4" s="194"/>
      <c r="S4" s="193">
        <f>S2*1.1%</f>
        <v>2570.557</v>
      </c>
      <c r="T4" s="6">
        <f>U2-T2</f>
        <v>5</v>
      </c>
      <c r="U4" s="194"/>
      <c r="Z4" s="194"/>
    </row>
    <row r="5">
      <c r="D5" s="193" t="s">
        <v>296</v>
      </c>
      <c r="E5" s="6" t="s">
        <v>296</v>
      </c>
      <c r="F5" s="192" t="s">
        <v>296</v>
      </c>
      <c r="G5" s="193" t="s">
        <v>297</v>
      </c>
      <c r="H5" s="6" t="s">
        <v>297</v>
      </c>
      <c r="I5" s="6" t="s">
        <v>297</v>
      </c>
      <c r="J5" s="193" t="s">
        <v>298</v>
      </c>
      <c r="K5" s="6" t="s">
        <v>298</v>
      </c>
      <c r="L5" s="6" t="s">
        <v>298</v>
      </c>
      <c r="M5" s="193" t="s">
        <v>299</v>
      </c>
      <c r="N5" s="6" t="s">
        <v>299</v>
      </c>
      <c r="O5" s="192" t="s">
        <v>299</v>
      </c>
      <c r="P5" s="193" t="s">
        <v>300</v>
      </c>
      <c r="Q5" s="6" t="s">
        <v>300</v>
      </c>
      <c r="R5" s="192" t="s">
        <v>300</v>
      </c>
      <c r="S5" s="193" t="s">
        <v>300</v>
      </c>
      <c r="T5" s="6" t="s">
        <v>300</v>
      </c>
      <c r="U5" s="192" t="s">
        <v>300</v>
      </c>
      <c r="Z5" s="194"/>
    </row>
    <row r="6">
      <c r="D6" s="193" t="s">
        <v>301</v>
      </c>
      <c r="E6" s="6" t="s">
        <v>68</v>
      </c>
      <c r="F6" s="192" t="s">
        <v>64</v>
      </c>
      <c r="G6" s="193" t="s">
        <v>301</v>
      </c>
      <c r="H6" s="6" t="s">
        <v>68</v>
      </c>
      <c r="I6" s="192" t="s">
        <v>64</v>
      </c>
      <c r="J6" s="193" t="s">
        <v>301</v>
      </c>
      <c r="K6" s="6" t="s">
        <v>68</v>
      </c>
      <c r="L6" s="192" t="s">
        <v>64</v>
      </c>
      <c r="M6" s="193" t="s">
        <v>301</v>
      </c>
      <c r="N6" s="6" t="s">
        <v>68</v>
      </c>
      <c r="O6" s="192" t="s">
        <v>64</v>
      </c>
      <c r="P6" s="193" t="s">
        <v>301</v>
      </c>
      <c r="Q6" s="6" t="s">
        <v>68</v>
      </c>
      <c r="R6" s="192" t="s">
        <v>64</v>
      </c>
      <c r="S6" s="193" t="s">
        <v>301</v>
      </c>
      <c r="T6" s="6" t="s">
        <v>68</v>
      </c>
      <c r="U6" s="192" t="s">
        <v>64</v>
      </c>
      <c r="Z6" s="194"/>
    </row>
    <row r="7">
      <c r="D7" s="196">
        <f>sum(D8:D1012)</f>
        <v>1072680</v>
      </c>
      <c r="E7" s="258">
        <f>SUMIF(E8:E1012,E6,D8:D1012)</f>
        <v>319250</v>
      </c>
      <c r="F7" s="259">
        <f>SUMIF(F8:F1012,F6,D8:D1012)</f>
        <v>753430</v>
      </c>
      <c r="G7" s="196">
        <f>sum(G8:G1012)</f>
        <v>957834</v>
      </c>
      <c r="H7" s="258">
        <f>SUMIF(H8:H1012,H6,G8:G1012)</f>
        <v>521678</v>
      </c>
      <c r="I7" s="259">
        <f>SUMIF(I8:I1012,I6,G8:G1012)</f>
        <v>436156</v>
      </c>
      <c r="J7" s="196">
        <f>sum(J8:J1012)</f>
        <v>446795</v>
      </c>
      <c r="K7" s="258">
        <f>SUMIF(K8:K1012,K6,J8:J1012)</f>
        <v>121645</v>
      </c>
      <c r="L7" s="259">
        <f>SUMIF(L8:L1012,L6,J8:J1012)</f>
        <v>325150</v>
      </c>
      <c r="M7" s="196">
        <f>sum(M8:M1012)</f>
        <v>178320</v>
      </c>
      <c r="N7" s="258">
        <f>SUMIF(N8:N1012,N6,M8:M1012)</f>
        <v>23776</v>
      </c>
      <c r="O7" s="259">
        <f>SUMIF(O8:O1012,O6,M8:M1012)</f>
        <v>154544</v>
      </c>
      <c r="P7" s="196">
        <f>sum(P8:P1012)</f>
        <v>122724</v>
      </c>
      <c r="Q7" s="258">
        <f>SUMIF(Q8:Q1012,Q6,P8:P1012)</f>
        <v>47726</v>
      </c>
      <c r="R7" s="259">
        <f>SUMIF(R8:R1012,R6,P8:P1012)</f>
        <v>74998</v>
      </c>
      <c r="S7" s="196">
        <f>sum(S8:S1012)</f>
        <v>30852</v>
      </c>
      <c r="T7" s="258">
        <f>SUMIF(T8:T1012,T6,S8:S1012)</f>
        <v>17997</v>
      </c>
      <c r="U7" s="259">
        <f>SUMIF(U8:U1012,U6,S8:S1012)</f>
        <v>12855</v>
      </c>
      <c r="V7" s="260"/>
      <c r="W7" s="260"/>
      <c r="X7" s="260"/>
      <c r="Y7" s="260"/>
      <c r="Z7" s="197"/>
    </row>
    <row r="8">
      <c r="B8" s="2">
        <f t="shared" ref="B8:B1012" si="1">sum(D8:Z8)</f>
        <v>0</v>
      </c>
      <c r="C8" s="261">
        <v>44958.0</v>
      </c>
      <c r="D8" s="193"/>
      <c r="E8" s="6"/>
      <c r="F8" s="192"/>
      <c r="G8" s="191"/>
      <c r="H8" s="6" t="str">
        <f t="shared" ref="H8:H100" si="2">if(AND($C8&lt;today(),G8&gt;0), "Paid","N/A")</f>
        <v>N/A</v>
      </c>
      <c r="I8" s="192" t="str">
        <f t="shared" ref="I8:I100" si="3">if(AND($C8&lt;today(),G8&gt;0), "N/A","Balance")</f>
        <v>Balance</v>
      </c>
      <c r="J8" s="191"/>
      <c r="K8" s="6" t="str">
        <f t="shared" ref="K8:K100" si="4">if(AND($C8&lt;today(),J8&gt;0), "Paid","N/A")</f>
        <v>N/A</v>
      </c>
      <c r="L8" s="192" t="str">
        <f t="shared" ref="L8:L100" si="5">if(AND($C8&lt;today(),J8&gt;0), "N/A","Balance")</f>
        <v>Balance</v>
      </c>
      <c r="M8" s="191"/>
      <c r="N8" s="6" t="str">
        <f t="shared" ref="N8:N100" si="6">if(AND($C8&lt;today(),M8&gt;0), "Paid","N/A")</f>
        <v>N/A</v>
      </c>
      <c r="O8" s="192" t="str">
        <f t="shared" ref="O8:O100" si="7">if(AND($C8&lt;today(),M8&gt;0), "N/A","Balance")</f>
        <v>Balance</v>
      </c>
      <c r="P8" s="191"/>
      <c r="Q8" s="6" t="str">
        <f t="shared" ref="Q8:Q100" si="8">if(AND($C8&lt;today(),P8&gt;0), "Paid","N/A")</f>
        <v>N/A</v>
      </c>
      <c r="R8" s="192" t="str">
        <f t="shared" ref="R8:R100" si="9">if(AND($C8&lt;today(),P8&gt;0), "N/A","Balance")</f>
        <v>Balance</v>
      </c>
      <c r="S8" s="191"/>
      <c r="T8" s="6" t="str">
        <f t="shared" ref="T8:T100" si="10">if(AND($C8&lt;today(),S8&gt;0), "Paid","N/A")</f>
        <v>N/A</v>
      </c>
      <c r="U8" s="192" t="str">
        <f t="shared" ref="U8:U100" si="11">if(AND($C8&lt;today(),S8&gt;0), "N/A","Balance")</f>
        <v>Balance</v>
      </c>
    </row>
    <row r="9">
      <c r="B9" s="2">
        <f t="shared" si="1"/>
        <v>0</v>
      </c>
      <c r="C9" s="261">
        <v>44986.0</v>
      </c>
      <c r="D9" s="193"/>
      <c r="E9" s="6"/>
      <c r="F9" s="192"/>
      <c r="G9" s="191"/>
      <c r="H9" s="6" t="str">
        <f t="shared" si="2"/>
        <v>N/A</v>
      </c>
      <c r="I9" s="192" t="str">
        <f t="shared" si="3"/>
        <v>Balance</v>
      </c>
      <c r="J9" s="191"/>
      <c r="K9" s="6" t="str">
        <f t="shared" si="4"/>
        <v>N/A</v>
      </c>
      <c r="L9" s="192" t="str">
        <f t="shared" si="5"/>
        <v>Balance</v>
      </c>
      <c r="M9" s="191"/>
      <c r="N9" s="6" t="str">
        <f t="shared" si="6"/>
        <v>N/A</v>
      </c>
      <c r="O9" s="192" t="str">
        <f t="shared" si="7"/>
        <v>Balance</v>
      </c>
      <c r="P9" s="191"/>
      <c r="Q9" s="6" t="str">
        <f t="shared" si="8"/>
        <v>N/A</v>
      </c>
      <c r="R9" s="192" t="str">
        <f t="shared" si="9"/>
        <v>Balance</v>
      </c>
      <c r="S9" s="191"/>
      <c r="T9" s="6" t="str">
        <f t="shared" si="10"/>
        <v>N/A</v>
      </c>
      <c r="U9" s="192" t="str">
        <f t="shared" si="11"/>
        <v>Balance</v>
      </c>
    </row>
    <row r="10">
      <c r="B10" s="2">
        <f t="shared" si="1"/>
        <v>22679</v>
      </c>
      <c r="C10" s="261">
        <v>45017.0</v>
      </c>
      <c r="D10" s="193"/>
      <c r="E10" s="6"/>
      <c r="F10" s="192"/>
      <c r="G10" s="193">
        <v>22679.0</v>
      </c>
      <c r="H10" s="6" t="str">
        <f t="shared" si="2"/>
        <v>Paid</v>
      </c>
      <c r="I10" s="192" t="str">
        <f t="shared" si="3"/>
        <v>N/A</v>
      </c>
      <c r="J10" s="193"/>
      <c r="K10" s="6" t="str">
        <f t="shared" si="4"/>
        <v>N/A</v>
      </c>
      <c r="L10" s="192" t="str">
        <f t="shared" si="5"/>
        <v>Balance</v>
      </c>
      <c r="M10" s="193"/>
      <c r="N10" s="6" t="str">
        <f t="shared" si="6"/>
        <v>N/A</v>
      </c>
      <c r="O10" s="192" t="str">
        <f t="shared" si="7"/>
        <v>Balance</v>
      </c>
      <c r="P10" s="193"/>
      <c r="Q10" s="6" t="str">
        <f t="shared" si="8"/>
        <v>N/A</v>
      </c>
      <c r="R10" s="192" t="str">
        <f t="shared" si="9"/>
        <v>Balance</v>
      </c>
      <c r="S10" s="193"/>
      <c r="T10" s="6" t="str">
        <f t="shared" si="10"/>
        <v>N/A</v>
      </c>
      <c r="U10" s="192" t="str">
        <f t="shared" si="11"/>
        <v>Balance</v>
      </c>
    </row>
    <row r="11">
      <c r="B11" s="2">
        <f t="shared" si="1"/>
        <v>15929</v>
      </c>
      <c r="C11" s="261">
        <v>45047.0</v>
      </c>
      <c r="D11" s="193"/>
      <c r="E11" s="6"/>
      <c r="F11" s="192"/>
      <c r="G11" s="193">
        <v>15929.0</v>
      </c>
      <c r="H11" s="6" t="str">
        <f t="shared" si="2"/>
        <v>Paid</v>
      </c>
      <c r="I11" s="192" t="str">
        <f t="shared" si="3"/>
        <v>N/A</v>
      </c>
      <c r="J11" s="193"/>
      <c r="K11" s="6" t="str">
        <f t="shared" si="4"/>
        <v>N/A</v>
      </c>
      <c r="L11" s="192" t="str">
        <f t="shared" si="5"/>
        <v>Balance</v>
      </c>
      <c r="M11" s="193"/>
      <c r="N11" s="6" t="str">
        <f t="shared" si="6"/>
        <v>N/A</v>
      </c>
      <c r="O11" s="192" t="str">
        <f t="shared" si="7"/>
        <v>Balance</v>
      </c>
      <c r="P11" s="193"/>
      <c r="Q11" s="6" t="str">
        <f t="shared" si="8"/>
        <v>N/A</v>
      </c>
      <c r="R11" s="192" t="str">
        <f t="shared" si="9"/>
        <v>Balance</v>
      </c>
      <c r="S11" s="193"/>
      <c r="T11" s="6" t="str">
        <f t="shared" si="10"/>
        <v>N/A</v>
      </c>
      <c r="U11" s="192" t="str">
        <f t="shared" si="11"/>
        <v>Balance</v>
      </c>
    </row>
    <row r="12">
      <c r="B12" s="2">
        <f t="shared" si="1"/>
        <v>15929</v>
      </c>
      <c r="C12" s="261">
        <v>45078.0</v>
      </c>
      <c r="D12" s="193"/>
      <c r="E12" s="6"/>
      <c r="F12" s="192"/>
      <c r="G12" s="193">
        <v>15929.0</v>
      </c>
      <c r="H12" s="6" t="str">
        <f t="shared" si="2"/>
        <v>Paid</v>
      </c>
      <c r="I12" s="192" t="str">
        <f t="shared" si="3"/>
        <v>N/A</v>
      </c>
      <c r="J12" s="193"/>
      <c r="K12" s="6" t="str">
        <f t="shared" si="4"/>
        <v>N/A</v>
      </c>
      <c r="L12" s="192" t="str">
        <f t="shared" si="5"/>
        <v>Balance</v>
      </c>
      <c r="M12" s="193"/>
      <c r="N12" s="6" t="str">
        <f t="shared" si="6"/>
        <v>N/A</v>
      </c>
      <c r="O12" s="192" t="str">
        <f t="shared" si="7"/>
        <v>Balance</v>
      </c>
      <c r="P12" s="193"/>
      <c r="Q12" s="6" t="str">
        <f t="shared" si="8"/>
        <v>N/A</v>
      </c>
      <c r="R12" s="192" t="str">
        <f t="shared" si="9"/>
        <v>Balance</v>
      </c>
      <c r="S12" s="193"/>
      <c r="T12" s="6" t="str">
        <f t="shared" si="10"/>
        <v>N/A</v>
      </c>
      <c r="U12" s="192" t="str">
        <f t="shared" si="11"/>
        <v>Balance</v>
      </c>
    </row>
    <row r="13">
      <c r="B13" s="2">
        <f t="shared" si="1"/>
        <v>15929</v>
      </c>
      <c r="C13" s="261">
        <v>45108.0</v>
      </c>
      <c r="D13" s="193"/>
      <c r="E13" s="6"/>
      <c r="F13" s="192"/>
      <c r="G13" s="193">
        <v>15929.0</v>
      </c>
      <c r="H13" s="6" t="str">
        <f t="shared" si="2"/>
        <v>Paid</v>
      </c>
      <c r="I13" s="192" t="str">
        <f t="shared" si="3"/>
        <v>N/A</v>
      </c>
      <c r="J13" s="193"/>
      <c r="K13" s="6" t="str">
        <f t="shared" si="4"/>
        <v>N/A</v>
      </c>
      <c r="L13" s="192" t="str">
        <f t="shared" si="5"/>
        <v>Balance</v>
      </c>
      <c r="M13" s="193"/>
      <c r="N13" s="6" t="str">
        <f t="shared" si="6"/>
        <v>N/A</v>
      </c>
      <c r="O13" s="192" t="str">
        <f t="shared" si="7"/>
        <v>Balance</v>
      </c>
      <c r="P13" s="193"/>
      <c r="Q13" s="6" t="str">
        <f t="shared" si="8"/>
        <v>N/A</v>
      </c>
      <c r="R13" s="192" t="str">
        <f t="shared" si="9"/>
        <v>Balance</v>
      </c>
      <c r="S13" s="193"/>
      <c r="T13" s="6" t="str">
        <f t="shared" si="10"/>
        <v>N/A</v>
      </c>
      <c r="U13" s="192" t="str">
        <f t="shared" si="11"/>
        <v>Balance</v>
      </c>
    </row>
    <row r="14">
      <c r="B14" s="2">
        <f t="shared" si="1"/>
        <v>15929</v>
      </c>
      <c r="C14" s="261">
        <v>45139.0</v>
      </c>
      <c r="D14" s="193"/>
      <c r="E14" s="6"/>
      <c r="F14" s="192"/>
      <c r="G14" s="193">
        <v>15929.0</v>
      </c>
      <c r="H14" s="6" t="str">
        <f t="shared" si="2"/>
        <v>Paid</v>
      </c>
      <c r="I14" s="192" t="str">
        <f t="shared" si="3"/>
        <v>N/A</v>
      </c>
      <c r="J14" s="193"/>
      <c r="K14" s="6" t="str">
        <f t="shared" si="4"/>
        <v>N/A</v>
      </c>
      <c r="L14" s="192" t="str">
        <f t="shared" si="5"/>
        <v>Balance</v>
      </c>
      <c r="M14" s="193"/>
      <c r="N14" s="6" t="str">
        <f t="shared" si="6"/>
        <v>N/A</v>
      </c>
      <c r="O14" s="192" t="str">
        <f t="shared" si="7"/>
        <v>Balance</v>
      </c>
      <c r="P14" s="193"/>
      <c r="Q14" s="6" t="str">
        <f t="shared" si="8"/>
        <v>N/A</v>
      </c>
      <c r="R14" s="192" t="str">
        <f t="shared" si="9"/>
        <v>Balance</v>
      </c>
      <c r="S14" s="193"/>
      <c r="T14" s="6" t="str">
        <f t="shared" si="10"/>
        <v>N/A</v>
      </c>
      <c r="U14" s="192" t="str">
        <f t="shared" si="11"/>
        <v>Balance</v>
      </c>
    </row>
    <row r="15">
      <c r="B15" s="2">
        <f t="shared" si="1"/>
        <v>15929</v>
      </c>
      <c r="C15" s="261">
        <v>45170.0</v>
      </c>
      <c r="D15" s="193"/>
      <c r="E15" s="6"/>
      <c r="F15" s="192"/>
      <c r="G15" s="193">
        <v>15929.0</v>
      </c>
      <c r="H15" s="6" t="str">
        <f t="shared" si="2"/>
        <v>Paid</v>
      </c>
      <c r="I15" s="192" t="str">
        <f t="shared" si="3"/>
        <v>N/A</v>
      </c>
      <c r="J15" s="193"/>
      <c r="K15" s="6" t="str">
        <f t="shared" si="4"/>
        <v>N/A</v>
      </c>
      <c r="L15" s="192" t="str">
        <f t="shared" si="5"/>
        <v>Balance</v>
      </c>
      <c r="M15" s="193"/>
      <c r="N15" s="6" t="str">
        <f t="shared" si="6"/>
        <v>N/A</v>
      </c>
      <c r="O15" s="192" t="str">
        <f t="shared" si="7"/>
        <v>Balance</v>
      </c>
      <c r="P15" s="193"/>
      <c r="Q15" s="6" t="str">
        <f t="shared" si="8"/>
        <v>N/A</v>
      </c>
      <c r="R15" s="192" t="str">
        <f t="shared" si="9"/>
        <v>Balance</v>
      </c>
      <c r="S15" s="193"/>
      <c r="T15" s="6" t="str">
        <f t="shared" si="10"/>
        <v>N/A</v>
      </c>
      <c r="U15" s="192" t="str">
        <f t="shared" si="11"/>
        <v>Balance</v>
      </c>
    </row>
    <row r="16">
      <c r="B16" s="2">
        <f t="shared" si="1"/>
        <v>29929</v>
      </c>
      <c r="C16" s="261">
        <v>45200.0</v>
      </c>
      <c r="D16" s="193"/>
      <c r="E16" s="6"/>
      <c r="F16" s="192"/>
      <c r="G16" s="193">
        <v>29929.0</v>
      </c>
      <c r="H16" s="6" t="str">
        <f t="shared" si="2"/>
        <v>Paid</v>
      </c>
      <c r="I16" s="192" t="str">
        <f t="shared" si="3"/>
        <v>N/A</v>
      </c>
      <c r="J16" s="193"/>
      <c r="K16" s="6" t="str">
        <f t="shared" si="4"/>
        <v>N/A</v>
      </c>
      <c r="L16" s="192" t="str">
        <f t="shared" si="5"/>
        <v>Balance</v>
      </c>
      <c r="M16" s="193"/>
      <c r="N16" s="6" t="str">
        <f t="shared" si="6"/>
        <v>N/A</v>
      </c>
      <c r="O16" s="192" t="str">
        <f t="shared" si="7"/>
        <v>Balance</v>
      </c>
      <c r="P16" s="193"/>
      <c r="Q16" s="6" t="str">
        <f t="shared" si="8"/>
        <v>N/A</v>
      </c>
      <c r="R16" s="192" t="str">
        <f t="shared" si="9"/>
        <v>Balance</v>
      </c>
      <c r="S16" s="193"/>
      <c r="T16" s="6" t="str">
        <f t="shared" si="10"/>
        <v>N/A</v>
      </c>
      <c r="U16" s="192" t="str">
        <f t="shared" si="11"/>
        <v>Balance</v>
      </c>
    </row>
    <row r="17">
      <c r="B17" s="2">
        <f t="shared" si="1"/>
        <v>28347</v>
      </c>
      <c r="C17" s="261">
        <v>45231.0</v>
      </c>
      <c r="D17" s="193">
        <f t="shared" ref="D17:D100" si="12">D$4</f>
        <v>12770</v>
      </c>
      <c r="E17" s="6" t="str">
        <f t="shared" ref="E17:E100" si="13">if(AND($C17&lt;today(),D17&gt;0), "Paid","N/A")</f>
        <v>Paid</v>
      </c>
      <c r="F17" s="192" t="str">
        <f t="shared" ref="F17:F100" si="14">if(AND($C17&lt;today(),D17&gt;0), "N/A","Balance")</f>
        <v>N/A</v>
      </c>
      <c r="G17" s="193">
        <v>15577.0</v>
      </c>
      <c r="H17" s="6" t="str">
        <f t="shared" si="2"/>
        <v>Paid</v>
      </c>
      <c r="I17" s="192" t="str">
        <f t="shared" si="3"/>
        <v>N/A</v>
      </c>
      <c r="J17" s="193"/>
      <c r="K17" s="6" t="str">
        <f t="shared" si="4"/>
        <v>N/A</v>
      </c>
      <c r="L17" s="192" t="str">
        <f t="shared" si="5"/>
        <v>Balance</v>
      </c>
      <c r="M17" s="193"/>
      <c r="N17" s="6" t="str">
        <f t="shared" si="6"/>
        <v>N/A</v>
      </c>
      <c r="O17" s="192" t="str">
        <f t="shared" si="7"/>
        <v>Balance</v>
      </c>
      <c r="P17" s="193"/>
      <c r="Q17" s="6" t="str">
        <f t="shared" si="8"/>
        <v>N/A</v>
      </c>
      <c r="R17" s="192" t="str">
        <f t="shared" si="9"/>
        <v>Balance</v>
      </c>
      <c r="S17" s="193"/>
      <c r="T17" s="6" t="str">
        <f t="shared" si="10"/>
        <v>N/A</v>
      </c>
      <c r="U17" s="192" t="str">
        <f t="shared" si="11"/>
        <v>Balance</v>
      </c>
    </row>
    <row r="18">
      <c r="B18" s="2">
        <f t="shared" si="1"/>
        <v>28347</v>
      </c>
      <c r="C18" s="261">
        <v>45261.0</v>
      </c>
      <c r="D18" s="193">
        <f t="shared" si="12"/>
        <v>12770</v>
      </c>
      <c r="E18" s="6" t="str">
        <f t="shared" si="13"/>
        <v>Paid</v>
      </c>
      <c r="F18" s="192" t="str">
        <f t="shared" si="14"/>
        <v>N/A</v>
      </c>
      <c r="G18" s="193">
        <v>15577.0</v>
      </c>
      <c r="H18" s="6" t="str">
        <f t="shared" si="2"/>
        <v>Paid</v>
      </c>
      <c r="I18" s="192" t="str">
        <f t="shared" si="3"/>
        <v>N/A</v>
      </c>
      <c r="J18" s="193"/>
      <c r="K18" s="6" t="str">
        <f t="shared" si="4"/>
        <v>N/A</v>
      </c>
      <c r="L18" s="192" t="str">
        <f t="shared" si="5"/>
        <v>Balance</v>
      </c>
      <c r="M18" s="193"/>
      <c r="N18" s="6" t="str">
        <f t="shared" si="6"/>
        <v>N/A</v>
      </c>
      <c r="O18" s="192" t="str">
        <f t="shared" si="7"/>
        <v>Balance</v>
      </c>
      <c r="P18" s="193"/>
      <c r="Q18" s="6" t="str">
        <f t="shared" si="8"/>
        <v>N/A</v>
      </c>
      <c r="R18" s="192" t="str">
        <f t="shared" si="9"/>
        <v>Balance</v>
      </c>
      <c r="S18" s="193"/>
      <c r="T18" s="6" t="str">
        <f t="shared" si="10"/>
        <v>N/A</v>
      </c>
      <c r="U18" s="192" t="str">
        <f t="shared" si="11"/>
        <v>Balance</v>
      </c>
    </row>
    <row r="19">
      <c r="B19" s="2">
        <f t="shared" si="1"/>
        <v>28347</v>
      </c>
      <c r="C19" s="261">
        <v>45292.0</v>
      </c>
      <c r="D19" s="193">
        <f t="shared" si="12"/>
        <v>12770</v>
      </c>
      <c r="E19" s="6" t="str">
        <f t="shared" si="13"/>
        <v>Paid</v>
      </c>
      <c r="F19" s="192" t="str">
        <f t="shared" si="14"/>
        <v>N/A</v>
      </c>
      <c r="G19" s="193">
        <v>15577.0</v>
      </c>
      <c r="H19" s="6" t="str">
        <f t="shared" si="2"/>
        <v>Paid</v>
      </c>
      <c r="I19" s="192" t="str">
        <f t="shared" si="3"/>
        <v>N/A</v>
      </c>
      <c r="J19" s="193"/>
      <c r="K19" s="6" t="str">
        <f t="shared" si="4"/>
        <v>N/A</v>
      </c>
      <c r="L19" s="192" t="str">
        <f t="shared" si="5"/>
        <v>Balance</v>
      </c>
      <c r="M19" s="193"/>
      <c r="N19" s="6" t="str">
        <f t="shared" si="6"/>
        <v>N/A</v>
      </c>
      <c r="O19" s="192" t="str">
        <f t="shared" si="7"/>
        <v>Balance</v>
      </c>
      <c r="P19" s="193"/>
      <c r="Q19" s="6" t="str">
        <f t="shared" si="8"/>
        <v>N/A</v>
      </c>
      <c r="R19" s="192" t="str">
        <f t="shared" si="9"/>
        <v>Balance</v>
      </c>
      <c r="S19" s="193"/>
      <c r="T19" s="6" t="str">
        <f t="shared" si="10"/>
        <v>N/A</v>
      </c>
      <c r="U19" s="192" t="str">
        <f t="shared" si="11"/>
        <v>Balance</v>
      </c>
    </row>
    <row r="20">
      <c r="B20" s="2">
        <f t="shared" si="1"/>
        <v>28347</v>
      </c>
      <c r="C20" s="261">
        <v>45323.0</v>
      </c>
      <c r="D20" s="193">
        <f t="shared" si="12"/>
        <v>12770</v>
      </c>
      <c r="E20" s="6" t="str">
        <f t="shared" si="13"/>
        <v>Paid</v>
      </c>
      <c r="F20" s="192" t="str">
        <f t="shared" si="14"/>
        <v>N/A</v>
      </c>
      <c r="G20" s="193">
        <v>15577.0</v>
      </c>
      <c r="H20" s="6" t="str">
        <f t="shared" si="2"/>
        <v>Paid</v>
      </c>
      <c r="I20" s="192" t="str">
        <f t="shared" si="3"/>
        <v>N/A</v>
      </c>
      <c r="J20" s="193"/>
      <c r="K20" s="6" t="str">
        <f t="shared" si="4"/>
        <v>N/A</v>
      </c>
      <c r="L20" s="192" t="str">
        <f t="shared" si="5"/>
        <v>Balance</v>
      </c>
      <c r="M20" s="193"/>
      <c r="N20" s="6" t="str">
        <f t="shared" si="6"/>
        <v>N/A</v>
      </c>
      <c r="O20" s="192" t="str">
        <f t="shared" si="7"/>
        <v>Balance</v>
      </c>
      <c r="P20" s="193"/>
      <c r="Q20" s="6" t="str">
        <f t="shared" si="8"/>
        <v>N/A</v>
      </c>
      <c r="R20" s="192" t="str">
        <f t="shared" si="9"/>
        <v>Balance</v>
      </c>
      <c r="S20" s="193"/>
      <c r="T20" s="6" t="str">
        <f t="shared" si="10"/>
        <v>N/A</v>
      </c>
      <c r="U20" s="192" t="str">
        <f t="shared" si="11"/>
        <v>Balance</v>
      </c>
    </row>
    <row r="21">
      <c r="B21" s="2">
        <f t="shared" si="1"/>
        <v>28347</v>
      </c>
      <c r="C21" s="261">
        <v>45352.0</v>
      </c>
      <c r="D21" s="193">
        <f t="shared" si="12"/>
        <v>12770</v>
      </c>
      <c r="E21" s="6" t="str">
        <f t="shared" si="13"/>
        <v>Paid</v>
      </c>
      <c r="F21" s="192" t="str">
        <f t="shared" si="14"/>
        <v>N/A</v>
      </c>
      <c r="G21" s="193">
        <v>15577.0</v>
      </c>
      <c r="H21" s="6" t="str">
        <f t="shared" si="2"/>
        <v>Paid</v>
      </c>
      <c r="I21" s="192" t="str">
        <f t="shared" si="3"/>
        <v>N/A</v>
      </c>
      <c r="J21" s="193"/>
      <c r="K21" s="6" t="str">
        <f t="shared" si="4"/>
        <v>N/A</v>
      </c>
      <c r="L21" s="192" t="str">
        <f t="shared" si="5"/>
        <v>Balance</v>
      </c>
      <c r="M21" s="193"/>
      <c r="N21" s="6" t="str">
        <f t="shared" si="6"/>
        <v>N/A</v>
      </c>
      <c r="O21" s="192" t="str">
        <f t="shared" si="7"/>
        <v>Balance</v>
      </c>
      <c r="P21" s="193"/>
      <c r="Q21" s="6" t="str">
        <f t="shared" si="8"/>
        <v>N/A</v>
      </c>
      <c r="R21" s="192" t="str">
        <f t="shared" si="9"/>
        <v>Balance</v>
      </c>
      <c r="S21" s="193"/>
      <c r="T21" s="6" t="str">
        <f t="shared" si="10"/>
        <v>N/A</v>
      </c>
      <c r="U21" s="192" t="str">
        <f t="shared" si="11"/>
        <v>Balance</v>
      </c>
    </row>
    <row r="22">
      <c r="B22" s="2">
        <f t="shared" si="1"/>
        <v>28347</v>
      </c>
      <c r="C22" s="261">
        <v>45383.0</v>
      </c>
      <c r="D22" s="193">
        <f t="shared" si="12"/>
        <v>12770</v>
      </c>
      <c r="E22" s="6" t="str">
        <f t="shared" si="13"/>
        <v>Paid</v>
      </c>
      <c r="F22" s="192" t="str">
        <f t="shared" si="14"/>
        <v>N/A</v>
      </c>
      <c r="G22" s="193">
        <v>15577.0</v>
      </c>
      <c r="H22" s="6" t="str">
        <f t="shared" si="2"/>
        <v>Paid</v>
      </c>
      <c r="I22" s="192" t="str">
        <f t="shared" si="3"/>
        <v>N/A</v>
      </c>
      <c r="J22" s="193"/>
      <c r="K22" s="6" t="str">
        <f t="shared" si="4"/>
        <v>N/A</v>
      </c>
      <c r="L22" s="192" t="str">
        <f t="shared" si="5"/>
        <v>Balance</v>
      </c>
      <c r="M22" s="193"/>
      <c r="N22" s="6" t="str">
        <f t="shared" si="6"/>
        <v>N/A</v>
      </c>
      <c r="O22" s="192" t="str">
        <f t="shared" si="7"/>
        <v>Balance</v>
      </c>
      <c r="P22" s="193"/>
      <c r="Q22" s="6" t="str">
        <f t="shared" si="8"/>
        <v>N/A</v>
      </c>
      <c r="R22" s="192" t="str">
        <f t="shared" si="9"/>
        <v>Balance</v>
      </c>
      <c r="S22" s="193"/>
      <c r="T22" s="6" t="str">
        <f t="shared" si="10"/>
        <v>N/A</v>
      </c>
      <c r="U22" s="192" t="str">
        <f t="shared" si="11"/>
        <v>Balance</v>
      </c>
    </row>
    <row r="23">
      <c r="B23" s="2">
        <f t="shared" si="1"/>
        <v>28347</v>
      </c>
      <c r="C23" s="261">
        <v>45413.0</v>
      </c>
      <c r="D23" s="193">
        <f t="shared" si="12"/>
        <v>12770</v>
      </c>
      <c r="E23" s="6" t="str">
        <f t="shared" si="13"/>
        <v>Paid</v>
      </c>
      <c r="F23" s="192" t="str">
        <f t="shared" si="14"/>
        <v>N/A</v>
      </c>
      <c r="G23" s="193">
        <v>15577.0</v>
      </c>
      <c r="H23" s="6" t="str">
        <f t="shared" si="2"/>
        <v>Paid</v>
      </c>
      <c r="I23" s="192" t="str">
        <f t="shared" si="3"/>
        <v>N/A</v>
      </c>
      <c r="J23" s="193"/>
      <c r="K23" s="6" t="str">
        <f t="shared" si="4"/>
        <v>N/A</v>
      </c>
      <c r="L23" s="192" t="str">
        <f t="shared" si="5"/>
        <v>Balance</v>
      </c>
      <c r="M23" s="193"/>
      <c r="N23" s="6" t="str">
        <f t="shared" si="6"/>
        <v>N/A</v>
      </c>
      <c r="O23" s="192" t="str">
        <f t="shared" si="7"/>
        <v>Balance</v>
      </c>
      <c r="P23" s="193"/>
      <c r="Q23" s="6" t="str">
        <f t="shared" si="8"/>
        <v>N/A</v>
      </c>
      <c r="R23" s="192" t="str">
        <f t="shared" si="9"/>
        <v>Balance</v>
      </c>
      <c r="S23" s="193"/>
      <c r="T23" s="6" t="str">
        <f t="shared" si="10"/>
        <v>N/A</v>
      </c>
      <c r="U23" s="192" t="str">
        <f t="shared" si="11"/>
        <v>Balance</v>
      </c>
    </row>
    <row r="24">
      <c r="B24" s="2">
        <f t="shared" si="1"/>
        <v>28347</v>
      </c>
      <c r="C24" s="261">
        <v>45444.0</v>
      </c>
      <c r="D24" s="193">
        <f t="shared" si="12"/>
        <v>12770</v>
      </c>
      <c r="E24" s="6" t="str">
        <f t="shared" si="13"/>
        <v>Paid</v>
      </c>
      <c r="F24" s="192" t="str">
        <f t="shared" si="14"/>
        <v>N/A</v>
      </c>
      <c r="G24" s="193">
        <v>15577.0</v>
      </c>
      <c r="H24" s="6" t="str">
        <f t="shared" si="2"/>
        <v>Paid</v>
      </c>
      <c r="I24" s="192" t="str">
        <f t="shared" si="3"/>
        <v>N/A</v>
      </c>
      <c r="J24" s="193"/>
      <c r="K24" s="6" t="str">
        <f t="shared" si="4"/>
        <v>N/A</v>
      </c>
      <c r="L24" s="192" t="str">
        <f t="shared" si="5"/>
        <v>Balance</v>
      </c>
      <c r="M24" s="193"/>
      <c r="N24" s="6" t="str">
        <f t="shared" si="6"/>
        <v>N/A</v>
      </c>
      <c r="O24" s="192" t="str">
        <f t="shared" si="7"/>
        <v>Balance</v>
      </c>
      <c r="P24" s="193"/>
      <c r="Q24" s="6" t="str">
        <f t="shared" si="8"/>
        <v>N/A</v>
      </c>
      <c r="R24" s="192" t="str">
        <f t="shared" si="9"/>
        <v>Balance</v>
      </c>
      <c r="S24" s="193"/>
      <c r="T24" s="6" t="str">
        <f t="shared" si="10"/>
        <v>N/A</v>
      </c>
      <c r="U24" s="192" t="str">
        <f t="shared" si="11"/>
        <v>Balance</v>
      </c>
    </row>
    <row r="25">
      <c r="B25" s="2">
        <f t="shared" si="1"/>
        <v>28347</v>
      </c>
      <c r="C25" s="261">
        <v>45474.0</v>
      </c>
      <c r="D25" s="193">
        <f t="shared" si="12"/>
        <v>12770</v>
      </c>
      <c r="E25" s="6" t="str">
        <f t="shared" si="13"/>
        <v>Paid</v>
      </c>
      <c r="F25" s="192" t="str">
        <f t="shared" si="14"/>
        <v>N/A</v>
      </c>
      <c r="G25" s="193">
        <v>15577.0</v>
      </c>
      <c r="H25" s="6" t="str">
        <f t="shared" si="2"/>
        <v>Paid</v>
      </c>
      <c r="I25" s="192" t="str">
        <f t="shared" si="3"/>
        <v>N/A</v>
      </c>
      <c r="J25" s="193"/>
      <c r="K25" s="6" t="str">
        <f t="shared" si="4"/>
        <v>N/A</v>
      </c>
      <c r="L25" s="192" t="str">
        <f t="shared" si="5"/>
        <v>Balance</v>
      </c>
      <c r="M25" s="193"/>
      <c r="N25" s="6" t="str">
        <f t="shared" si="6"/>
        <v>N/A</v>
      </c>
      <c r="O25" s="192" t="str">
        <f t="shared" si="7"/>
        <v>Balance</v>
      </c>
      <c r="P25" s="193"/>
      <c r="Q25" s="6" t="str">
        <f t="shared" si="8"/>
        <v>N/A</v>
      </c>
      <c r="R25" s="192" t="str">
        <f t="shared" si="9"/>
        <v>Balance</v>
      </c>
      <c r="S25" s="193"/>
      <c r="T25" s="6" t="str">
        <f t="shared" si="10"/>
        <v>N/A</v>
      </c>
      <c r="U25" s="192" t="str">
        <f t="shared" si="11"/>
        <v>Balance</v>
      </c>
    </row>
    <row r="26">
      <c r="B26" s="2">
        <f t="shared" si="1"/>
        <v>28347</v>
      </c>
      <c r="C26" s="261">
        <v>45505.0</v>
      </c>
      <c r="D26" s="193">
        <f t="shared" si="12"/>
        <v>12770</v>
      </c>
      <c r="E26" s="6" t="str">
        <f t="shared" si="13"/>
        <v>Paid</v>
      </c>
      <c r="F26" s="192" t="str">
        <f t="shared" si="14"/>
        <v>N/A</v>
      </c>
      <c r="G26" s="193">
        <v>15577.0</v>
      </c>
      <c r="H26" s="6" t="str">
        <f t="shared" si="2"/>
        <v>Paid</v>
      </c>
      <c r="I26" s="192" t="str">
        <f t="shared" si="3"/>
        <v>N/A</v>
      </c>
      <c r="J26" s="193"/>
      <c r="K26" s="6" t="str">
        <f t="shared" si="4"/>
        <v>N/A</v>
      </c>
      <c r="L26" s="192" t="str">
        <f t="shared" si="5"/>
        <v>Balance</v>
      </c>
      <c r="M26" s="193"/>
      <c r="N26" s="6" t="str">
        <f t="shared" si="6"/>
        <v>N/A</v>
      </c>
      <c r="O26" s="192" t="str">
        <f t="shared" si="7"/>
        <v>Balance</v>
      </c>
      <c r="P26" s="193"/>
      <c r="Q26" s="6" t="str">
        <f t="shared" si="8"/>
        <v>N/A</v>
      </c>
      <c r="R26" s="192" t="str">
        <f t="shared" si="9"/>
        <v>Balance</v>
      </c>
      <c r="S26" s="193"/>
      <c r="T26" s="6" t="str">
        <f t="shared" si="10"/>
        <v>N/A</v>
      </c>
      <c r="U26" s="192" t="str">
        <f t="shared" si="11"/>
        <v>Balance</v>
      </c>
    </row>
    <row r="27">
      <c r="B27" s="2">
        <f t="shared" si="1"/>
        <v>28347</v>
      </c>
      <c r="C27" s="261">
        <v>45536.0</v>
      </c>
      <c r="D27" s="193">
        <f t="shared" si="12"/>
        <v>12770</v>
      </c>
      <c r="E27" s="6" t="str">
        <f t="shared" si="13"/>
        <v>Paid</v>
      </c>
      <c r="F27" s="192" t="str">
        <f t="shared" si="14"/>
        <v>N/A</v>
      </c>
      <c r="G27" s="193">
        <v>15577.0</v>
      </c>
      <c r="H27" s="6" t="str">
        <f t="shared" si="2"/>
        <v>Paid</v>
      </c>
      <c r="I27" s="192" t="str">
        <f t="shared" si="3"/>
        <v>N/A</v>
      </c>
      <c r="J27" s="193"/>
      <c r="K27" s="6" t="str">
        <f t="shared" si="4"/>
        <v>N/A</v>
      </c>
      <c r="L27" s="192" t="str">
        <f t="shared" si="5"/>
        <v>Balance</v>
      </c>
      <c r="M27" s="193"/>
      <c r="N27" s="6" t="str">
        <f t="shared" si="6"/>
        <v>N/A</v>
      </c>
      <c r="O27" s="192" t="str">
        <f t="shared" si="7"/>
        <v>Balance</v>
      </c>
      <c r="P27" s="193"/>
      <c r="Q27" s="6" t="str">
        <f t="shared" si="8"/>
        <v>N/A</v>
      </c>
      <c r="R27" s="192" t="str">
        <f t="shared" si="9"/>
        <v>Balance</v>
      </c>
      <c r="S27" s="193"/>
      <c r="T27" s="6" t="str">
        <f t="shared" si="10"/>
        <v>N/A</v>
      </c>
      <c r="U27" s="192" t="str">
        <f t="shared" si="11"/>
        <v>Balance</v>
      </c>
    </row>
    <row r="28">
      <c r="B28" s="2">
        <f t="shared" si="1"/>
        <v>28347</v>
      </c>
      <c r="C28" s="261">
        <v>45566.0</v>
      </c>
      <c r="D28" s="193">
        <f t="shared" si="12"/>
        <v>12770</v>
      </c>
      <c r="E28" s="6" t="str">
        <f t="shared" si="13"/>
        <v>Paid</v>
      </c>
      <c r="F28" s="192" t="str">
        <f t="shared" si="14"/>
        <v>N/A</v>
      </c>
      <c r="G28" s="193">
        <v>15577.0</v>
      </c>
      <c r="H28" s="6" t="str">
        <f t="shared" si="2"/>
        <v>Paid</v>
      </c>
      <c r="I28" s="192" t="str">
        <f t="shared" si="3"/>
        <v>N/A</v>
      </c>
      <c r="J28" s="193"/>
      <c r="K28" s="6" t="str">
        <f t="shared" si="4"/>
        <v>N/A</v>
      </c>
      <c r="L28" s="192" t="str">
        <f t="shared" si="5"/>
        <v>Balance</v>
      </c>
      <c r="M28" s="193"/>
      <c r="N28" s="6" t="str">
        <f t="shared" si="6"/>
        <v>N/A</v>
      </c>
      <c r="O28" s="192" t="str">
        <f t="shared" si="7"/>
        <v>Balance</v>
      </c>
      <c r="P28" s="193"/>
      <c r="Q28" s="6" t="str">
        <f t="shared" si="8"/>
        <v>N/A</v>
      </c>
      <c r="R28" s="192" t="str">
        <f t="shared" si="9"/>
        <v>Balance</v>
      </c>
      <c r="S28" s="193"/>
      <c r="T28" s="6" t="str">
        <f t="shared" si="10"/>
        <v>N/A</v>
      </c>
      <c r="U28" s="192" t="str">
        <f t="shared" si="11"/>
        <v>Balance</v>
      </c>
    </row>
    <row r="29">
      <c r="B29" s="2">
        <f t="shared" si="1"/>
        <v>38512</v>
      </c>
      <c r="C29" s="261">
        <v>45597.0</v>
      </c>
      <c r="D29" s="193">
        <f t="shared" si="12"/>
        <v>12770</v>
      </c>
      <c r="E29" s="6" t="str">
        <f t="shared" si="13"/>
        <v>Paid</v>
      </c>
      <c r="F29" s="192" t="str">
        <f t="shared" si="14"/>
        <v>N/A</v>
      </c>
      <c r="G29" s="193">
        <v>15577.0</v>
      </c>
      <c r="H29" s="6" t="str">
        <f t="shared" si="2"/>
        <v>Paid</v>
      </c>
      <c r="I29" s="192" t="str">
        <f t="shared" si="3"/>
        <v>N/A</v>
      </c>
      <c r="J29" s="193">
        <v>10165.0</v>
      </c>
      <c r="K29" s="6" t="str">
        <f t="shared" si="4"/>
        <v>Paid</v>
      </c>
      <c r="L29" s="192" t="str">
        <f t="shared" si="5"/>
        <v>N/A</v>
      </c>
      <c r="M29" s="193"/>
      <c r="N29" s="6" t="str">
        <f t="shared" si="6"/>
        <v>N/A</v>
      </c>
      <c r="O29" s="192" t="str">
        <f t="shared" si="7"/>
        <v>Balance</v>
      </c>
      <c r="P29" s="193"/>
      <c r="Q29" s="6" t="str">
        <f t="shared" si="8"/>
        <v>N/A</v>
      </c>
      <c r="R29" s="192" t="str">
        <f t="shared" si="9"/>
        <v>Balance</v>
      </c>
      <c r="S29" s="193"/>
      <c r="T29" s="6" t="str">
        <f t="shared" si="10"/>
        <v>N/A</v>
      </c>
      <c r="U29" s="192" t="str">
        <f t="shared" si="11"/>
        <v>Balance</v>
      </c>
    </row>
    <row r="30">
      <c r="B30" s="2">
        <f t="shared" si="1"/>
        <v>37637</v>
      </c>
      <c r="C30" s="261">
        <v>45627.0</v>
      </c>
      <c r="D30" s="193">
        <f t="shared" si="12"/>
        <v>12770</v>
      </c>
      <c r="E30" s="6" t="str">
        <f t="shared" si="13"/>
        <v>Paid</v>
      </c>
      <c r="F30" s="192" t="str">
        <f t="shared" si="14"/>
        <v>N/A</v>
      </c>
      <c r="G30" s="193">
        <v>15577.0</v>
      </c>
      <c r="H30" s="6" t="str">
        <f t="shared" si="2"/>
        <v>Paid</v>
      </c>
      <c r="I30" s="192" t="str">
        <f t="shared" si="3"/>
        <v>N/A</v>
      </c>
      <c r="J30" s="193">
        <v>9290.0</v>
      </c>
      <c r="K30" s="6" t="str">
        <f t="shared" si="4"/>
        <v>Paid</v>
      </c>
      <c r="L30" s="192" t="str">
        <f t="shared" si="5"/>
        <v>N/A</v>
      </c>
      <c r="M30" s="193"/>
      <c r="N30" s="6" t="str">
        <f t="shared" si="6"/>
        <v>N/A</v>
      </c>
      <c r="O30" s="192" t="str">
        <f t="shared" si="7"/>
        <v>Balance</v>
      </c>
      <c r="P30" s="193"/>
      <c r="Q30" s="6" t="str">
        <f t="shared" si="8"/>
        <v>N/A</v>
      </c>
      <c r="R30" s="192" t="str">
        <f t="shared" si="9"/>
        <v>Balance</v>
      </c>
      <c r="S30" s="193"/>
      <c r="T30" s="6" t="str">
        <f t="shared" si="10"/>
        <v>N/A</v>
      </c>
      <c r="U30" s="192" t="str">
        <f t="shared" si="11"/>
        <v>Balance</v>
      </c>
    </row>
    <row r="31">
      <c r="B31" s="2">
        <f t="shared" si="1"/>
        <v>37637</v>
      </c>
      <c r="C31" s="261">
        <v>45658.0</v>
      </c>
      <c r="D31" s="193">
        <f t="shared" si="12"/>
        <v>12770</v>
      </c>
      <c r="E31" s="6" t="str">
        <f t="shared" si="13"/>
        <v>Paid</v>
      </c>
      <c r="F31" s="192" t="str">
        <f t="shared" si="14"/>
        <v>N/A</v>
      </c>
      <c r="G31" s="193">
        <v>15577.0</v>
      </c>
      <c r="H31" s="6" t="str">
        <f t="shared" si="2"/>
        <v>Paid</v>
      </c>
      <c r="I31" s="192" t="str">
        <f t="shared" si="3"/>
        <v>N/A</v>
      </c>
      <c r="J31" s="193">
        <v>9290.0</v>
      </c>
      <c r="K31" s="6" t="str">
        <f t="shared" si="4"/>
        <v>Paid</v>
      </c>
      <c r="L31" s="192" t="str">
        <f t="shared" si="5"/>
        <v>N/A</v>
      </c>
      <c r="M31" s="193"/>
      <c r="N31" s="6" t="str">
        <f t="shared" si="6"/>
        <v>N/A</v>
      </c>
      <c r="O31" s="192" t="str">
        <f t="shared" si="7"/>
        <v>Balance</v>
      </c>
      <c r="P31" s="193"/>
      <c r="Q31" s="6" t="str">
        <f t="shared" si="8"/>
        <v>N/A</v>
      </c>
      <c r="R31" s="192" t="str">
        <f t="shared" si="9"/>
        <v>Balance</v>
      </c>
      <c r="S31" s="193"/>
      <c r="T31" s="6" t="str">
        <f t="shared" si="10"/>
        <v>N/A</v>
      </c>
      <c r="U31" s="192" t="str">
        <f t="shared" si="11"/>
        <v>Balance</v>
      </c>
    </row>
    <row r="32">
      <c r="B32" s="2">
        <f t="shared" si="1"/>
        <v>37637</v>
      </c>
      <c r="C32" s="261">
        <v>45689.0</v>
      </c>
      <c r="D32" s="193">
        <f t="shared" si="12"/>
        <v>12770</v>
      </c>
      <c r="E32" s="6" t="str">
        <f t="shared" si="13"/>
        <v>Paid</v>
      </c>
      <c r="F32" s="192" t="str">
        <f t="shared" si="14"/>
        <v>N/A</v>
      </c>
      <c r="G32" s="193">
        <v>15577.0</v>
      </c>
      <c r="H32" s="6" t="str">
        <f t="shared" si="2"/>
        <v>Paid</v>
      </c>
      <c r="I32" s="192" t="str">
        <f t="shared" si="3"/>
        <v>N/A</v>
      </c>
      <c r="J32" s="193">
        <v>9290.0</v>
      </c>
      <c r="K32" s="6" t="str">
        <f t="shared" si="4"/>
        <v>Paid</v>
      </c>
      <c r="L32" s="192" t="str">
        <f t="shared" si="5"/>
        <v>N/A</v>
      </c>
      <c r="M32" s="193"/>
      <c r="N32" s="6" t="str">
        <f t="shared" si="6"/>
        <v>N/A</v>
      </c>
      <c r="O32" s="192" t="str">
        <f t="shared" si="7"/>
        <v>Balance</v>
      </c>
      <c r="P32" s="193"/>
      <c r="Q32" s="6" t="str">
        <f t="shared" si="8"/>
        <v>N/A</v>
      </c>
      <c r="R32" s="192" t="str">
        <f t="shared" si="9"/>
        <v>Balance</v>
      </c>
      <c r="S32" s="193"/>
      <c r="T32" s="6" t="str">
        <f t="shared" si="10"/>
        <v>N/A</v>
      </c>
      <c r="U32" s="192" t="str">
        <f t="shared" si="11"/>
        <v>Balance</v>
      </c>
    </row>
    <row r="33">
      <c r="B33" s="2">
        <f t="shared" si="1"/>
        <v>37637</v>
      </c>
      <c r="C33" s="261">
        <v>45717.0</v>
      </c>
      <c r="D33" s="193">
        <f t="shared" si="12"/>
        <v>12770</v>
      </c>
      <c r="E33" s="6" t="str">
        <f t="shared" si="13"/>
        <v>Paid</v>
      </c>
      <c r="F33" s="192" t="str">
        <f t="shared" si="14"/>
        <v>N/A</v>
      </c>
      <c r="G33" s="193">
        <v>15577.0</v>
      </c>
      <c r="H33" s="6" t="str">
        <f t="shared" si="2"/>
        <v>Paid</v>
      </c>
      <c r="I33" s="192" t="str">
        <f t="shared" si="3"/>
        <v>N/A</v>
      </c>
      <c r="J33" s="193">
        <v>9290.0</v>
      </c>
      <c r="K33" s="6" t="str">
        <f t="shared" si="4"/>
        <v>Paid</v>
      </c>
      <c r="L33" s="192" t="str">
        <f t="shared" si="5"/>
        <v>N/A</v>
      </c>
      <c r="M33" s="193"/>
      <c r="N33" s="6" t="str">
        <f t="shared" si="6"/>
        <v>N/A</v>
      </c>
      <c r="O33" s="192" t="str">
        <f t="shared" si="7"/>
        <v>Balance</v>
      </c>
      <c r="P33" s="193"/>
      <c r="Q33" s="6" t="str">
        <f t="shared" si="8"/>
        <v>N/A</v>
      </c>
      <c r="R33" s="192" t="str">
        <f t="shared" si="9"/>
        <v>Balance</v>
      </c>
      <c r="S33" s="193"/>
      <c r="T33" s="6" t="str">
        <f t="shared" si="10"/>
        <v>N/A</v>
      </c>
      <c r="U33" s="192" t="str">
        <f t="shared" si="11"/>
        <v>Balance</v>
      </c>
    </row>
    <row r="34">
      <c r="B34" s="2">
        <f t="shared" si="1"/>
        <v>40609</v>
      </c>
      <c r="C34" s="261">
        <v>45748.0</v>
      </c>
      <c r="D34" s="193">
        <f t="shared" si="12"/>
        <v>12770</v>
      </c>
      <c r="E34" s="6" t="str">
        <f t="shared" si="13"/>
        <v>Paid</v>
      </c>
      <c r="F34" s="192" t="str">
        <f t="shared" si="14"/>
        <v>N/A</v>
      </c>
      <c r="G34" s="193">
        <v>15577.0</v>
      </c>
      <c r="H34" s="6" t="str">
        <f t="shared" si="2"/>
        <v>Paid</v>
      </c>
      <c r="I34" s="192" t="str">
        <f t="shared" si="3"/>
        <v>N/A</v>
      </c>
      <c r="J34" s="193">
        <v>9290.0</v>
      </c>
      <c r="K34" s="6" t="str">
        <f t="shared" si="4"/>
        <v>Paid</v>
      </c>
      <c r="L34" s="192" t="str">
        <f t="shared" si="5"/>
        <v>N/A</v>
      </c>
      <c r="M34" s="193">
        <v>2972.0</v>
      </c>
      <c r="N34" s="6" t="str">
        <f t="shared" si="6"/>
        <v>Paid</v>
      </c>
      <c r="O34" s="192" t="str">
        <f t="shared" si="7"/>
        <v>N/A</v>
      </c>
      <c r="P34" s="193"/>
      <c r="Q34" s="6" t="str">
        <f t="shared" si="8"/>
        <v>N/A</v>
      </c>
      <c r="R34" s="192" t="str">
        <f t="shared" si="9"/>
        <v>Balance</v>
      </c>
      <c r="S34" s="193"/>
      <c r="T34" s="6" t="str">
        <f t="shared" si="10"/>
        <v>N/A</v>
      </c>
      <c r="U34" s="192" t="str">
        <f t="shared" si="11"/>
        <v>Balance</v>
      </c>
    </row>
    <row r="35">
      <c r="B35" s="2">
        <f t="shared" si="1"/>
        <v>49998</v>
      </c>
      <c r="C35" s="261">
        <v>45778.0</v>
      </c>
      <c r="D35" s="193">
        <f t="shared" si="12"/>
        <v>12770</v>
      </c>
      <c r="E35" s="6" t="str">
        <f t="shared" si="13"/>
        <v>Paid</v>
      </c>
      <c r="F35" s="192" t="str">
        <f t="shared" si="14"/>
        <v>N/A</v>
      </c>
      <c r="G35" s="193">
        <v>15577.0</v>
      </c>
      <c r="H35" s="6" t="str">
        <f t="shared" si="2"/>
        <v>Paid</v>
      </c>
      <c r="I35" s="192" t="str">
        <f t="shared" si="3"/>
        <v>N/A</v>
      </c>
      <c r="J35" s="193">
        <v>9290.0</v>
      </c>
      <c r="K35" s="6" t="str">
        <f t="shared" si="4"/>
        <v>Paid</v>
      </c>
      <c r="L35" s="192" t="str">
        <f t="shared" si="5"/>
        <v>N/A</v>
      </c>
      <c r="M35" s="193">
        <v>2972.0</v>
      </c>
      <c r="N35" s="6" t="str">
        <f t="shared" si="6"/>
        <v>Paid</v>
      </c>
      <c r="O35" s="192" t="str">
        <f t="shared" si="7"/>
        <v>N/A</v>
      </c>
      <c r="P35" s="193">
        <v>6818.0</v>
      </c>
      <c r="Q35" s="6" t="str">
        <f t="shared" si="8"/>
        <v>Paid</v>
      </c>
      <c r="R35" s="192" t="str">
        <f t="shared" si="9"/>
        <v>N/A</v>
      </c>
      <c r="S35" s="193">
        <v>2571.0</v>
      </c>
      <c r="T35" s="6" t="str">
        <f t="shared" si="10"/>
        <v>Paid</v>
      </c>
      <c r="U35" s="192" t="str">
        <f t="shared" si="11"/>
        <v>N/A</v>
      </c>
    </row>
    <row r="36">
      <c r="B36" s="2">
        <f t="shared" si="1"/>
        <v>49998</v>
      </c>
      <c r="C36" s="261">
        <v>45809.0</v>
      </c>
      <c r="D36" s="193">
        <f t="shared" si="12"/>
        <v>12770</v>
      </c>
      <c r="E36" s="6" t="str">
        <f t="shared" si="13"/>
        <v>Paid</v>
      </c>
      <c r="F36" s="192" t="str">
        <f t="shared" si="14"/>
        <v>N/A</v>
      </c>
      <c r="G36" s="193">
        <v>15577.0</v>
      </c>
      <c r="H36" s="6" t="str">
        <f t="shared" si="2"/>
        <v>Paid</v>
      </c>
      <c r="I36" s="192" t="str">
        <f t="shared" si="3"/>
        <v>N/A</v>
      </c>
      <c r="J36" s="193">
        <v>9290.0</v>
      </c>
      <c r="K36" s="6" t="str">
        <f t="shared" si="4"/>
        <v>Paid</v>
      </c>
      <c r="L36" s="192" t="str">
        <f t="shared" si="5"/>
        <v>N/A</v>
      </c>
      <c r="M36" s="193">
        <v>2972.0</v>
      </c>
      <c r="N36" s="6" t="str">
        <f t="shared" si="6"/>
        <v>Paid</v>
      </c>
      <c r="O36" s="192" t="str">
        <f t="shared" si="7"/>
        <v>N/A</v>
      </c>
      <c r="P36" s="193">
        <v>6818.0</v>
      </c>
      <c r="Q36" s="6" t="str">
        <f t="shared" si="8"/>
        <v>Paid</v>
      </c>
      <c r="R36" s="192" t="str">
        <f t="shared" si="9"/>
        <v>N/A</v>
      </c>
      <c r="S36" s="193">
        <v>2571.0</v>
      </c>
      <c r="T36" s="6" t="str">
        <f t="shared" si="10"/>
        <v>Paid</v>
      </c>
      <c r="U36" s="192" t="str">
        <f t="shared" si="11"/>
        <v>N/A</v>
      </c>
    </row>
    <row r="37">
      <c r="B37" s="2">
        <f t="shared" si="1"/>
        <v>49998</v>
      </c>
      <c r="C37" s="261">
        <v>45839.0</v>
      </c>
      <c r="D37" s="193">
        <f t="shared" si="12"/>
        <v>12770</v>
      </c>
      <c r="E37" s="6" t="str">
        <f t="shared" si="13"/>
        <v>Paid</v>
      </c>
      <c r="F37" s="192" t="str">
        <f t="shared" si="14"/>
        <v>N/A</v>
      </c>
      <c r="G37" s="193">
        <v>15577.0</v>
      </c>
      <c r="H37" s="6" t="str">
        <f t="shared" si="2"/>
        <v>Paid</v>
      </c>
      <c r="I37" s="192" t="str">
        <f t="shared" si="3"/>
        <v>N/A</v>
      </c>
      <c r="J37" s="193">
        <v>9290.0</v>
      </c>
      <c r="K37" s="6" t="str">
        <f t="shared" si="4"/>
        <v>Paid</v>
      </c>
      <c r="L37" s="192" t="str">
        <f t="shared" si="5"/>
        <v>N/A</v>
      </c>
      <c r="M37" s="193">
        <v>2972.0</v>
      </c>
      <c r="N37" s="6" t="str">
        <f t="shared" si="6"/>
        <v>Paid</v>
      </c>
      <c r="O37" s="192" t="str">
        <f t="shared" si="7"/>
        <v>N/A</v>
      </c>
      <c r="P37" s="193">
        <v>6818.0</v>
      </c>
      <c r="Q37" s="6" t="str">
        <f t="shared" si="8"/>
        <v>Paid</v>
      </c>
      <c r="R37" s="192" t="str">
        <f t="shared" si="9"/>
        <v>N/A</v>
      </c>
      <c r="S37" s="193">
        <v>2571.0</v>
      </c>
      <c r="T37" s="6" t="str">
        <f t="shared" si="10"/>
        <v>Paid</v>
      </c>
      <c r="U37" s="192" t="str">
        <f t="shared" si="11"/>
        <v>N/A</v>
      </c>
    </row>
    <row r="38">
      <c r="B38" s="2">
        <f t="shared" si="1"/>
        <v>49998</v>
      </c>
      <c r="C38" s="261">
        <v>45870.0</v>
      </c>
      <c r="D38" s="193">
        <f t="shared" si="12"/>
        <v>12770</v>
      </c>
      <c r="E38" s="6" t="str">
        <f t="shared" si="13"/>
        <v>Paid</v>
      </c>
      <c r="F38" s="192" t="str">
        <f t="shared" si="14"/>
        <v>N/A</v>
      </c>
      <c r="G38" s="193">
        <v>15577.0</v>
      </c>
      <c r="H38" s="6" t="str">
        <f t="shared" si="2"/>
        <v>Paid</v>
      </c>
      <c r="I38" s="192" t="str">
        <f t="shared" si="3"/>
        <v>N/A</v>
      </c>
      <c r="J38" s="193">
        <v>9290.0</v>
      </c>
      <c r="K38" s="6" t="str">
        <f t="shared" si="4"/>
        <v>Paid</v>
      </c>
      <c r="L38" s="192" t="str">
        <f t="shared" si="5"/>
        <v>N/A</v>
      </c>
      <c r="M38" s="193">
        <v>2972.0</v>
      </c>
      <c r="N38" s="6" t="str">
        <f t="shared" si="6"/>
        <v>Paid</v>
      </c>
      <c r="O38" s="192" t="str">
        <f t="shared" si="7"/>
        <v>N/A</v>
      </c>
      <c r="P38" s="193">
        <v>6818.0</v>
      </c>
      <c r="Q38" s="6" t="str">
        <f t="shared" si="8"/>
        <v>Paid</v>
      </c>
      <c r="R38" s="192" t="str">
        <f t="shared" si="9"/>
        <v>N/A</v>
      </c>
      <c r="S38" s="193">
        <v>2571.0</v>
      </c>
      <c r="T38" s="6" t="str">
        <f t="shared" si="10"/>
        <v>Paid</v>
      </c>
      <c r="U38" s="192" t="str">
        <f t="shared" si="11"/>
        <v>N/A</v>
      </c>
    </row>
    <row r="39">
      <c r="B39" s="2">
        <f t="shared" si="1"/>
        <v>49998</v>
      </c>
      <c r="C39" s="261">
        <v>45901.0</v>
      </c>
      <c r="D39" s="193">
        <f t="shared" si="12"/>
        <v>12770</v>
      </c>
      <c r="E39" s="6" t="str">
        <f t="shared" si="13"/>
        <v>Paid</v>
      </c>
      <c r="F39" s="192" t="str">
        <f t="shared" si="14"/>
        <v>N/A</v>
      </c>
      <c r="G39" s="193">
        <v>15577.0</v>
      </c>
      <c r="H39" s="6" t="str">
        <f t="shared" si="2"/>
        <v>Paid</v>
      </c>
      <c r="I39" s="192" t="str">
        <f t="shared" si="3"/>
        <v>N/A</v>
      </c>
      <c r="J39" s="193">
        <v>9290.0</v>
      </c>
      <c r="K39" s="6" t="str">
        <f t="shared" si="4"/>
        <v>Paid</v>
      </c>
      <c r="L39" s="192" t="str">
        <f t="shared" si="5"/>
        <v>N/A</v>
      </c>
      <c r="M39" s="193">
        <v>2972.0</v>
      </c>
      <c r="N39" s="6" t="str">
        <f t="shared" si="6"/>
        <v>Paid</v>
      </c>
      <c r="O39" s="192" t="str">
        <f t="shared" si="7"/>
        <v>N/A</v>
      </c>
      <c r="P39" s="193">
        <v>6818.0</v>
      </c>
      <c r="Q39" s="6" t="str">
        <f t="shared" si="8"/>
        <v>Paid</v>
      </c>
      <c r="R39" s="192" t="str">
        <f t="shared" si="9"/>
        <v>N/A</v>
      </c>
      <c r="S39" s="193">
        <v>2571.0</v>
      </c>
      <c r="T39" s="6" t="str">
        <f t="shared" si="10"/>
        <v>Paid</v>
      </c>
      <c r="U39" s="192" t="str">
        <f t="shared" si="11"/>
        <v>N/A</v>
      </c>
    </row>
    <row r="40">
      <c r="B40" s="2">
        <f t="shared" si="1"/>
        <v>49998</v>
      </c>
      <c r="C40" s="261">
        <v>45931.0</v>
      </c>
      <c r="D40" s="193">
        <f t="shared" si="12"/>
        <v>12770</v>
      </c>
      <c r="E40" s="6" t="str">
        <f t="shared" si="13"/>
        <v>Paid</v>
      </c>
      <c r="F40" s="192" t="str">
        <f t="shared" si="14"/>
        <v>N/A</v>
      </c>
      <c r="G40" s="193">
        <v>15577.0</v>
      </c>
      <c r="H40" s="6" t="str">
        <f t="shared" si="2"/>
        <v>Paid</v>
      </c>
      <c r="I40" s="192" t="str">
        <f t="shared" si="3"/>
        <v>N/A</v>
      </c>
      <c r="J40" s="193">
        <v>9290.0</v>
      </c>
      <c r="K40" s="6" t="str">
        <f t="shared" si="4"/>
        <v>Paid</v>
      </c>
      <c r="L40" s="192" t="str">
        <f t="shared" si="5"/>
        <v>N/A</v>
      </c>
      <c r="M40" s="193">
        <v>2972.0</v>
      </c>
      <c r="N40" s="6" t="str">
        <f t="shared" si="6"/>
        <v>Paid</v>
      </c>
      <c r="O40" s="192" t="str">
        <f t="shared" si="7"/>
        <v>N/A</v>
      </c>
      <c r="P40" s="193">
        <v>6818.0</v>
      </c>
      <c r="Q40" s="6" t="str">
        <f t="shared" si="8"/>
        <v>Paid</v>
      </c>
      <c r="R40" s="192" t="str">
        <f t="shared" si="9"/>
        <v>N/A</v>
      </c>
      <c r="S40" s="193">
        <v>2571.0</v>
      </c>
      <c r="T40" s="6" t="str">
        <f t="shared" si="10"/>
        <v>Paid</v>
      </c>
      <c r="U40" s="192" t="str">
        <f t="shared" si="11"/>
        <v>N/A</v>
      </c>
    </row>
    <row r="41">
      <c r="B41" s="2">
        <f t="shared" si="1"/>
        <v>49998</v>
      </c>
      <c r="C41" s="261">
        <v>45962.0</v>
      </c>
      <c r="D41" s="193">
        <f t="shared" si="12"/>
        <v>12770</v>
      </c>
      <c r="E41" s="6" t="str">
        <f t="shared" si="13"/>
        <v>Paid</v>
      </c>
      <c r="F41" s="192" t="str">
        <f t="shared" si="14"/>
        <v>N/A</v>
      </c>
      <c r="G41" s="193">
        <v>15577.0</v>
      </c>
      <c r="H41" s="6" t="str">
        <f t="shared" si="2"/>
        <v>Paid</v>
      </c>
      <c r="I41" s="192" t="str">
        <f t="shared" si="3"/>
        <v>N/A</v>
      </c>
      <c r="J41" s="193">
        <v>9290.0</v>
      </c>
      <c r="K41" s="6" t="str">
        <f t="shared" si="4"/>
        <v>Paid</v>
      </c>
      <c r="L41" s="192" t="str">
        <f t="shared" si="5"/>
        <v>N/A</v>
      </c>
      <c r="M41" s="193">
        <v>2972.0</v>
      </c>
      <c r="N41" s="6" t="str">
        <f t="shared" si="6"/>
        <v>Paid</v>
      </c>
      <c r="O41" s="192" t="str">
        <f t="shared" si="7"/>
        <v>N/A</v>
      </c>
      <c r="P41" s="193">
        <v>6818.0</v>
      </c>
      <c r="Q41" s="6" t="str">
        <f t="shared" si="8"/>
        <v>Paid</v>
      </c>
      <c r="R41" s="192" t="str">
        <f t="shared" si="9"/>
        <v>N/A</v>
      </c>
      <c r="S41" s="193">
        <v>2571.0</v>
      </c>
      <c r="T41" s="6" t="str">
        <f t="shared" si="10"/>
        <v>Paid</v>
      </c>
      <c r="U41" s="192" t="str">
        <f t="shared" si="11"/>
        <v>N/A</v>
      </c>
    </row>
    <row r="42">
      <c r="B42" s="2">
        <f t="shared" si="1"/>
        <v>49998</v>
      </c>
      <c r="C42" s="261">
        <v>45992.0</v>
      </c>
      <c r="D42" s="193">
        <f t="shared" si="12"/>
        <v>12770</v>
      </c>
      <c r="E42" s="6" t="str">
        <f t="shared" si="13"/>
        <v>N/A</v>
      </c>
      <c r="F42" s="192" t="str">
        <f t="shared" si="14"/>
        <v>Balance</v>
      </c>
      <c r="G42" s="193">
        <v>15577.0</v>
      </c>
      <c r="H42" s="6" t="str">
        <f t="shared" si="2"/>
        <v>N/A</v>
      </c>
      <c r="I42" s="192" t="str">
        <f t="shared" si="3"/>
        <v>Balance</v>
      </c>
      <c r="J42" s="193">
        <v>9290.0</v>
      </c>
      <c r="K42" s="6" t="str">
        <f t="shared" si="4"/>
        <v>N/A</v>
      </c>
      <c r="L42" s="192" t="str">
        <f t="shared" si="5"/>
        <v>Balance</v>
      </c>
      <c r="M42" s="193">
        <v>2972.0</v>
      </c>
      <c r="N42" s="6" t="str">
        <f t="shared" si="6"/>
        <v>N/A</v>
      </c>
      <c r="O42" s="192" t="str">
        <f t="shared" si="7"/>
        <v>Balance</v>
      </c>
      <c r="P42" s="193">
        <v>6818.0</v>
      </c>
      <c r="Q42" s="6" t="str">
        <f t="shared" si="8"/>
        <v>N/A</v>
      </c>
      <c r="R42" s="192" t="str">
        <f t="shared" si="9"/>
        <v>Balance</v>
      </c>
      <c r="S42" s="193">
        <v>2571.0</v>
      </c>
      <c r="T42" s="6" t="str">
        <f t="shared" si="10"/>
        <v>N/A</v>
      </c>
      <c r="U42" s="192" t="str">
        <f t="shared" si="11"/>
        <v>Balance</v>
      </c>
    </row>
    <row r="43">
      <c r="B43" s="2">
        <f t="shared" si="1"/>
        <v>49998</v>
      </c>
      <c r="C43" s="261">
        <v>46023.0</v>
      </c>
      <c r="D43" s="193">
        <f t="shared" si="12"/>
        <v>12770</v>
      </c>
      <c r="E43" s="6" t="str">
        <f t="shared" si="13"/>
        <v>N/A</v>
      </c>
      <c r="F43" s="192" t="str">
        <f t="shared" si="14"/>
        <v>Balance</v>
      </c>
      <c r="G43" s="193">
        <v>15577.0</v>
      </c>
      <c r="H43" s="6" t="str">
        <f t="shared" si="2"/>
        <v>N/A</v>
      </c>
      <c r="I43" s="192" t="str">
        <f t="shared" si="3"/>
        <v>Balance</v>
      </c>
      <c r="J43" s="193">
        <v>9290.0</v>
      </c>
      <c r="K43" s="6" t="str">
        <f t="shared" si="4"/>
        <v>N/A</v>
      </c>
      <c r="L43" s="192" t="str">
        <f t="shared" si="5"/>
        <v>Balance</v>
      </c>
      <c r="M43" s="193">
        <v>2972.0</v>
      </c>
      <c r="N43" s="6" t="str">
        <f t="shared" si="6"/>
        <v>N/A</v>
      </c>
      <c r="O43" s="192" t="str">
        <f t="shared" si="7"/>
        <v>Balance</v>
      </c>
      <c r="P43" s="193">
        <v>6818.0</v>
      </c>
      <c r="Q43" s="6" t="str">
        <f t="shared" si="8"/>
        <v>N/A</v>
      </c>
      <c r="R43" s="192" t="str">
        <f t="shared" si="9"/>
        <v>Balance</v>
      </c>
      <c r="S43" s="193">
        <v>2571.0</v>
      </c>
      <c r="T43" s="6" t="str">
        <f t="shared" si="10"/>
        <v>N/A</v>
      </c>
      <c r="U43" s="192" t="str">
        <f t="shared" si="11"/>
        <v>Balance</v>
      </c>
    </row>
    <row r="44">
      <c r="B44" s="2">
        <f t="shared" si="1"/>
        <v>49998</v>
      </c>
      <c r="C44" s="261">
        <v>46054.0</v>
      </c>
      <c r="D44" s="193">
        <f t="shared" si="12"/>
        <v>12770</v>
      </c>
      <c r="E44" s="6" t="str">
        <f t="shared" si="13"/>
        <v>N/A</v>
      </c>
      <c r="F44" s="192" t="str">
        <f t="shared" si="14"/>
        <v>Balance</v>
      </c>
      <c r="G44" s="193">
        <v>15577.0</v>
      </c>
      <c r="H44" s="6" t="str">
        <f t="shared" si="2"/>
        <v>N/A</v>
      </c>
      <c r="I44" s="192" t="str">
        <f t="shared" si="3"/>
        <v>Balance</v>
      </c>
      <c r="J44" s="193">
        <v>9290.0</v>
      </c>
      <c r="K44" s="6" t="str">
        <f t="shared" si="4"/>
        <v>N/A</v>
      </c>
      <c r="L44" s="192" t="str">
        <f t="shared" si="5"/>
        <v>Balance</v>
      </c>
      <c r="M44" s="193">
        <v>2972.0</v>
      </c>
      <c r="N44" s="6" t="str">
        <f t="shared" si="6"/>
        <v>N/A</v>
      </c>
      <c r="O44" s="192" t="str">
        <f t="shared" si="7"/>
        <v>Balance</v>
      </c>
      <c r="P44" s="193">
        <v>6818.0</v>
      </c>
      <c r="Q44" s="6" t="str">
        <f t="shared" si="8"/>
        <v>N/A</v>
      </c>
      <c r="R44" s="192" t="str">
        <f t="shared" si="9"/>
        <v>Balance</v>
      </c>
      <c r="S44" s="193">
        <v>2571.0</v>
      </c>
      <c r="T44" s="6" t="str">
        <f t="shared" si="10"/>
        <v>N/A</v>
      </c>
      <c r="U44" s="192" t="str">
        <f t="shared" si="11"/>
        <v>Balance</v>
      </c>
    </row>
    <row r="45">
      <c r="B45" s="2">
        <f t="shared" si="1"/>
        <v>49998</v>
      </c>
      <c r="C45" s="261">
        <v>46082.0</v>
      </c>
      <c r="D45" s="193">
        <f t="shared" si="12"/>
        <v>12770</v>
      </c>
      <c r="E45" s="6" t="str">
        <f t="shared" si="13"/>
        <v>N/A</v>
      </c>
      <c r="F45" s="192" t="str">
        <f t="shared" si="14"/>
        <v>Balance</v>
      </c>
      <c r="G45" s="193">
        <v>15577.0</v>
      </c>
      <c r="H45" s="6" t="str">
        <f t="shared" si="2"/>
        <v>N/A</v>
      </c>
      <c r="I45" s="192" t="str">
        <f t="shared" si="3"/>
        <v>Balance</v>
      </c>
      <c r="J45" s="193">
        <v>9290.0</v>
      </c>
      <c r="K45" s="6" t="str">
        <f t="shared" si="4"/>
        <v>N/A</v>
      </c>
      <c r="L45" s="192" t="str">
        <f t="shared" si="5"/>
        <v>Balance</v>
      </c>
      <c r="M45" s="193">
        <v>2972.0</v>
      </c>
      <c r="N45" s="6" t="str">
        <f t="shared" si="6"/>
        <v>N/A</v>
      </c>
      <c r="O45" s="192" t="str">
        <f t="shared" si="7"/>
        <v>Balance</v>
      </c>
      <c r="P45" s="193">
        <v>6818.0</v>
      </c>
      <c r="Q45" s="6" t="str">
        <f t="shared" si="8"/>
        <v>N/A</v>
      </c>
      <c r="R45" s="192" t="str">
        <f t="shared" si="9"/>
        <v>Balance</v>
      </c>
      <c r="S45" s="193">
        <v>2571.0</v>
      </c>
      <c r="T45" s="6" t="str">
        <f t="shared" si="10"/>
        <v>N/A</v>
      </c>
      <c r="U45" s="192" t="str">
        <f t="shared" si="11"/>
        <v>Balance</v>
      </c>
    </row>
    <row r="46">
      <c r="B46" s="2">
        <f t="shared" si="1"/>
        <v>49998</v>
      </c>
      <c r="C46" s="261">
        <v>46113.0</v>
      </c>
      <c r="D46" s="193">
        <f t="shared" si="12"/>
        <v>12770</v>
      </c>
      <c r="E46" s="6" t="str">
        <f t="shared" si="13"/>
        <v>N/A</v>
      </c>
      <c r="F46" s="192" t="str">
        <f t="shared" si="14"/>
        <v>Balance</v>
      </c>
      <c r="G46" s="193">
        <v>15577.0</v>
      </c>
      <c r="H46" s="6" t="str">
        <f t="shared" si="2"/>
        <v>N/A</v>
      </c>
      <c r="I46" s="192" t="str">
        <f t="shared" si="3"/>
        <v>Balance</v>
      </c>
      <c r="J46" s="193">
        <v>9290.0</v>
      </c>
      <c r="K46" s="6" t="str">
        <f t="shared" si="4"/>
        <v>N/A</v>
      </c>
      <c r="L46" s="192" t="str">
        <f t="shared" si="5"/>
        <v>Balance</v>
      </c>
      <c r="M46" s="193">
        <v>2972.0</v>
      </c>
      <c r="N46" s="6" t="str">
        <f t="shared" si="6"/>
        <v>N/A</v>
      </c>
      <c r="O46" s="192" t="str">
        <f t="shared" si="7"/>
        <v>Balance</v>
      </c>
      <c r="P46" s="193">
        <v>6818.0</v>
      </c>
      <c r="Q46" s="6" t="str">
        <f t="shared" si="8"/>
        <v>N/A</v>
      </c>
      <c r="R46" s="192" t="str">
        <f t="shared" si="9"/>
        <v>Balance</v>
      </c>
      <c r="S46" s="193">
        <v>2571.0</v>
      </c>
      <c r="T46" s="6" t="str">
        <f t="shared" si="10"/>
        <v>N/A</v>
      </c>
      <c r="U46" s="192" t="str">
        <f t="shared" si="11"/>
        <v>Balance</v>
      </c>
    </row>
    <row r="47">
      <c r="B47" s="2">
        <f t="shared" si="1"/>
        <v>47427</v>
      </c>
      <c r="C47" s="261">
        <v>46143.0</v>
      </c>
      <c r="D47" s="193">
        <f t="shared" si="12"/>
        <v>12770</v>
      </c>
      <c r="E47" s="6" t="str">
        <f t="shared" si="13"/>
        <v>N/A</v>
      </c>
      <c r="F47" s="192" t="str">
        <f t="shared" si="14"/>
        <v>Balance</v>
      </c>
      <c r="G47" s="193">
        <v>15577.0</v>
      </c>
      <c r="H47" s="6" t="str">
        <f t="shared" si="2"/>
        <v>N/A</v>
      </c>
      <c r="I47" s="192" t="str">
        <f t="shared" si="3"/>
        <v>Balance</v>
      </c>
      <c r="J47" s="193">
        <v>9290.0</v>
      </c>
      <c r="K47" s="6" t="str">
        <f t="shared" si="4"/>
        <v>N/A</v>
      </c>
      <c r="L47" s="192" t="str">
        <f t="shared" si="5"/>
        <v>Balance</v>
      </c>
      <c r="M47" s="193">
        <v>2972.0</v>
      </c>
      <c r="N47" s="6" t="str">
        <f t="shared" si="6"/>
        <v>N/A</v>
      </c>
      <c r="O47" s="192" t="str">
        <f t="shared" si="7"/>
        <v>Balance</v>
      </c>
      <c r="P47" s="193">
        <v>6818.0</v>
      </c>
      <c r="Q47" s="6" t="str">
        <f t="shared" si="8"/>
        <v>N/A</v>
      </c>
      <c r="R47" s="192" t="str">
        <f t="shared" si="9"/>
        <v>Balance</v>
      </c>
      <c r="S47" s="193"/>
      <c r="T47" s="6" t="str">
        <f t="shared" si="10"/>
        <v>N/A</v>
      </c>
      <c r="U47" s="192" t="str">
        <f t="shared" si="11"/>
        <v>Balance</v>
      </c>
    </row>
    <row r="48">
      <c r="B48" s="2">
        <f t="shared" si="1"/>
        <v>47427</v>
      </c>
      <c r="C48" s="261">
        <v>46174.0</v>
      </c>
      <c r="D48" s="193">
        <f t="shared" si="12"/>
        <v>12770</v>
      </c>
      <c r="E48" s="6" t="str">
        <f t="shared" si="13"/>
        <v>N/A</v>
      </c>
      <c r="F48" s="192" t="str">
        <f t="shared" si="14"/>
        <v>Balance</v>
      </c>
      <c r="G48" s="193">
        <v>15577.0</v>
      </c>
      <c r="H48" s="6" t="str">
        <f t="shared" si="2"/>
        <v>N/A</v>
      </c>
      <c r="I48" s="192" t="str">
        <f t="shared" si="3"/>
        <v>Balance</v>
      </c>
      <c r="J48" s="193">
        <v>9290.0</v>
      </c>
      <c r="K48" s="6" t="str">
        <f t="shared" si="4"/>
        <v>N/A</v>
      </c>
      <c r="L48" s="192" t="str">
        <f t="shared" si="5"/>
        <v>Balance</v>
      </c>
      <c r="M48" s="193">
        <v>2972.0</v>
      </c>
      <c r="N48" s="6" t="str">
        <f t="shared" si="6"/>
        <v>N/A</v>
      </c>
      <c r="O48" s="192" t="str">
        <f t="shared" si="7"/>
        <v>Balance</v>
      </c>
      <c r="P48" s="193">
        <v>6818.0</v>
      </c>
      <c r="Q48" s="6" t="str">
        <f t="shared" si="8"/>
        <v>N/A</v>
      </c>
      <c r="R48" s="192" t="str">
        <f t="shared" si="9"/>
        <v>Balance</v>
      </c>
      <c r="S48" s="193"/>
      <c r="T48" s="6" t="str">
        <f t="shared" si="10"/>
        <v>N/A</v>
      </c>
      <c r="U48" s="192" t="str">
        <f t="shared" si="11"/>
        <v>Balance</v>
      </c>
    </row>
    <row r="49">
      <c r="B49" s="2">
        <f t="shared" si="1"/>
        <v>47427</v>
      </c>
      <c r="C49" s="261">
        <v>46204.0</v>
      </c>
      <c r="D49" s="193">
        <f t="shared" si="12"/>
        <v>12770</v>
      </c>
      <c r="E49" s="6" t="str">
        <f t="shared" si="13"/>
        <v>N/A</v>
      </c>
      <c r="F49" s="192" t="str">
        <f t="shared" si="14"/>
        <v>Balance</v>
      </c>
      <c r="G49" s="193">
        <v>15577.0</v>
      </c>
      <c r="H49" s="6" t="str">
        <f t="shared" si="2"/>
        <v>N/A</v>
      </c>
      <c r="I49" s="192" t="str">
        <f t="shared" si="3"/>
        <v>Balance</v>
      </c>
      <c r="J49" s="193">
        <v>9290.0</v>
      </c>
      <c r="K49" s="6" t="str">
        <f t="shared" si="4"/>
        <v>N/A</v>
      </c>
      <c r="L49" s="192" t="str">
        <f t="shared" si="5"/>
        <v>Balance</v>
      </c>
      <c r="M49" s="193">
        <v>2972.0</v>
      </c>
      <c r="N49" s="6" t="str">
        <f t="shared" si="6"/>
        <v>N/A</v>
      </c>
      <c r="O49" s="192" t="str">
        <f t="shared" si="7"/>
        <v>Balance</v>
      </c>
      <c r="P49" s="193">
        <v>6818.0</v>
      </c>
      <c r="Q49" s="6" t="str">
        <f t="shared" si="8"/>
        <v>N/A</v>
      </c>
      <c r="R49" s="192" t="str">
        <f t="shared" si="9"/>
        <v>Balance</v>
      </c>
      <c r="S49" s="193"/>
      <c r="T49" s="6" t="str">
        <f t="shared" si="10"/>
        <v>N/A</v>
      </c>
      <c r="U49" s="192" t="str">
        <f t="shared" si="11"/>
        <v>Balance</v>
      </c>
    </row>
    <row r="50">
      <c r="B50" s="2">
        <f t="shared" si="1"/>
        <v>47427</v>
      </c>
      <c r="C50" s="261">
        <v>46235.0</v>
      </c>
      <c r="D50" s="193">
        <f t="shared" si="12"/>
        <v>12770</v>
      </c>
      <c r="E50" s="6" t="str">
        <f t="shared" si="13"/>
        <v>N/A</v>
      </c>
      <c r="F50" s="192" t="str">
        <f t="shared" si="14"/>
        <v>Balance</v>
      </c>
      <c r="G50" s="193">
        <v>15577.0</v>
      </c>
      <c r="H50" s="6" t="str">
        <f t="shared" si="2"/>
        <v>N/A</v>
      </c>
      <c r="I50" s="192" t="str">
        <f t="shared" si="3"/>
        <v>Balance</v>
      </c>
      <c r="J50" s="193">
        <v>9290.0</v>
      </c>
      <c r="K50" s="6" t="str">
        <f t="shared" si="4"/>
        <v>N/A</v>
      </c>
      <c r="L50" s="192" t="str">
        <f t="shared" si="5"/>
        <v>Balance</v>
      </c>
      <c r="M50" s="193">
        <v>2972.0</v>
      </c>
      <c r="N50" s="6" t="str">
        <f t="shared" si="6"/>
        <v>N/A</v>
      </c>
      <c r="O50" s="192" t="str">
        <f t="shared" si="7"/>
        <v>Balance</v>
      </c>
      <c r="P50" s="193">
        <v>6818.0</v>
      </c>
      <c r="Q50" s="6" t="str">
        <f t="shared" si="8"/>
        <v>N/A</v>
      </c>
      <c r="R50" s="192" t="str">
        <f t="shared" si="9"/>
        <v>Balance</v>
      </c>
      <c r="S50" s="193"/>
      <c r="T50" s="6" t="str">
        <f t="shared" si="10"/>
        <v>N/A</v>
      </c>
      <c r="U50" s="192" t="str">
        <f t="shared" si="11"/>
        <v>Balance</v>
      </c>
    </row>
    <row r="51">
      <c r="B51" s="2">
        <f t="shared" si="1"/>
        <v>47427</v>
      </c>
      <c r="C51" s="261">
        <v>46266.0</v>
      </c>
      <c r="D51" s="193">
        <f t="shared" si="12"/>
        <v>12770</v>
      </c>
      <c r="E51" s="6" t="str">
        <f t="shared" si="13"/>
        <v>N/A</v>
      </c>
      <c r="F51" s="192" t="str">
        <f t="shared" si="14"/>
        <v>Balance</v>
      </c>
      <c r="G51" s="193">
        <v>15577.0</v>
      </c>
      <c r="H51" s="6" t="str">
        <f t="shared" si="2"/>
        <v>N/A</v>
      </c>
      <c r="I51" s="192" t="str">
        <f t="shared" si="3"/>
        <v>Balance</v>
      </c>
      <c r="J51" s="193">
        <v>9290.0</v>
      </c>
      <c r="K51" s="6" t="str">
        <f t="shared" si="4"/>
        <v>N/A</v>
      </c>
      <c r="L51" s="192" t="str">
        <f t="shared" si="5"/>
        <v>Balance</v>
      </c>
      <c r="M51" s="193">
        <v>2972.0</v>
      </c>
      <c r="N51" s="6" t="str">
        <f t="shared" si="6"/>
        <v>N/A</v>
      </c>
      <c r="O51" s="192" t="str">
        <f t="shared" si="7"/>
        <v>Balance</v>
      </c>
      <c r="P51" s="193">
        <v>6818.0</v>
      </c>
      <c r="Q51" s="6" t="str">
        <f t="shared" si="8"/>
        <v>N/A</v>
      </c>
      <c r="R51" s="192" t="str">
        <f t="shared" si="9"/>
        <v>Balance</v>
      </c>
      <c r="S51" s="193"/>
      <c r="T51" s="6" t="str">
        <f t="shared" si="10"/>
        <v>N/A</v>
      </c>
      <c r="U51" s="192" t="str">
        <f t="shared" si="11"/>
        <v>Balance</v>
      </c>
    </row>
    <row r="52">
      <c r="B52" s="2">
        <f t="shared" si="1"/>
        <v>47427</v>
      </c>
      <c r="C52" s="261">
        <v>46296.0</v>
      </c>
      <c r="D52" s="193">
        <f t="shared" si="12"/>
        <v>12770</v>
      </c>
      <c r="E52" s="6" t="str">
        <f t="shared" si="13"/>
        <v>N/A</v>
      </c>
      <c r="F52" s="192" t="str">
        <f t="shared" si="14"/>
        <v>Balance</v>
      </c>
      <c r="G52" s="193">
        <v>15577.0</v>
      </c>
      <c r="H52" s="6" t="str">
        <f t="shared" si="2"/>
        <v>N/A</v>
      </c>
      <c r="I52" s="192" t="str">
        <f t="shared" si="3"/>
        <v>Balance</v>
      </c>
      <c r="J52" s="193">
        <v>9290.0</v>
      </c>
      <c r="K52" s="6" t="str">
        <f t="shared" si="4"/>
        <v>N/A</v>
      </c>
      <c r="L52" s="192" t="str">
        <f t="shared" si="5"/>
        <v>Balance</v>
      </c>
      <c r="M52" s="193">
        <v>2972.0</v>
      </c>
      <c r="N52" s="6" t="str">
        <f t="shared" si="6"/>
        <v>N/A</v>
      </c>
      <c r="O52" s="192" t="str">
        <f t="shared" si="7"/>
        <v>Balance</v>
      </c>
      <c r="P52" s="193">
        <v>6818.0</v>
      </c>
      <c r="Q52" s="6" t="str">
        <f t="shared" si="8"/>
        <v>N/A</v>
      </c>
      <c r="R52" s="192" t="str">
        <f t="shared" si="9"/>
        <v>Balance</v>
      </c>
      <c r="S52" s="193"/>
      <c r="T52" s="6" t="str">
        <f t="shared" si="10"/>
        <v>N/A</v>
      </c>
      <c r="U52" s="192" t="str">
        <f t="shared" si="11"/>
        <v>Balance</v>
      </c>
    </row>
    <row r="53">
      <c r="B53" s="2">
        <f t="shared" si="1"/>
        <v>40609</v>
      </c>
      <c r="C53" s="261">
        <v>46327.0</v>
      </c>
      <c r="D53" s="193">
        <f t="shared" si="12"/>
        <v>12770</v>
      </c>
      <c r="E53" s="6" t="str">
        <f t="shared" si="13"/>
        <v>N/A</v>
      </c>
      <c r="F53" s="192" t="str">
        <f t="shared" si="14"/>
        <v>Balance</v>
      </c>
      <c r="G53" s="193">
        <v>15577.0</v>
      </c>
      <c r="H53" s="6" t="str">
        <f t="shared" si="2"/>
        <v>N/A</v>
      </c>
      <c r="I53" s="192" t="str">
        <f t="shared" si="3"/>
        <v>Balance</v>
      </c>
      <c r="J53" s="193">
        <v>9290.0</v>
      </c>
      <c r="K53" s="6" t="str">
        <f t="shared" si="4"/>
        <v>N/A</v>
      </c>
      <c r="L53" s="192" t="str">
        <f t="shared" si="5"/>
        <v>Balance</v>
      </c>
      <c r="M53" s="193">
        <v>2972.0</v>
      </c>
      <c r="N53" s="6" t="str">
        <f t="shared" si="6"/>
        <v>N/A</v>
      </c>
      <c r="O53" s="192" t="str">
        <f t="shared" si="7"/>
        <v>Balance</v>
      </c>
      <c r="P53" s="193"/>
      <c r="Q53" s="6" t="str">
        <f t="shared" si="8"/>
        <v>N/A</v>
      </c>
      <c r="R53" s="192" t="str">
        <f t="shared" si="9"/>
        <v>Balance</v>
      </c>
      <c r="S53" s="193"/>
      <c r="T53" s="6" t="str">
        <f t="shared" si="10"/>
        <v>N/A</v>
      </c>
      <c r="U53" s="192" t="str">
        <f t="shared" si="11"/>
        <v>Balance</v>
      </c>
    </row>
    <row r="54">
      <c r="B54" s="2">
        <f t="shared" si="1"/>
        <v>40609</v>
      </c>
      <c r="C54" s="261">
        <v>46357.0</v>
      </c>
      <c r="D54" s="193">
        <f t="shared" si="12"/>
        <v>12770</v>
      </c>
      <c r="E54" s="6" t="str">
        <f t="shared" si="13"/>
        <v>N/A</v>
      </c>
      <c r="F54" s="192" t="str">
        <f t="shared" si="14"/>
        <v>Balance</v>
      </c>
      <c r="G54" s="193">
        <v>15577.0</v>
      </c>
      <c r="H54" s="6" t="str">
        <f t="shared" si="2"/>
        <v>N/A</v>
      </c>
      <c r="I54" s="192" t="str">
        <f t="shared" si="3"/>
        <v>Balance</v>
      </c>
      <c r="J54" s="193">
        <v>9290.0</v>
      </c>
      <c r="K54" s="6" t="str">
        <f t="shared" si="4"/>
        <v>N/A</v>
      </c>
      <c r="L54" s="192" t="str">
        <f t="shared" si="5"/>
        <v>Balance</v>
      </c>
      <c r="M54" s="193">
        <v>2972.0</v>
      </c>
      <c r="N54" s="6" t="str">
        <f t="shared" si="6"/>
        <v>N/A</v>
      </c>
      <c r="O54" s="192" t="str">
        <f t="shared" si="7"/>
        <v>Balance</v>
      </c>
      <c r="P54" s="193"/>
      <c r="Q54" s="6" t="str">
        <f t="shared" si="8"/>
        <v>N/A</v>
      </c>
      <c r="R54" s="192" t="str">
        <f t="shared" si="9"/>
        <v>Balance</v>
      </c>
      <c r="S54" s="193"/>
      <c r="T54" s="6" t="str">
        <f t="shared" si="10"/>
        <v>N/A</v>
      </c>
      <c r="U54" s="192" t="str">
        <f t="shared" si="11"/>
        <v>Balance</v>
      </c>
    </row>
    <row r="55">
      <c r="B55" s="2">
        <f t="shared" si="1"/>
        <v>40609</v>
      </c>
      <c r="C55" s="261">
        <v>46388.0</v>
      </c>
      <c r="D55" s="193">
        <f t="shared" si="12"/>
        <v>12770</v>
      </c>
      <c r="E55" s="6" t="str">
        <f t="shared" si="13"/>
        <v>N/A</v>
      </c>
      <c r="F55" s="192" t="str">
        <f t="shared" si="14"/>
        <v>Balance</v>
      </c>
      <c r="G55" s="193">
        <v>15577.0</v>
      </c>
      <c r="H55" s="6" t="str">
        <f t="shared" si="2"/>
        <v>N/A</v>
      </c>
      <c r="I55" s="192" t="str">
        <f t="shared" si="3"/>
        <v>Balance</v>
      </c>
      <c r="J55" s="193">
        <v>9290.0</v>
      </c>
      <c r="K55" s="6" t="str">
        <f t="shared" si="4"/>
        <v>N/A</v>
      </c>
      <c r="L55" s="192" t="str">
        <f t="shared" si="5"/>
        <v>Balance</v>
      </c>
      <c r="M55" s="193">
        <v>2972.0</v>
      </c>
      <c r="N55" s="6" t="str">
        <f t="shared" si="6"/>
        <v>N/A</v>
      </c>
      <c r="O55" s="192" t="str">
        <f t="shared" si="7"/>
        <v>Balance</v>
      </c>
      <c r="P55" s="193"/>
      <c r="Q55" s="6" t="str">
        <f t="shared" si="8"/>
        <v>N/A</v>
      </c>
      <c r="R55" s="192" t="str">
        <f t="shared" si="9"/>
        <v>Balance</v>
      </c>
      <c r="S55" s="193"/>
      <c r="T55" s="6" t="str">
        <f t="shared" si="10"/>
        <v>N/A</v>
      </c>
      <c r="U55" s="192" t="str">
        <f t="shared" si="11"/>
        <v>Balance</v>
      </c>
    </row>
    <row r="56">
      <c r="B56" s="2">
        <f t="shared" si="1"/>
        <v>40609</v>
      </c>
      <c r="C56" s="261">
        <v>46419.0</v>
      </c>
      <c r="D56" s="193">
        <f t="shared" si="12"/>
        <v>12770</v>
      </c>
      <c r="E56" s="6" t="str">
        <f t="shared" si="13"/>
        <v>N/A</v>
      </c>
      <c r="F56" s="192" t="str">
        <f t="shared" si="14"/>
        <v>Balance</v>
      </c>
      <c r="G56" s="193">
        <v>15577.0</v>
      </c>
      <c r="H56" s="6" t="str">
        <f t="shared" si="2"/>
        <v>N/A</v>
      </c>
      <c r="I56" s="192" t="str">
        <f t="shared" si="3"/>
        <v>Balance</v>
      </c>
      <c r="J56" s="193">
        <v>9290.0</v>
      </c>
      <c r="K56" s="6" t="str">
        <f t="shared" si="4"/>
        <v>N/A</v>
      </c>
      <c r="L56" s="192" t="str">
        <f t="shared" si="5"/>
        <v>Balance</v>
      </c>
      <c r="M56" s="193">
        <v>2972.0</v>
      </c>
      <c r="N56" s="6" t="str">
        <f t="shared" si="6"/>
        <v>N/A</v>
      </c>
      <c r="O56" s="192" t="str">
        <f t="shared" si="7"/>
        <v>Balance</v>
      </c>
      <c r="P56" s="193"/>
      <c r="Q56" s="6" t="str">
        <f t="shared" si="8"/>
        <v>N/A</v>
      </c>
      <c r="R56" s="192" t="str">
        <f t="shared" si="9"/>
        <v>Balance</v>
      </c>
      <c r="S56" s="193"/>
      <c r="T56" s="6" t="str">
        <f t="shared" si="10"/>
        <v>N/A</v>
      </c>
      <c r="U56" s="192" t="str">
        <f t="shared" si="11"/>
        <v>Balance</v>
      </c>
    </row>
    <row r="57">
      <c r="B57" s="2">
        <f t="shared" si="1"/>
        <v>40609</v>
      </c>
      <c r="C57" s="261">
        <v>46447.0</v>
      </c>
      <c r="D57" s="193">
        <f t="shared" si="12"/>
        <v>12770</v>
      </c>
      <c r="E57" s="6" t="str">
        <f t="shared" si="13"/>
        <v>N/A</v>
      </c>
      <c r="F57" s="192" t="str">
        <f t="shared" si="14"/>
        <v>Balance</v>
      </c>
      <c r="G57" s="193">
        <v>15577.0</v>
      </c>
      <c r="H57" s="6" t="str">
        <f t="shared" si="2"/>
        <v>N/A</v>
      </c>
      <c r="I57" s="192" t="str">
        <f t="shared" si="3"/>
        <v>Balance</v>
      </c>
      <c r="J57" s="193">
        <v>9290.0</v>
      </c>
      <c r="K57" s="6" t="str">
        <f t="shared" si="4"/>
        <v>N/A</v>
      </c>
      <c r="L57" s="192" t="str">
        <f t="shared" si="5"/>
        <v>Balance</v>
      </c>
      <c r="M57" s="193">
        <v>2972.0</v>
      </c>
      <c r="N57" s="6" t="str">
        <f t="shared" si="6"/>
        <v>N/A</v>
      </c>
      <c r="O57" s="192" t="str">
        <f t="shared" si="7"/>
        <v>Balance</v>
      </c>
      <c r="P57" s="193"/>
      <c r="Q57" s="6" t="str">
        <f t="shared" si="8"/>
        <v>N/A</v>
      </c>
      <c r="R57" s="192" t="str">
        <f t="shared" si="9"/>
        <v>Balance</v>
      </c>
      <c r="S57" s="193"/>
      <c r="T57" s="6" t="str">
        <f t="shared" si="10"/>
        <v>N/A</v>
      </c>
      <c r="U57" s="192" t="str">
        <f t="shared" si="11"/>
        <v>Balance</v>
      </c>
    </row>
    <row r="58">
      <c r="B58" s="2">
        <f t="shared" si="1"/>
        <v>40609</v>
      </c>
      <c r="C58" s="261">
        <v>46478.0</v>
      </c>
      <c r="D58" s="193">
        <f t="shared" si="12"/>
        <v>12770</v>
      </c>
      <c r="E58" s="6" t="str">
        <f t="shared" si="13"/>
        <v>N/A</v>
      </c>
      <c r="F58" s="192" t="str">
        <f t="shared" si="14"/>
        <v>Balance</v>
      </c>
      <c r="G58" s="193">
        <v>15577.0</v>
      </c>
      <c r="H58" s="6" t="str">
        <f t="shared" si="2"/>
        <v>N/A</v>
      </c>
      <c r="I58" s="192" t="str">
        <f t="shared" si="3"/>
        <v>Balance</v>
      </c>
      <c r="J58" s="193">
        <v>9290.0</v>
      </c>
      <c r="K58" s="6" t="str">
        <f t="shared" si="4"/>
        <v>N/A</v>
      </c>
      <c r="L58" s="192" t="str">
        <f t="shared" si="5"/>
        <v>Balance</v>
      </c>
      <c r="M58" s="193">
        <v>2972.0</v>
      </c>
      <c r="N58" s="6" t="str">
        <f t="shared" si="6"/>
        <v>N/A</v>
      </c>
      <c r="O58" s="192" t="str">
        <f t="shared" si="7"/>
        <v>Balance</v>
      </c>
      <c r="P58" s="193"/>
      <c r="Q58" s="6" t="str">
        <f t="shared" si="8"/>
        <v>N/A</v>
      </c>
      <c r="R58" s="192" t="str">
        <f t="shared" si="9"/>
        <v>Balance</v>
      </c>
      <c r="S58" s="193"/>
      <c r="T58" s="6" t="str">
        <f t="shared" si="10"/>
        <v>N/A</v>
      </c>
      <c r="U58" s="192" t="str">
        <f t="shared" si="11"/>
        <v>Balance</v>
      </c>
    </row>
    <row r="59">
      <c r="B59" s="2">
        <f t="shared" si="1"/>
        <v>40609</v>
      </c>
      <c r="C59" s="261">
        <v>46508.0</v>
      </c>
      <c r="D59" s="193">
        <f t="shared" si="12"/>
        <v>12770</v>
      </c>
      <c r="E59" s="6" t="str">
        <f t="shared" si="13"/>
        <v>N/A</v>
      </c>
      <c r="F59" s="192" t="str">
        <f t="shared" si="14"/>
        <v>Balance</v>
      </c>
      <c r="G59" s="193">
        <v>15577.0</v>
      </c>
      <c r="H59" s="6" t="str">
        <f t="shared" si="2"/>
        <v>N/A</v>
      </c>
      <c r="I59" s="192" t="str">
        <f t="shared" si="3"/>
        <v>Balance</v>
      </c>
      <c r="J59" s="193">
        <v>9290.0</v>
      </c>
      <c r="K59" s="6" t="str">
        <f t="shared" si="4"/>
        <v>N/A</v>
      </c>
      <c r="L59" s="192" t="str">
        <f t="shared" si="5"/>
        <v>Balance</v>
      </c>
      <c r="M59" s="193">
        <v>2972.0</v>
      </c>
      <c r="N59" s="6" t="str">
        <f t="shared" si="6"/>
        <v>N/A</v>
      </c>
      <c r="O59" s="192" t="str">
        <f t="shared" si="7"/>
        <v>Balance</v>
      </c>
      <c r="P59" s="193"/>
      <c r="Q59" s="6" t="str">
        <f t="shared" si="8"/>
        <v>N/A</v>
      </c>
      <c r="R59" s="192" t="str">
        <f t="shared" si="9"/>
        <v>Balance</v>
      </c>
      <c r="S59" s="193"/>
      <c r="T59" s="6" t="str">
        <f t="shared" si="10"/>
        <v>N/A</v>
      </c>
      <c r="U59" s="192" t="str">
        <f t="shared" si="11"/>
        <v>Balance</v>
      </c>
    </row>
    <row r="60">
      <c r="B60" s="2">
        <f t="shared" si="1"/>
        <v>40609</v>
      </c>
      <c r="C60" s="261">
        <v>46539.0</v>
      </c>
      <c r="D60" s="193">
        <f t="shared" si="12"/>
        <v>12770</v>
      </c>
      <c r="E60" s="6" t="str">
        <f t="shared" si="13"/>
        <v>N/A</v>
      </c>
      <c r="F60" s="192" t="str">
        <f t="shared" si="14"/>
        <v>Balance</v>
      </c>
      <c r="G60" s="193">
        <v>15577.0</v>
      </c>
      <c r="H60" s="6" t="str">
        <f t="shared" si="2"/>
        <v>N/A</v>
      </c>
      <c r="I60" s="192" t="str">
        <f t="shared" si="3"/>
        <v>Balance</v>
      </c>
      <c r="J60" s="193">
        <v>9290.0</v>
      </c>
      <c r="K60" s="6" t="str">
        <f t="shared" si="4"/>
        <v>N/A</v>
      </c>
      <c r="L60" s="192" t="str">
        <f t="shared" si="5"/>
        <v>Balance</v>
      </c>
      <c r="M60" s="193">
        <v>2972.0</v>
      </c>
      <c r="N60" s="6" t="str">
        <f t="shared" si="6"/>
        <v>N/A</v>
      </c>
      <c r="O60" s="192" t="str">
        <f t="shared" si="7"/>
        <v>Balance</v>
      </c>
      <c r="P60" s="193"/>
      <c r="Q60" s="6" t="str">
        <f t="shared" si="8"/>
        <v>N/A</v>
      </c>
      <c r="R60" s="192" t="str">
        <f t="shared" si="9"/>
        <v>Balance</v>
      </c>
      <c r="S60" s="193"/>
      <c r="T60" s="6" t="str">
        <f t="shared" si="10"/>
        <v>N/A</v>
      </c>
      <c r="U60" s="192" t="str">
        <f t="shared" si="11"/>
        <v>Balance</v>
      </c>
    </row>
    <row r="61">
      <c r="B61" s="2">
        <f t="shared" si="1"/>
        <v>40609</v>
      </c>
      <c r="C61" s="261">
        <v>46569.0</v>
      </c>
      <c r="D61" s="193">
        <f t="shared" si="12"/>
        <v>12770</v>
      </c>
      <c r="E61" s="6" t="str">
        <f t="shared" si="13"/>
        <v>N/A</v>
      </c>
      <c r="F61" s="192" t="str">
        <f t="shared" si="14"/>
        <v>Balance</v>
      </c>
      <c r="G61" s="193">
        <v>15577.0</v>
      </c>
      <c r="H61" s="6" t="str">
        <f t="shared" si="2"/>
        <v>N/A</v>
      </c>
      <c r="I61" s="192" t="str">
        <f t="shared" si="3"/>
        <v>Balance</v>
      </c>
      <c r="J61" s="193">
        <v>9290.0</v>
      </c>
      <c r="K61" s="6" t="str">
        <f t="shared" si="4"/>
        <v>N/A</v>
      </c>
      <c r="L61" s="192" t="str">
        <f t="shared" si="5"/>
        <v>Balance</v>
      </c>
      <c r="M61" s="193">
        <v>2972.0</v>
      </c>
      <c r="N61" s="6" t="str">
        <f t="shared" si="6"/>
        <v>N/A</v>
      </c>
      <c r="O61" s="192" t="str">
        <f t="shared" si="7"/>
        <v>Balance</v>
      </c>
      <c r="P61" s="193"/>
      <c r="Q61" s="6" t="str">
        <f t="shared" si="8"/>
        <v>N/A</v>
      </c>
      <c r="R61" s="192" t="str">
        <f t="shared" si="9"/>
        <v>Balance</v>
      </c>
      <c r="S61" s="193"/>
      <c r="T61" s="6" t="str">
        <f t="shared" si="10"/>
        <v>N/A</v>
      </c>
      <c r="U61" s="192" t="str">
        <f t="shared" si="11"/>
        <v>Balance</v>
      </c>
    </row>
    <row r="62">
      <c r="B62" s="2">
        <f t="shared" si="1"/>
        <v>40609</v>
      </c>
      <c r="C62" s="261">
        <v>46600.0</v>
      </c>
      <c r="D62" s="193">
        <f t="shared" si="12"/>
        <v>12770</v>
      </c>
      <c r="E62" s="6" t="str">
        <f t="shared" si="13"/>
        <v>N/A</v>
      </c>
      <c r="F62" s="192" t="str">
        <f t="shared" si="14"/>
        <v>Balance</v>
      </c>
      <c r="G62" s="193">
        <v>15577.0</v>
      </c>
      <c r="H62" s="6" t="str">
        <f t="shared" si="2"/>
        <v>N/A</v>
      </c>
      <c r="I62" s="192" t="str">
        <f t="shared" si="3"/>
        <v>Balance</v>
      </c>
      <c r="J62" s="193">
        <v>9290.0</v>
      </c>
      <c r="K62" s="6" t="str">
        <f t="shared" si="4"/>
        <v>N/A</v>
      </c>
      <c r="L62" s="192" t="str">
        <f t="shared" si="5"/>
        <v>Balance</v>
      </c>
      <c r="M62" s="193">
        <v>2972.0</v>
      </c>
      <c r="N62" s="6" t="str">
        <f t="shared" si="6"/>
        <v>N/A</v>
      </c>
      <c r="O62" s="192" t="str">
        <f t="shared" si="7"/>
        <v>Balance</v>
      </c>
      <c r="P62" s="193"/>
      <c r="Q62" s="6" t="str">
        <f t="shared" si="8"/>
        <v>N/A</v>
      </c>
      <c r="R62" s="192" t="str">
        <f t="shared" si="9"/>
        <v>Balance</v>
      </c>
      <c r="S62" s="193"/>
      <c r="T62" s="6" t="str">
        <f t="shared" si="10"/>
        <v>N/A</v>
      </c>
      <c r="U62" s="192" t="str">
        <f t="shared" si="11"/>
        <v>Balance</v>
      </c>
    </row>
    <row r="63">
      <c r="B63" s="2">
        <f t="shared" si="1"/>
        <v>40609</v>
      </c>
      <c r="C63" s="261">
        <v>46631.0</v>
      </c>
      <c r="D63" s="193">
        <f t="shared" si="12"/>
        <v>12770</v>
      </c>
      <c r="E63" s="6" t="str">
        <f t="shared" si="13"/>
        <v>N/A</v>
      </c>
      <c r="F63" s="192" t="str">
        <f t="shared" si="14"/>
        <v>Balance</v>
      </c>
      <c r="G63" s="193">
        <v>15577.0</v>
      </c>
      <c r="H63" s="6" t="str">
        <f t="shared" si="2"/>
        <v>N/A</v>
      </c>
      <c r="I63" s="192" t="str">
        <f t="shared" si="3"/>
        <v>Balance</v>
      </c>
      <c r="J63" s="193">
        <v>9290.0</v>
      </c>
      <c r="K63" s="6" t="str">
        <f t="shared" si="4"/>
        <v>N/A</v>
      </c>
      <c r="L63" s="192" t="str">
        <f t="shared" si="5"/>
        <v>Balance</v>
      </c>
      <c r="M63" s="193">
        <v>2972.0</v>
      </c>
      <c r="N63" s="6" t="str">
        <f t="shared" si="6"/>
        <v>N/A</v>
      </c>
      <c r="O63" s="192" t="str">
        <f t="shared" si="7"/>
        <v>Balance</v>
      </c>
      <c r="P63" s="193"/>
      <c r="Q63" s="6" t="str">
        <f t="shared" si="8"/>
        <v>N/A</v>
      </c>
      <c r="R63" s="192" t="str">
        <f t="shared" si="9"/>
        <v>Balance</v>
      </c>
      <c r="S63" s="193"/>
      <c r="T63" s="6" t="str">
        <f t="shared" si="10"/>
        <v>N/A</v>
      </c>
      <c r="U63" s="192" t="str">
        <f t="shared" si="11"/>
        <v>Balance</v>
      </c>
    </row>
    <row r="64">
      <c r="B64" s="2">
        <f t="shared" si="1"/>
        <v>40609</v>
      </c>
      <c r="C64" s="261">
        <v>46661.0</v>
      </c>
      <c r="D64" s="193">
        <f t="shared" si="12"/>
        <v>12770</v>
      </c>
      <c r="E64" s="6" t="str">
        <f t="shared" si="13"/>
        <v>N/A</v>
      </c>
      <c r="F64" s="192" t="str">
        <f t="shared" si="14"/>
        <v>Balance</v>
      </c>
      <c r="G64" s="193">
        <v>15577.0</v>
      </c>
      <c r="H64" s="6" t="str">
        <f t="shared" si="2"/>
        <v>N/A</v>
      </c>
      <c r="I64" s="192" t="str">
        <f t="shared" si="3"/>
        <v>Balance</v>
      </c>
      <c r="J64" s="193">
        <v>9290.0</v>
      </c>
      <c r="K64" s="6" t="str">
        <f t="shared" si="4"/>
        <v>N/A</v>
      </c>
      <c r="L64" s="192" t="str">
        <f t="shared" si="5"/>
        <v>Balance</v>
      </c>
      <c r="M64" s="193">
        <v>2972.0</v>
      </c>
      <c r="N64" s="6" t="str">
        <f t="shared" si="6"/>
        <v>N/A</v>
      </c>
      <c r="O64" s="192" t="str">
        <f t="shared" si="7"/>
        <v>Balance</v>
      </c>
      <c r="P64" s="193"/>
      <c r="Q64" s="6" t="str">
        <f t="shared" si="8"/>
        <v>N/A</v>
      </c>
      <c r="R64" s="192" t="str">
        <f t="shared" si="9"/>
        <v>Balance</v>
      </c>
      <c r="S64" s="193"/>
      <c r="T64" s="6" t="str">
        <f t="shared" si="10"/>
        <v>N/A</v>
      </c>
      <c r="U64" s="192" t="str">
        <f t="shared" si="11"/>
        <v>Balance</v>
      </c>
    </row>
    <row r="65">
      <c r="B65" s="2">
        <f t="shared" si="1"/>
        <v>40609</v>
      </c>
      <c r="C65" s="261">
        <v>46692.0</v>
      </c>
      <c r="D65" s="193">
        <f t="shared" si="12"/>
        <v>12770</v>
      </c>
      <c r="E65" s="6" t="str">
        <f t="shared" si="13"/>
        <v>N/A</v>
      </c>
      <c r="F65" s="192" t="str">
        <f t="shared" si="14"/>
        <v>Balance</v>
      </c>
      <c r="G65" s="193">
        <v>15577.0</v>
      </c>
      <c r="H65" s="6" t="str">
        <f t="shared" si="2"/>
        <v>N/A</v>
      </c>
      <c r="I65" s="192" t="str">
        <f t="shared" si="3"/>
        <v>Balance</v>
      </c>
      <c r="J65" s="193">
        <v>9290.0</v>
      </c>
      <c r="K65" s="6" t="str">
        <f t="shared" si="4"/>
        <v>N/A</v>
      </c>
      <c r="L65" s="192" t="str">
        <f t="shared" si="5"/>
        <v>Balance</v>
      </c>
      <c r="M65" s="193">
        <v>2972.0</v>
      </c>
      <c r="N65" s="6" t="str">
        <f t="shared" si="6"/>
        <v>N/A</v>
      </c>
      <c r="O65" s="192" t="str">
        <f t="shared" si="7"/>
        <v>Balance</v>
      </c>
      <c r="P65" s="193"/>
      <c r="Q65" s="6" t="str">
        <f t="shared" si="8"/>
        <v>N/A</v>
      </c>
      <c r="R65" s="192" t="str">
        <f t="shared" si="9"/>
        <v>Balance</v>
      </c>
      <c r="S65" s="193"/>
      <c r="T65" s="6" t="str">
        <f t="shared" si="10"/>
        <v>N/A</v>
      </c>
      <c r="U65" s="192" t="str">
        <f t="shared" si="11"/>
        <v>Balance</v>
      </c>
    </row>
    <row r="66">
      <c r="B66" s="2">
        <f t="shared" si="1"/>
        <v>40609</v>
      </c>
      <c r="C66" s="261">
        <v>46722.0</v>
      </c>
      <c r="D66" s="193">
        <f t="shared" si="12"/>
        <v>12770</v>
      </c>
      <c r="E66" s="6" t="str">
        <f t="shared" si="13"/>
        <v>N/A</v>
      </c>
      <c r="F66" s="192" t="str">
        <f t="shared" si="14"/>
        <v>Balance</v>
      </c>
      <c r="G66" s="193">
        <v>15577.0</v>
      </c>
      <c r="H66" s="6" t="str">
        <f t="shared" si="2"/>
        <v>N/A</v>
      </c>
      <c r="I66" s="192" t="str">
        <f t="shared" si="3"/>
        <v>Balance</v>
      </c>
      <c r="J66" s="193">
        <v>9290.0</v>
      </c>
      <c r="K66" s="6" t="str">
        <f t="shared" si="4"/>
        <v>N/A</v>
      </c>
      <c r="L66" s="192" t="str">
        <f t="shared" si="5"/>
        <v>Balance</v>
      </c>
      <c r="M66" s="193">
        <v>2972.0</v>
      </c>
      <c r="N66" s="6" t="str">
        <f t="shared" si="6"/>
        <v>N/A</v>
      </c>
      <c r="O66" s="192" t="str">
        <f t="shared" si="7"/>
        <v>Balance</v>
      </c>
      <c r="P66" s="193"/>
      <c r="Q66" s="6" t="str">
        <f t="shared" si="8"/>
        <v>N/A</v>
      </c>
      <c r="R66" s="192" t="str">
        <f t="shared" si="9"/>
        <v>Balance</v>
      </c>
      <c r="S66" s="193"/>
      <c r="T66" s="6" t="str">
        <f t="shared" si="10"/>
        <v>N/A</v>
      </c>
      <c r="U66" s="192" t="str">
        <f t="shared" si="11"/>
        <v>Balance</v>
      </c>
    </row>
    <row r="67">
      <c r="B67" s="2">
        <f t="shared" si="1"/>
        <v>40609</v>
      </c>
      <c r="C67" s="261">
        <v>46753.0</v>
      </c>
      <c r="D67" s="193">
        <f t="shared" si="12"/>
        <v>12770</v>
      </c>
      <c r="E67" s="6" t="str">
        <f t="shared" si="13"/>
        <v>N/A</v>
      </c>
      <c r="F67" s="192" t="str">
        <f t="shared" si="14"/>
        <v>Balance</v>
      </c>
      <c r="G67" s="193">
        <v>15577.0</v>
      </c>
      <c r="H67" s="6" t="str">
        <f t="shared" si="2"/>
        <v>N/A</v>
      </c>
      <c r="I67" s="192" t="str">
        <f t="shared" si="3"/>
        <v>Balance</v>
      </c>
      <c r="J67" s="193">
        <v>9290.0</v>
      </c>
      <c r="K67" s="6" t="str">
        <f t="shared" si="4"/>
        <v>N/A</v>
      </c>
      <c r="L67" s="192" t="str">
        <f t="shared" si="5"/>
        <v>Balance</v>
      </c>
      <c r="M67" s="193">
        <v>2972.0</v>
      </c>
      <c r="N67" s="6" t="str">
        <f t="shared" si="6"/>
        <v>N/A</v>
      </c>
      <c r="O67" s="192" t="str">
        <f t="shared" si="7"/>
        <v>Balance</v>
      </c>
      <c r="P67" s="193"/>
      <c r="Q67" s="6" t="str">
        <f t="shared" si="8"/>
        <v>N/A</v>
      </c>
      <c r="R67" s="192" t="str">
        <f t="shared" si="9"/>
        <v>Balance</v>
      </c>
      <c r="S67" s="193"/>
      <c r="T67" s="6" t="str">
        <f t="shared" si="10"/>
        <v>N/A</v>
      </c>
      <c r="U67" s="192" t="str">
        <f t="shared" si="11"/>
        <v>Balance</v>
      </c>
    </row>
    <row r="68">
      <c r="B68" s="2">
        <f t="shared" si="1"/>
        <v>40609</v>
      </c>
      <c r="C68" s="261">
        <v>46784.0</v>
      </c>
      <c r="D68" s="193">
        <f t="shared" si="12"/>
        <v>12770</v>
      </c>
      <c r="E68" s="6" t="str">
        <f t="shared" si="13"/>
        <v>N/A</v>
      </c>
      <c r="F68" s="192" t="str">
        <f t="shared" si="14"/>
        <v>Balance</v>
      </c>
      <c r="G68" s="193">
        <v>15577.0</v>
      </c>
      <c r="H68" s="6" t="str">
        <f t="shared" si="2"/>
        <v>N/A</v>
      </c>
      <c r="I68" s="192" t="str">
        <f t="shared" si="3"/>
        <v>Balance</v>
      </c>
      <c r="J68" s="193">
        <v>9290.0</v>
      </c>
      <c r="K68" s="6" t="str">
        <f t="shared" si="4"/>
        <v>N/A</v>
      </c>
      <c r="L68" s="192" t="str">
        <f t="shared" si="5"/>
        <v>Balance</v>
      </c>
      <c r="M68" s="193">
        <v>2972.0</v>
      </c>
      <c r="N68" s="6" t="str">
        <f t="shared" si="6"/>
        <v>N/A</v>
      </c>
      <c r="O68" s="192" t="str">
        <f t="shared" si="7"/>
        <v>Balance</v>
      </c>
      <c r="P68" s="193"/>
      <c r="Q68" s="6" t="str">
        <f t="shared" si="8"/>
        <v>N/A</v>
      </c>
      <c r="R68" s="192" t="str">
        <f t="shared" si="9"/>
        <v>Balance</v>
      </c>
      <c r="S68" s="193"/>
      <c r="T68" s="6" t="str">
        <f t="shared" si="10"/>
        <v>N/A</v>
      </c>
      <c r="U68" s="192" t="str">
        <f t="shared" si="11"/>
        <v>Balance</v>
      </c>
    </row>
    <row r="69">
      <c r="B69" s="2">
        <f t="shared" si="1"/>
        <v>40609</v>
      </c>
      <c r="C69" s="261">
        <v>46813.0</v>
      </c>
      <c r="D69" s="193">
        <f t="shared" si="12"/>
        <v>12770</v>
      </c>
      <c r="E69" s="6" t="str">
        <f t="shared" si="13"/>
        <v>N/A</v>
      </c>
      <c r="F69" s="192" t="str">
        <f t="shared" si="14"/>
        <v>Balance</v>
      </c>
      <c r="G69" s="193">
        <v>15577.0</v>
      </c>
      <c r="H69" s="6" t="str">
        <f t="shared" si="2"/>
        <v>N/A</v>
      </c>
      <c r="I69" s="192" t="str">
        <f t="shared" si="3"/>
        <v>Balance</v>
      </c>
      <c r="J69" s="193">
        <v>9290.0</v>
      </c>
      <c r="K69" s="6" t="str">
        <f t="shared" si="4"/>
        <v>N/A</v>
      </c>
      <c r="L69" s="192" t="str">
        <f t="shared" si="5"/>
        <v>Balance</v>
      </c>
      <c r="M69" s="193">
        <v>2972.0</v>
      </c>
      <c r="N69" s="6" t="str">
        <f t="shared" si="6"/>
        <v>N/A</v>
      </c>
      <c r="O69" s="192" t="str">
        <f t="shared" si="7"/>
        <v>Balance</v>
      </c>
      <c r="P69" s="193"/>
      <c r="Q69" s="6" t="str">
        <f t="shared" si="8"/>
        <v>N/A</v>
      </c>
      <c r="R69" s="192" t="str">
        <f t="shared" si="9"/>
        <v>Balance</v>
      </c>
      <c r="S69" s="193"/>
      <c r="T69" s="6" t="str">
        <f t="shared" si="10"/>
        <v>N/A</v>
      </c>
      <c r="U69" s="192" t="str">
        <f t="shared" si="11"/>
        <v>Balance</v>
      </c>
    </row>
    <row r="70">
      <c r="B70" s="2">
        <f t="shared" si="1"/>
        <v>25032</v>
      </c>
      <c r="C70" s="261">
        <v>46844.0</v>
      </c>
      <c r="D70" s="193">
        <f t="shared" si="12"/>
        <v>12770</v>
      </c>
      <c r="E70" s="6" t="str">
        <f t="shared" si="13"/>
        <v>N/A</v>
      </c>
      <c r="F70" s="192" t="str">
        <f t="shared" si="14"/>
        <v>Balance</v>
      </c>
      <c r="G70" s="191"/>
      <c r="H70" s="6" t="str">
        <f t="shared" si="2"/>
        <v>N/A</v>
      </c>
      <c r="I70" s="192" t="str">
        <f t="shared" si="3"/>
        <v>Balance</v>
      </c>
      <c r="J70" s="193">
        <v>9290.0</v>
      </c>
      <c r="K70" s="6" t="str">
        <f t="shared" si="4"/>
        <v>N/A</v>
      </c>
      <c r="L70" s="192" t="str">
        <f t="shared" si="5"/>
        <v>Balance</v>
      </c>
      <c r="M70" s="193">
        <v>2972.0</v>
      </c>
      <c r="N70" s="6" t="str">
        <f t="shared" si="6"/>
        <v>N/A</v>
      </c>
      <c r="O70" s="192" t="str">
        <f t="shared" si="7"/>
        <v>Balance</v>
      </c>
      <c r="P70" s="193"/>
      <c r="Q70" s="6" t="str">
        <f t="shared" si="8"/>
        <v>N/A</v>
      </c>
      <c r="R70" s="192" t="str">
        <f t="shared" si="9"/>
        <v>Balance</v>
      </c>
      <c r="S70" s="193"/>
      <c r="T70" s="6" t="str">
        <f t="shared" si="10"/>
        <v>N/A</v>
      </c>
      <c r="U70" s="192" t="str">
        <f t="shared" si="11"/>
        <v>Balance</v>
      </c>
    </row>
    <row r="71">
      <c r="B71" s="2">
        <f t="shared" si="1"/>
        <v>25032</v>
      </c>
      <c r="C71" s="261">
        <v>46874.0</v>
      </c>
      <c r="D71" s="193">
        <f t="shared" si="12"/>
        <v>12770</v>
      </c>
      <c r="E71" s="6" t="str">
        <f t="shared" si="13"/>
        <v>N/A</v>
      </c>
      <c r="F71" s="192" t="str">
        <f t="shared" si="14"/>
        <v>Balance</v>
      </c>
      <c r="G71" s="191"/>
      <c r="H71" s="6" t="str">
        <f t="shared" si="2"/>
        <v>N/A</v>
      </c>
      <c r="I71" s="192" t="str">
        <f t="shared" si="3"/>
        <v>Balance</v>
      </c>
      <c r="J71" s="193">
        <v>9290.0</v>
      </c>
      <c r="K71" s="6" t="str">
        <f t="shared" si="4"/>
        <v>N/A</v>
      </c>
      <c r="L71" s="192" t="str">
        <f t="shared" si="5"/>
        <v>Balance</v>
      </c>
      <c r="M71" s="193">
        <v>2972.0</v>
      </c>
      <c r="N71" s="6" t="str">
        <f t="shared" si="6"/>
        <v>N/A</v>
      </c>
      <c r="O71" s="192" t="str">
        <f t="shared" si="7"/>
        <v>Balance</v>
      </c>
      <c r="P71" s="193"/>
      <c r="Q71" s="6" t="str">
        <f t="shared" si="8"/>
        <v>N/A</v>
      </c>
      <c r="R71" s="192" t="str">
        <f t="shared" si="9"/>
        <v>Balance</v>
      </c>
      <c r="S71" s="193"/>
      <c r="T71" s="6" t="str">
        <f t="shared" si="10"/>
        <v>N/A</v>
      </c>
      <c r="U71" s="192" t="str">
        <f t="shared" si="11"/>
        <v>Balance</v>
      </c>
    </row>
    <row r="72">
      <c r="B72" s="2">
        <f t="shared" si="1"/>
        <v>25032</v>
      </c>
      <c r="C72" s="261">
        <v>46905.0</v>
      </c>
      <c r="D72" s="193">
        <f t="shared" si="12"/>
        <v>12770</v>
      </c>
      <c r="E72" s="6" t="str">
        <f t="shared" si="13"/>
        <v>N/A</v>
      </c>
      <c r="F72" s="192" t="str">
        <f t="shared" si="14"/>
        <v>Balance</v>
      </c>
      <c r="G72" s="191"/>
      <c r="H72" s="6" t="str">
        <f t="shared" si="2"/>
        <v>N/A</v>
      </c>
      <c r="I72" s="192" t="str">
        <f t="shared" si="3"/>
        <v>Balance</v>
      </c>
      <c r="J72" s="193">
        <v>9290.0</v>
      </c>
      <c r="K72" s="6" t="str">
        <f t="shared" si="4"/>
        <v>N/A</v>
      </c>
      <c r="L72" s="192" t="str">
        <f t="shared" si="5"/>
        <v>Balance</v>
      </c>
      <c r="M72" s="193">
        <v>2972.0</v>
      </c>
      <c r="N72" s="6" t="str">
        <f t="shared" si="6"/>
        <v>N/A</v>
      </c>
      <c r="O72" s="192" t="str">
        <f t="shared" si="7"/>
        <v>Balance</v>
      </c>
      <c r="P72" s="193"/>
      <c r="Q72" s="6" t="str">
        <f t="shared" si="8"/>
        <v>N/A</v>
      </c>
      <c r="R72" s="192" t="str">
        <f t="shared" si="9"/>
        <v>Balance</v>
      </c>
      <c r="S72" s="193"/>
      <c r="T72" s="6" t="str">
        <f t="shared" si="10"/>
        <v>N/A</v>
      </c>
      <c r="U72" s="192" t="str">
        <f t="shared" si="11"/>
        <v>Balance</v>
      </c>
    </row>
    <row r="73">
      <c r="B73" s="2">
        <f t="shared" si="1"/>
        <v>25032</v>
      </c>
      <c r="C73" s="261">
        <v>46935.0</v>
      </c>
      <c r="D73" s="193">
        <f t="shared" si="12"/>
        <v>12770</v>
      </c>
      <c r="E73" s="6" t="str">
        <f t="shared" si="13"/>
        <v>N/A</v>
      </c>
      <c r="F73" s="192" t="str">
        <f t="shared" si="14"/>
        <v>Balance</v>
      </c>
      <c r="G73" s="191"/>
      <c r="H73" s="6" t="str">
        <f t="shared" si="2"/>
        <v>N/A</v>
      </c>
      <c r="I73" s="192" t="str">
        <f t="shared" si="3"/>
        <v>Balance</v>
      </c>
      <c r="J73" s="193">
        <v>9290.0</v>
      </c>
      <c r="K73" s="6" t="str">
        <f t="shared" si="4"/>
        <v>N/A</v>
      </c>
      <c r="L73" s="192" t="str">
        <f t="shared" si="5"/>
        <v>Balance</v>
      </c>
      <c r="M73" s="193">
        <v>2972.0</v>
      </c>
      <c r="N73" s="6" t="str">
        <f t="shared" si="6"/>
        <v>N/A</v>
      </c>
      <c r="O73" s="192" t="str">
        <f t="shared" si="7"/>
        <v>Balance</v>
      </c>
      <c r="P73" s="193"/>
      <c r="Q73" s="6" t="str">
        <f t="shared" si="8"/>
        <v>N/A</v>
      </c>
      <c r="R73" s="192" t="str">
        <f t="shared" si="9"/>
        <v>Balance</v>
      </c>
      <c r="S73" s="193"/>
      <c r="T73" s="6" t="str">
        <f t="shared" si="10"/>
        <v>N/A</v>
      </c>
      <c r="U73" s="192" t="str">
        <f t="shared" si="11"/>
        <v>Balance</v>
      </c>
    </row>
    <row r="74">
      <c r="B74" s="2">
        <f t="shared" si="1"/>
        <v>25032</v>
      </c>
      <c r="C74" s="261">
        <v>46966.0</v>
      </c>
      <c r="D74" s="193">
        <f t="shared" si="12"/>
        <v>12770</v>
      </c>
      <c r="E74" s="6" t="str">
        <f t="shared" si="13"/>
        <v>N/A</v>
      </c>
      <c r="F74" s="192" t="str">
        <f t="shared" si="14"/>
        <v>Balance</v>
      </c>
      <c r="G74" s="191"/>
      <c r="H74" s="6" t="str">
        <f t="shared" si="2"/>
        <v>N/A</v>
      </c>
      <c r="I74" s="192" t="str">
        <f t="shared" si="3"/>
        <v>Balance</v>
      </c>
      <c r="J74" s="193">
        <v>9290.0</v>
      </c>
      <c r="K74" s="6" t="str">
        <f t="shared" si="4"/>
        <v>N/A</v>
      </c>
      <c r="L74" s="192" t="str">
        <f t="shared" si="5"/>
        <v>Balance</v>
      </c>
      <c r="M74" s="193">
        <v>2972.0</v>
      </c>
      <c r="N74" s="6" t="str">
        <f t="shared" si="6"/>
        <v>N/A</v>
      </c>
      <c r="O74" s="192" t="str">
        <f t="shared" si="7"/>
        <v>Balance</v>
      </c>
      <c r="P74" s="193"/>
      <c r="Q74" s="6" t="str">
        <f t="shared" si="8"/>
        <v>N/A</v>
      </c>
      <c r="R74" s="192" t="str">
        <f t="shared" si="9"/>
        <v>Balance</v>
      </c>
      <c r="S74" s="193"/>
      <c r="T74" s="6" t="str">
        <f t="shared" si="10"/>
        <v>N/A</v>
      </c>
      <c r="U74" s="192" t="str">
        <f t="shared" si="11"/>
        <v>Balance</v>
      </c>
    </row>
    <row r="75">
      <c r="B75" s="2">
        <f t="shared" si="1"/>
        <v>25032</v>
      </c>
      <c r="C75" s="261">
        <v>46997.0</v>
      </c>
      <c r="D75" s="193">
        <f t="shared" si="12"/>
        <v>12770</v>
      </c>
      <c r="E75" s="6" t="str">
        <f t="shared" si="13"/>
        <v>N/A</v>
      </c>
      <c r="F75" s="192" t="str">
        <f t="shared" si="14"/>
        <v>Balance</v>
      </c>
      <c r="G75" s="191"/>
      <c r="H75" s="6" t="str">
        <f t="shared" si="2"/>
        <v>N/A</v>
      </c>
      <c r="I75" s="192" t="str">
        <f t="shared" si="3"/>
        <v>Balance</v>
      </c>
      <c r="J75" s="193">
        <v>9290.0</v>
      </c>
      <c r="K75" s="6" t="str">
        <f t="shared" si="4"/>
        <v>N/A</v>
      </c>
      <c r="L75" s="192" t="str">
        <f t="shared" si="5"/>
        <v>Balance</v>
      </c>
      <c r="M75" s="193">
        <v>2972.0</v>
      </c>
      <c r="N75" s="6" t="str">
        <f t="shared" si="6"/>
        <v>N/A</v>
      </c>
      <c r="O75" s="192" t="str">
        <f t="shared" si="7"/>
        <v>Balance</v>
      </c>
      <c r="P75" s="193"/>
      <c r="Q75" s="6" t="str">
        <f t="shared" si="8"/>
        <v>N/A</v>
      </c>
      <c r="R75" s="192" t="str">
        <f t="shared" si="9"/>
        <v>Balance</v>
      </c>
      <c r="S75" s="193"/>
      <c r="T75" s="6" t="str">
        <f t="shared" si="10"/>
        <v>N/A</v>
      </c>
      <c r="U75" s="192" t="str">
        <f t="shared" si="11"/>
        <v>Balance</v>
      </c>
    </row>
    <row r="76">
      <c r="B76" s="2">
        <f t="shared" si="1"/>
        <v>25032</v>
      </c>
      <c r="C76" s="261">
        <v>47027.0</v>
      </c>
      <c r="D76" s="193">
        <f t="shared" si="12"/>
        <v>12770</v>
      </c>
      <c r="E76" s="6" t="str">
        <f t="shared" si="13"/>
        <v>N/A</v>
      </c>
      <c r="F76" s="192" t="str">
        <f t="shared" si="14"/>
        <v>Balance</v>
      </c>
      <c r="G76" s="191"/>
      <c r="H76" s="6" t="str">
        <f t="shared" si="2"/>
        <v>N/A</v>
      </c>
      <c r="I76" s="192" t="str">
        <f t="shared" si="3"/>
        <v>Balance</v>
      </c>
      <c r="J76" s="193">
        <v>9290.0</v>
      </c>
      <c r="K76" s="6" t="str">
        <f t="shared" si="4"/>
        <v>N/A</v>
      </c>
      <c r="L76" s="192" t="str">
        <f t="shared" si="5"/>
        <v>Balance</v>
      </c>
      <c r="M76" s="193">
        <v>2972.0</v>
      </c>
      <c r="N76" s="6" t="str">
        <f t="shared" si="6"/>
        <v>N/A</v>
      </c>
      <c r="O76" s="192" t="str">
        <f t="shared" si="7"/>
        <v>Balance</v>
      </c>
      <c r="P76" s="193"/>
      <c r="Q76" s="6" t="str">
        <f t="shared" si="8"/>
        <v>N/A</v>
      </c>
      <c r="R76" s="192" t="str">
        <f t="shared" si="9"/>
        <v>Balance</v>
      </c>
      <c r="S76" s="193"/>
      <c r="T76" s="6" t="str">
        <f t="shared" si="10"/>
        <v>N/A</v>
      </c>
      <c r="U76" s="192" t="str">
        <f t="shared" si="11"/>
        <v>Balance</v>
      </c>
    </row>
    <row r="77">
      <c r="B77" s="2">
        <f t="shared" si="1"/>
        <v>15742</v>
      </c>
      <c r="C77" s="261">
        <v>47058.0</v>
      </c>
      <c r="D77" s="193">
        <f t="shared" si="12"/>
        <v>12770</v>
      </c>
      <c r="E77" s="6" t="str">
        <f t="shared" si="13"/>
        <v>N/A</v>
      </c>
      <c r="F77" s="192" t="str">
        <f t="shared" si="14"/>
        <v>Balance</v>
      </c>
      <c r="G77" s="191"/>
      <c r="H77" s="6" t="str">
        <f t="shared" si="2"/>
        <v>N/A</v>
      </c>
      <c r="I77" s="192" t="str">
        <f t="shared" si="3"/>
        <v>Balance</v>
      </c>
      <c r="J77" s="191"/>
      <c r="K77" s="6" t="str">
        <f t="shared" si="4"/>
        <v>N/A</v>
      </c>
      <c r="L77" s="192" t="str">
        <f t="shared" si="5"/>
        <v>Balance</v>
      </c>
      <c r="M77" s="193">
        <v>2972.0</v>
      </c>
      <c r="N77" s="6" t="str">
        <f t="shared" si="6"/>
        <v>N/A</v>
      </c>
      <c r="O77" s="192" t="str">
        <f t="shared" si="7"/>
        <v>Balance</v>
      </c>
      <c r="P77" s="193"/>
      <c r="Q77" s="6" t="str">
        <f t="shared" si="8"/>
        <v>N/A</v>
      </c>
      <c r="R77" s="192" t="str">
        <f t="shared" si="9"/>
        <v>Balance</v>
      </c>
      <c r="S77" s="193"/>
      <c r="T77" s="6" t="str">
        <f t="shared" si="10"/>
        <v>N/A</v>
      </c>
      <c r="U77" s="192" t="str">
        <f t="shared" si="11"/>
        <v>Balance</v>
      </c>
    </row>
    <row r="78">
      <c r="B78" s="2">
        <f t="shared" si="1"/>
        <v>15742</v>
      </c>
      <c r="C78" s="261">
        <v>47088.0</v>
      </c>
      <c r="D78" s="193">
        <f t="shared" si="12"/>
        <v>12770</v>
      </c>
      <c r="E78" s="6" t="str">
        <f t="shared" si="13"/>
        <v>N/A</v>
      </c>
      <c r="F78" s="192" t="str">
        <f t="shared" si="14"/>
        <v>Balance</v>
      </c>
      <c r="G78" s="191"/>
      <c r="H78" s="6" t="str">
        <f t="shared" si="2"/>
        <v>N/A</v>
      </c>
      <c r="I78" s="192" t="str">
        <f t="shared" si="3"/>
        <v>Balance</v>
      </c>
      <c r="J78" s="191"/>
      <c r="K78" s="6" t="str">
        <f t="shared" si="4"/>
        <v>N/A</v>
      </c>
      <c r="L78" s="192" t="str">
        <f t="shared" si="5"/>
        <v>Balance</v>
      </c>
      <c r="M78" s="193">
        <v>2972.0</v>
      </c>
      <c r="N78" s="6" t="str">
        <f t="shared" si="6"/>
        <v>N/A</v>
      </c>
      <c r="O78" s="192" t="str">
        <f t="shared" si="7"/>
        <v>Balance</v>
      </c>
      <c r="P78" s="193"/>
      <c r="Q78" s="6" t="str">
        <f t="shared" si="8"/>
        <v>N/A</v>
      </c>
      <c r="R78" s="192" t="str">
        <f t="shared" si="9"/>
        <v>Balance</v>
      </c>
      <c r="S78" s="193"/>
      <c r="T78" s="6" t="str">
        <f t="shared" si="10"/>
        <v>N/A</v>
      </c>
      <c r="U78" s="192" t="str">
        <f t="shared" si="11"/>
        <v>Balance</v>
      </c>
    </row>
    <row r="79">
      <c r="B79" s="2">
        <f t="shared" si="1"/>
        <v>15742</v>
      </c>
      <c r="C79" s="261">
        <v>47119.0</v>
      </c>
      <c r="D79" s="193">
        <f t="shared" si="12"/>
        <v>12770</v>
      </c>
      <c r="E79" s="6" t="str">
        <f t="shared" si="13"/>
        <v>N/A</v>
      </c>
      <c r="F79" s="192" t="str">
        <f t="shared" si="14"/>
        <v>Balance</v>
      </c>
      <c r="G79" s="191"/>
      <c r="H79" s="6" t="str">
        <f t="shared" si="2"/>
        <v>N/A</v>
      </c>
      <c r="I79" s="192" t="str">
        <f t="shared" si="3"/>
        <v>Balance</v>
      </c>
      <c r="J79" s="191"/>
      <c r="K79" s="6" t="str">
        <f t="shared" si="4"/>
        <v>N/A</v>
      </c>
      <c r="L79" s="192" t="str">
        <f t="shared" si="5"/>
        <v>Balance</v>
      </c>
      <c r="M79" s="193">
        <v>2972.0</v>
      </c>
      <c r="N79" s="6" t="str">
        <f t="shared" si="6"/>
        <v>N/A</v>
      </c>
      <c r="O79" s="192" t="str">
        <f t="shared" si="7"/>
        <v>Balance</v>
      </c>
      <c r="P79" s="193"/>
      <c r="Q79" s="6" t="str">
        <f t="shared" si="8"/>
        <v>N/A</v>
      </c>
      <c r="R79" s="192" t="str">
        <f t="shared" si="9"/>
        <v>Balance</v>
      </c>
      <c r="S79" s="193"/>
      <c r="T79" s="6" t="str">
        <f t="shared" si="10"/>
        <v>N/A</v>
      </c>
      <c r="U79" s="192" t="str">
        <f t="shared" si="11"/>
        <v>Balance</v>
      </c>
    </row>
    <row r="80">
      <c r="B80" s="2">
        <f t="shared" si="1"/>
        <v>15742</v>
      </c>
      <c r="C80" s="261">
        <v>47150.0</v>
      </c>
      <c r="D80" s="193">
        <f t="shared" si="12"/>
        <v>12770</v>
      </c>
      <c r="E80" s="6" t="str">
        <f t="shared" si="13"/>
        <v>N/A</v>
      </c>
      <c r="F80" s="192" t="str">
        <f t="shared" si="14"/>
        <v>Balance</v>
      </c>
      <c r="G80" s="191"/>
      <c r="H80" s="6" t="str">
        <f t="shared" si="2"/>
        <v>N/A</v>
      </c>
      <c r="I80" s="192" t="str">
        <f t="shared" si="3"/>
        <v>Balance</v>
      </c>
      <c r="J80" s="191"/>
      <c r="K80" s="6" t="str">
        <f t="shared" si="4"/>
        <v>N/A</v>
      </c>
      <c r="L80" s="192" t="str">
        <f t="shared" si="5"/>
        <v>Balance</v>
      </c>
      <c r="M80" s="193">
        <v>2972.0</v>
      </c>
      <c r="N80" s="6" t="str">
        <f t="shared" si="6"/>
        <v>N/A</v>
      </c>
      <c r="O80" s="192" t="str">
        <f t="shared" si="7"/>
        <v>Balance</v>
      </c>
      <c r="P80" s="193"/>
      <c r="Q80" s="6" t="str">
        <f t="shared" si="8"/>
        <v>N/A</v>
      </c>
      <c r="R80" s="192" t="str">
        <f t="shared" si="9"/>
        <v>Balance</v>
      </c>
      <c r="S80" s="193"/>
      <c r="T80" s="6" t="str">
        <f t="shared" si="10"/>
        <v>N/A</v>
      </c>
      <c r="U80" s="192" t="str">
        <f t="shared" si="11"/>
        <v>Balance</v>
      </c>
    </row>
    <row r="81">
      <c r="B81" s="2">
        <f t="shared" si="1"/>
        <v>15742</v>
      </c>
      <c r="C81" s="261">
        <v>47178.0</v>
      </c>
      <c r="D81" s="193">
        <f t="shared" si="12"/>
        <v>12770</v>
      </c>
      <c r="E81" s="6" t="str">
        <f t="shared" si="13"/>
        <v>N/A</v>
      </c>
      <c r="F81" s="192" t="str">
        <f t="shared" si="14"/>
        <v>Balance</v>
      </c>
      <c r="G81" s="191"/>
      <c r="H81" s="6" t="str">
        <f t="shared" si="2"/>
        <v>N/A</v>
      </c>
      <c r="I81" s="192" t="str">
        <f t="shared" si="3"/>
        <v>Balance</v>
      </c>
      <c r="J81" s="191"/>
      <c r="K81" s="6" t="str">
        <f t="shared" si="4"/>
        <v>N/A</v>
      </c>
      <c r="L81" s="192" t="str">
        <f t="shared" si="5"/>
        <v>Balance</v>
      </c>
      <c r="M81" s="193">
        <v>2972.0</v>
      </c>
      <c r="N81" s="6" t="str">
        <f t="shared" si="6"/>
        <v>N/A</v>
      </c>
      <c r="O81" s="192" t="str">
        <f t="shared" si="7"/>
        <v>Balance</v>
      </c>
      <c r="P81" s="193"/>
      <c r="Q81" s="6" t="str">
        <f t="shared" si="8"/>
        <v>N/A</v>
      </c>
      <c r="R81" s="192" t="str">
        <f t="shared" si="9"/>
        <v>Balance</v>
      </c>
      <c r="S81" s="193"/>
      <c r="T81" s="6" t="str">
        <f t="shared" si="10"/>
        <v>N/A</v>
      </c>
      <c r="U81" s="192" t="str">
        <f t="shared" si="11"/>
        <v>Balance</v>
      </c>
    </row>
    <row r="82">
      <c r="B82" s="2">
        <f t="shared" si="1"/>
        <v>15742</v>
      </c>
      <c r="C82" s="261">
        <v>47209.0</v>
      </c>
      <c r="D82" s="193">
        <f t="shared" si="12"/>
        <v>12770</v>
      </c>
      <c r="E82" s="6" t="str">
        <f t="shared" si="13"/>
        <v>N/A</v>
      </c>
      <c r="F82" s="192" t="str">
        <f t="shared" si="14"/>
        <v>Balance</v>
      </c>
      <c r="G82" s="191"/>
      <c r="H82" s="6" t="str">
        <f t="shared" si="2"/>
        <v>N/A</v>
      </c>
      <c r="I82" s="192" t="str">
        <f t="shared" si="3"/>
        <v>Balance</v>
      </c>
      <c r="J82" s="191"/>
      <c r="K82" s="6" t="str">
        <f t="shared" si="4"/>
        <v>N/A</v>
      </c>
      <c r="L82" s="192" t="str">
        <f t="shared" si="5"/>
        <v>Balance</v>
      </c>
      <c r="M82" s="193">
        <v>2972.0</v>
      </c>
      <c r="N82" s="6" t="str">
        <f t="shared" si="6"/>
        <v>N/A</v>
      </c>
      <c r="O82" s="192" t="str">
        <f t="shared" si="7"/>
        <v>Balance</v>
      </c>
      <c r="P82" s="193"/>
      <c r="Q82" s="6" t="str">
        <f t="shared" si="8"/>
        <v>N/A</v>
      </c>
      <c r="R82" s="192" t="str">
        <f t="shared" si="9"/>
        <v>Balance</v>
      </c>
      <c r="S82" s="193"/>
      <c r="T82" s="6" t="str">
        <f t="shared" si="10"/>
        <v>N/A</v>
      </c>
      <c r="U82" s="192" t="str">
        <f t="shared" si="11"/>
        <v>Balance</v>
      </c>
    </row>
    <row r="83">
      <c r="B83" s="2">
        <f t="shared" si="1"/>
        <v>15742</v>
      </c>
      <c r="C83" s="261">
        <v>47239.0</v>
      </c>
      <c r="D83" s="193">
        <f t="shared" si="12"/>
        <v>12770</v>
      </c>
      <c r="E83" s="6" t="str">
        <f t="shared" si="13"/>
        <v>N/A</v>
      </c>
      <c r="F83" s="192" t="str">
        <f t="shared" si="14"/>
        <v>Balance</v>
      </c>
      <c r="G83" s="191"/>
      <c r="H83" s="6" t="str">
        <f t="shared" si="2"/>
        <v>N/A</v>
      </c>
      <c r="I83" s="192" t="str">
        <f t="shared" si="3"/>
        <v>Balance</v>
      </c>
      <c r="J83" s="191"/>
      <c r="K83" s="6" t="str">
        <f t="shared" si="4"/>
        <v>N/A</v>
      </c>
      <c r="L83" s="192" t="str">
        <f t="shared" si="5"/>
        <v>Balance</v>
      </c>
      <c r="M83" s="193">
        <v>2972.0</v>
      </c>
      <c r="N83" s="6" t="str">
        <f t="shared" si="6"/>
        <v>N/A</v>
      </c>
      <c r="O83" s="192" t="str">
        <f t="shared" si="7"/>
        <v>Balance</v>
      </c>
      <c r="P83" s="193"/>
      <c r="Q83" s="6" t="str">
        <f t="shared" si="8"/>
        <v>N/A</v>
      </c>
      <c r="R83" s="192" t="str">
        <f t="shared" si="9"/>
        <v>Balance</v>
      </c>
      <c r="S83" s="193"/>
      <c r="T83" s="6" t="str">
        <f t="shared" si="10"/>
        <v>N/A</v>
      </c>
      <c r="U83" s="192" t="str">
        <f t="shared" si="11"/>
        <v>Balance</v>
      </c>
    </row>
    <row r="84">
      <c r="B84" s="2">
        <f t="shared" si="1"/>
        <v>15742</v>
      </c>
      <c r="C84" s="261">
        <v>47270.0</v>
      </c>
      <c r="D84" s="193">
        <f t="shared" si="12"/>
        <v>12770</v>
      </c>
      <c r="E84" s="6" t="str">
        <f t="shared" si="13"/>
        <v>N/A</v>
      </c>
      <c r="F84" s="192" t="str">
        <f t="shared" si="14"/>
        <v>Balance</v>
      </c>
      <c r="G84" s="191"/>
      <c r="H84" s="6" t="str">
        <f t="shared" si="2"/>
        <v>N/A</v>
      </c>
      <c r="I84" s="192" t="str">
        <f t="shared" si="3"/>
        <v>Balance</v>
      </c>
      <c r="J84" s="191"/>
      <c r="K84" s="6" t="str">
        <f t="shared" si="4"/>
        <v>N/A</v>
      </c>
      <c r="L84" s="192" t="str">
        <f t="shared" si="5"/>
        <v>Balance</v>
      </c>
      <c r="M84" s="193">
        <v>2972.0</v>
      </c>
      <c r="N84" s="6" t="str">
        <f t="shared" si="6"/>
        <v>N/A</v>
      </c>
      <c r="O84" s="192" t="str">
        <f t="shared" si="7"/>
        <v>Balance</v>
      </c>
      <c r="P84" s="193"/>
      <c r="Q84" s="6" t="str">
        <f t="shared" si="8"/>
        <v>N/A</v>
      </c>
      <c r="R84" s="192" t="str">
        <f t="shared" si="9"/>
        <v>Balance</v>
      </c>
      <c r="S84" s="193"/>
      <c r="T84" s="6" t="str">
        <f t="shared" si="10"/>
        <v>N/A</v>
      </c>
      <c r="U84" s="192" t="str">
        <f t="shared" si="11"/>
        <v>Balance</v>
      </c>
    </row>
    <row r="85">
      <c r="B85" s="2">
        <f t="shared" si="1"/>
        <v>15742</v>
      </c>
      <c r="C85" s="261">
        <v>47300.0</v>
      </c>
      <c r="D85" s="193">
        <f t="shared" si="12"/>
        <v>12770</v>
      </c>
      <c r="E85" s="6" t="str">
        <f t="shared" si="13"/>
        <v>N/A</v>
      </c>
      <c r="F85" s="192" t="str">
        <f t="shared" si="14"/>
        <v>Balance</v>
      </c>
      <c r="G85" s="191"/>
      <c r="H85" s="6" t="str">
        <f t="shared" si="2"/>
        <v>N/A</v>
      </c>
      <c r="I85" s="192" t="str">
        <f t="shared" si="3"/>
        <v>Balance</v>
      </c>
      <c r="J85" s="191"/>
      <c r="K85" s="6" t="str">
        <f t="shared" si="4"/>
        <v>N/A</v>
      </c>
      <c r="L85" s="192" t="str">
        <f t="shared" si="5"/>
        <v>Balance</v>
      </c>
      <c r="M85" s="193">
        <v>2972.0</v>
      </c>
      <c r="N85" s="6" t="str">
        <f t="shared" si="6"/>
        <v>N/A</v>
      </c>
      <c r="O85" s="192" t="str">
        <f t="shared" si="7"/>
        <v>Balance</v>
      </c>
      <c r="P85" s="193"/>
      <c r="Q85" s="6" t="str">
        <f t="shared" si="8"/>
        <v>N/A</v>
      </c>
      <c r="R85" s="192" t="str">
        <f t="shared" si="9"/>
        <v>Balance</v>
      </c>
      <c r="S85" s="193"/>
      <c r="T85" s="6" t="str">
        <f t="shared" si="10"/>
        <v>N/A</v>
      </c>
      <c r="U85" s="192" t="str">
        <f t="shared" si="11"/>
        <v>Balance</v>
      </c>
    </row>
    <row r="86">
      <c r="B86" s="2">
        <f t="shared" si="1"/>
        <v>15742</v>
      </c>
      <c r="C86" s="261">
        <v>47331.0</v>
      </c>
      <c r="D86" s="193">
        <f t="shared" si="12"/>
        <v>12770</v>
      </c>
      <c r="E86" s="6" t="str">
        <f t="shared" si="13"/>
        <v>N/A</v>
      </c>
      <c r="F86" s="192" t="str">
        <f t="shared" si="14"/>
        <v>Balance</v>
      </c>
      <c r="G86" s="191"/>
      <c r="H86" s="6" t="str">
        <f t="shared" si="2"/>
        <v>N/A</v>
      </c>
      <c r="I86" s="192" t="str">
        <f t="shared" si="3"/>
        <v>Balance</v>
      </c>
      <c r="J86" s="191"/>
      <c r="K86" s="6" t="str">
        <f t="shared" si="4"/>
        <v>N/A</v>
      </c>
      <c r="L86" s="192" t="str">
        <f t="shared" si="5"/>
        <v>Balance</v>
      </c>
      <c r="M86" s="193">
        <v>2972.0</v>
      </c>
      <c r="N86" s="6" t="str">
        <f t="shared" si="6"/>
        <v>N/A</v>
      </c>
      <c r="O86" s="192" t="str">
        <f t="shared" si="7"/>
        <v>Balance</v>
      </c>
      <c r="P86" s="193"/>
      <c r="Q86" s="6" t="str">
        <f t="shared" si="8"/>
        <v>N/A</v>
      </c>
      <c r="R86" s="192" t="str">
        <f t="shared" si="9"/>
        <v>Balance</v>
      </c>
      <c r="S86" s="193"/>
      <c r="T86" s="6" t="str">
        <f t="shared" si="10"/>
        <v>N/A</v>
      </c>
      <c r="U86" s="192" t="str">
        <f t="shared" si="11"/>
        <v>Balance</v>
      </c>
    </row>
    <row r="87">
      <c r="B87" s="2">
        <f t="shared" si="1"/>
        <v>15742</v>
      </c>
      <c r="C87" s="261">
        <v>47362.0</v>
      </c>
      <c r="D87" s="193">
        <f t="shared" si="12"/>
        <v>12770</v>
      </c>
      <c r="E87" s="6" t="str">
        <f t="shared" si="13"/>
        <v>N/A</v>
      </c>
      <c r="F87" s="192" t="str">
        <f t="shared" si="14"/>
        <v>Balance</v>
      </c>
      <c r="G87" s="191"/>
      <c r="H87" s="6" t="str">
        <f t="shared" si="2"/>
        <v>N/A</v>
      </c>
      <c r="I87" s="192" t="str">
        <f t="shared" si="3"/>
        <v>Balance</v>
      </c>
      <c r="J87" s="191"/>
      <c r="K87" s="6" t="str">
        <f t="shared" si="4"/>
        <v>N/A</v>
      </c>
      <c r="L87" s="192" t="str">
        <f t="shared" si="5"/>
        <v>Balance</v>
      </c>
      <c r="M87" s="193">
        <v>2972.0</v>
      </c>
      <c r="N87" s="6" t="str">
        <f t="shared" si="6"/>
        <v>N/A</v>
      </c>
      <c r="O87" s="192" t="str">
        <f t="shared" si="7"/>
        <v>Balance</v>
      </c>
      <c r="P87" s="193"/>
      <c r="Q87" s="6" t="str">
        <f t="shared" si="8"/>
        <v>N/A</v>
      </c>
      <c r="R87" s="192" t="str">
        <f t="shared" si="9"/>
        <v>Balance</v>
      </c>
      <c r="S87" s="193"/>
      <c r="T87" s="6" t="str">
        <f t="shared" si="10"/>
        <v>N/A</v>
      </c>
      <c r="U87" s="192" t="str">
        <f t="shared" si="11"/>
        <v>Balance</v>
      </c>
    </row>
    <row r="88">
      <c r="B88" s="2">
        <f t="shared" si="1"/>
        <v>15742</v>
      </c>
      <c r="C88" s="261">
        <v>47392.0</v>
      </c>
      <c r="D88" s="193">
        <f t="shared" si="12"/>
        <v>12770</v>
      </c>
      <c r="E88" s="6" t="str">
        <f t="shared" si="13"/>
        <v>N/A</v>
      </c>
      <c r="F88" s="192" t="str">
        <f t="shared" si="14"/>
        <v>Balance</v>
      </c>
      <c r="G88" s="191"/>
      <c r="H88" s="6" t="str">
        <f t="shared" si="2"/>
        <v>N/A</v>
      </c>
      <c r="I88" s="192" t="str">
        <f t="shared" si="3"/>
        <v>Balance</v>
      </c>
      <c r="J88" s="191"/>
      <c r="K88" s="6" t="str">
        <f t="shared" si="4"/>
        <v>N/A</v>
      </c>
      <c r="L88" s="192" t="str">
        <f t="shared" si="5"/>
        <v>Balance</v>
      </c>
      <c r="M88" s="193">
        <v>2972.0</v>
      </c>
      <c r="N88" s="6" t="str">
        <f t="shared" si="6"/>
        <v>N/A</v>
      </c>
      <c r="O88" s="192" t="str">
        <f t="shared" si="7"/>
        <v>Balance</v>
      </c>
      <c r="P88" s="193"/>
      <c r="Q88" s="6" t="str">
        <f t="shared" si="8"/>
        <v>N/A</v>
      </c>
      <c r="R88" s="192" t="str">
        <f t="shared" si="9"/>
        <v>Balance</v>
      </c>
      <c r="S88" s="193"/>
      <c r="T88" s="6" t="str">
        <f t="shared" si="10"/>
        <v>N/A</v>
      </c>
      <c r="U88" s="192" t="str">
        <f t="shared" si="11"/>
        <v>Balance</v>
      </c>
    </row>
    <row r="89">
      <c r="B89" s="2">
        <f t="shared" si="1"/>
        <v>15742</v>
      </c>
      <c r="C89" s="261">
        <v>47423.0</v>
      </c>
      <c r="D89" s="193">
        <f t="shared" si="12"/>
        <v>12770</v>
      </c>
      <c r="E89" s="6" t="str">
        <f t="shared" si="13"/>
        <v>N/A</v>
      </c>
      <c r="F89" s="192" t="str">
        <f t="shared" si="14"/>
        <v>Balance</v>
      </c>
      <c r="G89" s="191"/>
      <c r="H89" s="6" t="str">
        <f t="shared" si="2"/>
        <v>N/A</v>
      </c>
      <c r="I89" s="192" t="str">
        <f t="shared" si="3"/>
        <v>Balance</v>
      </c>
      <c r="J89" s="191"/>
      <c r="K89" s="6" t="str">
        <f t="shared" si="4"/>
        <v>N/A</v>
      </c>
      <c r="L89" s="192" t="str">
        <f t="shared" si="5"/>
        <v>Balance</v>
      </c>
      <c r="M89" s="193">
        <v>2972.0</v>
      </c>
      <c r="N89" s="6" t="str">
        <f t="shared" si="6"/>
        <v>N/A</v>
      </c>
      <c r="O89" s="192" t="str">
        <f t="shared" si="7"/>
        <v>Balance</v>
      </c>
      <c r="P89" s="193"/>
      <c r="Q89" s="6" t="str">
        <f t="shared" si="8"/>
        <v>N/A</v>
      </c>
      <c r="R89" s="192" t="str">
        <f t="shared" si="9"/>
        <v>Balance</v>
      </c>
      <c r="S89" s="193"/>
      <c r="T89" s="6" t="str">
        <f t="shared" si="10"/>
        <v>N/A</v>
      </c>
      <c r="U89" s="192" t="str">
        <f t="shared" si="11"/>
        <v>Balance</v>
      </c>
    </row>
    <row r="90">
      <c r="B90" s="2">
        <f t="shared" si="1"/>
        <v>15742</v>
      </c>
      <c r="C90" s="261">
        <v>47453.0</v>
      </c>
      <c r="D90" s="193">
        <f t="shared" si="12"/>
        <v>12770</v>
      </c>
      <c r="E90" s="6" t="str">
        <f t="shared" si="13"/>
        <v>N/A</v>
      </c>
      <c r="F90" s="192" t="str">
        <f t="shared" si="14"/>
        <v>Balance</v>
      </c>
      <c r="G90" s="191"/>
      <c r="H90" s="6" t="str">
        <f t="shared" si="2"/>
        <v>N/A</v>
      </c>
      <c r="I90" s="192" t="str">
        <f t="shared" si="3"/>
        <v>Balance</v>
      </c>
      <c r="J90" s="191"/>
      <c r="K90" s="6" t="str">
        <f t="shared" si="4"/>
        <v>N/A</v>
      </c>
      <c r="L90" s="192" t="str">
        <f t="shared" si="5"/>
        <v>Balance</v>
      </c>
      <c r="M90" s="193">
        <v>2972.0</v>
      </c>
      <c r="N90" s="6" t="str">
        <f t="shared" si="6"/>
        <v>N/A</v>
      </c>
      <c r="O90" s="192" t="str">
        <f t="shared" si="7"/>
        <v>Balance</v>
      </c>
      <c r="P90" s="193"/>
      <c r="Q90" s="6" t="str">
        <f t="shared" si="8"/>
        <v>N/A</v>
      </c>
      <c r="R90" s="192" t="str">
        <f t="shared" si="9"/>
        <v>Balance</v>
      </c>
      <c r="S90" s="193"/>
      <c r="T90" s="6" t="str">
        <f t="shared" si="10"/>
        <v>N/A</v>
      </c>
      <c r="U90" s="192" t="str">
        <f t="shared" si="11"/>
        <v>Balance</v>
      </c>
    </row>
    <row r="91">
      <c r="B91" s="2">
        <f t="shared" si="1"/>
        <v>15742</v>
      </c>
      <c r="C91" s="261">
        <v>47484.0</v>
      </c>
      <c r="D91" s="193">
        <f t="shared" si="12"/>
        <v>12770</v>
      </c>
      <c r="E91" s="6" t="str">
        <f t="shared" si="13"/>
        <v>N/A</v>
      </c>
      <c r="F91" s="192" t="str">
        <f t="shared" si="14"/>
        <v>Balance</v>
      </c>
      <c r="G91" s="191"/>
      <c r="H91" s="6" t="str">
        <f t="shared" si="2"/>
        <v>N/A</v>
      </c>
      <c r="I91" s="192" t="str">
        <f t="shared" si="3"/>
        <v>Balance</v>
      </c>
      <c r="J91" s="191"/>
      <c r="K91" s="6" t="str">
        <f t="shared" si="4"/>
        <v>N/A</v>
      </c>
      <c r="L91" s="192" t="str">
        <f t="shared" si="5"/>
        <v>Balance</v>
      </c>
      <c r="M91" s="193">
        <v>2972.0</v>
      </c>
      <c r="N91" s="6" t="str">
        <f t="shared" si="6"/>
        <v>N/A</v>
      </c>
      <c r="O91" s="192" t="str">
        <f t="shared" si="7"/>
        <v>Balance</v>
      </c>
      <c r="P91" s="193"/>
      <c r="Q91" s="6" t="str">
        <f t="shared" si="8"/>
        <v>N/A</v>
      </c>
      <c r="R91" s="192" t="str">
        <f t="shared" si="9"/>
        <v>Balance</v>
      </c>
      <c r="S91" s="193"/>
      <c r="T91" s="6" t="str">
        <f t="shared" si="10"/>
        <v>N/A</v>
      </c>
      <c r="U91" s="192" t="str">
        <f t="shared" si="11"/>
        <v>Balance</v>
      </c>
    </row>
    <row r="92">
      <c r="B92" s="2">
        <f t="shared" si="1"/>
        <v>15742</v>
      </c>
      <c r="C92" s="261">
        <v>47515.0</v>
      </c>
      <c r="D92" s="193">
        <f t="shared" si="12"/>
        <v>12770</v>
      </c>
      <c r="E92" s="6" t="str">
        <f t="shared" si="13"/>
        <v>N/A</v>
      </c>
      <c r="F92" s="192" t="str">
        <f t="shared" si="14"/>
        <v>Balance</v>
      </c>
      <c r="G92" s="191"/>
      <c r="H92" s="6" t="str">
        <f t="shared" si="2"/>
        <v>N/A</v>
      </c>
      <c r="I92" s="192" t="str">
        <f t="shared" si="3"/>
        <v>Balance</v>
      </c>
      <c r="J92" s="191"/>
      <c r="K92" s="6" t="str">
        <f t="shared" si="4"/>
        <v>N/A</v>
      </c>
      <c r="L92" s="192" t="str">
        <f t="shared" si="5"/>
        <v>Balance</v>
      </c>
      <c r="M92" s="193">
        <v>2972.0</v>
      </c>
      <c r="N92" s="6" t="str">
        <f t="shared" si="6"/>
        <v>N/A</v>
      </c>
      <c r="O92" s="192" t="str">
        <f t="shared" si="7"/>
        <v>Balance</v>
      </c>
      <c r="P92" s="193"/>
      <c r="Q92" s="6" t="str">
        <f t="shared" si="8"/>
        <v>N/A</v>
      </c>
      <c r="R92" s="192" t="str">
        <f t="shared" si="9"/>
        <v>Balance</v>
      </c>
      <c r="S92" s="193"/>
      <c r="T92" s="6" t="str">
        <f t="shared" si="10"/>
        <v>N/A</v>
      </c>
      <c r="U92" s="192" t="str">
        <f t="shared" si="11"/>
        <v>Balance</v>
      </c>
    </row>
    <row r="93">
      <c r="B93" s="2">
        <f t="shared" si="1"/>
        <v>15742</v>
      </c>
      <c r="C93" s="261">
        <v>47543.0</v>
      </c>
      <c r="D93" s="193">
        <f t="shared" si="12"/>
        <v>12770</v>
      </c>
      <c r="E93" s="6" t="str">
        <f t="shared" si="13"/>
        <v>N/A</v>
      </c>
      <c r="F93" s="192" t="str">
        <f t="shared" si="14"/>
        <v>Balance</v>
      </c>
      <c r="G93" s="191"/>
      <c r="H93" s="6" t="str">
        <f t="shared" si="2"/>
        <v>N/A</v>
      </c>
      <c r="I93" s="192" t="str">
        <f t="shared" si="3"/>
        <v>Balance</v>
      </c>
      <c r="J93" s="191"/>
      <c r="K93" s="6" t="str">
        <f t="shared" si="4"/>
        <v>N/A</v>
      </c>
      <c r="L93" s="192" t="str">
        <f t="shared" si="5"/>
        <v>Balance</v>
      </c>
      <c r="M93" s="193">
        <v>2972.0</v>
      </c>
      <c r="N93" s="6" t="str">
        <f t="shared" si="6"/>
        <v>N/A</v>
      </c>
      <c r="O93" s="192" t="str">
        <f t="shared" si="7"/>
        <v>Balance</v>
      </c>
      <c r="P93" s="193"/>
      <c r="Q93" s="6" t="str">
        <f t="shared" si="8"/>
        <v>N/A</v>
      </c>
      <c r="R93" s="192" t="str">
        <f t="shared" si="9"/>
        <v>Balance</v>
      </c>
      <c r="S93" s="193"/>
      <c r="T93" s="6" t="str">
        <f t="shared" si="10"/>
        <v>N/A</v>
      </c>
      <c r="U93" s="192" t="str">
        <f t="shared" si="11"/>
        <v>Balance</v>
      </c>
    </row>
    <row r="94">
      <c r="B94" s="2">
        <f t="shared" si="1"/>
        <v>12770</v>
      </c>
      <c r="C94" s="261">
        <v>47574.0</v>
      </c>
      <c r="D94" s="193">
        <f t="shared" si="12"/>
        <v>12770</v>
      </c>
      <c r="E94" s="6" t="str">
        <f t="shared" si="13"/>
        <v>N/A</v>
      </c>
      <c r="F94" s="192" t="str">
        <f t="shared" si="14"/>
        <v>Balance</v>
      </c>
      <c r="G94" s="191"/>
      <c r="H94" s="6" t="str">
        <f t="shared" si="2"/>
        <v>N/A</v>
      </c>
      <c r="I94" s="192" t="str">
        <f t="shared" si="3"/>
        <v>Balance</v>
      </c>
      <c r="J94" s="191"/>
      <c r="K94" s="6" t="str">
        <f t="shared" si="4"/>
        <v>N/A</v>
      </c>
      <c r="L94" s="192" t="str">
        <f t="shared" si="5"/>
        <v>Balance</v>
      </c>
      <c r="M94" s="191"/>
      <c r="N94" s="6" t="str">
        <f t="shared" si="6"/>
        <v>N/A</v>
      </c>
      <c r="O94" s="192" t="str">
        <f t="shared" si="7"/>
        <v>Balance</v>
      </c>
      <c r="P94" s="191"/>
      <c r="Q94" s="6" t="str">
        <f t="shared" si="8"/>
        <v>N/A</v>
      </c>
      <c r="R94" s="192" t="str">
        <f t="shared" si="9"/>
        <v>Balance</v>
      </c>
      <c r="S94" s="191"/>
      <c r="T94" s="6" t="str">
        <f t="shared" si="10"/>
        <v>N/A</v>
      </c>
      <c r="U94" s="192" t="str">
        <f t="shared" si="11"/>
        <v>Balance</v>
      </c>
    </row>
    <row r="95">
      <c r="B95" s="2">
        <f t="shared" si="1"/>
        <v>12770</v>
      </c>
      <c r="C95" s="261">
        <v>47604.0</v>
      </c>
      <c r="D95" s="193">
        <f t="shared" si="12"/>
        <v>12770</v>
      </c>
      <c r="E95" s="6" t="str">
        <f t="shared" si="13"/>
        <v>N/A</v>
      </c>
      <c r="F95" s="192" t="str">
        <f t="shared" si="14"/>
        <v>Balance</v>
      </c>
      <c r="G95" s="191"/>
      <c r="H95" s="6" t="str">
        <f t="shared" si="2"/>
        <v>N/A</v>
      </c>
      <c r="I95" s="192" t="str">
        <f t="shared" si="3"/>
        <v>Balance</v>
      </c>
      <c r="J95" s="191"/>
      <c r="K95" s="6" t="str">
        <f t="shared" si="4"/>
        <v>N/A</v>
      </c>
      <c r="L95" s="192" t="str">
        <f t="shared" si="5"/>
        <v>Balance</v>
      </c>
      <c r="M95" s="191"/>
      <c r="N95" s="6" t="str">
        <f t="shared" si="6"/>
        <v>N/A</v>
      </c>
      <c r="O95" s="192" t="str">
        <f t="shared" si="7"/>
        <v>Balance</v>
      </c>
      <c r="P95" s="191"/>
      <c r="Q95" s="6" t="str">
        <f t="shared" si="8"/>
        <v>N/A</v>
      </c>
      <c r="R95" s="192" t="str">
        <f t="shared" si="9"/>
        <v>Balance</v>
      </c>
      <c r="S95" s="191"/>
      <c r="T95" s="6" t="str">
        <f t="shared" si="10"/>
        <v>N/A</v>
      </c>
      <c r="U95" s="192" t="str">
        <f t="shared" si="11"/>
        <v>Balance</v>
      </c>
    </row>
    <row r="96">
      <c r="B96" s="2">
        <f t="shared" si="1"/>
        <v>12770</v>
      </c>
      <c r="C96" s="261">
        <v>47635.0</v>
      </c>
      <c r="D96" s="193">
        <f t="shared" si="12"/>
        <v>12770</v>
      </c>
      <c r="E96" s="6" t="str">
        <f t="shared" si="13"/>
        <v>N/A</v>
      </c>
      <c r="F96" s="192" t="str">
        <f t="shared" si="14"/>
        <v>Balance</v>
      </c>
      <c r="G96" s="191"/>
      <c r="H96" s="6" t="str">
        <f t="shared" si="2"/>
        <v>N/A</v>
      </c>
      <c r="I96" s="192" t="str">
        <f t="shared" si="3"/>
        <v>Balance</v>
      </c>
      <c r="J96" s="191"/>
      <c r="K96" s="6" t="str">
        <f t="shared" si="4"/>
        <v>N/A</v>
      </c>
      <c r="L96" s="192" t="str">
        <f t="shared" si="5"/>
        <v>Balance</v>
      </c>
      <c r="M96" s="191"/>
      <c r="N96" s="6" t="str">
        <f t="shared" si="6"/>
        <v>N/A</v>
      </c>
      <c r="O96" s="192" t="str">
        <f t="shared" si="7"/>
        <v>Balance</v>
      </c>
      <c r="P96" s="191"/>
      <c r="Q96" s="6" t="str">
        <f t="shared" si="8"/>
        <v>N/A</v>
      </c>
      <c r="R96" s="192" t="str">
        <f t="shared" si="9"/>
        <v>Balance</v>
      </c>
      <c r="S96" s="191"/>
      <c r="T96" s="6" t="str">
        <f t="shared" si="10"/>
        <v>N/A</v>
      </c>
      <c r="U96" s="192" t="str">
        <f t="shared" si="11"/>
        <v>Balance</v>
      </c>
    </row>
    <row r="97">
      <c r="B97" s="2">
        <f t="shared" si="1"/>
        <v>12770</v>
      </c>
      <c r="C97" s="261">
        <v>47665.0</v>
      </c>
      <c r="D97" s="193">
        <f t="shared" si="12"/>
        <v>12770</v>
      </c>
      <c r="E97" s="6" t="str">
        <f t="shared" si="13"/>
        <v>N/A</v>
      </c>
      <c r="F97" s="192" t="str">
        <f t="shared" si="14"/>
        <v>Balance</v>
      </c>
      <c r="G97" s="191"/>
      <c r="H97" s="6" t="str">
        <f t="shared" si="2"/>
        <v>N/A</v>
      </c>
      <c r="I97" s="192" t="str">
        <f t="shared" si="3"/>
        <v>Balance</v>
      </c>
      <c r="J97" s="191"/>
      <c r="K97" s="6" t="str">
        <f t="shared" si="4"/>
        <v>N/A</v>
      </c>
      <c r="L97" s="192" t="str">
        <f t="shared" si="5"/>
        <v>Balance</v>
      </c>
      <c r="M97" s="191"/>
      <c r="N97" s="6" t="str">
        <f t="shared" si="6"/>
        <v>N/A</v>
      </c>
      <c r="O97" s="192" t="str">
        <f t="shared" si="7"/>
        <v>Balance</v>
      </c>
      <c r="P97" s="191"/>
      <c r="Q97" s="6" t="str">
        <f t="shared" si="8"/>
        <v>N/A</v>
      </c>
      <c r="R97" s="192" t="str">
        <f t="shared" si="9"/>
        <v>Balance</v>
      </c>
      <c r="S97" s="191"/>
      <c r="T97" s="6" t="str">
        <f t="shared" si="10"/>
        <v>N/A</v>
      </c>
      <c r="U97" s="192" t="str">
        <f t="shared" si="11"/>
        <v>Balance</v>
      </c>
    </row>
    <row r="98">
      <c r="B98" s="2">
        <f t="shared" si="1"/>
        <v>12770</v>
      </c>
      <c r="C98" s="261">
        <v>47696.0</v>
      </c>
      <c r="D98" s="193">
        <f t="shared" si="12"/>
        <v>12770</v>
      </c>
      <c r="E98" s="6" t="str">
        <f t="shared" si="13"/>
        <v>N/A</v>
      </c>
      <c r="F98" s="192" t="str">
        <f t="shared" si="14"/>
        <v>Balance</v>
      </c>
      <c r="G98" s="191"/>
      <c r="H98" s="6" t="str">
        <f t="shared" si="2"/>
        <v>N/A</v>
      </c>
      <c r="I98" s="192" t="str">
        <f t="shared" si="3"/>
        <v>Balance</v>
      </c>
      <c r="J98" s="191"/>
      <c r="K98" s="6" t="str">
        <f t="shared" si="4"/>
        <v>N/A</v>
      </c>
      <c r="L98" s="192" t="str">
        <f t="shared" si="5"/>
        <v>Balance</v>
      </c>
      <c r="M98" s="191"/>
      <c r="N98" s="6" t="str">
        <f t="shared" si="6"/>
        <v>N/A</v>
      </c>
      <c r="O98" s="192" t="str">
        <f t="shared" si="7"/>
        <v>Balance</v>
      </c>
      <c r="P98" s="191"/>
      <c r="Q98" s="6" t="str">
        <f t="shared" si="8"/>
        <v>N/A</v>
      </c>
      <c r="R98" s="192" t="str">
        <f t="shared" si="9"/>
        <v>Balance</v>
      </c>
      <c r="S98" s="191"/>
      <c r="T98" s="6" t="str">
        <f t="shared" si="10"/>
        <v>N/A</v>
      </c>
      <c r="U98" s="192" t="str">
        <f t="shared" si="11"/>
        <v>Balance</v>
      </c>
    </row>
    <row r="99">
      <c r="B99" s="2">
        <f t="shared" si="1"/>
        <v>12770</v>
      </c>
      <c r="C99" s="261">
        <v>47727.0</v>
      </c>
      <c r="D99" s="193">
        <f t="shared" si="12"/>
        <v>12770</v>
      </c>
      <c r="E99" s="6" t="str">
        <f t="shared" si="13"/>
        <v>N/A</v>
      </c>
      <c r="F99" s="192" t="str">
        <f t="shared" si="14"/>
        <v>Balance</v>
      </c>
      <c r="G99" s="191"/>
      <c r="H99" s="6" t="str">
        <f t="shared" si="2"/>
        <v>N/A</v>
      </c>
      <c r="I99" s="192" t="str">
        <f t="shared" si="3"/>
        <v>Balance</v>
      </c>
      <c r="J99" s="191"/>
      <c r="K99" s="6" t="str">
        <f t="shared" si="4"/>
        <v>N/A</v>
      </c>
      <c r="L99" s="192" t="str">
        <f t="shared" si="5"/>
        <v>Balance</v>
      </c>
      <c r="M99" s="191"/>
      <c r="N99" s="6" t="str">
        <f t="shared" si="6"/>
        <v>N/A</v>
      </c>
      <c r="O99" s="192" t="str">
        <f t="shared" si="7"/>
        <v>Balance</v>
      </c>
      <c r="P99" s="191"/>
      <c r="Q99" s="6" t="str">
        <f t="shared" si="8"/>
        <v>N/A</v>
      </c>
      <c r="R99" s="192" t="str">
        <f t="shared" si="9"/>
        <v>Balance</v>
      </c>
      <c r="S99" s="191"/>
      <c r="T99" s="6" t="str">
        <f t="shared" si="10"/>
        <v>N/A</v>
      </c>
      <c r="U99" s="192" t="str">
        <f t="shared" si="11"/>
        <v>Balance</v>
      </c>
    </row>
    <row r="100">
      <c r="B100" s="2">
        <f t="shared" si="1"/>
        <v>12770</v>
      </c>
      <c r="C100" s="261">
        <v>47757.0</v>
      </c>
      <c r="D100" s="193">
        <f t="shared" si="12"/>
        <v>12770</v>
      </c>
      <c r="E100" s="6" t="str">
        <f t="shared" si="13"/>
        <v>N/A</v>
      </c>
      <c r="F100" s="192" t="str">
        <f t="shared" si="14"/>
        <v>Balance</v>
      </c>
      <c r="G100" s="191"/>
      <c r="H100" s="6" t="str">
        <f t="shared" si="2"/>
        <v>N/A</v>
      </c>
      <c r="I100" s="192" t="str">
        <f t="shared" si="3"/>
        <v>Balance</v>
      </c>
      <c r="J100" s="191"/>
      <c r="K100" s="6" t="str">
        <f t="shared" si="4"/>
        <v>N/A</v>
      </c>
      <c r="L100" s="192" t="str">
        <f t="shared" si="5"/>
        <v>Balance</v>
      </c>
      <c r="M100" s="191"/>
      <c r="N100" s="6" t="str">
        <f t="shared" si="6"/>
        <v>N/A</v>
      </c>
      <c r="O100" s="192" t="str">
        <f t="shared" si="7"/>
        <v>Balance</v>
      </c>
      <c r="P100" s="191"/>
      <c r="Q100" s="6" t="str">
        <f t="shared" si="8"/>
        <v>N/A</v>
      </c>
      <c r="R100" s="192" t="str">
        <f t="shared" si="9"/>
        <v>Balance</v>
      </c>
      <c r="S100" s="191"/>
      <c r="T100" s="6" t="str">
        <f t="shared" si="10"/>
        <v>N/A</v>
      </c>
      <c r="U100" s="192" t="str">
        <f t="shared" si="11"/>
        <v>Balance</v>
      </c>
    </row>
    <row r="101">
      <c r="B101" s="2">
        <f t="shared" si="1"/>
        <v>0</v>
      </c>
      <c r="C101" s="261"/>
      <c r="D101" s="191"/>
      <c r="F101" s="194"/>
      <c r="G101" s="191"/>
      <c r="I101" s="194"/>
      <c r="J101" s="191"/>
      <c r="L101" s="194"/>
      <c r="M101" s="191"/>
      <c r="O101" s="194"/>
      <c r="P101" s="191"/>
      <c r="R101" s="194"/>
      <c r="S101" s="191"/>
      <c r="U101" s="194"/>
    </row>
    <row r="102">
      <c r="B102" s="2">
        <f t="shared" si="1"/>
        <v>0</v>
      </c>
      <c r="C102" s="261"/>
      <c r="D102" s="191"/>
      <c r="F102" s="194"/>
      <c r="G102" s="191"/>
      <c r="I102" s="194"/>
      <c r="J102" s="191"/>
      <c r="L102" s="194"/>
      <c r="M102" s="191"/>
      <c r="O102" s="194"/>
      <c r="P102" s="191"/>
      <c r="R102" s="194"/>
      <c r="S102" s="191"/>
      <c r="U102" s="194"/>
    </row>
    <row r="103">
      <c r="B103" s="2">
        <f t="shared" si="1"/>
        <v>0</v>
      </c>
      <c r="C103" s="261"/>
      <c r="D103" s="191"/>
      <c r="F103" s="194"/>
      <c r="G103" s="191"/>
      <c r="I103" s="194"/>
      <c r="J103" s="191"/>
      <c r="L103" s="194"/>
      <c r="M103" s="191"/>
      <c r="O103" s="194"/>
      <c r="P103" s="191"/>
      <c r="R103" s="194"/>
      <c r="S103" s="191"/>
      <c r="U103" s="194"/>
    </row>
    <row r="104">
      <c r="B104" s="2">
        <f t="shared" si="1"/>
        <v>0</v>
      </c>
      <c r="C104" s="261"/>
      <c r="D104" s="191"/>
      <c r="F104" s="194"/>
      <c r="G104" s="191"/>
      <c r="I104" s="194"/>
      <c r="J104" s="191"/>
      <c r="L104" s="194"/>
      <c r="M104" s="191"/>
      <c r="O104" s="194"/>
      <c r="P104" s="191"/>
      <c r="R104" s="194"/>
      <c r="S104" s="191"/>
      <c r="U104" s="194"/>
    </row>
    <row r="105">
      <c r="B105" s="2">
        <f t="shared" si="1"/>
        <v>0</v>
      </c>
      <c r="C105" s="261"/>
      <c r="D105" s="191"/>
      <c r="F105" s="194"/>
      <c r="G105" s="191"/>
      <c r="I105" s="194"/>
      <c r="J105" s="191"/>
      <c r="L105" s="194"/>
      <c r="M105" s="191"/>
      <c r="O105" s="194"/>
      <c r="P105" s="191"/>
      <c r="R105" s="194"/>
      <c r="S105" s="191"/>
      <c r="U105" s="194"/>
    </row>
    <row r="106">
      <c r="B106" s="2">
        <f t="shared" si="1"/>
        <v>0</v>
      </c>
      <c r="C106" s="261"/>
      <c r="D106" s="191"/>
      <c r="F106" s="194"/>
      <c r="G106" s="191"/>
      <c r="I106" s="194"/>
      <c r="J106" s="191"/>
      <c r="L106" s="194"/>
      <c r="M106" s="191"/>
      <c r="O106" s="194"/>
      <c r="P106" s="191"/>
      <c r="R106" s="194"/>
      <c r="S106" s="191"/>
      <c r="U106" s="194"/>
    </row>
    <row r="107">
      <c r="B107" s="2">
        <f t="shared" si="1"/>
        <v>0</v>
      </c>
      <c r="C107" s="261"/>
      <c r="D107" s="191"/>
      <c r="F107" s="194"/>
      <c r="G107" s="191"/>
      <c r="I107" s="194"/>
      <c r="J107" s="191"/>
      <c r="L107" s="194"/>
      <c r="M107" s="191"/>
      <c r="O107" s="194"/>
      <c r="P107" s="191"/>
      <c r="R107" s="194"/>
      <c r="S107" s="191"/>
      <c r="U107" s="194"/>
    </row>
    <row r="108">
      <c r="B108" s="2">
        <f t="shared" si="1"/>
        <v>0</v>
      </c>
      <c r="C108" s="261"/>
      <c r="D108" s="191"/>
      <c r="F108" s="194"/>
      <c r="G108" s="191"/>
      <c r="I108" s="194"/>
      <c r="J108" s="191"/>
      <c r="L108" s="194"/>
      <c r="M108" s="191"/>
      <c r="O108" s="194"/>
      <c r="P108" s="191"/>
      <c r="R108" s="194"/>
      <c r="S108" s="191"/>
      <c r="U108" s="194"/>
    </row>
    <row r="109">
      <c r="B109" s="2">
        <f t="shared" si="1"/>
        <v>0</v>
      </c>
      <c r="C109" s="261"/>
      <c r="D109" s="191"/>
      <c r="F109" s="194"/>
      <c r="G109" s="191"/>
      <c r="I109" s="194"/>
      <c r="J109" s="191"/>
      <c r="L109" s="194"/>
      <c r="M109" s="191"/>
      <c r="O109" s="194"/>
      <c r="P109" s="191"/>
      <c r="R109" s="194"/>
      <c r="S109" s="191"/>
      <c r="U109" s="194"/>
    </row>
    <row r="110">
      <c r="B110" s="2">
        <f t="shared" si="1"/>
        <v>0</v>
      </c>
      <c r="C110" s="261"/>
      <c r="D110" s="191"/>
      <c r="F110" s="194"/>
      <c r="G110" s="191"/>
      <c r="I110" s="194"/>
      <c r="J110" s="191"/>
      <c r="L110" s="194"/>
      <c r="M110" s="191"/>
      <c r="O110" s="194"/>
      <c r="P110" s="191"/>
      <c r="R110" s="194"/>
      <c r="S110" s="191"/>
      <c r="U110" s="194"/>
    </row>
    <row r="111">
      <c r="B111" s="2">
        <f t="shared" si="1"/>
        <v>0</v>
      </c>
      <c r="C111" s="261"/>
      <c r="D111" s="191"/>
      <c r="F111" s="194"/>
      <c r="G111" s="191"/>
      <c r="I111" s="194"/>
      <c r="J111" s="191"/>
      <c r="L111" s="194"/>
      <c r="M111" s="191"/>
      <c r="O111" s="194"/>
      <c r="P111" s="191"/>
      <c r="R111" s="194"/>
      <c r="S111" s="191"/>
      <c r="U111" s="194"/>
    </row>
    <row r="112">
      <c r="B112" s="2">
        <f t="shared" si="1"/>
        <v>0</v>
      </c>
      <c r="C112" s="261"/>
      <c r="D112" s="191"/>
      <c r="F112" s="194"/>
      <c r="G112" s="191"/>
      <c r="I112" s="194"/>
      <c r="J112" s="191"/>
      <c r="L112" s="194"/>
      <c r="M112" s="191"/>
      <c r="O112" s="194"/>
      <c r="P112" s="191"/>
      <c r="R112" s="194"/>
      <c r="S112" s="191"/>
      <c r="U112" s="194"/>
    </row>
    <row r="113">
      <c r="B113" s="2">
        <f t="shared" si="1"/>
        <v>0</v>
      </c>
      <c r="C113" s="261"/>
      <c r="D113" s="191"/>
      <c r="F113" s="194"/>
      <c r="G113" s="191"/>
      <c r="I113" s="194"/>
      <c r="J113" s="191"/>
      <c r="L113" s="194"/>
      <c r="M113" s="191"/>
      <c r="O113" s="194"/>
      <c r="P113" s="191"/>
      <c r="R113" s="194"/>
      <c r="S113" s="191"/>
      <c r="U113" s="194"/>
    </row>
    <row r="114">
      <c r="B114" s="2">
        <f t="shared" si="1"/>
        <v>0</v>
      </c>
      <c r="C114" s="261"/>
      <c r="D114" s="191"/>
      <c r="F114" s="194"/>
      <c r="G114" s="191"/>
      <c r="I114" s="194"/>
      <c r="J114" s="191"/>
      <c r="L114" s="194"/>
      <c r="M114" s="191"/>
      <c r="O114" s="194"/>
      <c r="P114" s="191"/>
      <c r="R114" s="194"/>
      <c r="S114" s="191"/>
      <c r="U114" s="194"/>
    </row>
    <row r="115">
      <c r="B115" s="2">
        <f t="shared" si="1"/>
        <v>0</v>
      </c>
      <c r="C115" s="261"/>
      <c r="D115" s="191"/>
      <c r="F115" s="194"/>
      <c r="G115" s="191"/>
      <c r="I115" s="194"/>
      <c r="J115" s="191"/>
      <c r="L115" s="194"/>
      <c r="M115" s="191"/>
      <c r="O115" s="194"/>
      <c r="P115" s="191"/>
      <c r="R115" s="194"/>
      <c r="S115" s="191"/>
      <c r="U115" s="194"/>
    </row>
    <row r="116">
      <c r="B116" s="2">
        <f t="shared" si="1"/>
        <v>0</v>
      </c>
      <c r="C116" s="261"/>
      <c r="D116" s="191"/>
      <c r="F116" s="194"/>
      <c r="G116" s="191"/>
      <c r="I116" s="194"/>
      <c r="J116" s="191"/>
      <c r="L116" s="194"/>
      <c r="M116" s="191"/>
      <c r="O116" s="194"/>
      <c r="P116" s="191"/>
      <c r="R116" s="194"/>
      <c r="S116" s="191"/>
      <c r="U116" s="194"/>
    </row>
    <row r="117">
      <c r="B117" s="2">
        <f t="shared" si="1"/>
        <v>0</v>
      </c>
      <c r="C117" s="261"/>
      <c r="D117" s="191"/>
      <c r="F117" s="194"/>
      <c r="G117" s="191"/>
      <c r="I117" s="194"/>
      <c r="J117" s="191"/>
      <c r="L117" s="194"/>
      <c r="M117" s="191"/>
      <c r="O117" s="194"/>
      <c r="P117" s="191"/>
      <c r="R117" s="194"/>
      <c r="S117" s="191"/>
      <c r="U117" s="194"/>
    </row>
    <row r="118">
      <c r="B118" s="2">
        <f t="shared" si="1"/>
        <v>0</v>
      </c>
      <c r="C118" s="261"/>
      <c r="D118" s="191"/>
      <c r="F118" s="194"/>
      <c r="G118" s="191"/>
      <c r="I118" s="194"/>
      <c r="J118" s="191"/>
      <c r="L118" s="194"/>
      <c r="M118" s="191"/>
      <c r="O118" s="194"/>
      <c r="P118" s="191"/>
      <c r="R118" s="194"/>
      <c r="S118" s="191"/>
      <c r="U118" s="194"/>
    </row>
    <row r="119">
      <c r="B119" s="2">
        <f t="shared" si="1"/>
        <v>0</v>
      </c>
      <c r="C119" s="261"/>
      <c r="D119" s="191"/>
      <c r="F119" s="194"/>
      <c r="G119" s="191"/>
      <c r="I119" s="194"/>
      <c r="J119" s="191"/>
      <c r="L119" s="194"/>
      <c r="M119" s="191"/>
      <c r="O119" s="194"/>
      <c r="P119" s="191"/>
      <c r="R119" s="194"/>
      <c r="S119" s="191"/>
      <c r="U119" s="194"/>
    </row>
    <row r="120">
      <c r="B120" s="2">
        <f t="shared" si="1"/>
        <v>0</v>
      </c>
      <c r="C120" s="261"/>
      <c r="D120" s="191"/>
      <c r="F120" s="194"/>
      <c r="G120" s="191"/>
      <c r="I120" s="194"/>
      <c r="J120" s="191"/>
      <c r="L120" s="194"/>
      <c r="M120" s="191"/>
      <c r="O120" s="194"/>
      <c r="P120" s="191"/>
      <c r="R120" s="194"/>
      <c r="S120" s="191"/>
      <c r="U120" s="194"/>
    </row>
    <row r="121">
      <c r="B121" s="2">
        <f t="shared" si="1"/>
        <v>0</v>
      </c>
      <c r="C121" s="261"/>
      <c r="D121" s="191"/>
      <c r="F121" s="194"/>
      <c r="G121" s="191"/>
      <c r="I121" s="194"/>
      <c r="J121" s="191"/>
      <c r="L121" s="194"/>
      <c r="M121" s="191"/>
      <c r="O121" s="194"/>
      <c r="P121" s="191"/>
      <c r="R121" s="194"/>
      <c r="S121" s="191"/>
      <c r="U121" s="194"/>
    </row>
    <row r="122">
      <c r="B122" s="2">
        <f t="shared" si="1"/>
        <v>0</v>
      </c>
      <c r="C122" s="261"/>
      <c r="D122" s="191"/>
      <c r="F122" s="194"/>
      <c r="G122" s="191"/>
      <c r="I122" s="194"/>
      <c r="J122" s="191"/>
      <c r="L122" s="194"/>
      <c r="M122" s="191"/>
      <c r="O122" s="194"/>
      <c r="P122" s="191"/>
      <c r="R122" s="194"/>
      <c r="S122" s="191"/>
      <c r="U122" s="194"/>
    </row>
    <row r="123">
      <c r="B123" s="2">
        <f t="shared" si="1"/>
        <v>0</v>
      </c>
      <c r="C123" s="261"/>
      <c r="D123" s="191"/>
      <c r="F123" s="194"/>
      <c r="G123" s="191"/>
      <c r="I123" s="194"/>
      <c r="J123" s="191"/>
      <c r="L123" s="194"/>
      <c r="M123" s="191"/>
      <c r="O123" s="194"/>
      <c r="P123" s="191"/>
      <c r="R123" s="194"/>
      <c r="S123" s="191"/>
      <c r="U123" s="194"/>
    </row>
    <row r="124">
      <c r="B124" s="2">
        <f t="shared" si="1"/>
        <v>0</v>
      </c>
      <c r="C124" s="261"/>
      <c r="D124" s="191"/>
      <c r="F124" s="194"/>
      <c r="G124" s="191"/>
      <c r="I124" s="194"/>
      <c r="J124" s="191"/>
      <c r="L124" s="194"/>
      <c r="M124" s="191"/>
      <c r="O124" s="194"/>
      <c r="P124" s="191"/>
      <c r="R124" s="194"/>
      <c r="S124" s="191"/>
      <c r="U124" s="194"/>
    </row>
    <row r="125">
      <c r="B125" s="2">
        <f t="shared" si="1"/>
        <v>0</v>
      </c>
      <c r="C125" s="261"/>
      <c r="D125" s="191"/>
      <c r="F125" s="194"/>
      <c r="G125" s="191"/>
      <c r="I125" s="194"/>
      <c r="J125" s="191"/>
      <c r="L125" s="194"/>
      <c r="M125" s="191"/>
      <c r="O125" s="194"/>
      <c r="P125" s="191"/>
      <c r="R125" s="194"/>
      <c r="S125" s="191"/>
      <c r="U125" s="194"/>
    </row>
    <row r="126">
      <c r="B126" s="2">
        <f t="shared" si="1"/>
        <v>0</v>
      </c>
      <c r="C126" s="261"/>
      <c r="D126" s="191"/>
      <c r="F126" s="194"/>
      <c r="G126" s="191"/>
      <c r="I126" s="194"/>
      <c r="J126" s="191"/>
      <c r="L126" s="194"/>
      <c r="M126" s="191"/>
      <c r="O126" s="194"/>
      <c r="P126" s="191"/>
      <c r="R126" s="194"/>
      <c r="S126" s="191"/>
      <c r="U126" s="194"/>
    </row>
    <row r="127">
      <c r="B127" s="2">
        <f t="shared" si="1"/>
        <v>0</v>
      </c>
      <c r="C127" s="261"/>
      <c r="D127" s="191"/>
      <c r="F127" s="194"/>
      <c r="G127" s="191"/>
      <c r="I127" s="194"/>
      <c r="J127" s="191"/>
      <c r="L127" s="194"/>
      <c r="M127" s="191"/>
      <c r="O127" s="194"/>
      <c r="P127" s="191"/>
      <c r="R127" s="194"/>
      <c r="S127" s="191"/>
      <c r="U127" s="194"/>
    </row>
    <row r="128">
      <c r="B128" s="2">
        <f t="shared" si="1"/>
        <v>0</v>
      </c>
      <c r="C128" s="261"/>
      <c r="D128" s="191"/>
      <c r="F128" s="194"/>
      <c r="G128" s="191"/>
      <c r="I128" s="194"/>
      <c r="J128" s="191"/>
      <c r="L128" s="194"/>
      <c r="M128" s="191"/>
      <c r="O128" s="194"/>
      <c r="P128" s="191"/>
      <c r="R128" s="194"/>
      <c r="S128" s="191"/>
      <c r="U128" s="194"/>
    </row>
    <row r="129">
      <c r="B129" s="2">
        <f t="shared" si="1"/>
        <v>0</v>
      </c>
      <c r="C129" s="261"/>
      <c r="D129" s="191"/>
      <c r="F129" s="194"/>
      <c r="G129" s="191"/>
      <c r="I129" s="194"/>
      <c r="J129" s="191"/>
      <c r="L129" s="194"/>
      <c r="M129" s="191"/>
      <c r="O129" s="194"/>
      <c r="P129" s="191"/>
      <c r="R129" s="194"/>
      <c r="S129" s="191"/>
      <c r="U129" s="194"/>
    </row>
    <row r="130">
      <c r="B130" s="2">
        <f t="shared" si="1"/>
        <v>0</v>
      </c>
      <c r="C130" s="261"/>
      <c r="D130" s="191"/>
      <c r="F130" s="194"/>
      <c r="G130" s="191"/>
      <c r="I130" s="194"/>
      <c r="J130" s="191"/>
      <c r="L130" s="194"/>
      <c r="M130" s="191"/>
      <c r="O130" s="194"/>
      <c r="P130" s="191"/>
      <c r="R130" s="194"/>
      <c r="S130" s="191"/>
      <c r="U130" s="194"/>
    </row>
    <row r="131">
      <c r="B131" s="2">
        <f t="shared" si="1"/>
        <v>0</v>
      </c>
      <c r="C131" s="261"/>
      <c r="D131" s="191"/>
      <c r="F131" s="194"/>
      <c r="G131" s="191"/>
      <c r="I131" s="194"/>
      <c r="J131" s="191"/>
      <c r="L131" s="194"/>
      <c r="M131" s="191"/>
      <c r="O131" s="194"/>
      <c r="P131" s="191"/>
      <c r="R131" s="194"/>
      <c r="S131" s="191"/>
      <c r="U131" s="194"/>
    </row>
    <row r="132">
      <c r="B132" s="2">
        <f t="shared" si="1"/>
        <v>0</v>
      </c>
      <c r="C132" s="261"/>
      <c r="D132" s="191"/>
      <c r="F132" s="194"/>
      <c r="G132" s="191"/>
      <c r="I132" s="194"/>
      <c r="J132" s="191"/>
      <c r="L132" s="194"/>
      <c r="M132" s="191"/>
      <c r="O132" s="194"/>
      <c r="P132" s="191"/>
      <c r="R132" s="194"/>
      <c r="S132" s="191"/>
      <c r="U132" s="194"/>
    </row>
    <row r="133">
      <c r="B133" s="2">
        <f t="shared" si="1"/>
        <v>0</v>
      </c>
      <c r="C133" s="261"/>
      <c r="D133" s="191"/>
      <c r="F133" s="194"/>
      <c r="G133" s="191"/>
      <c r="I133" s="194"/>
      <c r="J133" s="191"/>
      <c r="L133" s="194"/>
      <c r="M133" s="191"/>
      <c r="O133" s="194"/>
      <c r="P133" s="191"/>
      <c r="R133" s="194"/>
      <c r="S133" s="191"/>
      <c r="U133" s="194"/>
    </row>
    <row r="134">
      <c r="B134" s="2">
        <f t="shared" si="1"/>
        <v>0</v>
      </c>
      <c r="C134" s="261"/>
      <c r="D134" s="191"/>
      <c r="F134" s="194"/>
      <c r="G134" s="191"/>
      <c r="I134" s="194"/>
      <c r="J134" s="191"/>
      <c r="L134" s="194"/>
      <c r="M134" s="191"/>
      <c r="O134" s="194"/>
      <c r="P134" s="191"/>
      <c r="R134" s="194"/>
      <c r="S134" s="191"/>
      <c r="U134" s="194"/>
    </row>
    <row r="135">
      <c r="B135" s="2">
        <f t="shared" si="1"/>
        <v>0</v>
      </c>
      <c r="C135" s="261"/>
      <c r="D135" s="191"/>
      <c r="F135" s="194"/>
      <c r="G135" s="191"/>
      <c r="I135" s="194"/>
      <c r="J135" s="191"/>
      <c r="L135" s="194"/>
      <c r="M135" s="191"/>
      <c r="O135" s="194"/>
      <c r="P135" s="191"/>
      <c r="R135" s="194"/>
      <c r="S135" s="191"/>
      <c r="U135" s="194"/>
    </row>
    <row r="136">
      <c r="B136" s="2">
        <f t="shared" si="1"/>
        <v>0</v>
      </c>
      <c r="C136" s="261"/>
      <c r="D136" s="191"/>
      <c r="F136" s="194"/>
      <c r="G136" s="191"/>
      <c r="I136" s="194"/>
      <c r="J136" s="191"/>
      <c r="L136" s="194"/>
      <c r="M136" s="191"/>
      <c r="O136" s="194"/>
      <c r="P136" s="191"/>
      <c r="R136" s="194"/>
      <c r="S136" s="191"/>
      <c r="U136" s="194"/>
    </row>
    <row r="137">
      <c r="B137" s="2">
        <f t="shared" si="1"/>
        <v>0</v>
      </c>
      <c r="C137" s="261"/>
      <c r="D137" s="191"/>
      <c r="F137" s="194"/>
      <c r="G137" s="191"/>
      <c r="I137" s="194"/>
      <c r="J137" s="191"/>
      <c r="L137" s="194"/>
      <c r="M137" s="191"/>
      <c r="O137" s="194"/>
      <c r="P137" s="191"/>
      <c r="R137" s="194"/>
      <c r="S137" s="191"/>
      <c r="U137" s="194"/>
    </row>
    <row r="138">
      <c r="B138" s="2">
        <f t="shared" si="1"/>
        <v>0</v>
      </c>
      <c r="C138" s="261"/>
      <c r="D138" s="191"/>
      <c r="F138" s="194"/>
      <c r="G138" s="191"/>
      <c r="I138" s="194"/>
      <c r="J138" s="191"/>
      <c r="L138" s="194"/>
      <c r="M138" s="191"/>
      <c r="O138" s="194"/>
      <c r="P138" s="191"/>
      <c r="R138" s="194"/>
      <c r="S138" s="191"/>
      <c r="U138" s="194"/>
    </row>
    <row r="139">
      <c r="B139" s="2">
        <f t="shared" si="1"/>
        <v>0</v>
      </c>
      <c r="C139" s="261"/>
      <c r="D139" s="191"/>
      <c r="F139" s="194"/>
      <c r="G139" s="191"/>
      <c r="I139" s="194"/>
      <c r="J139" s="191"/>
      <c r="L139" s="194"/>
      <c r="M139" s="191"/>
      <c r="O139" s="194"/>
      <c r="P139" s="191"/>
      <c r="R139" s="194"/>
      <c r="S139" s="191"/>
      <c r="U139" s="194"/>
    </row>
    <row r="140">
      <c r="B140" s="2">
        <f t="shared" si="1"/>
        <v>0</v>
      </c>
      <c r="C140" s="261"/>
      <c r="D140" s="191"/>
      <c r="F140" s="194"/>
      <c r="G140" s="191"/>
      <c r="I140" s="194"/>
      <c r="J140" s="191"/>
      <c r="L140" s="194"/>
      <c r="M140" s="191"/>
      <c r="O140" s="194"/>
      <c r="P140" s="191"/>
      <c r="R140" s="194"/>
      <c r="S140" s="191"/>
      <c r="U140" s="194"/>
    </row>
    <row r="141">
      <c r="B141" s="2">
        <f t="shared" si="1"/>
        <v>0</v>
      </c>
      <c r="C141" s="261"/>
      <c r="D141" s="191"/>
      <c r="F141" s="194"/>
      <c r="G141" s="191"/>
      <c r="I141" s="194"/>
      <c r="J141" s="191"/>
      <c r="L141" s="194"/>
      <c r="M141" s="191"/>
      <c r="O141" s="194"/>
      <c r="P141" s="191"/>
      <c r="R141" s="194"/>
      <c r="S141" s="191"/>
      <c r="U141" s="194"/>
    </row>
    <row r="142">
      <c r="B142" s="2">
        <f t="shared" si="1"/>
        <v>0</v>
      </c>
      <c r="C142" s="261"/>
      <c r="D142" s="191"/>
      <c r="F142" s="194"/>
      <c r="G142" s="191"/>
      <c r="I142" s="194"/>
      <c r="J142" s="191"/>
      <c r="L142" s="194"/>
      <c r="M142" s="191"/>
      <c r="O142" s="194"/>
      <c r="P142" s="191"/>
      <c r="R142" s="194"/>
      <c r="S142" s="191"/>
      <c r="U142" s="194"/>
    </row>
    <row r="143">
      <c r="B143" s="2">
        <f t="shared" si="1"/>
        <v>0</v>
      </c>
      <c r="C143" s="261"/>
      <c r="D143" s="191"/>
      <c r="F143" s="194"/>
      <c r="G143" s="191"/>
      <c r="I143" s="194"/>
      <c r="J143" s="191"/>
      <c r="L143" s="194"/>
      <c r="M143" s="191"/>
      <c r="O143" s="194"/>
      <c r="P143" s="191"/>
      <c r="R143" s="194"/>
      <c r="S143" s="191"/>
      <c r="U143" s="194"/>
    </row>
    <row r="144">
      <c r="B144" s="2">
        <f t="shared" si="1"/>
        <v>0</v>
      </c>
      <c r="C144" s="261"/>
      <c r="D144" s="191"/>
      <c r="F144" s="194"/>
      <c r="G144" s="191"/>
      <c r="I144" s="194"/>
      <c r="J144" s="191"/>
      <c r="L144" s="194"/>
      <c r="M144" s="191"/>
      <c r="O144" s="194"/>
      <c r="P144" s="191"/>
      <c r="R144" s="194"/>
      <c r="S144" s="191"/>
      <c r="U144" s="194"/>
    </row>
    <row r="145">
      <c r="B145" s="2">
        <f t="shared" si="1"/>
        <v>0</v>
      </c>
      <c r="C145" s="261"/>
      <c r="D145" s="191"/>
      <c r="F145" s="194"/>
      <c r="G145" s="191"/>
      <c r="I145" s="194"/>
      <c r="J145" s="191"/>
      <c r="L145" s="194"/>
      <c r="M145" s="191"/>
      <c r="O145" s="194"/>
      <c r="P145" s="191"/>
      <c r="R145" s="194"/>
      <c r="S145" s="191"/>
      <c r="U145" s="194"/>
    </row>
    <row r="146">
      <c r="B146" s="2">
        <f t="shared" si="1"/>
        <v>0</v>
      </c>
      <c r="C146" s="261"/>
      <c r="D146" s="191"/>
      <c r="F146" s="194"/>
      <c r="G146" s="191"/>
      <c r="I146" s="194"/>
      <c r="J146" s="191"/>
      <c r="L146" s="194"/>
      <c r="M146" s="191"/>
      <c r="O146" s="194"/>
      <c r="P146" s="191"/>
      <c r="R146" s="194"/>
      <c r="S146" s="191"/>
      <c r="U146" s="194"/>
    </row>
    <row r="147">
      <c r="B147" s="2">
        <f t="shared" si="1"/>
        <v>0</v>
      </c>
      <c r="C147" s="261"/>
      <c r="D147" s="191"/>
      <c r="F147" s="194"/>
      <c r="G147" s="191"/>
      <c r="I147" s="194"/>
      <c r="J147" s="191"/>
      <c r="L147" s="194"/>
      <c r="M147" s="191"/>
      <c r="O147" s="194"/>
      <c r="P147" s="191"/>
      <c r="R147" s="194"/>
      <c r="S147" s="191"/>
      <c r="U147" s="194"/>
    </row>
    <row r="148">
      <c r="B148" s="2">
        <f t="shared" si="1"/>
        <v>0</v>
      </c>
      <c r="C148" s="261"/>
      <c r="D148" s="191"/>
      <c r="F148" s="194"/>
      <c r="G148" s="191"/>
      <c r="I148" s="194"/>
      <c r="J148" s="191"/>
      <c r="L148" s="194"/>
      <c r="M148" s="191"/>
      <c r="O148" s="194"/>
      <c r="P148" s="191"/>
      <c r="R148" s="194"/>
      <c r="S148" s="191"/>
      <c r="U148" s="194"/>
    </row>
    <row r="149">
      <c r="B149" s="2">
        <f t="shared" si="1"/>
        <v>0</v>
      </c>
      <c r="C149" s="261"/>
      <c r="D149" s="191"/>
      <c r="F149" s="194"/>
      <c r="G149" s="191"/>
      <c r="I149" s="194"/>
      <c r="J149" s="191"/>
      <c r="L149" s="194"/>
      <c r="M149" s="191"/>
      <c r="O149" s="194"/>
      <c r="P149" s="191"/>
      <c r="R149" s="194"/>
      <c r="S149" s="191"/>
      <c r="U149" s="194"/>
    </row>
    <row r="150">
      <c r="B150" s="2">
        <f t="shared" si="1"/>
        <v>0</v>
      </c>
      <c r="C150" s="261"/>
      <c r="D150" s="191"/>
      <c r="F150" s="194"/>
      <c r="G150" s="191"/>
      <c r="I150" s="194"/>
      <c r="J150" s="191"/>
      <c r="L150" s="194"/>
      <c r="M150" s="191"/>
      <c r="O150" s="194"/>
      <c r="P150" s="191"/>
      <c r="R150" s="194"/>
      <c r="S150" s="191"/>
      <c r="U150" s="194"/>
    </row>
    <row r="151">
      <c r="B151" s="2">
        <f t="shared" si="1"/>
        <v>0</v>
      </c>
      <c r="C151" s="261"/>
      <c r="D151" s="191"/>
      <c r="F151" s="194"/>
      <c r="G151" s="191"/>
      <c r="I151" s="194"/>
      <c r="J151" s="191"/>
      <c r="L151" s="194"/>
      <c r="M151" s="191"/>
      <c r="O151" s="194"/>
      <c r="P151" s="191"/>
      <c r="R151" s="194"/>
      <c r="S151" s="191"/>
      <c r="U151" s="194"/>
    </row>
    <row r="152">
      <c r="B152" s="2">
        <f t="shared" si="1"/>
        <v>0</v>
      </c>
      <c r="C152" s="261"/>
      <c r="D152" s="191"/>
      <c r="F152" s="194"/>
      <c r="G152" s="191"/>
      <c r="I152" s="194"/>
      <c r="J152" s="191"/>
      <c r="L152" s="194"/>
      <c r="M152" s="191"/>
      <c r="O152" s="194"/>
      <c r="P152" s="191"/>
      <c r="R152" s="194"/>
      <c r="S152" s="191"/>
      <c r="U152" s="194"/>
    </row>
    <row r="153">
      <c r="B153" s="2">
        <f t="shared" si="1"/>
        <v>0</v>
      </c>
      <c r="C153" s="261"/>
      <c r="D153" s="191"/>
      <c r="F153" s="194"/>
      <c r="G153" s="191"/>
      <c r="I153" s="194"/>
      <c r="J153" s="191"/>
      <c r="L153" s="194"/>
      <c r="M153" s="191"/>
      <c r="O153" s="194"/>
      <c r="P153" s="191"/>
      <c r="R153" s="194"/>
      <c r="S153" s="191"/>
      <c r="U153" s="194"/>
    </row>
    <row r="154">
      <c r="B154" s="2">
        <f t="shared" si="1"/>
        <v>0</v>
      </c>
      <c r="C154" s="261"/>
      <c r="D154" s="191"/>
      <c r="F154" s="194"/>
      <c r="G154" s="191"/>
      <c r="I154" s="194"/>
      <c r="J154" s="191"/>
      <c r="L154" s="194"/>
      <c r="M154" s="191"/>
      <c r="O154" s="194"/>
      <c r="P154" s="191"/>
      <c r="R154" s="194"/>
      <c r="S154" s="191"/>
      <c r="U154" s="194"/>
    </row>
    <row r="155">
      <c r="B155" s="2">
        <f t="shared" si="1"/>
        <v>0</v>
      </c>
      <c r="C155" s="261"/>
      <c r="D155" s="191"/>
      <c r="F155" s="194"/>
      <c r="G155" s="191"/>
      <c r="I155" s="194"/>
      <c r="J155" s="191"/>
      <c r="L155" s="194"/>
      <c r="M155" s="191"/>
      <c r="O155" s="194"/>
      <c r="P155" s="191"/>
      <c r="R155" s="194"/>
      <c r="S155" s="191"/>
      <c r="U155" s="194"/>
    </row>
    <row r="156">
      <c r="B156" s="2">
        <f t="shared" si="1"/>
        <v>0</v>
      </c>
      <c r="C156" s="261"/>
      <c r="D156" s="191"/>
      <c r="F156" s="194"/>
      <c r="G156" s="191"/>
      <c r="I156" s="194"/>
      <c r="J156" s="191"/>
      <c r="L156" s="194"/>
      <c r="M156" s="191"/>
      <c r="O156" s="194"/>
      <c r="P156" s="191"/>
      <c r="R156" s="194"/>
      <c r="S156" s="191"/>
      <c r="U156" s="194"/>
    </row>
    <row r="157">
      <c r="B157" s="2">
        <f t="shared" si="1"/>
        <v>0</v>
      </c>
      <c r="C157" s="261"/>
      <c r="D157" s="191"/>
      <c r="F157" s="194"/>
      <c r="G157" s="191"/>
      <c r="I157" s="194"/>
      <c r="J157" s="191"/>
      <c r="L157" s="194"/>
      <c r="M157" s="191"/>
      <c r="O157" s="194"/>
      <c r="P157" s="191"/>
      <c r="R157" s="194"/>
      <c r="S157" s="191"/>
      <c r="U157" s="194"/>
    </row>
    <row r="158">
      <c r="B158" s="2">
        <f t="shared" si="1"/>
        <v>0</v>
      </c>
      <c r="C158" s="261"/>
      <c r="D158" s="191"/>
      <c r="F158" s="194"/>
      <c r="G158" s="191"/>
      <c r="I158" s="194"/>
      <c r="J158" s="191"/>
      <c r="L158" s="194"/>
      <c r="M158" s="191"/>
      <c r="O158" s="194"/>
      <c r="P158" s="191"/>
      <c r="R158" s="194"/>
      <c r="S158" s="191"/>
      <c r="U158" s="194"/>
    </row>
    <row r="159">
      <c r="B159" s="2">
        <f t="shared" si="1"/>
        <v>0</v>
      </c>
      <c r="C159" s="261"/>
      <c r="D159" s="191"/>
      <c r="F159" s="194"/>
      <c r="G159" s="191"/>
      <c r="I159" s="194"/>
      <c r="J159" s="191"/>
      <c r="L159" s="194"/>
      <c r="M159" s="191"/>
      <c r="O159" s="194"/>
      <c r="P159" s="191"/>
      <c r="R159" s="194"/>
      <c r="S159" s="191"/>
      <c r="U159" s="194"/>
    </row>
    <row r="160">
      <c r="B160" s="2">
        <f t="shared" si="1"/>
        <v>0</v>
      </c>
      <c r="D160" s="191"/>
      <c r="F160" s="194"/>
      <c r="G160" s="191"/>
      <c r="I160" s="194"/>
      <c r="J160" s="191"/>
      <c r="L160" s="194"/>
      <c r="M160" s="191"/>
      <c r="O160" s="194"/>
      <c r="P160" s="191"/>
      <c r="R160" s="194"/>
      <c r="S160" s="191"/>
      <c r="U160" s="194"/>
    </row>
    <row r="161">
      <c r="B161" s="2">
        <f t="shared" si="1"/>
        <v>0</v>
      </c>
      <c r="D161" s="191"/>
      <c r="F161" s="194"/>
      <c r="G161" s="191"/>
      <c r="I161" s="194"/>
      <c r="J161" s="191"/>
      <c r="L161" s="194"/>
      <c r="M161" s="191"/>
      <c r="O161" s="194"/>
      <c r="P161" s="191"/>
      <c r="R161" s="194"/>
      <c r="S161" s="191"/>
      <c r="U161" s="194"/>
    </row>
    <row r="162">
      <c r="B162" s="2">
        <f t="shared" si="1"/>
        <v>0</v>
      </c>
      <c r="D162" s="191"/>
      <c r="F162" s="194"/>
      <c r="G162" s="191"/>
      <c r="I162" s="194"/>
      <c r="J162" s="191"/>
      <c r="L162" s="194"/>
      <c r="M162" s="191"/>
      <c r="O162" s="194"/>
      <c r="P162" s="191"/>
      <c r="R162" s="194"/>
      <c r="S162" s="191"/>
      <c r="U162" s="194"/>
    </row>
    <row r="163">
      <c r="B163" s="2">
        <f t="shared" si="1"/>
        <v>0</v>
      </c>
      <c r="D163" s="191"/>
      <c r="F163" s="194"/>
      <c r="G163" s="191"/>
      <c r="I163" s="194"/>
      <c r="J163" s="191"/>
      <c r="L163" s="194"/>
      <c r="M163" s="191"/>
      <c r="O163" s="194"/>
      <c r="P163" s="191"/>
      <c r="R163" s="194"/>
      <c r="S163" s="191"/>
      <c r="U163" s="194"/>
    </row>
    <row r="164">
      <c r="B164" s="2">
        <f t="shared" si="1"/>
        <v>0</v>
      </c>
      <c r="D164" s="191"/>
      <c r="F164" s="194"/>
      <c r="G164" s="191"/>
      <c r="I164" s="194"/>
      <c r="J164" s="191"/>
      <c r="L164" s="194"/>
      <c r="M164" s="191"/>
      <c r="O164" s="194"/>
      <c r="P164" s="191"/>
      <c r="R164" s="194"/>
      <c r="S164" s="191"/>
      <c r="U164" s="194"/>
    </row>
    <row r="165">
      <c r="B165" s="2">
        <f t="shared" si="1"/>
        <v>0</v>
      </c>
      <c r="D165" s="191"/>
      <c r="F165" s="194"/>
      <c r="G165" s="191"/>
      <c r="I165" s="194"/>
      <c r="J165" s="191"/>
      <c r="L165" s="194"/>
      <c r="M165" s="191"/>
      <c r="O165" s="194"/>
      <c r="P165" s="191"/>
      <c r="R165" s="194"/>
      <c r="S165" s="191"/>
      <c r="U165" s="194"/>
    </row>
    <row r="166">
      <c r="B166" s="2">
        <f t="shared" si="1"/>
        <v>0</v>
      </c>
      <c r="D166" s="191"/>
      <c r="F166" s="194"/>
      <c r="G166" s="191"/>
      <c r="I166" s="194"/>
      <c r="J166" s="191"/>
      <c r="L166" s="194"/>
      <c r="M166" s="191"/>
      <c r="O166" s="194"/>
      <c r="P166" s="191"/>
      <c r="R166" s="194"/>
      <c r="S166" s="191"/>
      <c r="U166" s="194"/>
    </row>
    <row r="167">
      <c r="B167" s="2">
        <f t="shared" si="1"/>
        <v>0</v>
      </c>
      <c r="D167" s="191"/>
      <c r="F167" s="194"/>
      <c r="G167" s="191"/>
      <c r="I167" s="194"/>
      <c r="J167" s="191"/>
      <c r="L167" s="194"/>
      <c r="M167" s="191"/>
      <c r="O167" s="194"/>
      <c r="P167" s="191"/>
      <c r="R167" s="194"/>
      <c r="S167" s="191"/>
      <c r="U167" s="194"/>
    </row>
    <row r="168">
      <c r="B168" s="2">
        <f t="shared" si="1"/>
        <v>0</v>
      </c>
      <c r="D168" s="191"/>
      <c r="F168" s="194"/>
      <c r="G168" s="191"/>
      <c r="I168" s="194"/>
      <c r="J168" s="191"/>
      <c r="L168" s="194"/>
      <c r="M168" s="191"/>
      <c r="O168" s="194"/>
      <c r="P168" s="191"/>
      <c r="R168" s="194"/>
      <c r="S168" s="191"/>
      <c r="U168" s="194"/>
    </row>
    <row r="169">
      <c r="B169" s="2">
        <f t="shared" si="1"/>
        <v>0</v>
      </c>
      <c r="D169" s="191"/>
      <c r="F169" s="194"/>
      <c r="G169" s="191"/>
      <c r="I169" s="194"/>
      <c r="J169" s="191"/>
      <c r="L169" s="194"/>
      <c r="M169" s="191"/>
      <c r="O169" s="194"/>
      <c r="P169" s="191"/>
      <c r="R169" s="194"/>
      <c r="S169" s="191"/>
      <c r="U169" s="194"/>
    </row>
    <row r="170">
      <c r="B170" s="2">
        <f t="shared" si="1"/>
        <v>0</v>
      </c>
      <c r="D170" s="191"/>
      <c r="F170" s="194"/>
      <c r="G170" s="191"/>
      <c r="I170" s="194"/>
      <c r="J170" s="191"/>
      <c r="L170" s="194"/>
      <c r="M170" s="191"/>
      <c r="O170" s="194"/>
      <c r="P170" s="191"/>
      <c r="R170" s="194"/>
      <c r="S170" s="191"/>
      <c r="U170" s="194"/>
    </row>
    <row r="171">
      <c r="B171" s="2">
        <f t="shared" si="1"/>
        <v>0</v>
      </c>
      <c r="D171" s="191"/>
      <c r="F171" s="194"/>
      <c r="G171" s="191"/>
      <c r="I171" s="194"/>
      <c r="J171" s="191"/>
      <c r="L171" s="194"/>
      <c r="M171" s="191"/>
      <c r="O171" s="194"/>
      <c r="P171" s="191"/>
      <c r="R171" s="194"/>
      <c r="S171" s="191"/>
      <c r="U171" s="194"/>
    </row>
    <row r="172">
      <c r="B172" s="2">
        <f t="shared" si="1"/>
        <v>0</v>
      </c>
      <c r="D172" s="191"/>
      <c r="F172" s="194"/>
      <c r="G172" s="191"/>
      <c r="I172" s="194"/>
      <c r="J172" s="191"/>
      <c r="L172" s="194"/>
      <c r="M172" s="191"/>
      <c r="O172" s="194"/>
      <c r="P172" s="191"/>
      <c r="R172" s="194"/>
      <c r="S172" s="191"/>
      <c r="U172" s="194"/>
    </row>
    <row r="173">
      <c r="B173" s="2">
        <f t="shared" si="1"/>
        <v>0</v>
      </c>
      <c r="D173" s="191"/>
      <c r="F173" s="194"/>
      <c r="G173" s="191"/>
      <c r="I173" s="194"/>
      <c r="J173" s="191"/>
      <c r="L173" s="194"/>
      <c r="M173" s="191"/>
      <c r="O173" s="194"/>
      <c r="P173" s="191"/>
      <c r="R173" s="194"/>
      <c r="S173" s="191"/>
      <c r="U173" s="194"/>
    </row>
    <row r="174">
      <c r="B174" s="2">
        <f t="shared" si="1"/>
        <v>0</v>
      </c>
      <c r="D174" s="191"/>
      <c r="F174" s="194"/>
      <c r="G174" s="191"/>
      <c r="I174" s="194"/>
      <c r="J174" s="191"/>
      <c r="L174" s="194"/>
      <c r="M174" s="191"/>
      <c r="O174" s="194"/>
      <c r="P174" s="191"/>
      <c r="R174" s="194"/>
      <c r="S174" s="191"/>
      <c r="U174" s="194"/>
    </row>
    <row r="175">
      <c r="B175" s="2">
        <f t="shared" si="1"/>
        <v>0</v>
      </c>
      <c r="D175" s="191"/>
      <c r="F175" s="194"/>
      <c r="G175" s="191"/>
      <c r="I175" s="194"/>
      <c r="J175" s="191"/>
      <c r="L175" s="194"/>
      <c r="M175" s="191"/>
      <c r="O175" s="194"/>
      <c r="P175" s="191"/>
      <c r="R175" s="194"/>
      <c r="S175" s="191"/>
      <c r="U175" s="194"/>
    </row>
    <row r="176">
      <c r="B176" s="2">
        <f t="shared" si="1"/>
        <v>0</v>
      </c>
      <c r="D176" s="191"/>
      <c r="F176" s="194"/>
      <c r="G176" s="191"/>
      <c r="I176" s="194"/>
      <c r="J176" s="191"/>
      <c r="L176" s="194"/>
      <c r="M176" s="191"/>
      <c r="O176" s="194"/>
      <c r="P176" s="191"/>
      <c r="R176" s="194"/>
      <c r="S176" s="191"/>
      <c r="U176" s="194"/>
    </row>
    <row r="177">
      <c r="B177" s="2">
        <f t="shared" si="1"/>
        <v>0</v>
      </c>
      <c r="D177" s="191"/>
      <c r="F177" s="194"/>
      <c r="G177" s="191"/>
      <c r="I177" s="194"/>
      <c r="J177" s="191"/>
      <c r="L177" s="194"/>
      <c r="M177" s="191"/>
      <c r="O177" s="194"/>
      <c r="P177" s="191"/>
      <c r="R177" s="194"/>
      <c r="S177" s="191"/>
      <c r="U177" s="194"/>
    </row>
    <row r="178">
      <c r="B178" s="2">
        <f t="shared" si="1"/>
        <v>0</v>
      </c>
      <c r="D178" s="191"/>
      <c r="F178" s="194"/>
      <c r="G178" s="191"/>
      <c r="I178" s="194"/>
      <c r="J178" s="191"/>
      <c r="L178" s="194"/>
      <c r="M178" s="191"/>
      <c r="O178" s="194"/>
      <c r="P178" s="191"/>
      <c r="R178" s="194"/>
      <c r="S178" s="191"/>
      <c r="U178" s="194"/>
    </row>
    <row r="179">
      <c r="B179" s="2">
        <f t="shared" si="1"/>
        <v>0</v>
      </c>
      <c r="D179" s="191"/>
      <c r="F179" s="194"/>
      <c r="G179" s="191"/>
      <c r="I179" s="194"/>
      <c r="J179" s="191"/>
      <c r="L179" s="194"/>
      <c r="M179" s="191"/>
      <c r="O179" s="194"/>
      <c r="P179" s="191"/>
      <c r="R179" s="194"/>
      <c r="S179" s="191"/>
      <c r="U179" s="194"/>
    </row>
    <row r="180">
      <c r="B180" s="2">
        <f t="shared" si="1"/>
        <v>0</v>
      </c>
      <c r="D180" s="191"/>
      <c r="F180" s="194"/>
      <c r="G180" s="191"/>
      <c r="I180" s="194"/>
      <c r="J180" s="191"/>
      <c r="L180" s="194"/>
      <c r="M180" s="191"/>
      <c r="O180" s="194"/>
      <c r="P180" s="191"/>
      <c r="R180" s="194"/>
      <c r="S180" s="191"/>
      <c r="U180" s="194"/>
    </row>
    <row r="181">
      <c r="B181" s="2">
        <f t="shared" si="1"/>
        <v>0</v>
      </c>
      <c r="D181" s="191"/>
      <c r="F181" s="194"/>
      <c r="G181" s="191"/>
      <c r="I181" s="194"/>
      <c r="J181" s="191"/>
      <c r="L181" s="194"/>
      <c r="M181" s="191"/>
      <c r="O181" s="194"/>
      <c r="P181" s="191"/>
      <c r="R181" s="194"/>
      <c r="S181" s="191"/>
      <c r="U181" s="194"/>
    </row>
    <row r="182">
      <c r="B182" s="2">
        <f t="shared" si="1"/>
        <v>0</v>
      </c>
      <c r="D182" s="191"/>
      <c r="F182" s="194"/>
      <c r="G182" s="191"/>
      <c r="I182" s="194"/>
      <c r="J182" s="191"/>
      <c r="L182" s="194"/>
      <c r="M182" s="191"/>
      <c r="O182" s="194"/>
      <c r="P182" s="191"/>
      <c r="R182" s="194"/>
      <c r="S182" s="191"/>
      <c r="U182" s="194"/>
    </row>
    <row r="183">
      <c r="B183" s="2">
        <f t="shared" si="1"/>
        <v>0</v>
      </c>
      <c r="D183" s="191"/>
      <c r="F183" s="194"/>
      <c r="G183" s="191"/>
      <c r="I183" s="194"/>
      <c r="J183" s="191"/>
      <c r="L183" s="194"/>
      <c r="M183" s="191"/>
      <c r="O183" s="194"/>
      <c r="P183" s="191"/>
      <c r="R183" s="194"/>
      <c r="S183" s="191"/>
      <c r="U183" s="194"/>
    </row>
    <row r="184">
      <c r="B184" s="2">
        <f t="shared" si="1"/>
        <v>0</v>
      </c>
      <c r="D184" s="191"/>
      <c r="F184" s="194"/>
      <c r="G184" s="191"/>
      <c r="I184" s="194"/>
      <c r="J184" s="191"/>
      <c r="L184" s="194"/>
      <c r="M184" s="191"/>
      <c r="O184" s="194"/>
      <c r="P184" s="191"/>
      <c r="R184" s="194"/>
      <c r="S184" s="191"/>
      <c r="U184" s="194"/>
    </row>
    <row r="185">
      <c r="B185" s="2">
        <f t="shared" si="1"/>
        <v>0</v>
      </c>
      <c r="D185" s="191"/>
      <c r="F185" s="194"/>
      <c r="G185" s="191"/>
      <c r="I185" s="194"/>
      <c r="J185" s="191"/>
      <c r="L185" s="194"/>
      <c r="M185" s="191"/>
      <c r="O185" s="194"/>
      <c r="P185" s="191"/>
      <c r="R185" s="194"/>
      <c r="S185" s="191"/>
      <c r="U185" s="194"/>
    </row>
    <row r="186">
      <c r="B186" s="2">
        <f t="shared" si="1"/>
        <v>0</v>
      </c>
      <c r="D186" s="191"/>
      <c r="F186" s="194"/>
      <c r="G186" s="191"/>
      <c r="I186" s="194"/>
      <c r="J186" s="191"/>
      <c r="L186" s="194"/>
      <c r="M186" s="191"/>
      <c r="O186" s="194"/>
      <c r="P186" s="191"/>
      <c r="R186" s="194"/>
      <c r="S186" s="191"/>
      <c r="U186" s="194"/>
    </row>
    <row r="187">
      <c r="B187" s="2">
        <f t="shared" si="1"/>
        <v>0</v>
      </c>
      <c r="D187" s="191"/>
      <c r="F187" s="194"/>
      <c r="G187" s="191"/>
      <c r="I187" s="194"/>
      <c r="J187" s="191"/>
      <c r="L187" s="194"/>
      <c r="M187" s="191"/>
      <c r="O187" s="194"/>
      <c r="P187" s="191"/>
      <c r="R187" s="194"/>
      <c r="S187" s="191"/>
      <c r="U187" s="194"/>
    </row>
    <row r="188">
      <c r="B188" s="2">
        <f t="shared" si="1"/>
        <v>0</v>
      </c>
      <c r="D188" s="191"/>
      <c r="F188" s="194"/>
      <c r="G188" s="191"/>
      <c r="I188" s="194"/>
      <c r="J188" s="191"/>
      <c r="L188" s="194"/>
      <c r="M188" s="191"/>
      <c r="O188" s="194"/>
      <c r="P188" s="191"/>
      <c r="R188" s="194"/>
      <c r="S188" s="191"/>
      <c r="U188" s="194"/>
    </row>
    <row r="189">
      <c r="B189" s="2">
        <f t="shared" si="1"/>
        <v>0</v>
      </c>
      <c r="D189" s="191"/>
      <c r="F189" s="194"/>
      <c r="G189" s="191"/>
      <c r="I189" s="194"/>
      <c r="J189" s="191"/>
      <c r="L189" s="194"/>
      <c r="M189" s="191"/>
      <c r="O189" s="194"/>
      <c r="P189" s="191"/>
      <c r="R189" s="194"/>
      <c r="S189" s="191"/>
      <c r="U189" s="194"/>
    </row>
    <row r="190">
      <c r="B190" s="2">
        <f t="shared" si="1"/>
        <v>0</v>
      </c>
      <c r="D190" s="191"/>
      <c r="F190" s="194"/>
      <c r="G190" s="191"/>
      <c r="I190" s="194"/>
      <c r="J190" s="191"/>
      <c r="L190" s="194"/>
      <c r="M190" s="191"/>
      <c r="O190" s="194"/>
      <c r="P190" s="191"/>
      <c r="R190" s="194"/>
      <c r="S190" s="191"/>
      <c r="U190" s="194"/>
    </row>
    <row r="191">
      <c r="B191" s="2">
        <f t="shared" si="1"/>
        <v>0</v>
      </c>
      <c r="D191" s="191"/>
      <c r="F191" s="194"/>
      <c r="G191" s="191"/>
      <c r="I191" s="194"/>
      <c r="J191" s="191"/>
      <c r="L191" s="194"/>
      <c r="M191" s="191"/>
      <c r="O191" s="194"/>
      <c r="P191" s="191"/>
      <c r="R191" s="194"/>
      <c r="S191" s="191"/>
      <c r="U191" s="194"/>
    </row>
    <row r="192">
      <c r="B192" s="2">
        <f t="shared" si="1"/>
        <v>0</v>
      </c>
      <c r="D192" s="191"/>
      <c r="F192" s="194"/>
      <c r="G192" s="191"/>
      <c r="I192" s="194"/>
      <c r="J192" s="191"/>
      <c r="L192" s="194"/>
      <c r="M192" s="191"/>
      <c r="O192" s="194"/>
      <c r="P192" s="191"/>
      <c r="R192" s="194"/>
      <c r="S192" s="191"/>
      <c r="U192" s="194"/>
    </row>
    <row r="193">
      <c r="B193" s="2">
        <f t="shared" si="1"/>
        <v>0</v>
      </c>
      <c r="D193" s="191"/>
      <c r="F193" s="194"/>
      <c r="G193" s="191"/>
      <c r="I193" s="194"/>
      <c r="J193" s="191"/>
      <c r="L193" s="194"/>
      <c r="M193" s="191"/>
      <c r="O193" s="194"/>
      <c r="P193" s="191"/>
      <c r="R193" s="194"/>
      <c r="S193" s="191"/>
      <c r="U193" s="194"/>
    </row>
    <row r="194">
      <c r="B194" s="2">
        <f t="shared" si="1"/>
        <v>0</v>
      </c>
      <c r="D194" s="191"/>
      <c r="F194" s="194"/>
      <c r="G194" s="191"/>
      <c r="I194" s="194"/>
      <c r="J194" s="191"/>
      <c r="L194" s="194"/>
      <c r="M194" s="191"/>
      <c r="O194" s="194"/>
      <c r="P194" s="191"/>
      <c r="R194" s="194"/>
      <c r="S194" s="191"/>
      <c r="U194" s="194"/>
    </row>
    <row r="195">
      <c r="B195" s="2">
        <f t="shared" si="1"/>
        <v>0</v>
      </c>
      <c r="D195" s="191"/>
      <c r="F195" s="194"/>
      <c r="G195" s="191"/>
      <c r="I195" s="194"/>
      <c r="J195" s="191"/>
      <c r="L195" s="194"/>
      <c r="M195" s="191"/>
      <c r="O195" s="194"/>
      <c r="P195" s="191"/>
      <c r="R195" s="194"/>
      <c r="S195" s="191"/>
      <c r="U195" s="194"/>
    </row>
    <row r="196">
      <c r="B196" s="2">
        <f t="shared" si="1"/>
        <v>0</v>
      </c>
      <c r="D196" s="191"/>
      <c r="F196" s="194"/>
      <c r="G196" s="191"/>
      <c r="I196" s="194"/>
      <c r="J196" s="191"/>
      <c r="L196" s="194"/>
      <c r="M196" s="191"/>
      <c r="O196" s="194"/>
      <c r="P196" s="191"/>
      <c r="R196" s="194"/>
      <c r="S196" s="191"/>
      <c r="U196" s="194"/>
    </row>
    <row r="197">
      <c r="B197" s="2">
        <f t="shared" si="1"/>
        <v>0</v>
      </c>
      <c r="D197" s="191"/>
      <c r="F197" s="194"/>
      <c r="G197" s="191"/>
      <c r="I197" s="194"/>
      <c r="J197" s="191"/>
      <c r="L197" s="194"/>
      <c r="M197" s="191"/>
      <c r="O197" s="194"/>
      <c r="P197" s="191"/>
      <c r="R197" s="194"/>
      <c r="S197" s="191"/>
      <c r="U197" s="194"/>
    </row>
    <row r="198">
      <c r="B198" s="2">
        <f t="shared" si="1"/>
        <v>0</v>
      </c>
      <c r="D198" s="191"/>
      <c r="F198" s="194"/>
      <c r="G198" s="191"/>
      <c r="I198" s="194"/>
      <c r="J198" s="191"/>
      <c r="L198" s="194"/>
      <c r="M198" s="191"/>
      <c r="O198" s="194"/>
      <c r="P198" s="191"/>
      <c r="R198" s="194"/>
      <c r="S198" s="191"/>
      <c r="U198" s="194"/>
    </row>
    <row r="199">
      <c r="B199" s="2">
        <f t="shared" si="1"/>
        <v>0</v>
      </c>
      <c r="D199" s="191"/>
      <c r="F199" s="194"/>
      <c r="G199" s="191"/>
      <c r="I199" s="194"/>
      <c r="J199" s="191"/>
      <c r="L199" s="194"/>
      <c r="M199" s="191"/>
      <c r="O199" s="194"/>
      <c r="P199" s="191"/>
      <c r="R199" s="194"/>
      <c r="S199" s="191"/>
      <c r="U199" s="194"/>
    </row>
    <row r="200">
      <c r="B200" s="2">
        <f t="shared" si="1"/>
        <v>0</v>
      </c>
      <c r="D200" s="191"/>
      <c r="F200" s="194"/>
      <c r="G200" s="191"/>
      <c r="I200" s="194"/>
      <c r="J200" s="191"/>
      <c r="L200" s="194"/>
      <c r="M200" s="191"/>
      <c r="O200" s="194"/>
      <c r="P200" s="191"/>
      <c r="R200" s="194"/>
      <c r="S200" s="191"/>
      <c r="U200" s="194"/>
    </row>
    <row r="201">
      <c r="B201" s="2">
        <f t="shared" si="1"/>
        <v>0</v>
      </c>
      <c r="D201" s="191"/>
      <c r="F201" s="194"/>
      <c r="G201" s="191"/>
      <c r="I201" s="194"/>
      <c r="J201" s="191"/>
      <c r="L201" s="194"/>
      <c r="M201" s="191"/>
      <c r="O201" s="194"/>
      <c r="P201" s="191"/>
      <c r="R201" s="194"/>
      <c r="S201" s="191"/>
      <c r="U201" s="194"/>
    </row>
    <row r="202">
      <c r="B202" s="2">
        <f t="shared" si="1"/>
        <v>0</v>
      </c>
      <c r="D202" s="191"/>
      <c r="F202" s="194"/>
      <c r="G202" s="191"/>
      <c r="I202" s="194"/>
      <c r="J202" s="191"/>
      <c r="L202" s="194"/>
      <c r="M202" s="191"/>
      <c r="O202" s="194"/>
      <c r="P202" s="191"/>
      <c r="R202" s="194"/>
      <c r="S202" s="191"/>
      <c r="U202" s="194"/>
    </row>
    <row r="203">
      <c r="B203" s="2">
        <f t="shared" si="1"/>
        <v>0</v>
      </c>
      <c r="D203" s="191"/>
      <c r="F203" s="194"/>
      <c r="G203" s="191"/>
      <c r="I203" s="194"/>
      <c r="J203" s="191"/>
      <c r="L203" s="194"/>
      <c r="M203" s="191"/>
      <c r="O203" s="194"/>
      <c r="P203" s="191"/>
      <c r="R203" s="194"/>
      <c r="S203" s="191"/>
      <c r="U203" s="194"/>
    </row>
    <row r="204">
      <c r="B204" s="2">
        <f t="shared" si="1"/>
        <v>0</v>
      </c>
      <c r="D204" s="191"/>
      <c r="F204" s="194"/>
      <c r="G204" s="191"/>
      <c r="I204" s="194"/>
      <c r="J204" s="191"/>
      <c r="L204" s="194"/>
      <c r="M204" s="191"/>
      <c r="O204" s="194"/>
      <c r="P204" s="191"/>
      <c r="R204" s="194"/>
      <c r="S204" s="191"/>
      <c r="U204" s="194"/>
    </row>
    <row r="205">
      <c r="B205" s="2">
        <f t="shared" si="1"/>
        <v>0</v>
      </c>
      <c r="D205" s="191"/>
      <c r="F205" s="194"/>
      <c r="G205" s="191"/>
      <c r="I205" s="194"/>
      <c r="J205" s="191"/>
      <c r="L205" s="194"/>
      <c r="M205" s="191"/>
      <c r="O205" s="194"/>
      <c r="P205" s="191"/>
      <c r="R205" s="194"/>
      <c r="S205" s="191"/>
      <c r="U205" s="194"/>
    </row>
    <row r="206">
      <c r="B206" s="2">
        <f t="shared" si="1"/>
        <v>0</v>
      </c>
      <c r="D206" s="191"/>
      <c r="F206" s="194"/>
      <c r="G206" s="191"/>
      <c r="I206" s="194"/>
      <c r="J206" s="191"/>
      <c r="L206" s="194"/>
      <c r="M206" s="191"/>
      <c r="O206" s="194"/>
      <c r="P206" s="191"/>
      <c r="R206" s="194"/>
      <c r="S206" s="191"/>
      <c r="U206" s="194"/>
    </row>
    <row r="207">
      <c r="B207" s="2">
        <f t="shared" si="1"/>
        <v>0</v>
      </c>
      <c r="D207" s="191"/>
      <c r="F207" s="194"/>
      <c r="G207" s="191"/>
      <c r="I207" s="194"/>
      <c r="J207" s="191"/>
      <c r="L207" s="194"/>
      <c r="M207" s="191"/>
      <c r="O207" s="194"/>
      <c r="P207" s="191"/>
      <c r="R207" s="194"/>
      <c r="S207" s="191"/>
      <c r="U207" s="194"/>
    </row>
    <row r="208">
      <c r="B208" s="2">
        <f t="shared" si="1"/>
        <v>0</v>
      </c>
      <c r="D208" s="191"/>
      <c r="F208" s="194"/>
      <c r="G208" s="191"/>
      <c r="I208" s="194"/>
      <c r="J208" s="191"/>
      <c r="L208" s="194"/>
      <c r="M208" s="191"/>
      <c r="O208" s="194"/>
      <c r="P208" s="191"/>
      <c r="R208" s="194"/>
      <c r="S208" s="191"/>
      <c r="U208" s="194"/>
    </row>
    <row r="209">
      <c r="B209" s="2">
        <f t="shared" si="1"/>
        <v>0</v>
      </c>
      <c r="D209" s="191"/>
      <c r="F209" s="194"/>
      <c r="G209" s="191"/>
      <c r="I209" s="194"/>
      <c r="J209" s="191"/>
      <c r="L209" s="194"/>
      <c r="M209" s="191"/>
      <c r="O209" s="194"/>
      <c r="P209" s="191"/>
      <c r="R209" s="194"/>
      <c r="S209" s="191"/>
      <c r="U209" s="194"/>
    </row>
    <row r="210">
      <c r="B210" s="2">
        <f t="shared" si="1"/>
        <v>0</v>
      </c>
      <c r="D210" s="191"/>
      <c r="F210" s="194"/>
      <c r="G210" s="191"/>
      <c r="I210" s="194"/>
      <c r="J210" s="191"/>
      <c r="L210" s="194"/>
      <c r="M210" s="191"/>
      <c r="O210" s="194"/>
      <c r="P210" s="191"/>
      <c r="R210" s="194"/>
      <c r="S210" s="191"/>
      <c r="U210" s="194"/>
    </row>
    <row r="211">
      <c r="B211" s="2">
        <f t="shared" si="1"/>
        <v>0</v>
      </c>
      <c r="D211" s="191"/>
      <c r="F211" s="194"/>
      <c r="G211" s="191"/>
      <c r="I211" s="194"/>
      <c r="J211" s="191"/>
      <c r="L211" s="194"/>
      <c r="M211" s="191"/>
      <c r="O211" s="194"/>
      <c r="P211" s="191"/>
      <c r="R211" s="194"/>
      <c r="S211" s="191"/>
      <c r="U211" s="194"/>
    </row>
    <row r="212">
      <c r="B212" s="2">
        <f t="shared" si="1"/>
        <v>0</v>
      </c>
      <c r="D212" s="191"/>
      <c r="F212" s="194"/>
      <c r="G212" s="191"/>
      <c r="I212" s="194"/>
      <c r="J212" s="191"/>
      <c r="L212" s="194"/>
      <c r="M212" s="191"/>
      <c r="O212" s="194"/>
      <c r="P212" s="191"/>
      <c r="R212" s="194"/>
      <c r="S212" s="191"/>
      <c r="U212" s="194"/>
    </row>
    <row r="213">
      <c r="B213" s="2">
        <f t="shared" si="1"/>
        <v>0</v>
      </c>
      <c r="D213" s="191"/>
      <c r="F213" s="194"/>
      <c r="G213" s="191"/>
      <c r="I213" s="194"/>
      <c r="J213" s="191"/>
      <c r="L213" s="194"/>
      <c r="M213" s="191"/>
      <c r="O213" s="194"/>
      <c r="P213" s="191"/>
      <c r="R213" s="194"/>
      <c r="S213" s="191"/>
      <c r="U213" s="194"/>
    </row>
    <row r="214">
      <c r="B214" s="2">
        <f t="shared" si="1"/>
        <v>0</v>
      </c>
      <c r="D214" s="191"/>
      <c r="F214" s="194"/>
      <c r="G214" s="191"/>
      <c r="I214" s="194"/>
      <c r="J214" s="191"/>
      <c r="L214" s="194"/>
      <c r="M214" s="191"/>
      <c r="O214" s="194"/>
      <c r="P214" s="191"/>
      <c r="R214" s="194"/>
      <c r="S214" s="191"/>
      <c r="U214" s="194"/>
    </row>
    <row r="215">
      <c r="B215" s="2">
        <f t="shared" si="1"/>
        <v>0</v>
      </c>
      <c r="D215" s="191"/>
      <c r="F215" s="194"/>
      <c r="G215" s="191"/>
      <c r="I215" s="194"/>
      <c r="J215" s="191"/>
      <c r="L215" s="194"/>
      <c r="M215" s="191"/>
      <c r="O215" s="194"/>
      <c r="P215" s="191"/>
      <c r="R215" s="194"/>
      <c r="S215" s="191"/>
      <c r="U215" s="194"/>
    </row>
    <row r="216">
      <c r="B216" s="2">
        <f t="shared" si="1"/>
        <v>0</v>
      </c>
      <c r="D216" s="191"/>
      <c r="F216" s="194"/>
      <c r="G216" s="191"/>
      <c r="I216" s="194"/>
      <c r="J216" s="191"/>
      <c r="L216" s="194"/>
      <c r="M216" s="191"/>
      <c r="O216" s="194"/>
      <c r="P216" s="191"/>
      <c r="R216" s="194"/>
      <c r="S216" s="191"/>
      <c r="U216" s="194"/>
    </row>
    <row r="217">
      <c r="B217" s="2">
        <f t="shared" si="1"/>
        <v>0</v>
      </c>
      <c r="D217" s="191"/>
      <c r="F217" s="194"/>
      <c r="G217" s="191"/>
      <c r="I217" s="194"/>
      <c r="J217" s="191"/>
      <c r="L217" s="194"/>
      <c r="M217" s="191"/>
      <c r="O217" s="194"/>
      <c r="P217" s="191"/>
      <c r="R217" s="194"/>
      <c r="S217" s="191"/>
      <c r="U217" s="194"/>
    </row>
    <row r="218">
      <c r="B218" s="2">
        <f t="shared" si="1"/>
        <v>0</v>
      </c>
      <c r="D218" s="191"/>
      <c r="F218" s="194"/>
      <c r="G218" s="191"/>
      <c r="I218" s="194"/>
      <c r="J218" s="191"/>
      <c r="L218" s="194"/>
      <c r="M218" s="191"/>
      <c r="O218" s="194"/>
      <c r="P218" s="191"/>
      <c r="R218" s="194"/>
      <c r="S218" s="191"/>
      <c r="U218" s="194"/>
    </row>
    <row r="219">
      <c r="B219" s="2">
        <f t="shared" si="1"/>
        <v>0</v>
      </c>
      <c r="D219" s="191"/>
      <c r="F219" s="194"/>
      <c r="G219" s="191"/>
      <c r="I219" s="194"/>
      <c r="J219" s="191"/>
      <c r="L219" s="194"/>
      <c r="M219" s="191"/>
      <c r="O219" s="194"/>
      <c r="P219" s="191"/>
      <c r="R219" s="194"/>
      <c r="S219" s="191"/>
      <c r="U219" s="194"/>
    </row>
    <row r="220">
      <c r="B220" s="2">
        <f t="shared" si="1"/>
        <v>0</v>
      </c>
      <c r="D220" s="191"/>
      <c r="F220" s="194"/>
      <c r="G220" s="191"/>
      <c r="I220" s="194"/>
      <c r="J220" s="191"/>
      <c r="L220" s="194"/>
      <c r="M220" s="191"/>
      <c r="O220" s="194"/>
      <c r="P220" s="191"/>
      <c r="R220" s="194"/>
      <c r="S220" s="191"/>
      <c r="U220" s="194"/>
    </row>
    <row r="221">
      <c r="B221" s="2">
        <f t="shared" si="1"/>
        <v>0</v>
      </c>
      <c r="D221" s="191"/>
      <c r="F221" s="194"/>
      <c r="G221" s="191"/>
      <c r="I221" s="194"/>
      <c r="J221" s="191"/>
      <c r="L221" s="194"/>
      <c r="M221" s="191"/>
      <c r="O221" s="194"/>
      <c r="P221" s="191"/>
      <c r="R221" s="194"/>
      <c r="S221" s="191"/>
      <c r="U221" s="194"/>
    </row>
    <row r="222">
      <c r="B222" s="2">
        <f t="shared" si="1"/>
        <v>0</v>
      </c>
      <c r="D222" s="191"/>
      <c r="F222" s="194"/>
      <c r="G222" s="191"/>
      <c r="I222" s="194"/>
      <c r="J222" s="191"/>
      <c r="L222" s="194"/>
      <c r="M222" s="191"/>
      <c r="O222" s="194"/>
      <c r="P222" s="191"/>
      <c r="R222" s="194"/>
      <c r="S222" s="191"/>
      <c r="U222" s="194"/>
    </row>
    <row r="223">
      <c r="B223" s="2">
        <f t="shared" si="1"/>
        <v>0</v>
      </c>
      <c r="D223" s="191"/>
      <c r="F223" s="194"/>
      <c r="G223" s="191"/>
      <c r="I223" s="194"/>
      <c r="J223" s="191"/>
      <c r="L223" s="194"/>
      <c r="M223" s="191"/>
      <c r="O223" s="194"/>
      <c r="P223" s="191"/>
      <c r="R223" s="194"/>
      <c r="S223" s="191"/>
      <c r="U223" s="194"/>
    </row>
    <row r="224">
      <c r="B224" s="2">
        <f t="shared" si="1"/>
        <v>0</v>
      </c>
      <c r="D224" s="191"/>
      <c r="F224" s="194"/>
      <c r="G224" s="191"/>
      <c r="I224" s="194"/>
      <c r="J224" s="191"/>
      <c r="L224" s="194"/>
      <c r="M224" s="191"/>
      <c r="O224" s="194"/>
      <c r="P224" s="191"/>
      <c r="R224" s="194"/>
      <c r="S224" s="191"/>
      <c r="U224" s="194"/>
    </row>
    <row r="225">
      <c r="B225" s="2">
        <f t="shared" si="1"/>
        <v>0</v>
      </c>
      <c r="D225" s="191"/>
      <c r="F225" s="194"/>
      <c r="G225" s="191"/>
      <c r="I225" s="194"/>
      <c r="J225" s="191"/>
      <c r="L225" s="194"/>
      <c r="M225" s="191"/>
      <c r="O225" s="194"/>
      <c r="P225" s="191"/>
      <c r="R225" s="194"/>
      <c r="S225" s="191"/>
      <c r="U225" s="194"/>
    </row>
    <row r="226">
      <c r="B226" s="2">
        <f t="shared" si="1"/>
        <v>0</v>
      </c>
      <c r="D226" s="191"/>
      <c r="F226" s="194"/>
      <c r="G226" s="191"/>
      <c r="I226" s="194"/>
      <c r="J226" s="191"/>
      <c r="L226" s="194"/>
      <c r="M226" s="191"/>
      <c r="O226" s="194"/>
      <c r="P226" s="191"/>
      <c r="R226" s="194"/>
      <c r="S226" s="191"/>
      <c r="U226" s="194"/>
    </row>
    <row r="227">
      <c r="B227" s="2">
        <f t="shared" si="1"/>
        <v>0</v>
      </c>
      <c r="D227" s="191"/>
      <c r="F227" s="194"/>
      <c r="G227" s="191"/>
      <c r="I227" s="194"/>
      <c r="J227" s="191"/>
      <c r="L227" s="194"/>
      <c r="M227" s="191"/>
      <c r="O227" s="194"/>
      <c r="P227" s="191"/>
      <c r="R227" s="194"/>
      <c r="S227" s="191"/>
      <c r="U227" s="194"/>
    </row>
    <row r="228">
      <c r="B228" s="2">
        <f t="shared" si="1"/>
        <v>0</v>
      </c>
      <c r="D228" s="191"/>
      <c r="F228" s="194"/>
      <c r="G228" s="191"/>
      <c r="I228" s="194"/>
      <c r="J228" s="191"/>
      <c r="L228" s="194"/>
      <c r="M228" s="191"/>
      <c r="O228" s="194"/>
      <c r="P228" s="191"/>
      <c r="R228" s="194"/>
      <c r="S228" s="191"/>
      <c r="U228" s="194"/>
    </row>
    <row r="229">
      <c r="B229" s="2">
        <f t="shared" si="1"/>
        <v>0</v>
      </c>
      <c r="D229" s="191"/>
      <c r="F229" s="194"/>
      <c r="G229" s="191"/>
      <c r="I229" s="194"/>
      <c r="J229" s="191"/>
      <c r="L229" s="194"/>
      <c r="M229" s="191"/>
      <c r="O229" s="194"/>
      <c r="P229" s="191"/>
      <c r="R229" s="194"/>
      <c r="S229" s="191"/>
      <c r="U229" s="194"/>
    </row>
    <row r="230">
      <c r="B230" s="2">
        <f t="shared" si="1"/>
        <v>0</v>
      </c>
      <c r="D230" s="191"/>
      <c r="F230" s="194"/>
      <c r="G230" s="191"/>
      <c r="I230" s="194"/>
      <c r="J230" s="191"/>
      <c r="L230" s="194"/>
      <c r="M230" s="191"/>
      <c r="O230" s="194"/>
      <c r="P230" s="191"/>
      <c r="R230" s="194"/>
      <c r="S230" s="191"/>
      <c r="U230" s="194"/>
    </row>
    <row r="231">
      <c r="B231" s="2">
        <f t="shared" si="1"/>
        <v>0</v>
      </c>
      <c r="D231" s="191"/>
      <c r="F231" s="194"/>
      <c r="G231" s="191"/>
      <c r="I231" s="194"/>
      <c r="J231" s="191"/>
      <c r="L231" s="194"/>
      <c r="M231" s="191"/>
      <c r="O231" s="194"/>
      <c r="P231" s="191"/>
      <c r="R231" s="194"/>
      <c r="S231" s="191"/>
      <c r="U231" s="194"/>
    </row>
    <row r="232">
      <c r="B232" s="2">
        <f t="shared" si="1"/>
        <v>0</v>
      </c>
      <c r="D232" s="191"/>
      <c r="F232" s="194"/>
      <c r="G232" s="191"/>
      <c r="I232" s="194"/>
      <c r="J232" s="191"/>
      <c r="L232" s="194"/>
      <c r="M232" s="191"/>
      <c r="O232" s="194"/>
      <c r="P232" s="191"/>
      <c r="R232" s="194"/>
      <c r="S232" s="191"/>
      <c r="U232" s="194"/>
    </row>
    <row r="233">
      <c r="B233" s="2">
        <f t="shared" si="1"/>
        <v>0</v>
      </c>
      <c r="D233" s="191"/>
      <c r="F233" s="194"/>
      <c r="G233" s="191"/>
      <c r="I233" s="194"/>
      <c r="J233" s="191"/>
      <c r="L233" s="194"/>
      <c r="M233" s="191"/>
      <c r="O233" s="194"/>
      <c r="P233" s="191"/>
      <c r="R233" s="194"/>
      <c r="S233" s="191"/>
      <c r="U233" s="194"/>
    </row>
    <row r="234">
      <c r="B234" s="2">
        <f t="shared" si="1"/>
        <v>0</v>
      </c>
      <c r="D234" s="191"/>
      <c r="F234" s="194"/>
      <c r="G234" s="191"/>
      <c r="I234" s="194"/>
      <c r="J234" s="191"/>
      <c r="L234" s="194"/>
      <c r="M234" s="191"/>
      <c r="O234" s="194"/>
      <c r="P234" s="191"/>
      <c r="R234" s="194"/>
      <c r="S234" s="191"/>
      <c r="U234" s="194"/>
    </row>
    <row r="235">
      <c r="B235" s="2">
        <f t="shared" si="1"/>
        <v>0</v>
      </c>
      <c r="D235" s="191"/>
      <c r="F235" s="194"/>
      <c r="G235" s="191"/>
      <c r="I235" s="194"/>
      <c r="J235" s="191"/>
      <c r="L235" s="194"/>
      <c r="M235" s="191"/>
      <c r="O235" s="194"/>
      <c r="P235" s="191"/>
      <c r="R235" s="194"/>
      <c r="S235" s="191"/>
      <c r="U235" s="194"/>
    </row>
    <row r="236">
      <c r="B236" s="2">
        <f t="shared" si="1"/>
        <v>0</v>
      </c>
      <c r="D236" s="191"/>
      <c r="F236" s="194"/>
      <c r="G236" s="191"/>
      <c r="I236" s="194"/>
      <c r="J236" s="191"/>
      <c r="L236" s="194"/>
      <c r="M236" s="191"/>
      <c r="O236" s="194"/>
      <c r="P236" s="191"/>
      <c r="R236" s="194"/>
      <c r="S236" s="191"/>
      <c r="U236" s="194"/>
    </row>
    <row r="237">
      <c r="B237" s="2">
        <f t="shared" si="1"/>
        <v>0</v>
      </c>
      <c r="D237" s="191"/>
      <c r="F237" s="194"/>
      <c r="G237" s="191"/>
      <c r="I237" s="194"/>
      <c r="J237" s="191"/>
      <c r="L237" s="194"/>
      <c r="M237" s="191"/>
      <c r="O237" s="194"/>
      <c r="P237" s="191"/>
      <c r="R237" s="194"/>
      <c r="S237" s="191"/>
      <c r="U237" s="194"/>
    </row>
    <row r="238">
      <c r="B238" s="2">
        <f t="shared" si="1"/>
        <v>0</v>
      </c>
      <c r="D238" s="191"/>
      <c r="F238" s="194"/>
      <c r="G238" s="191"/>
      <c r="I238" s="194"/>
      <c r="J238" s="191"/>
      <c r="L238" s="194"/>
      <c r="M238" s="191"/>
      <c r="O238" s="194"/>
      <c r="P238" s="191"/>
      <c r="R238" s="194"/>
      <c r="S238" s="191"/>
      <c r="U238" s="194"/>
    </row>
    <row r="239">
      <c r="B239" s="2">
        <f t="shared" si="1"/>
        <v>0</v>
      </c>
      <c r="D239" s="191"/>
      <c r="F239" s="194"/>
      <c r="G239" s="191"/>
      <c r="I239" s="194"/>
      <c r="J239" s="191"/>
      <c r="L239" s="194"/>
      <c r="M239" s="191"/>
      <c r="O239" s="194"/>
      <c r="P239" s="191"/>
      <c r="R239" s="194"/>
      <c r="S239" s="191"/>
      <c r="U239" s="194"/>
    </row>
    <row r="240">
      <c r="B240" s="2">
        <f t="shared" si="1"/>
        <v>0</v>
      </c>
      <c r="D240" s="191"/>
      <c r="F240" s="194"/>
      <c r="G240" s="191"/>
      <c r="I240" s="194"/>
      <c r="J240" s="191"/>
      <c r="L240" s="194"/>
      <c r="M240" s="191"/>
      <c r="O240" s="194"/>
      <c r="P240" s="191"/>
      <c r="R240" s="194"/>
      <c r="S240" s="191"/>
      <c r="U240" s="194"/>
    </row>
    <row r="241">
      <c r="B241" s="2">
        <f t="shared" si="1"/>
        <v>0</v>
      </c>
      <c r="D241" s="191"/>
      <c r="F241" s="194"/>
      <c r="G241" s="191"/>
      <c r="I241" s="194"/>
      <c r="J241" s="191"/>
      <c r="L241" s="194"/>
      <c r="M241" s="191"/>
      <c r="O241" s="194"/>
      <c r="P241" s="191"/>
      <c r="R241" s="194"/>
      <c r="S241" s="191"/>
      <c r="U241" s="194"/>
    </row>
    <row r="242">
      <c r="B242" s="2">
        <f t="shared" si="1"/>
        <v>0</v>
      </c>
      <c r="D242" s="191"/>
      <c r="F242" s="194"/>
      <c r="G242" s="191"/>
      <c r="I242" s="194"/>
      <c r="J242" s="191"/>
      <c r="L242" s="194"/>
      <c r="M242" s="191"/>
      <c r="O242" s="194"/>
      <c r="P242" s="191"/>
      <c r="R242" s="194"/>
      <c r="S242" s="191"/>
      <c r="U242" s="194"/>
    </row>
    <row r="243">
      <c r="B243" s="2">
        <f t="shared" si="1"/>
        <v>0</v>
      </c>
      <c r="D243" s="191"/>
      <c r="F243" s="194"/>
      <c r="G243" s="191"/>
      <c r="I243" s="194"/>
      <c r="J243" s="191"/>
      <c r="L243" s="194"/>
      <c r="M243" s="191"/>
      <c r="O243" s="194"/>
      <c r="P243" s="191"/>
      <c r="R243" s="194"/>
      <c r="S243" s="191"/>
      <c r="U243" s="194"/>
    </row>
    <row r="244">
      <c r="B244" s="2">
        <f t="shared" si="1"/>
        <v>0</v>
      </c>
      <c r="D244" s="191"/>
      <c r="F244" s="194"/>
      <c r="G244" s="191"/>
      <c r="I244" s="194"/>
      <c r="J244" s="191"/>
      <c r="L244" s="194"/>
      <c r="M244" s="191"/>
      <c r="O244" s="194"/>
      <c r="P244" s="191"/>
      <c r="R244" s="194"/>
      <c r="S244" s="191"/>
      <c r="U244" s="194"/>
    </row>
    <row r="245">
      <c r="B245" s="2">
        <f t="shared" si="1"/>
        <v>0</v>
      </c>
      <c r="D245" s="191"/>
      <c r="F245" s="194"/>
      <c r="G245" s="191"/>
      <c r="I245" s="194"/>
      <c r="J245" s="191"/>
      <c r="L245" s="194"/>
      <c r="M245" s="191"/>
      <c r="O245" s="194"/>
      <c r="P245" s="191"/>
      <c r="R245" s="194"/>
      <c r="S245" s="191"/>
      <c r="U245" s="194"/>
    </row>
    <row r="246">
      <c r="B246" s="2">
        <f t="shared" si="1"/>
        <v>0</v>
      </c>
      <c r="D246" s="191"/>
      <c r="F246" s="194"/>
      <c r="G246" s="191"/>
      <c r="I246" s="194"/>
      <c r="J246" s="191"/>
      <c r="L246" s="194"/>
      <c r="M246" s="191"/>
      <c r="O246" s="194"/>
      <c r="P246" s="191"/>
      <c r="R246" s="194"/>
      <c r="S246" s="191"/>
      <c r="U246" s="194"/>
    </row>
    <row r="247">
      <c r="B247" s="2">
        <f t="shared" si="1"/>
        <v>0</v>
      </c>
      <c r="D247" s="191"/>
      <c r="F247" s="194"/>
      <c r="G247" s="191"/>
      <c r="I247" s="194"/>
      <c r="J247" s="191"/>
      <c r="L247" s="194"/>
      <c r="M247" s="191"/>
      <c r="O247" s="194"/>
      <c r="P247" s="191"/>
      <c r="R247" s="194"/>
      <c r="S247" s="191"/>
      <c r="U247" s="194"/>
    </row>
    <row r="248">
      <c r="B248" s="2">
        <f t="shared" si="1"/>
        <v>0</v>
      </c>
      <c r="D248" s="191"/>
      <c r="F248" s="194"/>
      <c r="G248" s="191"/>
      <c r="I248" s="194"/>
      <c r="J248" s="191"/>
      <c r="L248" s="194"/>
      <c r="M248" s="191"/>
      <c r="O248" s="194"/>
      <c r="P248" s="191"/>
      <c r="R248" s="194"/>
      <c r="S248" s="191"/>
      <c r="U248" s="194"/>
    </row>
    <row r="249">
      <c r="B249" s="2">
        <f t="shared" si="1"/>
        <v>0</v>
      </c>
      <c r="D249" s="191"/>
      <c r="F249" s="194"/>
      <c r="G249" s="191"/>
      <c r="I249" s="194"/>
      <c r="J249" s="191"/>
      <c r="L249" s="194"/>
      <c r="M249" s="191"/>
      <c r="O249" s="194"/>
      <c r="P249" s="191"/>
      <c r="R249" s="194"/>
      <c r="S249" s="191"/>
      <c r="U249" s="194"/>
    </row>
    <row r="250">
      <c r="B250" s="2">
        <f t="shared" si="1"/>
        <v>0</v>
      </c>
      <c r="D250" s="191"/>
      <c r="F250" s="194"/>
      <c r="G250" s="191"/>
      <c r="I250" s="194"/>
      <c r="J250" s="191"/>
      <c r="L250" s="194"/>
      <c r="M250" s="191"/>
      <c r="O250" s="194"/>
      <c r="P250" s="191"/>
      <c r="R250" s="194"/>
      <c r="S250" s="191"/>
      <c r="U250" s="194"/>
    </row>
    <row r="251">
      <c r="B251" s="2">
        <f t="shared" si="1"/>
        <v>0</v>
      </c>
      <c r="D251" s="191"/>
      <c r="F251" s="194"/>
      <c r="G251" s="191"/>
      <c r="I251" s="194"/>
      <c r="J251" s="191"/>
      <c r="L251" s="194"/>
      <c r="M251" s="191"/>
      <c r="O251" s="194"/>
      <c r="P251" s="191"/>
      <c r="R251" s="194"/>
      <c r="S251" s="191"/>
      <c r="U251" s="194"/>
    </row>
    <row r="252">
      <c r="B252" s="2">
        <f t="shared" si="1"/>
        <v>0</v>
      </c>
      <c r="D252" s="191"/>
      <c r="F252" s="194"/>
      <c r="G252" s="191"/>
      <c r="I252" s="194"/>
      <c r="J252" s="191"/>
      <c r="L252" s="194"/>
      <c r="M252" s="191"/>
      <c r="O252" s="194"/>
      <c r="P252" s="191"/>
      <c r="R252" s="194"/>
      <c r="S252" s="191"/>
      <c r="U252" s="194"/>
    </row>
    <row r="253">
      <c r="B253" s="2">
        <f t="shared" si="1"/>
        <v>0</v>
      </c>
      <c r="D253" s="191"/>
      <c r="F253" s="194"/>
      <c r="G253" s="191"/>
      <c r="I253" s="194"/>
      <c r="J253" s="191"/>
      <c r="L253" s="194"/>
      <c r="M253" s="191"/>
      <c r="O253" s="194"/>
      <c r="P253" s="191"/>
      <c r="R253" s="194"/>
      <c r="S253" s="191"/>
      <c r="U253" s="194"/>
    </row>
    <row r="254">
      <c r="B254" s="2">
        <f t="shared" si="1"/>
        <v>0</v>
      </c>
      <c r="D254" s="191"/>
      <c r="F254" s="194"/>
      <c r="G254" s="191"/>
      <c r="I254" s="194"/>
      <c r="J254" s="191"/>
      <c r="L254" s="194"/>
      <c r="M254" s="191"/>
      <c r="O254" s="194"/>
      <c r="P254" s="191"/>
      <c r="R254" s="194"/>
      <c r="S254" s="191"/>
      <c r="U254" s="194"/>
    </row>
    <row r="255">
      <c r="B255" s="2">
        <f t="shared" si="1"/>
        <v>0</v>
      </c>
      <c r="D255" s="191"/>
      <c r="F255" s="194"/>
      <c r="G255" s="191"/>
      <c r="I255" s="194"/>
      <c r="J255" s="191"/>
      <c r="L255" s="194"/>
      <c r="M255" s="191"/>
      <c r="O255" s="194"/>
      <c r="P255" s="191"/>
      <c r="R255" s="194"/>
      <c r="S255" s="191"/>
      <c r="U255" s="194"/>
    </row>
    <row r="256">
      <c r="B256" s="2">
        <f t="shared" si="1"/>
        <v>0</v>
      </c>
      <c r="D256" s="191"/>
      <c r="F256" s="194"/>
      <c r="G256" s="191"/>
      <c r="I256" s="194"/>
      <c r="J256" s="191"/>
      <c r="L256" s="194"/>
      <c r="M256" s="191"/>
      <c r="O256" s="194"/>
      <c r="P256" s="191"/>
      <c r="R256" s="194"/>
      <c r="S256" s="191"/>
      <c r="U256" s="194"/>
    </row>
    <row r="257">
      <c r="B257" s="2">
        <f t="shared" si="1"/>
        <v>0</v>
      </c>
      <c r="D257" s="191"/>
      <c r="F257" s="194"/>
      <c r="G257" s="191"/>
      <c r="I257" s="194"/>
      <c r="J257" s="191"/>
      <c r="L257" s="194"/>
      <c r="M257" s="191"/>
      <c r="O257" s="194"/>
      <c r="P257" s="191"/>
      <c r="R257" s="194"/>
      <c r="S257" s="191"/>
      <c r="U257" s="194"/>
    </row>
    <row r="258">
      <c r="B258" s="2">
        <f t="shared" si="1"/>
        <v>0</v>
      </c>
      <c r="D258" s="191"/>
      <c r="F258" s="194"/>
      <c r="G258" s="191"/>
      <c r="I258" s="194"/>
      <c r="J258" s="191"/>
      <c r="L258" s="194"/>
      <c r="M258" s="191"/>
      <c r="O258" s="194"/>
      <c r="P258" s="191"/>
      <c r="R258" s="194"/>
      <c r="S258" s="191"/>
      <c r="U258" s="194"/>
    </row>
    <row r="259">
      <c r="B259" s="2">
        <f t="shared" si="1"/>
        <v>0</v>
      </c>
      <c r="D259" s="191"/>
      <c r="F259" s="194"/>
      <c r="G259" s="191"/>
      <c r="I259" s="194"/>
      <c r="J259" s="191"/>
      <c r="L259" s="194"/>
      <c r="M259" s="191"/>
      <c r="O259" s="194"/>
      <c r="P259" s="191"/>
      <c r="R259" s="194"/>
      <c r="S259" s="191"/>
      <c r="U259" s="194"/>
    </row>
    <row r="260">
      <c r="B260" s="2">
        <f t="shared" si="1"/>
        <v>0</v>
      </c>
      <c r="D260" s="191"/>
      <c r="F260" s="194"/>
      <c r="G260" s="191"/>
      <c r="I260" s="194"/>
      <c r="J260" s="191"/>
      <c r="L260" s="194"/>
      <c r="M260" s="191"/>
      <c r="O260" s="194"/>
      <c r="P260" s="191"/>
      <c r="R260" s="194"/>
      <c r="S260" s="191"/>
      <c r="U260" s="194"/>
    </row>
    <row r="261">
      <c r="B261" s="2">
        <f t="shared" si="1"/>
        <v>0</v>
      </c>
      <c r="D261" s="191"/>
      <c r="F261" s="194"/>
      <c r="G261" s="191"/>
      <c r="I261" s="194"/>
      <c r="J261" s="191"/>
      <c r="L261" s="194"/>
      <c r="M261" s="191"/>
      <c r="O261" s="194"/>
      <c r="P261" s="191"/>
      <c r="R261" s="194"/>
      <c r="S261" s="191"/>
      <c r="U261" s="194"/>
    </row>
    <row r="262">
      <c r="B262" s="2">
        <f t="shared" si="1"/>
        <v>0</v>
      </c>
      <c r="D262" s="191"/>
      <c r="F262" s="194"/>
      <c r="G262" s="191"/>
      <c r="I262" s="194"/>
      <c r="J262" s="191"/>
      <c r="L262" s="194"/>
      <c r="M262" s="191"/>
      <c r="O262" s="194"/>
      <c r="P262" s="191"/>
      <c r="R262" s="194"/>
      <c r="S262" s="191"/>
      <c r="U262" s="194"/>
    </row>
    <row r="263">
      <c r="B263" s="2">
        <f t="shared" si="1"/>
        <v>0</v>
      </c>
      <c r="D263" s="191"/>
      <c r="F263" s="194"/>
      <c r="G263" s="191"/>
      <c r="I263" s="194"/>
      <c r="J263" s="191"/>
      <c r="L263" s="194"/>
      <c r="M263" s="191"/>
      <c r="O263" s="194"/>
      <c r="P263" s="191"/>
      <c r="R263" s="194"/>
      <c r="S263" s="191"/>
      <c r="U263" s="194"/>
    </row>
    <row r="264">
      <c r="B264" s="2">
        <f t="shared" si="1"/>
        <v>0</v>
      </c>
      <c r="D264" s="191"/>
      <c r="F264" s="194"/>
      <c r="G264" s="191"/>
      <c r="I264" s="194"/>
      <c r="J264" s="191"/>
      <c r="L264" s="194"/>
      <c r="M264" s="191"/>
      <c r="O264" s="194"/>
      <c r="P264" s="191"/>
      <c r="R264" s="194"/>
      <c r="S264" s="191"/>
      <c r="U264" s="194"/>
    </row>
    <row r="265">
      <c r="B265" s="2">
        <f t="shared" si="1"/>
        <v>0</v>
      </c>
      <c r="D265" s="191"/>
      <c r="F265" s="194"/>
      <c r="G265" s="191"/>
      <c r="I265" s="194"/>
      <c r="J265" s="191"/>
      <c r="L265" s="194"/>
      <c r="M265" s="191"/>
      <c r="O265" s="194"/>
      <c r="P265" s="191"/>
      <c r="R265" s="194"/>
      <c r="S265" s="191"/>
      <c r="U265" s="194"/>
    </row>
    <row r="266">
      <c r="B266" s="2">
        <f t="shared" si="1"/>
        <v>0</v>
      </c>
      <c r="D266" s="191"/>
      <c r="F266" s="194"/>
      <c r="G266" s="191"/>
      <c r="I266" s="194"/>
      <c r="J266" s="191"/>
      <c r="L266" s="194"/>
      <c r="M266" s="191"/>
      <c r="O266" s="194"/>
      <c r="P266" s="191"/>
      <c r="R266" s="194"/>
      <c r="S266" s="191"/>
      <c r="U266" s="194"/>
    </row>
    <row r="267">
      <c r="B267" s="2">
        <f t="shared" si="1"/>
        <v>0</v>
      </c>
      <c r="D267" s="191"/>
      <c r="F267" s="194"/>
      <c r="G267" s="191"/>
      <c r="I267" s="194"/>
      <c r="J267" s="191"/>
      <c r="L267" s="194"/>
      <c r="M267" s="191"/>
      <c r="O267" s="194"/>
      <c r="P267" s="191"/>
      <c r="R267" s="194"/>
      <c r="S267" s="191"/>
      <c r="U267" s="194"/>
    </row>
    <row r="268">
      <c r="B268" s="2">
        <f t="shared" si="1"/>
        <v>0</v>
      </c>
      <c r="D268" s="191"/>
      <c r="F268" s="194"/>
      <c r="G268" s="191"/>
      <c r="I268" s="194"/>
      <c r="J268" s="191"/>
      <c r="L268" s="194"/>
      <c r="M268" s="191"/>
      <c r="O268" s="194"/>
      <c r="P268" s="191"/>
      <c r="R268" s="194"/>
      <c r="S268" s="191"/>
      <c r="U268" s="194"/>
    </row>
    <row r="269">
      <c r="B269" s="2">
        <f t="shared" si="1"/>
        <v>0</v>
      </c>
      <c r="D269" s="191"/>
      <c r="F269" s="194"/>
      <c r="G269" s="191"/>
      <c r="I269" s="194"/>
      <c r="J269" s="191"/>
      <c r="L269" s="194"/>
      <c r="M269" s="191"/>
      <c r="O269" s="194"/>
      <c r="P269" s="191"/>
      <c r="R269" s="194"/>
      <c r="S269" s="191"/>
      <c r="U269" s="194"/>
    </row>
    <row r="270">
      <c r="B270" s="2">
        <f t="shared" si="1"/>
        <v>0</v>
      </c>
      <c r="D270" s="191"/>
      <c r="F270" s="194"/>
      <c r="G270" s="191"/>
      <c r="I270" s="194"/>
      <c r="J270" s="191"/>
      <c r="L270" s="194"/>
      <c r="M270" s="191"/>
      <c r="O270" s="194"/>
      <c r="P270" s="191"/>
      <c r="R270" s="194"/>
      <c r="S270" s="191"/>
      <c r="U270" s="194"/>
    </row>
    <row r="271">
      <c r="B271" s="2">
        <f t="shared" si="1"/>
        <v>0</v>
      </c>
      <c r="D271" s="191"/>
      <c r="F271" s="194"/>
      <c r="G271" s="191"/>
      <c r="I271" s="194"/>
      <c r="J271" s="191"/>
      <c r="L271" s="194"/>
      <c r="M271" s="191"/>
      <c r="O271" s="194"/>
      <c r="P271" s="191"/>
      <c r="R271" s="194"/>
      <c r="S271" s="191"/>
      <c r="U271" s="194"/>
    </row>
    <row r="272">
      <c r="B272" s="2">
        <f t="shared" si="1"/>
        <v>0</v>
      </c>
      <c r="D272" s="191"/>
      <c r="F272" s="194"/>
      <c r="G272" s="191"/>
      <c r="I272" s="194"/>
      <c r="J272" s="191"/>
      <c r="L272" s="194"/>
      <c r="M272" s="191"/>
      <c r="O272" s="194"/>
      <c r="P272" s="191"/>
      <c r="R272" s="194"/>
      <c r="S272" s="191"/>
      <c r="U272" s="194"/>
    </row>
    <row r="273">
      <c r="B273" s="2">
        <f t="shared" si="1"/>
        <v>0</v>
      </c>
      <c r="D273" s="191"/>
      <c r="F273" s="194"/>
      <c r="G273" s="191"/>
      <c r="I273" s="194"/>
      <c r="J273" s="191"/>
      <c r="L273" s="194"/>
      <c r="M273" s="191"/>
      <c r="O273" s="194"/>
      <c r="P273" s="191"/>
      <c r="R273" s="194"/>
      <c r="S273" s="191"/>
      <c r="U273" s="194"/>
    </row>
    <row r="274">
      <c r="B274" s="2">
        <f t="shared" si="1"/>
        <v>0</v>
      </c>
      <c r="D274" s="191"/>
      <c r="F274" s="194"/>
      <c r="G274" s="191"/>
      <c r="I274" s="194"/>
      <c r="J274" s="191"/>
      <c r="L274" s="194"/>
      <c r="M274" s="191"/>
      <c r="O274" s="194"/>
      <c r="P274" s="191"/>
      <c r="R274" s="194"/>
      <c r="S274" s="191"/>
      <c r="U274" s="194"/>
    </row>
    <row r="275">
      <c r="B275" s="2">
        <f t="shared" si="1"/>
        <v>0</v>
      </c>
      <c r="D275" s="191"/>
      <c r="F275" s="194"/>
      <c r="G275" s="191"/>
      <c r="I275" s="194"/>
      <c r="J275" s="191"/>
      <c r="L275" s="194"/>
      <c r="M275" s="191"/>
      <c r="O275" s="194"/>
      <c r="P275" s="191"/>
      <c r="R275" s="194"/>
      <c r="S275" s="191"/>
      <c r="U275" s="194"/>
    </row>
    <row r="276">
      <c r="B276" s="2">
        <f t="shared" si="1"/>
        <v>0</v>
      </c>
      <c r="D276" s="191"/>
      <c r="F276" s="194"/>
      <c r="G276" s="191"/>
      <c r="I276" s="194"/>
      <c r="J276" s="191"/>
      <c r="L276" s="194"/>
      <c r="M276" s="191"/>
      <c r="O276" s="194"/>
      <c r="P276" s="191"/>
      <c r="R276" s="194"/>
      <c r="S276" s="191"/>
      <c r="U276" s="194"/>
    </row>
    <row r="277">
      <c r="B277" s="2">
        <f t="shared" si="1"/>
        <v>0</v>
      </c>
      <c r="D277" s="191"/>
      <c r="F277" s="194"/>
      <c r="G277" s="191"/>
      <c r="I277" s="194"/>
      <c r="J277" s="191"/>
      <c r="L277" s="194"/>
      <c r="M277" s="191"/>
      <c r="O277" s="194"/>
      <c r="P277" s="191"/>
      <c r="R277" s="194"/>
      <c r="S277" s="191"/>
      <c r="U277" s="194"/>
    </row>
    <row r="278">
      <c r="B278" s="2">
        <f t="shared" si="1"/>
        <v>0</v>
      </c>
      <c r="D278" s="191"/>
      <c r="F278" s="194"/>
      <c r="G278" s="191"/>
      <c r="I278" s="194"/>
      <c r="J278" s="191"/>
      <c r="L278" s="194"/>
      <c r="M278" s="191"/>
      <c r="O278" s="194"/>
      <c r="P278" s="191"/>
      <c r="R278" s="194"/>
      <c r="S278" s="191"/>
      <c r="U278" s="194"/>
    </row>
    <row r="279">
      <c r="B279" s="2">
        <f t="shared" si="1"/>
        <v>0</v>
      </c>
      <c r="D279" s="191"/>
      <c r="F279" s="194"/>
      <c r="G279" s="191"/>
      <c r="I279" s="194"/>
      <c r="J279" s="191"/>
      <c r="L279" s="194"/>
      <c r="M279" s="191"/>
      <c r="O279" s="194"/>
      <c r="P279" s="191"/>
      <c r="R279" s="194"/>
      <c r="S279" s="191"/>
      <c r="U279" s="194"/>
    </row>
    <row r="280">
      <c r="B280" s="2">
        <f t="shared" si="1"/>
        <v>0</v>
      </c>
      <c r="D280" s="191"/>
      <c r="F280" s="194"/>
      <c r="G280" s="191"/>
      <c r="I280" s="194"/>
      <c r="J280" s="191"/>
      <c r="L280" s="194"/>
      <c r="M280" s="191"/>
      <c r="O280" s="194"/>
      <c r="P280" s="191"/>
      <c r="R280" s="194"/>
      <c r="S280" s="191"/>
      <c r="U280" s="194"/>
    </row>
    <row r="281">
      <c r="B281" s="2">
        <f t="shared" si="1"/>
        <v>0</v>
      </c>
      <c r="D281" s="191"/>
      <c r="F281" s="194"/>
      <c r="G281" s="191"/>
      <c r="I281" s="194"/>
      <c r="J281" s="191"/>
      <c r="L281" s="194"/>
      <c r="M281" s="191"/>
      <c r="O281" s="194"/>
      <c r="P281" s="191"/>
      <c r="R281" s="194"/>
      <c r="S281" s="191"/>
      <c r="U281" s="194"/>
    </row>
    <row r="282">
      <c r="B282" s="2">
        <f t="shared" si="1"/>
        <v>0</v>
      </c>
      <c r="D282" s="191"/>
      <c r="F282" s="194"/>
      <c r="G282" s="191"/>
      <c r="I282" s="194"/>
      <c r="J282" s="191"/>
      <c r="L282" s="194"/>
      <c r="M282" s="191"/>
      <c r="O282" s="194"/>
      <c r="P282" s="191"/>
      <c r="R282" s="194"/>
      <c r="S282" s="191"/>
      <c r="U282" s="194"/>
    </row>
    <row r="283">
      <c r="B283" s="2">
        <f t="shared" si="1"/>
        <v>0</v>
      </c>
      <c r="D283" s="191"/>
      <c r="F283" s="194"/>
      <c r="G283" s="191"/>
      <c r="I283" s="194"/>
      <c r="J283" s="191"/>
      <c r="L283" s="194"/>
      <c r="M283" s="191"/>
      <c r="O283" s="194"/>
      <c r="P283" s="191"/>
      <c r="R283" s="194"/>
      <c r="S283" s="191"/>
      <c r="U283" s="194"/>
    </row>
    <row r="284">
      <c r="B284" s="2">
        <f t="shared" si="1"/>
        <v>0</v>
      </c>
      <c r="D284" s="191"/>
      <c r="F284" s="194"/>
      <c r="G284" s="191"/>
      <c r="I284" s="194"/>
      <c r="J284" s="191"/>
      <c r="L284" s="194"/>
      <c r="M284" s="191"/>
      <c r="O284" s="194"/>
      <c r="P284" s="191"/>
      <c r="R284" s="194"/>
      <c r="S284" s="191"/>
      <c r="U284" s="194"/>
    </row>
    <row r="285">
      <c r="B285" s="2">
        <f t="shared" si="1"/>
        <v>0</v>
      </c>
      <c r="D285" s="191"/>
      <c r="F285" s="194"/>
      <c r="G285" s="191"/>
      <c r="I285" s="194"/>
      <c r="J285" s="191"/>
      <c r="L285" s="194"/>
      <c r="M285" s="191"/>
      <c r="O285" s="194"/>
      <c r="P285" s="191"/>
      <c r="R285" s="194"/>
      <c r="S285" s="191"/>
      <c r="U285" s="194"/>
    </row>
    <row r="286">
      <c r="B286" s="2">
        <f t="shared" si="1"/>
        <v>0</v>
      </c>
      <c r="D286" s="191"/>
      <c r="F286" s="194"/>
      <c r="G286" s="191"/>
      <c r="I286" s="194"/>
      <c r="J286" s="191"/>
      <c r="L286" s="194"/>
      <c r="M286" s="191"/>
      <c r="O286" s="194"/>
      <c r="P286" s="191"/>
      <c r="R286" s="194"/>
      <c r="S286" s="191"/>
      <c r="U286" s="194"/>
    </row>
    <row r="287">
      <c r="B287" s="2">
        <f t="shared" si="1"/>
        <v>0</v>
      </c>
      <c r="D287" s="191"/>
      <c r="F287" s="194"/>
      <c r="G287" s="191"/>
      <c r="I287" s="194"/>
      <c r="J287" s="191"/>
      <c r="L287" s="194"/>
      <c r="M287" s="191"/>
      <c r="O287" s="194"/>
      <c r="P287" s="191"/>
      <c r="R287" s="194"/>
      <c r="S287" s="191"/>
      <c r="U287" s="194"/>
    </row>
    <row r="288">
      <c r="B288" s="2">
        <f t="shared" si="1"/>
        <v>0</v>
      </c>
      <c r="D288" s="191"/>
      <c r="F288" s="194"/>
      <c r="G288" s="191"/>
      <c r="I288" s="194"/>
      <c r="J288" s="191"/>
      <c r="L288" s="194"/>
      <c r="M288" s="191"/>
      <c r="O288" s="194"/>
      <c r="P288" s="191"/>
      <c r="R288" s="194"/>
      <c r="S288" s="191"/>
      <c r="U288" s="194"/>
    </row>
    <row r="289">
      <c r="B289" s="2">
        <f t="shared" si="1"/>
        <v>0</v>
      </c>
      <c r="D289" s="191"/>
      <c r="F289" s="194"/>
      <c r="G289" s="191"/>
      <c r="I289" s="194"/>
      <c r="J289" s="191"/>
      <c r="L289" s="194"/>
      <c r="M289" s="191"/>
      <c r="O289" s="194"/>
      <c r="P289" s="191"/>
      <c r="R289" s="194"/>
      <c r="S289" s="191"/>
      <c r="U289" s="194"/>
    </row>
    <row r="290">
      <c r="B290" s="2">
        <f t="shared" si="1"/>
        <v>0</v>
      </c>
      <c r="D290" s="191"/>
      <c r="F290" s="194"/>
      <c r="G290" s="191"/>
      <c r="I290" s="194"/>
      <c r="J290" s="191"/>
      <c r="L290" s="194"/>
      <c r="M290" s="191"/>
      <c r="O290" s="194"/>
      <c r="P290" s="191"/>
      <c r="R290" s="194"/>
      <c r="S290" s="191"/>
      <c r="U290" s="194"/>
    </row>
    <row r="291">
      <c r="B291" s="2">
        <f t="shared" si="1"/>
        <v>0</v>
      </c>
      <c r="D291" s="191"/>
      <c r="F291" s="194"/>
      <c r="G291" s="191"/>
      <c r="I291" s="194"/>
      <c r="J291" s="191"/>
      <c r="L291" s="194"/>
      <c r="M291" s="191"/>
      <c r="O291" s="194"/>
      <c r="P291" s="191"/>
      <c r="R291" s="194"/>
      <c r="S291" s="191"/>
      <c r="U291" s="194"/>
    </row>
    <row r="292">
      <c r="B292" s="2">
        <f t="shared" si="1"/>
        <v>0</v>
      </c>
      <c r="D292" s="191"/>
      <c r="F292" s="194"/>
      <c r="G292" s="191"/>
      <c r="I292" s="194"/>
      <c r="J292" s="191"/>
      <c r="L292" s="194"/>
      <c r="M292" s="191"/>
      <c r="O292" s="194"/>
      <c r="P292" s="191"/>
      <c r="R292" s="194"/>
      <c r="S292" s="191"/>
      <c r="U292" s="194"/>
    </row>
    <row r="293">
      <c r="B293" s="2">
        <f t="shared" si="1"/>
        <v>0</v>
      </c>
      <c r="D293" s="191"/>
      <c r="F293" s="194"/>
      <c r="G293" s="191"/>
      <c r="I293" s="194"/>
      <c r="J293" s="191"/>
      <c r="L293" s="194"/>
      <c r="M293" s="191"/>
      <c r="O293" s="194"/>
      <c r="P293" s="191"/>
      <c r="R293" s="194"/>
      <c r="S293" s="191"/>
      <c r="U293" s="194"/>
    </row>
    <row r="294">
      <c r="B294" s="2">
        <f t="shared" si="1"/>
        <v>0</v>
      </c>
      <c r="D294" s="191"/>
      <c r="F294" s="194"/>
      <c r="G294" s="191"/>
      <c r="I294" s="194"/>
      <c r="J294" s="191"/>
      <c r="L294" s="194"/>
      <c r="M294" s="191"/>
      <c r="O294" s="194"/>
      <c r="P294" s="191"/>
      <c r="R294" s="194"/>
      <c r="S294" s="191"/>
      <c r="U294" s="194"/>
    </row>
    <row r="295">
      <c r="B295" s="2">
        <f t="shared" si="1"/>
        <v>0</v>
      </c>
      <c r="D295" s="191"/>
      <c r="F295" s="194"/>
      <c r="G295" s="191"/>
      <c r="I295" s="194"/>
      <c r="J295" s="191"/>
      <c r="L295" s="194"/>
      <c r="M295" s="191"/>
      <c r="O295" s="194"/>
      <c r="P295" s="191"/>
      <c r="R295" s="194"/>
      <c r="S295" s="191"/>
      <c r="U295" s="194"/>
    </row>
    <row r="296">
      <c r="B296" s="2">
        <f t="shared" si="1"/>
        <v>0</v>
      </c>
      <c r="D296" s="191"/>
      <c r="F296" s="194"/>
      <c r="G296" s="191"/>
      <c r="I296" s="194"/>
      <c r="J296" s="191"/>
      <c r="L296" s="194"/>
      <c r="M296" s="191"/>
      <c r="O296" s="194"/>
      <c r="P296" s="191"/>
      <c r="R296" s="194"/>
      <c r="S296" s="191"/>
      <c r="U296" s="194"/>
    </row>
    <row r="297">
      <c r="B297" s="2">
        <f t="shared" si="1"/>
        <v>0</v>
      </c>
      <c r="D297" s="191"/>
      <c r="F297" s="194"/>
      <c r="G297" s="191"/>
      <c r="I297" s="194"/>
      <c r="J297" s="191"/>
      <c r="L297" s="194"/>
      <c r="M297" s="191"/>
      <c r="O297" s="194"/>
      <c r="P297" s="191"/>
      <c r="R297" s="194"/>
      <c r="S297" s="191"/>
      <c r="U297" s="194"/>
    </row>
    <row r="298">
      <c r="B298" s="2">
        <f t="shared" si="1"/>
        <v>0</v>
      </c>
      <c r="D298" s="191"/>
      <c r="F298" s="194"/>
      <c r="G298" s="191"/>
      <c r="I298" s="194"/>
      <c r="J298" s="191"/>
      <c r="L298" s="194"/>
      <c r="M298" s="191"/>
      <c r="O298" s="194"/>
      <c r="P298" s="191"/>
      <c r="R298" s="194"/>
      <c r="S298" s="191"/>
      <c r="U298" s="194"/>
    </row>
    <row r="299">
      <c r="B299" s="2">
        <f t="shared" si="1"/>
        <v>0</v>
      </c>
      <c r="D299" s="191"/>
      <c r="F299" s="194"/>
      <c r="G299" s="191"/>
      <c r="I299" s="194"/>
      <c r="J299" s="191"/>
      <c r="L299" s="194"/>
      <c r="M299" s="191"/>
      <c r="O299" s="194"/>
      <c r="P299" s="191"/>
      <c r="R299" s="194"/>
      <c r="S299" s="191"/>
      <c r="U299" s="194"/>
    </row>
    <row r="300">
      <c r="B300" s="2">
        <f t="shared" si="1"/>
        <v>0</v>
      </c>
      <c r="D300" s="191"/>
      <c r="F300" s="194"/>
      <c r="G300" s="191"/>
      <c r="I300" s="194"/>
      <c r="J300" s="191"/>
      <c r="L300" s="194"/>
      <c r="M300" s="191"/>
      <c r="O300" s="194"/>
      <c r="P300" s="191"/>
      <c r="R300" s="194"/>
      <c r="S300" s="191"/>
      <c r="U300" s="194"/>
    </row>
    <row r="301">
      <c r="B301" s="2">
        <f t="shared" si="1"/>
        <v>0</v>
      </c>
      <c r="D301" s="191"/>
      <c r="F301" s="194"/>
      <c r="G301" s="191"/>
      <c r="I301" s="194"/>
      <c r="J301" s="191"/>
      <c r="L301" s="194"/>
      <c r="M301" s="191"/>
      <c r="O301" s="194"/>
      <c r="P301" s="191"/>
      <c r="R301" s="194"/>
      <c r="S301" s="191"/>
      <c r="U301" s="194"/>
    </row>
    <row r="302">
      <c r="B302" s="2">
        <f t="shared" si="1"/>
        <v>0</v>
      </c>
      <c r="D302" s="191"/>
      <c r="F302" s="194"/>
      <c r="G302" s="191"/>
      <c r="I302" s="194"/>
      <c r="J302" s="191"/>
      <c r="L302" s="194"/>
      <c r="M302" s="191"/>
      <c r="O302" s="194"/>
      <c r="P302" s="191"/>
      <c r="R302" s="194"/>
      <c r="S302" s="191"/>
      <c r="U302" s="194"/>
    </row>
    <row r="303">
      <c r="B303" s="2">
        <f t="shared" si="1"/>
        <v>0</v>
      </c>
      <c r="D303" s="191"/>
      <c r="F303" s="194"/>
      <c r="G303" s="191"/>
      <c r="I303" s="194"/>
      <c r="J303" s="191"/>
      <c r="L303" s="194"/>
      <c r="M303" s="191"/>
      <c r="O303" s="194"/>
      <c r="P303" s="191"/>
      <c r="R303" s="194"/>
      <c r="S303" s="191"/>
      <c r="U303" s="194"/>
    </row>
    <row r="304">
      <c r="B304" s="2">
        <f t="shared" si="1"/>
        <v>0</v>
      </c>
      <c r="D304" s="191"/>
      <c r="F304" s="194"/>
      <c r="G304" s="191"/>
      <c r="I304" s="194"/>
      <c r="J304" s="191"/>
      <c r="L304" s="194"/>
      <c r="M304" s="191"/>
      <c r="O304" s="194"/>
      <c r="P304" s="191"/>
      <c r="R304" s="194"/>
      <c r="S304" s="191"/>
      <c r="U304" s="194"/>
    </row>
    <row r="305">
      <c r="B305" s="2">
        <f t="shared" si="1"/>
        <v>0</v>
      </c>
      <c r="D305" s="191"/>
      <c r="F305" s="194"/>
      <c r="G305" s="191"/>
      <c r="I305" s="194"/>
      <c r="J305" s="191"/>
      <c r="L305" s="194"/>
      <c r="M305" s="191"/>
      <c r="O305" s="194"/>
      <c r="P305" s="191"/>
      <c r="R305" s="194"/>
      <c r="S305" s="191"/>
      <c r="U305" s="194"/>
    </row>
    <row r="306">
      <c r="B306" s="2">
        <f t="shared" si="1"/>
        <v>0</v>
      </c>
      <c r="D306" s="191"/>
      <c r="F306" s="194"/>
      <c r="G306" s="191"/>
      <c r="I306" s="194"/>
      <c r="J306" s="191"/>
      <c r="L306" s="194"/>
      <c r="M306" s="191"/>
      <c r="O306" s="194"/>
      <c r="P306" s="191"/>
      <c r="R306" s="194"/>
      <c r="S306" s="191"/>
      <c r="U306" s="194"/>
    </row>
    <row r="307">
      <c r="B307" s="2">
        <f t="shared" si="1"/>
        <v>0</v>
      </c>
      <c r="D307" s="191"/>
      <c r="F307" s="194"/>
      <c r="G307" s="191"/>
      <c r="I307" s="194"/>
      <c r="J307" s="191"/>
      <c r="L307" s="194"/>
      <c r="M307" s="191"/>
      <c r="O307" s="194"/>
      <c r="P307" s="191"/>
      <c r="R307" s="194"/>
      <c r="S307" s="191"/>
      <c r="U307" s="194"/>
    </row>
    <row r="308">
      <c r="B308" s="2">
        <f t="shared" si="1"/>
        <v>0</v>
      </c>
      <c r="D308" s="191"/>
      <c r="F308" s="194"/>
      <c r="G308" s="191"/>
      <c r="I308" s="194"/>
      <c r="J308" s="191"/>
      <c r="L308" s="194"/>
      <c r="M308" s="191"/>
      <c r="O308" s="194"/>
      <c r="P308" s="191"/>
      <c r="R308" s="194"/>
      <c r="S308" s="191"/>
      <c r="U308" s="194"/>
    </row>
    <row r="309">
      <c r="B309" s="2">
        <f t="shared" si="1"/>
        <v>0</v>
      </c>
      <c r="D309" s="191"/>
      <c r="F309" s="194"/>
      <c r="G309" s="191"/>
      <c r="I309" s="194"/>
      <c r="J309" s="191"/>
      <c r="L309" s="194"/>
      <c r="M309" s="191"/>
      <c r="O309" s="194"/>
      <c r="P309" s="191"/>
      <c r="R309" s="194"/>
      <c r="S309" s="191"/>
      <c r="U309" s="194"/>
    </row>
    <row r="310">
      <c r="B310" s="2">
        <f t="shared" si="1"/>
        <v>0</v>
      </c>
      <c r="D310" s="191"/>
      <c r="F310" s="194"/>
      <c r="G310" s="191"/>
      <c r="I310" s="194"/>
      <c r="J310" s="191"/>
      <c r="L310" s="194"/>
      <c r="M310" s="191"/>
      <c r="O310" s="194"/>
      <c r="P310" s="191"/>
      <c r="R310" s="194"/>
      <c r="S310" s="191"/>
      <c r="U310" s="194"/>
    </row>
    <row r="311">
      <c r="B311" s="2">
        <f t="shared" si="1"/>
        <v>0</v>
      </c>
      <c r="D311" s="191"/>
      <c r="F311" s="194"/>
      <c r="G311" s="191"/>
      <c r="I311" s="194"/>
      <c r="J311" s="191"/>
      <c r="L311" s="194"/>
      <c r="M311" s="191"/>
      <c r="O311" s="194"/>
      <c r="P311" s="191"/>
      <c r="R311" s="194"/>
      <c r="S311" s="191"/>
      <c r="U311" s="194"/>
    </row>
    <row r="312">
      <c r="B312" s="2">
        <f t="shared" si="1"/>
        <v>0</v>
      </c>
      <c r="D312" s="191"/>
      <c r="F312" s="194"/>
      <c r="G312" s="191"/>
      <c r="I312" s="194"/>
      <c r="J312" s="191"/>
      <c r="L312" s="194"/>
      <c r="M312" s="191"/>
      <c r="O312" s="194"/>
      <c r="P312" s="191"/>
      <c r="R312" s="194"/>
      <c r="S312" s="191"/>
      <c r="U312" s="194"/>
    </row>
    <row r="313">
      <c r="B313" s="2">
        <f t="shared" si="1"/>
        <v>0</v>
      </c>
      <c r="D313" s="191"/>
      <c r="F313" s="194"/>
      <c r="G313" s="191"/>
      <c r="I313" s="194"/>
      <c r="J313" s="191"/>
      <c r="L313" s="194"/>
      <c r="M313" s="191"/>
      <c r="O313" s="194"/>
      <c r="P313" s="191"/>
      <c r="R313" s="194"/>
      <c r="S313" s="191"/>
      <c r="U313" s="194"/>
    </row>
    <row r="314">
      <c r="B314" s="2">
        <f t="shared" si="1"/>
        <v>0</v>
      </c>
      <c r="D314" s="191"/>
      <c r="F314" s="194"/>
      <c r="G314" s="191"/>
      <c r="I314" s="194"/>
      <c r="J314" s="191"/>
      <c r="L314" s="194"/>
      <c r="M314" s="191"/>
      <c r="O314" s="194"/>
      <c r="P314" s="191"/>
      <c r="R314" s="194"/>
      <c r="S314" s="191"/>
      <c r="U314" s="194"/>
    </row>
    <row r="315">
      <c r="B315" s="2">
        <f t="shared" si="1"/>
        <v>0</v>
      </c>
      <c r="D315" s="191"/>
      <c r="F315" s="194"/>
      <c r="G315" s="191"/>
      <c r="I315" s="194"/>
      <c r="J315" s="191"/>
      <c r="L315" s="194"/>
      <c r="M315" s="191"/>
      <c r="O315" s="194"/>
      <c r="P315" s="191"/>
      <c r="R315" s="194"/>
      <c r="S315" s="191"/>
      <c r="U315" s="194"/>
    </row>
    <row r="316">
      <c r="B316" s="2">
        <f t="shared" si="1"/>
        <v>0</v>
      </c>
      <c r="D316" s="191"/>
      <c r="F316" s="194"/>
      <c r="G316" s="191"/>
      <c r="I316" s="194"/>
      <c r="J316" s="191"/>
      <c r="L316" s="194"/>
      <c r="M316" s="191"/>
      <c r="O316" s="194"/>
      <c r="P316" s="191"/>
      <c r="R316" s="194"/>
      <c r="S316" s="191"/>
      <c r="U316" s="194"/>
    </row>
    <row r="317">
      <c r="B317" s="2">
        <f t="shared" si="1"/>
        <v>0</v>
      </c>
      <c r="D317" s="191"/>
      <c r="F317" s="194"/>
      <c r="G317" s="191"/>
      <c r="I317" s="194"/>
      <c r="J317" s="191"/>
      <c r="L317" s="194"/>
      <c r="M317" s="191"/>
      <c r="O317" s="194"/>
      <c r="P317" s="191"/>
      <c r="R317" s="194"/>
      <c r="S317" s="191"/>
      <c r="U317" s="194"/>
    </row>
    <row r="318">
      <c r="B318" s="2">
        <f t="shared" si="1"/>
        <v>0</v>
      </c>
      <c r="D318" s="191"/>
      <c r="F318" s="194"/>
      <c r="G318" s="191"/>
      <c r="I318" s="194"/>
      <c r="J318" s="191"/>
      <c r="L318" s="194"/>
      <c r="M318" s="191"/>
      <c r="O318" s="194"/>
      <c r="P318" s="191"/>
      <c r="R318" s="194"/>
      <c r="S318" s="191"/>
      <c r="U318" s="194"/>
    </row>
    <row r="319">
      <c r="B319" s="2">
        <f t="shared" si="1"/>
        <v>0</v>
      </c>
      <c r="D319" s="191"/>
      <c r="F319" s="194"/>
      <c r="G319" s="191"/>
      <c r="I319" s="194"/>
      <c r="J319" s="191"/>
      <c r="L319" s="194"/>
      <c r="M319" s="191"/>
      <c r="O319" s="194"/>
      <c r="P319" s="191"/>
      <c r="R319" s="194"/>
      <c r="S319" s="191"/>
      <c r="U319" s="194"/>
    </row>
    <row r="320">
      <c r="B320" s="2">
        <f t="shared" si="1"/>
        <v>0</v>
      </c>
      <c r="D320" s="191"/>
      <c r="F320" s="194"/>
      <c r="G320" s="191"/>
      <c r="I320" s="194"/>
      <c r="J320" s="191"/>
      <c r="L320" s="194"/>
      <c r="M320" s="191"/>
      <c r="O320" s="194"/>
      <c r="P320" s="191"/>
      <c r="R320" s="194"/>
      <c r="S320" s="191"/>
      <c r="U320" s="194"/>
    </row>
    <row r="321">
      <c r="B321" s="2">
        <f t="shared" si="1"/>
        <v>0</v>
      </c>
      <c r="D321" s="191"/>
      <c r="F321" s="194"/>
      <c r="G321" s="191"/>
      <c r="I321" s="194"/>
      <c r="J321" s="191"/>
      <c r="L321" s="194"/>
      <c r="M321" s="191"/>
      <c r="O321" s="194"/>
      <c r="P321" s="191"/>
      <c r="R321" s="194"/>
      <c r="S321" s="191"/>
      <c r="U321" s="194"/>
    </row>
    <row r="322">
      <c r="B322" s="2">
        <f t="shared" si="1"/>
        <v>0</v>
      </c>
      <c r="D322" s="191"/>
      <c r="F322" s="194"/>
      <c r="G322" s="191"/>
      <c r="I322" s="194"/>
      <c r="J322" s="191"/>
      <c r="L322" s="194"/>
      <c r="M322" s="191"/>
      <c r="O322" s="194"/>
      <c r="P322" s="191"/>
      <c r="R322" s="194"/>
      <c r="S322" s="191"/>
      <c r="U322" s="194"/>
    </row>
    <row r="323">
      <c r="B323" s="2">
        <f t="shared" si="1"/>
        <v>0</v>
      </c>
      <c r="D323" s="191"/>
      <c r="F323" s="194"/>
      <c r="G323" s="191"/>
      <c r="I323" s="194"/>
      <c r="J323" s="191"/>
      <c r="L323" s="194"/>
      <c r="M323" s="191"/>
      <c r="O323" s="194"/>
      <c r="P323" s="191"/>
      <c r="R323" s="194"/>
      <c r="S323" s="191"/>
      <c r="U323" s="194"/>
    </row>
    <row r="324">
      <c r="B324" s="2">
        <f t="shared" si="1"/>
        <v>0</v>
      </c>
      <c r="D324" s="191"/>
      <c r="F324" s="194"/>
      <c r="G324" s="191"/>
      <c r="I324" s="194"/>
      <c r="J324" s="191"/>
      <c r="L324" s="194"/>
      <c r="M324" s="191"/>
      <c r="O324" s="194"/>
      <c r="P324" s="191"/>
      <c r="R324" s="194"/>
      <c r="S324" s="191"/>
      <c r="U324" s="194"/>
    </row>
    <row r="325">
      <c r="B325" s="2">
        <f t="shared" si="1"/>
        <v>0</v>
      </c>
      <c r="D325" s="191"/>
      <c r="F325" s="194"/>
      <c r="G325" s="191"/>
      <c r="I325" s="194"/>
      <c r="J325" s="191"/>
      <c r="L325" s="194"/>
      <c r="M325" s="191"/>
      <c r="O325" s="194"/>
      <c r="P325" s="191"/>
      <c r="R325" s="194"/>
      <c r="S325" s="191"/>
      <c r="U325" s="194"/>
    </row>
    <row r="326">
      <c r="B326" s="2">
        <f t="shared" si="1"/>
        <v>0</v>
      </c>
      <c r="D326" s="191"/>
      <c r="F326" s="194"/>
      <c r="G326" s="191"/>
      <c r="I326" s="194"/>
      <c r="J326" s="191"/>
      <c r="L326" s="194"/>
      <c r="M326" s="191"/>
      <c r="O326" s="194"/>
      <c r="P326" s="191"/>
      <c r="R326" s="194"/>
      <c r="S326" s="191"/>
      <c r="U326" s="194"/>
    </row>
    <row r="327">
      <c r="B327" s="2">
        <f t="shared" si="1"/>
        <v>0</v>
      </c>
      <c r="D327" s="191"/>
      <c r="F327" s="194"/>
      <c r="G327" s="191"/>
      <c r="I327" s="194"/>
      <c r="J327" s="191"/>
      <c r="L327" s="194"/>
      <c r="M327" s="191"/>
      <c r="O327" s="194"/>
      <c r="P327" s="191"/>
      <c r="R327" s="194"/>
      <c r="S327" s="191"/>
      <c r="U327" s="194"/>
    </row>
    <row r="328">
      <c r="B328" s="2">
        <f t="shared" si="1"/>
        <v>0</v>
      </c>
      <c r="D328" s="191"/>
      <c r="F328" s="194"/>
      <c r="G328" s="191"/>
      <c r="I328" s="194"/>
      <c r="J328" s="191"/>
      <c r="L328" s="194"/>
      <c r="M328" s="191"/>
      <c r="O328" s="194"/>
      <c r="P328" s="191"/>
      <c r="R328" s="194"/>
      <c r="S328" s="191"/>
      <c r="U328" s="194"/>
    </row>
    <row r="329">
      <c r="B329" s="2">
        <f t="shared" si="1"/>
        <v>0</v>
      </c>
      <c r="D329" s="191"/>
      <c r="F329" s="194"/>
      <c r="G329" s="191"/>
      <c r="I329" s="194"/>
      <c r="J329" s="191"/>
      <c r="L329" s="194"/>
      <c r="M329" s="191"/>
      <c r="O329" s="194"/>
      <c r="P329" s="191"/>
      <c r="R329" s="194"/>
      <c r="S329" s="191"/>
      <c r="U329" s="194"/>
    </row>
    <row r="330">
      <c r="B330" s="2">
        <f t="shared" si="1"/>
        <v>0</v>
      </c>
      <c r="D330" s="191"/>
      <c r="F330" s="194"/>
      <c r="G330" s="191"/>
      <c r="I330" s="194"/>
      <c r="J330" s="191"/>
      <c r="L330" s="194"/>
      <c r="M330" s="191"/>
      <c r="O330" s="194"/>
      <c r="P330" s="191"/>
      <c r="R330" s="194"/>
      <c r="S330" s="191"/>
      <c r="U330" s="194"/>
    </row>
    <row r="331">
      <c r="B331" s="2">
        <f t="shared" si="1"/>
        <v>0</v>
      </c>
      <c r="D331" s="191"/>
      <c r="F331" s="194"/>
      <c r="G331" s="191"/>
      <c r="I331" s="194"/>
      <c r="J331" s="191"/>
      <c r="L331" s="194"/>
      <c r="M331" s="191"/>
      <c r="O331" s="194"/>
      <c r="P331" s="191"/>
      <c r="R331" s="194"/>
      <c r="S331" s="191"/>
      <c r="U331" s="194"/>
    </row>
    <row r="332">
      <c r="B332" s="2">
        <f t="shared" si="1"/>
        <v>0</v>
      </c>
      <c r="D332" s="191"/>
      <c r="F332" s="194"/>
      <c r="G332" s="191"/>
      <c r="I332" s="194"/>
      <c r="J332" s="191"/>
      <c r="L332" s="194"/>
      <c r="M332" s="191"/>
      <c r="O332" s="194"/>
      <c r="P332" s="191"/>
      <c r="R332" s="194"/>
      <c r="S332" s="191"/>
      <c r="U332" s="194"/>
    </row>
    <row r="333">
      <c r="B333" s="2">
        <f t="shared" si="1"/>
        <v>0</v>
      </c>
      <c r="D333" s="191"/>
      <c r="F333" s="194"/>
      <c r="G333" s="191"/>
      <c r="I333" s="194"/>
      <c r="J333" s="191"/>
      <c r="L333" s="194"/>
      <c r="M333" s="191"/>
      <c r="O333" s="194"/>
      <c r="P333" s="191"/>
      <c r="R333" s="194"/>
      <c r="S333" s="191"/>
      <c r="U333" s="194"/>
    </row>
    <row r="334">
      <c r="B334" s="2">
        <f t="shared" si="1"/>
        <v>0</v>
      </c>
      <c r="D334" s="191"/>
      <c r="F334" s="194"/>
      <c r="G334" s="191"/>
      <c r="I334" s="194"/>
      <c r="J334" s="191"/>
      <c r="L334" s="194"/>
      <c r="M334" s="191"/>
      <c r="O334" s="194"/>
      <c r="P334" s="191"/>
      <c r="R334" s="194"/>
      <c r="S334" s="191"/>
      <c r="U334" s="194"/>
    </row>
    <row r="335">
      <c r="B335" s="2">
        <f t="shared" si="1"/>
        <v>0</v>
      </c>
      <c r="D335" s="191"/>
      <c r="F335" s="194"/>
      <c r="G335" s="191"/>
      <c r="I335" s="194"/>
      <c r="J335" s="191"/>
      <c r="L335" s="194"/>
      <c r="M335" s="191"/>
      <c r="O335" s="194"/>
      <c r="P335" s="191"/>
      <c r="R335" s="194"/>
      <c r="S335" s="191"/>
      <c r="U335" s="194"/>
    </row>
    <row r="336">
      <c r="B336" s="2">
        <f t="shared" si="1"/>
        <v>0</v>
      </c>
      <c r="D336" s="191"/>
      <c r="F336" s="194"/>
      <c r="G336" s="191"/>
      <c r="I336" s="194"/>
      <c r="J336" s="191"/>
      <c r="L336" s="194"/>
      <c r="M336" s="191"/>
      <c r="O336" s="194"/>
      <c r="P336" s="191"/>
      <c r="R336" s="194"/>
      <c r="S336" s="191"/>
      <c r="U336" s="194"/>
    </row>
    <row r="337">
      <c r="B337" s="2">
        <f t="shared" si="1"/>
        <v>0</v>
      </c>
      <c r="D337" s="191"/>
      <c r="F337" s="194"/>
      <c r="G337" s="191"/>
      <c r="I337" s="194"/>
      <c r="J337" s="191"/>
      <c r="L337" s="194"/>
      <c r="M337" s="191"/>
      <c r="O337" s="194"/>
      <c r="P337" s="191"/>
      <c r="R337" s="194"/>
      <c r="S337" s="191"/>
      <c r="U337" s="194"/>
    </row>
    <row r="338">
      <c r="B338" s="2">
        <f t="shared" si="1"/>
        <v>0</v>
      </c>
      <c r="D338" s="191"/>
      <c r="F338" s="194"/>
      <c r="G338" s="191"/>
      <c r="I338" s="194"/>
      <c r="J338" s="191"/>
      <c r="L338" s="194"/>
      <c r="M338" s="191"/>
      <c r="O338" s="194"/>
      <c r="P338" s="191"/>
      <c r="R338" s="194"/>
      <c r="S338" s="191"/>
      <c r="U338" s="194"/>
    </row>
    <row r="339">
      <c r="B339" s="2">
        <f t="shared" si="1"/>
        <v>0</v>
      </c>
      <c r="D339" s="191"/>
      <c r="F339" s="194"/>
      <c r="G339" s="191"/>
      <c r="I339" s="194"/>
      <c r="J339" s="191"/>
      <c r="L339" s="194"/>
      <c r="M339" s="191"/>
      <c r="O339" s="194"/>
      <c r="P339" s="191"/>
      <c r="R339" s="194"/>
      <c r="S339" s="191"/>
      <c r="U339" s="194"/>
    </row>
    <row r="340">
      <c r="B340" s="2">
        <f t="shared" si="1"/>
        <v>0</v>
      </c>
      <c r="D340" s="191"/>
      <c r="F340" s="194"/>
      <c r="G340" s="191"/>
      <c r="I340" s="194"/>
      <c r="J340" s="191"/>
      <c r="L340" s="194"/>
      <c r="M340" s="191"/>
      <c r="O340" s="194"/>
      <c r="P340" s="191"/>
      <c r="R340" s="194"/>
      <c r="S340" s="191"/>
      <c r="U340" s="194"/>
    </row>
    <row r="341">
      <c r="B341" s="2">
        <f t="shared" si="1"/>
        <v>0</v>
      </c>
      <c r="D341" s="191"/>
      <c r="F341" s="194"/>
      <c r="G341" s="191"/>
      <c r="I341" s="194"/>
      <c r="J341" s="191"/>
      <c r="L341" s="194"/>
      <c r="M341" s="191"/>
      <c r="O341" s="194"/>
      <c r="P341" s="191"/>
      <c r="R341" s="194"/>
      <c r="S341" s="191"/>
      <c r="U341" s="194"/>
    </row>
    <row r="342">
      <c r="B342" s="2">
        <f t="shared" si="1"/>
        <v>0</v>
      </c>
      <c r="D342" s="191"/>
      <c r="F342" s="194"/>
      <c r="G342" s="191"/>
      <c r="I342" s="194"/>
      <c r="J342" s="191"/>
      <c r="L342" s="194"/>
      <c r="M342" s="191"/>
      <c r="O342" s="194"/>
      <c r="P342" s="191"/>
      <c r="R342" s="194"/>
      <c r="S342" s="191"/>
      <c r="U342" s="194"/>
    </row>
    <row r="343">
      <c r="B343" s="2">
        <f t="shared" si="1"/>
        <v>0</v>
      </c>
      <c r="D343" s="191"/>
      <c r="F343" s="194"/>
      <c r="G343" s="191"/>
      <c r="I343" s="194"/>
      <c r="J343" s="191"/>
      <c r="L343" s="194"/>
      <c r="M343" s="191"/>
      <c r="O343" s="194"/>
      <c r="P343" s="191"/>
      <c r="R343" s="194"/>
      <c r="S343" s="191"/>
      <c r="U343" s="194"/>
    </row>
    <row r="344">
      <c r="B344" s="2">
        <f t="shared" si="1"/>
        <v>0</v>
      </c>
      <c r="D344" s="191"/>
      <c r="F344" s="194"/>
      <c r="G344" s="191"/>
      <c r="I344" s="194"/>
      <c r="J344" s="191"/>
      <c r="L344" s="194"/>
      <c r="M344" s="191"/>
      <c r="O344" s="194"/>
      <c r="P344" s="191"/>
      <c r="R344" s="194"/>
      <c r="S344" s="191"/>
      <c r="U344" s="194"/>
    </row>
    <row r="345">
      <c r="B345" s="2">
        <f t="shared" si="1"/>
        <v>0</v>
      </c>
      <c r="D345" s="191"/>
      <c r="F345" s="194"/>
      <c r="G345" s="191"/>
      <c r="I345" s="194"/>
      <c r="J345" s="191"/>
      <c r="L345" s="194"/>
      <c r="M345" s="191"/>
      <c r="O345" s="194"/>
      <c r="P345" s="191"/>
      <c r="R345" s="194"/>
      <c r="S345" s="191"/>
      <c r="U345" s="194"/>
    </row>
    <row r="346">
      <c r="B346" s="2">
        <f t="shared" si="1"/>
        <v>0</v>
      </c>
      <c r="D346" s="191"/>
      <c r="F346" s="194"/>
      <c r="G346" s="191"/>
      <c r="I346" s="194"/>
      <c r="J346" s="191"/>
      <c r="L346" s="194"/>
      <c r="M346" s="191"/>
      <c r="O346" s="194"/>
      <c r="P346" s="191"/>
      <c r="R346" s="194"/>
      <c r="S346" s="191"/>
      <c r="U346" s="194"/>
    </row>
    <row r="347">
      <c r="B347" s="2">
        <f t="shared" si="1"/>
        <v>0</v>
      </c>
      <c r="D347" s="191"/>
      <c r="F347" s="194"/>
      <c r="G347" s="191"/>
      <c r="I347" s="194"/>
      <c r="J347" s="191"/>
      <c r="L347" s="194"/>
      <c r="M347" s="191"/>
      <c r="O347" s="194"/>
      <c r="P347" s="191"/>
      <c r="R347" s="194"/>
      <c r="S347" s="191"/>
      <c r="U347" s="194"/>
    </row>
    <row r="348">
      <c r="B348" s="2">
        <f t="shared" si="1"/>
        <v>0</v>
      </c>
      <c r="D348" s="191"/>
      <c r="F348" s="194"/>
      <c r="G348" s="191"/>
      <c r="I348" s="194"/>
      <c r="J348" s="191"/>
      <c r="L348" s="194"/>
      <c r="M348" s="191"/>
      <c r="O348" s="194"/>
      <c r="P348" s="191"/>
      <c r="R348" s="194"/>
      <c r="S348" s="191"/>
      <c r="U348" s="194"/>
    </row>
    <row r="349">
      <c r="B349" s="2">
        <f t="shared" si="1"/>
        <v>0</v>
      </c>
      <c r="D349" s="191"/>
      <c r="F349" s="194"/>
      <c r="G349" s="191"/>
      <c r="I349" s="194"/>
      <c r="J349" s="191"/>
      <c r="L349" s="194"/>
      <c r="M349" s="191"/>
      <c r="O349" s="194"/>
      <c r="P349" s="191"/>
      <c r="R349" s="194"/>
      <c r="S349" s="191"/>
      <c r="U349" s="194"/>
    </row>
    <row r="350">
      <c r="B350" s="2">
        <f t="shared" si="1"/>
        <v>0</v>
      </c>
      <c r="D350" s="191"/>
      <c r="F350" s="194"/>
      <c r="G350" s="191"/>
      <c r="I350" s="194"/>
      <c r="J350" s="191"/>
      <c r="L350" s="194"/>
      <c r="M350" s="191"/>
      <c r="O350" s="194"/>
      <c r="P350" s="191"/>
      <c r="R350" s="194"/>
      <c r="S350" s="191"/>
      <c r="U350" s="194"/>
    </row>
    <row r="351">
      <c r="B351" s="2">
        <f t="shared" si="1"/>
        <v>0</v>
      </c>
      <c r="D351" s="191"/>
      <c r="F351" s="194"/>
      <c r="G351" s="191"/>
      <c r="I351" s="194"/>
      <c r="J351" s="191"/>
      <c r="L351" s="194"/>
      <c r="M351" s="191"/>
      <c r="O351" s="194"/>
      <c r="P351" s="191"/>
      <c r="R351" s="194"/>
      <c r="S351" s="191"/>
      <c r="U351" s="194"/>
    </row>
    <row r="352">
      <c r="B352" s="2">
        <f t="shared" si="1"/>
        <v>0</v>
      </c>
      <c r="D352" s="191"/>
      <c r="F352" s="194"/>
      <c r="G352" s="191"/>
      <c r="I352" s="194"/>
      <c r="J352" s="191"/>
      <c r="L352" s="194"/>
      <c r="M352" s="191"/>
      <c r="O352" s="194"/>
      <c r="P352" s="191"/>
      <c r="R352" s="194"/>
      <c r="S352" s="191"/>
      <c r="U352" s="194"/>
    </row>
    <row r="353">
      <c r="B353" s="2">
        <f t="shared" si="1"/>
        <v>0</v>
      </c>
      <c r="D353" s="191"/>
      <c r="F353" s="194"/>
      <c r="G353" s="191"/>
      <c r="I353" s="194"/>
      <c r="J353" s="191"/>
      <c r="L353" s="194"/>
      <c r="M353" s="191"/>
      <c r="O353" s="194"/>
      <c r="P353" s="191"/>
      <c r="R353" s="194"/>
      <c r="S353" s="191"/>
      <c r="U353" s="194"/>
    </row>
    <row r="354">
      <c r="B354" s="2">
        <f t="shared" si="1"/>
        <v>0</v>
      </c>
      <c r="D354" s="191"/>
      <c r="F354" s="194"/>
      <c r="G354" s="191"/>
      <c r="I354" s="194"/>
      <c r="J354" s="191"/>
      <c r="L354" s="194"/>
      <c r="M354" s="191"/>
      <c r="O354" s="194"/>
      <c r="P354" s="191"/>
      <c r="R354" s="194"/>
      <c r="S354" s="191"/>
      <c r="U354" s="194"/>
    </row>
    <row r="355">
      <c r="B355" s="2">
        <f t="shared" si="1"/>
        <v>0</v>
      </c>
      <c r="D355" s="191"/>
      <c r="F355" s="194"/>
      <c r="G355" s="191"/>
      <c r="I355" s="194"/>
      <c r="J355" s="191"/>
      <c r="L355" s="194"/>
      <c r="M355" s="191"/>
      <c r="O355" s="194"/>
      <c r="P355" s="191"/>
      <c r="R355" s="194"/>
      <c r="S355" s="191"/>
      <c r="U355" s="194"/>
    </row>
    <row r="356">
      <c r="B356" s="2">
        <f t="shared" si="1"/>
        <v>0</v>
      </c>
      <c r="D356" s="191"/>
      <c r="F356" s="194"/>
      <c r="G356" s="191"/>
      <c r="I356" s="194"/>
      <c r="J356" s="191"/>
      <c r="L356" s="194"/>
      <c r="M356" s="191"/>
      <c r="O356" s="194"/>
      <c r="P356" s="191"/>
      <c r="R356" s="194"/>
      <c r="S356" s="191"/>
      <c r="U356" s="194"/>
    </row>
    <row r="357">
      <c r="B357" s="2">
        <f t="shared" si="1"/>
        <v>0</v>
      </c>
      <c r="D357" s="191"/>
      <c r="F357" s="194"/>
      <c r="G357" s="191"/>
      <c r="I357" s="194"/>
      <c r="J357" s="191"/>
      <c r="L357" s="194"/>
      <c r="M357" s="191"/>
      <c r="O357" s="194"/>
      <c r="P357" s="191"/>
      <c r="R357" s="194"/>
      <c r="S357" s="191"/>
      <c r="U357" s="194"/>
    </row>
    <row r="358">
      <c r="B358" s="2">
        <f t="shared" si="1"/>
        <v>0</v>
      </c>
      <c r="D358" s="191"/>
      <c r="F358" s="194"/>
      <c r="G358" s="191"/>
      <c r="I358" s="194"/>
      <c r="J358" s="191"/>
      <c r="L358" s="194"/>
      <c r="M358" s="191"/>
      <c r="O358" s="194"/>
      <c r="P358" s="191"/>
      <c r="R358" s="194"/>
      <c r="S358" s="191"/>
      <c r="U358" s="194"/>
    </row>
    <row r="359">
      <c r="B359" s="2">
        <f t="shared" si="1"/>
        <v>0</v>
      </c>
      <c r="D359" s="191"/>
      <c r="F359" s="194"/>
      <c r="G359" s="191"/>
      <c r="I359" s="194"/>
      <c r="J359" s="191"/>
      <c r="L359" s="194"/>
      <c r="M359" s="191"/>
      <c r="O359" s="194"/>
      <c r="P359" s="191"/>
      <c r="R359" s="194"/>
      <c r="S359" s="191"/>
      <c r="U359" s="194"/>
    </row>
    <row r="360">
      <c r="B360" s="2">
        <f t="shared" si="1"/>
        <v>0</v>
      </c>
      <c r="D360" s="191"/>
      <c r="F360" s="194"/>
      <c r="G360" s="191"/>
      <c r="I360" s="194"/>
      <c r="J360" s="191"/>
      <c r="L360" s="194"/>
      <c r="M360" s="191"/>
      <c r="O360" s="194"/>
      <c r="P360" s="191"/>
      <c r="R360" s="194"/>
      <c r="S360" s="191"/>
      <c r="U360" s="194"/>
    </row>
    <row r="361">
      <c r="B361" s="2">
        <f t="shared" si="1"/>
        <v>0</v>
      </c>
      <c r="D361" s="191"/>
      <c r="F361" s="194"/>
      <c r="G361" s="191"/>
      <c r="I361" s="194"/>
      <c r="J361" s="191"/>
      <c r="L361" s="194"/>
      <c r="M361" s="191"/>
      <c r="O361" s="194"/>
      <c r="P361" s="191"/>
      <c r="R361" s="194"/>
      <c r="S361" s="191"/>
      <c r="U361" s="194"/>
    </row>
    <row r="362">
      <c r="B362" s="2">
        <f t="shared" si="1"/>
        <v>0</v>
      </c>
      <c r="D362" s="191"/>
      <c r="F362" s="194"/>
      <c r="G362" s="191"/>
      <c r="I362" s="194"/>
      <c r="J362" s="191"/>
      <c r="L362" s="194"/>
      <c r="M362" s="191"/>
      <c r="O362" s="194"/>
      <c r="P362" s="191"/>
      <c r="R362" s="194"/>
      <c r="S362" s="191"/>
      <c r="U362" s="194"/>
    </row>
    <row r="363">
      <c r="B363" s="2">
        <f t="shared" si="1"/>
        <v>0</v>
      </c>
      <c r="D363" s="191"/>
      <c r="F363" s="194"/>
      <c r="G363" s="191"/>
      <c r="I363" s="194"/>
      <c r="J363" s="191"/>
      <c r="L363" s="194"/>
      <c r="M363" s="191"/>
      <c r="O363" s="194"/>
      <c r="P363" s="191"/>
      <c r="R363" s="194"/>
      <c r="S363" s="191"/>
      <c r="U363" s="194"/>
    </row>
    <row r="364">
      <c r="B364" s="2">
        <f t="shared" si="1"/>
        <v>0</v>
      </c>
      <c r="D364" s="191"/>
      <c r="F364" s="194"/>
      <c r="G364" s="191"/>
      <c r="I364" s="194"/>
      <c r="J364" s="191"/>
      <c r="L364" s="194"/>
      <c r="M364" s="191"/>
      <c r="O364" s="194"/>
      <c r="P364" s="191"/>
      <c r="R364" s="194"/>
      <c r="S364" s="191"/>
      <c r="U364" s="194"/>
    </row>
    <row r="365">
      <c r="B365" s="2">
        <f t="shared" si="1"/>
        <v>0</v>
      </c>
      <c r="D365" s="191"/>
      <c r="F365" s="194"/>
      <c r="G365" s="191"/>
      <c r="I365" s="194"/>
      <c r="J365" s="191"/>
      <c r="L365" s="194"/>
      <c r="M365" s="191"/>
      <c r="O365" s="194"/>
      <c r="P365" s="191"/>
      <c r="R365" s="194"/>
      <c r="S365" s="191"/>
      <c r="U365" s="194"/>
    </row>
    <row r="366">
      <c r="B366" s="2">
        <f t="shared" si="1"/>
        <v>0</v>
      </c>
      <c r="D366" s="191"/>
      <c r="F366" s="194"/>
      <c r="G366" s="191"/>
      <c r="I366" s="194"/>
      <c r="J366" s="191"/>
      <c r="L366" s="194"/>
      <c r="M366" s="191"/>
      <c r="O366" s="194"/>
      <c r="P366" s="191"/>
      <c r="R366" s="194"/>
      <c r="S366" s="191"/>
      <c r="U366" s="194"/>
    </row>
    <row r="367">
      <c r="B367" s="2">
        <f t="shared" si="1"/>
        <v>0</v>
      </c>
      <c r="D367" s="191"/>
      <c r="F367" s="194"/>
      <c r="G367" s="191"/>
      <c r="I367" s="194"/>
      <c r="J367" s="191"/>
      <c r="L367" s="194"/>
      <c r="M367" s="191"/>
      <c r="O367" s="194"/>
      <c r="P367" s="191"/>
      <c r="R367" s="194"/>
      <c r="S367" s="191"/>
      <c r="U367" s="194"/>
    </row>
    <row r="368">
      <c r="B368" s="2">
        <f t="shared" si="1"/>
        <v>0</v>
      </c>
      <c r="D368" s="191"/>
      <c r="F368" s="194"/>
      <c r="G368" s="191"/>
      <c r="I368" s="194"/>
      <c r="J368" s="191"/>
      <c r="L368" s="194"/>
      <c r="M368" s="191"/>
      <c r="O368" s="194"/>
      <c r="P368" s="191"/>
      <c r="R368" s="194"/>
      <c r="S368" s="191"/>
      <c r="U368" s="194"/>
    </row>
    <row r="369">
      <c r="B369" s="2">
        <f t="shared" si="1"/>
        <v>0</v>
      </c>
      <c r="D369" s="191"/>
      <c r="F369" s="194"/>
      <c r="G369" s="191"/>
      <c r="I369" s="194"/>
      <c r="J369" s="191"/>
      <c r="L369" s="194"/>
      <c r="M369" s="191"/>
      <c r="O369" s="194"/>
      <c r="P369" s="191"/>
      <c r="R369" s="194"/>
      <c r="S369" s="191"/>
      <c r="U369" s="194"/>
    </row>
    <row r="370">
      <c r="B370" s="2">
        <f t="shared" si="1"/>
        <v>0</v>
      </c>
      <c r="D370" s="191"/>
      <c r="F370" s="194"/>
      <c r="G370" s="191"/>
      <c r="I370" s="194"/>
      <c r="J370" s="191"/>
      <c r="L370" s="194"/>
      <c r="M370" s="191"/>
      <c r="O370" s="194"/>
      <c r="P370" s="191"/>
      <c r="R370" s="194"/>
      <c r="S370" s="191"/>
      <c r="U370" s="194"/>
    </row>
    <row r="371">
      <c r="B371" s="2">
        <f t="shared" si="1"/>
        <v>0</v>
      </c>
      <c r="D371" s="191"/>
      <c r="F371" s="194"/>
      <c r="G371" s="191"/>
      <c r="I371" s="194"/>
      <c r="J371" s="191"/>
      <c r="L371" s="194"/>
      <c r="M371" s="191"/>
      <c r="O371" s="194"/>
      <c r="P371" s="191"/>
      <c r="R371" s="194"/>
      <c r="S371" s="191"/>
      <c r="U371" s="194"/>
    </row>
    <row r="372">
      <c r="B372" s="2">
        <f t="shared" si="1"/>
        <v>0</v>
      </c>
      <c r="D372" s="191"/>
      <c r="F372" s="194"/>
      <c r="G372" s="191"/>
      <c r="I372" s="194"/>
      <c r="J372" s="191"/>
      <c r="L372" s="194"/>
      <c r="M372" s="191"/>
      <c r="O372" s="194"/>
      <c r="P372" s="191"/>
      <c r="R372" s="194"/>
      <c r="S372" s="191"/>
      <c r="U372" s="194"/>
    </row>
    <row r="373">
      <c r="B373" s="2">
        <f t="shared" si="1"/>
        <v>0</v>
      </c>
      <c r="D373" s="191"/>
      <c r="F373" s="194"/>
      <c r="G373" s="191"/>
      <c r="I373" s="194"/>
      <c r="J373" s="191"/>
      <c r="L373" s="194"/>
      <c r="M373" s="191"/>
      <c r="O373" s="194"/>
      <c r="P373" s="191"/>
      <c r="R373" s="194"/>
      <c r="S373" s="191"/>
      <c r="U373" s="194"/>
    </row>
    <row r="374">
      <c r="B374" s="2">
        <f t="shared" si="1"/>
        <v>0</v>
      </c>
      <c r="D374" s="191"/>
      <c r="F374" s="194"/>
      <c r="G374" s="191"/>
      <c r="I374" s="194"/>
      <c r="J374" s="191"/>
      <c r="L374" s="194"/>
      <c r="M374" s="191"/>
      <c r="O374" s="194"/>
      <c r="P374" s="191"/>
      <c r="R374" s="194"/>
      <c r="S374" s="191"/>
      <c r="U374" s="194"/>
    </row>
    <row r="375">
      <c r="B375" s="2">
        <f t="shared" si="1"/>
        <v>0</v>
      </c>
      <c r="D375" s="191"/>
      <c r="F375" s="194"/>
      <c r="G375" s="191"/>
      <c r="I375" s="194"/>
      <c r="J375" s="191"/>
      <c r="L375" s="194"/>
      <c r="M375" s="191"/>
      <c r="O375" s="194"/>
      <c r="P375" s="191"/>
      <c r="R375" s="194"/>
      <c r="S375" s="191"/>
      <c r="U375" s="194"/>
    </row>
    <row r="376">
      <c r="B376" s="2">
        <f t="shared" si="1"/>
        <v>0</v>
      </c>
      <c r="D376" s="191"/>
      <c r="F376" s="194"/>
      <c r="G376" s="191"/>
      <c r="I376" s="194"/>
      <c r="J376" s="191"/>
      <c r="L376" s="194"/>
      <c r="M376" s="191"/>
      <c r="O376" s="194"/>
      <c r="P376" s="191"/>
      <c r="R376" s="194"/>
      <c r="S376" s="191"/>
      <c r="U376" s="194"/>
    </row>
    <row r="377">
      <c r="B377" s="2">
        <f t="shared" si="1"/>
        <v>0</v>
      </c>
      <c r="D377" s="191"/>
      <c r="F377" s="194"/>
      <c r="G377" s="191"/>
      <c r="I377" s="194"/>
      <c r="J377" s="191"/>
      <c r="L377" s="194"/>
      <c r="M377" s="191"/>
      <c r="O377" s="194"/>
      <c r="P377" s="191"/>
      <c r="R377" s="194"/>
      <c r="S377" s="191"/>
      <c r="U377" s="194"/>
    </row>
    <row r="378">
      <c r="B378" s="2">
        <f t="shared" si="1"/>
        <v>0</v>
      </c>
      <c r="D378" s="191"/>
      <c r="F378" s="194"/>
      <c r="G378" s="191"/>
      <c r="I378" s="194"/>
      <c r="J378" s="191"/>
      <c r="L378" s="194"/>
      <c r="M378" s="191"/>
      <c r="O378" s="194"/>
      <c r="P378" s="191"/>
      <c r="R378" s="194"/>
      <c r="S378" s="191"/>
      <c r="U378" s="194"/>
    </row>
    <row r="379">
      <c r="B379" s="2">
        <f t="shared" si="1"/>
        <v>0</v>
      </c>
      <c r="D379" s="191"/>
      <c r="F379" s="194"/>
      <c r="G379" s="191"/>
      <c r="I379" s="194"/>
      <c r="J379" s="191"/>
      <c r="L379" s="194"/>
      <c r="M379" s="191"/>
      <c r="O379" s="194"/>
      <c r="P379" s="191"/>
      <c r="R379" s="194"/>
      <c r="S379" s="191"/>
      <c r="U379" s="194"/>
    </row>
    <row r="380">
      <c r="B380" s="2">
        <f t="shared" si="1"/>
        <v>0</v>
      </c>
      <c r="D380" s="191"/>
      <c r="F380" s="194"/>
      <c r="G380" s="191"/>
      <c r="I380" s="194"/>
      <c r="J380" s="191"/>
      <c r="L380" s="194"/>
      <c r="M380" s="191"/>
      <c r="O380" s="194"/>
      <c r="P380" s="191"/>
      <c r="R380" s="194"/>
      <c r="S380" s="191"/>
      <c r="U380" s="194"/>
    </row>
    <row r="381">
      <c r="B381" s="2">
        <f t="shared" si="1"/>
        <v>0</v>
      </c>
      <c r="D381" s="191"/>
      <c r="F381" s="194"/>
      <c r="G381" s="191"/>
      <c r="I381" s="194"/>
      <c r="J381" s="191"/>
      <c r="L381" s="194"/>
      <c r="M381" s="191"/>
      <c r="O381" s="194"/>
      <c r="P381" s="191"/>
      <c r="R381" s="194"/>
      <c r="S381" s="191"/>
      <c r="U381" s="194"/>
    </row>
    <row r="382">
      <c r="B382" s="2">
        <f t="shared" si="1"/>
        <v>0</v>
      </c>
      <c r="D382" s="191"/>
      <c r="F382" s="194"/>
      <c r="G382" s="191"/>
      <c r="I382" s="194"/>
      <c r="J382" s="191"/>
      <c r="L382" s="194"/>
      <c r="M382" s="191"/>
      <c r="O382" s="194"/>
      <c r="P382" s="191"/>
      <c r="R382" s="194"/>
      <c r="S382" s="191"/>
      <c r="U382" s="194"/>
    </row>
    <row r="383">
      <c r="B383" s="2">
        <f t="shared" si="1"/>
        <v>0</v>
      </c>
      <c r="D383" s="191"/>
      <c r="F383" s="194"/>
      <c r="G383" s="191"/>
      <c r="I383" s="194"/>
      <c r="J383" s="191"/>
      <c r="L383" s="194"/>
      <c r="M383" s="191"/>
      <c r="O383" s="194"/>
      <c r="P383" s="191"/>
      <c r="R383" s="194"/>
      <c r="S383" s="191"/>
      <c r="U383" s="194"/>
    </row>
    <row r="384">
      <c r="B384" s="2">
        <f t="shared" si="1"/>
        <v>0</v>
      </c>
      <c r="D384" s="191"/>
      <c r="F384" s="194"/>
      <c r="G384" s="191"/>
      <c r="I384" s="194"/>
      <c r="J384" s="191"/>
      <c r="L384" s="194"/>
      <c r="M384" s="191"/>
      <c r="O384" s="194"/>
      <c r="P384" s="191"/>
      <c r="R384" s="194"/>
      <c r="S384" s="191"/>
      <c r="U384" s="194"/>
    </row>
    <row r="385">
      <c r="B385" s="2">
        <f t="shared" si="1"/>
        <v>0</v>
      </c>
      <c r="D385" s="191"/>
      <c r="F385" s="194"/>
      <c r="G385" s="191"/>
      <c r="I385" s="194"/>
      <c r="J385" s="191"/>
      <c r="L385" s="194"/>
      <c r="M385" s="191"/>
      <c r="O385" s="194"/>
      <c r="P385" s="191"/>
      <c r="R385" s="194"/>
      <c r="S385" s="191"/>
      <c r="U385" s="194"/>
    </row>
    <row r="386">
      <c r="B386" s="2">
        <f t="shared" si="1"/>
        <v>0</v>
      </c>
      <c r="D386" s="191"/>
      <c r="F386" s="194"/>
      <c r="G386" s="191"/>
      <c r="I386" s="194"/>
      <c r="J386" s="191"/>
      <c r="L386" s="194"/>
      <c r="M386" s="191"/>
      <c r="O386" s="194"/>
      <c r="P386" s="191"/>
      <c r="R386" s="194"/>
      <c r="S386" s="191"/>
      <c r="U386" s="194"/>
    </row>
    <row r="387">
      <c r="B387" s="2">
        <f t="shared" si="1"/>
        <v>0</v>
      </c>
      <c r="D387" s="191"/>
      <c r="F387" s="194"/>
      <c r="G387" s="191"/>
      <c r="I387" s="194"/>
      <c r="J387" s="191"/>
      <c r="L387" s="194"/>
      <c r="M387" s="191"/>
      <c r="O387" s="194"/>
      <c r="P387" s="191"/>
      <c r="R387" s="194"/>
      <c r="S387" s="191"/>
      <c r="U387" s="194"/>
    </row>
    <row r="388">
      <c r="B388" s="2">
        <f t="shared" si="1"/>
        <v>0</v>
      </c>
      <c r="D388" s="191"/>
      <c r="F388" s="194"/>
      <c r="G388" s="191"/>
      <c r="I388" s="194"/>
      <c r="J388" s="191"/>
      <c r="L388" s="194"/>
      <c r="M388" s="191"/>
      <c r="O388" s="194"/>
      <c r="P388" s="191"/>
      <c r="R388" s="194"/>
      <c r="S388" s="191"/>
      <c r="U388" s="194"/>
    </row>
    <row r="389">
      <c r="B389" s="2">
        <f t="shared" si="1"/>
        <v>0</v>
      </c>
      <c r="D389" s="191"/>
      <c r="F389" s="194"/>
      <c r="G389" s="191"/>
      <c r="I389" s="194"/>
      <c r="J389" s="191"/>
      <c r="L389" s="194"/>
      <c r="M389" s="191"/>
      <c r="O389" s="194"/>
      <c r="P389" s="191"/>
      <c r="R389" s="194"/>
      <c r="S389" s="191"/>
      <c r="U389" s="194"/>
    </row>
    <row r="390">
      <c r="B390" s="2">
        <f t="shared" si="1"/>
        <v>0</v>
      </c>
      <c r="D390" s="191"/>
      <c r="F390" s="194"/>
      <c r="G390" s="191"/>
      <c r="I390" s="194"/>
      <c r="J390" s="191"/>
      <c r="L390" s="194"/>
      <c r="M390" s="191"/>
      <c r="O390" s="194"/>
      <c r="P390" s="191"/>
      <c r="R390" s="194"/>
      <c r="S390" s="191"/>
      <c r="U390" s="194"/>
    </row>
    <row r="391">
      <c r="B391" s="2">
        <f t="shared" si="1"/>
        <v>0</v>
      </c>
      <c r="D391" s="191"/>
      <c r="F391" s="194"/>
      <c r="G391" s="191"/>
      <c r="I391" s="194"/>
      <c r="J391" s="191"/>
      <c r="L391" s="194"/>
      <c r="M391" s="191"/>
      <c r="O391" s="194"/>
      <c r="P391" s="191"/>
      <c r="R391" s="194"/>
      <c r="S391" s="191"/>
      <c r="U391" s="194"/>
    </row>
    <row r="392">
      <c r="B392" s="2">
        <f t="shared" si="1"/>
        <v>0</v>
      </c>
      <c r="D392" s="191"/>
      <c r="F392" s="194"/>
      <c r="G392" s="191"/>
      <c r="I392" s="194"/>
      <c r="J392" s="191"/>
      <c r="L392" s="194"/>
      <c r="M392" s="191"/>
      <c r="O392" s="194"/>
      <c r="P392" s="191"/>
      <c r="R392" s="194"/>
      <c r="S392" s="191"/>
      <c r="U392" s="194"/>
    </row>
    <row r="393">
      <c r="B393" s="2">
        <f t="shared" si="1"/>
        <v>0</v>
      </c>
      <c r="D393" s="191"/>
      <c r="F393" s="194"/>
      <c r="G393" s="191"/>
      <c r="I393" s="194"/>
      <c r="J393" s="191"/>
      <c r="L393" s="194"/>
      <c r="M393" s="191"/>
      <c r="O393" s="194"/>
      <c r="P393" s="191"/>
      <c r="R393" s="194"/>
      <c r="S393" s="191"/>
      <c r="U393" s="194"/>
    </row>
    <row r="394">
      <c r="B394" s="2">
        <f t="shared" si="1"/>
        <v>0</v>
      </c>
      <c r="D394" s="191"/>
      <c r="F394" s="194"/>
      <c r="G394" s="191"/>
      <c r="I394" s="194"/>
      <c r="J394" s="191"/>
      <c r="L394" s="194"/>
      <c r="M394" s="191"/>
      <c r="O394" s="194"/>
      <c r="P394" s="191"/>
      <c r="R394" s="194"/>
      <c r="S394" s="191"/>
      <c r="U394" s="194"/>
    </row>
    <row r="395">
      <c r="B395" s="2">
        <f t="shared" si="1"/>
        <v>0</v>
      </c>
      <c r="D395" s="191"/>
      <c r="F395" s="194"/>
      <c r="G395" s="191"/>
      <c r="I395" s="194"/>
      <c r="J395" s="191"/>
      <c r="L395" s="194"/>
      <c r="M395" s="191"/>
      <c r="O395" s="194"/>
      <c r="P395" s="191"/>
      <c r="R395" s="194"/>
      <c r="S395" s="191"/>
      <c r="U395" s="194"/>
    </row>
    <row r="396">
      <c r="B396" s="2">
        <f t="shared" si="1"/>
        <v>0</v>
      </c>
      <c r="D396" s="191"/>
      <c r="F396" s="194"/>
      <c r="G396" s="191"/>
      <c r="I396" s="194"/>
      <c r="J396" s="191"/>
      <c r="L396" s="194"/>
      <c r="M396" s="191"/>
      <c r="O396" s="194"/>
      <c r="P396" s="191"/>
      <c r="R396" s="194"/>
      <c r="S396" s="191"/>
      <c r="U396" s="194"/>
    </row>
    <row r="397">
      <c r="B397" s="2">
        <f t="shared" si="1"/>
        <v>0</v>
      </c>
      <c r="D397" s="191"/>
      <c r="F397" s="194"/>
      <c r="G397" s="191"/>
      <c r="I397" s="194"/>
      <c r="J397" s="191"/>
      <c r="L397" s="194"/>
      <c r="M397" s="191"/>
      <c r="O397" s="194"/>
      <c r="P397" s="191"/>
      <c r="R397" s="194"/>
      <c r="S397" s="191"/>
      <c r="U397" s="194"/>
    </row>
    <row r="398">
      <c r="B398" s="2">
        <f t="shared" si="1"/>
        <v>0</v>
      </c>
      <c r="D398" s="191"/>
      <c r="F398" s="194"/>
      <c r="G398" s="191"/>
      <c r="I398" s="194"/>
      <c r="J398" s="191"/>
      <c r="L398" s="194"/>
      <c r="M398" s="191"/>
      <c r="O398" s="194"/>
      <c r="P398" s="191"/>
      <c r="R398" s="194"/>
      <c r="S398" s="191"/>
      <c r="U398" s="194"/>
    </row>
    <row r="399">
      <c r="B399" s="2">
        <f t="shared" si="1"/>
        <v>0</v>
      </c>
      <c r="D399" s="191"/>
      <c r="F399" s="194"/>
      <c r="G399" s="191"/>
      <c r="I399" s="194"/>
      <c r="J399" s="191"/>
      <c r="L399" s="194"/>
      <c r="M399" s="191"/>
      <c r="O399" s="194"/>
      <c r="P399" s="191"/>
      <c r="R399" s="194"/>
      <c r="S399" s="191"/>
      <c r="U399" s="194"/>
    </row>
    <row r="400">
      <c r="B400" s="2">
        <f t="shared" si="1"/>
        <v>0</v>
      </c>
      <c r="D400" s="191"/>
      <c r="F400" s="194"/>
      <c r="G400" s="191"/>
      <c r="I400" s="194"/>
      <c r="J400" s="191"/>
      <c r="L400" s="194"/>
      <c r="M400" s="191"/>
      <c r="O400" s="194"/>
      <c r="P400" s="191"/>
      <c r="R400" s="194"/>
      <c r="S400" s="191"/>
      <c r="U400" s="194"/>
    </row>
    <row r="401">
      <c r="B401" s="2">
        <f t="shared" si="1"/>
        <v>0</v>
      </c>
      <c r="D401" s="191"/>
      <c r="F401" s="194"/>
      <c r="G401" s="191"/>
      <c r="I401" s="194"/>
      <c r="J401" s="191"/>
      <c r="L401" s="194"/>
      <c r="M401" s="191"/>
      <c r="O401" s="194"/>
      <c r="P401" s="191"/>
      <c r="R401" s="194"/>
      <c r="S401" s="191"/>
      <c r="U401" s="194"/>
    </row>
    <row r="402">
      <c r="B402" s="2">
        <f t="shared" si="1"/>
        <v>0</v>
      </c>
      <c r="D402" s="191"/>
      <c r="F402" s="194"/>
      <c r="G402" s="191"/>
      <c r="I402" s="194"/>
      <c r="J402" s="191"/>
      <c r="L402" s="194"/>
      <c r="M402" s="191"/>
      <c r="O402" s="194"/>
      <c r="P402" s="191"/>
      <c r="R402" s="194"/>
      <c r="S402" s="191"/>
      <c r="U402" s="194"/>
    </row>
    <row r="403">
      <c r="B403" s="2">
        <f t="shared" si="1"/>
        <v>0</v>
      </c>
      <c r="D403" s="191"/>
      <c r="F403" s="194"/>
      <c r="G403" s="191"/>
      <c r="I403" s="194"/>
      <c r="J403" s="191"/>
      <c r="L403" s="194"/>
      <c r="M403" s="191"/>
      <c r="O403" s="194"/>
      <c r="P403" s="191"/>
      <c r="R403" s="194"/>
      <c r="S403" s="191"/>
      <c r="U403" s="194"/>
    </row>
    <row r="404">
      <c r="B404" s="2">
        <f t="shared" si="1"/>
        <v>0</v>
      </c>
      <c r="D404" s="191"/>
      <c r="F404" s="194"/>
      <c r="G404" s="191"/>
      <c r="I404" s="194"/>
      <c r="J404" s="191"/>
      <c r="L404" s="194"/>
      <c r="M404" s="191"/>
      <c r="O404" s="194"/>
      <c r="P404" s="191"/>
      <c r="R404" s="194"/>
      <c r="S404" s="191"/>
      <c r="U404" s="194"/>
    </row>
    <row r="405">
      <c r="B405" s="2">
        <f t="shared" si="1"/>
        <v>0</v>
      </c>
      <c r="D405" s="191"/>
      <c r="F405" s="194"/>
      <c r="G405" s="191"/>
      <c r="I405" s="194"/>
      <c r="J405" s="191"/>
      <c r="L405" s="194"/>
      <c r="M405" s="191"/>
      <c r="O405" s="194"/>
      <c r="P405" s="191"/>
      <c r="R405" s="194"/>
      <c r="S405" s="191"/>
      <c r="U405" s="194"/>
    </row>
    <row r="406">
      <c r="B406" s="2">
        <f t="shared" si="1"/>
        <v>0</v>
      </c>
      <c r="D406" s="191"/>
      <c r="F406" s="194"/>
      <c r="G406" s="191"/>
      <c r="I406" s="194"/>
      <c r="J406" s="191"/>
      <c r="L406" s="194"/>
      <c r="M406" s="191"/>
      <c r="O406" s="194"/>
      <c r="P406" s="191"/>
      <c r="R406" s="194"/>
      <c r="S406" s="191"/>
      <c r="U406" s="194"/>
    </row>
    <row r="407">
      <c r="B407" s="2">
        <f t="shared" si="1"/>
        <v>0</v>
      </c>
      <c r="D407" s="191"/>
      <c r="F407" s="194"/>
      <c r="G407" s="191"/>
      <c r="I407" s="194"/>
      <c r="J407" s="191"/>
      <c r="L407" s="194"/>
      <c r="M407" s="191"/>
      <c r="O407" s="194"/>
      <c r="P407" s="191"/>
      <c r="R407" s="194"/>
      <c r="S407" s="191"/>
      <c r="U407" s="194"/>
    </row>
    <row r="408">
      <c r="B408" s="2">
        <f t="shared" si="1"/>
        <v>0</v>
      </c>
      <c r="D408" s="191"/>
      <c r="F408" s="194"/>
      <c r="G408" s="191"/>
      <c r="I408" s="194"/>
      <c r="J408" s="191"/>
      <c r="L408" s="194"/>
      <c r="M408" s="191"/>
      <c r="O408" s="194"/>
      <c r="P408" s="191"/>
      <c r="R408" s="194"/>
      <c r="S408" s="191"/>
      <c r="U408" s="194"/>
    </row>
    <row r="409">
      <c r="B409" s="2">
        <f t="shared" si="1"/>
        <v>0</v>
      </c>
      <c r="D409" s="191"/>
      <c r="F409" s="194"/>
      <c r="G409" s="191"/>
      <c r="I409" s="194"/>
      <c r="J409" s="191"/>
      <c r="L409" s="194"/>
      <c r="M409" s="191"/>
      <c r="O409" s="194"/>
      <c r="P409" s="191"/>
      <c r="R409" s="194"/>
      <c r="S409" s="191"/>
      <c r="U409" s="194"/>
    </row>
    <row r="410">
      <c r="B410" s="2">
        <f t="shared" si="1"/>
        <v>0</v>
      </c>
      <c r="D410" s="191"/>
      <c r="F410" s="194"/>
      <c r="G410" s="191"/>
      <c r="I410" s="194"/>
      <c r="J410" s="191"/>
      <c r="L410" s="194"/>
      <c r="M410" s="191"/>
      <c r="O410" s="194"/>
      <c r="P410" s="191"/>
      <c r="R410" s="194"/>
      <c r="S410" s="191"/>
      <c r="U410" s="194"/>
    </row>
    <row r="411">
      <c r="B411" s="2">
        <f t="shared" si="1"/>
        <v>0</v>
      </c>
      <c r="D411" s="191"/>
      <c r="F411" s="194"/>
      <c r="G411" s="191"/>
      <c r="I411" s="194"/>
      <c r="J411" s="191"/>
      <c r="L411" s="194"/>
      <c r="M411" s="191"/>
      <c r="O411" s="194"/>
      <c r="P411" s="191"/>
      <c r="R411" s="194"/>
      <c r="S411" s="191"/>
      <c r="U411" s="194"/>
    </row>
    <row r="412">
      <c r="B412" s="2">
        <f t="shared" si="1"/>
        <v>0</v>
      </c>
      <c r="D412" s="191"/>
      <c r="F412" s="194"/>
      <c r="G412" s="191"/>
      <c r="I412" s="194"/>
      <c r="J412" s="191"/>
      <c r="L412" s="194"/>
      <c r="M412" s="191"/>
      <c r="O412" s="194"/>
      <c r="P412" s="191"/>
      <c r="R412" s="194"/>
      <c r="S412" s="191"/>
      <c r="U412" s="194"/>
    </row>
    <row r="413">
      <c r="B413" s="2">
        <f t="shared" si="1"/>
        <v>0</v>
      </c>
      <c r="D413" s="191"/>
      <c r="F413" s="194"/>
      <c r="G413" s="191"/>
      <c r="I413" s="194"/>
      <c r="J413" s="191"/>
      <c r="L413" s="194"/>
      <c r="M413" s="191"/>
      <c r="O413" s="194"/>
      <c r="P413" s="191"/>
      <c r="R413" s="194"/>
      <c r="S413" s="191"/>
      <c r="U413" s="194"/>
    </row>
    <row r="414">
      <c r="B414" s="2">
        <f t="shared" si="1"/>
        <v>0</v>
      </c>
      <c r="D414" s="191"/>
      <c r="F414" s="194"/>
      <c r="G414" s="191"/>
      <c r="I414" s="194"/>
      <c r="J414" s="191"/>
      <c r="L414" s="194"/>
      <c r="M414" s="191"/>
      <c r="O414" s="194"/>
      <c r="P414" s="191"/>
      <c r="R414" s="194"/>
      <c r="S414" s="191"/>
      <c r="U414" s="194"/>
    </row>
    <row r="415">
      <c r="B415" s="2">
        <f t="shared" si="1"/>
        <v>0</v>
      </c>
      <c r="D415" s="191"/>
      <c r="F415" s="194"/>
      <c r="G415" s="191"/>
      <c r="I415" s="194"/>
      <c r="J415" s="191"/>
      <c r="L415" s="194"/>
      <c r="M415" s="191"/>
      <c r="O415" s="194"/>
      <c r="P415" s="191"/>
      <c r="R415" s="194"/>
      <c r="S415" s="191"/>
      <c r="U415" s="194"/>
    </row>
    <row r="416">
      <c r="B416" s="2">
        <f t="shared" si="1"/>
        <v>0</v>
      </c>
      <c r="D416" s="191"/>
      <c r="F416" s="194"/>
      <c r="G416" s="191"/>
      <c r="I416" s="194"/>
      <c r="J416" s="191"/>
      <c r="L416" s="194"/>
      <c r="M416" s="191"/>
      <c r="O416" s="194"/>
      <c r="P416" s="191"/>
      <c r="R416" s="194"/>
      <c r="S416" s="191"/>
      <c r="U416" s="194"/>
    </row>
    <row r="417">
      <c r="B417" s="2">
        <f t="shared" si="1"/>
        <v>0</v>
      </c>
      <c r="D417" s="191"/>
      <c r="F417" s="194"/>
      <c r="G417" s="191"/>
      <c r="I417" s="194"/>
      <c r="J417" s="191"/>
      <c r="L417" s="194"/>
      <c r="M417" s="191"/>
      <c r="O417" s="194"/>
      <c r="P417" s="191"/>
      <c r="R417" s="194"/>
      <c r="S417" s="191"/>
      <c r="U417" s="194"/>
    </row>
    <row r="418">
      <c r="B418" s="2">
        <f t="shared" si="1"/>
        <v>0</v>
      </c>
      <c r="D418" s="191"/>
      <c r="F418" s="194"/>
      <c r="G418" s="191"/>
      <c r="I418" s="194"/>
      <c r="J418" s="191"/>
      <c r="L418" s="194"/>
      <c r="M418" s="191"/>
      <c r="O418" s="194"/>
      <c r="P418" s="191"/>
      <c r="R418" s="194"/>
      <c r="S418" s="191"/>
      <c r="U418" s="194"/>
    </row>
    <row r="419">
      <c r="B419" s="2">
        <f t="shared" si="1"/>
        <v>0</v>
      </c>
      <c r="D419" s="191"/>
      <c r="F419" s="194"/>
      <c r="G419" s="191"/>
      <c r="I419" s="194"/>
      <c r="J419" s="191"/>
      <c r="L419" s="194"/>
      <c r="M419" s="191"/>
      <c r="O419" s="194"/>
      <c r="P419" s="191"/>
      <c r="R419" s="194"/>
      <c r="S419" s="191"/>
      <c r="U419" s="194"/>
    </row>
    <row r="420">
      <c r="B420" s="2">
        <f t="shared" si="1"/>
        <v>0</v>
      </c>
      <c r="D420" s="191"/>
      <c r="F420" s="194"/>
      <c r="G420" s="191"/>
      <c r="I420" s="194"/>
      <c r="J420" s="191"/>
      <c r="L420" s="194"/>
      <c r="M420" s="191"/>
      <c r="O420" s="194"/>
      <c r="P420" s="191"/>
      <c r="R420" s="194"/>
      <c r="S420" s="191"/>
      <c r="U420" s="194"/>
    </row>
    <row r="421">
      <c r="B421" s="2">
        <f t="shared" si="1"/>
        <v>0</v>
      </c>
      <c r="D421" s="191"/>
      <c r="F421" s="194"/>
      <c r="G421" s="191"/>
      <c r="I421" s="194"/>
      <c r="J421" s="191"/>
      <c r="L421" s="194"/>
      <c r="M421" s="191"/>
      <c r="O421" s="194"/>
      <c r="P421" s="191"/>
      <c r="R421" s="194"/>
      <c r="S421" s="191"/>
      <c r="U421" s="194"/>
    </row>
    <row r="422">
      <c r="B422" s="2">
        <f t="shared" si="1"/>
        <v>0</v>
      </c>
      <c r="D422" s="191"/>
      <c r="F422" s="194"/>
      <c r="G422" s="191"/>
      <c r="I422" s="194"/>
      <c r="J422" s="191"/>
      <c r="L422" s="194"/>
      <c r="M422" s="191"/>
      <c r="O422" s="194"/>
      <c r="P422" s="191"/>
      <c r="R422" s="194"/>
      <c r="S422" s="191"/>
      <c r="U422" s="194"/>
    </row>
    <row r="423">
      <c r="B423" s="2">
        <f t="shared" si="1"/>
        <v>0</v>
      </c>
      <c r="D423" s="191"/>
      <c r="F423" s="194"/>
      <c r="G423" s="191"/>
      <c r="I423" s="194"/>
      <c r="J423" s="191"/>
      <c r="L423" s="194"/>
      <c r="M423" s="191"/>
      <c r="O423" s="194"/>
      <c r="P423" s="191"/>
      <c r="R423" s="194"/>
      <c r="S423" s="191"/>
      <c r="U423" s="194"/>
    </row>
    <row r="424">
      <c r="B424" s="2">
        <f t="shared" si="1"/>
        <v>0</v>
      </c>
      <c r="D424" s="191"/>
      <c r="F424" s="194"/>
      <c r="G424" s="191"/>
      <c r="I424" s="194"/>
      <c r="J424" s="191"/>
      <c r="L424" s="194"/>
      <c r="M424" s="191"/>
      <c r="O424" s="194"/>
      <c r="P424" s="191"/>
      <c r="R424" s="194"/>
      <c r="S424" s="191"/>
      <c r="U424" s="194"/>
    </row>
    <row r="425">
      <c r="B425" s="2">
        <f t="shared" si="1"/>
        <v>0</v>
      </c>
      <c r="D425" s="191"/>
      <c r="F425" s="194"/>
      <c r="G425" s="191"/>
      <c r="I425" s="194"/>
      <c r="J425" s="191"/>
      <c r="L425" s="194"/>
      <c r="M425" s="191"/>
      <c r="O425" s="194"/>
      <c r="P425" s="191"/>
      <c r="R425" s="194"/>
      <c r="S425" s="191"/>
      <c r="U425" s="194"/>
    </row>
    <row r="426">
      <c r="B426" s="2">
        <f t="shared" si="1"/>
        <v>0</v>
      </c>
      <c r="D426" s="191"/>
      <c r="F426" s="194"/>
      <c r="G426" s="191"/>
      <c r="I426" s="194"/>
      <c r="J426" s="191"/>
      <c r="L426" s="194"/>
      <c r="M426" s="191"/>
      <c r="O426" s="194"/>
      <c r="P426" s="191"/>
      <c r="R426" s="194"/>
      <c r="S426" s="191"/>
      <c r="U426" s="194"/>
    </row>
    <row r="427">
      <c r="B427" s="2">
        <f t="shared" si="1"/>
        <v>0</v>
      </c>
      <c r="D427" s="191"/>
      <c r="F427" s="194"/>
      <c r="G427" s="191"/>
      <c r="I427" s="194"/>
      <c r="J427" s="191"/>
      <c r="L427" s="194"/>
      <c r="M427" s="191"/>
      <c r="O427" s="194"/>
      <c r="P427" s="191"/>
      <c r="R427" s="194"/>
      <c r="S427" s="191"/>
      <c r="U427" s="194"/>
    </row>
    <row r="428">
      <c r="B428" s="2">
        <f t="shared" si="1"/>
        <v>0</v>
      </c>
      <c r="D428" s="191"/>
      <c r="F428" s="194"/>
      <c r="G428" s="191"/>
      <c r="I428" s="194"/>
      <c r="J428" s="191"/>
      <c r="L428" s="194"/>
      <c r="M428" s="191"/>
      <c r="O428" s="194"/>
      <c r="P428" s="191"/>
      <c r="R428" s="194"/>
      <c r="S428" s="191"/>
      <c r="U428" s="194"/>
    </row>
    <row r="429">
      <c r="B429" s="2">
        <f t="shared" si="1"/>
        <v>0</v>
      </c>
      <c r="D429" s="191"/>
      <c r="F429" s="194"/>
      <c r="G429" s="191"/>
      <c r="I429" s="194"/>
      <c r="J429" s="191"/>
      <c r="L429" s="194"/>
      <c r="M429" s="191"/>
      <c r="O429" s="194"/>
      <c r="P429" s="191"/>
      <c r="R429" s="194"/>
      <c r="S429" s="191"/>
      <c r="U429" s="194"/>
    </row>
    <row r="430">
      <c r="B430" s="2">
        <f t="shared" si="1"/>
        <v>0</v>
      </c>
      <c r="D430" s="191"/>
      <c r="F430" s="194"/>
      <c r="G430" s="191"/>
      <c r="I430" s="194"/>
      <c r="J430" s="191"/>
      <c r="L430" s="194"/>
      <c r="M430" s="191"/>
      <c r="O430" s="194"/>
      <c r="P430" s="191"/>
      <c r="R430" s="194"/>
      <c r="S430" s="191"/>
      <c r="U430" s="194"/>
    </row>
    <row r="431">
      <c r="B431" s="2">
        <f t="shared" si="1"/>
        <v>0</v>
      </c>
      <c r="D431" s="191"/>
      <c r="F431" s="194"/>
      <c r="G431" s="191"/>
      <c r="I431" s="194"/>
      <c r="J431" s="191"/>
      <c r="L431" s="194"/>
      <c r="M431" s="191"/>
      <c r="O431" s="194"/>
      <c r="P431" s="191"/>
      <c r="R431" s="194"/>
      <c r="S431" s="191"/>
      <c r="U431" s="194"/>
    </row>
    <row r="432">
      <c r="B432" s="2">
        <f t="shared" si="1"/>
        <v>0</v>
      </c>
      <c r="D432" s="191"/>
      <c r="F432" s="194"/>
      <c r="G432" s="191"/>
      <c r="I432" s="194"/>
      <c r="J432" s="191"/>
      <c r="L432" s="194"/>
      <c r="M432" s="191"/>
      <c r="O432" s="194"/>
      <c r="P432" s="191"/>
      <c r="R432" s="194"/>
      <c r="S432" s="191"/>
      <c r="U432" s="194"/>
    </row>
    <row r="433">
      <c r="B433" s="2">
        <f t="shared" si="1"/>
        <v>0</v>
      </c>
      <c r="D433" s="191"/>
      <c r="F433" s="194"/>
      <c r="G433" s="191"/>
      <c r="I433" s="194"/>
      <c r="J433" s="191"/>
      <c r="L433" s="194"/>
      <c r="M433" s="191"/>
      <c r="O433" s="194"/>
      <c r="P433" s="191"/>
      <c r="R433" s="194"/>
      <c r="S433" s="191"/>
      <c r="U433" s="194"/>
    </row>
    <row r="434">
      <c r="B434" s="2">
        <f t="shared" si="1"/>
        <v>0</v>
      </c>
      <c r="D434" s="191"/>
      <c r="F434" s="194"/>
      <c r="G434" s="191"/>
      <c r="I434" s="194"/>
      <c r="J434" s="191"/>
      <c r="L434" s="194"/>
      <c r="M434" s="191"/>
      <c r="O434" s="194"/>
      <c r="P434" s="191"/>
      <c r="R434" s="194"/>
      <c r="S434" s="191"/>
      <c r="U434" s="194"/>
    </row>
    <row r="435">
      <c r="B435" s="2">
        <f t="shared" si="1"/>
        <v>0</v>
      </c>
      <c r="D435" s="191"/>
      <c r="F435" s="194"/>
      <c r="G435" s="191"/>
      <c r="I435" s="194"/>
      <c r="J435" s="191"/>
      <c r="L435" s="194"/>
      <c r="M435" s="191"/>
      <c r="O435" s="194"/>
      <c r="P435" s="191"/>
      <c r="R435" s="194"/>
      <c r="S435" s="191"/>
      <c r="U435" s="194"/>
    </row>
    <row r="436">
      <c r="B436" s="2">
        <f t="shared" si="1"/>
        <v>0</v>
      </c>
      <c r="D436" s="191"/>
      <c r="F436" s="194"/>
      <c r="G436" s="191"/>
      <c r="I436" s="194"/>
      <c r="J436" s="191"/>
      <c r="L436" s="194"/>
      <c r="M436" s="191"/>
      <c r="O436" s="194"/>
      <c r="P436" s="191"/>
      <c r="R436" s="194"/>
      <c r="S436" s="191"/>
      <c r="U436" s="194"/>
    </row>
    <row r="437">
      <c r="B437" s="2">
        <f t="shared" si="1"/>
        <v>0</v>
      </c>
      <c r="D437" s="191"/>
      <c r="F437" s="194"/>
      <c r="G437" s="191"/>
      <c r="I437" s="194"/>
      <c r="J437" s="191"/>
      <c r="L437" s="194"/>
      <c r="M437" s="191"/>
      <c r="O437" s="194"/>
      <c r="P437" s="191"/>
      <c r="R437" s="194"/>
      <c r="S437" s="191"/>
      <c r="U437" s="194"/>
    </row>
    <row r="438">
      <c r="B438" s="2">
        <f t="shared" si="1"/>
        <v>0</v>
      </c>
      <c r="D438" s="191"/>
      <c r="F438" s="194"/>
      <c r="G438" s="191"/>
      <c r="I438" s="194"/>
      <c r="J438" s="191"/>
      <c r="L438" s="194"/>
      <c r="M438" s="191"/>
      <c r="O438" s="194"/>
      <c r="P438" s="191"/>
      <c r="R438" s="194"/>
      <c r="S438" s="191"/>
      <c r="U438" s="194"/>
    </row>
    <row r="439">
      <c r="B439" s="2">
        <f t="shared" si="1"/>
        <v>0</v>
      </c>
      <c r="D439" s="191"/>
      <c r="F439" s="194"/>
      <c r="G439" s="191"/>
      <c r="I439" s="194"/>
      <c r="J439" s="191"/>
      <c r="L439" s="194"/>
      <c r="M439" s="191"/>
      <c r="O439" s="194"/>
      <c r="P439" s="191"/>
      <c r="R439" s="194"/>
      <c r="S439" s="191"/>
      <c r="U439" s="194"/>
    </row>
    <row r="440">
      <c r="B440" s="2">
        <f t="shared" si="1"/>
        <v>0</v>
      </c>
      <c r="D440" s="191"/>
      <c r="F440" s="194"/>
      <c r="G440" s="191"/>
      <c r="I440" s="194"/>
      <c r="J440" s="191"/>
      <c r="L440" s="194"/>
      <c r="M440" s="191"/>
      <c r="O440" s="194"/>
      <c r="P440" s="191"/>
      <c r="R440" s="194"/>
      <c r="S440" s="191"/>
      <c r="U440" s="194"/>
    </row>
    <row r="441">
      <c r="B441" s="2">
        <f t="shared" si="1"/>
        <v>0</v>
      </c>
      <c r="D441" s="191"/>
      <c r="F441" s="194"/>
      <c r="G441" s="191"/>
      <c r="I441" s="194"/>
      <c r="J441" s="191"/>
      <c r="L441" s="194"/>
      <c r="M441" s="191"/>
      <c r="O441" s="194"/>
      <c r="P441" s="191"/>
      <c r="R441" s="194"/>
      <c r="S441" s="191"/>
      <c r="U441" s="194"/>
    </row>
    <row r="442">
      <c r="B442" s="2">
        <f t="shared" si="1"/>
        <v>0</v>
      </c>
      <c r="D442" s="191"/>
      <c r="F442" s="194"/>
      <c r="G442" s="191"/>
      <c r="I442" s="194"/>
      <c r="J442" s="191"/>
      <c r="L442" s="194"/>
      <c r="M442" s="191"/>
      <c r="O442" s="194"/>
      <c r="P442" s="191"/>
      <c r="R442" s="194"/>
      <c r="S442" s="191"/>
      <c r="U442" s="194"/>
    </row>
    <row r="443">
      <c r="B443" s="2">
        <f t="shared" si="1"/>
        <v>0</v>
      </c>
      <c r="D443" s="191"/>
      <c r="F443" s="194"/>
      <c r="G443" s="191"/>
      <c r="I443" s="194"/>
      <c r="J443" s="191"/>
      <c r="L443" s="194"/>
      <c r="M443" s="191"/>
      <c r="O443" s="194"/>
      <c r="P443" s="191"/>
      <c r="R443" s="194"/>
      <c r="S443" s="191"/>
      <c r="U443" s="194"/>
    </row>
    <row r="444">
      <c r="B444" s="2">
        <f t="shared" si="1"/>
        <v>0</v>
      </c>
      <c r="D444" s="191"/>
      <c r="F444" s="194"/>
      <c r="G444" s="191"/>
      <c r="I444" s="194"/>
      <c r="J444" s="191"/>
      <c r="L444" s="194"/>
      <c r="M444" s="191"/>
      <c r="O444" s="194"/>
      <c r="P444" s="191"/>
      <c r="R444" s="194"/>
      <c r="S444" s="191"/>
      <c r="U444" s="194"/>
    </row>
    <row r="445">
      <c r="B445" s="2">
        <f t="shared" si="1"/>
        <v>0</v>
      </c>
      <c r="D445" s="191"/>
      <c r="F445" s="194"/>
      <c r="G445" s="191"/>
      <c r="I445" s="194"/>
      <c r="J445" s="191"/>
      <c r="L445" s="194"/>
      <c r="M445" s="191"/>
      <c r="O445" s="194"/>
      <c r="P445" s="191"/>
      <c r="R445" s="194"/>
      <c r="S445" s="191"/>
      <c r="U445" s="194"/>
    </row>
    <row r="446">
      <c r="B446" s="2">
        <f t="shared" si="1"/>
        <v>0</v>
      </c>
      <c r="D446" s="191"/>
      <c r="F446" s="194"/>
      <c r="G446" s="191"/>
      <c r="I446" s="194"/>
      <c r="J446" s="191"/>
      <c r="L446" s="194"/>
      <c r="M446" s="191"/>
      <c r="O446" s="194"/>
      <c r="P446" s="191"/>
      <c r="R446" s="194"/>
      <c r="S446" s="191"/>
      <c r="U446" s="194"/>
    </row>
    <row r="447">
      <c r="B447" s="2">
        <f t="shared" si="1"/>
        <v>0</v>
      </c>
      <c r="D447" s="191"/>
      <c r="F447" s="194"/>
      <c r="G447" s="191"/>
      <c r="I447" s="194"/>
      <c r="J447" s="191"/>
      <c r="L447" s="194"/>
      <c r="M447" s="191"/>
      <c r="O447" s="194"/>
      <c r="P447" s="191"/>
      <c r="R447" s="194"/>
      <c r="S447" s="191"/>
      <c r="U447" s="194"/>
    </row>
    <row r="448">
      <c r="B448" s="2">
        <f t="shared" si="1"/>
        <v>0</v>
      </c>
      <c r="D448" s="191"/>
      <c r="F448" s="194"/>
      <c r="G448" s="191"/>
      <c r="I448" s="194"/>
      <c r="J448" s="191"/>
      <c r="L448" s="194"/>
      <c r="M448" s="191"/>
      <c r="O448" s="194"/>
      <c r="P448" s="191"/>
      <c r="R448" s="194"/>
      <c r="S448" s="191"/>
      <c r="U448" s="194"/>
    </row>
    <row r="449">
      <c r="B449" s="2">
        <f t="shared" si="1"/>
        <v>0</v>
      </c>
      <c r="D449" s="191"/>
      <c r="F449" s="194"/>
      <c r="G449" s="191"/>
      <c r="I449" s="194"/>
      <c r="J449" s="191"/>
      <c r="L449" s="194"/>
      <c r="M449" s="191"/>
      <c r="O449" s="194"/>
      <c r="P449" s="191"/>
      <c r="R449" s="194"/>
      <c r="S449" s="191"/>
      <c r="U449" s="194"/>
    </row>
    <row r="450">
      <c r="B450" s="2">
        <f t="shared" si="1"/>
        <v>0</v>
      </c>
      <c r="D450" s="191"/>
      <c r="F450" s="194"/>
      <c r="G450" s="191"/>
      <c r="I450" s="194"/>
      <c r="J450" s="191"/>
      <c r="L450" s="194"/>
      <c r="M450" s="191"/>
      <c r="O450" s="194"/>
      <c r="P450" s="191"/>
      <c r="R450" s="194"/>
      <c r="S450" s="191"/>
      <c r="U450" s="194"/>
    </row>
    <row r="451">
      <c r="B451" s="2">
        <f t="shared" si="1"/>
        <v>0</v>
      </c>
      <c r="D451" s="191"/>
      <c r="F451" s="194"/>
      <c r="G451" s="191"/>
      <c r="I451" s="194"/>
      <c r="J451" s="191"/>
      <c r="L451" s="194"/>
      <c r="M451" s="191"/>
      <c r="O451" s="194"/>
      <c r="P451" s="191"/>
      <c r="R451" s="194"/>
      <c r="S451" s="191"/>
      <c r="U451" s="194"/>
    </row>
    <row r="452">
      <c r="B452" s="2">
        <f t="shared" si="1"/>
        <v>0</v>
      </c>
      <c r="D452" s="191"/>
      <c r="F452" s="194"/>
      <c r="G452" s="191"/>
      <c r="I452" s="194"/>
      <c r="J452" s="191"/>
      <c r="L452" s="194"/>
      <c r="M452" s="191"/>
      <c r="O452" s="194"/>
      <c r="P452" s="191"/>
      <c r="R452" s="194"/>
      <c r="S452" s="191"/>
      <c r="U452" s="194"/>
    </row>
    <row r="453">
      <c r="B453" s="2">
        <f t="shared" si="1"/>
        <v>0</v>
      </c>
      <c r="D453" s="191"/>
      <c r="F453" s="194"/>
      <c r="G453" s="191"/>
      <c r="I453" s="194"/>
      <c r="J453" s="191"/>
      <c r="L453" s="194"/>
      <c r="M453" s="191"/>
      <c r="O453" s="194"/>
      <c r="P453" s="191"/>
      <c r="R453" s="194"/>
      <c r="S453" s="191"/>
      <c r="U453" s="194"/>
    </row>
    <row r="454">
      <c r="B454" s="2">
        <f t="shared" si="1"/>
        <v>0</v>
      </c>
      <c r="D454" s="191"/>
      <c r="F454" s="194"/>
      <c r="G454" s="191"/>
      <c r="I454" s="194"/>
      <c r="J454" s="191"/>
      <c r="L454" s="194"/>
      <c r="M454" s="191"/>
      <c r="O454" s="194"/>
      <c r="P454" s="191"/>
      <c r="R454" s="194"/>
      <c r="S454" s="191"/>
      <c r="U454" s="194"/>
    </row>
    <row r="455">
      <c r="B455" s="2">
        <f t="shared" si="1"/>
        <v>0</v>
      </c>
      <c r="D455" s="191"/>
      <c r="F455" s="194"/>
      <c r="G455" s="191"/>
      <c r="I455" s="194"/>
      <c r="J455" s="191"/>
      <c r="L455" s="194"/>
      <c r="M455" s="191"/>
      <c r="O455" s="194"/>
      <c r="P455" s="191"/>
      <c r="R455" s="194"/>
      <c r="S455" s="191"/>
      <c r="U455" s="194"/>
    </row>
    <row r="456">
      <c r="B456" s="2">
        <f t="shared" si="1"/>
        <v>0</v>
      </c>
      <c r="D456" s="191"/>
      <c r="F456" s="194"/>
      <c r="G456" s="191"/>
      <c r="I456" s="194"/>
      <c r="J456" s="191"/>
      <c r="L456" s="194"/>
      <c r="M456" s="191"/>
      <c r="O456" s="194"/>
      <c r="P456" s="191"/>
      <c r="R456" s="194"/>
      <c r="S456" s="191"/>
      <c r="U456" s="194"/>
    </row>
    <row r="457">
      <c r="B457" s="2">
        <f t="shared" si="1"/>
        <v>0</v>
      </c>
      <c r="D457" s="191"/>
      <c r="F457" s="194"/>
      <c r="G457" s="191"/>
      <c r="I457" s="194"/>
      <c r="J457" s="191"/>
      <c r="L457" s="194"/>
      <c r="M457" s="191"/>
      <c r="O457" s="194"/>
      <c r="P457" s="191"/>
      <c r="R457" s="194"/>
      <c r="S457" s="191"/>
      <c r="U457" s="194"/>
    </row>
    <row r="458">
      <c r="B458" s="2">
        <f t="shared" si="1"/>
        <v>0</v>
      </c>
      <c r="D458" s="191"/>
      <c r="F458" s="194"/>
      <c r="G458" s="191"/>
      <c r="I458" s="194"/>
      <c r="J458" s="191"/>
      <c r="L458" s="194"/>
      <c r="M458" s="191"/>
      <c r="O458" s="194"/>
      <c r="P458" s="191"/>
      <c r="R458" s="194"/>
      <c r="S458" s="191"/>
      <c r="U458" s="194"/>
    </row>
    <row r="459">
      <c r="B459" s="2">
        <f t="shared" si="1"/>
        <v>0</v>
      </c>
      <c r="D459" s="191"/>
      <c r="F459" s="194"/>
      <c r="G459" s="191"/>
      <c r="I459" s="194"/>
      <c r="J459" s="191"/>
      <c r="L459" s="194"/>
      <c r="M459" s="191"/>
      <c r="O459" s="194"/>
      <c r="P459" s="191"/>
      <c r="R459" s="194"/>
      <c r="S459" s="191"/>
      <c r="U459" s="194"/>
    </row>
    <row r="460">
      <c r="B460" s="2">
        <f t="shared" si="1"/>
        <v>0</v>
      </c>
      <c r="D460" s="191"/>
      <c r="F460" s="194"/>
      <c r="G460" s="191"/>
      <c r="I460" s="194"/>
      <c r="J460" s="191"/>
      <c r="L460" s="194"/>
      <c r="M460" s="191"/>
      <c r="O460" s="194"/>
      <c r="P460" s="191"/>
      <c r="R460" s="194"/>
      <c r="S460" s="191"/>
      <c r="U460" s="194"/>
    </row>
    <row r="461">
      <c r="B461" s="2">
        <f t="shared" si="1"/>
        <v>0</v>
      </c>
      <c r="D461" s="191"/>
      <c r="F461" s="194"/>
      <c r="G461" s="191"/>
      <c r="I461" s="194"/>
      <c r="J461" s="191"/>
      <c r="L461" s="194"/>
      <c r="M461" s="191"/>
      <c r="O461" s="194"/>
      <c r="P461" s="191"/>
      <c r="R461" s="194"/>
      <c r="S461" s="191"/>
      <c r="U461" s="194"/>
    </row>
    <row r="462">
      <c r="B462" s="2">
        <f t="shared" si="1"/>
        <v>0</v>
      </c>
      <c r="D462" s="191"/>
      <c r="F462" s="194"/>
      <c r="G462" s="191"/>
      <c r="I462" s="194"/>
      <c r="J462" s="191"/>
      <c r="L462" s="194"/>
      <c r="M462" s="191"/>
      <c r="O462" s="194"/>
      <c r="P462" s="191"/>
      <c r="R462" s="194"/>
      <c r="S462" s="191"/>
      <c r="U462" s="194"/>
    </row>
    <row r="463">
      <c r="B463" s="2">
        <f t="shared" si="1"/>
        <v>0</v>
      </c>
      <c r="D463" s="191"/>
      <c r="F463" s="194"/>
      <c r="G463" s="191"/>
      <c r="I463" s="194"/>
      <c r="J463" s="191"/>
      <c r="L463" s="194"/>
      <c r="M463" s="191"/>
      <c r="O463" s="194"/>
      <c r="P463" s="191"/>
      <c r="R463" s="194"/>
      <c r="S463" s="191"/>
      <c r="U463" s="194"/>
    </row>
    <row r="464">
      <c r="B464" s="2">
        <f t="shared" si="1"/>
        <v>0</v>
      </c>
      <c r="D464" s="191"/>
      <c r="F464" s="194"/>
      <c r="G464" s="191"/>
      <c r="I464" s="194"/>
      <c r="J464" s="191"/>
      <c r="L464" s="194"/>
      <c r="M464" s="191"/>
      <c r="O464" s="194"/>
      <c r="P464" s="191"/>
      <c r="R464" s="194"/>
      <c r="S464" s="191"/>
      <c r="U464" s="194"/>
    </row>
    <row r="465">
      <c r="B465" s="2">
        <f t="shared" si="1"/>
        <v>0</v>
      </c>
      <c r="D465" s="191"/>
      <c r="F465" s="194"/>
      <c r="G465" s="191"/>
      <c r="I465" s="194"/>
      <c r="J465" s="191"/>
      <c r="L465" s="194"/>
      <c r="M465" s="191"/>
      <c r="O465" s="194"/>
      <c r="P465" s="191"/>
      <c r="R465" s="194"/>
      <c r="S465" s="191"/>
      <c r="U465" s="194"/>
    </row>
    <row r="466">
      <c r="B466" s="2">
        <f t="shared" si="1"/>
        <v>0</v>
      </c>
      <c r="D466" s="191"/>
      <c r="F466" s="194"/>
      <c r="G466" s="191"/>
      <c r="I466" s="194"/>
      <c r="J466" s="191"/>
      <c r="L466" s="194"/>
      <c r="M466" s="191"/>
      <c r="O466" s="194"/>
      <c r="P466" s="191"/>
      <c r="R466" s="194"/>
      <c r="S466" s="191"/>
      <c r="U466" s="194"/>
    </row>
    <row r="467">
      <c r="B467" s="2">
        <f t="shared" si="1"/>
        <v>0</v>
      </c>
      <c r="D467" s="191"/>
      <c r="F467" s="194"/>
      <c r="G467" s="191"/>
      <c r="I467" s="194"/>
      <c r="J467" s="191"/>
      <c r="L467" s="194"/>
      <c r="M467" s="191"/>
      <c r="O467" s="194"/>
      <c r="P467" s="191"/>
      <c r="R467" s="194"/>
      <c r="S467" s="191"/>
      <c r="U467" s="194"/>
    </row>
    <row r="468">
      <c r="B468" s="2">
        <f t="shared" si="1"/>
        <v>0</v>
      </c>
      <c r="D468" s="191"/>
      <c r="F468" s="194"/>
      <c r="G468" s="191"/>
      <c r="I468" s="194"/>
      <c r="J468" s="191"/>
      <c r="L468" s="194"/>
      <c r="M468" s="191"/>
      <c r="O468" s="194"/>
      <c r="P468" s="191"/>
      <c r="R468" s="194"/>
      <c r="S468" s="191"/>
      <c r="U468" s="194"/>
    </row>
    <row r="469">
      <c r="B469" s="2">
        <f t="shared" si="1"/>
        <v>0</v>
      </c>
      <c r="D469" s="191"/>
      <c r="F469" s="194"/>
      <c r="G469" s="191"/>
      <c r="I469" s="194"/>
      <c r="J469" s="191"/>
      <c r="L469" s="194"/>
      <c r="M469" s="191"/>
      <c r="O469" s="194"/>
      <c r="P469" s="191"/>
      <c r="R469" s="194"/>
      <c r="S469" s="191"/>
      <c r="U469" s="194"/>
    </row>
    <row r="470">
      <c r="B470" s="2">
        <f t="shared" si="1"/>
        <v>0</v>
      </c>
      <c r="D470" s="191"/>
      <c r="F470" s="194"/>
      <c r="G470" s="191"/>
      <c r="I470" s="194"/>
      <c r="J470" s="191"/>
      <c r="L470" s="194"/>
      <c r="M470" s="191"/>
      <c r="O470" s="194"/>
      <c r="P470" s="191"/>
      <c r="R470" s="194"/>
      <c r="S470" s="191"/>
      <c r="U470" s="194"/>
    </row>
    <row r="471">
      <c r="B471" s="2">
        <f t="shared" si="1"/>
        <v>0</v>
      </c>
      <c r="D471" s="191"/>
      <c r="F471" s="194"/>
      <c r="G471" s="191"/>
      <c r="I471" s="194"/>
      <c r="J471" s="191"/>
      <c r="L471" s="194"/>
      <c r="M471" s="191"/>
      <c r="O471" s="194"/>
      <c r="P471" s="191"/>
      <c r="R471" s="194"/>
      <c r="S471" s="191"/>
      <c r="U471" s="194"/>
    </row>
    <row r="472">
      <c r="B472" s="2">
        <f t="shared" si="1"/>
        <v>0</v>
      </c>
      <c r="D472" s="191"/>
      <c r="F472" s="194"/>
      <c r="G472" s="191"/>
      <c r="I472" s="194"/>
      <c r="J472" s="191"/>
      <c r="L472" s="194"/>
      <c r="M472" s="191"/>
      <c r="O472" s="194"/>
      <c r="P472" s="191"/>
      <c r="R472" s="194"/>
      <c r="S472" s="191"/>
      <c r="U472" s="194"/>
    </row>
    <row r="473">
      <c r="B473" s="2">
        <f t="shared" si="1"/>
        <v>0</v>
      </c>
      <c r="D473" s="191"/>
      <c r="F473" s="194"/>
      <c r="G473" s="191"/>
      <c r="I473" s="194"/>
      <c r="J473" s="191"/>
      <c r="L473" s="194"/>
      <c r="M473" s="191"/>
      <c r="O473" s="194"/>
      <c r="P473" s="191"/>
      <c r="R473" s="194"/>
      <c r="S473" s="191"/>
      <c r="U473" s="194"/>
    </row>
    <row r="474">
      <c r="B474" s="2">
        <f t="shared" si="1"/>
        <v>0</v>
      </c>
      <c r="D474" s="191"/>
      <c r="F474" s="194"/>
      <c r="G474" s="191"/>
      <c r="I474" s="194"/>
      <c r="J474" s="191"/>
      <c r="L474" s="194"/>
      <c r="M474" s="191"/>
      <c r="O474" s="194"/>
      <c r="P474" s="191"/>
      <c r="R474" s="194"/>
      <c r="S474" s="191"/>
      <c r="U474" s="194"/>
    </row>
    <row r="475">
      <c r="B475" s="2">
        <f t="shared" si="1"/>
        <v>0</v>
      </c>
      <c r="D475" s="191"/>
      <c r="F475" s="194"/>
      <c r="G475" s="191"/>
      <c r="I475" s="194"/>
      <c r="J475" s="191"/>
      <c r="L475" s="194"/>
      <c r="M475" s="191"/>
      <c r="O475" s="194"/>
      <c r="P475" s="191"/>
      <c r="R475" s="194"/>
      <c r="S475" s="191"/>
      <c r="U475" s="194"/>
    </row>
    <row r="476">
      <c r="B476" s="2">
        <f t="shared" si="1"/>
        <v>0</v>
      </c>
      <c r="D476" s="191"/>
      <c r="F476" s="194"/>
      <c r="G476" s="191"/>
      <c r="I476" s="194"/>
      <c r="J476" s="191"/>
      <c r="L476" s="194"/>
      <c r="M476" s="191"/>
      <c r="O476" s="194"/>
      <c r="P476" s="191"/>
      <c r="R476" s="194"/>
      <c r="S476" s="191"/>
      <c r="U476" s="194"/>
    </row>
    <row r="477">
      <c r="B477" s="2">
        <f t="shared" si="1"/>
        <v>0</v>
      </c>
      <c r="D477" s="191"/>
      <c r="F477" s="194"/>
      <c r="G477" s="191"/>
      <c r="I477" s="194"/>
      <c r="J477" s="191"/>
      <c r="L477" s="194"/>
      <c r="M477" s="191"/>
      <c r="O477" s="194"/>
      <c r="P477" s="191"/>
      <c r="R477" s="194"/>
      <c r="S477" s="191"/>
      <c r="U477" s="194"/>
    </row>
    <row r="478">
      <c r="B478" s="2">
        <f t="shared" si="1"/>
        <v>0</v>
      </c>
      <c r="D478" s="191"/>
      <c r="F478" s="194"/>
      <c r="G478" s="191"/>
      <c r="I478" s="194"/>
      <c r="J478" s="191"/>
      <c r="L478" s="194"/>
      <c r="M478" s="191"/>
      <c r="O478" s="194"/>
      <c r="P478" s="191"/>
      <c r="R478" s="194"/>
      <c r="S478" s="191"/>
      <c r="U478" s="194"/>
    </row>
    <row r="479">
      <c r="B479" s="2">
        <f t="shared" si="1"/>
        <v>0</v>
      </c>
      <c r="D479" s="191"/>
      <c r="F479" s="194"/>
      <c r="G479" s="191"/>
      <c r="I479" s="194"/>
      <c r="J479" s="191"/>
      <c r="L479" s="194"/>
      <c r="M479" s="191"/>
      <c r="O479" s="194"/>
      <c r="P479" s="191"/>
      <c r="R479" s="194"/>
      <c r="S479" s="191"/>
      <c r="U479" s="194"/>
    </row>
    <row r="480">
      <c r="B480" s="2">
        <f t="shared" si="1"/>
        <v>0</v>
      </c>
      <c r="D480" s="191"/>
      <c r="F480" s="194"/>
      <c r="G480" s="191"/>
      <c r="I480" s="194"/>
      <c r="J480" s="191"/>
      <c r="L480" s="194"/>
      <c r="M480" s="191"/>
      <c r="O480" s="194"/>
      <c r="P480" s="191"/>
      <c r="R480" s="194"/>
      <c r="S480" s="191"/>
      <c r="U480" s="194"/>
    </row>
    <row r="481">
      <c r="B481" s="2">
        <f t="shared" si="1"/>
        <v>0</v>
      </c>
      <c r="D481" s="191"/>
      <c r="F481" s="194"/>
      <c r="G481" s="191"/>
      <c r="I481" s="194"/>
      <c r="J481" s="191"/>
      <c r="L481" s="194"/>
      <c r="M481" s="191"/>
      <c r="O481" s="194"/>
      <c r="P481" s="191"/>
      <c r="R481" s="194"/>
      <c r="S481" s="191"/>
      <c r="U481" s="194"/>
    </row>
    <row r="482">
      <c r="B482" s="2">
        <f t="shared" si="1"/>
        <v>0</v>
      </c>
      <c r="D482" s="191"/>
      <c r="F482" s="194"/>
      <c r="G482" s="191"/>
      <c r="I482" s="194"/>
      <c r="J482" s="191"/>
      <c r="L482" s="194"/>
      <c r="M482" s="191"/>
      <c r="O482" s="194"/>
      <c r="P482" s="191"/>
      <c r="R482" s="194"/>
      <c r="S482" s="191"/>
      <c r="U482" s="194"/>
    </row>
    <row r="483">
      <c r="B483" s="2">
        <f t="shared" si="1"/>
        <v>0</v>
      </c>
      <c r="D483" s="191"/>
      <c r="F483" s="194"/>
      <c r="G483" s="191"/>
      <c r="I483" s="194"/>
      <c r="J483" s="191"/>
      <c r="L483" s="194"/>
      <c r="M483" s="191"/>
      <c r="O483" s="194"/>
      <c r="P483" s="191"/>
      <c r="R483" s="194"/>
      <c r="S483" s="191"/>
      <c r="U483" s="194"/>
    </row>
    <row r="484">
      <c r="B484" s="2">
        <f t="shared" si="1"/>
        <v>0</v>
      </c>
      <c r="D484" s="191"/>
      <c r="F484" s="194"/>
      <c r="G484" s="191"/>
      <c r="I484" s="194"/>
      <c r="J484" s="191"/>
      <c r="L484" s="194"/>
      <c r="M484" s="191"/>
      <c r="O484" s="194"/>
      <c r="P484" s="191"/>
      <c r="R484" s="194"/>
      <c r="S484" s="191"/>
      <c r="U484" s="194"/>
    </row>
    <row r="485">
      <c r="B485" s="2">
        <f t="shared" si="1"/>
        <v>0</v>
      </c>
      <c r="D485" s="191"/>
      <c r="F485" s="194"/>
      <c r="G485" s="191"/>
      <c r="I485" s="194"/>
      <c r="J485" s="191"/>
      <c r="L485" s="194"/>
      <c r="M485" s="191"/>
      <c r="O485" s="194"/>
      <c r="P485" s="191"/>
      <c r="R485" s="194"/>
      <c r="S485" s="191"/>
      <c r="U485" s="194"/>
    </row>
    <row r="486">
      <c r="B486" s="2">
        <f t="shared" si="1"/>
        <v>0</v>
      </c>
      <c r="D486" s="191"/>
      <c r="F486" s="194"/>
      <c r="G486" s="191"/>
      <c r="I486" s="194"/>
      <c r="J486" s="191"/>
      <c r="L486" s="194"/>
      <c r="M486" s="191"/>
      <c r="O486" s="194"/>
      <c r="P486" s="191"/>
      <c r="R486" s="194"/>
      <c r="S486" s="191"/>
      <c r="U486" s="194"/>
    </row>
    <row r="487">
      <c r="B487" s="2">
        <f t="shared" si="1"/>
        <v>0</v>
      </c>
      <c r="D487" s="191"/>
      <c r="F487" s="194"/>
      <c r="G487" s="191"/>
      <c r="I487" s="194"/>
      <c r="J487" s="191"/>
      <c r="L487" s="194"/>
      <c r="M487" s="191"/>
      <c r="O487" s="194"/>
      <c r="P487" s="191"/>
      <c r="R487" s="194"/>
      <c r="S487" s="191"/>
      <c r="U487" s="194"/>
    </row>
    <row r="488">
      <c r="B488" s="2">
        <f t="shared" si="1"/>
        <v>0</v>
      </c>
      <c r="D488" s="191"/>
      <c r="F488" s="194"/>
      <c r="G488" s="191"/>
      <c r="I488" s="194"/>
      <c r="J488" s="191"/>
      <c r="L488" s="194"/>
      <c r="M488" s="191"/>
      <c r="O488" s="194"/>
      <c r="P488" s="191"/>
      <c r="R488" s="194"/>
      <c r="S488" s="191"/>
      <c r="U488" s="194"/>
    </row>
    <row r="489">
      <c r="B489" s="2">
        <f t="shared" si="1"/>
        <v>0</v>
      </c>
      <c r="D489" s="191"/>
      <c r="F489" s="194"/>
      <c r="G489" s="191"/>
      <c r="I489" s="194"/>
      <c r="J489" s="191"/>
      <c r="L489" s="194"/>
      <c r="M489" s="191"/>
      <c r="O489" s="194"/>
      <c r="P489" s="191"/>
      <c r="R489" s="194"/>
      <c r="S489" s="191"/>
      <c r="U489" s="194"/>
    </row>
    <row r="490">
      <c r="B490" s="2">
        <f t="shared" si="1"/>
        <v>0</v>
      </c>
      <c r="D490" s="191"/>
      <c r="F490" s="194"/>
      <c r="G490" s="191"/>
      <c r="I490" s="194"/>
      <c r="J490" s="191"/>
      <c r="L490" s="194"/>
      <c r="M490" s="191"/>
      <c r="O490" s="194"/>
      <c r="P490" s="191"/>
      <c r="R490" s="194"/>
      <c r="S490" s="191"/>
      <c r="U490" s="194"/>
    </row>
    <row r="491">
      <c r="B491" s="2">
        <f t="shared" si="1"/>
        <v>0</v>
      </c>
      <c r="D491" s="191"/>
      <c r="F491" s="194"/>
      <c r="G491" s="191"/>
      <c r="I491" s="194"/>
      <c r="J491" s="191"/>
      <c r="L491" s="194"/>
      <c r="M491" s="191"/>
      <c r="O491" s="194"/>
      <c r="P491" s="191"/>
      <c r="R491" s="194"/>
      <c r="S491" s="191"/>
      <c r="U491" s="194"/>
    </row>
    <row r="492">
      <c r="B492" s="2">
        <f t="shared" si="1"/>
        <v>0</v>
      </c>
      <c r="D492" s="191"/>
      <c r="F492" s="194"/>
      <c r="G492" s="191"/>
      <c r="I492" s="194"/>
      <c r="J492" s="191"/>
      <c r="L492" s="194"/>
      <c r="M492" s="191"/>
      <c r="O492" s="194"/>
      <c r="P492" s="191"/>
      <c r="R492" s="194"/>
      <c r="S492" s="191"/>
      <c r="U492" s="194"/>
    </row>
    <row r="493">
      <c r="B493" s="2">
        <f t="shared" si="1"/>
        <v>0</v>
      </c>
      <c r="D493" s="191"/>
      <c r="F493" s="194"/>
      <c r="G493" s="191"/>
      <c r="I493" s="194"/>
      <c r="J493" s="191"/>
      <c r="L493" s="194"/>
      <c r="M493" s="191"/>
      <c r="O493" s="194"/>
      <c r="P493" s="191"/>
      <c r="R493" s="194"/>
      <c r="S493" s="191"/>
      <c r="U493" s="194"/>
    </row>
    <row r="494">
      <c r="B494" s="2">
        <f t="shared" si="1"/>
        <v>0</v>
      </c>
      <c r="D494" s="191"/>
      <c r="F494" s="194"/>
      <c r="G494" s="191"/>
      <c r="I494" s="194"/>
      <c r="J494" s="191"/>
      <c r="L494" s="194"/>
      <c r="M494" s="191"/>
      <c r="O494" s="194"/>
      <c r="P494" s="191"/>
      <c r="R494" s="194"/>
      <c r="S494" s="191"/>
      <c r="U494" s="194"/>
    </row>
    <row r="495">
      <c r="B495" s="2">
        <f t="shared" si="1"/>
        <v>0</v>
      </c>
      <c r="D495" s="191"/>
      <c r="F495" s="194"/>
      <c r="G495" s="191"/>
      <c r="I495" s="194"/>
      <c r="J495" s="191"/>
      <c r="L495" s="194"/>
      <c r="M495" s="191"/>
      <c r="O495" s="194"/>
      <c r="P495" s="191"/>
      <c r="R495" s="194"/>
      <c r="S495" s="191"/>
      <c r="U495" s="194"/>
    </row>
    <row r="496">
      <c r="B496" s="2">
        <f t="shared" si="1"/>
        <v>0</v>
      </c>
      <c r="D496" s="191"/>
      <c r="F496" s="194"/>
      <c r="G496" s="191"/>
      <c r="I496" s="194"/>
      <c r="J496" s="191"/>
      <c r="L496" s="194"/>
      <c r="M496" s="191"/>
      <c r="O496" s="194"/>
      <c r="P496" s="191"/>
      <c r="R496" s="194"/>
      <c r="S496" s="191"/>
      <c r="U496" s="194"/>
    </row>
    <row r="497">
      <c r="B497" s="2">
        <f t="shared" si="1"/>
        <v>0</v>
      </c>
      <c r="D497" s="191"/>
      <c r="F497" s="194"/>
      <c r="G497" s="191"/>
      <c r="I497" s="194"/>
      <c r="J497" s="191"/>
      <c r="L497" s="194"/>
      <c r="M497" s="191"/>
      <c r="O497" s="194"/>
      <c r="P497" s="191"/>
      <c r="R497" s="194"/>
      <c r="S497" s="191"/>
      <c r="U497" s="194"/>
    </row>
    <row r="498">
      <c r="B498" s="2">
        <f t="shared" si="1"/>
        <v>0</v>
      </c>
      <c r="D498" s="191"/>
      <c r="F498" s="194"/>
      <c r="G498" s="191"/>
      <c r="I498" s="194"/>
      <c r="J498" s="191"/>
      <c r="L498" s="194"/>
      <c r="M498" s="191"/>
      <c r="O498" s="194"/>
      <c r="P498" s="191"/>
      <c r="R498" s="194"/>
      <c r="S498" s="191"/>
      <c r="U498" s="194"/>
    </row>
    <row r="499">
      <c r="B499" s="2">
        <f t="shared" si="1"/>
        <v>0</v>
      </c>
      <c r="D499" s="191"/>
      <c r="F499" s="194"/>
      <c r="G499" s="191"/>
      <c r="I499" s="194"/>
      <c r="J499" s="191"/>
      <c r="L499" s="194"/>
      <c r="M499" s="191"/>
      <c r="O499" s="194"/>
      <c r="P499" s="191"/>
      <c r="R499" s="194"/>
      <c r="S499" s="191"/>
      <c r="U499" s="194"/>
    </row>
    <row r="500">
      <c r="B500" s="2">
        <f t="shared" si="1"/>
        <v>0</v>
      </c>
      <c r="D500" s="191"/>
      <c r="F500" s="194"/>
      <c r="G500" s="191"/>
      <c r="I500" s="194"/>
      <c r="J500" s="191"/>
      <c r="L500" s="194"/>
      <c r="M500" s="191"/>
      <c r="O500" s="194"/>
      <c r="P500" s="191"/>
      <c r="R500" s="194"/>
      <c r="S500" s="191"/>
      <c r="U500" s="194"/>
    </row>
    <row r="501">
      <c r="B501" s="2">
        <f t="shared" si="1"/>
        <v>0</v>
      </c>
      <c r="D501" s="191"/>
      <c r="F501" s="194"/>
      <c r="G501" s="191"/>
      <c r="I501" s="194"/>
      <c r="J501" s="191"/>
      <c r="L501" s="194"/>
      <c r="M501" s="191"/>
      <c r="O501" s="194"/>
      <c r="P501" s="191"/>
      <c r="R501" s="194"/>
      <c r="S501" s="191"/>
      <c r="U501" s="194"/>
    </row>
    <row r="502">
      <c r="B502" s="2">
        <f t="shared" si="1"/>
        <v>0</v>
      </c>
      <c r="D502" s="191"/>
      <c r="F502" s="194"/>
      <c r="G502" s="191"/>
      <c r="I502" s="194"/>
      <c r="J502" s="191"/>
      <c r="L502" s="194"/>
      <c r="M502" s="191"/>
      <c r="O502" s="194"/>
      <c r="P502" s="191"/>
      <c r="R502" s="194"/>
      <c r="S502" s="191"/>
      <c r="U502" s="194"/>
    </row>
    <row r="503">
      <c r="B503" s="2">
        <f t="shared" si="1"/>
        <v>0</v>
      </c>
      <c r="D503" s="191"/>
      <c r="F503" s="194"/>
      <c r="G503" s="191"/>
      <c r="I503" s="194"/>
      <c r="J503" s="191"/>
      <c r="L503" s="194"/>
      <c r="M503" s="191"/>
      <c r="O503" s="194"/>
      <c r="P503" s="191"/>
      <c r="R503" s="194"/>
      <c r="S503" s="191"/>
      <c r="U503" s="194"/>
    </row>
    <row r="504">
      <c r="B504" s="2">
        <f t="shared" si="1"/>
        <v>0</v>
      </c>
      <c r="D504" s="191"/>
      <c r="F504" s="194"/>
      <c r="G504" s="191"/>
      <c r="I504" s="194"/>
      <c r="J504" s="191"/>
      <c r="L504" s="194"/>
      <c r="M504" s="191"/>
      <c r="O504" s="194"/>
      <c r="P504" s="191"/>
      <c r="R504" s="194"/>
      <c r="S504" s="191"/>
      <c r="U504" s="194"/>
    </row>
    <row r="505">
      <c r="B505" s="2">
        <f t="shared" si="1"/>
        <v>0</v>
      </c>
      <c r="D505" s="191"/>
      <c r="F505" s="194"/>
      <c r="G505" s="191"/>
      <c r="I505" s="194"/>
      <c r="J505" s="191"/>
      <c r="L505" s="194"/>
      <c r="M505" s="191"/>
      <c r="O505" s="194"/>
      <c r="P505" s="191"/>
      <c r="R505" s="194"/>
      <c r="S505" s="191"/>
      <c r="U505" s="194"/>
    </row>
    <row r="506">
      <c r="B506" s="2">
        <f t="shared" si="1"/>
        <v>0</v>
      </c>
      <c r="D506" s="191"/>
      <c r="F506" s="194"/>
      <c r="G506" s="191"/>
      <c r="I506" s="194"/>
      <c r="J506" s="191"/>
      <c r="L506" s="194"/>
      <c r="M506" s="191"/>
      <c r="O506" s="194"/>
      <c r="P506" s="191"/>
      <c r="R506" s="194"/>
      <c r="S506" s="191"/>
      <c r="U506" s="194"/>
    </row>
    <row r="507">
      <c r="B507" s="2">
        <f t="shared" si="1"/>
        <v>0</v>
      </c>
      <c r="D507" s="191"/>
      <c r="F507" s="194"/>
      <c r="G507" s="191"/>
      <c r="I507" s="194"/>
      <c r="J507" s="191"/>
      <c r="L507" s="194"/>
      <c r="M507" s="191"/>
      <c r="O507" s="194"/>
      <c r="P507" s="191"/>
      <c r="R507" s="194"/>
      <c r="S507" s="191"/>
      <c r="U507" s="194"/>
    </row>
    <row r="508">
      <c r="B508" s="2">
        <f t="shared" si="1"/>
        <v>0</v>
      </c>
      <c r="D508" s="191"/>
      <c r="F508" s="194"/>
      <c r="G508" s="191"/>
      <c r="I508" s="194"/>
      <c r="J508" s="191"/>
      <c r="L508" s="194"/>
      <c r="M508" s="191"/>
      <c r="O508" s="194"/>
      <c r="P508" s="191"/>
      <c r="R508" s="194"/>
      <c r="S508" s="191"/>
      <c r="U508" s="194"/>
    </row>
    <row r="509">
      <c r="B509" s="2">
        <f t="shared" si="1"/>
        <v>0</v>
      </c>
      <c r="D509" s="191"/>
      <c r="F509" s="194"/>
      <c r="G509" s="191"/>
      <c r="I509" s="194"/>
      <c r="J509" s="191"/>
      <c r="L509" s="194"/>
      <c r="M509" s="191"/>
      <c r="O509" s="194"/>
      <c r="P509" s="191"/>
      <c r="R509" s="194"/>
      <c r="S509" s="191"/>
      <c r="U509" s="194"/>
    </row>
    <row r="510">
      <c r="B510" s="2">
        <f t="shared" si="1"/>
        <v>0</v>
      </c>
      <c r="D510" s="191"/>
      <c r="F510" s="194"/>
      <c r="G510" s="191"/>
      <c r="I510" s="194"/>
      <c r="J510" s="191"/>
      <c r="L510" s="194"/>
      <c r="M510" s="191"/>
      <c r="O510" s="194"/>
      <c r="P510" s="191"/>
      <c r="R510" s="194"/>
      <c r="S510" s="191"/>
      <c r="U510" s="194"/>
    </row>
    <row r="511">
      <c r="B511" s="2">
        <f t="shared" si="1"/>
        <v>0</v>
      </c>
      <c r="D511" s="191"/>
      <c r="F511" s="194"/>
      <c r="G511" s="191"/>
      <c r="I511" s="194"/>
      <c r="J511" s="191"/>
      <c r="L511" s="194"/>
      <c r="M511" s="191"/>
      <c r="O511" s="194"/>
      <c r="P511" s="191"/>
      <c r="R511" s="194"/>
      <c r="S511" s="191"/>
      <c r="U511" s="194"/>
    </row>
    <row r="512">
      <c r="B512" s="2">
        <f t="shared" si="1"/>
        <v>0</v>
      </c>
      <c r="D512" s="191"/>
      <c r="F512" s="194"/>
      <c r="G512" s="191"/>
      <c r="I512" s="194"/>
      <c r="J512" s="191"/>
      <c r="L512" s="194"/>
      <c r="M512" s="191"/>
      <c r="O512" s="194"/>
      <c r="P512" s="191"/>
      <c r="R512" s="194"/>
      <c r="S512" s="191"/>
      <c r="U512" s="194"/>
    </row>
    <row r="513">
      <c r="B513" s="2">
        <f t="shared" si="1"/>
        <v>0</v>
      </c>
      <c r="D513" s="191"/>
      <c r="F513" s="194"/>
      <c r="G513" s="191"/>
      <c r="I513" s="194"/>
      <c r="J513" s="191"/>
      <c r="L513" s="194"/>
      <c r="M513" s="191"/>
      <c r="O513" s="194"/>
      <c r="P513" s="191"/>
      <c r="R513" s="194"/>
      <c r="S513" s="191"/>
      <c r="U513" s="194"/>
    </row>
    <row r="514">
      <c r="B514" s="2">
        <f t="shared" si="1"/>
        <v>0</v>
      </c>
      <c r="D514" s="191"/>
      <c r="F514" s="194"/>
      <c r="G514" s="191"/>
      <c r="I514" s="194"/>
      <c r="J514" s="191"/>
      <c r="L514" s="194"/>
      <c r="M514" s="191"/>
      <c r="O514" s="194"/>
      <c r="P514" s="191"/>
      <c r="R514" s="194"/>
      <c r="S514" s="191"/>
      <c r="U514" s="194"/>
    </row>
    <row r="515">
      <c r="B515" s="2">
        <f t="shared" si="1"/>
        <v>0</v>
      </c>
      <c r="D515" s="191"/>
      <c r="F515" s="194"/>
      <c r="G515" s="191"/>
      <c r="I515" s="194"/>
      <c r="J515" s="191"/>
      <c r="L515" s="194"/>
      <c r="M515" s="191"/>
      <c r="O515" s="194"/>
      <c r="P515" s="191"/>
      <c r="R515" s="194"/>
      <c r="S515" s="191"/>
      <c r="U515" s="194"/>
    </row>
    <row r="516">
      <c r="B516" s="2">
        <f t="shared" si="1"/>
        <v>0</v>
      </c>
      <c r="D516" s="191"/>
      <c r="F516" s="194"/>
      <c r="G516" s="191"/>
      <c r="I516" s="194"/>
      <c r="J516" s="191"/>
      <c r="L516" s="194"/>
      <c r="M516" s="191"/>
      <c r="O516" s="194"/>
      <c r="P516" s="191"/>
      <c r="R516" s="194"/>
      <c r="S516" s="191"/>
      <c r="U516" s="194"/>
    </row>
    <row r="517">
      <c r="B517" s="2">
        <f t="shared" si="1"/>
        <v>0</v>
      </c>
      <c r="D517" s="191"/>
      <c r="F517" s="194"/>
      <c r="G517" s="191"/>
      <c r="I517" s="194"/>
      <c r="J517" s="191"/>
      <c r="L517" s="194"/>
      <c r="M517" s="191"/>
      <c r="O517" s="194"/>
      <c r="P517" s="191"/>
      <c r="R517" s="194"/>
      <c r="S517" s="191"/>
      <c r="U517" s="194"/>
    </row>
    <row r="518">
      <c r="B518" s="2">
        <f t="shared" si="1"/>
        <v>0</v>
      </c>
      <c r="D518" s="191"/>
      <c r="F518" s="194"/>
      <c r="G518" s="191"/>
      <c r="I518" s="194"/>
      <c r="J518" s="191"/>
      <c r="L518" s="194"/>
      <c r="M518" s="191"/>
      <c r="O518" s="194"/>
      <c r="P518" s="191"/>
      <c r="R518" s="194"/>
      <c r="S518" s="191"/>
      <c r="U518" s="194"/>
    </row>
    <row r="519">
      <c r="B519" s="2">
        <f t="shared" si="1"/>
        <v>0</v>
      </c>
      <c r="D519" s="191"/>
      <c r="F519" s="194"/>
      <c r="G519" s="191"/>
      <c r="I519" s="194"/>
      <c r="J519" s="191"/>
      <c r="L519" s="194"/>
      <c r="M519" s="191"/>
      <c r="O519" s="194"/>
      <c r="P519" s="191"/>
      <c r="R519" s="194"/>
      <c r="S519" s="191"/>
      <c r="U519" s="194"/>
    </row>
    <row r="520">
      <c r="B520" s="2">
        <f t="shared" si="1"/>
        <v>0</v>
      </c>
      <c r="D520" s="191"/>
      <c r="F520" s="194"/>
      <c r="G520" s="191"/>
      <c r="I520" s="194"/>
      <c r="J520" s="191"/>
      <c r="L520" s="194"/>
      <c r="M520" s="191"/>
      <c r="O520" s="194"/>
      <c r="P520" s="191"/>
      <c r="R520" s="194"/>
      <c r="S520" s="191"/>
      <c r="U520" s="194"/>
    </row>
    <row r="521">
      <c r="B521" s="2">
        <f t="shared" si="1"/>
        <v>0</v>
      </c>
      <c r="D521" s="191"/>
      <c r="F521" s="194"/>
      <c r="G521" s="191"/>
      <c r="I521" s="194"/>
      <c r="J521" s="191"/>
      <c r="L521" s="194"/>
      <c r="M521" s="191"/>
      <c r="O521" s="194"/>
      <c r="P521" s="191"/>
      <c r="R521" s="194"/>
      <c r="S521" s="191"/>
      <c r="U521" s="194"/>
    </row>
    <row r="522">
      <c r="B522" s="2">
        <f t="shared" si="1"/>
        <v>0</v>
      </c>
      <c r="D522" s="191"/>
      <c r="F522" s="194"/>
      <c r="G522" s="191"/>
      <c r="I522" s="194"/>
      <c r="J522" s="191"/>
      <c r="L522" s="194"/>
      <c r="M522" s="191"/>
      <c r="O522" s="194"/>
      <c r="P522" s="191"/>
      <c r="R522" s="194"/>
      <c r="S522" s="191"/>
      <c r="U522" s="194"/>
    </row>
    <row r="523">
      <c r="B523" s="2">
        <f t="shared" si="1"/>
        <v>0</v>
      </c>
      <c r="D523" s="191"/>
      <c r="F523" s="194"/>
      <c r="G523" s="191"/>
      <c r="I523" s="194"/>
      <c r="J523" s="191"/>
      <c r="L523" s="194"/>
      <c r="M523" s="191"/>
      <c r="O523" s="194"/>
      <c r="P523" s="191"/>
      <c r="R523" s="194"/>
      <c r="S523" s="191"/>
      <c r="U523" s="194"/>
    </row>
    <row r="524">
      <c r="B524" s="2">
        <f t="shared" si="1"/>
        <v>0</v>
      </c>
      <c r="D524" s="191"/>
      <c r="F524" s="194"/>
      <c r="G524" s="191"/>
      <c r="I524" s="194"/>
      <c r="J524" s="191"/>
      <c r="L524" s="194"/>
      <c r="M524" s="191"/>
      <c r="O524" s="194"/>
      <c r="P524" s="191"/>
      <c r="R524" s="194"/>
      <c r="S524" s="191"/>
      <c r="U524" s="194"/>
    </row>
    <row r="525">
      <c r="B525" s="2">
        <f t="shared" si="1"/>
        <v>0</v>
      </c>
      <c r="D525" s="191"/>
      <c r="F525" s="194"/>
      <c r="G525" s="191"/>
      <c r="I525" s="194"/>
      <c r="J525" s="191"/>
      <c r="L525" s="194"/>
      <c r="M525" s="191"/>
      <c r="O525" s="194"/>
      <c r="P525" s="191"/>
      <c r="R525" s="194"/>
      <c r="S525" s="191"/>
      <c r="U525" s="194"/>
    </row>
    <row r="526">
      <c r="B526" s="2">
        <f t="shared" si="1"/>
        <v>0</v>
      </c>
      <c r="D526" s="191"/>
      <c r="F526" s="194"/>
      <c r="G526" s="191"/>
      <c r="I526" s="194"/>
      <c r="J526" s="191"/>
      <c r="L526" s="194"/>
      <c r="M526" s="191"/>
      <c r="O526" s="194"/>
      <c r="P526" s="191"/>
      <c r="R526" s="194"/>
      <c r="S526" s="191"/>
      <c r="U526" s="194"/>
    </row>
    <row r="527">
      <c r="B527" s="2">
        <f t="shared" si="1"/>
        <v>0</v>
      </c>
      <c r="D527" s="191"/>
      <c r="F527" s="194"/>
      <c r="G527" s="191"/>
      <c r="I527" s="194"/>
      <c r="J527" s="191"/>
      <c r="L527" s="194"/>
      <c r="M527" s="191"/>
      <c r="O527" s="194"/>
      <c r="P527" s="191"/>
      <c r="R527" s="194"/>
      <c r="S527" s="191"/>
      <c r="U527" s="194"/>
    </row>
    <row r="528">
      <c r="B528" s="2">
        <f t="shared" si="1"/>
        <v>0</v>
      </c>
      <c r="D528" s="191"/>
      <c r="F528" s="194"/>
      <c r="G528" s="191"/>
      <c r="I528" s="194"/>
      <c r="J528" s="191"/>
      <c r="L528" s="194"/>
      <c r="M528" s="191"/>
      <c r="O528" s="194"/>
      <c r="P528" s="191"/>
      <c r="R528" s="194"/>
      <c r="S528" s="191"/>
      <c r="U528" s="194"/>
    </row>
    <row r="529">
      <c r="B529" s="2">
        <f t="shared" si="1"/>
        <v>0</v>
      </c>
      <c r="D529" s="191"/>
      <c r="F529" s="194"/>
      <c r="G529" s="191"/>
      <c r="I529" s="194"/>
      <c r="J529" s="191"/>
      <c r="L529" s="194"/>
      <c r="M529" s="191"/>
      <c r="O529" s="194"/>
      <c r="P529" s="191"/>
      <c r="R529" s="194"/>
      <c r="S529" s="191"/>
      <c r="U529" s="194"/>
    </row>
    <row r="530">
      <c r="B530" s="2">
        <f t="shared" si="1"/>
        <v>0</v>
      </c>
      <c r="D530" s="191"/>
      <c r="F530" s="194"/>
      <c r="G530" s="191"/>
      <c r="I530" s="194"/>
      <c r="J530" s="191"/>
      <c r="L530" s="194"/>
      <c r="M530" s="191"/>
      <c r="O530" s="194"/>
      <c r="P530" s="191"/>
      <c r="R530" s="194"/>
      <c r="S530" s="191"/>
      <c r="U530" s="194"/>
    </row>
    <row r="531">
      <c r="B531" s="2">
        <f t="shared" si="1"/>
        <v>0</v>
      </c>
      <c r="D531" s="191"/>
      <c r="F531" s="194"/>
      <c r="G531" s="191"/>
      <c r="I531" s="194"/>
      <c r="J531" s="191"/>
      <c r="L531" s="194"/>
      <c r="M531" s="191"/>
      <c r="O531" s="194"/>
      <c r="P531" s="191"/>
      <c r="R531" s="194"/>
      <c r="S531" s="191"/>
      <c r="U531" s="194"/>
    </row>
    <row r="532">
      <c r="B532" s="2">
        <f t="shared" si="1"/>
        <v>0</v>
      </c>
      <c r="D532" s="191"/>
      <c r="F532" s="194"/>
      <c r="G532" s="191"/>
      <c r="I532" s="194"/>
      <c r="J532" s="191"/>
      <c r="L532" s="194"/>
      <c r="M532" s="191"/>
      <c r="O532" s="194"/>
      <c r="P532" s="191"/>
      <c r="R532" s="194"/>
      <c r="S532" s="191"/>
      <c r="U532" s="194"/>
    </row>
    <row r="533">
      <c r="B533" s="2">
        <f t="shared" si="1"/>
        <v>0</v>
      </c>
      <c r="D533" s="191"/>
      <c r="F533" s="194"/>
      <c r="G533" s="191"/>
      <c r="I533" s="194"/>
      <c r="J533" s="191"/>
      <c r="L533" s="194"/>
      <c r="M533" s="191"/>
      <c r="O533" s="194"/>
      <c r="P533" s="191"/>
      <c r="R533" s="194"/>
      <c r="S533" s="191"/>
      <c r="U533" s="194"/>
    </row>
    <row r="534">
      <c r="B534" s="2">
        <f t="shared" si="1"/>
        <v>0</v>
      </c>
      <c r="D534" s="191"/>
      <c r="F534" s="194"/>
      <c r="G534" s="191"/>
      <c r="I534" s="194"/>
      <c r="J534" s="191"/>
      <c r="L534" s="194"/>
      <c r="M534" s="191"/>
      <c r="O534" s="194"/>
      <c r="P534" s="191"/>
      <c r="R534" s="194"/>
      <c r="S534" s="191"/>
      <c r="U534" s="194"/>
    </row>
    <row r="535">
      <c r="B535" s="2">
        <f t="shared" si="1"/>
        <v>0</v>
      </c>
      <c r="D535" s="191"/>
      <c r="F535" s="194"/>
      <c r="G535" s="191"/>
      <c r="I535" s="194"/>
      <c r="J535" s="191"/>
      <c r="L535" s="194"/>
      <c r="M535" s="191"/>
      <c r="O535" s="194"/>
      <c r="P535" s="191"/>
      <c r="R535" s="194"/>
      <c r="S535" s="191"/>
      <c r="U535" s="194"/>
    </row>
    <row r="536">
      <c r="B536" s="2">
        <f t="shared" si="1"/>
        <v>0</v>
      </c>
      <c r="D536" s="191"/>
      <c r="F536" s="194"/>
      <c r="G536" s="191"/>
      <c r="I536" s="194"/>
      <c r="J536" s="191"/>
      <c r="L536" s="194"/>
      <c r="M536" s="191"/>
      <c r="O536" s="194"/>
      <c r="P536" s="191"/>
      <c r="R536" s="194"/>
      <c r="S536" s="191"/>
      <c r="U536" s="194"/>
    </row>
    <row r="537">
      <c r="B537" s="2">
        <f t="shared" si="1"/>
        <v>0</v>
      </c>
      <c r="D537" s="191"/>
      <c r="F537" s="194"/>
      <c r="G537" s="191"/>
      <c r="I537" s="194"/>
      <c r="J537" s="191"/>
      <c r="L537" s="194"/>
      <c r="M537" s="191"/>
      <c r="O537" s="194"/>
      <c r="P537" s="191"/>
      <c r="R537" s="194"/>
      <c r="S537" s="191"/>
      <c r="U537" s="194"/>
    </row>
    <row r="538">
      <c r="B538" s="2">
        <f t="shared" si="1"/>
        <v>0</v>
      </c>
      <c r="D538" s="191"/>
      <c r="F538" s="194"/>
      <c r="G538" s="191"/>
      <c r="I538" s="194"/>
      <c r="J538" s="191"/>
      <c r="L538" s="194"/>
      <c r="M538" s="191"/>
      <c r="O538" s="194"/>
      <c r="P538" s="191"/>
      <c r="R538" s="194"/>
      <c r="S538" s="191"/>
      <c r="U538" s="194"/>
    </row>
    <row r="539">
      <c r="B539" s="2">
        <f t="shared" si="1"/>
        <v>0</v>
      </c>
      <c r="D539" s="191"/>
      <c r="F539" s="194"/>
      <c r="G539" s="191"/>
      <c r="I539" s="194"/>
      <c r="J539" s="191"/>
      <c r="L539" s="194"/>
      <c r="M539" s="191"/>
      <c r="O539" s="194"/>
      <c r="P539" s="191"/>
      <c r="R539" s="194"/>
      <c r="S539" s="191"/>
      <c r="U539" s="194"/>
    </row>
    <row r="540">
      <c r="B540" s="2">
        <f t="shared" si="1"/>
        <v>0</v>
      </c>
      <c r="D540" s="191"/>
      <c r="F540" s="194"/>
      <c r="G540" s="191"/>
      <c r="I540" s="194"/>
      <c r="J540" s="191"/>
      <c r="L540" s="194"/>
      <c r="M540" s="191"/>
      <c r="O540" s="194"/>
      <c r="P540" s="191"/>
      <c r="R540" s="194"/>
      <c r="S540" s="191"/>
      <c r="U540" s="194"/>
    </row>
    <row r="541">
      <c r="B541" s="2">
        <f t="shared" si="1"/>
        <v>0</v>
      </c>
      <c r="D541" s="191"/>
      <c r="F541" s="194"/>
      <c r="G541" s="191"/>
      <c r="I541" s="194"/>
      <c r="J541" s="191"/>
      <c r="L541" s="194"/>
      <c r="M541" s="191"/>
      <c r="O541" s="194"/>
      <c r="P541" s="191"/>
      <c r="R541" s="194"/>
      <c r="S541" s="191"/>
      <c r="U541" s="194"/>
    </row>
    <row r="542">
      <c r="B542" s="2">
        <f t="shared" si="1"/>
        <v>0</v>
      </c>
      <c r="D542" s="191"/>
      <c r="F542" s="194"/>
      <c r="G542" s="191"/>
      <c r="I542" s="194"/>
      <c r="J542" s="191"/>
      <c r="L542" s="194"/>
      <c r="M542" s="191"/>
      <c r="O542" s="194"/>
      <c r="P542" s="191"/>
      <c r="R542" s="194"/>
      <c r="S542" s="191"/>
      <c r="U542" s="194"/>
    </row>
    <row r="543">
      <c r="B543" s="2">
        <f t="shared" si="1"/>
        <v>0</v>
      </c>
      <c r="D543" s="191"/>
      <c r="F543" s="194"/>
      <c r="G543" s="191"/>
      <c r="I543" s="194"/>
      <c r="J543" s="191"/>
      <c r="L543" s="194"/>
      <c r="M543" s="191"/>
      <c r="O543" s="194"/>
      <c r="P543" s="191"/>
      <c r="R543" s="194"/>
      <c r="S543" s="191"/>
      <c r="U543" s="194"/>
    </row>
    <row r="544">
      <c r="B544" s="2">
        <f t="shared" si="1"/>
        <v>0</v>
      </c>
      <c r="D544" s="191"/>
      <c r="F544" s="194"/>
      <c r="G544" s="191"/>
      <c r="I544" s="194"/>
      <c r="J544" s="191"/>
      <c r="L544" s="194"/>
      <c r="M544" s="191"/>
      <c r="O544" s="194"/>
      <c r="P544" s="191"/>
      <c r="R544" s="194"/>
      <c r="S544" s="191"/>
      <c r="U544" s="194"/>
    </row>
    <row r="545">
      <c r="B545" s="2">
        <f t="shared" si="1"/>
        <v>0</v>
      </c>
      <c r="D545" s="191"/>
      <c r="F545" s="194"/>
      <c r="G545" s="191"/>
      <c r="I545" s="194"/>
      <c r="J545" s="191"/>
      <c r="L545" s="194"/>
      <c r="M545" s="191"/>
      <c r="O545" s="194"/>
      <c r="P545" s="191"/>
      <c r="R545" s="194"/>
      <c r="S545" s="191"/>
      <c r="U545" s="194"/>
    </row>
    <row r="546">
      <c r="B546" s="2">
        <f t="shared" si="1"/>
        <v>0</v>
      </c>
      <c r="D546" s="191"/>
      <c r="F546" s="194"/>
      <c r="G546" s="191"/>
      <c r="I546" s="194"/>
      <c r="J546" s="191"/>
      <c r="L546" s="194"/>
      <c r="M546" s="191"/>
      <c r="O546" s="194"/>
      <c r="P546" s="191"/>
      <c r="R546" s="194"/>
      <c r="S546" s="191"/>
      <c r="U546" s="194"/>
    </row>
    <row r="547">
      <c r="B547" s="2">
        <f t="shared" si="1"/>
        <v>0</v>
      </c>
      <c r="D547" s="191"/>
      <c r="F547" s="194"/>
      <c r="G547" s="191"/>
      <c r="I547" s="194"/>
      <c r="J547" s="191"/>
      <c r="L547" s="194"/>
      <c r="M547" s="191"/>
      <c r="O547" s="194"/>
      <c r="P547" s="191"/>
      <c r="R547" s="194"/>
      <c r="S547" s="191"/>
      <c r="U547" s="194"/>
    </row>
    <row r="548">
      <c r="B548" s="2">
        <f t="shared" si="1"/>
        <v>0</v>
      </c>
      <c r="D548" s="191"/>
      <c r="F548" s="194"/>
      <c r="G548" s="191"/>
      <c r="I548" s="194"/>
      <c r="J548" s="191"/>
      <c r="L548" s="194"/>
      <c r="M548" s="191"/>
      <c r="O548" s="194"/>
      <c r="P548" s="191"/>
      <c r="R548" s="194"/>
      <c r="S548" s="191"/>
      <c r="U548" s="194"/>
    </row>
    <row r="549">
      <c r="B549" s="2">
        <f t="shared" si="1"/>
        <v>0</v>
      </c>
      <c r="D549" s="191"/>
      <c r="F549" s="194"/>
      <c r="G549" s="191"/>
      <c r="I549" s="194"/>
      <c r="J549" s="191"/>
      <c r="L549" s="194"/>
      <c r="M549" s="191"/>
      <c r="O549" s="194"/>
      <c r="P549" s="191"/>
      <c r="R549" s="194"/>
      <c r="S549" s="191"/>
      <c r="U549" s="194"/>
    </row>
    <row r="550">
      <c r="B550" s="2">
        <f t="shared" si="1"/>
        <v>0</v>
      </c>
      <c r="D550" s="191"/>
      <c r="F550" s="194"/>
      <c r="G550" s="191"/>
      <c r="I550" s="194"/>
      <c r="J550" s="191"/>
      <c r="L550" s="194"/>
      <c r="M550" s="191"/>
      <c r="O550" s="194"/>
      <c r="P550" s="191"/>
      <c r="R550" s="194"/>
      <c r="S550" s="191"/>
      <c r="U550" s="194"/>
    </row>
    <row r="551">
      <c r="B551" s="2">
        <f t="shared" si="1"/>
        <v>0</v>
      </c>
      <c r="D551" s="191"/>
      <c r="F551" s="194"/>
      <c r="G551" s="191"/>
      <c r="I551" s="194"/>
      <c r="J551" s="191"/>
      <c r="L551" s="194"/>
      <c r="M551" s="191"/>
      <c r="O551" s="194"/>
      <c r="P551" s="191"/>
      <c r="R551" s="194"/>
      <c r="S551" s="191"/>
      <c r="U551" s="194"/>
    </row>
    <row r="552">
      <c r="B552" s="2">
        <f t="shared" si="1"/>
        <v>0</v>
      </c>
      <c r="D552" s="191"/>
      <c r="F552" s="194"/>
      <c r="G552" s="191"/>
      <c r="I552" s="194"/>
      <c r="J552" s="191"/>
      <c r="L552" s="194"/>
      <c r="M552" s="191"/>
      <c r="O552" s="194"/>
      <c r="P552" s="191"/>
      <c r="R552" s="194"/>
      <c r="S552" s="191"/>
      <c r="U552" s="194"/>
    </row>
    <row r="553">
      <c r="B553" s="2">
        <f t="shared" si="1"/>
        <v>0</v>
      </c>
      <c r="D553" s="191"/>
      <c r="F553" s="194"/>
      <c r="G553" s="191"/>
      <c r="I553" s="194"/>
      <c r="J553" s="191"/>
      <c r="L553" s="194"/>
      <c r="M553" s="191"/>
      <c r="O553" s="194"/>
      <c r="P553" s="191"/>
      <c r="R553" s="194"/>
      <c r="S553" s="191"/>
      <c r="U553" s="194"/>
    </row>
    <row r="554">
      <c r="B554" s="2">
        <f t="shared" si="1"/>
        <v>0</v>
      </c>
      <c r="D554" s="191"/>
      <c r="F554" s="194"/>
      <c r="G554" s="191"/>
      <c r="I554" s="194"/>
      <c r="J554" s="191"/>
      <c r="L554" s="194"/>
      <c r="M554" s="191"/>
      <c r="O554" s="194"/>
      <c r="P554" s="191"/>
      <c r="R554" s="194"/>
      <c r="S554" s="191"/>
      <c r="U554" s="194"/>
    </row>
    <row r="555">
      <c r="B555" s="2">
        <f t="shared" si="1"/>
        <v>0</v>
      </c>
      <c r="D555" s="191"/>
      <c r="F555" s="194"/>
      <c r="G555" s="191"/>
      <c r="I555" s="194"/>
      <c r="J555" s="191"/>
      <c r="L555" s="194"/>
      <c r="M555" s="191"/>
      <c r="O555" s="194"/>
      <c r="P555" s="191"/>
      <c r="R555" s="194"/>
      <c r="S555" s="191"/>
      <c r="U555" s="194"/>
    </row>
    <row r="556">
      <c r="B556" s="2">
        <f t="shared" si="1"/>
        <v>0</v>
      </c>
      <c r="D556" s="191"/>
      <c r="F556" s="194"/>
      <c r="G556" s="191"/>
      <c r="I556" s="194"/>
      <c r="J556" s="191"/>
      <c r="L556" s="194"/>
      <c r="M556" s="191"/>
      <c r="O556" s="194"/>
      <c r="P556" s="191"/>
      <c r="R556" s="194"/>
      <c r="S556" s="191"/>
      <c r="U556" s="194"/>
    </row>
    <row r="557">
      <c r="B557" s="2">
        <f t="shared" si="1"/>
        <v>0</v>
      </c>
      <c r="D557" s="191"/>
      <c r="F557" s="194"/>
      <c r="G557" s="191"/>
      <c r="I557" s="194"/>
      <c r="J557" s="191"/>
      <c r="L557" s="194"/>
      <c r="M557" s="191"/>
      <c r="O557" s="194"/>
      <c r="P557" s="191"/>
      <c r="R557" s="194"/>
      <c r="S557" s="191"/>
      <c r="U557" s="194"/>
    </row>
    <row r="558">
      <c r="B558" s="2">
        <f t="shared" si="1"/>
        <v>0</v>
      </c>
      <c r="D558" s="191"/>
      <c r="F558" s="194"/>
      <c r="G558" s="191"/>
      <c r="I558" s="194"/>
      <c r="J558" s="191"/>
      <c r="L558" s="194"/>
      <c r="M558" s="191"/>
      <c r="O558" s="194"/>
      <c r="P558" s="191"/>
      <c r="R558" s="194"/>
      <c r="S558" s="191"/>
      <c r="U558" s="194"/>
    </row>
    <row r="559">
      <c r="B559" s="2">
        <f t="shared" si="1"/>
        <v>0</v>
      </c>
      <c r="D559" s="191"/>
      <c r="F559" s="194"/>
      <c r="G559" s="191"/>
      <c r="I559" s="194"/>
      <c r="J559" s="191"/>
      <c r="L559" s="194"/>
      <c r="M559" s="191"/>
      <c r="O559" s="194"/>
      <c r="P559" s="191"/>
      <c r="R559" s="194"/>
      <c r="S559" s="191"/>
      <c r="U559" s="194"/>
    </row>
    <row r="560">
      <c r="B560" s="2">
        <f t="shared" si="1"/>
        <v>0</v>
      </c>
      <c r="D560" s="191"/>
      <c r="F560" s="194"/>
      <c r="G560" s="191"/>
      <c r="I560" s="194"/>
      <c r="J560" s="191"/>
      <c r="L560" s="194"/>
      <c r="M560" s="191"/>
      <c r="O560" s="194"/>
      <c r="P560" s="191"/>
      <c r="R560" s="194"/>
      <c r="S560" s="191"/>
      <c r="U560" s="194"/>
    </row>
    <row r="561">
      <c r="B561" s="2">
        <f t="shared" si="1"/>
        <v>0</v>
      </c>
      <c r="D561" s="191"/>
      <c r="F561" s="194"/>
      <c r="G561" s="191"/>
      <c r="I561" s="194"/>
      <c r="J561" s="191"/>
      <c r="L561" s="194"/>
      <c r="M561" s="191"/>
      <c r="O561" s="194"/>
      <c r="P561" s="191"/>
      <c r="R561" s="194"/>
      <c r="S561" s="191"/>
      <c r="U561" s="194"/>
    </row>
    <row r="562">
      <c r="B562" s="2">
        <f t="shared" si="1"/>
        <v>0</v>
      </c>
      <c r="D562" s="191"/>
      <c r="F562" s="194"/>
      <c r="G562" s="191"/>
      <c r="I562" s="194"/>
      <c r="J562" s="191"/>
      <c r="L562" s="194"/>
      <c r="M562" s="191"/>
      <c r="O562" s="194"/>
      <c r="P562" s="191"/>
      <c r="R562" s="194"/>
      <c r="S562" s="191"/>
      <c r="U562" s="194"/>
    </row>
    <row r="563">
      <c r="B563" s="2">
        <f t="shared" si="1"/>
        <v>0</v>
      </c>
      <c r="D563" s="191"/>
      <c r="F563" s="194"/>
      <c r="G563" s="191"/>
      <c r="I563" s="194"/>
      <c r="J563" s="191"/>
      <c r="L563" s="194"/>
      <c r="M563" s="191"/>
      <c r="O563" s="194"/>
      <c r="P563" s="191"/>
      <c r="R563" s="194"/>
      <c r="S563" s="191"/>
      <c r="U563" s="194"/>
    </row>
    <row r="564">
      <c r="B564" s="2">
        <f t="shared" si="1"/>
        <v>0</v>
      </c>
      <c r="D564" s="191"/>
      <c r="F564" s="194"/>
      <c r="G564" s="191"/>
      <c r="I564" s="194"/>
      <c r="J564" s="191"/>
      <c r="L564" s="194"/>
      <c r="M564" s="191"/>
      <c r="O564" s="194"/>
      <c r="P564" s="191"/>
      <c r="R564" s="194"/>
      <c r="S564" s="191"/>
      <c r="U564" s="194"/>
    </row>
    <row r="565">
      <c r="B565" s="2">
        <f t="shared" si="1"/>
        <v>0</v>
      </c>
      <c r="D565" s="191"/>
      <c r="F565" s="194"/>
      <c r="G565" s="191"/>
      <c r="I565" s="194"/>
      <c r="J565" s="191"/>
      <c r="L565" s="194"/>
      <c r="M565" s="191"/>
      <c r="O565" s="194"/>
      <c r="P565" s="191"/>
      <c r="R565" s="194"/>
      <c r="S565" s="191"/>
      <c r="U565" s="194"/>
    </row>
    <row r="566">
      <c r="B566" s="2">
        <f t="shared" si="1"/>
        <v>0</v>
      </c>
      <c r="D566" s="191"/>
      <c r="F566" s="194"/>
      <c r="G566" s="191"/>
      <c r="I566" s="194"/>
      <c r="J566" s="191"/>
      <c r="L566" s="194"/>
      <c r="M566" s="191"/>
      <c r="O566" s="194"/>
      <c r="P566" s="191"/>
      <c r="R566" s="194"/>
      <c r="S566" s="191"/>
      <c r="U566" s="194"/>
    </row>
    <row r="567">
      <c r="B567" s="2">
        <f t="shared" si="1"/>
        <v>0</v>
      </c>
      <c r="D567" s="191"/>
      <c r="F567" s="194"/>
      <c r="G567" s="191"/>
      <c r="I567" s="194"/>
      <c r="J567" s="191"/>
      <c r="L567" s="194"/>
      <c r="M567" s="191"/>
      <c r="O567" s="194"/>
      <c r="P567" s="191"/>
      <c r="R567" s="194"/>
      <c r="S567" s="191"/>
      <c r="U567" s="194"/>
    </row>
    <row r="568">
      <c r="B568" s="2">
        <f t="shared" si="1"/>
        <v>0</v>
      </c>
      <c r="D568" s="191"/>
      <c r="F568" s="194"/>
      <c r="G568" s="191"/>
      <c r="I568" s="194"/>
      <c r="J568" s="191"/>
      <c r="L568" s="194"/>
      <c r="M568" s="191"/>
      <c r="O568" s="194"/>
      <c r="P568" s="191"/>
      <c r="R568" s="194"/>
      <c r="S568" s="191"/>
      <c r="U568" s="194"/>
    </row>
    <row r="569">
      <c r="B569" s="2">
        <f t="shared" si="1"/>
        <v>0</v>
      </c>
      <c r="D569" s="191"/>
      <c r="F569" s="194"/>
      <c r="G569" s="191"/>
      <c r="I569" s="194"/>
      <c r="J569" s="191"/>
      <c r="L569" s="194"/>
      <c r="M569" s="191"/>
      <c r="O569" s="194"/>
      <c r="P569" s="191"/>
      <c r="R569" s="194"/>
      <c r="S569" s="191"/>
      <c r="U569" s="194"/>
    </row>
    <row r="570">
      <c r="B570" s="2">
        <f t="shared" si="1"/>
        <v>0</v>
      </c>
      <c r="D570" s="191"/>
      <c r="F570" s="194"/>
      <c r="G570" s="191"/>
      <c r="I570" s="194"/>
      <c r="J570" s="191"/>
      <c r="L570" s="194"/>
      <c r="M570" s="191"/>
      <c r="O570" s="194"/>
      <c r="P570" s="191"/>
      <c r="R570" s="194"/>
      <c r="S570" s="191"/>
      <c r="U570" s="194"/>
    </row>
    <row r="571">
      <c r="B571" s="2">
        <f t="shared" si="1"/>
        <v>0</v>
      </c>
      <c r="D571" s="191"/>
      <c r="F571" s="194"/>
      <c r="G571" s="191"/>
      <c r="I571" s="194"/>
      <c r="J571" s="191"/>
      <c r="L571" s="194"/>
      <c r="M571" s="191"/>
      <c r="O571" s="194"/>
      <c r="P571" s="191"/>
      <c r="R571" s="194"/>
      <c r="S571" s="191"/>
      <c r="U571" s="194"/>
    </row>
    <row r="572">
      <c r="B572" s="2">
        <f t="shared" si="1"/>
        <v>0</v>
      </c>
      <c r="D572" s="191"/>
      <c r="F572" s="194"/>
      <c r="G572" s="191"/>
      <c r="I572" s="194"/>
      <c r="J572" s="191"/>
      <c r="L572" s="194"/>
      <c r="M572" s="191"/>
      <c r="O572" s="194"/>
      <c r="P572" s="191"/>
      <c r="R572" s="194"/>
      <c r="S572" s="191"/>
      <c r="U572" s="194"/>
    </row>
    <row r="573">
      <c r="B573" s="2">
        <f t="shared" si="1"/>
        <v>0</v>
      </c>
      <c r="D573" s="191"/>
      <c r="F573" s="194"/>
      <c r="G573" s="191"/>
      <c r="I573" s="194"/>
      <c r="J573" s="191"/>
      <c r="L573" s="194"/>
      <c r="M573" s="191"/>
      <c r="O573" s="194"/>
      <c r="P573" s="191"/>
      <c r="R573" s="194"/>
      <c r="S573" s="191"/>
      <c r="U573" s="194"/>
    </row>
    <row r="574">
      <c r="B574" s="2">
        <f t="shared" si="1"/>
        <v>0</v>
      </c>
      <c r="D574" s="191"/>
      <c r="F574" s="194"/>
      <c r="G574" s="191"/>
      <c r="I574" s="194"/>
      <c r="J574" s="191"/>
      <c r="L574" s="194"/>
      <c r="M574" s="191"/>
      <c r="O574" s="194"/>
      <c r="P574" s="191"/>
      <c r="R574" s="194"/>
      <c r="S574" s="191"/>
      <c r="U574" s="194"/>
    </row>
    <row r="575">
      <c r="B575" s="2">
        <f t="shared" si="1"/>
        <v>0</v>
      </c>
      <c r="D575" s="191"/>
      <c r="F575" s="194"/>
      <c r="G575" s="191"/>
      <c r="I575" s="194"/>
      <c r="J575" s="191"/>
      <c r="L575" s="194"/>
      <c r="M575" s="191"/>
      <c r="O575" s="194"/>
      <c r="P575" s="191"/>
      <c r="R575" s="194"/>
      <c r="S575" s="191"/>
      <c r="U575" s="194"/>
    </row>
    <row r="576">
      <c r="B576" s="2">
        <f t="shared" si="1"/>
        <v>0</v>
      </c>
      <c r="D576" s="191"/>
      <c r="F576" s="194"/>
      <c r="G576" s="191"/>
      <c r="I576" s="194"/>
      <c r="J576" s="191"/>
      <c r="L576" s="194"/>
      <c r="M576" s="191"/>
      <c r="O576" s="194"/>
      <c r="P576" s="191"/>
      <c r="R576" s="194"/>
      <c r="S576" s="191"/>
      <c r="U576" s="194"/>
    </row>
    <row r="577">
      <c r="B577" s="2">
        <f t="shared" si="1"/>
        <v>0</v>
      </c>
      <c r="D577" s="191"/>
      <c r="F577" s="194"/>
      <c r="G577" s="191"/>
      <c r="I577" s="194"/>
      <c r="J577" s="191"/>
      <c r="L577" s="194"/>
      <c r="M577" s="191"/>
      <c r="O577" s="194"/>
      <c r="P577" s="191"/>
      <c r="R577" s="194"/>
      <c r="S577" s="191"/>
      <c r="U577" s="194"/>
    </row>
    <row r="578">
      <c r="B578" s="2">
        <f t="shared" si="1"/>
        <v>0</v>
      </c>
      <c r="D578" s="191"/>
      <c r="F578" s="194"/>
      <c r="G578" s="191"/>
      <c r="I578" s="194"/>
      <c r="J578" s="191"/>
      <c r="L578" s="194"/>
      <c r="M578" s="191"/>
      <c r="O578" s="194"/>
      <c r="P578" s="191"/>
      <c r="R578" s="194"/>
      <c r="S578" s="191"/>
      <c r="U578" s="194"/>
    </row>
    <row r="579">
      <c r="B579" s="2">
        <f t="shared" si="1"/>
        <v>0</v>
      </c>
      <c r="D579" s="191"/>
      <c r="F579" s="194"/>
      <c r="G579" s="191"/>
      <c r="I579" s="194"/>
      <c r="J579" s="191"/>
      <c r="L579" s="194"/>
      <c r="M579" s="191"/>
      <c r="O579" s="194"/>
      <c r="P579" s="191"/>
      <c r="R579" s="194"/>
      <c r="S579" s="191"/>
      <c r="U579" s="194"/>
    </row>
    <row r="580">
      <c r="B580" s="2">
        <f t="shared" si="1"/>
        <v>0</v>
      </c>
      <c r="D580" s="191"/>
      <c r="F580" s="194"/>
      <c r="G580" s="191"/>
      <c r="I580" s="194"/>
      <c r="J580" s="191"/>
      <c r="L580" s="194"/>
      <c r="M580" s="191"/>
      <c r="O580" s="194"/>
      <c r="P580" s="191"/>
      <c r="R580" s="194"/>
      <c r="S580" s="191"/>
      <c r="U580" s="194"/>
    </row>
    <row r="581">
      <c r="B581" s="2">
        <f t="shared" si="1"/>
        <v>0</v>
      </c>
      <c r="D581" s="191"/>
      <c r="F581" s="194"/>
      <c r="G581" s="191"/>
      <c r="I581" s="194"/>
      <c r="J581" s="191"/>
      <c r="L581" s="194"/>
      <c r="M581" s="191"/>
      <c r="O581" s="194"/>
      <c r="P581" s="191"/>
      <c r="R581" s="194"/>
      <c r="S581" s="191"/>
      <c r="U581" s="194"/>
    </row>
    <row r="582">
      <c r="B582" s="2">
        <f t="shared" si="1"/>
        <v>0</v>
      </c>
      <c r="D582" s="191"/>
      <c r="F582" s="194"/>
      <c r="G582" s="191"/>
      <c r="I582" s="194"/>
      <c r="J582" s="191"/>
      <c r="L582" s="194"/>
      <c r="M582" s="191"/>
      <c r="O582" s="194"/>
      <c r="P582" s="191"/>
      <c r="R582" s="194"/>
      <c r="S582" s="191"/>
      <c r="U582" s="194"/>
    </row>
    <row r="583">
      <c r="B583" s="2">
        <f t="shared" si="1"/>
        <v>0</v>
      </c>
      <c r="D583" s="191"/>
      <c r="F583" s="194"/>
      <c r="G583" s="191"/>
      <c r="I583" s="194"/>
      <c r="J583" s="191"/>
      <c r="L583" s="194"/>
      <c r="M583" s="191"/>
      <c r="O583" s="194"/>
      <c r="P583" s="191"/>
      <c r="R583" s="194"/>
      <c r="S583" s="191"/>
      <c r="U583" s="194"/>
    </row>
    <row r="584">
      <c r="B584" s="2">
        <f t="shared" si="1"/>
        <v>0</v>
      </c>
      <c r="D584" s="191"/>
      <c r="F584" s="194"/>
      <c r="G584" s="191"/>
      <c r="I584" s="194"/>
      <c r="J584" s="191"/>
      <c r="L584" s="194"/>
      <c r="M584" s="191"/>
      <c r="O584" s="194"/>
      <c r="P584" s="191"/>
      <c r="R584" s="194"/>
      <c r="S584" s="191"/>
      <c r="U584" s="194"/>
    </row>
    <row r="585">
      <c r="B585" s="2">
        <f t="shared" si="1"/>
        <v>0</v>
      </c>
      <c r="D585" s="191"/>
      <c r="F585" s="194"/>
      <c r="G585" s="191"/>
      <c r="I585" s="194"/>
      <c r="J585" s="191"/>
      <c r="L585" s="194"/>
      <c r="M585" s="191"/>
      <c r="O585" s="194"/>
      <c r="P585" s="191"/>
      <c r="R585" s="194"/>
      <c r="S585" s="191"/>
      <c r="U585" s="194"/>
    </row>
    <row r="586">
      <c r="B586" s="2">
        <f t="shared" si="1"/>
        <v>0</v>
      </c>
      <c r="D586" s="191"/>
      <c r="F586" s="194"/>
      <c r="G586" s="191"/>
      <c r="I586" s="194"/>
      <c r="J586" s="191"/>
      <c r="L586" s="194"/>
      <c r="M586" s="191"/>
      <c r="O586" s="194"/>
      <c r="P586" s="191"/>
      <c r="R586" s="194"/>
      <c r="S586" s="191"/>
      <c r="U586" s="194"/>
    </row>
    <row r="587">
      <c r="B587" s="2">
        <f t="shared" si="1"/>
        <v>0</v>
      </c>
      <c r="D587" s="191"/>
      <c r="F587" s="194"/>
      <c r="G587" s="191"/>
      <c r="I587" s="194"/>
      <c r="J587" s="191"/>
      <c r="L587" s="194"/>
      <c r="M587" s="191"/>
      <c r="O587" s="194"/>
      <c r="P587" s="191"/>
      <c r="R587" s="194"/>
      <c r="S587" s="191"/>
      <c r="U587" s="194"/>
    </row>
    <row r="588">
      <c r="B588" s="2">
        <f t="shared" si="1"/>
        <v>0</v>
      </c>
      <c r="D588" s="191"/>
      <c r="F588" s="194"/>
      <c r="G588" s="191"/>
      <c r="I588" s="194"/>
      <c r="J588" s="191"/>
      <c r="L588" s="194"/>
      <c r="M588" s="191"/>
      <c r="O588" s="194"/>
      <c r="P588" s="191"/>
      <c r="R588" s="194"/>
      <c r="S588" s="191"/>
      <c r="U588" s="194"/>
    </row>
    <row r="589">
      <c r="B589" s="2">
        <f t="shared" si="1"/>
        <v>0</v>
      </c>
      <c r="D589" s="191"/>
      <c r="F589" s="194"/>
      <c r="G589" s="191"/>
      <c r="I589" s="194"/>
      <c r="J589" s="191"/>
      <c r="L589" s="194"/>
      <c r="M589" s="191"/>
      <c r="O589" s="194"/>
      <c r="P589" s="191"/>
      <c r="R589" s="194"/>
      <c r="S589" s="191"/>
      <c r="U589" s="194"/>
    </row>
    <row r="590">
      <c r="B590" s="2">
        <f t="shared" si="1"/>
        <v>0</v>
      </c>
      <c r="D590" s="191"/>
      <c r="F590" s="194"/>
      <c r="G590" s="191"/>
      <c r="I590" s="194"/>
      <c r="J590" s="191"/>
      <c r="L590" s="194"/>
      <c r="M590" s="191"/>
      <c r="O590" s="194"/>
      <c r="P590" s="191"/>
      <c r="R590" s="194"/>
      <c r="S590" s="191"/>
      <c r="U590" s="194"/>
    </row>
    <row r="591">
      <c r="B591" s="2">
        <f t="shared" si="1"/>
        <v>0</v>
      </c>
      <c r="D591" s="191"/>
      <c r="F591" s="194"/>
      <c r="G591" s="191"/>
      <c r="I591" s="194"/>
      <c r="J591" s="191"/>
      <c r="L591" s="194"/>
      <c r="M591" s="191"/>
      <c r="O591" s="194"/>
      <c r="P591" s="191"/>
      <c r="R591" s="194"/>
      <c r="S591" s="191"/>
      <c r="U591" s="194"/>
    </row>
    <row r="592">
      <c r="B592" s="2">
        <f t="shared" si="1"/>
        <v>0</v>
      </c>
      <c r="D592" s="191"/>
      <c r="F592" s="194"/>
      <c r="G592" s="191"/>
      <c r="I592" s="194"/>
      <c r="J592" s="191"/>
      <c r="L592" s="194"/>
      <c r="M592" s="191"/>
      <c r="O592" s="194"/>
      <c r="P592" s="191"/>
      <c r="R592" s="194"/>
      <c r="S592" s="191"/>
      <c r="U592" s="194"/>
    </row>
    <row r="593">
      <c r="B593" s="2">
        <f t="shared" si="1"/>
        <v>0</v>
      </c>
      <c r="D593" s="191"/>
      <c r="F593" s="194"/>
      <c r="G593" s="191"/>
      <c r="I593" s="194"/>
      <c r="J593" s="191"/>
      <c r="L593" s="194"/>
      <c r="M593" s="191"/>
      <c r="O593" s="194"/>
      <c r="P593" s="191"/>
      <c r="R593" s="194"/>
      <c r="S593" s="191"/>
      <c r="U593" s="194"/>
    </row>
    <row r="594">
      <c r="B594" s="2">
        <f t="shared" si="1"/>
        <v>0</v>
      </c>
      <c r="D594" s="191"/>
      <c r="F594" s="194"/>
      <c r="G594" s="191"/>
      <c r="I594" s="194"/>
      <c r="J594" s="191"/>
      <c r="L594" s="194"/>
      <c r="M594" s="191"/>
      <c r="O594" s="194"/>
      <c r="P594" s="191"/>
      <c r="R594" s="194"/>
      <c r="S594" s="191"/>
      <c r="U594" s="194"/>
    </row>
    <row r="595">
      <c r="B595" s="2">
        <f t="shared" si="1"/>
        <v>0</v>
      </c>
      <c r="D595" s="191"/>
      <c r="F595" s="194"/>
      <c r="G595" s="191"/>
      <c r="I595" s="194"/>
      <c r="J595" s="191"/>
      <c r="L595" s="194"/>
      <c r="M595" s="191"/>
      <c r="O595" s="194"/>
      <c r="P595" s="191"/>
      <c r="R595" s="194"/>
      <c r="S595" s="191"/>
      <c r="U595" s="194"/>
    </row>
    <row r="596">
      <c r="B596" s="2">
        <f t="shared" si="1"/>
        <v>0</v>
      </c>
      <c r="D596" s="191"/>
      <c r="F596" s="194"/>
      <c r="G596" s="191"/>
      <c r="I596" s="194"/>
      <c r="J596" s="191"/>
      <c r="L596" s="194"/>
      <c r="M596" s="191"/>
      <c r="O596" s="194"/>
      <c r="P596" s="191"/>
      <c r="R596" s="194"/>
      <c r="S596" s="191"/>
      <c r="U596" s="194"/>
    </row>
    <row r="597">
      <c r="B597" s="2">
        <f t="shared" si="1"/>
        <v>0</v>
      </c>
      <c r="D597" s="191"/>
      <c r="F597" s="194"/>
      <c r="G597" s="191"/>
      <c r="I597" s="194"/>
      <c r="J597" s="191"/>
      <c r="L597" s="194"/>
      <c r="M597" s="191"/>
      <c r="O597" s="194"/>
      <c r="P597" s="191"/>
      <c r="R597" s="194"/>
      <c r="S597" s="191"/>
      <c r="U597" s="194"/>
    </row>
    <row r="598">
      <c r="B598" s="2">
        <f t="shared" si="1"/>
        <v>0</v>
      </c>
      <c r="D598" s="191"/>
      <c r="F598" s="194"/>
      <c r="G598" s="191"/>
      <c r="I598" s="194"/>
      <c r="J598" s="191"/>
      <c r="L598" s="194"/>
      <c r="M598" s="191"/>
      <c r="O598" s="194"/>
      <c r="P598" s="191"/>
      <c r="R598" s="194"/>
      <c r="S598" s="191"/>
      <c r="U598" s="194"/>
    </row>
    <row r="599">
      <c r="B599" s="2">
        <f t="shared" si="1"/>
        <v>0</v>
      </c>
      <c r="D599" s="191"/>
      <c r="F599" s="194"/>
      <c r="G599" s="191"/>
      <c r="I599" s="194"/>
      <c r="J599" s="191"/>
      <c r="L599" s="194"/>
      <c r="M599" s="191"/>
      <c r="O599" s="194"/>
      <c r="P599" s="191"/>
      <c r="R599" s="194"/>
      <c r="S599" s="191"/>
      <c r="U599" s="194"/>
    </row>
    <row r="600">
      <c r="B600" s="2">
        <f t="shared" si="1"/>
        <v>0</v>
      </c>
      <c r="D600" s="191"/>
      <c r="F600" s="194"/>
      <c r="G600" s="191"/>
      <c r="I600" s="194"/>
      <c r="J600" s="191"/>
      <c r="L600" s="194"/>
      <c r="M600" s="191"/>
      <c r="O600" s="194"/>
      <c r="P600" s="191"/>
      <c r="R600" s="194"/>
      <c r="S600" s="191"/>
      <c r="U600" s="194"/>
    </row>
    <row r="601">
      <c r="B601" s="2">
        <f t="shared" si="1"/>
        <v>0</v>
      </c>
      <c r="D601" s="191"/>
      <c r="F601" s="194"/>
      <c r="G601" s="191"/>
      <c r="I601" s="194"/>
      <c r="J601" s="191"/>
      <c r="L601" s="194"/>
      <c r="M601" s="191"/>
      <c r="O601" s="194"/>
      <c r="P601" s="191"/>
      <c r="R601" s="194"/>
      <c r="S601" s="191"/>
      <c r="U601" s="194"/>
    </row>
    <row r="602">
      <c r="B602" s="2">
        <f t="shared" si="1"/>
        <v>0</v>
      </c>
      <c r="D602" s="191"/>
      <c r="F602" s="194"/>
      <c r="G602" s="191"/>
      <c r="I602" s="194"/>
      <c r="J602" s="191"/>
      <c r="L602" s="194"/>
      <c r="M602" s="191"/>
      <c r="O602" s="194"/>
      <c r="P602" s="191"/>
      <c r="R602" s="194"/>
      <c r="S602" s="191"/>
      <c r="U602" s="194"/>
    </row>
    <row r="603">
      <c r="B603" s="2">
        <f t="shared" si="1"/>
        <v>0</v>
      </c>
      <c r="D603" s="191"/>
      <c r="F603" s="194"/>
      <c r="G603" s="191"/>
      <c r="I603" s="194"/>
      <c r="J603" s="191"/>
      <c r="L603" s="194"/>
      <c r="M603" s="191"/>
      <c r="O603" s="194"/>
      <c r="P603" s="191"/>
      <c r="R603" s="194"/>
      <c r="S603" s="191"/>
      <c r="U603" s="194"/>
    </row>
    <row r="604">
      <c r="B604" s="2">
        <f t="shared" si="1"/>
        <v>0</v>
      </c>
      <c r="D604" s="191"/>
      <c r="F604" s="194"/>
      <c r="G604" s="191"/>
      <c r="I604" s="194"/>
      <c r="J604" s="191"/>
      <c r="L604" s="194"/>
      <c r="M604" s="191"/>
      <c r="O604" s="194"/>
      <c r="P604" s="191"/>
      <c r="R604" s="194"/>
      <c r="S604" s="191"/>
      <c r="U604" s="194"/>
    </row>
    <row r="605">
      <c r="B605" s="2">
        <f t="shared" si="1"/>
        <v>0</v>
      </c>
      <c r="D605" s="191"/>
      <c r="F605" s="194"/>
      <c r="G605" s="191"/>
      <c r="I605" s="194"/>
      <c r="J605" s="191"/>
      <c r="L605" s="194"/>
      <c r="M605" s="191"/>
      <c r="O605" s="194"/>
      <c r="P605" s="191"/>
      <c r="R605" s="194"/>
      <c r="S605" s="191"/>
      <c r="U605" s="194"/>
    </row>
    <row r="606">
      <c r="B606" s="2">
        <f t="shared" si="1"/>
        <v>0</v>
      </c>
      <c r="D606" s="191"/>
      <c r="F606" s="194"/>
      <c r="G606" s="191"/>
      <c r="I606" s="194"/>
      <c r="J606" s="191"/>
      <c r="L606" s="194"/>
      <c r="M606" s="191"/>
      <c r="O606" s="194"/>
      <c r="P606" s="191"/>
      <c r="R606" s="194"/>
      <c r="S606" s="191"/>
      <c r="U606" s="194"/>
    </row>
    <row r="607">
      <c r="B607" s="2">
        <f t="shared" si="1"/>
        <v>0</v>
      </c>
      <c r="D607" s="191"/>
      <c r="F607" s="194"/>
      <c r="G607" s="191"/>
      <c r="I607" s="194"/>
      <c r="J607" s="191"/>
      <c r="L607" s="194"/>
      <c r="M607" s="191"/>
      <c r="O607" s="194"/>
      <c r="P607" s="191"/>
      <c r="R607" s="194"/>
      <c r="S607" s="191"/>
      <c r="U607" s="194"/>
    </row>
    <row r="608">
      <c r="B608" s="2">
        <f t="shared" si="1"/>
        <v>0</v>
      </c>
      <c r="D608" s="191"/>
      <c r="F608" s="194"/>
      <c r="G608" s="191"/>
      <c r="I608" s="194"/>
      <c r="J608" s="191"/>
      <c r="L608" s="194"/>
      <c r="M608" s="191"/>
      <c r="O608" s="194"/>
      <c r="P608" s="191"/>
      <c r="R608" s="194"/>
      <c r="S608" s="191"/>
      <c r="U608" s="194"/>
    </row>
    <row r="609">
      <c r="B609" s="2">
        <f t="shared" si="1"/>
        <v>0</v>
      </c>
      <c r="D609" s="191"/>
      <c r="F609" s="194"/>
      <c r="G609" s="191"/>
      <c r="I609" s="194"/>
      <c r="J609" s="191"/>
      <c r="L609" s="194"/>
      <c r="M609" s="191"/>
      <c r="O609" s="194"/>
      <c r="P609" s="191"/>
      <c r="R609" s="194"/>
      <c r="S609" s="191"/>
      <c r="U609" s="194"/>
    </row>
    <row r="610">
      <c r="B610" s="2">
        <f t="shared" si="1"/>
        <v>0</v>
      </c>
      <c r="D610" s="191"/>
      <c r="F610" s="194"/>
      <c r="G610" s="191"/>
      <c r="I610" s="194"/>
      <c r="J610" s="191"/>
      <c r="L610" s="194"/>
      <c r="M610" s="191"/>
      <c r="O610" s="194"/>
      <c r="P610" s="191"/>
      <c r="R610" s="194"/>
      <c r="S610" s="191"/>
      <c r="U610" s="194"/>
    </row>
    <row r="611">
      <c r="B611" s="2">
        <f t="shared" si="1"/>
        <v>0</v>
      </c>
      <c r="D611" s="191"/>
      <c r="F611" s="194"/>
      <c r="G611" s="191"/>
      <c r="I611" s="194"/>
      <c r="J611" s="191"/>
      <c r="L611" s="194"/>
      <c r="M611" s="191"/>
      <c r="O611" s="194"/>
      <c r="P611" s="191"/>
      <c r="R611" s="194"/>
      <c r="S611" s="191"/>
      <c r="U611" s="194"/>
    </row>
    <row r="612">
      <c r="B612" s="2">
        <f t="shared" si="1"/>
        <v>0</v>
      </c>
      <c r="D612" s="191"/>
      <c r="F612" s="194"/>
      <c r="G612" s="191"/>
      <c r="I612" s="194"/>
      <c r="J612" s="191"/>
      <c r="L612" s="194"/>
      <c r="M612" s="191"/>
      <c r="O612" s="194"/>
      <c r="P612" s="191"/>
      <c r="R612" s="194"/>
      <c r="S612" s="191"/>
      <c r="U612" s="194"/>
    </row>
    <row r="613">
      <c r="B613" s="2">
        <f t="shared" si="1"/>
        <v>0</v>
      </c>
      <c r="D613" s="191"/>
      <c r="F613" s="194"/>
      <c r="G613" s="191"/>
      <c r="I613" s="194"/>
      <c r="J613" s="191"/>
      <c r="L613" s="194"/>
      <c r="M613" s="191"/>
      <c r="O613" s="194"/>
      <c r="P613" s="191"/>
      <c r="R613" s="194"/>
      <c r="S613" s="191"/>
      <c r="U613" s="194"/>
    </row>
    <row r="614">
      <c r="B614" s="2">
        <f t="shared" si="1"/>
        <v>0</v>
      </c>
      <c r="D614" s="191"/>
      <c r="F614" s="194"/>
      <c r="G614" s="191"/>
      <c r="I614" s="194"/>
      <c r="J614" s="191"/>
      <c r="L614" s="194"/>
      <c r="M614" s="191"/>
      <c r="O614" s="194"/>
      <c r="P614" s="191"/>
      <c r="R614" s="194"/>
      <c r="S614" s="191"/>
      <c r="U614" s="194"/>
    </row>
    <row r="615">
      <c r="B615" s="2">
        <f t="shared" si="1"/>
        <v>0</v>
      </c>
      <c r="D615" s="191"/>
      <c r="F615" s="194"/>
      <c r="G615" s="191"/>
      <c r="I615" s="194"/>
      <c r="J615" s="191"/>
      <c r="L615" s="194"/>
      <c r="M615" s="191"/>
      <c r="O615" s="194"/>
      <c r="P615" s="191"/>
      <c r="R615" s="194"/>
      <c r="S615" s="191"/>
      <c r="U615" s="194"/>
    </row>
    <row r="616">
      <c r="B616" s="2">
        <f t="shared" si="1"/>
        <v>0</v>
      </c>
      <c r="D616" s="191"/>
      <c r="F616" s="194"/>
      <c r="G616" s="191"/>
      <c r="I616" s="194"/>
      <c r="J616" s="191"/>
      <c r="L616" s="194"/>
      <c r="M616" s="191"/>
      <c r="O616" s="194"/>
      <c r="P616" s="191"/>
      <c r="R616" s="194"/>
      <c r="S616" s="191"/>
      <c r="U616" s="194"/>
    </row>
    <row r="617">
      <c r="B617" s="2">
        <f t="shared" si="1"/>
        <v>0</v>
      </c>
      <c r="D617" s="191"/>
      <c r="F617" s="194"/>
      <c r="G617" s="191"/>
      <c r="I617" s="194"/>
      <c r="J617" s="191"/>
      <c r="L617" s="194"/>
      <c r="M617" s="191"/>
      <c r="O617" s="194"/>
      <c r="P617" s="191"/>
      <c r="R617" s="194"/>
      <c r="S617" s="191"/>
      <c r="U617" s="194"/>
    </row>
    <row r="618">
      <c r="B618" s="2">
        <f t="shared" si="1"/>
        <v>0</v>
      </c>
      <c r="D618" s="191"/>
      <c r="F618" s="194"/>
      <c r="G618" s="191"/>
      <c r="I618" s="194"/>
      <c r="J618" s="191"/>
      <c r="L618" s="194"/>
      <c r="M618" s="191"/>
      <c r="O618" s="194"/>
      <c r="P618" s="191"/>
      <c r="R618" s="194"/>
      <c r="S618" s="191"/>
      <c r="U618" s="194"/>
    </row>
    <row r="619">
      <c r="B619" s="2">
        <f t="shared" si="1"/>
        <v>0</v>
      </c>
      <c r="D619" s="191"/>
      <c r="F619" s="194"/>
      <c r="G619" s="191"/>
      <c r="I619" s="194"/>
      <c r="J619" s="191"/>
      <c r="L619" s="194"/>
      <c r="M619" s="191"/>
      <c r="O619" s="194"/>
      <c r="P619" s="191"/>
      <c r="R619" s="194"/>
      <c r="S619" s="191"/>
      <c r="U619" s="194"/>
    </row>
    <row r="620">
      <c r="B620" s="2">
        <f t="shared" si="1"/>
        <v>0</v>
      </c>
      <c r="D620" s="191"/>
      <c r="F620" s="194"/>
      <c r="G620" s="191"/>
      <c r="I620" s="194"/>
      <c r="J620" s="191"/>
      <c r="L620" s="194"/>
      <c r="M620" s="191"/>
      <c r="O620" s="194"/>
      <c r="P620" s="191"/>
      <c r="R620" s="194"/>
      <c r="S620" s="191"/>
      <c r="U620" s="194"/>
    </row>
    <row r="621">
      <c r="B621" s="2">
        <f t="shared" si="1"/>
        <v>0</v>
      </c>
      <c r="D621" s="191"/>
      <c r="F621" s="194"/>
      <c r="G621" s="191"/>
      <c r="I621" s="194"/>
      <c r="J621" s="191"/>
      <c r="L621" s="194"/>
      <c r="M621" s="191"/>
      <c r="O621" s="194"/>
      <c r="P621" s="191"/>
      <c r="R621" s="194"/>
      <c r="S621" s="191"/>
      <c r="U621" s="194"/>
    </row>
    <row r="622">
      <c r="B622" s="2">
        <f t="shared" si="1"/>
        <v>0</v>
      </c>
      <c r="D622" s="191"/>
      <c r="F622" s="194"/>
      <c r="G622" s="191"/>
      <c r="I622" s="194"/>
      <c r="J622" s="191"/>
      <c r="L622" s="194"/>
      <c r="M622" s="191"/>
      <c r="O622" s="194"/>
      <c r="P622" s="191"/>
      <c r="R622" s="194"/>
      <c r="S622" s="191"/>
      <c r="U622" s="194"/>
    </row>
    <row r="623">
      <c r="B623" s="2">
        <f t="shared" si="1"/>
        <v>0</v>
      </c>
      <c r="D623" s="191"/>
      <c r="F623" s="194"/>
      <c r="G623" s="191"/>
      <c r="I623" s="194"/>
      <c r="J623" s="191"/>
      <c r="L623" s="194"/>
      <c r="M623" s="191"/>
      <c r="O623" s="194"/>
      <c r="P623" s="191"/>
      <c r="R623" s="194"/>
      <c r="S623" s="191"/>
      <c r="U623" s="194"/>
    </row>
    <row r="624">
      <c r="B624" s="2">
        <f t="shared" si="1"/>
        <v>0</v>
      </c>
      <c r="D624" s="191"/>
      <c r="F624" s="194"/>
      <c r="G624" s="191"/>
      <c r="I624" s="194"/>
      <c r="J624" s="191"/>
      <c r="L624" s="194"/>
      <c r="M624" s="191"/>
      <c r="O624" s="194"/>
      <c r="P624" s="191"/>
      <c r="R624" s="194"/>
      <c r="S624" s="191"/>
      <c r="U624" s="194"/>
    </row>
    <row r="625">
      <c r="B625" s="2">
        <f t="shared" si="1"/>
        <v>0</v>
      </c>
      <c r="D625" s="191"/>
      <c r="F625" s="194"/>
      <c r="G625" s="191"/>
      <c r="I625" s="194"/>
      <c r="J625" s="191"/>
      <c r="L625" s="194"/>
      <c r="M625" s="191"/>
      <c r="O625" s="194"/>
      <c r="P625" s="191"/>
      <c r="R625" s="194"/>
      <c r="S625" s="191"/>
      <c r="U625" s="194"/>
    </row>
    <row r="626">
      <c r="B626" s="2">
        <f t="shared" si="1"/>
        <v>0</v>
      </c>
      <c r="D626" s="191"/>
      <c r="F626" s="194"/>
      <c r="G626" s="191"/>
      <c r="I626" s="194"/>
      <c r="J626" s="191"/>
      <c r="L626" s="194"/>
      <c r="M626" s="191"/>
      <c r="O626" s="194"/>
      <c r="P626" s="191"/>
      <c r="R626" s="194"/>
      <c r="S626" s="191"/>
      <c r="U626" s="194"/>
    </row>
    <row r="627">
      <c r="B627" s="2">
        <f t="shared" si="1"/>
        <v>0</v>
      </c>
      <c r="D627" s="191"/>
      <c r="F627" s="194"/>
      <c r="G627" s="191"/>
      <c r="I627" s="194"/>
      <c r="J627" s="191"/>
      <c r="L627" s="194"/>
      <c r="M627" s="191"/>
      <c r="O627" s="194"/>
      <c r="P627" s="191"/>
      <c r="R627" s="194"/>
      <c r="S627" s="191"/>
      <c r="U627" s="194"/>
    </row>
    <row r="628">
      <c r="B628" s="2">
        <f t="shared" si="1"/>
        <v>0</v>
      </c>
      <c r="D628" s="191"/>
      <c r="F628" s="194"/>
      <c r="G628" s="191"/>
      <c r="I628" s="194"/>
      <c r="J628" s="191"/>
      <c r="L628" s="194"/>
      <c r="M628" s="191"/>
      <c r="O628" s="194"/>
      <c r="P628" s="191"/>
      <c r="R628" s="194"/>
      <c r="S628" s="191"/>
      <c r="U628" s="194"/>
    </row>
    <row r="629">
      <c r="B629" s="2">
        <f t="shared" si="1"/>
        <v>0</v>
      </c>
      <c r="D629" s="191"/>
      <c r="F629" s="194"/>
      <c r="G629" s="191"/>
      <c r="I629" s="194"/>
      <c r="J629" s="191"/>
      <c r="L629" s="194"/>
      <c r="M629" s="191"/>
      <c r="O629" s="194"/>
      <c r="P629" s="191"/>
      <c r="R629" s="194"/>
      <c r="S629" s="191"/>
      <c r="U629" s="194"/>
    </row>
    <row r="630">
      <c r="B630" s="2">
        <f t="shared" si="1"/>
        <v>0</v>
      </c>
      <c r="D630" s="191"/>
      <c r="F630" s="194"/>
      <c r="G630" s="191"/>
      <c r="I630" s="194"/>
      <c r="J630" s="191"/>
      <c r="L630" s="194"/>
      <c r="M630" s="191"/>
      <c r="O630" s="194"/>
      <c r="P630" s="191"/>
      <c r="R630" s="194"/>
      <c r="S630" s="191"/>
      <c r="U630" s="194"/>
    </row>
    <row r="631">
      <c r="B631" s="2">
        <f t="shared" si="1"/>
        <v>0</v>
      </c>
      <c r="D631" s="191"/>
      <c r="F631" s="194"/>
      <c r="G631" s="191"/>
      <c r="I631" s="194"/>
      <c r="J631" s="191"/>
      <c r="L631" s="194"/>
      <c r="M631" s="191"/>
      <c r="O631" s="194"/>
      <c r="P631" s="191"/>
      <c r="R631" s="194"/>
      <c r="S631" s="191"/>
      <c r="U631" s="194"/>
    </row>
    <row r="632">
      <c r="B632" s="2">
        <f t="shared" si="1"/>
        <v>0</v>
      </c>
      <c r="D632" s="191"/>
      <c r="F632" s="194"/>
      <c r="G632" s="191"/>
      <c r="I632" s="194"/>
      <c r="J632" s="191"/>
      <c r="L632" s="194"/>
      <c r="M632" s="191"/>
      <c r="O632" s="194"/>
      <c r="P632" s="191"/>
      <c r="R632" s="194"/>
      <c r="S632" s="191"/>
      <c r="U632" s="194"/>
    </row>
    <row r="633">
      <c r="B633" s="2">
        <f t="shared" si="1"/>
        <v>0</v>
      </c>
      <c r="D633" s="191"/>
      <c r="F633" s="194"/>
      <c r="G633" s="191"/>
      <c r="I633" s="194"/>
      <c r="J633" s="191"/>
      <c r="L633" s="194"/>
      <c r="M633" s="191"/>
      <c r="O633" s="194"/>
      <c r="P633" s="191"/>
      <c r="R633" s="194"/>
      <c r="S633" s="191"/>
      <c r="U633" s="194"/>
    </row>
    <row r="634">
      <c r="B634" s="2">
        <f t="shared" si="1"/>
        <v>0</v>
      </c>
      <c r="D634" s="191"/>
      <c r="F634" s="194"/>
      <c r="G634" s="191"/>
      <c r="I634" s="194"/>
      <c r="J634" s="191"/>
      <c r="L634" s="194"/>
      <c r="M634" s="191"/>
      <c r="O634" s="194"/>
      <c r="P634" s="191"/>
      <c r="R634" s="194"/>
      <c r="S634" s="191"/>
      <c r="U634" s="194"/>
    </row>
    <row r="635">
      <c r="B635" s="2">
        <f t="shared" si="1"/>
        <v>0</v>
      </c>
      <c r="D635" s="191"/>
      <c r="F635" s="194"/>
      <c r="G635" s="191"/>
      <c r="I635" s="194"/>
      <c r="J635" s="191"/>
      <c r="L635" s="194"/>
      <c r="M635" s="191"/>
      <c r="O635" s="194"/>
      <c r="P635" s="191"/>
      <c r="R635" s="194"/>
      <c r="S635" s="191"/>
      <c r="U635" s="194"/>
    </row>
    <row r="636">
      <c r="B636" s="2">
        <f t="shared" si="1"/>
        <v>0</v>
      </c>
      <c r="D636" s="191"/>
      <c r="F636" s="194"/>
      <c r="G636" s="191"/>
      <c r="I636" s="194"/>
      <c r="J636" s="191"/>
      <c r="L636" s="194"/>
      <c r="M636" s="191"/>
      <c r="O636" s="194"/>
      <c r="P636" s="191"/>
      <c r="R636" s="194"/>
      <c r="S636" s="191"/>
      <c r="U636" s="194"/>
    </row>
    <row r="637">
      <c r="B637" s="2">
        <f t="shared" si="1"/>
        <v>0</v>
      </c>
      <c r="D637" s="191"/>
      <c r="F637" s="194"/>
      <c r="G637" s="191"/>
      <c r="I637" s="194"/>
      <c r="J637" s="191"/>
      <c r="L637" s="194"/>
      <c r="M637" s="191"/>
      <c r="O637" s="194"/>
      <c r="P637" s="191"/>
      <c r="R637" s="194"/>
      <c r="S637" s="191"/>
      <c r="U637" s="194"/>
    </row>
    <row r="638">
      <c r="B638" s="2">
        <f t="shared" si="1"/>
        <v>0</v>
      </c>
      <c r="D638" s="191"/>
      <c r="F638" s="194"/>
      <c r="G638" s="191"/>
      <c r="I638" s="194"/>
      <c r="J638" s="191"/>
      <c r="L638" s="194"/>
      <c r="M638" s="191"/>
      <c r="O638" s="194"/>
      <c r="P638" s="191"/>
      <c r="R638" s="194"/>
      <c r="S638" s="191"/>
      <c r="U638" s="194"/>
    </row>
    <row r="639">
      <c r="B639" s="2">
        <f t="shared" si="1"/>
        <v>0</v>
      </c>
      <c r="D639" s="191"/>
      <c r="F639" s="194"/>
      <c r="G639" s="191"/>
      <c r="I639" s="194"/>
      <c r="J639" s="191"/>
      <c r="L639" s="194"/>
      <c r="M639" s="191"/>
      <c r="O639" s="194"/>
      <c r="P639" s="191"/>
      <c r="R639" s="194"/>
      <c r="S639" s="191"/>
      <c r="U639" s="194"/>
    </row>
    <row r="640">
      <c r="B640" s="2">
        <f t="shared" si="1"/>
        <v>0</v>
      </c>
      <c r="D640" s="191"/>
      <c r="F640" s="194"/>
      <c r="G640" s="191"/>
      <c r="I640" s="194"/>
      <c r="J640" s="191"/>
      <c r="L640" s="194"/>
      <c r="M640" s="191"/>
      <c r="O640" s="194"/>
      <c r="P640" s="191"/>
      <c r="R640" s="194"/>
      <c r="S640" s="191"/>
      <c r="U640" s="194"/>
    </row>
    <row r="641">
      <c r="B641" s="2">
        <f t="shared" si="1"/>
        <v>0</v>
      </c>
      <c r="D641" s="191"/>
      <c r="F641" s="194"/>
      <c r="G641" s="191"/>
      <c r="I641" s="194"/>
      <c r="J641" s="191"/>
      <c r="L641" s="194"/>
      <c r="M641" s="191"/>
      <c r="O641" s="194"/>
      <c r="P641" s="191"/>
      <c r="R641" s="194"/>
      <c r="S641" s="191"/>
      <c r="U641" s="194"/>
    </row>
    <row r="642">
      <c r="B642" s="2">
        <f t="shared" si="1"/>
        <v>0</v>
      </c>
      <c r="D642" s="191"/>
      <c r="F642" s="194"/>
      <c r="G642" s="191"/>
      <c r="I642" s="194"/>
      <c r="J642" s="191"/>
      <c r="L642" s="194"/>
      <c r="M642" s="191"/>
      <c r="O642" s="194"/>
      <c r="P642" s="191"/>
      <c r="R642" s="194"/>
      <c r="S642" s="191"/>
      <c r="U642" s="194"/>
    </row>
    <row r="643">
      <c r="B643" s="2">
        <f t="shared" si="1"/>
        <v>0</v>
      </c>
      <c r="D643" s="191"/>
      <c r="F643" s="194"/>
      <c r="G643" s="191"/>
      <c r="I643" s="194"/>
      <c r="J643" s="191"/>
      <c r="L643" s="194"/>
      <c r="M643" s="191"/>
      <c r="O643" s="194"/>
      <c r="P643" s="191"/>
      <c r="R643" s="194"/>
      <c r="S643" s="191"/>
      <c r="U643" s="194"/>
    </row>
    <row r="644">
      <c r="B644" s="2">
        <f t="shared" si="1"/>
        <v>0</v>
      </c>
      <c r="D644" s="191"/>
      <c r="F644" s="194"/>
      <c r="G644" s="191"/>
      <c r="I644" s="194"/>
      <c r="J644" s="191"/>
      <c r="L644" s="194"/>
      <c r="M644" s="191"/>
      <c r="O644" s="194"/>
      <c r="P644" s="191"/>
      <c r="R644" s="194"/>
      <c r="S644" s="191"/>
      <c r="U644" s="194"/>
    </row>
    <row r="645">
      <c r="B645" s="2">
        <f t="shared" si="1"/>
        <v>0</v>
      </c>
      <c r="D645" s="191"/>
      <c r="F645" s="194"/>
      <c r="G645" s="191"/>
      <c r="I645" s="194"/>
      <c r="J645" s="191"/>
      <c r="L645" s="194"/>
      <c r="M645" s="191"/>
      <c r="O645" s="194"/>
      <c r="P645" s="191"/>
      <c r="R645" s="194"/>
      <c r="S645" s="191"/>
      <c r="U645" s="194"/>
    </row>
    <row r="646">
      <c r="B646" s="2">
        <f t="shared" si="1"/>
        <v>0</v>
      </c>
      <c r="D646" s="191"/>
      <c r="F646" s="194"/>
      <c r="G646" s="191"/>
      <c r="I646" s="194"/>
      <c r="J646" s="191"/>
      <c r="L646" s="194"/>
      <c r="M646" s="191"/>
      <c r="O646" s="194"/>
      <c r="P646" s="191"/>
      <c r="R646" s="194"/>
      <c r="S646" s="191"/>
      <c r="U646" s="194"/>
    </row>
    <row r="647">
      <c r="B647" s="2">
        <f t="shared" si="1"/>
        <v>0</v>
      </c>
      <c r="D647" s="191"/>
      <c r="F647" s="194"/>
      <c r="G647" s="191"/>
      <c r="I647" s="194"/>
      <c r="J647" s="191"/>
      <c r="L647" s="194"/>
      <c r="M647" s="191"/>
      <c r="O647" s="194"/>
      <c r="P647" s="191"/>
      <c r="R647" s="194"/>
      <c r="S647" s="191"/>
      <c r="U647" s="194"/>
    </row>
    <row r="648">
      <c r="B648" s="2">
        <f t="shared" si="1"/>
        <v>0</v>
      </c>
      <c r="D648" s="191"/>
      <c r="F648" s="194"/>
      <c r="G648" s="191"/>
      <c r="I648" s="194"/>
      <c r="J648" s="191"/>
      <c r="L648" s="194"/>
      <c r="M648" s="191"/>
      <c r="O648" s="194"/>
      <c r="P648" s="191"/>
      <c r="R648" s="194"/>
      <c r="S648" s="191"/>
      <c r="U648" s="194"/>
    </row>
    <row r="649">
      <c r="B649" s="2">
        <f t="shared" si="1"/>
        <v>0</v>
      </c>
      <c r="D649" s="191"/>
      <c r="F649" s="194"/>
      <c r="G649" s="191"/>
      <c r="I649" s="194"/>
      <c r="J649" s="191"/>
      <c r="L649" s="194"/>
      <c r="M649" s="191"/>
      <c r="O649" s="194"/>
      <c r="P649" s="191"/>
      <c r="R649" s="194"/>
      <c r="S649" s="191"/>
      <c r="U649" s="194"/>
    </row>
    <row r="650">
      <c r="B650" s="2">
        <f t="shared" si="1"/>
        <v>0</v>
      </c>
      <c r="D650" s="191"/>
      <c r="F650" s="194"/>
      <c r="G650" s="191"/>
      <c r="I650" s="194"/>
      <c r="J650" s="191"/>
      <c r="L650" s="194"/>
      <c r="M650" s="191"/>
      <c r="O650" s="194"/>
      <c r="P650" s="191"/>
      <c r="R650" s="194"/>
      <c r="S650" s="191"/>
      <c r="U650" s="194"/>
    </row>
    <row r="651">
      <c r="B651" s="2">
        <f t="shared" si="1"/>
        <v>0</v>
      </c>
      <c r="D651" s="191"/>
      <c r="F651" s="194"/>
      <c r="G651" s="191"/>
      <c r="I651" s="194"/>
      <c r="J651" s="191"/>
      <c r="L651" s="194"/>
      <c r="M651" s="191"/>
      <c r="O651" s="194"/>
      <c r="P651" s="191"/>
      <c r="R651" s="194"/>
      <c r="S651" s="191"/>
      <c r="U651" s="194"/>
    </row>
    <row r="652">
      <c r="B652" s="2">
        <f t="shared" si="1"/>
        <v>0</v>
      </c>
      <c r="D652" s="191"/>
      <c r="F652" s="194"/>
      <c r="G652" s="191"/>
      <c r="I652" s="194"/>
      <c r="J652" s="191"/>
      <c r="L652" s="194"/>
      <c r="M652" s="191"/>
      <c r="O652" s="194"/>
      <c r="P652" s="191"/>
      <c r="R652" s="194"/>
      <c r="S652" s="191"/>
      <c r="U652" s="194"/>
    </row>
    <row r="653">
      <c r="B653" s="2">
        <f t="shared" si="1"/>
        <v>0</v>
      </c>
      <c r="D653" s="191"/>
      <c r="F653" s="194"/>
      <c r="G653" s="191"/>
      <c r="I653" s="194"/>
      <c r="J653" s="191"/>
      <c r="L653" s="194"/>
      <c r="M653" s="191"/>
      <c r="O653" s="194"/>
      <c r="P653" s="191"/>
      <c r="R653" s="194"/>
      <c r="S653" s="191"/>
      <c r="U653" s="194"/>
    </row>
    <row r="654">
      <c r="B654" s="2">
        <f t="shared" si="1"/>
        <v>0</v>
      </c>
      <c r="D654" s="191"/>
      <c r="F654" s="194"/>
      <c r="G654" s="191"/>
      <c r="I654" s="194"/>
      <c r="J654" s="191"/>
      <c r="L654" s="194"/>
      <c r="M654" s="191"/>
      <c r="O654" s="194"/>
      <c r="P654" s="191"/>
      <c r="R654" s="194"/>
      <c r="S654" s="191"/>
      <c r="U654" s="194"/>
    </row>
    <row r="655">
      <c r="B655" s="2">
        <f t="shared" si="1"/>
        <v>0</v>
      </c>
      <c r="D655" s="191"/>
      <c r="F655" s="194"/>
      <c r="G655" s="191"/>
      <c r="I655" s="194"/>
      <c r="J655" s="191"/>
      <c r="L655" s="194"/>
      <c r="M655" s="191"/>
      <c r="O655" s="194"/>
      <c r="P655" s="191"/>
      <c r="R655" s="194"/>
      <c r="S655" s="191"/>
      <c r="U655" s="194"/>
    </row>
    <row r="656">
      <c r="B656" s="2">
        <f t="shared" si="1"/>
        <v>0</v>
      </c>
      <c r="D656" s="191"/>
      <c r="F656" s="194"/>
      <c r="G656" s="191"/>
      <c r="I656" s="194"/>
      <c r="J656" s="191"/>
      <c r="L656" s="194"/>
      <c r="M656" s="191"/>
      <c r="O656" s="194"/>
      <c r="P656" s="191"/>
      <c r="R656" s="194"/>
      <c r="S656" s="191"/>
      <c r="U656" s="194"/>
    </row>
    <row r="657">
      <c r="B657" s="2">
        <f t="shared" si="1"/>
        <v>0</v>
      </c>
      <c r="D657" s="191"/>
      <c r="F657" s="194"/>
      <c r="G657" s="191"/>
      <c r="I657" s="194"/>
      <c r="J657" s="191"/>
      <c r="L657" s="194"/>
      <c r="M657" s="191"/>
      <c r="O657" s="194"/>
      <c r="P657" s="191"/>
      <c r="R657" s="194"/>
      <c r="S657" s="191"/>
      <c r="U657" s="194"/>
    </row>
    <row r="658">
      <c r="B658" s="2">
        <f t="shared" si="1"/>
        <v>0</v>
      </c>
      <c r="D658" s="191"/>
      <c r="F658" s="194"/>
      <c r="G658" s="191"/>
      <c r="I658" s="194"/>
      <c r="J658" s="191"/>
      <c r="L658" s="194"/>
      <c r="M658" s="191"/>
      <c r="O658" s="194"/>
      <c r="P658" s="191"/>
      <c r="R658" s="194"/>
      <c r="S658" s="191"/>
      <c r="U658" s="194"/>
    </row>
    <row r="659">
      <c r="B659" s="2">
        <f t="shared" si="1"/>
        <v>0</v>
      </c>
      <c r="D659" s="191"/>
      <c r="F659" s="194"/>
      <c r="G659" s="191"/>
      <c r="I659" s="194"/>
      <c r="J659" s="191"/>
      <c r="L659" s="194"/>
      <c r="M659" s="191"/>
      <c r="O659" s="194"/>
      <c r="P659" s="191"/>
      <c r="R659" s="194"/>
      <c r="S659" s="191"/>
      <c r="U659" s="194"/>
    </row>
    <row r="660">
      <c r="B660" s="2">
        <f t="shared" si="1"/>
        <v>0</v>
      </c>
      <c r="D660" s="191"/>
      <c r="F660" s="194"/>
      <c r="G660" s="191"/>
      <c r="I660" s="194"/>
      <c r="J660" s="191"/>
      <c r="L660" s="194"/>
      <c r="M660" s="191"/>
      <c r="O660" s="194"/>
      <c r="P660" s="191"/>
      <c r="R660" s="194"/>
      <c r="S660" s="191"/>
      <c r="U660" s="194"/>
    </row>
    <row r="661">
      <c r="B661" s="2">
        <f t="shared" si="1"/>
        <v>0</v>
      </c>
      <c r="D661" s="191"/>
      <c r="F661" s="194"/>
      <c r="G661" s="191"/>
      <c r="I661" s="194"/>
      <c r="J661" s="191"/>
      <c r="L661" s="194"/>
      <c r="M661" s="191"/>
      <c r="O661" s="194"/>
      <c r="P661" s="191"/>
      <c r="R661" s="194"/>
      <c r="S661" s="191"/>
      <c r="U661" s="194"/>
    </row>
    <row r="662">
      <c r="B662" s="2">
        <f t="shared" si="1"/>
        <v>0</v>
      </c>
      <c r="D662" s="191"/>
      <c r="F662" s="194"/>
      <c r="G662" s="191"/>
      <c r="I662" s="194"/>
      <c r="J662" s="191"/>
      <c r="L662" s="194"/>
      <c r="M662" s="191"/>
      <c r="O662" s="194"/>
      <c r="P662" s="191"/>
      <c r="R662" s="194"/>
      <c r="S662" s="191"/>
      <c r="U662" s="194"/>
    </row>
    <row r="663">
      <c r="B663" s="2">
        <f t="shared" si="1"/>
        <v>0</v>
      </c>
      <c r="D663" s="191"/>
      <c r="F663" s="194"/>
      <c r="G663" s="191"/>
      <c r="I663" s="194"/>
      <c r="J663" s="191"/>
      <c r="L663" s="194"/>
      <c r="M663" s="191"/>
      <c r="O663" s="194"/>
      <c r="P663" s="191"/>
      <c r="R663" s="194"/>
      <c r="S663" s="191"/>
      <c r="U663" s="194"/>
    </row>
    <row r="664">
      <c r="B664" s="2">
        <f t="shared" si="1"/>
        <v>0</v>
      </c>
      <c r="D664" s="191"/>
      <c r="F664" s="194"/>
      <c r="G664" s="191"/>
      <c r="I664" s="194"/>
      <c r="J664" s="191"/>
      <c r="L664" s="194"/>
      <c r="M664" s="191"/>
      <c r="O664" s="194"/>
      <c r="P664" s="191"/>
      <c r="R664" s="194"/>
      <c r="S664" s="191"/>
      <c r="U664" s="194"/>
    </row>
    <row r="665">
      <c r="B665" s="2">
        <f t="shared" si="1"/>
        <v>0</v>
      </c>
      <c r="D665" s="191"/>
      <c r="F665" s="194"/>
      <c r="G665" s="191"/>
      <c r="I665" s="194"/>
      <c r="J665" s="191"/>
      <c r="L665" s="194"/>
      <c r="M665" s="191"/>
      <c r="O665" s="194"/>
      <c r="P665" s="191"/>
      <c r="R665" s="194"/>
      <c r="S665" s="191"/>
      <c r="U665" s="194"/>
    </row>
    <row r="666">
      <c r="B666" s="2">
        <f t="shared" si="1"/>
        <v>0</v>
      </c>
      <c r="D666" s="191"/>
      <c r="F666" s="194"/>
      <c r="G666" s="191"/>
      <c r="I666" s="194"/>
      <c r="J666" s="191"/>
      <c r="L666" s="194"/>
      <c r="M666" s="191"/>
      <c r="O666" s="194"/>
      <c r="P666" s="191"/>
      <c r="R666" s="194"/>
      <c r="S666" s="191"/>
      <c r="U666" s="194"/>
    </row>
    <row r="667">
      <c r="B667" s="2">
        <f t="shared" si="1"/>
        <v>0</v>
      </c>
      <c r="D667" s="191"/>
      <c r="F667" s="194"/>
      <c r="G667" s="191"/>
      <c r="I667" s="194"/>
      <c r="J667" s="191"/>
      <c r="L667" s="194"/>
      <c r="M667" s="191"/>
      <c r="O667" s="194"/>
      <c r="P667" s="191"/>
      <c r="R667" s="194"/>
      <c r="S667" s="191"/>
      <c r="U667" s="194"/>
    </row>
    <row r="668">
      <c r="B668" s="2">
        <f t="shared" si="1"/>
        <v>0</v>
      </c>
      <c r="D668" s="191"/>
      <c r="F668" s="194"/>
      <c r="G668" s="191"/>
      <c r="I668" s="194"/>
      <c r="J668" s="191"/>
      <c r="L668" s="194"/>
      <c r="M668" s="191"/>
      <c r="O668" s="194"/>
      <c r="P668" s="191"/>
      <c r="R668" s="194"/>
      <c r="S668" s="191"/>
      <c r="U668" s="194"/>
    </row>
    <row r="669">
      <c r="B669" s="2">
        <f t="shared" si="1"/>
        <v>0</v>
      </c>
      <c r="D669" s="191"/>
      <c r="F669" s="194"/>
      <c r="G669" s="191"/>
      <c r="I669" s="194"/>
      <c r="J669" s="191"/>
      <c r="L669" s="194"/>
      <c r="M669" s="191"/>
      <c r="O669" s="194"/>
      <c r="P669" s="191"/>
      <c r="R669" s="194"/>
      <c r="S669" s="191"/>
      <c r="U669" s="194"/>
    </row>
    <row r="670">
      <c r="B670" s="2">
        <f t="shared" si="1"/>
        <v>0</v>
      </c>
      <c r="D670" s="191"/>
      <c r="F670" s="194"/>
      <c r="G670" s="191"/>
      <c r="I670" s="194"/>
      <c r="J670" s="191"/>
      <c r="L670" s="194"/>
      <c r="M670" s="191"/>
      <c r="O670" s="194"/>
      <c r="P670" s="191"/>
      <c r="R670" s="194"/>
      <c r="S670" s="191"/>
      <c r="U670" s="194"/>
    </row>
    <row r="671">
      <c r="B671" s="2">
        <f t="shared" si="1"/>
        <v>0</v>
      </c>
      <c r="D671" s="191"/>
      <c r="F671" s="194"/>
      <c r="G671" s="191"/>
      <c r="I671" s="194"/>
      <c r="J671" s="191"/>
      <c r="L671" s="194"/>
      <c r="M671" s="191"/>
      <c r="O671" s="194"/>
      <c r="P671" s="191"/>
      <c r="R671" s="194"/>
      <c r="S671" s="191"/>
      <c r="U671" s="194"/>
    </row>
    <row r="672">
      <c r="B672" s="2">
        <f t="shared" si="1"/>
        <v>0</v>
      </c>
      <c r="D672" s="191"/>
      <c r="F672" s="194"/>
      <c r="G672" s="191"/>
      <c r="I672" s="194"/>
      <c r="J672" s="191"/>
      <c r="L672" s="194"/>
      <c r="M672" s="191"/>
      <c r="O672" s="194"/>
      <c r="P672" s="191"/>
      <c r="R672" s="194"/>
      <c r="S672" s="191"/>
      <c r="U672" s="194"/>
    </row>
    <row r="673">
      <c r="B673" s="2">
        <f t="shared" si="1"/>
        <v>0</v>
      </c>
      <c r="D673" s="191"/>
      <c r="F673" s="194"/>
      <c r="G673" s="191"/>
      <c r="I673" s="194"/>
      <c r="J673" s="191"/>
      <c r="L673" s="194"/>
      <c r="M673" s="191"/>
      <c r="O673" s="194"/>
      <c r="P673" s="191"/>
      <c r="R673" s="194"/>
      <c r="S673" s="191"/>
      <c r="U673" s="194"/>
    </row>
    <row r="674">
      <c r="B674" s="2">
        <f t="shared" si="1"/>
        <v>0</v>
      </c>
      <c r="D674" s="191"/>
      <c r="F674" s="194"/>
      <c r="G674" s="191"/>
      <c r="I674" s="194"/>
      <c r="J674" s="191"/>
      <c r="L674" s="194"/>
      <c r="M674" s="191"/>
      <c r="O674" s="194"/>
      <c r="P674" s="191"/>
      <c r="R674" s="194"/>
      <c r="S674" s="191"/>
      <c r="U674" s="194"/>
    </row>
    <row r="675">
      <c r="B675" s="2">
        <f t="shared" si="1"/>
        <v>0</v>
      </c>
      <c r="D675" s="191"/>
      <c r="F675" s="194"/>
      <c r="G675" s="191"/>
      <c r="I675" s="194"/>
      <c r="J675" s="191"/>
      <c r="L675" s="194"/>
      <c r="M675" s="191"/>
      <c r="O675" s="194"/>
      <c r="P675" s="191"/>
      <c r="R675" s="194"/>
      <c r="S675" s="191"/>
      <c r="U675" s="194"/>
    </row>
    <row r="676">
      <c r="B676" s="2">
        <f t="shared" si="1"/>
        <v>0</v>
      </c>
      <c r="D676" s="191"/>
      <c r="F676" s="194"/>
      <c r="G676" s="191"/>
      <c r="I676" s="194"/>
      <c r="J676" s="191"/>
      <c r="L676" s="194"/>
      <c r="M676" s="191"/>
      <c r="O676" s="194"/>
      <c r="P676" s="191"/>
      <c r="R676" s="194"/>
      <c r="S676" s="191"/>
      <c r="U676" s="194"/>
    </row>
    <row r="677">
      <c r="B677" s="2">
        <f t="shared" si="1"/>
        <v>0</v>
      </c>
      <c r="D677" s="191"/>
      <c r="F677" s="194"/>
      <c r="G677" s="191"/>
      <c r="I677" s="194"/>
      <c r="J677" s="191"/>
      <c r="L677" s="194"/>
      <c r="M677" s="191"/>
      <c r="O677" s="194"/>
      <c r="P677" s="191"/>
      <c r="R677" s="194"/>
      <c r="S677" s="191"/>
      <c r="U677" s="194"/>
    </row>
    <row r="678">
      <c r="B678" s="2">
        <f t="shared" si="1"/>
        <v>0</v>
      </c>
      <c r="D678" s="191"/>
      <c r="F678" s="194"/>
      <c r="G678" s="191"/>
      <c r="I678" s="194"/>
      <c r="J678" s="191"/>
      <c r="L678" s="194"/>
      <c r="M678" s="191"/>
      <c r="O678" s="194"/>
      <c r="P678" s="191"/>
      <c r="R678" s="194"/>
      <c r="S678" s="191"/>
      <c r="U678" s="194"/>
    </row>
    <row r="679">
      <c r="B679" s="2">
        <f t="shared" si="1"/>
        <v>0</v>
      </c>
      <c r="D679" s="191"/>
      <c r="F679" s="194"/>
      <c r="G679" s="191"/>
      <c r="I679" s="194"/>
      <c r="J679" s="191"/>
      <c r="L679" s="194"/>
      <c r="M679" s="191"/>
      <c r="O679" s="194"/>
      <c r="P679" s="191"/>
      <c r="R679" s="194"/>
      <c r="S679" s="191"/>
      <c r="U679" s="194"/>
    </row>
    <row r="680">
      <c r="B680" s="2">
        <f t="shared" si="1"/>
        <v>0</v>
      </c>
      <c r="D680" s="191"/>
      <c r="F680" s="194"/>
      <c r="G680" s="191"/>
      <c r="I680" s="194"/>
      <c r="J680" s="191"/>
      <c r="L680" s="194"/>
      <c r="M680" s="191"/>
      <c r="O680" s="194"/>
      <c r="P680" s="191"/>
      <c r="R680" s="194"/>
      <c r="S680" s="191"/>
      <c r="U680" s="194"/>
    </row>
    <row r="681">
      <c r="B681" s="2">
        <f t="shared" si="1"/>
        <v>0</v>
      </c>
      <c r="D681" s="191"/>
      <c r="F681" s="194"/>
      <c r="G681" s="191"/>
      <c r="I681" s="194"/>
      <c r="J681" s="191"/>
      <c r="L681" s="194"/>
      <c r="M681" s="191"/>
      <c r="O681" s="194"/>
      <c r="P681" s="191"/>
      <c r="R681" s="194"/>
      <c r="S681" s="191"/>
      <c r="U681" s="194"/>
    </row>
    <row r="682">
      <c r="B682" s="2">
        <f t="shared" si="1"/>
        <v>0</v>
      </c>
      <c r="D682" s="191"/>
      <c r="F682" s="194"/>
      <c r="G682" s="191"/>
      <c r="I682" s="194"/>
      <c r="J682" s="191"/>
      <c r="L682" s="194"/>
      <c r="M682" s="191"/>
      <c r="O682" s="194"/>
      <c r="P682" s="191"/>
      <c r="R682" s="194"/>
      <c r="S682" s="191"/>
      <c r="U682" s="194"/>
    </row>
    <row r="683">
      <c r="B683" s="2">
        <f t="shared" si="1"/>
        <v>0</v>
      </c>
      <c r="D683" s="191"/>
      <c r="F683" s="194"/>
      <c r="G683" s="191"/>
      <c r="I683" s="194"/>
      <c r="J683" s="191"/>
      <c r="L683" s="194"/>
      <c r="M683" s="191"/>
      <c r="O683" s="194"/>
      <c r="P683" s="191"/>
      <c r="R683" s="194"/>
      <c r="S683" s="191"/>
      <c r="U683" s="194"/>
    </row>
    <row r="684">
      <c r="B684" s="2">
        <f t="shared" si="1"/>
        <v>0</v>
      </c>
      <c r="D684" s="191"/>
      <c r="F684" s="194"/>
      <c r="G684" s="191"/>
      <c r="I684" s="194"/>
      <c r="J684" s="191"/>
      <c r="L684" s="194"/>
      <c r="M684" s="191"/>
      <c r="O684" s="194"/>
      <c r="P684" s="191"/>
      <c r="R684" s="194"/>
      <c r="S684" s="191"/>
      <c r="U684" s="194"/>
    </row>
    <row r="685">
      <c r="B685" s="2">
        <f t="shared" si="1"/>
        <v>0</v>
      </c>
      <c r="D685" s="191"/>
      <c r="F685" s="194"/>
      <c r="G685" s="191"/>
      <c r="I685" s="194"/>
      <c r="J685" s="191"/>
      <c r="L685" s="194"/>
      <c r="M685" s="191"/>
      <c r="O685" s="194"/>
      <c r="P685" s="191"/>
      <c r="R685" s="194"/>
      <c r="S685" s="191"/>
      <c r="U685" s="194"/>
    </row>
    <row r="686">
      <c r="B686" s="2">
        <f t="shared" si="1"/>
        <v>0</v>
      </c>
      <c r="D686" s="191"/>
      <c r="F686" s="194"/>
      <c r="G686" s="191"/>
      <c r="I686" s="194"/>
      <c r="J686" s="191"/>
      <c r="L686" s="194"/>
      <c r="M686" s="191"/>
      <c r="O686" s="194"/>
      <c r="P686" s="191"/>
      <c r="R686" s="194"/>
      <c r="S686" s="191"/>
      <c r="U686" s="194"/>
    </row>
    <row r="687">
      <c r="B687" s="2">
        <f t="shared" si="1"/>
        <v>0</v>
      </c>
      <c r="D687" s="191"/>
      <c r="F687" s="194"/>
      <c r="G687" s="191"/>
      <c r="I687" s="194"/>
      <c r="J687" s="191"/>
      <c r="L687" s="194"/>
      <c r="M687" s="191"/>
      <c r="O687" s="194"/>
      <c r="P687" s="191"/>
      <c r="R687" s="194"/>
      <c r="S687" s="191"/>
      <c r="U687" s="194"/>
    </row>
    <row r="688">
      <c r="B688" s="2">
        <f t="shared" si="1"/>
        <v>0</v>
      </c>
      <c r="D688" s="191"/>
      <c r="F688" s="194"/>
      <c r="G688" s="191"/>
      <c r="I688" s="194"/>
      <c r="J688" s="191"/>
      <c r="L688" s="194"/>
      <c r="M688" s="191"/>
      <c r="O688" s="194"/>
      <c r="P688" s="191"/>
      <c r="R688" s="194"/>
      <c r="S688" s="191"/>
      <c r="U688" s="194"/>
    </row>
    <row r="689">
      <c r="B689" s="2">
        <f t="shared" si="1"/>
        <v>0</v>
      </c>
      <c r="D689" s="191"/>
      <c r="F689" s="194"/>
      <c r="G689" s="191"/>
      <c r="I689" s="194"/>
      <c r="J689" s="191"/>
      <c r="L689" s="194"/>
      <c r="M689" s="191"/>
      <c r="O689" s="194"/>
      <c r="P689" s="191"/>
      <c r="R689" s="194"/>
      <c r="S689" s="191"/>
      <c r="U689" s="194"/>
    </row>
    <row r="690">
      <c r="B690" s="2">
        <f t="shared" si="1"/>
        <v>0</v>
      </c>
      <c r="D690" s="191"/>
      <c r="F690" s="194"/>
      <c r="G690" s="191"/>
      <c r="I690" s="194"/>
      <c r="J690" s="191"/>
      <c r="L690" s="194"/>
      <c r="M690" s="191"/>
      <c r="O690" s="194"/>
      <c r="P690" s="191"/>
      <c r="R690" s="194"/>
      <c r="S690" s="191"/>
      <c r="U690" s="194"/>
    </row>
    <row r="691">
      <c r="B691" s="2">
        <f t="shared" si="1"/>
        <v>0</v>
      </c>
      <c r="D691" s="191"/>
      <c r="F691" s="194"/>
      <c r="G691" s="191"/>
      <c r="I691" s="194"/>
      <c r="J691" s="191"/>
      <c r="L691" s="194"/>
      <c r="M691" s="191"/>
      <c r="O691" s="194"/>
      <c r="P691" s="191"/>
      <c r="R691" s="194"/>
      <c r="S691" s="191"/>
      <c r="U691" s="194"/>
    </row>
    <row r="692">
      <c r="B692" s="2">
        <f t="shared" si="1"/>
        <v>0</v>
      </c>
      <c r="D692" s="191"/>
      <c r="F692" s="194"/>
      <c r="G692" s="191"/>
      <c r="I692" s="194"/>
      <c r="J692" s="191"/>
      <c r="L692" s="194"/>
      <c r="M692" s="191"/>
      <c r="O692" s="194"/>
      <c r="P692" s="191"/>
      <c r="R692" s="194"/>
      <c r="S692" s="191"/>
      <c r="U692" s="194"/>
    </row>
    <row r="693">
      <c r="B693" s="2">
        <f t="shared" si="1"/>
        <v>0</v>
      </c>
      <c r="D693" s="191"/>
      <c r="F693" s="194"/>
      <c r="G693" s="191"/>
      <c r="I693" s="194"/>
      <c r="J693" s="191"/>
      <c r="L693" s="194"/>
      <c r="M693" s="191"/>
      <c r="O693" s="194"/>
      <c r="P693" s="191"/>
      <c r="R693" s="194"/>
      <c r="S693" s="191"/>
      <c r="U693" s="194"/>
    </row>
    <row r="694">
      <c r="B694" s="2">
        <f t="shared" si="1"/>
        <v>0</v>
      </c>
      <c r="D694" s="191"/>
      <c r="F694" s="194"/>
      <c r="G694" s="191"/>
      <c r="I694" s="194"/>
      <c r="J694" s="191"/>
      <c r="L694" s="194"/>
      <c r="M694" s="191"/>
      <c r="O694" s="194"/>
      <c r="P694" s="191"/>
      <c r="R694" s="194"/>
      <c r="S694" s="191"/>
      <c r="U694" s="194"/>
    </row>
    <row r="695">
      <c r="B695" s="2">
        <f t="shared" si="1"/>
        <v>0</v>
      </c>
      <c r="D695" s="191"/>
      <c r="F695" s="194"/>
      <c r="G695" s="191"/>
      <c r="I695" s="194"/>
      <c r="J695" s="191"/>
      <c r="L695" s="194"/>
      <c r="M695" s="191"/>
      <c r="O695" s="194"/>
      <c r="P695" s="191"/>
      <c r="R695" s="194"/>
      <c r="S695" s="191"/>
      <c r="U695" s="194"/>
    </row>
    <row r="696">
      <c r="B696" s="2">
        <f t="shared" si="1"/>
        <v>0</v>
      </c>
      <c r="D696" s="191"/>
      <c r="F696" s="194"/>
      <c r="G696" s="191"/>
      <c r="I696" s="194"/>
      <c r="J696" s="191"/>
      <c r="L696" s="194"/>
      <c r="M696" s="191"/>
      <c r="O696" s="194"/>
      <c r="P696" s="191"/>
      <c r="R696" s="194"/>
      <c r="S696" s="191"/>
      <c r="U696" s="194"/>
    </row>
    <row r="697">
      <c r="B697" s="2">
        <f t="shared" si="1"/>
        <v>0</v>
      </c>
      <c r="D697" s="191"/>
      <c r="F697" s="194"/>
      <c r="G697" s="191"/>
      <c r="I697" s="194"/>
      <c r="J697" s="191"/>
      <c r="L697" s="194"/>
      <c r="M697" s="191"/>
      <c r="O697" s="194"/>
      <c r="P697" s="191"/>
      <c r="R697" s="194"/>
      <c r="S697" s="191"/>
      <c r="U697" s="194"/>
    </row>
    <row r="698">
      <c r="B698" s="2">
        <f t="shared" si="1"/>
        <v>0</v>
      </c>
      <c r="D698" s="191"/>
      <c r="F698" s="194"/>
      <c r="G698" s="191"/>
      <c r="I698" s="194"/>
      <c r="J698" s="191"/>
      <c r="L698" s="194"/>
      <c r="M698" s="191"/>
      <c r="O698" s="194"/>
      <c r="P698" s="191"/>
      <c r="R698" s="194"/>
      <c r="S698" s="191"/>
      <c r="U698" s="194"/>
    </row>
    <row r="699">
      <c r="B699" s="2">
        <f t="shared" si="1"/>
        <v>0</v>
      </c>
      <c r="D699" s="191"/>
      <c r="F699" s="194"/>
      <c r="G699" s="191"/>
      <c r="I699" s="194"/>
      <c r="J699" s="191"/>
      <c r="L699" s="194"/>
      <c r="M699" s="191"/>
      <c r="O699" s="194"/>
      <c r="P699" s="191"/>
      <c r="R699" s="194"/>
      <c r="S699" s="191"/>
      <c r="U699" s="194"/>
    </row>
    <row r="700">
      <c r="B700" s="2">
        <f t="shared" si="1"/>
        <v>0</v>
      </c>
      <c r="D700" s="191"/>
      <c r="F700" s="194"/>
      <c r="G700" s="191"/>
      <c r="I700" s="194"/>
      <c r="J700" s="191"/>
      <c r="L700" s="194"/>
      <c r="M700" s="191"/>
      <c r="O700" s="194"/>
      <c r="P700" s="191"/>
      <c r="R700" s="194"/>
      <c r="S700" s="191"/>
      <c r="U700" s="194"/>
    </row>
    <row r="701">
      <c r="B701" s="2">
        <f t="shared" si="1"/>
        <v>0</v>
      </c>
      <c r="D701" s="191"/>
      <c r="F701" s="194"/>
      <c r="G701" s="191"/>
      <c r="I701" s="194"/>
      <c r="J701" s="191"/>
      <c r="L701" s="194"/>
      <c r="M701" s="191"/>
      <c r="O701" s="194"/>
      <c r="P701" s="191"/>
      <c r="R701" s="194"/>
      <c r="S701" s="191"/>
      <c r="U701" s="194"/>
    </row>
    <row r="702">
      <c r="B702" s="2">
        <f t="shared" si="1"/>
        <v>0</v>
      </c>
      <c r="D702" s="191"/>
      <c r="F702" s="194"/>
      <c r="G702" s="191"/>
      <c r="I702" s="194"/>
      <c r="J702" s="191"/>
      <c r="L702" s="194"/>
      <c r="M702" s="191"/>
      <c r="O702" s="194"/>
      <c r="P702" s="191"/>
      <c r="R702" s="194"/>
      <c r="S702" s="191"/>
      <c r="U702" s="194"/>
    </row>
    <row r="703">
      <c r="B703" s="2">
        <f t="shared" si="1"/>
        <v>0</v>
      </c>
      <c r="D703" s="191"/>
      <c r="F703" s="194"/>
      <c r="G703" s="191"/>
      <c r="I703" s="194"/>
      <c r="J703" s="191"/>
      <c r="L703" s="194"/>
      <c r="M703" s="191"/>
      <c r="O703" s="194"/>
      <c r="P703" s="191"/>
      <c r="R703" s="194"/>
      <c r="S703" s="191"/>
      <c r="U703" s="194"/>
    </row>
    <row r="704">
      <c r="B704" s="2">
        <f t="shared" si="1"/>
        <v>0</v>
      </c>
      <c r="D704" s="191"/>
      <c r="F704" s="194"/>
      <c r="G704" s="191"/>
      <c r="I704" s="194"/>
      <c r="J704" s="191"/>
      <c r="L704" s="194"/>
      <c r="M704" s="191"/>
      <c r="O704" s="194"/>
      <c r="P704" s="191"/>
      <c r="R704" s="194"/>
      <c r="S704" s="191"/>
      <c r="U704" s="194"/>
    </row>
    <row r="705">
      <c r="B705" s="2">
        <f t="shared" si="1"/>
        <v>0</v>
      </c>
      <c r="D705" s="191"/>
      <c r="F705" s="194"/>
      <c r="G705" s="191"/>
      <c r="I705" s="194"/>
      <c r="J705" s="191"/>
      <c r="L705" s="194"/>
      <c r="M705" s="191"/>
      <c r="O705" s="194"/>
      <c r="P705" s="191"/>
      <c r="R705" s="194"/>
      <c r="S705" s="191"/>
      <c r="U705" s="194"/>
    </row>
    <row r="706">
      <c r="B706" s="2">
        <f t="shared" si="1"/>
        <v>0</v>
      </c>
      <c r="D706" s="191"/>
      <c r="F706" s="194"/>
      <c r="G706" s="191"/>
      <c r="I706" s="194"/>
      <c r="J706" s="191"/>
      <c r="L706" s="194"/>
      <c r="M706" s="191"/>
      <c r="O706" s="194"/>
      <c r="P706" s="191"/>
      <c r="R706" s="194"/>
      <c r="S706" s="191"/>
      <c r="U706" s="194"/>
    </row>
    <row r="707">
      <c r="B707" s="2">
        <f t="shared" si="1"/>
        <v>0</v>
      </c>
      <c r="D707" s="191"/>
      <c r="F707" s="194"/>
      <c r="G707" s="191"/>
      <c r="I707" s="194"/>
      <c r="J707" s="191"/>
      <c r="L707" s="194"/>
      <c r="M707" s="191"/>
      <c r="O707" s="194"/>
      <c r="P707" s="191"/>
      <c r="R707" s="194"/>
      <c r="S707" s="191"/>
      <c r="U707" s="194"/>
    </row>
    <row r="708">
      <c r="B708" s="2">
        <f t="shared" si="1"/>
        <v>0</v>
      </c>
      <c r="D708" s="191"/>
      <c r="F708" s="194"/>
      <c r="G708" s="191"/>
      <c r="I708" s="194"/>
      <c r="J708" s="191"/>
      <c r="L708" s="194"/>
      <c r="M708" s="191"/>
      <c r="O708" s="194"/>
      <c r="P708" s="191"/>
      <c r="R708" s="194"/>
      <c r="S708" s="191"/>
      <c r="U708" s="194"/>
    </row>
    <row r="709">
      <c r="B709" s="2">
        <f t="shared" si="1"/>
        <v>0</v>
      </c>
      <c r="D709" s="191"/>
      <c r="F709" s="194"/>
      <c r="G709" s="191"/>
      <c r="I709" s="194"/>
      <c r="J709" s="191"/>
      <c r="L709" s="194"/>
      <c r="M709" s="191"/>
      <c r="O709" s="194"/>
      <c r="P709" s="191"/>
      <c r="R709" s="194"/>
      <c r="S709" s="191"/>
      <c r="U709" s="194"/>
    </row>
    <row r="710">
      <c r="B710" s="2">
        <f t="shared" si="1"/>
        <v>0</v>
      </c>
      <c r="D710" s="191"/>
      <c r="F710" s="194"/>
      <c r="G710" s="191"/>
      <c r="I710" s="194"/>
      <c r="J710" s="191"/>
      <c r="L710" s="194"/>
      <c r="M710" s="191"/>
      <c r="O710" s="194"/>
      <c r="P710" s="191"/>
      <c r="R710" s="194"/>
      <c r="S710" s="191"/>
      <c r="U710" s="194"/>
    </row>
    <row r="711">
      <c r="B711" s="2">
        <f t="shared" si="1"/>
        <v>0</v>
      </c>
      <c r="D711" s="191"/>
      <c r="F711" s="194"/>
      <c r="G711" s="191"/>
      <c r="I711" s="194"/>
      <c r="J711" s="191"/>
      <c r="L711" s="194"/>
      <c r="M711" s="191"/>
      <c r="O711" s="194"/>
      <c r="P711" s="191"/>
      <c r="R711" s="194"/>
      <c r="S711" s="191"/>
      <c r="U711" s="194"/>
    </row>
    <row r="712">
      <c r="B712" s="2">
        <f t="shared" si="1"/>
        <v>0</v>
      </c>
      <c r="D712" s="191"/>
      <c r="F712" s="194"/>
      <c r="G712" s="191"/>
      <c r="I712" s="194"/>
      <c r="J712" s="191"/>
      <c r="L712" s="194"/>
      <c r="M712" s="191"/>
      <c r="O712" s="194"/>
      <c r="P712" s="191"/>
      <c r="R712" s="194"/>
      <c r="S712" s="191"/>
      <c r="U712" s="194"/>
    </row>
    <row r="713">
      <c r="B713" s="2">
        <f t="shared" si="1"/>
        <v>0</v>
      </c>
      <c r="D713" s="191"/>
      <c r="F713" s="194"/>
      <c r="G713" s="191"/>
      <c r="I713" s="194"/>
      <c r="J713" s="191"/>
      <c r="L713" s="194"/>
      <c r="M713" s="191"/>
      <c r="O713" s="194"/>
      <c r="P713" s="191"/>
      <c r="R713" s="194"/>
      <c r="S713" s="191"/>
      <c r="U713" s="194"/>
    </row>
    <row r="714">
      <c r="B714" s="2">
        <f t="shared" si="1"/>
        <v>0</v>
      </c>
      <c r="D714" s="191"/>
      <c r="F714" s="194"/>
      <c r="G714" s="191"/>
      <c r="I714" s="194"/>
      <c r="J714" s="191"/>
      <c r="L714" s="194"/>
      <c r="M714" s="191"/>
      <c r="O714" s="194"/>
      <c r="P714" s="191"/>
      <c r="R714" s="194"/>
      <c r="S714" s="191"/>
      <c r="U714" s="194"/>
    </row>
    <row r="715">
      <c r="B715" s="2">
        <f t="shared" si="1"/>
        <v>0</v>
      </c>
      <c r="D715" s="191"/>
      <c r="F715" s="194"/>
      <c r="G715" s="191"/>
      <c r="I715" s="194"/>
      <c r="J715" s="191"/>
      <c r="L715" s="194"/>
      <c r="M715" s="191"/>
      <c r="O715" s="194"/>
      <c r="P715" s="191"/>
      <c r="R715" s="194"/>
      <c r="S715" s="191"/>
      <c r="U715" s="194"/>
    </row>
    <row r="716">
      <c r="B716" s="2">
        <f t="shared" si="1"/>
        <v>0</v>
      </c>
      <c r="D716" s="191"/>
      <c r="F716" s="194"/>
      <c r="G716" s="191"/>
      <c r="I716" s="194"/>
      <c r="J716" s="191"/>
      <c r="L716" s="194"/>
      <c r="M716" s="191"/>
      <c r="O716" s="194"/>
      <c r="P716" s="191"/>
      <c r="R716" s="194"/>
      <c r="S716" s="191"/>
      <c r="U716" s="194"/>
    </row>
    <row r="717">
      <c r="B717" s="2">
        <f t="shared" si="1"/>
        <v>0</v>
      </c>
      <c r="D717" s="191"/>
      <c r="F717" s="194"/>
      <c r="G717" s="191"/>
      <c r="I717" s="194"/>
      <c r="J717" s="191"/>
      <c r="L717" s="194"/>
      <c r="M717" s="191"/>
      <c r="O717" s="194"/>
      <c r="P717" s="191"/>
      <c r="R717" s="194"/>
      <c r="S717" s="191"/>
      <c r="U717" s="194"/>
    </row>
    <row r="718">
      <c r="B718" s="2">
        <f t="shared" si="1"/>
        <v>0</v>
      </c>
      <c r="D718" s="191"/>
      <c r="F718" s="194"/>
      <c r="G718" s="191"/>
      <c r="I718" s="194"/>
      <c r="J718" s="191"/>
      <c r="L718" s="194"/>
      <c r="M718" s="191"/>
      <c r="O718" s="194"/>
      <c r="P718" s="191"/>
      <c r="R718" s="194"/>
      <c r="S718" s="191"/>
      <c r="U718" s="194"/>
    </row>
    <row r="719">
      <c r="B719" s="2">
        <f t="shared" si="1"/>
        <v>0</v>
      </c>
      <c r="D719" s="191"/>
      <c r="F719" s="194"/>
      <c r="G719" s="191"/>
      <c r="I719" s="194"/>
      <c r="J719" s="191"/>
      <c r="L719" s="194"/>
      <c r="M719" s="191"/>
      <c r="O719" s="194"/>
      <c r="P719" s="191"/>
      <c r="R719" s="194"/>
      <c r="S719" s="191"/>
      <c r="U719" s="194"/>
    </row>
    <row r="720">
      <c r="B720" s="2">
        <f t="shared" si="1"/>
        <v>0</v>
      </c>
      <c r="D720" s="191"/>
      <c r="F720" s="194"/>
      <c r="G720" s="191"/>
      <c r="I720" s="194"/>
      <c r="J720" s="191"/>
      <c r="L720" s="194"/>
      <c r="M720" s="191"/>
      <c r="O720" s="194"/>
      <c r="P720" s="191"/>
      <c r="R720" s="194"/>
      <c r="S720" s="191"/>
      <c r="U720" s="194"/>
    </row>
    <row r="721">
      <c r="B721" s="2">
        <f t="shared" si="1"/>
        <v>0</v>
      </c>
      <c r="D721" s="191"/>
      <c r="F721" s="194"/>
      <c r="G721" s="191"/>
      <c r="I721" s="194"/>
      <c r="J721" s="191"/>
      <c r="L721" s="194"/>
      <c r="M721" s="191"/>
      <c r="O721" s="194"/>
      <c r="P721" s="191"/>
      <c r="R721" s="194"/>
      <c r="S721" s="191"/>
      <c r="U721" s="194"/>
    </row>
    <row r="722">
      <c r="B722" s="2">
        <f t="shared" si="1"/>
        <v>0</v>
      </c>
      <c r="D722" s="191"/>
      <c r="F722" s="194"/>
      <c r="G722" s="191"/>
      <c r="I722" s="194"/>
      <c r="J722" s="191"/>
      <c r="L722" s="194"/>
      <c r="M722" s="191"/>
      <c r="O722" s="194"/>
      <c r="P722" s="191"/>
      <c r="R722" s="194"/>
      <c r="S722" s="191"/>
      <c r="U722" s="194"/>
    </row>
    <row r="723">
      <c r="B723" s="2">
        <f t="shared" si="1"/>
        <v>0</v>
      </c>
      <c r="D723" s="191"/>
      <c r="F723" s="194"/>
      <c r="G723" s="191"/>
      <c r="I723" s="194"/>
      <c r="J723" s="191"/>
      <c r="L723" s="194"/>
      <c r="M723" s="191"/>
      <c r="O723" s="194"/>
      <c r="P723" s="191"/>
      <c r="R723" s="194"/>
      <c r="S723" s="191"/>
      <c r="U723" s="194"/>
    </row>
    <row r="724">
      <c r="B724" s="2">
        <f t="shared" si="1"/>
        <v>0</v>
      </c>
      <c r="D724" s="191"/>
      <c r="F724" s="194"/>
      <c r="G724" s="191"/>
      <c r="I724" s="194"/>
      <c r="J724" s="191"/>
      <c r="L724" s="194"/>
      <c r="M724" s="191"/>
      <c r="O724" s="194"/>
      <c r="P724" s="191"/>
      <c r="R724" s="194"/>
      <c r="S724" s="191"/>
      <c r="U724" s="194"/>
    </row>
    <row r="725">
      <c r="B725" s="2">
        <f t="shared" si="1"/>
        <v>0</v>
      </c>
      <c r="D725" s="191"/>
      <c r="F725" s="194"/>
      <c r="G725" s="191"/>
      <c r="I725" s="194"/>
      <c r="J725" s="191"/>
      <c r="L725" s="194"/>
      <c r="M725" s="191"/>
      <c r="O725" s="194"/>
      <c r="P725" s="191"/>
      <c r="R725" s="194"/>
      <c r="S725" s="191"/>
      <c r="U725" s="194"/>
    </row>
    <row r="726">
      <c r="B726" s="2">
        <f t="shared" si="1"/>
        <v>0</v>
      </c>
      <c r="D726" s="191"/>
      <c r="F726" s="194"/>
      <c r="G726" s="191"/>
      <c r="I726" s="194"/>
      <c r="J726" s="191"/>
      <c r="L726" s="194"/>
      <c r="M726" s="191"/>
      <c r="O726" s="194"/>
      <c r="P726" s="191"/>
      <c r="R726" s="194"/>
      <c r="S726" s="191"/>
      <c r="U726" s="194"/>
    </row>
    <row r="727">
      <c r="B727" s="2">
        <f t="shared" si="1"/>
        <v>0</v>
      </c>
      <c r="D727" s="191"/>
      <c r="F727" s="194"/>
      <c r="G727" s="191"/>
      <c r="I727" s="194"/>
      <c r="J727" s="191"/>
      <c r="L727" s="194"/>
      <c r="M727" s="191"/>
      <c r="O727" s="194"/>
      <c r="P727" s="191"/>
      <c r="R727" s="194"/>
      <c r="S727" s="191"/>
      <c r="U727" s="194"/>
    </row>
    <row r="728">
      <c r="B728" s="2">
        <f t="shared" si="1"/>
        <v>0</v>
      </c>
      <c r="D728" s="191"/>
      <c r="F728" s="194"/>
      <c r="G728" s="191"/>
      <c r="I728" s="194"/>
      <c r="J728" s="191"/>
      <c r="L728" s="194"/>
      <c r="M728" s="191"/>
      <c r="O728" s="194"/>
      <c r="P728" s="191"/>
      <c r="R728" s="194"/>
      <c r="S728" s="191"/>
      <c r="U728" s="194"/>
    </row>
    <row r="729">
      <c r="B729" s="2">
        <f t="shared" si="1"/>
        <v>0</v>
      </c>
      <c r="D729" s="191"/>
      <c r="F729" s="194"/>
      <c r="G729" s="191"/>
      <c r="I729" s="194"/>
      <c r="J729" s="191"/>
      <c r="L729" s="194"/>
      <c r="M729" s="191"/>
      <c r="O729" s="194"/>
      <c r="P729" s="191"/>
      <c r="R729" s="194"/>
      <c r="S729" s="191"/>
      <c r="U729" s="194"/>
    </row>
    <row r="730">
      <c r="B730" s="2">
        <f t="shared" si="1"/>
        <v>0</v>
      </c>
      <c r="D730" s="191"/>
      <c r="F730" s="194"/>
      <c r="G730" s="191"/>
      <c r="I730" s="194"/>
      <c r="J730" s="191"/>
      <c r="L730" s="194"/>
      <c r="M730" s="191"/>
      <c r="O730" s="194"/>
      <c r="P730" s="191"/>
      <c r="R730" s="194"/>
      <c r="S730" s="191"/>
      <c r="U730" s="194"/>
    </row>
    <row r="731">
      <c r="B731" s="2">
        <f t="shared" si="1"/>
        <v>0</v>
      </c>
      <c r="D731" s="191"/>
      <c r="F731" s="194"/>
      <c r="G731" s="191"/>
      <c r="I731" s="194"/>
      <c r="J731" s="191"/>
      <c r="L731" s="194"/>
      <c r="M731" s="191"/>
      <c r="O731" s="194"/>
      <c r="P731" s="191"/>
      <c r="R731" s="194"/>
      <c r="S731" s="191"/>
      <c r="U731" s="194"/>
    </row>
    <row r="732">
      <c r="B732" s="2">
        <f t="shared" si="1"/>
        <v>0</v>
      </c>
      <c r="D732" s="191"/>
      <c r="F732" s="194"/>
      <c r="G732" s="191"/>
      <c r="I732" s="194"/>
      <c r="J732" s="191"/>
      <c r="L732" s="194"/>
      <c r="M732" s="191"/>
      <c r="O732" s="194"/>
      <c r="P732" s="191"/>
      <c r="R732" s="194"/>
      <c r="S732" s="191"/>
      <c r="U732" s="194"/>
    </row>
    <row r="733">
      <c r="B733" s="2">
        <f t="shared" si="1"/>
        <v>0</v>
      </c>
      <c r="D733" s="191"/>
      <c r="F733" s="194"/>
      <c r="G733" s="191"/>
      <c r="I733" s="194"/>
      <c r="J733" s="191"/>
      <c r="L733" s="194"/>
      <c r="M733" s="191"/>
      <c r="O733" s="194"/>
      <c r="P733" s="191"/>
      <c r="R733" s="194"/>
      <c r="S733" s="191"/>
      <c r="U733" s="194"/>
    </row>
    <row r="734">
      <c r="B734" s="2">
        <f t="shared" si="1"/>
        <v>0</v>
      </c>
      <c r="D734" s="191"/>
      <c r="F734" s="194"/>
      <c r="G734" s="191"/>
      <c r="I734" s="194"/>
      <c r="J734" s="191"/>
      <c r="L734" s="194"/>
      <c r="M734" s="191"/>
      <c r="O734" s="194"/>
      <c r="P734" s="191"/>
      <c r="R734" s="194"/>
      <c r="S734" s="191"/>
      <c r="U734" s="194"/>
    </row>
    <row r="735">
      <c r="B735" s="2">
        <f t="shared" si="1"/>
        <v>0</v>
      </c>
      <c r="D735" s="191"/>
      <c r="F735" s="194"/>
      <c r="G735" s="191"/>
      <c r="I735" s="194"/>
      <c r="J735" s="191"/>
      <c r="L735" s="194"/>
      <c r="M735" s="191"/>
      <c r="O735" s="194"/>
      <c r="P735" s="191"/>
      <c r="R735" s="194"/>
      <c r="S735" s="191"/>
      <c r="U735" s="194"/>
    </row>
    <row r="736">
      <c r="B736" s="2">
        <f t="shared" si="1"/>
        <v>0</v>
      </c>
      <c r="D736" s="191"/>
      <c r="F736" s="194"/>
      <c r="G736" s="191"/>
      <c r="I736" s="194"/>
      <c r="J736" s="191"/>
      <c r="L736" s="194"/>
      <c r="M736" s="191"/>
      <c r="O736" s="194"/>
      <c r="P736" s="191"/>
      <c r="R736" s="194"/>
      <c r="S736" s="191"/>
      <c r="U736" s="194"/>
    </row>
    <row r="737">
      <c r="B737" s="2">
        <f t="shared" si="1"/>
        <v>0</v>
      </c>
      <c r="D737" s="191"/>
      <c r="F737" s="194"/>
      <c r="G737" s="191"/>
      <c r="I737" s="194"/>
      <c r="J737" s="191"/>
      <c r="L737" s="194"/>
      <c r="M737" s="191"/>
      <c r="O737" s="194"/>
      <c r="P737" s="191"/>
      <c r="R737" s="194"/>
      <c r="S737" s="191"/>
      <c r="U737" s="194"/>
    </row>
    <row r="738">
      <c r="B738" s="2">
        <f t="shared" si="1"/>
        <v>0</v>
      </c>
      <c r="D738" s="191"/>
      <c r="F738" s="194"/>
      <c r="G738" s="191"/>
      <c r="I738" s="194"/>
      <c r="J738" s="191"/>
      <c r="L738" s="194"/>
      <c r="M738" s="191"/>
      <c r="O738" s="194"/>
      <c r="P738" s="191"/>
      <c r="R738" s="194"/>
      <c r="S738" s="191"/>
      <c r="U738" s="194"/>
    </row>
    <row r="739">
      <c r="B739" s="2">
        <f t="shared" si="1"/>
        <v>0</v>
      </c>
      <c r="D739" s="191"/>
      <c r="F739" s="194"/>
      <c r="G739" s="191"/>
      <c r="I739" s="194"/>
      <c r="J739" s="191"/>
      <c r="L739" s="194"/>
      <c r="M739" s="191"/>
      <c r="O739" s="194"/>
      <c r="P739" s="191"/>
      <c r="R739" s="194"/>
      <c r="S739" s="191"/>
      <c r="U739" s="194"/>
    </row>
    <row r="740">
      <c r="B740" s="2">
        <f t="shared" si="1"/>
        <v>0</v>
      </c>
      <c r="D740" s="191"/>
      <c r="F740" s="194"/>
      <c r="G740" s="191"/>
      <c r="I740" s="194"/>
      <c r="J740" s="191"/>
      <c r="L740" s="194"/>
      <c r="M740" s="191"/>
      <c r="O740" s="194"/>
      <c r="P740" s="191"/>
      <c r="R740" s="194"/>
      <c r="S740" s="191"/>
      <c r="U740" s="194"/>
    </row>
    <row r="741">
      <c r="B741" s="2">
        <f t="shared" si="1"/>
        <v>0</v>
      </c>
      <c r="D741" s="191"/>
      <c r="F741" s="194"/>
      <c r="G741" s="191"/>
      <c r="I741" s="194"/>
      <c r="J741" s="191"/>
      <c r="L741" s="194"/>
      <c r="M741" s="191"/>
      <c r="O741" s="194"/>
      <c r="P741" s="191"/>
      <c r="R741" s="194"/>
      <c r="S741" s="191"/>
      <c r="U741" s="194"/>
    </row>
    <row r="742">
      <c r="B742" s="2">
        <f t="shared" si="1"/>
        <v>0</v>
      </c>
      <c r="D742" s="191"/>
      <c r="F742" s="194"/>
      <c r="G742" s="191"/>
      <c r="I742" s="194"/>
      <c r="J742" s="191"/>
      <c r="L742" s="194"/>
      <c r="M742" s="191"/>
      <c r="O742" s="194"/>
      <c r="P742" s="191"/>
      <c r="R742" s="194"/>
      <c r="S742" s="191"/>
      <c r="U742" s="194"/>
    </row>
    <row r="743">
      <c r="B743" s="2">
        <f t="shared" si="1"/>
        <v>0</v>
      </c>
      <c r="D743" s="191"/>
      <c r="F743" s="194"/>
      <c r="G743" s="191"/>
      <c r="I743" s="194"/>
      <c r="J743" s="191"/>
      <c r="L743" s="194"/>
      <c r="M743" s="191"/>
      <c r="O743" s="194"/>
      <c r="P743" s="191"/>
      <c r="R743" s="194"/>
      <c r="S743" s="191"/>
      <c r="U743" s="194"/>
    </row>
    <row r="744">
      <c r="B744" s="2">
        <f t="shared" si="1"/>
        <v>0</v>
      </c>
      <c r="D744" s="191"/>
      <c r="F744" s="194"/>
      <c r="G744" s="191"/>
      <c r="I744" s="194"/>
      <c r="J744" s="191"/>
      <c r="L744" s="194"/>
      <c r="M744" s="191"/>
      <c r="O744" s="194"/>
      <c r="P744" s="191"/>
      <c r="R744" s="194"/>
      <c r="S744" s="191"/>
      <c r="U744" s="194"/>
    </row>
    <row r="745">
      <c r="B745" s="2">
        <f t="shared" si="1"/>
        <v>0</v>
      </c>
      <c r="D745" s="191"/>
      <c r="F745" s="194"/>
      <c r="G745" s="191"/>
      <c r="I745" s="194"/>
      <c r="J745" s="191"/>
      <c r="L745" s="194"/>
      <c r="M745" s="191"/>
      <c r="O745" s="194"/>
      <c r="P745" s="191"/>
      <c r="R745" s="194"/>
      <c r="S745" s="191"/>
      <c r="U745" s="194"/>
    </row>
    <row r="746">
      <c r="B746" s="2">
        <f t="shared" si="1"/>
        <v>0</v>
      </c>
      <c r="D746" s="191"/>
      <c r="F746" s="194"/>
      <c r="G746" s="191"/>
      <c r="I746" s="194"/>
      <c r="J746" s="191"/>
      <c r="L746" s="194"/>
      <c r="M746" s="191"/>
      <c r="O746" s="194"/>
      <c r="P746" s="191"/>
      <c r="R746" s="194"/>
      <c r="S746" s="191"/>
      <c r="U746" s="194"/>
    </row>
    <row r="747">
      <c r="B747" s="2">
        <f t="shared" si="1"/>
        <v>0</v>
      </c>
      <c r="D747" s="191"/>
      <c r="F747" s="194"/>
      <c r="G747" s="191"/>
      <c r="I747" s="194"/>
      <c r="J747" s="191"/>
      <c r="L747" s="194"/>
      <c r="M747" s="191"/>
      <c r="O747" s="194"/>
      <c r="P747" s="191"/>
      <c r="R747" s="194"/>
      <c r="S747" s="191"/>
      <c r="U747" s="194"/>
    </row>
    <row r="748">
      <c r="B748" s="2">
        <f t="shared" si="1"/>
        <v>0</v>
      </c>
      <c r="D748" s="191"/>
      <c r="F748" s="194"/>
      <c r="G748" s="191"/>
      <c r="I748" s="194"/>
      <c r="J748" s="191"/>
      <c r="L748" s="194"/>
      <c r="M748" s="191"/>
      <c r="O748" s="194"/>
      <c r="P748" s="191"/>
      <c r="R748" s="194"/>
      <c r="S748" s="191"/>
      <c r="U748" s="194"/>
    </row>
    <row r="749">
      <c r="B749" s="2">
        <f t="shared" si="1"/>
        <v>0</v>
      </c>
      <c r="D749" s="191"/>
      <c r="F749" s="194"/>
      <c r="G749" s="191"/>
      <c r="I749" s="194"/>
      <c r="J749" s="191"/>
      <c r="L749" s="194"/>
      <c r="M749" s="191"/>
      <c r="O749" s="194"/>
      <c r="P749" s="191"/>
      <c r="R749" s="194"/>
      <c r="S749" s="191"/>
      <c r="U749" s="194"/>
    </row>
    <row r="750">
      <c r="B750" s="2">
        <f t="shared" si="1"/>
        <v>0</v>
      </c>
      <c r="D750" s="191"/>
      <c r="F750" s="194"/>
      <c r="G750" s="191"/>
      <c r="I750" s="194"/>
      <c r="J750" s="191"/>
      <c r="L750" s="194"/>
      <c r="M750" s="191"/>
      <c r="O750" s="194"/>
      <c r="P750" s="191"/>
      <c r="R750" s="194"/>
      <c r="S750" s="191"/>
      <c r="U750" s="194"/>
    </row>
    <row r="751">
      <c r="B751" s="2">
        <f t="shared" si="1"/>
        <v>0</v>
      </c>
      <c r="D751" s="191"/>
      <c r="F751" s="194"/>
      <c r="G751" s="191"/>
      <c r="I751" s="194"/>
      <c r="J751" s="191"/>
      <c r="L751" s="194"/>
      <c r="M751" s="191"/>
      <c r="O751" s="194"/>
      <c r="P751" s="191"/>
      <c r="R751" s="194"/>
      <c r="S751" s="191"/>
      <c r="U751" s="194"/>
    </row>
    <row r="752">
      <c r="B752" s="2">
        <f t="shared" si="1"/>
        <v>0</v>
      </c>
      <c r="D752" s="191"/>
      <c r="F752" s="194"/>
      <c r="G752" s="191"/>
      <c r="I752" s="194"/>
      <c r="J752" s="191"/>
      <c r="L752" s="194"/>
      <c r="M752" s="191"/>
      <c r="O752" s="194"/>
      <c r="P752" s="191"/>
      <c r="R752" s="194"/>
      <c r="S752" s="191"/>
      <c r="U752" s="194"/>
    </row>
    <row r="753">
      <c r="B753" s="2">
        <f t="shared" si="1"/>
        <v>0</v>
      </c>
      <c r="D753" s="191"/>
      <c r="F753" s="194"/>
      <c r="G753" s="191"/>
      <c r="I753" s="194"/>
      <c r="J753" s="191"/>
      <c r="L753" s="194"/>
      <c r="M753" s="191"/>
      <c r="O753" s="194"/>
      <c r="P753" s="191"/>
      <c r="R753" s="194"/>
      <c r="S753" s="191"/>
      <c r="U753" s="194"/>
    </row>
    <row r="754">
      <c r="B754" s="2">
        <f t="shared" si="1"/>
        <v>0</v>
      </c>
      <c r="D754" s="191"/>
      <c r="F754" s="194"/>
      <c r="G754" s="191"/>
      <c r="I754" s="194"/>
      <c r="J754" s="191"/>
      <c r="L754" s="194"/>
      <c r="M754" s="191"/>
      <c r="O754" s="194"/>
      <c r="P754" s="191"/>
      <c r="R754" s="194"/>
      <c r="S754" s="191"/>
      <c r="U754" s="194"/>
    </row>
    <row r="755">
      <c r="B755" s="2">
        <f t="shared" si="1"/>
        <v>0</v>
      </c>
      <c r="D755" s="191"/>
      <c r="F755" s="194"/>
      <c r="G755" s="191"/>
      <c r="I755" s="194"/>
      <c r="J755" s="191"/>
      <c r="L755" s="194"/>
      <c r="M755" s="191"/>
      <c r="O755" s="194"/>
      <c r="P755" s="191"/>
      <c r="R755" s="194"/>
      <c r="S755" s="191"/>
      <c r="U755" s="194"/>
    </row>
    <row r="756">
      <c r="B756" s="2">
        <f t="shared" si="1"/>
        <v>0</v>
      </c>
      <c r="D756" s="191"/>
      <c r="F756" s="194"/>
      <c r="G756" s="191"/>
      <c r="I756" s="194"/>
      <c r="J756" s="191"/>
      <c r="L756" s="194"/>
      <c r="M756" s="191"/>
      <c r="O756" s="194"/>
      <c r="P756" s="191"/>
      <c r="R756" s="194"/>
      <c r="S756" s="191"/>
      <c r="U756" s="194"/>
    </row>
    <row r="757">
      <c r="B757" s="2">
        <f t="shared" si="1"/>
        <v>0</v>
      </c>
      <c r="D757" s="191"/>
      <c r="F757" s="194"/>
      <c r="G757" s="191"/>
      <c r="I757" s="194"/>
      <c r="J757" s="191"/>
      <c r="L757" s="194"/>
      <c r="M757" s="191"/>
      <c r="O757" s="194"/>
      <c r="P757" s="191"/>
      <c r="R757" s="194"/>
      <c r="S757" s="191"/>
      <c r="U757" s="194"/>
    </row>
    <row r="758">
      <c r="B758" s="2">
        <f t="shared" si="1"/>
        <v>0</v>
      </c>
      <c r="D758" s="191"/>
      <c r="F758" s="194"/>
      <c r="G758" s="191"/>
      <c r="I758" s="194"/>
      <c r="J758" s="191"/>
      <c r="L758" s="194"/>
      <c r="M758" s="191"/>
      <c r="O758" s="194"/>
      <c r="P758" s="191"/>
      <c r="R758" s="194"/>
      <c r="S758" s="191"/>
      <c r="U758" s="194"/>
    </row>
    <row r="759">
      <c r="B759" s="2">
        <f t="shared" si="1"/>
        <v>0</v>
      </c>
      <c r="D759" s="191"/>
      <c r="F759" s="194"/>
      <c r="G759" s="191"/>
      <c r="I759" s="194"/>
      <c r="J759" s="191"/>
      <c r="L759" s="194"/>
      <c r="M759" s="191"/>
      <c r="O759" s="194"/>
      <c r="P759" s="191"/>
      <c r="R759" s="194"/>
      <c r="S759" s="191"/>
      <c r="U759" s="194"/>
    </row>
    <row r="760">
      <c r="B760" s="2">
        <f t="shared" si="1"/>
        <v>0</v>
      </c>
      <c r="D760" s="191"/>
      <c r="F760" s="194"/>
      <c r="G760" s="191"/>
      <c r="I760" s="194"/>
      <c r="J760" s="191"/>
      <c r="L760" s="194"/>
      <c r="M760" s="191"/>
      <c r="O760" s="194"/>
      <c r="P760" s="191"/>
      <c r="R760" s="194"/>
      <c r="S760" s="191"/>
      <c r="U760" s="194"/>
    </row>
    <row r="761">
      <c r="B761" s="2">
        <f t="shared" si="1"/>
        <v>0</v>
      </c>
      <c r="D761" s="191"/>
      <c r="F761" s="194"/>
      <c r="G761" s="191"/>
      <c r="I761" s="194"/>
      <c r="J761" s="191"/>
      <c r="L761" s="194"/>
      <c r="M761" s="191"/>
      <c r="O761" s="194"/>
      <c r="P761" s="191"/>
      <c r="R761" s="194"/>
      <c r="S761" s="191"/>
      <c r="U761" s="194"/>
    </row>
    <row r="762">
      <c r="B762" s="2">
        <f t="shared" si="1"/>
        <v>0</v>
      </c>
      <c r="D762" s="191"/>
      <c r="F762" s="194"/>
      <c r="G762" s="191"/>
      <c r="I762" s="194"/>
      <c r="J762" s="191"/>
      <c r="L762" s="194"/>
      <c r="M762" s="191"/>
      <c r="O762" s="194"/>
      <c r="P762" s="191"/>
      <c r="R762" s="194"/>
      <c r="S762" s="191"/>
      <c r="U762" s="194"/>
    </row>
    <row r="763">
      <c r="B763" s="2">
        <f t="shared" si="1"/>
        <v>0</v>
      </c>
      <c r="D763" s="191"/>
      <c r="F763" s="194"/>
      <c r="G763" s="191"/>
      <c r="I763" s="194"/>
      <c r="J763" s="191"/>
      <c r="L763" s="194"/>
      <c r="M763" s="191"/>
      <c r="O763" s="194"/>
      <c r="P763" s="191"/>
      <c r="R763" s="194"/>
      <c r="S763" s="191"/>
      <c r="U763" s="194"/>
    </row>
    <row r="764">
      <c r="B764" s="2">
        <f t="shared" si="1"/>
        <v>0</v>
      </c>
      <c r="D764" s="191"/>
      <c r="F764" s="194"/>
      <c r="G764" s="191"/>
      <c r="I764" s="194"/>
      <c r="J764" s="191"/>
      <c r="L764" s="194"/>
      <c r="M764" s="191"/>
      <c r="O764" s="194"/>
      <c r="P764" s="191"/>
      <c r="R764" s="194"/>
      <c r="S764" s="191"/>
      <c r="U764" s="194"/>
    </row>
    <row r="765">
      <c r="B765" s="2">
        <f t="shared" si="1"/>
        <v>0</v>
      </c>
      <c r="D765" s="191"/>
      <c r="F765" s="194"/>
      <c r="G765" s="191"/>
      <c r="I765" s="194"/>
      <c r="J765" s="191"/>
      <c r="L765" s="194"/>
      <c r="M765" s="191"/>
      <c r="O765" s="194"/>
      <c r="P765" s="191"/>
      <c r="R765" s="194"/>
      <c r="S765" s="191"/>
      <c r="U765" s="194"/>
    </row>
    <row r="766">
      <c r="B766" s="2">
        <f t="shared" si="1"/>
        <v>0</v>
      </c>
      <c r="D766" s="191"/>
      <c r="F766" s="194"/>
      <c r="G766" s="191"/>
      <c r="I766" s="194"/>
      <c r="J766" s="191"/>
      <c r="L766" s="194"/>
      <c r="M766" s="191"/>
      <c r="O766" s="194"/>
      <c r="P766" s="191"/>
      <c r="R766" s="194"/>
      <c r="S766" s="191"/>
      <c r="U766" s="194"/>
    </row>
    <row r="767">
      <c r="B767" s="2">
        <f t="shared" si="1"/>
        <v>0</v>
      </c>
      <c r="D767" s="191"/>
      <c r="F767" s="194"/>
      <c r="G767" s="191"/>
      <c r="I767" s="194"/>
      <c r="J767" s="191"/>
      <c r="L767" s="194"/>
      <c r="M767" s="191"/>
      <c r="O767" s="194"/>
      <c r="P767" s="191"/>
      <c r="R767" s="194"/>
      <c r="S767" s="191"/>
      <c r="U767" s="194"/>
    </row>
    <row r="768">
      <c r="B768" s="2">
        <f t="shared" si="1"/>
        <v>0</v>
      </c>
      <c r="D768" s="191"/>
      <c r="F768" s="194"/>
      <c r="G768" s="191"/>
      <c r="I768" s="194"/>
      <c r="J768" s="191"/>
      <c r="L768" s="194"/>
      <c r="M768" s="191"/>
      <c r="O768" s="194"/>
      <c r="P768" s="191"/>
      <c r="R768" s="194"/>
      <c r="S768" s="191"/>
      <c r="U768" s="194"/>
    </row>
    <row r="769">
      <c r="B769" s="2">
        <f t="shared" si="1"/>
        <v>0</v>
      </c>
      <c r="D769" s="191"/>
      <c r="F769" s="194"/>
      <c r="G769" s="191"/>
      <c r="I769" s="194"/>
      <c r="J769" s="191"/>
      <c r="L769" s="194"/>
      <c r="M769" s="191"/>
      <c r="O769" s="194"/>
      <c r="P769" s="191"/>
      <c r="R769" s="194"/>
      <c r="S769" s="191"/>
      <c r="U769" s="194"/>
    </row>
    <row r="770">
      <c r="B770" s="2">
        <f t="shared" si="1"/>
        <v>0</v>
      </c>
      <c r="D770" s="191"/>
      <c r="F770" s="194"/>
      <c r="G770" s="191"/>
      <c r="I770" s="194"/>
      <c r="J770" s="191"/>
      <c r="L770" s="194"/>
      <c r="M770" s="191"/>
      <c r="O770" s="194"/>
      <c r="P770" s="191"/>
      <c r="R770" s="194"/>
      <c r="S770" s="191"/>
      <c r="U770" s="194"/>
    </row>
    <row r="771">
      <c r="B771" s="2">
        <f t="shared" si="1"/>
        <v>0</v>
      </c>
      <c r="D771" s="191"/>
      <c r="F771" s="194"/>
      <c r="G771" s="191"/>
      <c r="I771" s="194"/>
      <c r="J771" s="191"/>
      <c r="L771" s="194"/>
      <c r="M771" s="191"/>
      <c r="O771" s="194"/>
      <c r="P771" s="191"/>
      <c r="R771" s="194"/>
      <c r="S771" s="191"/>
      <c r="U771" s="194"/>
    </row>
    <row r="772">
      <c r="B772" s="2">
        <f t="shared" si="1"/>
        <v>0</v>
      </c>
      <c r="D772" s="191"/>
      <c r="F772" s="194"/>
      <c r="G772" s="191"/>
      <c r="I772" s="194"/>
      <c r="J772" s="191"/>
      <c r="L772" s="194"/>
      <c r="M772" s="191"/>
      <c r="O772" s="194"/>
      <c r="P772" s="191"/>
      <c r="R772" s="194"/>
      <c r="S772" s="191"/>
      <c r="U772" s="194"/>
    </row>
    <row r="773">
      <c r="B773" s="2">
        <f t="shared" si="1"/>
        <v>0</v>
      </c>
      <c r="D773" s="191"/>
      <c r="F773" s="194"/>
      <c r="G773" s="191"/>
      <c r="I773" s="194"/>
      <c r="J773" s="191"/>
      <c r="L773" s="194"/>
      <c r="M773" s="191"/>
      <c r="O773" s="194"/>
      <c r="P773" s="191"/>
      <c r="R773" s="194"/>
      <c r="S773" s="191"/>
      <c r="U773" s="194"/>
    </row>
    <row r="774">
      <c r="B774" s="2">
        <f t="shared" si="1"/>
        <v>0</v>
      </c>
      <c r="D774" s="191"/>
      <c r="F774" s="194"/>
      <c r="G774" s="191"/>
      <c r="I774" s="194"/>
      <c r="J774" s="191"/>
      <c r="L774" s="194"/>
      <c r="M774" s="191"/>
      <c r="O774" s="194"/>
      <c r="P774" s="191"/>
      <c r="R774" s="194"/>
      <c r="S774" s="191"/>
      <c r="U774" s="194"/>
    </row>
    <row r="775">
      <c r="B775" s="2">
        <f t="shared" si="1"/>
        <v>0</v>
      </c>
      <c r="D775" s="191"/>
      <c r="F775" s="194"/>
      <c r="G775" s="191"/>
      <c r="I775" s="194"/>
      <c r="J775" s="191"/>
      <c r="L775" s="194"/>
      <c r="M775" s="191"/>
      <c r="O775" s="194"/>
      <c r="P775" s="191"/>
      <c r="R775" s="194"/>
      <c r="S775" s="191"/>
      <c r="U775" s="194"/>
    </row>
    <row r="776">
      <c r="B776" s="2">
        <f t="shared" si="1"/>
        <v>0</v>
      </c>
      <c r="D776" s="191"/>
      <c r="F776" s="194"/>
      <c r="G776" s="191"/>
      <c r="I776" s="194"/>
      <c r="J776" s="191"/>
      <c r="L776" s="194"/>
      <c r="M776" s="191"/>
      <c r="O776" s="194"/>
      <c r="P776" s="191"/>
      <c r="R776" s="194"/>
      <c r="S776" s="191"/>
      <c r="U776" s="194"/>
    </row>
    <row r="777">
      <c r="B777" s="2">
        <f t="shared" si="1"/>
        <v>0</v>
      </c>
      <c r="D777" s="191"/>
      <c r="F777" s="194"/>
      <c r="G777" s="191"/>
      <c r="I777" s="194"/>
      <c r="J777" s="191"/>
      <c r="L777" s="194"/>
      <c r="M777" s="191"/>
      <c r="O777" s="194"/>
      <c r="P777" s="191"/>
      <c r="R777" s="194"/>
      <c r="S777" s="191"/>
      <c r="U777" s="194"/>
    </row>
    <row r="778">
      <c r="B778" s="2">
        <f t="shared" si="1"/>
        <v>0</v>
      </c>
      <c r="D778" s="191"/>
      <c r="F778" s="194"/>
      <c r="G778" s="191"/>
      <c r="I778" s="194"/>
      <c r="J778" s="191"/>
      <c r="L778" s="194"/>
      <c r="M778" s="191"/>
      <c r="O778" s="194"/>
      <c r="P778" s="191"/>
      <c r="R778" s="194"/>
      <c r="S778" s="191"/>
      <c r="U778" s="194"/>
    </row>
    <row r="779">
      <c r="B779" s="2">
        <f t="shared" si="1"/>
        <v>0</v>
      </c>
      <c r="D779" s="191"/>
      <c r="F779" s="194"/>
      <c r="G779" s="191"/>
      <c r="I779" s="194"/>
      <c r="J779" s="191"/>
      <c r="L779" s="194"/>
      <c r="M779" s="191"/>
      <c r="O779" s="194"/>
      <c r="P779" s="191"/>
      <c r="R779" s="194"/>
      <c r="S779" s="191"/>
      <c r="U779" s="194"/>
    </row>
    <row r="780">
      <c r="B780" s="2">
        <f t="shared" si="1"/>
        <v>0</v>
      </c>
      <c r="D780" s="191"/>
      <c r="F780" s="194"/>
      <c r="G780" s="191"/>
      <c r="I780" s="194"/>
      <c r="J780" s="191"/>
      <c r="L780" s="194"/>
      <c r="M780" s="191"/>
      <c r="O780" s="194"/>
      <c r="P780" s="191"/>
      <c r="R780" s="194"/>
      <c r="S780" s="191"/>
      <c r="U780" s="194"/>
    </row>
    <row r="781">
      <c r="B781" s="2">
        <f t="shared" si="1"/>
        <v>0</v>
      </c>
      <c r="D781" s="191"/>
      <c r="F781" s="194"/>
      <c r="G781" s="191"/>
      <c r="I781" s="194"/>
      <c r="J781" s="191"/>
      <c r="L781" s="194"/>
      <c r="M781" s="191"/>
      <c r="O781" s="194"/>
      <c r="P781" s="191"/>
      <c r="R781" s="194"/>
      <c r="S781" s="191"/>
      <c r="U781" s="194"/>
    </row>
    <row r="782">
      <c r="B782" s="2">
        <f t="shared" si="1"/>
        <v>0</v>
      </c>
      <c r="D782" s="191"/>
      <c r="F782" s="194"/>
      <c r="G782" s="191"/>
      <c r="I782" s="194"/>
      <c r="J782" s="191"/>
      <c r="L782" s="194"/>
      <c r="M782" s="191"/>
      <c r="O782" s="194"/>
      <c r="P782" s="191"/>
      <c r="R782" s="194"/>
      <c r="S782" s="191"/>
      <c r="U782" s="194"/>
    </row>
    <row r="783">
      <c r="B783" s="2">
        <f t="shared" si="1"/>
        <v>0</v>
      </c>
      <c r="D783" s="191"/>
      <c r="F783" s="194"/>
      <c r="G783" s="191"/>
      <c r="I783" s="194"/>
      <c r="J783" s="191"/>
      <c r="L783" s="194"/>
      <c r="M783" s="191"/>
      <c r="O783" s="194"/>
      <c r="P783" s="191"/>
      <c r="R783" s="194"/>
      <c r="S783" s="191"/>
      <c r="U783" s="194"/>
    </row>
    <row r="784">
      <c r="B784" s="2">
        <f t="shared" si="1"/>
        <v>0</v>
      </c>
      <c r="D784" s="191"/>
      <c r="F784" s="194"/>
      <c r="G784" s="191"/>
      <c r="I784" s="194"/>
      <c r="J784" s="191"/>
      <c r="L784" s="194"/>
      <c r="M784" s="191"/>
      <c r="O784" s="194"/>
      <c r="P784" s="191"/>
      <c r="R784" s="194"/>
      <c r="S784" s="191"/>
      <c r="U784" s="194"/>
    </row>
    <row r="785">
      <c r="B785" s="2">
        <f t="shared" si="1"/>
        <v>0</v>
      </c>
      <c r="D785" s="191"/>
      <c r="F785" s="194"/>
      <c r="G785" s="191"/>
      <c r="I785" s="194"/>
      <c r="J785" s="191"/>
      <c r="L785" s="194"/>
      <c r="M785" s="191"/>
      <c r="O785" s="194"/>
      <c r="P785" s="191"/>
      <c r="R785" s="194"/>
      <c r="S785" s="191"/>
      <c r="U785" s="194"/>
    </row>
    <row r="786">
      <c r="B786" s="2">
        <f t="shared" si="1"/>
        <v>0</v>
      </c>
      <c r="D786" s="191"/>
      <c r="F786" s="194"/>
      <c r="G786" s="191"/>
      <c r="I786" s="194"/>
      <c r="J786" s="191"/>
      <c r="L786" s="194"/>
      <c r="M786" s="191"/>
      <c r="O786" s="194"/>
      <c r="P786" s="191"/>
      <c r="R786" s="194"/>
      <c r="S786" s="191"/>
      <c r="U786" s="194"/>
    </row>
    <row r="787">
      <c r="B787" s="2">
        <f t="shared" si="1"/>
        <v>0</v>
      </c>
      <c r="D787" s="191"/>
      <c r="F787" s="194"/>
      <c r="G787" s="191"/>
      <c r="I787" s="194"/>
      <c r="J787" s="191"/>
      <c r="L787" s="194"/>
      <c r="M787" s="191"/>
      <c r="O787" s="194"/>
      <c r="P787" s="191"/>
      <c r="R787" s="194"/>
      <c r="S787" s="191"/>
      <c r="U787" s="194"/>
    </row>
    <row r="788">
      <c r="B788" s="2">
        <f t="shared" si="1"/>
        <v>0</v>
      </c>
      <c r="D788" s="191"/>
      <c r="F788" s="194"/>
      <c r="G788" s="191"/>
      <c r="I788" s="194"/>
      <c r="J788" s="191"/>
      <c r="L788" s="194"/>
      <c r="M788" s="191"/>
      <c r="O788" s="194"/>
      <c r="P788" s="191"/>
      <c r="R788" s="194"/>
      <c r="S788" s="191"/>
      <c r="U788" s="194"/>
    </row>
    <row r="789">
      <c r="B789" s="2">
        <f t="shared" si="1"/>
        <v>0</v>
      </c>
      <c r="D789" s="191"/>
      <c r="F789" s="194"/>
      <c r="G789" s="191"/>
      <c r="I789" s="194"/>
      <c r="J789" s="191"/>
      <c r="L789" s="194"/>
      <c r="M789" s="191"/>
      <c r="O789" s="194"/>
      <c r="P789" s="191"/>
      <c r="R789" s="194"/>
      <c r="S789" s="191"/>
      <c r="U789" s="194"/>
    </row>
    <row r="790">
      <c r="B790" s="2">
        <f t="shared" si="1"/>
        <v>0</v>
      </c>
      <c r="D790" s="191"/>
      <c r="F790" s="194"/>
      <c r="G790" s="191"/>
      <c r="I790" s="194"/>
      <c r="J790" s="191"/>
      <c r="L790" s="194"/>
      <c r="M790" s="191"/>
      <c r="O790" s="194"/>
      <c r="P790" s="191"/>
      <c r="R790" s="194"/>
      <c r="S790" s="191"/>
      <c r="U790" s="194"/>
    </row>
    <row r="791">
      <c r="B791" s="2">
        <f t="shared" si="1"/>
        <v>0</v>
      </c>
      <c r="D791" s="191"/>
      <c r="F791" s="194"/>
      <c r="G791" s="191"/>
      <c r="I791" s="194"/>
      <c r="J791" s="191"/>
      <c r="L791" s="194"/>
      <c r="M791" s="191"/>
      <c r="O791" s="194"/>
      <c r="P791" s="191"/>
      <c r="R791" s="194"/>
      <c r="S791" s="191"/>
      <c r="U791" s="194"/>
    </row>
    <row r="792">
      <c r="B792" s="2">
        <f t="shared" si="1"/>
        <v>0</v>
      </c>
      <c r="D792" s="191"/>
      <c r="F792" s="194"/>
      <c r="G792" s="191"/>
      <c r="I792" s="194"/>
      <c r="J792" s="191"/>
      <c r="L792" s="194"/>
      <c r="M792" s="191"/>
      <c r="O792" s="194"/>
      <c r="P792" s="191"/>
      <c r="R792" s="194"/>
      <c r="S792" s="191"/>
      <c r="U792" s="194"/>
    </row>
    <row r="793">
      <c r="B793" s="2">
        <f t="shared" si="1"/>
        <v>0</v>
      </c>
      <c r="D793" s="191"/>
      <c r="F793" s="194"/>
      <c r="G793" s="191"/>
      <c r="I793" s="194"/>
      <c r="J793" s="191"/>
      <c r="L793" s="194"/>
      <c r="M793" s="191"/>
      <c r="O793" s="194"/>
      <c r="P793" s="191"/>
      <c r="R793" s="194"/>
      <c r="S793" s="191"/>
      <c r="U793" s="194"/>
    </row>
    <row r="794">
      <c r="B794" s="2">
        <f t="shared" si="1"/>
        <v>0</v>
      </c>
      <c r="D794" s="191"/>
      <c r="F794" s="194"/>
      <c r="G794" s="191"/>
      <c r="I794" s="194"/>
      <c r="J794" s="191"/>
      <c r="L794" s="194"/>
      <c r="M794" s="191"/>
      <c r="O794" s="194"/>
      <c r="P794" s="191"/>
      <c r="R794" s="194"/>
      <c r="S794" s="191"/>
      <c r="U794" s="194"/>
    </row>
    <row r="795">
      <c r="B795" s="2">
        <f t="shared" si="1"/>
        <v>0</v>
      </c>
      <c r="D795" s="191"/>
      <c r="F795" s="194"/>
      <c r="G795" s="191"/>
      <c r="I795" s="194"/>
      <c r="J795" s="191"/>
      <c r="L795" s="194"/>
      <c r="M795" s="191"/>
      <c r="O795" s="194"/>
      <c r="P795" s="191"/>
      <c r="R795" s="194"/>
      <c r="S795" s="191"/>
      <c r="U795" s="194"/>
    </row>
    <row r="796">
      <c r="B796" s="2">
        <f t="shared" si="1"/>
        <v>0</v>
      </c>
      <c r="D796" s="191"/>
      <c r="F796" s="194"/>
      <c r="G796" s="191"/>
      <c r="I796" s="194"/>
      <c r="J796" s="191"/>
      <c r="L796" s="194"/>
      <c r="M796" s="191"/>
      <c r="O796" s="194"/>
      <c r="P796" s="191"/>
      <c r="R796" s="194"/>
      <c r="S796" s="191"/>
      <c r="U796" s="194"/>
    </row>
    <row r="797">
      <c r="B797" s="2">
        <f t="shared" si="1"/>
        <v>0</v>
      </c>
      <c r="D797" s="191"/>
      <c r="F797" s="194"/>
      <c r="G797" s="191"/>
      <c r="I797" s="194"/>
      <c r="J797" s="191"/>
      <c r="L797" s="194"/>
      <c r="M797" s="191"/>
      <c r="O797" s="194"/>
      <c r="P797" s="191"/>
      <c r="R797" s="194"/>
      <c r="S797" s="191"/>
      <c r="U797" s="194"/>
    </row>
    <row r="798">
      <c r="B798" s="2">
        <f t="shared" si="1"/>
        <v>0</v>
      </c>
      <c r="D798" s="191"/>
      <c r="F798" s="194"/>
      <c r="G798" s="191"/>
      <c r="I798" s="194"/>
      <c r="J798" s="191"/>
      <c r="L798" s="194"/>
      <c r="M798" s="191"/>
      <c r="O798" s="194"/>
      <c r="P798" s="191"/>
      <c r="R798" s="194"/>
      <c r="S798" s="191"/>
      <c r="U798" s="194"/>
    </row>
    <row r="799">
      <c r="B799" s="2">
        <f t="shared" si="1"/>
        <v>0</v>
      </c>
      <c r="D799" s="191"/>
      <c r="F799" s="194"/>
      <c r="G799" s="191"/>
      <c r="I799" s="194"/>
      <c r="J799" s="191"/>
      <c r="L799" s="194"/>
      <c r="M799" s="191"/>
      <c r="O799" s="194"/>
      <c r="P799" s="191"/>
      <c r="R799" s="194"/>
      <c r="S799" s="191"/>
      <c r="U799" s="194"/>
    </row>
    <row r="800">
      <c r="B800" s="2">
        <f t="shared" si="1"/>
        <v>0</v>
      </c>
      <c r="D800" s="191"/>
      <c r="F800" s="194"/>
      <c r="G800" s="191"/>
      <c r="I800" s="194"/>
      <c r="J800" s="191"/>
      <c r="L800" s="194"/>
      <c r="M800" s="191"/>
      <c r="O800" s="194"/>
      <c r="P800" s="191"/>
      <c r="R800" s="194"/>
      <c r="S800" s="191"/>
      <c r="U800" s="194"/>
    </row>
    <row r="801">
      <c r="B801" s="2">
        <f t="shared" si="1"/>
        <v>0</v>
      </c>
      <c r="D801" s="191"/>
      <c r="F801" s="194"/>
      <c r="G801" s="191"/>
      <c r="I801" s="194"/>
      <c r="J801" s="191"/>
      <c r="L801" s="194"/>
      <c r="M801" s="191"/>
      <c r="O801" s="194"/>
      <c r="P801" s="191"/>
      <c r="R801" s="194"/>
      <c r="S801" s="191"/>
      <c r="U801" s="194"/>
    </row>
    <row r="802">
      <c r="B802" s="2">
        <f t="shared" si="1"/>
        <v>0</v>
      </c>
      <c r="D802" s="191"/>
      <c r="F802" s="194"/>
      <c r="G802" s="191"/>
      <c r="I802" s="194"/>
      <c r="J802" s="191"/>
      <c r="L802" s="194"/>
      <c r="M802" s="191"/>
      <c r="O802" s="194"/>
      <c r="P802" s="191"/>
      <c r="R802" s="194"/>
      <c r="S802" s="191"/>
      <c r="U802" s="194"/>
    </row>
    <row r="803">
      <c r="B803" s="2">
        <f t="shared" si="1"/>
        <v>0</v>
      </c>
      <c r="D803" s="191"/>
      <c r="F803" s="194"/>
      <c r="G803" s="191"/>
      <c r="I803" s="194"/>
      <c r="J803" s="191"/>
      <c r="L803" s="194"/>
      <c r="M803" s="191"/>
      <c r="O803" s="194"/>
      <c r="P803" s="191"/>
      <c r="R803" s="194"/>
      <c r="S803" s="191"/>
      <c r="U803" s="194"/>
    </row>
    <row r="804">
      <c r="B804" s="2">
        <f t="shared" si="1"/>
        <v>0</v>
      </c>
      <c r="D804" s="191"/>
      <c r="F804" s="194"/>
      <c r="G804" s="191"/>
      <c r="I804" s="194"/>
      <c r="J804" s="191"/>
      <c r="L804" s="194"/>
      <c r="M804" s="191"/>
      <c r="O804" s="194"/>
      <c r="P804" s="191"/>
      <c r="R804" s="194"/>
      <c r="S804" s="191"/>
      <c r="U804" s="194"/>
    </row>
    <row r="805">
      <c r="B805" s="2">
        <f t="shared" si="1"/>
        <v>0</v>
      </c>
      <c r="D805" s="191"/>
      <c r="F805" s="194"/>
      <c r="G805" s="191"/>
      <c r="I805" s="194"/>
      <c r="J805" s="191"/>
      <c r="L805" s="194"/>
      <c r="M805" s="191"/>
      <c r="O805" s="194"/>
      <c r="P805" s="191"/>
      <c r="R805" s="194"/>
      <c r="S805" s="191"/>
      <c r="U805" s="194"/>
    </row>
    <row r="806">
      <c r="B806" s="2">
        <f t="shared" si="1"/>
        <v>0</v>
      </c>
      <c r="D806" s="191"/>
      <c r="F806" s="194"/>
      <c r="G806" s="191"/>
      <c r="I806" s="194"/>
      <c r="J806" s="191"/>
      <c r="L806" s="194"/>
      <c r="M806" s="191"/>
      <c r="O806" s="194"/>
      <c r="P806" s="191"/>
      <c r="R806" s="194"/>
      <c r="S806" s="191"/>
      <c r="U806" s="194"/>
    </row>
    <row r="807">
      <c r="B807" s="2">
        <f t="shared" si="1"/>
        <v>0</v>
      </c>
      <c r="D807" s="191"/>
      <c r="F807" s="194"/>
      <c r="G807" s="191"/>
      <c r="I807" s="194"/>
      <c r="J807" s="191"/>
      <c r="L807" s="194"/>
      <c r="M807" s="191"/>
      <c r="O807" s="194"/>
      <c r="P807" s="191"/>
      <c r="R807" s="194"/>
      <c r="S807" s="191"/>
      <c r="U807" s="194"/>
    </row>
    <row r="808">
      <c r="B808" s="2">
        <f t="shared" si="1"/>
        <v>0</v>
      </c>
      <c r="D808" s="191"/>
      <c r="F808" s="194"/>
      <c r="G808" s="191"/>
      <c r="I808" s="194"/>
      <c r="J808" s="191"/>
      <c r="L808" s="194"/>
      <c r="M808" s="191"/>
      <c r="O808" s="194"/>
      <c r="P808" s="191"/>
      <c r="R808" s="194"/>
      <c r="S808" s="191"/>
      <c r="U808" s="194"/>
    </row>
    <row r="809">
      <c r="B809" s="2">
        <f t="shared" si="1"/>
        <v>0</v>
      </c>
      <c r="D809" s="191"/>
      <c r="F809" s="194"/>
      <c r="G809" s="191"/>
      <c r="I809" s="194"/>
      <c r="J809" s="191"/>
      <c r="L809" s="194"/>
      <c r="M809" s="191"/>
      <c r="O809" s="194"/>
      <c r="P809" s="191"/>
      <c r="R809" s="194"/>
      <c r="S809" s="191"/>
      <c r="U809" s="194"/>
    </row>
    <row r="810">
      <c r="B810" s="2">
        <f t="shared" si="1"/>
        <v>0</v>
      </c>
      <c r="D810" s="191"/>
      <c r="F810" s="194"/>
      <c r="G810" s="191"/>
      <c r="I810" s="194"/>
      <c r="J810" s="191"/>
      <c r="L810" s="194"/>
      <c r="M810" s="191"/>
      <c r="O810" s="194"/>
      <c r="P810" s="191"/>
      <c r="R810" s="194"/>
      <c r="S810" s="191"/>
      <c r="U810" s="194"/>
    </row>
    <row r="811">
      <c r="B811" s="2">
        <f t="shared" si="1"/>
        <v>0</v>
      </c>
      <c r="D811" s="191"/>
      <c r="F811" s="194"/>
      <c r="G811" s="191"/>
      <c r="I811" s="194"/>
      <c r="J811" s="191"/>
      <c r="L811" s="194"/>
      <c r="M811" s="191"/>
      <c r="O811" s="194"/>
      <c r="P811" s="191"/>
      <c r="R811" s="194"/>
      <c r="S811" s="191"/>
      <c r="U811" s="194"/>
    </row>
    <row r="812">
      <c r="B812" s="2">
        <f t="shared" si="1"/>
        <v>0</v>
      </c>
      <c r="D812" s="191"/>
      <c r="F812" s="194"/>
      <c r="G812" s="191"/>
      <c r="I812" s="194"/>
      <c r="J812" s="191"/>
      <c r="L812" s="194"/>
      <c r="M812" s="191"/>
      <c r="O812" s="194"/>
      <c r="P812" s="191"/>
      <c r="R812" s="194"/>
      <c r="S812" s="191"/>
      <c r="U812" s="194"/>
    </row>
    <row r="813">
      <c r="B813" s="2">
        <f t="shared" si="1"/>
        <v>0</v>
      </c>
      <c r="D813" s="191"/>
      <c r="F813" s="194"/>
      <c r="G813" s="191"/>
      <c r="I813" s="194"/>
      <c r="J813" s="191"/>
      <c r="L813" s="194"/>
      <c r="M813" s="191"/>
      <c r="O813" s="194"/>
      <c r="P813" s="191"/>
      <c r="R813" s="194"/>
      <c r="S813" s="191"/>
      <c r="U813" s="194"/>
    </row>
    <row r="814">
      <c r="B814" s="2">
        <f t="shared" si="1"/>
        <v>0</v>
      </c>
      <c r="D814" s="191"/>
      <c r="F814" s="194"/>
      <c r="G814" s="191"/>
      <c r="I814" s="194"/>
      <c r="J814" s="191"/>
      <c r="L814" s="194"/>
      <c r="M814" s="191"/>
      <c r="O814" s="194"/>
      <c r="P814" s="191"/>
      <c r="R814" s="194"/>
      <c r="S814" s="191"/>
      <c r="U814" s="194"/>
    </row>
    <row r="815">
      <c r="B815" s="2">
        <f t="shared" si="1"/>
        <v>0</v>
      </c>
      <c r="D815" s="191"/>
      <c r="F815" s="194"/>
      <c r="G815" s="191"/>
      <c r="I815" s="194"/>
      <c r="J815" s="191"/>
      <c r="L815" s="194"/>
      <c r="M815" s="191"/>
      <c r="O815" s="194"/>
      <c r="P815" s="191"/>
      <c r="R815" s="194"/>
      <c r="S815" s="191"/>
      <c r="U815" s="194"/>
    </row>
    <row r="816">
      <c r="B816" s="2">
        <f t="shared" si="1"/>
        <v>0</v>
      </c>
      <c r="D816" s="191"/>
      <c r="F816" s="194"/>
      <c r="G816" s="191"/>
      <c r="I816" s="194"/>
      <c r="J816" s="191"/>
      <c r="L816" s="194"/>
      <c r="M816" s="191"/>
      <c r="O816" s="194"/>
      <c r="P816" s="191"/>
      <c r="R816" s="194"/>
      <c r="S816" s="191"/>
      <c r="U816" s="194"/>
    </row>
    <row r="817">
      <c r="B817" s="2">
        <f t="shared" si="1"/>
        <v>0</v>
      </c>
      <c r="D817" s="191"/>
      <c r="F817" s="194"/>
      <c r="G817" s="191"/>
      <c r="I817" s="194"/>
      <c r="J817" s="191"/>
      <c r="L817" s="194"/>
      <c r="M817" s="191"/>
      <c r="O817" s="194"/>
      <c r="P817" s="191"/>
      <c r="R817" s="194"/>
      <c r="S817" s="191"/>
      <c r="U817" s="194"/>
    </row>
    <row r="818">
      <c r="B818" s="2">
        <f t="shared" si="1"/>
        <v>0</v>
      </c>
      <c r="D818" s="191"/>
      <c r="F818" s="194"/>
      <c r="G818" s="191"/>
      <c r="I818" s="194"/>
      <c r="J818" s="191"/>
      <c r="L818" s="194"/>
      <c r="M818" s="191"/>
      <c r="O818" s="194"/>
      <c r="P818" s="191"/>
      <c r="R818" s="194"/>
      <c r="S818" s="191"/>
      <c r="U818" s="194"/>
    </row>
    <row r="819">
      <c r="B819" s="2">
        <f t="shared" si="1"/>
        <v>0</v>
      </c>
      <c r="D819" s="191"/>
      <c r="F819" s="194"/>
      <c r="G819" s="191"/>
      <c r="I819" s="194"/>
      <c r="J819" s="191"/>
      <c r="L819" s="194"/>
      <c r="M819" s="191"/>
      <c r="O819" s="194"/>
      <c r="P819" s="191"/>
      <c r="R819" s="194"/>
      <c r="S819" s="191"/>
      <c r="U819" s="194"/>
    </row>
    <row r="820">
      <c r="B820" s="2">
        <f t="shared" si="1"/>
        <v>0</v>
      </c>
      <c r="D820" s="191"/>
      <c r="F820" s="194"/>
      <c r="G820" s="191"/>
      <c r="I820" s="194"/>
      <c r="J820" s="191"/>
      <c r="L820" s="194"/>
      <c r="M820" s="191"/>
      <c r="O820" s="194"/>
      <c r="P820" s="191"/>
      <c r="R820" s="194"/>
      <c r="S820" s="191"/>
      <c r="U820" s="194"/>
    </row>
    <row r="821">
      <c r="B821" s="2">
        <f t="shared" si="1"/>
        <v>0</v>
      </c>
      <c r="D821" s="191"/>
      <c r="F821" s="194"/>
      <c r="G821" s="191"/>
      <c r="I821" s="194"/>
      <c r="J821" s="191"/>
      <c r="L821" s="194"/>
      <c r="M821" s="191"/>
      <c r="O821" s="194"/>
      <c r="P821" s="191"/>
      <c r="R821" s="194"/>
      <c r="S821" s="191"/>
      <c r="U821" s="194"/>
    </row>
    <row r="822">
      <c r="B822" s="2">
        <f t="shared" si="1"/>
        <v>0</v>
      </c>
      <c r="D822" s="191"/>
      <c r="F822" s="194"/>
      <c r="G822" s="191"/>
      <c r="I822" s="194"/>
      <c r="J822" s="191"/>
      <c r="L822" s="194"/>
      <c r="M822" s="191"/>
      <c r="O822" s="194"/>
      <c r="P822" s="191"/>
      <c r="R822" s="194"/>
      <c r="S822" s="191"/>
      <c r="U822" s="194"/>
    </row>
    <row r="823">
      <c r="B823" s="2">
        <f t="shared" si="1"/>
        <v>0</v>
      </c>
      <c r="D823" s="191"/>
      <c r="F823" s="194"/>
      <c r="G823" s="191"/>
      <c r="I823" s="194"/>
      <c r="J823" s="191"/>
      <c r="L823" s="194"/>
      <c r="M823" s="191"/>
      <c r="O823" s="194"/>
      <c r="P823" s="191"/>
      <c r="R823" s="194"/>
      <c r="S823" s="191"/>
      <c r="U823" s="194"/>
    </row>
    <row r="824">
      <c r="B824" s="2">
        <f t="shared" si="1"/>
        <v>0</v>
      </c>
      <c r="D824" s="191"/>
      <c r="F824" s="194"/>
      <c r="G824" s="191"/>
      <c r="I824" s="194"/>
      <c r="J824" s="191"/>
      <c r="L824" s="194"/>
      <c r="M824" s="191"/>
      <c r="O824" s="194"/>
      <c r="P824" s="191"/>
      <c r="R824" s="194"/>
      <c r="S824" s="191"/>
      <c r="U824" s="194"/>
    </row>
    <row r="825">
      <c r="B825" s="2">
        <f t="shared" si="1"/>
        <v>0</v>
      </c>
      <c r="D825" s="191"/>
      <c r="F825" s="194"/>
      <c r="G825" s="191"/>
      <c r="I825" s="194"/>
      <c r="J825" s="191"/>
      <c r="L825" s="194"/>
      <c r="M825" s="191"/>
      <c r="O825" s="194"/>
      <c r="P825" s="191"/>
      <c r="R825" s="194"/>
      <c r="S825" s="191"/>
      <c r="U825" s="194"/>
    </row>
    <row r="826">
      <c r="B826" s="2">
        <f t="shared" si="1"/>
        <v>0</v>
      </c>
      <c r="D826" s="191"/>
      <c r="F826" s="194"/>
      <c r="G826" s="191"/>
      <c r="I826" s="194"/>
      <c r="J826" s="191"/>
      <c r="L826" s="194"/>
      <c r="M826" s="191"/>
      <c r="O826" s="194"/>
      <c r="P826" s="191"/>
      <c r="R826" s="194"/>
      <c r="S826" s="191"/>
      <c r="U826" s="194"/>
    </row>
    <row r="827">
      <c r="B827" s="2">
        <f t="shared" si="1"/>
        <v>0</v>
      </c>
      <c r="D827" s="191"/>
      <c r="F827" s="194"/>
      <c r="G827" s="191"/>
      <c r="I827" s="194"/>
      <c r="J827" s="191"/>
      <c r="L827" s="194"/>
      <c r="M827" s="191"/>
      <c r="O827" s="194"/>
      <c r="P827" s="191"/>
      <c r="R827" s="194"/>
      <c r="S827" s="191"/>
      <c r="U827" s="194"/>
    </row>
    <row r="828">
      <c r="B828" s="2">
        <f t="shared" si="1"/>
        <v>0</v>
      </c>
      <c r="D828" s="191"/>
      <c r="F828" s="194"/>
      <c r="G828" s="191"/>
      <c r="I828" s="194"/>
      <c r="J828" s="191"/>
      <c r="L828" s="194"/>
      <c r="M828" s="191"/>
      <c r="O828" s="194"/>
      <c r="P828" s="191"/>
      <c r="R828" s="194"/>
      <c r="S828" s="191"/>
      <c r="U828" s="194"/>
    </row>
    <row r="829">
      <c r="B829" s="2">
        <f t="shared" si="1"/>
        <v>0</v>
      </c>
      <c r="D829" s="191"/>
      <c r="F829" s="194"/>
      <c r="G829" s="191"/>
      <c r="I829" s="194"/>
      <c r="J829" s="191"/>
      <c r="L829" s="194"/>
      <c r="M829" s="191"/>
      <c r="O829" s="194"/>
      <c r="P829" s="191"/>
      <c r="R829" s="194"/>
      <c r="S829" s="191"/>
      <c r="U829" s="194"/>
    </row>
    <row r="830">
      <c r="B830" s="2">
        <f t="shared" si="1"/>
        <v>0</v>
      </c>
      <c r="D830" s="191"/>
      <c r="F830" s="194"/>
      <c r="G830" s="191"/>
      <c r="I830" s="194"/>
      <c r="J830" s="191"/>
      <c r="L830" s="194"/>
      <c r="M830" s="191"/>
      <c r="O830" s="194"/>
      <c r="P830" s="191"/>
      <c r="R830" s="194"/>
      <c r="S830" s="191"/>
      <c r="U830" s="194"/>
    </row>
    <row r="831">
      <c r="B831" s="2">
        <f t="shared" si="1"/>
        <v>0</v>
      </c>
      <c r="D831" s="191"/>
      <c r="F831" s="194"/>
      <c r="G831" s="191"/>
      <c r="I831" s="194"/>
      <c r="J831" s="191"/>
      <c r="L831" s="194"/>
      <c r="M831" s="191"/>
      <c r="O831" s="194"/>
      <c r="P831" s="191"/>
      <c r="R831" s="194"/>
      <c r="S831" s="191"/>
      <c r="U831" s="194"/>
    </row>
    <row r="832">
      <c r="B832" s="2">
        <f t="shared" si="1"/>
        <v>0</v>
      </c>
      <c r="D832" s="191"/>
      <c r="F832" s="194"/>
      <c r="G832" s="191"/>
      <c r="I832" s="194"/>
      <c r="J832" s="191"/>
      <c r="L832" s="194"/>
      <c r="M832" s="191"/>
      <c r="O832" s="194"/>
      <c r="P832" s="191"/>
      <c r="R832" s="194"/>
      <c r="S832" s="191"/>
      <c r="U832" s="194"/>
    </row>
    <row r="833">
      <c r="B833" s="2">
        <f t="shared" si="1"/>
        <v>0</v>
      </c>
      <c r="D833" s="191"/>
      <c r="F833" s="194"/>
      <c r="G833" s="191"/>
      <c r="I833" s="194"/>
      <c r="J833" s="191"/>
      <c r="L833" s="194"/>
      <c r="M833" s="191"/>
      <c r="O833" s="194"/>
      <c r="P833" s="191"/>
      <c r="R833" s="194"/>
      <c r="S833" s="191"/>
      <c r="U833" s="194"/>
    </row>
    <row r="834">
      <c r="B834" s="2">
        <f t="shared" si="1"/>
        <v>0</v>
      </c>
      <c r="D834" s="191"/>
      <c r="F834" s="194"/>
      <c r="G834" s="191"/>
      <c r="I834" s="194"/>
      <c r="J834" s="191"/>
      <c r="L834" s="194"/>
      <c r="M834" s="191"/>
      <c r="O834" s="194"/>
      <c r="P834" s="191"/>
      <c r="R834" s="194"/>
      <c r="S834" s="191"/>
      <c r="U834" s="194"/>
    </row>
    <row r="835">
      <c r="B835" s="2">
        <f t="shared" si="1"/>
        <v>0</v>
      </c>
      <c r="D835" s="191"/>
      <c r="F835" s="194"/>
      <c r="G835" s="191"/>
      <c r="I835" s="194"/>
      <c r="J835" s="191"/>
      <c r="L835" s="194"/>
      <c r="M835" s="191"/>
      <c r="O835" s="194"/>
      <c r="P835" s="191"/>
      <c r="R835" s="194"/>
      <c r="S835" s="191"/>
      <c r="U835" s="194"/>
    </row>
    <row r="836">
      <c r="B836" s="2">
        <f t="shared" si="1"/>
        <v>0</v>
      </c>
      <c r="D836" s="191"/>
      <c r="F836" s="194"/>
      <c r="G836" s="191"/>
      <c r="I836" s="194"/>
      <c r="J836" s="191"/>
      <c r="L836" s="194"/>
      <c r="M836" s="191"/>
      <c r="O836" s="194"/>
      <c r="P836" s="191"/>
      <c r="R836" s="194"/>
      <c r="S836" s="191"/>
      <c r="U836" s="194"/>
    </row>
    <row r="837">
      <c r="B837" s="2">
        <f t="shared" si="1"/>
        <v>0</v>
      </c>
      <c r="D837" s="191"/>
      <c r="F837" s="194"/>
      <c r="G837" s="191"/>
      <c r="I837" s="194"/>
      <c r="J837" s="191"/>
      <c r="L837" s="194"/>
      <c r="M837" s="191"/>
      <c r="O837" s="194"/>
      <c r="P837" s="191"/>
      <c r="R837" s="194"/>
      <c r="S837" s="191"/>
      <c r="U837" s="194"/>
    </row>
    <row r="838">
      <c r="B838" s="2">
        <f t="shared" si="1"/>
        <v>0</v>
      </c>
      <c r="D838" s="191"/>
      <c r="F838" s="194"/>
      <c r="G838" s="191"/>
      <c r="I838" s="194"/>
      <c r="J838" s="191"/>
      <c r="L838" s="194"/>
      <c r="M838" s="191"/>
      <c r="O838" s="194"/>
      <c r="P838" s="191"/>
      <c r="R838" s="194"/>
      <c r="S838" s="191"/>
      <c r="U838" s="194"/>
    </row>
    <row r="839">
      <c r="B839" s="2">
        <f t="shared" si="1"/>
        <v>0</v>
      </c>
      <c r="D839" s="191"/>
      <c r="F839" s="194"/>
      <c r="G839" s="191"/>
      <c r="I839" s="194"/>
      <c r="J839" s="191"/>
      <c r="L839" s="194"/>
      <c r="M839" s="191"/>
      <c r="O839" s="194"/>
      <c r="P839" s="191"/>
      <c r="R839" s="194"/>
      <c r="S839" s="191"/>
      <c r="U839" s="194"/>
    </row>
    <row r="840">
      <c r="B840" s="2">
        <f t="shared" si="1"/>
        <v>0</v>
      </c>
      <c r="D840" s="191"/>
      <c r="F840" s="194"/>
      <c r="G840" s="191"/>
      <c r="I840" s="194"/>
      <c r="J840" s="191"/>
      <c r="L840" s="194"/>
      <c r="M840" s="191"/>
      <c r="O840" s="194"/>
      <c r="P840" s="191"/>
      <c r="R840" s="194"/>
      <c r="S840" s="191"/>
      <c r="U840" s="194"/>
    </row>
    <row r="841">
      <c r="B841" s="2">
        <f t="shared" si="1"/>
        <v>0</v>
      </c>
      <c r="D841" s="191"/>
      <c r="F841" s="194"/>
      <c r="G841" s="191"/>
      <c r="I841" s="194"/>
      <c r="J841" s="191"/>
      <c r="L841" s="194"/>
      <c r="M841" s="191"/>
      <c r="O841" s="194"/>
      <c r="P841" s="191"/>
      <c r="R841" s="194"/>
      <c r="S841" s="191"/>
      <c r="U841" s="194"/>
    </row>
    <row r="842">
      <c r="B842" s="2">
        <f t="shared" si="1"/>
        <v>0</v>
      </c>
      <c r="D842" s="191"/>
      <c r="F842" s="194"/>
      <c r="G842" s="191"/>
      <c r="I842" s="194"/>
      <c r="J842" s="191"/>
      <c r="L842" s="194"/>
      <c r="M842" s="191"/>
      <c r="O842" s="194"/>
      <c r="P842" s="191"/>
      <c r="R842" s="194"/>
      <c r="S842" s="191"/>
      <c r="U842" s="194"/>
    </row>
    <row r="843">
      <c r="B843" s="2">
        <f t="shared" si="1"/>
        <v>0</v>
      </c>
      <c r="D843" s="191"/>
      <c r="F843" s="194"/>
      <c r="G843" s="191"/>
      <c r="I843" s="194"/>
      <c r="J843" s="191"/>
      <c r="L843" s="194"/>
      <c r="M843" s="191"/>
      <c r="O843" s="194"/>
      <c r="P843" s="191"/>
      <c r="R843" s="194"/>
      <c r="S843" s="191"/>
      <c r="U843" s="194"/>
    </row>
    <row r="844">
      <c r="B844" s="2">
        <f t="shared" si="1"/>
        <v>0</v>
      </c>
      <c r="D844" s="191"/>
      <c r="F844" s="194"/>
      <c r="G844" s="191"/>
      <c r="I844" s="194"/>
      <c r="J844" s="191"/>
      <c r="L844" s="194"/>
      <c r="M844" s="191"/>
      <c r="O844" s="194"/>
      <c r="P844" s="191"/>
      <c r="R844" s="194"/>
      <c r="S844" s="191"/>
      <c r="U844" s="194"/>
    </row>
    <row r="845">
      <c r="B845" s="2">
        <f t="shared" si="1"/>
        <v>0</v>
      </c>
      <c r="D845" s="191"/>
      <c r="F845" s="194"/>
      <c r="G845" s="191"/>
      <c r="I845" s="194"/>
      <c r="J845" s="191"/>
      <c r="L845" s="194"/>
      <c r="M845" s="191"/>
      <c r="O845" s="194"/>
      <c r="P845" s="191"/>
      <c r="R845" s="194"/>
      <c r="S845" s="191"/>
      <c r="U845" s="194"/>
    </row>
    <row r="846">
      <c r="B846" s="2">
        <f t="shared" si="1"/>
        <v>0</v>
      </c>
      <c r="D846" s="191"/>
      <c r="F846" s="194"/>
      <c r="G846" s="191"/>
      <c r="I846" s="194"/>
      <c r="J846" s="191"/>
      <c r="L846" s="194"/>
      <c r="M846" s="191"/>
      <c r="O846" s="194"/>
      <c r="P846" s="191"/>
      <c r="R846" s="194"/>
      <c r="S846" s="191"/>
      <c r="U846" s="194"/>
    </row>
    <row r="847">
      <c r="B847" s="2">
        <f t="shared" si="1"/>
        <v>0</v>
      </c>
      <c r="D847" s="191"/>
      <c r="F847" s="194"/>
      <c r="G847" s="191"/>
      <c r="I847" s="194"/>
      <c r="J847" s="191"/>
      <c r="L847" s="194"/>
      <c r="M847" s="191"/>
      <c r="O847" s="194"/>
      <c r="P847" s="191"/>
      <c r="R847" s="194"/>
      <c r="S847" s="191"/>
      <c r="U847" s="194"/>
    </row>
    <row r="848">
      <c r="B848" s="2">
        <f t="shared" si="1"/>
        <v>0</v>
      </c>
      <c r="D848" s="191"/>
      <c r="F848" s="194"/>
      <c r="G848" s="191"/>
      <c r="I848" s="194"/>
      <c r="J848" s="191"/>
      <c r="L848" s="194"/>
      <c r="M848" s="191"/>
      <c r="O848" s="194"/>
      <c r="P848" s="191"/>
      <c r="R848" s="194"/>
      <c r="S848" s="191"/>
      <c r="U848" s="194"/>
    </row>
    <row r="849">
      <c r="B849" s="2">
        <f t="shared" si="1"/>
        <v>0</v>
      </c>
      <c r="D849" s="191"/>
      <c r="F849" s="194"/>
      <c r="G849" s="191"/>
      <c r="I849" s="194"/>
      <c r="J849" s="191"/>
      <c r="L849" s="194"/>
      <c r="M849" s="191"/>
      <c r="O849" s="194"/>
      <c r="P849" s="191"/>
      <c r="R849" s="194"/>
      <c r="S849" s="191"/>
      <c r="U849" s="194"/>
    </row>
    <row r="850">
      <c r="B850" s="2">
        <f t="shared" si="1"/>
        <v>0</v>
      </c>
      <c r="D850" s="191"/>
      <c r="F850" s="194"/>
      <c r="G850" s="191"/>
      <c r="I850" s="194"/>
      <c r="J850" s="191"/>
      <c r="L850" s="194"/>
      <c r="M850" s="191"/>
      <c r="O850" s="194"/>
      <c r="P850" s="191"/>
      <c r="R850" s="194"/>
      <c r="S850" s="191"/>
      <c r="U850" s="194"/>
    </row>
    <row r="851">
      <c r="B851" s="2">
        <f t="shared" si="1"/>
        <v>0</v>
      </c>
      <c r="D851" s="191"/>
      <c r="F851" s="194"/>
      <c r="G851" s="191"/>
      <c r="I851" s="194"/>
      <c r="J851" s="191"/>
      <c r="L851" s="194"/>
      <c r="M851" s="191"/>
      <c r="O851" s="194"/>
      <c r="P851" s="191"/>
      <c r="R851" s="194"/>
      <c r="S851" s="191"/>
      <c r="U851" s="194"/>
    </row>
    <row r="852">
      <c r="B852" s="2">
        <f t="shared" si="1"/>
        <v>0</v>
      </c>
      <c r="D852" s="191"/>
      <c r="F852" s="194"/>
      <c r="G852" s="191"/>
      <c r="I852" s="194"/>
      <c r="J852" s="191"/>
      <c r="L852" s="194"/>
      <c r="M852" s="191"/>
      <c r="O852" s="194"/>
      <c r="P852" s="191"/>
      <c r="R852" s="194"/>
      <c r="S852" s="191"/>
      <c r="U852" s="194"/>
    </row>
    <row r="853">
      <c r="B853" s="2">
        <f t="shared" si="1"/>
        <v>0</v>
      </c>
      <c r="D853" s="191"/>
      <c r="F853" s="194"/>
      <c r="G853" s="191"/>
      <c r="I853" s="194"/>
      <c r="J853" s="191"/>
      <c r="L853" s="194"/>
      <c r="M853" s="191"/>
      <c r="O853" s="194"/>
      <c r="P853" s="191"/>
      <c r="R853" s="194"/>
      <c r="S853" s="191"/>
      <c r="U853" s="194"/>
    </row>
    <row r="854">
      <c r="B854" s="2">
        <f t="shared" si="1"/>
        <v>0</v>
      </c>
      <c r="D854" s="191"/>
      <c r="F854" s="194"/>
      <c r="G854" s="191"/>
      <c r="I854" s="194"/>
      <c r="J854" s="191"/>
      <c r="L854" s="194"/>
      <c r="M854" s="191"/>
      <c r="O854" s="194"/>
      <c r="P854" s="191"/>
      <c r="R854" s="194"/>
      <c r="S854" s="191"/>
      <c r="U854" s="194"/>
    </row>
    <row r="855">
      <c r="B855" s="2">
        <f t="shared" si="1"/>
        <v>0</v>
      </c>
      <c r="D855" s="191"/>
      <c r="F855" s="194"/>
      <c r="G855" s="191"/>
      <c r="I855" s="194"/>
      <c r="J855" s="191"/>
      <c r="L855" s="194"/>
      <c r="M855" s="191"/>
      <c r="O855" s="194"/>
      <c r="P855" s="191"/>
      <c r="R855" s="194"/>
      <c r="S855" s="191"/>
      <c r="U855" s="194"/>
    </row>
    <row r="856">
      <c r="B856" s="2">
        <f t="shared" si="1"/>
        <v>0</v>
      </c>
      <c r="D856" s="191"/>
      <c r="F856" s="194"/>
      <c r="G856" s="191"/>
      <c r="I856" s="194"/>
      <c r="J856" s="191"/>
      <c r="L856" s="194"/>
      <c r="M856" s="191"/>
      <c r="O856" s="194"/>
      <c r="P856" s="191"/>
      <c r="R856" s="194"/>
      <c r="S856" s="191"/>
      <c r="U856" s="194"/>
    </row>
    <row r="857">
      <c r="B857" s="2">
        <f t="shared" si="1"/>
        <v>0</v>
      </c>
      <c r="D857" s="191"/>
      <c r="F857" s="194"/>
      <c r="G857" s="191"/>
      <c r="I857" s="194"/>
      <c r="J857" s="191"/>
      <c r="L857" s="194"/>
      <c r="M857" s="191"/>
      <c r="O857" s="194"/>
      <c r="P857" s="191"/>
      <c r="R857" s="194"/>
      <c r="S857" s="191"/>
      <c r="U857" s="194"/>
    </row>
    <row r="858">
      <c r="B858" s="2">
        <f t="shared" si="1"/>
        <v>0</v>
      </c>
      <c r="D858" s="191"/>
      <c r="F858" s="194"/>
      <c r="G858" s="191"/>
      <c r="I858" s="194"/>
      <c r="J858" s="191"/>
      <c r="L858" s="194"/>
      <c r="M858" s="191"/>
      <c r="O858" s="194"/>
      <c r="P858" s="191"/>
      <c r="R858" s="194"/>
      <c r="S858" s="191"/>
      <c r="U858" s="194"/>
    </row>
    <row r="859">
      <c r="B859" s="2">
        <f t="shared" si="1"/>
        <v>0</v>
      </c>
      <c r="D859" s="191"/>
      <c r="F859" s="194"/>
      <c r="G859" s="191"/>
      <c r="I859" s="194"/>
      <c r="J859" s="191"/>
      <c r="L859" s="194"/>
      <c r="M859" s="191"/>
      <c r="O859" s="194"/>
      <c r="P859" s="191"/>
      <c r="R859" s="194"/>
      <c r="S859" s="191"/>
      <c r="U859" s="194"/>
    </row>
    <row r="860">
      <c r="B860" s="2">
        <f t="shared" si="1"/>
        <v>0</v>
      </c>
      <c r="D860" s="191"/>
      <c r="F860" s="194"/>
      <c r="G860" s="191"/>
      <c r="I860" s="194"/>
      <c r="J860" s="191"/>
      <c r="L860" s="194"/>
      <c r="M860" s="191"/>
      <c r="O860" s="194"/>
      <c r="P860" s="191"/>
      <c r="R860" s="194"/>
      <c r="S860" s="191"/>
      <c r="U860" s="194"/>
    </row>
    <row r="861">
      <c r="B861" s="2">
        <f t="shared" si="1"/>
        <v>0</v>
      </c>
      <c r="D861" s="191"/>
      <c r="F861" s="194"/>
      <c r="G861" s="191"/>
      <c r="I861" s="194"/>
      <c r="J861" s="191"/>
      <c r="L861" s="194"/>
      <c r="M861" s="191"/>
      <c r="O861" s="194"/>
      <c r="P861" s="191"/>
      <c r="R861" s="194"/>
      <c r="S861" s="191"/>
      <c r="U861" s="194"/>
    </row>
    <row r="862">
      <c r="B862" s="2">
        <f t="shared" si="1"/>
        <v>0</v>
      </c>
      <c r="D862" s="191"/>
      <c r="F862" s="194"/>
      <c r="G862" s="191"/>
      <c r="I862" s="194"/>
      <c r="J862" s="191"/>
      <c r="L862" s="194"/>
      <c r="M862" s="191"/>
      <c r="O862" s="194"/>
      <c r="P862" s="191"/>
      <c r="R862" s="194"/>
      <c r="S862" s="191"/>
      <c r="U862" s="194"/>
    </row>
    <row r="863">
      <c r="B863" s="2">
        <f t="shared" si="1"/>
        <v>0</v>
      </c>
      <c r="D863" s="191"/>
      <c r="F863" s="194"/>
      <c r="G863" s="191"/>
      <c r="I863" s="194"/>
      <c r="J863" s="191"/>
      <c r="L863" s="194"/>
      <c r="M863" s="191"/>
      <c r="O863" s="194"/>
      <c r="P863" s="191"/>
      <c r="R863" s="194"/>
      <c r="S863" s="191"/>
      <c r="U863" s="194"/>
    </row>
    <row r="864">
      <c r="B864" s="2">
        <f t="shared" si="1"/>
        <v>0</v>
      </c>
      <c r="D864" s="191"/>
      <c r="F864" s="194"/>
      <c r="G864" s="191"/>
      <c r="I864" s="194"/>
      <c r="J864" s="191"/>
      <c r="L864" s="194"/>
      <c r="M864" s="191"/>
      <c r="O864" s="194"/>
      <c r="P864" s="191"/>
      <c r="R864" s="194"/>
      <c r="S864" s="191"/>
      <c r="U864" s="194"/>
    </row>
    <row r="865">
      <c r="B865" s="2">
        <f t="shared" si="1"/>
        <v>0</v>
      </c>
      <c r="D865" s="191"/>
      <c r="F865" s="194"/>
      <c r="G865" s="191"/>
      <c r="I865" s="194"/>
      <c r="J865" s="191"/>
      <c r="L865" s="194"/>
      <c r="M865" s="191"/>
      <c r="O865" s="194"/>
      <c r="P865" s="191"/>
      <c r="R865" s="194"/>
      <c r="S865" s="191"/>
      <c r="U865" s="194"/>
    </row>
    <row r="866">
      <c r="B866" s="2">
        <f t="shared" si="1"/>
        <v>0</v>
      </c>
      <c r="D866" s="191"/>
      <c r="F866" s="194"/>
      <c r="G866" s="191"/>
      <c r="I866" s="194"/>
      <c r="J866" s="191"/>
      <c r="L866" s="194"/>
      <c r="M866" s="191"/>
      <c r="O866" s="194"/>
      <c r="P866" s="191"/>
      <c r="R866" s="194"/>
      <c r="S866" s="191"/>
      <c r="U866" s="194"/>
    </row>
    <row r="867">
      <c r="B867" s="2">
        <f t="shared" si="1"/>
        <v>0</v>
      </c>
      <c r="D867" s="191"/>
      <c r="F867" s="194"/>
      <c r="G867" s="191"/>
      <c r="I867" s="194"/>
      <c r="J867" s="191"/>
      <c r="L867" s="194"/>
      <c r="M867" s="191"/>
      <c r="O867" s="194"/>
      <c r="P867" s="191"/>
      <c r="R867" s="194"/>
      <c r="S867" s="191"/>
      <c r="U867" s="194"/>
    </row>
    <row r="868">
      <c r="B868" s="2">
        <f t="shared" si="1"/>
        <v>0</v>
      </c>
      <c r="D868" s="191"/>
      <c r="F868" s="194"/>
      <c r="G868" s="191"/>
      <c r="I868" s="194"/>
      <c r="J868" s="191"/>
      <c r="L868" s="194"/>
      <c r="M868" s="191"/>
      <c r="O868" s="194"/>
      <c r="P868" s="191"/>
      <c r="R868" s="194"/>
      <c r="S868" s="191"/>
      <c r="U868" s="194"/>
    </row>
    <row r="869">
      <c r="B869" s="2">
        <f t="shared" si="1"/>
        <v>0</v>
      </c>
      <c r="D869" s="191"/>
      <c r="F869" s="194"/>
      <c r="G869" s="191"/>
      <c r="I869" s="194"/>
      <c r="J869" s="191"/>
      <c r="L869" s="194"/>
      <c r="M869" s="191"/>
      <c r="O869" s="194"/>
      <c r="P869" s="191"/>
      <c r="R869" s="194"/>
      <c r="S869" s="191"/>
      <c r="U869" s="194"/>
    </row>
    <row r="870">
      <c r="B870" s="2">
        <f t="shared" si="1"/>
        <v>0</v>
      </c>
      <c r="D870" s="191"/>
      <c r="F870" s="194"/>
      <c r="G870" s="191"/>
      <c r="I870" s="194"/>
      <c r="J870" s="191"/>
      <c r="L870" s="194"/>
      <c r="M870" s="191"/>
      <c r="O870" s="194"/>
      <c r="P870" s="191"/>
      <c r="R870" s="194"/>
      <c r="S870" s="191"/>
      <c r="U870" s="194"/>
    </row>
    <row r="871">
      <c r="B871" s="2">
        <f t="shared" si="1"/>
        <v>0</v>
      </c>
      <c r="D871" s="191"/>
      <c r="F871" s="194"/>
      <c r="G871" s="191"/>
      <c r="I871" s="194"/>
      <c r="J871" s="191"/>
      <c r="L871" s="194"/>
      <c r="M871" s="191"/>
      <c r="O871" s="194"/>
      <c r="P871" s="191"/>
      <c r="R871" s="194"/>
      <c r="S871" s="191"/>
      <c r="U871" s="194"/>
    </row>
    <row r="872">
      <c r="B872" s="2">
        <f t="shared" si="1"/>
        <v>0</v>
      </c>
      <c r="D872" s="191"/>
      <c r="F872" s="194"/>
      <c r="G872" s="191"/>
      <c r="I872" s="194"/>
      <c r="J872" s="191"/>
      <c r="L872" s="194"/>
      <c r="M872" s="191"/>
      <c r="O872" s="194"/>
      <c r="P872" s="191"/>
      <c r="R872" s="194"/>
      <c r="S872" s="191"/>
      <c r="U872" s="194"/>
    </row>
    <row r="873">
      <c r="B873" s="2">
        <f t="shared" si="1"/>
        <v>0</v>
      </c>
      <c r="D873" s="191"/>
      <c r="F873" s="194"/>
      <c r="G873" s="191"/>
      <c r="I873" s="194"/>
      <c r="J873" s="191"/>
      <c r="L873" s="194"/>
      <c r="M873" s="191"/>
      <c r="O873" s="194"/>
      <c r="P873" s="191"/>
      <c r="R873" s="194"/>
      <c r="S873" s="191"/>
      <c r="U873" s="194"/>
    </row>
    <row r="874">
      <c r="B874" s="2">
        <f t="shared" si="1"/>
        <v>0</v>
      </c>
      <c r="D874" s="191"/>
      <c r="F874" s="194"/>
      <c r="G874" s="191"/>
      <c r="I874" s="194"/>
      <c r="J874" s="191"/>
      <c r="L874" s="194"/>
      <c r="M874" s="191"/>
      <c r="O874" s="194"/>
      <c r="P874" s="191"/>
      <c r="R874" s="194"/>
      <c r="S874" s="191"/>
      <c r="U874" s="194"/>
    </row>
    <row r="875">
      <c r="B875" s="2">
        <f t="shared" si="1"/>
        <v>0</v>
      </c>
      <c r="D875" s="191"/>
      <c r="F875" s="194"/>
      <c r="G875" s="191"/>
      <c r="I875" s="194"/>
      <c r="J875" s="191"/>
      <c r="L875" s="194"/>
      <c r="M875" s="191"/>
      <c r="O875" s="194"/>
      <c r="P875" s="191"/>
      <c r="R875" s="194"/>
      <c r="S875" s="191"/>
      <c r="U875" s="194"/>
    </row>
    <row r="876">
      <c r="B876" s="2">
        <f t="shared" si="1"/>
        <v>0</v>
      </c>
      <c r="D876" s="191"/>
      <c r="F876" s="194"/>
      <c r="G876" s="191"/>
      <c r="I876" s="194"/>
      <c r="J876" s="191"/>
      <c r="L876" s="194"/>
      <c r="M876" s="191"/>
      <c r="O876" s="194"/>
      <c r="P876" s="191"/>
      <c r="R876" s="194"/>
      <c r="S876" s="191"/>
      <c r="U876" s="194"/>
    </row>
    <row r="877">
      <c r="B877" s="2">
        <f t="shared" si="1"/>
        <v>0</v>
      </c>
      <c r="D877" s="191"/>
      <c r="F877" s="194"/>
      <c r="G877" s="191"/>
      <c r="I877" s="194"/>
      <c r="J877" s="191"/>
      <c r="L877" s="194"/>
      <c r="M877" s="191"/>
      <c r="O877" s="194"/>
      <c r="P877" s="191"/>
      <c r="R877" s="194"/>
      <c r="S877" s="191"/>
      <c r="U877" s="194"/>
    </row>
    <row r="878">
      <c r="B878" s="2">
        <f t="shared" si="1"/>
        <v>0</v>
      </c>
      <c r="D878" s="191"/>
      <c r="F878" s="194"/>
      <c r="G878" s="191"/>
      <c r="I878" s="194"/>
      <c r="J878" s="191"/>
      <c r="L878" s="194"/>
      <c r="M878" s="191"/>
      <c r="O878" s="194"/>
      <c r="P878" s="191"/>
      <c r="R878" s="194"/>
      <c r="S878" s="191"/>
      <c r="U878" s="194"/>
    </row>
    <row r="879">
      <c r="B879" s="2">
        <f t="shared" si="1"/>
        <v>0</v>
      </c>
      <c r="D879" s="191"/>
      <c r="F879" s="194"/>
      <c r="G879" s="191"/>
      <c r="I879" s="194"/>
      <c r="J879" s="191"/>
      <c r="L879" s="194"/>
      <c r="M879" s="191"/>
      <c r="O879" s="194"/>
      <c r="P879" s="191"/>
      <c r="R879" s="194"/>
      <c r="S879" s="191"/>
      <c r="U879" s="194"/>
    </row>
    <row r="880">
      <c r="B880" s="2">
        <f t="shared" si="1"/>
        <v>0</v>
      </c>
      <c r="D880" s="191"/>
      <c r="F880" s="194"/>
      <c r="G880" s="191"/>
      <c r="I880" s="194"/>
      <c r="J880" s="191"/>
      <c r="L880" s="194"/>
      <c r="M880" s="191"/>
      <c r="O880" s="194"/>
      <c r="P880" s="191"/>
      <c r="R880" s="194"/>
      <c r="S880" s="191"/>
      <c r="U880" s="194"/>
    </row>
    <row r="881">
      <c r="B881" s="2">
        <f t="shared" si="1"/>
        <v>0</v>
      </c>
      <c r="D881" s="191"/>
      <c r="F881" s="194"/>
      <c r="G881" s="191"/>
      <c r="I881" s="194"/>
      <c r="J881" s="191"/>
      <c r="L881" s="194"/>
      <c r="M881" s="191"/>
      <c r="O881" s="194"/>
      <c r="P881" s="191"/>
      <c r="R881" s="194"/>
      <c r="S881" s="191"/>
      <c r="U881" s="194"/>
    </row>
    <row r="882">
      <c r="B882" s="2">
        <f t="shared" si="1"/>
        <v>0</v>
      </c>
      <c r="D882" s="191"/>
      <c r="F882" s="194"/>
      <c r="G882" s="191"/>
      <c r="I882" s="194"/>
      <c r="J882" s="191"/>
      <c r="L882" s="194"/>
      <c r="M882" s="191"/>
      <c r="O882" s="194"/>
      <c r="P882" s="191"/>
      <c r="R882" s="194"/>
      <c r="S882" s="191"/>
      <c r="U882" s="194"/>
    </row>
    <row r="883">
      <c r="B883" s="2">
        <f t="shared" si="1"/>
        <v>0</v>
      </c>
      <c r="D883" s="191"/>
      <c r="F883" s="194"/>
      <c r="G883" s="191"/>
      <c r="I883" s="194"/>
      <c r="J883" s="191"/>
      <c r="L883" s="194"/>
      <c r="M883" s="191"/>
      <c r="O883" s="194"/>
      <c r="P883" s="191"/>
      <c r="R883" s="194"/>
      <c r="S883" s="191"/>
      <c r="U883" s="194"/>
    </row>
    <row r="884">
      <c r="B884" s="2">
        <f t="shared" si="1"/>
        <v>0</v>
      </c>
      <c r="D884" s="191"/>
      <c r="F884" s="194"/>
      <c r="G884" s="191"/>
      <c r="I884" s="194"/>
      <c r="J884" s="191"/>
      <c r="L884" s="194"/>
      <c r="M884" s="191"/>
      <c r="O884" s="194"/>
      <c r="P884" s="191"/>
      <c r="R884" s="194"/>
      <c r="S884" s="191"/>
      <c r="U884" s="194"/>
    </row>
    <row r="885">
      <c r="B885" s="2">
        <f t="shared" si="1"/>
        <v>0</v>
      </c>
      <c r="D885" s="191"/>
      <c r="F885" s="194"/>
      <c r="G885" s="191"/>
      <c r="I885" s="194"/>
      <c r="J885" s="191"/>
      <c r="L885" s="194"/>
      <c r="M885" s="191"/>
      <c r="O885" s="194"/>
      <c r="P885" s="191"/>
      <c r="R885" s="194"/>
      <c r="S885" s="191"/>
      <c r="U885" s="194"/>
    </row>
    <row r="886">
      <c r="B886" s="2">
        <f t="shared" si="1"/>
        <v>0</v>
      </c>
      <c r="D886" s="191"/>
      <c r="F886" s="194"/>
      <c r="G886" s="191"/>
      <c r="I886" s="194"/>
      <c r="J886" s="191"/>
      <c r="L886" s="194"/>
      <c r="M886" s="191"/>
      <c r="O886" s="194"/>
      <c r="P886" s="191"/>
      <c r="R886" s="194"/>
      <c r="S886" s="191"/>
      <c r="U886" s="194"/>
    </row>
    <row r="887">
      <c r="B887" s="2">
        <f t="shared" si="1"/>
        <v>0</v>
      </c>
      <c r="D887" s="191"/>
      <c r="F887" s="194"/>
      <c r="G887" s="191"/>
      <c r="I887" s="194"/>
      <c r="J887" s="191"/>
      <c r="L887" s="194"/>
      <c r="M887" s="191"/>
      <c r="O887" s="194"/>
      <c r="P887" s="191"/>
      <c r="R887" s="194"/>
      <c r="S887" s="191"/>
      <c r="U887" s="194"/>
    </row>
    <row r="888">
      <c r="B888" s="2">
        <f t="shared" si="1"/>
        <v>0</v>
      </c>
      <c r="D888" s="191"/>
      <c r="F888" s="194"/>
      <c r="G888" s="191"/>
      <c r="I888" s="194"/>
      <c r="J888" s="191"/>
      <c r="L888" s="194"/>
      <c r="M888" s="191"/>
      <c r="O888" s="194"/>
      <c r="P888" s="191"/>
      <c r="R888" s="194"/>
      <c r="S888" s="191"/>
      <c r="U888" s="194"/>
    </row>
    <row r="889">
      <c r="B889" s="2">
        <f t="shared" si="1"/>
        <v>0</v>
      </c>
      <c r="D889" s="191"/>
      <c r="F889" s="194"/>
      <c r="G889" s="191"/>
      <c r="I889" s="194"/>
      <c r="J889" s="191"/>
      <c r="L889" s="194"/>
      <c r="M889" s="191"/>
      <c r="O889" s="194"/>
      <c r="P889" s="191"/>
      <c r="R889" s="194"/>
      <c r="S889" s="191"/>
      <c r="U889" s="194"/>
    </row>
    <row r="890">
      <c r="B890" s="2">
        <f t="shared" si="1"/>
        <v>0</v>
      </c>
      <c r="D890" s="191"/>
      <c r="F890" s="194"/>
      <c r="G890" s="191"/>
      <c r="I890" s="194"/>
      <c r="J890" s="191"/>
      <c r="L890" s="194"/>
      <c r="M890" s="191"/>
      <c r="O890" s="194"/>
      <c r="P890" s="191"/>
      <c r="R890" s="194"/>
      <c r="S890" s="191"/>
      <c r="U890" s="194"/>
    </row>
    <row r="891">
      <c r="B891" s="2">
        <f t="shared" si="1"/>
        <v>0</v>
      </c>
      <c r="D891" s="191"/>
      <c r="F891" s="194"/>
      <c r="G891" s="191"/>
      <c r="I891" s="194"/>
      <c r="J891" s="191"/>
      <c r="L891" s="194"/>
      <c r="M891" s="191"/>
      <c r="O891" s="194"/>
      <c r="P891" s="191"/>
      <c r="R891" s="194"/>
      <c r="S891" s="191"/>
      <c r="U891" s="194"/>
    </row>
    <row r="892">
      <c r="B892" s="2">
        <f t="shared" si="1"/>
        <v>0</v>
      </c>
      <c r="D892" s="191"/>
      <c r="F892" s="194"/>
      <c r="G892" s="191"/>
      <c r="I892" s="194"/>
      <c r="J892" s="191"/>
      <c r="L892" s="194"/>
      <c r="M892" s="191"/>
      <c r="O892" s="194"/>
      <c r="P892" s="191"/>
      <c r="R892" s="194"/>
      <c r="S892" s="191"/>
      <c r="U892" s="194"/>
    </row>
    <row r="893">
      <c r="B893" s="2">
        <f t="shared" si="1"/>
        <v>0</v>
      </c>
      <c r="D893" s="191"/>
      <c r="F893" s="194"/>
      <c r="G893" s="191"/>
      <c r="I893" s="194"/>
      <c r="J893" s="191"/>
      <c r="L893" s="194"/>
      <c r="M893" s="191"/>
      <c r="O893" s="194"/>
      <c r="P893" s="191"/>
      <c r="R893" s="194"/>
      <c r="S893" s="191"/>
      <c r="U893" s="194"/>
    </row>
    <row r="894">
      <c r="B894" s="2">
        <f t="shared" si="1"/>
        <v>0</v>
      </c>
      <c r="D894" s="191"/>
      <c r="F894" s="194"/>
      <c r="G894" s="191"/>
      <c r="I894" s="194"/>
      <c r="J894" s="191"/>
      <c r="L894" s="194"/>
      <c r="M894" s="191"/>
      <c r="O894" s="194"/>
      <c r="P894" s="191"/>
      <c r="R894" s="194"/>
      <c r="S894" s="191"/>
      <c r="U894" s="194"/>
    </row>
    <row r="895">
      <c r="B895" s="2">
        <f t="shared" si="1"/>
        <v>0</v>
      </c>
      <c r="D895" s="191"/>
      <c r="F895" s="194"/>
      <c r="G895" s="191"/>
      <c r="I895" s="194"/>
      <c r="J895" s="191"/>
      <c r="L895" s="194"/>
      <c r="M895" s="191"/>
      <c r="O895" s="194"/>
      <c r="P895" s="191"/>
      <c r="R895" s="194"/>
      <c r="S895" s="191"/>
      <c r="U895" s="194"/>
    </row>
    <row r="896">
      <c r="B896" s="2">
        <f t="shared" si="1"/>
        <v>0</v>
      </c>
      <c r="D896" s="191"/>
      <c r="F896" s="194"/>
      <c r="G896" s="191"/>
      <c r="I896" s="194"/>
      <c r="J896" s="191"/>
      <c r="L896" s="194"/>
      <c r="M896" s="191"/>
      <c r="O896" s="194"/>
      <c r="P896" s="191"/>
      <c r="R896" s="194"/>
      <c r="S896" s="191"/>
      <c r="U896" s="194"/>
    </row>
    <row r="897">
      <c r="B897" s="2">
        <f t="shared" si="1"/>
        <v>0</v>
      </c>
      <c r="D897" s="191"/>
      <c r="F897" s="194"/>
      <c r="G897" s="191"/>
      <c r="I897" s="194"/>
      <c r="J897" s="191"/>
      <c r="L897" s="194"/>
      <c r="M897" s="191"/>
      <c r="O897" s="194"/>
      <c r="P897" s="191"/>
      <c r="R897" s="194"/>
      <c r="S897" s="191"/>
      <c r="U897" s="194"/>
    </row>
    <row r="898">
      <c r="B898" s="2">
        <f t="shared" si="1"/>
        <v>0</v>
      </c>
      <c r="D898" s="191"/>
      <c r="F898" s="194"/>
      <c r="G898" s="191"/>
      <c r="I898" s="194"/>
      <c r="J898" s="191"/>
      <c r="L898" s="194"/>
      <c r="M898" s="191"/>
      <c r="O898" s="194"/>
      <c r="P898" s="191"/>
      <c r="R898" s="194"/>
      <c r="S898" s="191"/>
      <c r="U898" s="194"/>
    </row>
    <row r="899">
      <c r="B899" s="2">
        <f t="shared" si="1"/>
        <v>0</v>
      </c>
      <c r="D899" s="191"/>
      <c r="F899" s="194"/>
      <c r="G899" s="191"/>
      <c r="I899" s="194"/>
      <c r="J899" s="191"/>
      <c r="L899" s="194"/>
      <c r="M899" s="191"/>
      <c r="O899" s="194"/>
      <c r="P899" s="191"/>
      <c r="R899" s="194"/>
      <c r="S899" s="191"/>
      <c r="U899" s="194"/>
    </row>
    <row r="900">
      <c r="B900" s="2">
        <f t="shared" si="1"/>
        <v>0</v>
      </c>
      <c r="D900" s="191"/>
      <c r="F900" s="194"/>
      <c r="G900" s="191"/>
      <c r="I900" s="194"/>
      <c r="J900" s="191"/>
      <c r="L900" s="194"/>
      <c r="M900" s="191"/>
      <c r="O900" s="194"/>
      <c r="P900" s="191"/>
      <c r="R900" s="194"/>
      <c r="S900" s="191"/>
      <c r="U900" s="194"/>
    </row>
    <row r="901">
      <c r="B901" s="2">
        <f t="shared" si="1"/>
        <v>0</v>
      </c>
      <c r="D901" s="191"/>
      <c r="F901" s="194"/>
      <c r="G901" s="191"/>
      <c r="I901" s="194"/>
      <c r="J901" s="191"/>
      <c r="L901" s="194"/>
      <c r="M901" s="191"/>
      <c r="O901" s="194"/>
      <c r="P901" s="191"/>
      <c r="R901" s="194"/>
      <c r="S901" s="191"/>
      <c r="U901" s="194"/>
    </row>
    <row r="902">
      <c r="B902" s="2">
        <f t="shared" si="1"/>
        <v>0</v>
      </c>
      <c r="D902" s="191"/>
      <c r="F902" s="194"/>
      <c r="G902" s="191"/>
      <c r="I902" s="194"/>
      <c r="J902" s="191"/>
      <c r="L902" s="194"/>
      <c r="M902" s="191"/>
      <c r="O902" s="194"/>
      <c r="P902" s="191"/>
      <c r="R902" s="194"/>
      <c r="S902" s="191"/>
      <c r="U902" s="194"/>
    </row>
    <row r="903">
      <c r="B903" s="2">
        <f t="shared" si="1"/>
        <v>0</v>
      </c>
      <c r="D903" s="191"/>
      <c r="F903" s="194"/>
      <c r="G903" s="191"/>
      <c r="I903" s="194"/>
      <c r="J903" s="191"/>
      <c r="L903" s="194"/>
      <c r="M903" s="191"/>
      <c r="O903" s="194"/>
      <c r="P903" s="191"/>
      <c r="R903" s="194"/>
      <c r="S903" s="191"/>
      <c r="U903" s="194"/>
    </row>
    <row r="904">
      <c r="B904" s="2">
        <f t="shared" si="1"/>
        <v>0</v>
      </c>
      <c r="D904" s="191"/>
      <c r="F904" s="194"/>
      <c r="G904" s="191"/>
      <c r="I904" s="194"/>
      <c r="J904" s="191"/>
      <c r="L904" s="194"/>
      <c r="M904" s="191"/>
      <c r="O904" s="194"/>
      <c r="P904" s="191"/>
      <c r="R904" s="194"/>
      <c r="S904" s="191"/>
      <c r="U904" s="194"/>
    </row>
    <row r="905">
      <c r="B905" s="2">
        <f t="shared" si="1"/>
        <v>0</v>
      </c>
      <c r="D905" s="191"/>
      <c r="F905" s="194"/>
      <c r="G905" s="191"/>
      <c r="I905" s="194"/>
      <c r="J905" s="191"/>
      <c r="L905" s="194"/>
      <c r="M905" s="191"/>
      <c r="O905" s="194"/>
      <c r="P905" s="191"/>
      <c r="R905" s="194"/>
      <c r="S905" s="191"/>
      <c r="U905" s="194"/>
    </row>
    <row r="906">
      <c r="B906" s="2">
        <f t="shared" si="1"/>
        <v>0</v>
      </c>
      <c r="D906" s="191"/>
      <c r="F906" s="194"/>
      <c r="G906" s="191"/>
      <c r="I906" s="194"/>
      <c r="J906" s="191"/>
      <c r="L906" s="194"/>
      <c r="M906" s="191"/>
      <c r="O906" s="194"/>
      <c r="P906" s="191"/>
      <c r="R906" s="194"/>
      <c r="S906" s="191"/>
      <c r="U906" s="194"/>
    </row>
    <row r="907">
      <c r="B907" s="2">
        <f t="shared" si="1"/>
        <v>0</v>
      </c>
      <c r="D907" s="191"/>
      <c r="F907" s="194"/>
      <c r="G907" s="191"/>
      <c r="I907" s="194"/>
      <c r="J907" s="191"/>
      <c r="L907" s="194"/>
      <c r="M907" s="191"/>
      <c r="O907" s="194"/>
      <c r="P907" s="191"/>
      <c r="R907" s="194"/>
      <c r="S907" s="191"/>
      <c r="U907" s="194"/>
    </row>
    <row r="908">
      <c r="B908" s="2">
        <f t="shared" si="1"/>
        <v>0</v>
      </c>
      <c r="D908" s="191"/>
      <c r="F908" s="194"/>
      <c r="G908" s="191"/>
      <c r="I908" s="194"/>
      <c r="J908" s="191"/>
      <c r="L908" s="194"/>
      <c r="M908" s="191"/>
      <c r="O908" s="194"/>
      <c r="P908" s="191"/>
      <c r="R908" s="194"/>
      <c r="S908" s="191"/>
      <c r="U908" s="194"/>
    </row>
    <row r="909">
      <c r="B909" s="2">
        <f t="shared" si="1"/>
        <v>0</v>
      </c>
      <c r="D909" s="191"/>
      <c r="F909" s="194"/>
      <c r="G909" s="191"/>
      <c r="I909" s="194"/>
      <c r="J909" s="191"/>
      <c r="L909" s="194"/>
      <c r="M909" s="191"/>
      <c r="O909" s="194"/>
      <c r="P909" s="191"/>
      <c r="R909" s="194"/>
      <c r="S909" s="191"/>
      <c r="U909" s="194"/>
    </row>
    <row r="910">
      <c r="B910" s="2">
        <f t="shared" si="1"/>
        <v>0</v>
      </c>
      <c r="D910" s="191"/>
      <c r="F910" s="194"/>
      <c r="G910" s="191"/>
      <c r="I910" s="194"/>
      <c r="J910" s="191"/>
      <c r="L910" s="194"/>
      <c r="M910" s="191"/>
      <c r="O910" s="194"/>
      <c r="P910" s="191"/>
      <c r="R910" s="194"/>
      <c r="S910" s="191"/>
      <c r="U910" s="194"/>
    </row>
    <row r="911">
      <c r="B911" s="2">
        <f t="shared" si="1"/>
        <v>0</v>
      </c>
      <c r="D911" s="191"/>
      <c r="F911" s="194"/>
      <c r="G911" s="191"/>
      <c r="I911" s="194"/>
      <c r="J911" s="191"/>
      <c r="L911" s="194"/>
      <c r="M911" s="191"/>
      <c r="O911" s="194"/>
      <c r="P911" s="191"/>
      <c r="R911" s="194"/>
      <c r="S911" s="191"/>
      <c r="U911" s="194"/>
    </row>
    <row r="912">
      <c r="B912" s="2">
        <f t="shared" si="1"/>
        <v>0</v>
      </c>
      <c r="D912" s="191"/>
      <c r="F912" s="194"/>
      <c r="G912" s="191"/>
      <c r="I912" s="194"/>
      <c r="J912" s="191"/>
      <c r="L912" s="194"/>
      <c r="M912" s="191"/>
      <c r="O912" s="194"/>
      <c r="P912" s="191"/>
      <c r="R912" s="194"/>
      <c r="S912" s="191"/>
      <c r="U912" s="194"/>
    </row>
    <row r="913">
      <c r="B913" s="2">
        <f t="shared" si="1"/>
        <v>0</v>
      </c>
      <c r="D913" s="191"/>
      <c r="F913" s="194"/>
      <c r="G913" s="191"/>
      <c r="I913" s="194"/>
      <c r="J913" s="191"/>
      <c r="L913" s="194"/>
      <c r="M913" s="191"/>
      <c r="O913" s="194"/>
      <c r="P913" s="191"/>
      <c r="R913" s="194"/>
      <c r="S913" s="191"/>
      <c r="U913" s="194"/>
    </row>
    <row r="914">
      <c r="B914" s="2">
        <f t="shared" si="1"/>
        <v>0</v>
      </c>
      <c r="D914" s="191"/>
      <c r="F914" s="194"/>
      <c r="G914" s="191"/>
      <c r="I914" s="194"/>
      <c r="J914" s="191"/>
      <c r="L914" s="194"/>
      <c r="M914" s="191"/>
      <c r="O914" s="194"/>
      <c r="P914" s="191"/>
      <c r="R914" s="194"/>
      <c r="S914" s="191"/>
      <c r="U914" s="194"/>
    </row>
    <row r="915">
      <c r="B915" s="2">
        <f t="shared" si="1"/>
        <v>0</v>
      </c>
      <c r="D915" s="191"/>
      <c r="F915" s="194"/>
      <c r="G915" s="191"/>
      <c r="I915" s="194"/>
      <c r="J915" s="191"/>
      <c r="L915" s="194"/>
      <c r="M915" s="191"/>
      <c r="O915" s="194"/>
      <c r="P915" s="191"/>
      <c r="R915" s="194"/>
      <c r="S915" s="191"/>
      <c r="U915" s="194"/>
    </row>
    <row r="916">
      <c r="B916" s="2">
        <f t="shared" si="1"/>
        <v>0</v>
      </c>
      <c r="D916" s="191"/>
      <c r="F916" s="194"/>
      <c r="G916" s="191"/>
      <c r="I916" s="194"/>
      <c r="J916" s="191"/>
      <c r="L916" s="194"/>
      <c r="M916" s="191"/>
      <c r="O916" s="194"/>
      <c r="P916" s="191"/>
      <c r="R916" s="194"/>
      <c r="S916" s="191"/>
      <c r="U916" s="194"/>
    </row>
    <row r="917">
      <c r="B917" s="2">
        <f t="shared" si="1"/>
        <v>0</v>
      </c>
      <c r="D917" s="191"/>
      <c r="F917" s="194"/>
      <c r="G917" s="191"/>
      <c r="I917" s="194"/>
      <c r="J917" s="191"/>
      <c r="L917" s="194"/>
      <c r="M917" s="191"/>
      <c r="O917" s="194"/>
      <c r="P917" s="191"/>
      <c r="R917" s="194"/>
      <c r="S917" s="191"/>
      <c r="U917" s="194"/>
    </row>
    <row r="918">
      <c r="B918" s="2">
        <f t="shared" si="1"/>
        <v>0</v>
      </c>
      <c r="D918" s="191"/>
      <c r="F918" s="194"/>
      <c r="G918" s="191"/>
      <c r="I918" s="194"/>
      <c r="J918" s="191"/>
      <c r="L918" s="194"/>
      <c r="M918" s="191"/>
      <c r="O918" s="194"/>
      <c r="P918" s="191"/>
      <c r="R918" s="194"/>
      <c r="S918" s="191"/>
      <c r="U918" s="194"/>
    </row>
    <row r="919">
      <c r="B919" s="2">
        <f t="shared" si="1"/>
        <v>0</v>
      </c>
      <c r="D919" s="191"/>
      <c r="F919" s="194"/>
      <c r="G919" s="191"/>
      <c r="I919" s="194"/>
      <c r="J919" s="191"/>
      <c r="L919" s="194"/>
      <c r="M919" s="191"/>
      <c r="O919" s="194"/>
      <c r="P919" s="191"/>
      <c r="R919" s="194"/>
      <c r="S919" s="191"/>
      <c r="U919" s="194"/>
    </row>
    <row r="920">
      <c r="B920" s="2">
        <f t="shared" si="1"/>
        <v>0</v>
      </c>
      <c r="D920" s="191"/>
      <c r="F920" s="194"/>
      <c r="G920" s="191"/>
      <c r="I920" s="194"/>
      <c r="J920" s="191"/>
      <c r="L920" s="194"/>
      <c r="M920" s="191"/>
      <c r="O920" s="194"/>
      <c r="P920" s="191"/>
      <c r="R920" s="194"/>
      <c r="S920" s="191"/>
      <c r="U920" s="194"/>
    </row>
    <row r="921">
      <c r="B921" s="2">
        <f t="shared" si="1"/>
        <v>0</v>
      </c>
      <c r="D921" s="191"/>
      <c r="F921" s="194"/>
      <c r="G921" s="191"/>
      <c r="I921" s="194"/>
      <c r="J921" s="191"/>
      <c r="L921" s="194"/>
      <c r="M921" s="191"/>
      <c r="O921" s="194"/>
      <c r="P921" s="191"/>
      <c r="R921" s="194"/>
      <c r="S921" s="191"/>
      <c r="U921" s="194"/>
    </row>
    <row r="922">
      <c r="B922" s="2">
        <f t="shared" si="1"/>
        <v>0</v>
      </c>
      <c r="D922" s="191"/>
      <c r="F922" s="194"/>
      <c r="G922" s="191"/>
      <c r="I922" s="194"/>
      <c r="J922" s="191"/>
      <c r="L922" s="194"/>
      <c r="M922" s="191"/>
      <c r="O922" s="194"/>
      <c r="P922" s="191"/>
      <c r="R922" s="194"/>
      <c r="S922" s="191"/>
      <c r="U922" s="194"/>
    </row>
    <row r="923">
      <c r="B923" s="2">
        <f t="shared" si="1"/>
        <v>0</v>
      </c>
      <c r="D923" s="191"/>
      <c r="F923" s="194"/>
      <c r="G923" s="191"/>
      <c r="I923" s="194"/>
      <c r="J923" s="191"/>
      <c r="L923" s="194"/>
      <c r="M923" s="191"/>
      <c r="O923" s="194"/>
      <c r="P923" s="191"/>
      <c r="R923" s="194"/>
      <c r="S923" s="191"/>
      <c r="U923" s="194"/>
    </row>
    <row r="924">
      <c r="B924" s="2">
        <f t="shared" si="1"/>
        <v>0</v>
      </c>
      <c r="D924" s="191"/>
      <c r="F924" s="194"/>
      <c r="G924" s="191"/>
      <c r="I924" s="194"/>
      <c r="J924" s="191"/>
      <c r="L924" s="194"/>
      <c r="M924" s="191"/>
      <c r="O924" s="194"/>
      <c r="P924" s="191"/>
      <c r="R924" s="194"/>
      <c r="S924" s="191"/>
      <c r="U924" s="194"/>
    </row>
    <row r="925">
      <c r="B925" s="2">
        <f t="shared" si="1"/>
        <v>0</v>
      </c>
      <c r="D925" s="191"/>
      <c r="F925" s="194"/>
      <c r="G925" s="191"/>
      <c r="I925" s="194"/>
      <c r="J925" s="191"/>
      <c r="L925" s="194"/>
      <c r="M925" s="191"/>
      <c r="O925" s="194"/>
      <c r="P925" s="191"/>
      <c r="R925" s="194"/>
      <c r="S925" s="191"/>
      <c r="U925" s="194"/>
    </row>
    <row r="926">
      <c r="B926" s="2">
        <f t="shared" si="1"/>
        <v>0</v>
      </c>
      <c r="D926" s="191"/>
      <c r="F926" s="194"/>
      <c r="G926" s="191"/>
      <c r="I926" s="194"/>
      <c r="J926" s="191"/>
      <c r="L926" s="194"/>
      <c r="M926" s="191"/>
      <c r="O926" s="194"/>
      <c r="P926" s="191"/>
      <c r="R926" s="194"/>
      <c r="S926" s="191"/>
      <c r="U926" s="194"/>
    </row>
    <row r="927">
      <c r="B927" s="2">
        <f t="shared" si="1"/>
        <v>0</v>
      </c>
      <c r="D927" s="191"/>
      <c r="F927" s="194"/>
      <c r="G927" s="191"/>
      <c r="I927" s="194"/>
      <c r="J927" s="191"/>
      <c r="L927" s="194"/>
      <c r="M927" s="191"/>
      <c r="O927" s="194"/>
      <c r="P927" s="191"/>
      <c r="R927" s="194"/>
      <c r="S927" s="191"/>
      <c r="U927" s="194"/>
    </row>
    <row r="928">
      <c r="B928" s="2">
        <f t="shared" si="1"/>
        <v>0</v>
      </c>
      <c r="D928" s="191"/>
      <c r="F928" s="194"/>
      <c r="G928" s="191"/>
      <c r="I928" s="194"/>
      <c r="J928" s="191"/>
      <c r="L928" s="194"/>
      <c r="M928" s="191"/>
      <c r="O928" s="194"/>
      <c r="P928" s="191"/>
      <c r="R928" s="194"/>
      <c r="S928" s="191"/>
      <c r="U928" s="194"/>
    </row>
    <row r="929">
      <c r="B929" s="2">
        <f t="shared" si="1"/>
        <v>0</v>
      </c>
      <c r="D929" s="191"/>
      <c r="F929" s="194"/>
      <c r="G929" s="191"/>
      <c r="I929" s="194"/>
      <c r="J929" s="191"/>
      <c r="L929" s="194"/>
      <c r="M929" s="191"/>
      <c r="O929" s="194"/>
      <c r="P929" s="191"/>
      <c r="R929" s="194"/>
      <c r="S929" s="191"/>
      <c r="U929" s="194"/>
    </row>
    <row r="930">
      <c r="B930" s="2">
        <f t="shared" si="1"/>
        <v>0</v>
      </c>
      <c r="D930" s="191"/>
      <c r="F930" s="194"/>
      <c r="G930" s="191"/>
      <c r="I930" s="194"/>
      <c r="J930" s="191"/>
      <c r="L930" s="194"/>
      <c r="M930" s="191"/>
      <c r="O930" s="194"/>
      <c r="P930" s="191"/>
      <c r="R930" s="194"/>
      <c r="S930" s="191"/>
      <c r="U930" s="194"/>
    </row>
    <row r="931">
      <c r="B931" s="2">
        <f t="shared" si="1"/>
        <v>0</v>
      </c>
      <c r="D931" s="191"/>
      <c r="F931" s="194"/>
      <c r="G931" s="191"/>
      <c r="I931" s="194"/>
      <c r="J931" s="191"/>
      <c r="L931" s="194"/>
      <c r="M931" s="191"/>
      <c r="O931" s="194"/>
      <c r="P931" s="191"/>
      <c r="R931" s="194"/>
      <c r="S931" s="191"/>
      <c r="U931" s="194"/>
    </row>
    <row r="932">
      <c r="B932" s="2">
        <f t="shared" si="1"/>
        <v>0</v>
      </c>
      <c r="D932" s="191"/>
      <c r="F932" s="194"/>
      <c r="G932" s="191"/>
      <c r="I932" s="194"/>
      <c r="J932" s="191"/>
      <c r="L932" s="194"/>
      <c r="M932" s="191"/>
      <c r="O932" s="194"/>
      <c r="P932" s="191"/>
      <c r="R932" s="194"/>
      <c r="S932" s="191"/>
      <c r="U932" s="194"/>
    </row>
    <row r="933">
      <c r="B933" s="2">
        <f t="shared" si="1"/>
        <v>0</v>
      </c>
      <c r="D933" s="191"/>
      <c r="F933" s="194"/>
      <c r="G933" s="191"/>
      <c r="I933" s="194"/>
      <c r="J933" s="191"/>
      <c r="L933" s="194"/>
      <c r="M933" s="191"/>
      <c r="O933" s="194"/>
      <c r="P933" s="191"/>
      <c r="R933" s="194"/>
      <c r="S933" s="191"/>
      <c r="U933" s="194"/>
    </row>
    <row r="934">
      <c r="B934" s="2">
        <f t="shared" si="1"/>
        <v>0</v>
      </c>
      <c r="D934" s="191"/>
      <c r="F934" s="194"/>
      <c r="G934" s="191"/>
      <c r="I934" s="194"/>
      <c r="J934" s="191"/>
      <c r="L934" s="194"/>
      <c r="M934" s="191"/>
      <c r="O934" s="194"/>
      <c r="P934" s="191"/>
      <c r="R934" s="194"/>
      <c r="S934" s="191"/>
      <c r="U934" s="194"/>
    </row>
    <row r="935">
      <c r="B935" s="2">
        <f t="shared" si="1"/>
        <v>0</v>
      </c>
      <c r="D935" s="191"/>
      <c r="F935" s="194"/>
      <c r="G935" s="191"/>
      <c r="I935" s="194"/>
      <c r="J935" s="191"/>
      <c r="L935" s="194"/>
      <c r="M935" s="191"/>
      <c r="O935" s="194"/>
      <c r="P935" s="191"/>
      <c r="R935" s="194"/>
      <c r="S935" s="191"/>
      <c r="U935" s="194"/>
    </row>
    <row r="936">
      <c r="B936" s="2">
        <f t="shared" si="1"/>
        <v>0</v>
      </c>
      <c r="D936" s="191"/>
      <c r="F936" s="194"/>
      <c r="G936" s="191"/>
      <c r="I936" s="194"/>
      <c r="J936" s="191"/>
      <c r="L936" s="194"/>
      <c r="M936" s="191"/>
      <c r="O936" s="194"/>
      <c r="P936" s="191"/>
      <c r="R936" s="194"/>
      <c r="S936" s="191"/>
      <c r="U936" s="194"/>
    </row>
    <row r="937">
      <c r="B937" s="2">
        <f t="shared" si="1"/>
        <v>0</v>
      </c>
      <c r="D937" s="191"/>
      <c r="F937" s="194"/>
      <c r="G937" s="191"/>
      <c r="I937" s="194"/>
      <c r="J937" s="191"/>
      <c r="L937" s="194"/>
      <c r="M937" s="191"/>
      <c r="O937" s="194"/>
      <c r="P937" s="191"/>
      <c r="R937" s="194"/>
      <c r="S937" s="191"/>
      <c r="U937" s="194"/>
    </row>
    <row r="938">
      <c r="B938" s="2">
        <f t="shared" si="1"/>
        <v>0</v>
      </c>
      <c r="D938" s="191"/>
      <c r="F938" s="194"/>
      <c r="G938" s="191"/>
      <c r="I938" s="194"/>
      <c r="J938" s="191"/>
      <c r="L938" s="194"/>
      <c r="M938" s="191"/>
      <c r="O938" s="194"/>
      <c r="P938" s="191"/>
      <c r="R938" s="194"/>
      <c r="S938" s="191"/>
      <c r="U938" s="194"/>
    </row>
    <row r="939">
      <c r="B939" s="2">
        <f t="shared" si="1"/>
        <v>0</v>
      </c>
      <c r="D939" s="191"/>
      <c r="F939" s="194"/>
      <c r="G939" s="191"/>
      <c r="I939" s="194"/>
      <c r="J939" s="191"/>
      <c r="L939" s="194"/>
      <c r="M939" s="191"/>
      <c r="O939" s="194"/>
      <c r="P939" s="191"/>
      <c r="R939" s="194"/>
      <c r="S939" s="191"/>
      <c r="U939" s="194"/>
    </row>
    <row r="940">
      <c r="B940" s="2">
        <f t="shared" si="1"/>
        <v>0</v>
      </c>
      <c r="D940" s="191"/>
      <c r="F940" s="194"/>
      <c r="G940" s="191"/>
      <c r="I940" s="194"/>
      <c r="J940" s="191"/>
      <c r="L940" s="194"/>
      <c r="M940" s="191"/>
      <c r="O940" s="194"/>
      <c r="P940" s="191"/>
      <c r="R940" s="194"/>
      <c r="S940" s="191"/>
      <c r="U940" s="194"/>
    </row>
    <row r="941">
      <c r="B941" s="2">
        <f t="shared" si="1"/>
        <v>0</v>
      </c>
      <c r="D941" s="191"/>
      <c r="F941" s="194"/>
      <c r="G941" s="191"/>
      <c r="I941" s="194"/>
      <c r="J941" s="191"/>
      <c r="L941" s="194"/>
      <c r="M941" s="191"/>
      <c r="O941" s="194"/>
      <c r="P941" s="191"/>
      <c r="R941" s="194"/>
      <c r="S941" s="191"/>
      <c r="U941" s="194"/>
    </row>
    <row r="942">
      <c r="B942" s="2">
        <f t="shared" si="1"/>
        <v>0</v>
      </c>
      <c r="D942" s="191"/>
      <c r="F942" s="194"/>
      <c r="G942" s="191"/>
      <c r="I942" s="194"/>
      <c r="J942" s="191"/>
      <c r="L942" s="194"/>
      <c r="M942" s="191"/>
      <c r="O942" s="194"/>
      <c r="P942" s="191"/>
      <c r="R942" s="194"/>
      <c r="S942" s="191"/>
      <c r="U942" s="194"/>
    </row>
    <row r="943">
      <c r="B943" s="2">
        <f t="shared" si="1"/>
        <v>0</v>
      </c>
      <c r="D943" s="191"/>
      <c r="F943" s="194"/>
      <c r="G943" s="191"/>
      <c r="I943" s="194"/>
      <c r="J943" s="191"/>
      <c r="L943" s="194"/>
      <c r="M943" s="191"/>
      <c r="O943" s="194"/>
      <c r="P943" s="191"/>
      <c r="R943" s="194"/>
      <c r="S943" s="191"/>
      <c r="U943" s="194"/>
    </row>
    <row r="944">
      <c r="B944" s="2">
        <f t="shared" si="1"/>
        <v>0</v>
      </c>
      <c r="D944" s="191"/>
      <c r="F944" s="194"/>
      <c r="G944" s="191"/>
      <c r="I944" s="194"/>
      <c r="J944" s="191"/>
      <c r="L944" s="194"/>
      <c r="M944" s="191"/>
      <c r="O944" s="194"/>
      <c r="P944" s="191"/>
      <c r="R944" s="194"/>
      <c r="S944" s="191"/>
      <c r="U944" s="194"/>
    </row>
    <row r="945">
      <c r="B945" s="2">
        <f t="shared" si="1"/>
        <v>0</v>
      </c>
      <c r="D945" s="191"/>
      <c r="F945" s="194"/>
      <c r="G945" s="191"/>
      <c r="I945" s="194"/>
      <c r="J945" s="191"/>
      <c r="L945" s="194"/>
      <c r="M945" s="191"/>
      <c r="O945" s="194"/>
      <c r="P945" s="191"/>
      <c r="R945" s="194"/>
      <c r="S945" s="191"/>
      <c r="U945" s="194"/>
    </row>
    <row r="946">
      <c r="B946" s="2">
        <f t="shared" si="1"/>
        <v>0</v>
      </c>
      <c r="D946" s="191"/>
      <c r="F946" s="194"/>
      <c r="G946" s="191"/>
      <c r="I946" s="194"/>
      <c r="J946" s="191"/>
      <c r="L946" s="194"/>
      <c r="M946" s="191"/>
      <c r="O946" s="194"/>
      <c r="P946" s="191"/>
      <c r="R946" s="194"/>
      <c r="S946" s="191"/>
      <c r="U946" s="194"/>
    </row>
    <row r="947">
      <c r="B947" s="2">
        <f t="shared" si="1"/>
        <v>0</v>
      </c>
      <c r="D947" s="191"/>
      <c r="F947" s="194"/>
      <c r="G947" s="191"/>
      <c r="I947" s="194"/>
      <c r="J947" s="191"/>
      <c r="L947" s="194"/>
      <c r="M947" s="191"/>
      <c r="O947" s="194"/>
      <c r="P947" s="191"/>
      <c r="R947" s="194"/>
      <c r="S947" s="191"/>
      <c r="U947" s="194"/>
    </row>
    <row r="948">
      <c r="B948" s="2">
        <f t="shared" si="1"/>
        <v>0</v>
      </c>
      <c r="D948" s="191"/>
      <c r="F948" s="194"/>
      <c r="G948" s="191"/>
      <c r="I948" s="194"/>
      <c r="J948" s="191"/>
      <c r="L948" s="194"/>
      <c r="M948" s="191"/>
      <c r="O948" s="194"/>
      <c r="P948" s="191"/>
      <c r="R948" s="194"/>
      <c r="S948" s="191"/>
      <c r="U948" s="194"/>
    </row>
    <row r="949">
      <c r="B949" s="2">
        <f t="shared" si="1"/>
        <v>0</v>
      </c>
      <c r="D949" s="191"/>
      <c r="F949" s="194"/>
      <c r="G949" s="191"/>
      <c r="I949" s="194"/>
      <c r="J949" s="191"/>
      <c r="L949" s="194"/>
      <c r="M949" s="191"/>
      <c r="O949" s="194"/>
      <c r="P949" s="191"/>
      <c r="R949" s="194"/>
      <c r="S949" s="191"/>
      <c r="U949" s="194"/>
    </row>
    <row r="950">
      <c r="B950" s="2">
        <f t="shared" si="1"/>
        <v>0</v>
      </c>
      <c r="D950" s="191"/>
      <c r="F950" s="194"/>
      <c r="G950" s="191"/>
      <c r="I950" s="194"/>
      <c r="J950" s="191"/>
      <c r="L950" s="194"/>
      <c r="M950" s="191"/>
      <c r="O950" s="194"/>
      <c r="P950" s="191"/>
      <c r="R950" s="194"/>
      <c r="S950" s="191"/>
      <c r="U950" s="194"/>
    </row>
    <row r="951">
      <c r="B951" s="2">
        <f t="shared" si="1"/>
        <v>0</v>
      </c>
      <c r="D951" s="191"/>
      <c r="F951" s="194"/>
      <c r="G951" s="191"/>
      <c r="I951" s="194"/>
      <c r="J951" s="191"/>
      <c r="L951" s="194"/>
      <c r="M951" s="191"/>
      <c r="O951" s="194"/>
      <c r="P951" s="191"/>
      <c r="R951" s="194"/>
      <c r="S951" s="191"/>
      <c r="U951" s="194"/>
    </row>
    <row r="952">
      <c r="B952" s="2">
        <f t="shared" si="1"/>
        <v>0</v>
      </c>
      <c r="D952" s="191"/>
      <c r="F952" s="194"/>
      <c r="G952" s="191"/>
      <c r="I952" s="194"/>
      <c r="J952" s="191"/>
      <c r="L952" s="194"/>
      <c r="M952" s="191"/>
      <c r="O952" s="194"/>
      <c r="P952" s="191"/>
      <c r="R952" s="194"/>
      <c r="S952" s="191"/>
      <c r="U952" s="194"/>
    </row>
    <row r="953">
      <c r="B953" s="2">
        <f t="shared" si="1"/>
        <v>0</v>
      </c>
      <c r="D953" s="191"/>
      <c r="F953" s="194"/>
      <c r="G953" s="191"/>
      <c r="I953" s="194"/>
      <c r="J953" s="191"/>
      <c r="L953" s="194"/>
      <c r="M953" s="191"/>
      <c r="O953" s="194"/>
      <c r="P953" s="191"/>
      <c r="R953" s="194"/>
      <c r="S953" s="191"/>
      <c r="U953" s="194"/>
    </row>
    <row r="954">
      <c r="B954" s="2">
        <f t="shared" si="1"/>
        <v>0</v>
      </c>
      <c r="D954" s="191"/>
      <c r="F954" s="194"/>
      <c r="G954" s="191"/>
      <c r="I954" s="194"/>
      <c r="J954" s="191"/>
      <c r="L954" s="194"/>
      <c r="M954" s="191"/>
      <c r="O954" s="194"/>
      <c r="P954" s="191"/>
      <c r="R954" s="194"/>
      <c r="S954" s="191"/>
      <c r="U954" s="194"/>
    </row>
    <row r="955">
      <c r="B955" s="2">
        <f t="shared" si="1"/>
        <v>0</v>
      </c>
      <c r="D955" s="191"/>
      <c r="F955" s="194"/>
      <c r="G955" s="191"/>
      <c r="I955" s="194"/>
      <c r="J955" s="191"/>
      <c r="L955" s="194"/>
      <c r="M955" s="191"/>
      <c r="O955" s="194"/>
      <c r="P955" s="191"/>
      <c r="R955" s="194"/>
      <c r="S955" s="191"/>
      <c r="U955" s="194"/>
    </row>
    <row r="956">
      <c r="B956" s="2">
        <f t="shared" si="1"/>
        <v>0</v>
      </c>
      <c r="D956" s="191"/>
      <c r="F956" s="194"/>
      <c r="G956" s="191"/>
      <c r="I956" s="194"/>
      <c r="J956" s="191"/>
      <c r="L956" s="194"/>
      <c r="M956" s="191"/>
      <c r="O956" s="194"/>
      <c r="P956" s="191"/>
      <c r="R956" s="194"/>
      <c r="S956" s="191"/>
      <c r="U956" s="194"/>
    </row>
    <row r="957">
      <c r="B957" s="2">
        <f t="shared" si="1"/>
        <v>0</v>
      </c>
      <c r="D957" s="191"/>
      <c r="F957" s="194"/>
      <c r="G957" s="191"/>
      <c r="I957" s="194"/>
      <c r="J957" s="191"/>
      <c r="L957" s="194"/>
      <c r="M957" s="191"/>
      <c r="O957" s="194"/>
      <c r="P957" s="191"/>
      <c r="R957" s="194"/>
      <c r="S957" s="191"/>
      <c r="U957" s="194"/>
    </row>
    <row r="958">
      <c r="B958" s="2">
        <f t="shared" si="1"/>
        <v>0</v>
      </c>
      <c r="D958" s="191"/>
      <c r="F958" s="194"/>
      <c r="G958" s="191"/>
      <c r="I958" s="194"/>
      <c r="J958" s="191"/>
      <c r="L958" s="194"/>
      <c r="M958" s="191"/>
      <c r="O958" s="194"/>
      <c r="P958" s="191"/>
      <c r="R958" s="194"/>
      <c r="S958" s="191"/>
      <c r="U958" s="194"/>
    </row>
    <row r="959">
      <c r="B959" s="2">
        <f t="shared" si="1"/>
        <v>0</v>
      </c>
      <c r="D959" s="191"/>
      <c r="F959" s="194"/>
      <c r="G959" s="191"/>
      <c r="I959" s="194"/>
      <c r="J959" s="191"/>
      <c r="L959" s="194"/>
      <c r="M959" s="191"/>
      <c r="O959" s="194"/>
      <c r="P959" s="191"/>
      <c r="R959" s="194"/>
      <c r="S959" s="191"/>
      <c r="U959" s="194"/>
    </row>
    <row r="960">
      <c r="B960" s="2">
        <f t="shared" si="1"/>
        <v>0</v>
      </c>
      <c r="D960" s="191"/>
      <c r="F960" s="194"/>
      <c r="G960" s="191"/>
      <c r="I960" s="194"/>
      <c r="J960" s="191"/>
      <c r="L960" s="194"/>
      <c r="M960" s="191"/>
      <c r="O960" s="194"/>
      <c r="P960" s="191"/>
      <c r="R960" s="194"/>
      <c r="S960" s="191"/>
      <c r="U960" s="194"/>
    </row>
    <row r="961">
      <c r="B961" s="2">
        <f t="shared" si="1"/>
        <v>0</v>
      </c>
      <c r="D961" s="191"/>
      <c r="F961" s="194"/>
      <c r="G961" s="191"/>
      <c r="I961" s="194"/>
      <c r="J961" s="191"/>
      <c r="L961" s="194"/>
      <c r="M961" s="191"/>
      <c r="O961" s="194"/>
      <c r="P961" s="191"/>
      <c r="R961" s="194"/>
      <c r="S961" s="191"/>
      <c r="U961" s="194"/>
    </row>
    <row r="962">
      <c r="B962" s="2">
        <f t="shared" si="1"/>
        <v>0</v>
      </c>
      <c r="D962" s="191"/>
      <c r="F962" s="194"/>
      <c r="G962" s="191"/>
      <c r="I962" s="194"/>
      <c r="J962" s="191"/>
      <c r="L962" s="194"/>
      <c r="M962" s="191"/>
      <c r="O962" s="194"/>
      <c r="P962" s="191"/>
      <c r="R962" s="194"/>
      <c r="S962" s="191"/>
      <c r="U962" s="194"/>
    </row>
    <row r="963">
      <c r="B963" s="2">
        <f t="shared" si="1"/>
        <v>0</v>
      </c>
      <c r="D963" s="191"/>
      <c r="F963" s="194"/>
      <c r="G963" s="191"/>
      <c r="I963" s="194"/>
      <c r="J963" s="191"/>
      <c r="L963" s="194"/>
      <c r="M963" s="191"/>
      <c r="O963" s="194"/>
      <c r="P963" s="191"/>
      <c r="R963" s="194"/>
      <c r="S963" s="191"/>
      <c r="U963" s="194"/>
    </row>
    <row r="964">
      <c r="B964" s="2">
        <f t="shared" si="1"/>
        <v>0</v>
      </c>
      <c r="D964" s="191"/>
      <c r="F964" s="194"/>
      <c r="G964" s="191"/>
      <c r="I964" s="194"/>
      <c r="J964" s="191"/>
      <c r="L964" s="194"/>
      <c r="M964" s="191"/>
      <c r="O964" s="194"/>
      <c r="P964" s="191"/>
      <c r="R964" s="194"/>
      <c r="S964" s="191"/>
      <c r="U964" s="194"/>
    </row>
    <row r="965">
      <c r="B965" s="2">
        <f t="shared" si="1"/>
        <v>0</v>
      </c>
      <c r="D965" s="191"/>
      <c r="F965" s="194"/>
      <c r="G965" s="191"/>
      <c r="I965" s="194"/>
      <c r="J965" s="191"/>
      <c r="L965" s="194"/>
      <c r="M965" s="191"/>
      <c r="O965" s="194"/>
      <c r="P965" s="191"/>
      <c r="R965" s="194"/>
      <c r="S965" s="191"/>
      <c r="U965" s="194"/>
    </row>
    <row r="966">
      <c r="B966" s="2">
        <f t="shared" si="1"/>
        <v>0</v>
      </c>
      <c r="D966" s="191"/>
      <c r="F966" s="194"/>
      <c r="G966" s="191"/>
      <c r="I966" s="194"/>
      <c r="J966" s="191"/>
      <c r="L966" s="194"/>
      <c r="M966" s="191"/>
      <c r="O966" s="194"/>
      <c r="P966" s="191"/>
      <c r="R966" s="194"/>
      <c r="S966" s="191"/>
      <c r="U966" s="194"/>
    </row>
    <row r="967">
      <c r="B967" s="2">
        <f t="shared" si="1"/>
        <v>0</v>
      </c>
      <c r="D967" s="191"/>
      <c r="F967" s="194"/>
      <c r="G967" s="191"/>
      <c r="I967" s="194"/>
      <c r="J967" s="191"/>
      <c r="L967" s="194"/>
      <c r="M967" s="191"/>
      <c r="O967" s="194"/>
      <c r="P967" s="191"/>
      <c r="R967" s="194"/>
      <c r="S967" s="191"/>
      <c r="U967" s="194"/>
    </row>
    <row r="968">
      <c r="B968" s="2">
        <f t="shared" si="1"/>
        <v>0</v>
      </c>
      <c r="D968" s="191"/>
      <c r="F968" s="194"/>
      <c r="G968" s="191"/>
      <c r="I968" s="194"/>
      <c r="J968" s="191"/>
      <c r="L968" s="194"/>
      <c r="M968" s="191"/>
      <c r="O968" s="194"/>
      <c r="P968" s="191"/>
      <c r="R968" s="194"/>
      <c r="S968" s="191"/>
      <c r="U968" s="194"/>
    </row>
    <row r="969">
      <c r="B969" s="2">
        <f t="shared" si="1"/>
        <v>0</v>
      </c>
      <c r="D969" s="191"/>
      <c r="F969" s="194"/>
      <c r="G969" s="191"/>
      <c r="I969" s="194"/>
      <c r="J969" s="191"/>
      <c r="L969" s="194"/>
      <c r="M969" s="191"/>
      <c r="O969" s="194"/>
      <c r="P969" s="191"/>
      <c r="R969" s="194"/>
      <c r="S969" s="191"/>
      <c r="U969" s="194"/>
    </row>
    <row r="970">
      <c r="B970" s="2">
        <f t="shared" si="1"/>
        <v>0</v>
      </c>
      <c r="D970" s="191"/>
      <c r="F970" s="194"/>
      <c r="G970" s="191"/>
      <c r="I970" s="194"/>
      <c r="J970" s="191"/>
      <c r="L970" s="194"/>
      <c r="M970" s="191"/>
      <c r="O970" s="194"/>
      <c r="P970" s="191"/>
      <c r="R970" s="194"/>
      <c r="S970" s="191"/>
      <c r="U970" s="194"/>
    </row>
    <row r="971">
      <c r="B971" s="2">
        <f t="shared" si="1"/>
        <v>0</v>
      </c>
      <c r="D971" s="191"/>
      <c r="F971" s="194"/>
      <c r="G971" s="191"/>
      <c r="I971" s="194"/>
      <c r="J971" s="191"/>
      <c r="L971" s="194"/>
      <c r="M971" s="191"/>
      <c r="O971" s="194"/>
      <c r="P971" s="191"/>
      <c r="R971" s="194"/>
      <c r="S971" s="191"/>
      <c r="U971" s="194"/>
    </row>
    <row r="972">
      <c r="B972" s="2">
        <f t="shared" si="1"/>
        <v>0</v>
      </c>
      <c r="D972" s="191"/>
      <c r="F972" s="194"/>
      <c r="G972" s="191"/>
      <c r="I972" s="194"/>
      <c r="J972" s="191"/>
      <c r="L972" s="194"/>
      <c r="M972" s="191"/>
      <c r="O972" s="194"/>
      <c r="P972" s="191"/>
      <c r="R972" s="194"/>
      <c r="S972" s="191"/>
      <c r="U972" s="194"/>
    </row>
    <row r="973">
      <c r="B973" s="2">
        <f t="shared" si="1"/>
        <v>0</v>
      </c>
      <c r="D973" s="191"/>
      <c r="F973" s="194"/>
      <c r="G973" s="191"/>
      <c r="I973" s="194"/>
      <c r="J973" s="191"/>
      <c r="L973" s="194"/>
      <c r="M973" s="191"/>
      <c r="O973" s="194"/>
      <c r="P973" s="191"/>
      <c r="R973" s="194"/>
      <c r="S973" s="191"/>
      <c r="U973" s="194"/>
    </row>
    <row r="974">
      <c r="B974" s="2">
        <f t="shared" si="1"/>
        <v>0</v>
      </c>
      <c r="D974" s="191"/>
      <c r="F974" s="194"/>
      <c r="G974" s="191"/>
      <c r="I974" s="194"/>
      <c r="J974" s="191"/>
      <c r="L974" s="194"/>
      <c r="M974" s="191"/>
      <c r="O974" s="194"/>
      <c r="P974" s="191"/>
      <c r="R974" s="194"/>
      <c r="S974" s="191"/>
      <c r="U974" s="194"/>
    </row>
    <row r="975">
      <c r="B975" s="2">
        <f t="shared" si="1"/>
        <v>0</v>
      </c>
      <c r="D975" s="191"/>
      <c r="F975" s="194"/>
      <c r="G975" s="191"/>
      <c r="I975" s="194"/>
      <c r="J975" s="191"/>
      <c r="L975" s="194"/>
      <c r="M975" s="191"/>
      <c r="O975" s="194"/>
      <c r="P975" s="191"/>
      <c r="R975" s="194"/>
      <c r="S975" s="191"/>
      <c r="U975" s="194"/>
    </row>
    <row r="976">
      <c r="B976" s="2">
        <f t="shared" si="1"/>
        <v>0</v>
      </c>
      <c r="D976" s="191"/>
      <c r="F976" s="194"/>
      <c r="G976" s="191"/>
      <c r="I976" s="194"/>
      <c r="J976" s="191"/>
      <c r="L976" s="194"/>
      <c r="M976" s="191"/>
      <c r="O976" s="194"/>
      <c r="P976" s="191"/>
      <c r="R976" s="194"/>
      <c r="S976" s="191"/>
      <c r="U976" s="194"/>
    </row>
    <row r="977">
      <c r="B977" s="2">
        <f t="shared" si="1"/>
        <v>0</v>
      </c>
      <c r="D977" s="191"/>
      <c r="F977" s="194"/>
      <c r="G977" s="191"/>
      <c r="I977" s="194"/>
      <c r="J977" s="191"/>
      <c r="L977" s="194"/>
      <c r="M977" s="191"/>
      <c r="O977" s="194"/>
      <c r="P977" s="191"/>
      <c r="R977" s="194"/>
      <c r="S977" s="191"/>
      <c r="U977" s="194"/>
    </row>
    <row r="978">
      <c r="B978" s="2">
        <f t="shared" si="1"/>
        <v>0</v>
      </c>
      <c r="D978" s="191"/>
      <c r="F978" s="194"/>
      <c r="G978" s="191"/>
      <c r="I978" s="194"/>
      <c r="J978" s="191"/>
      <c r="L978" s="194"/>
      <c r="M978" s="191"/>
      <c r="O978" s="194"/>
      <c r="P978" s="191"/>
      <c r="R978" s="194"/>
      <c r="S978" s="191"/>
      <c r="U978" s="194"/>
    </row>
    <row r="979">
      <c r="B979" s="2">
        <f t="shared" si="1"/>
        <v>0</v>
      </c>
      <c r="D979" s="191"/>
      <c r="F979" s="194"/>
      <c r="G979" s="191"/>
      <c r="I979" s="194"/>
      <c r="J979" s="191"/>
      <c r="L979" s="194"/>
      <c r="M979" s="191"/>
      <c r="O979" s="194"/>
      <c r="P979" s="191"/>
      <c r="R979" s="194"/>
      <c r="S979" s="191"/>
      <c r="U979" s="194"/>
    </row>
    <row r="980">
      <c r="B980" s="2">
        <f t="shared" si="1"/>
        <v>0</v>
      </c>
      <c r="D980" s="191"/>
      <c r="F980" s="194"/>
      <c r="G980" s="191"/>
      <c r="I980" s="194"/>
      <c r="J980" s="191"/>
      <c r="L980" s="194"/>
      <c r="M980" s="191"/>
      <c r="O980" s="194"/>
      <c r="P980" s="191"/>
      <c r="R980" s="194"/>
      <c r="S980" s="191"/>
      <c r="U980" s="194"/>
    </row>
    <row r="981">
      <c r="B981" s="2">
        <f t="shared" si="1"/>
        <v>0</v>
      </c>
      <c r="D981" s="191"/>
      <c r="F981" s="194"/>
      <c r="G981" s="191"/>
      <c r="I981" s="194"/>
      <c r="J981" s="191"/>
      <c r="L981" s="194"/>
      <c r="M981" s="191"/>
      <c r="O981" s="194"/>
      <c r="P981" s="191"/>
      <c r="R981" s="194"/>
      <c r="S981" s="191"/>
      <c r="U981" s="194"/>
    </row>
    <row r="982">
      <c r="B982" s="2">
        <f t="shared" si="1"/>
        <v>0</v>
      </c>
      <c r="D982" s="191"/>
      <c r="F982" s="194"/>
      <c r="G982" s="191"/>
      <c r="I982" s="194"/>
      <c r="J982" s="191"/>
      <c r="L982" s="194"/>
      <c r="M982" s="191"/>
      <c r="O982" s="194"/>
      <c r="P982" s="191"/>
      <c r="R982" s="194"/>
      <c r="S982" s="191"/>
      <c r="U982" s="194"/>
    </row>
    <row r="983">
      <c r="B983" s="2">
        <f t="shared" si="1"/>
        <v>0</v>
      </c>
      <c r="D983" s="191"/>
      <c r="F983" s="194"/>
      <c r="G983" s="191"/>
      <c r="I983" s="194"/>
      <c r="J983" s="191"/>
      <c r="L983" s="194"/>
      <c r="M983" s="191"/>
      <c r="O983" s="194"/>
      <c r="P983" s="191"/>
      <c r="R983" s="194"/>
      <c r="S983" s="191"/>
      <c r="U983" s="194"/>
    </row>
    <row r="984">
      <c r="B984" s="2">
        <f t="shared" si="1"/>
        <v>0</v>
      </c>
      <c r="D984" s="191"/>
      <c r="F984" s="194"/>
      <c r="G984" s="191"/>
      <c r="I984" s="194"/>
      <c r="J984" s="191"/>
      <c r="L984" s="194"/>
      <c r="M984" s="191"/>
      <c r="O984" s="194"/>
      <c r="P984" s="191"/>
      <c r="R984" s="194"/>
      <c r="S984" s="191"/>
      <c r="U984" s="194"/>
    </row>
    <row r="985">
      <c r="B985" s="2">
        <f t="shared" si="1"/>
        <v>0</v>
      </c>
      <c r="D985" s="191"/>
      <c r="F985" s="194"/>
      <c r="G985" s="191"/>
      <c r="I985" s="194"/>
      <c r="J985" s="191"/>
      <c r="L985" s="194"/>
      <c r="M985" s="191"/>
      <c r="O985" s="194"/>
      <c r="P985" s="191"/>
      <c r="R985" s="194"/>
      <c r="S985" s="191"/>
      <c r="U985" s="194"/>
    </row>
    <row r="986">
      <c r="B986" s="2">
        <f t="shared" si="1"/>
        <v>0</v>
      </c>
      <c r="D986" s="191"/>
      <c r="F986" s="194"/>
      <c r="G986" s="191"/>
      <c r="I986" s="194"/>
      <c r="J986" s="191"/>
      <c r="L986" s="194"/>
      <c r="M986" s="191"/>
      <c r="O986" s="194"/>
      <c r="P986" s="191"/>
      <c r="R986" s="194"/>
      <c r="S986" s="191"/>
      <c r="U986" s="194"/>
    </row>
    <row r="987">
      <c r="B987" s="2">
        <f t="shared" si="1"/>
        <v>0</v>
      </c>
      <c r="D987" s="191"/>
      <c r="F987" s="194"/>
      <c r="G987" s="191"/>
      <c r="I987" s="194"/>
      <c r="J987" s="191"/>
      <c r="L987" s="194"/>
      <c r="M987" s="191"/>
      <c r="O987" s="194"/>
      <c r="P987" s="191"/>
      <c r="R987" s="194"/>
      <c r="S987" s="191"/>
      <c r="U987" s="194"/>
    </row>
    <row r="988">
      <c r="B988" s="2">
        <f t="shared" si="1"/>
        <v>0</v>
      </c>
      <c r="D988" s="191"/>
      <c r="F988" s="194"/>
      <c r="G988" s="191"/>
      <c r="I988" s="194"/>
      <c r="J988" s="191"/>
      <c r="L988" s="194"/>
      <c r="M988" s="191"/>
      <c r="O988" s="194"/>
      <c r="P988" s="191"/>
      <c r="R988" s="194"/>
      <c r="S988" s="191"/>
      <c r="U988" s="194"/>
    </row>
    <row r="989">
      <c r="B989" s="2">
        <f t="shared" si="1"/>
        <v>0</v>
      </c>
      <c r="D989" s="191"/>
      <c r="F989" s="194"/>
      <c r="G989" s="191"/>
      <c r="I989" s="194"/>
      <c r="J989" s="191"/>
      <c r="L989" s="194"/>
      <c r="M989" s="191"/>
      <c r="O989" s="194"/>
      <c r="P989" s="191"/>
      <c r="R989" s="194"/>
      <c r="S989" s="191"/>
      <c r="U989" s="194"/>
    </row>
    <row r="990">
      <c r="B990" s="2">
        <f t="shared" si="1"/>
        <v>0</v>
      </c>
      <c r="D990" s="191"/>
      <c r="F990" s="194"/>
      <c r="G990" s="191"/>
      <c r="I990" s="194"/>
      <c r="J990" s="191"/>
      <c r="L990" s="194"/>
      <c r="M990" s="191"/>
      <c r="O990" s="194"/>
      <c r="P990" s="191"/>
      <c r="R990" s="194"/>
      <c r="S990" s="191"/>
      <c r="U990" s="194"/>
    </row>
    <row r="991">
      <c r="B991" s="2">
        <f t="shared" si="1"/>
        <v>0</v>
      </c>
      <c r="D991" s="191"/>
      <c r="F991" s="194"/>
      <c r="G991" s="191"/>
      <c r="I991" s="194"/>
      <c r="J991" s="191"/>
      <c r="L991" s="194"/>
      <c r="M991" s="191"/>
      <c r="O991" s="194"/>
      <c r="P991" s="191"/>
      <c r="R991" s="194"/>
      <c r="S991" s="191"/>
      <c r="U991" s="194"/>
    </row>
    <row r="992">
      <c r="B992" s="2">
        <f t="shared" si="1"/>
        <v>0</v>
      </c>
      <c r="D992" s="191"/>
      <c r="F992" s="194"/>
      <c r="G992" s="191"/>
      <c r="I992" s="194"/>
      <c r="J992" s="191"/>
      <c r="L992" s="194"/>
      <c r="M992" s="191"/>
      <c r="O992" s="194"/>
      <c r="P992" s="191"/>
      <c r="R992" s="194"/>
      <c r="S992" s="191"/>
      <c r="U992" s="194"/>
    </row>
    <row r="993">
      <c r="B993" s="2">
        <f t="shared" si="1"/>
        <v>0</v>
      </c>
      <c r="D993" s="191"/>
      <c r="F993" s="194"/>
      <c r="G993" s="191"/>
      <c r="I993" s="194"/>
      <c r="J993" s="191"/>
      <c r="L993" s="194"/>
      <c r="M993" s="191"/>
      <c r="O993" s="194"/>
      <c r="P993" s="191"/>
      <c r="R993" s="194"/>
      <c r="S993" s="191"/>
      <c r="U993" s="194"/>
    </row>
    <row r="994">
      <c r="B994" s="2">
        <f t="shared" si="1"/>
        <v>0</v>
      </c>
      <c r="D994" s="191"/>
      <c r="F994" s="194"/>
      <c r="G994" s="191"/>
      <c r="I994" s="194"/>
      <c r="J994" s="191"/>
      <c r="L994" s="194"/>
      <c r="M994" s="191"/>
      <c r="O994" s="194"/>
      <c r="P994" s="191"/>
      <c r="R994" s="194"/>
      <c r="S994" s="191"/>
      <c r="U994" s="194"/>
    </row>
    <row r="995">
      <c r="B995" s="2">
        <f t="shared" si="1"/>
        <v>0</v>
      </c>
      <c r="D995" s="191"/>
      <c r="F995" s="194"/>
      <c r="G995" s="191"/>
      <c r="I995" s="194"/>
      <c r="J995" s="191"/>
      <c r="L995" s="194"/>
      <c r="M995" s="191"/>
      <c r="O995" s="194"/>
      <c r="P995" s="191"/>
      <c r="R995" s="194"/>
      <c r="S995" s="191"/>
      <c r="U995" s="194"/>
    </row>
    <row r="996">
      <c r="B996" s="2">
        <f t="shared" si="1"/>
        <v>0</v>
      </c>
      <c r="D996" s="191"/>
      <c r="F996" s="194"/>
      <c r="G996" s="191"/>
      <c r="I996" s="194"/>
      <c r="J996" s="191"/>
      <c r="L996" s="194"/>
      <c r="M996" s="191"/>
      <c r="O996" s="194"/>
      <c r="P996" s="191"/>
      <c r="R996" s="194"/>
      <c r="S996" s="191"/>
      <c r="U996" s="194"/>
    </row>
    <row r="997">
      <c r="B997" s="2">
        <f t="shared" si="1"/>
        <v>0</v>
      </c>
      <c r="D997" s="191"/>
      <c r="F997" s="194"/>
      <c r="G997" s="191"/>
      <c r="I997" s="194"/>
      <c r="J997" s="191"/>
      <c r="L997" s="194"/>
      <c r="M997" s="191"/>
      <c r="O997" s="194"/>
      <c r="P997" s="191"/>
      <c r="R997" s="194"/>
      <c r="S997" s="191"/>
      <c r="U997" s="194"/>
    </row>
    <row r="998">
      <c r="B998" s="2">
        <f t="shared" si="1"/>
        <v>0</v>
      </c>
      <c r="D998" s="191"/>
      <c r="F998" s="194"/>
      <c r="G998" s="191"/>
      <c r="I998" s="194"/>
      <c r="J998" s="191"/>
      <c r="L998" s="194"/>
      <c r="M998" s="191"/>
      <c r="O998" s="194"/>
      <c r="P998" s="191"/>
      <c r="R998" s="194"/>
      <c r="S998" s="191"/>
      <c r="U998" s="194"/>
    </row>
    <row r="999">
      <c r="B999" s="2">
        <f t="shared" si="1"/>
        <v>0</v>
      </c>
      <c r="D999" s="191"/>
      <c r="F999" s="194"/>
      <c r="G999" s="191"/>
      <c r="I999" s="194"/>
      <c r="J999" s="191"/>
      <c r="L999" s="194"/>
      <c r="M999" s="191"/>
      <c r="O999" s="194"/>
      <c r="P999" s="191"/>
      <c r="R999" s="194"/>
      <c r="S999" s="191"/>
      <c r="U999" s="194"/>
    </row>
    <row r="1000">
      <c r="B1000" s="2">
        <f t="shared" si="1"/>
        <v>0</v>
      </c>
      <c r="D1000" s="191"/>
      <c r="F1000" s="194"/>
      <c r="G1000" s="191"/>
      <c r="I1000" s="194"/>
      <c r="J1000" s="191"/>
      <c r="L1000" s="194"/>
      <c r="M1000" s="191"/>
      <c r="O1000" s="194"/>
      <c r="P1000" s="191"/>
      <c r="R1000" s="194"/>
      <c r="S1000" s="191"/>
      <c r="U1000" s="194"/>
    </row>
    <row r="1001">
      <c r="B1001" s="2">
        <f t="shared" si="1"/>
        <v>0</v>
      </c>
      <c r="D1001" s="191"/>
      <c r="F1001" s="194"/>
      <c r="G1001" s="191"/>
      <c r="I1001" s="194"/>
      <c r="J1001" s="191"/>
      <c r="L1001" s="194"/>
      <c r="M1001" s="191"/>
      <c r="O1001" s="194"/>
      <c r="P1001" s="191"/>
      <c r="R1001" s="194"/>
      <c r="S1001" s="191"/>
      <c r="U1001" s="194"/>
    </row>
    <row r="1002">
      <c r="B1002" s="2">
        <f t="shared" si="1"/>
        <v>0</v>
      </c>
      <c r="D1002" s="191"/>
      <c r="F1002" s="194"/>
      <c r="G1002" s="191"/>
      <c r="I1002" s="194"/>
      <c r="J1002" s="191"/>
      <c r="L1002" s="194"/>
      <c r="M1002" s="191"/>
      <c r="O1002" s="194"/>
      <c r="P1002" s="191"/>
      <c r="R1002" s="194"/>
      <c r="S1002" s="191"/>
      <c r="U1002" s="194"/>
    </row>
    <row r="1003">
      <c r="B1003" s="2">
        <f t="shared" si="1"/>
        <v>0</v>
      </c>
      <c r="D1003" s="191"/>
      <c r="F1003" s="194"/>
      <c r="G1003" s="191"/>
      <c r="I1003" s="194"/>
      <c r="J1003" s="191"/>
      <c r="L1003" s="194"/>
      <c r="M1003" s="191"/>
      <c r="O1003" s="194"/>
      <c r="P1003" s="191"/>
      <c r="R1003" s="194"/>
      <c r="S1003" s="191"/>
      <c r="U1003" s="194"/>
    </row>
    <row r="1004">
      <c r="B1004" s="2">
        <f t="shared" si="1"/>
        <v>0</v>
      </c>
      <c r="D1004" s="191"/>
      <c r="F1004" s="194"/>
      <c r="G1004" s="191"/>
      <c r="I1004" s="194"/>
      <c r="J1004" s="191"/>
      <c r="L1004" s="194"/>
      <c r="M1004" s="191"/>
      <c r="O1004" s="194"/>
      <c r="P1004" s="191"/>
      <c r="R1004" s="194"/>
      <c r="S1004" s="191"/>
      <c r="U1004" s="194"/>
    </row>
    <row r="1005">
      <c r="B1005" s="2">
        <f t="shared" si="1"/>
        <v>0</v>
      </c>
      <c r="D1005" s="191"/>
      <c r="F1005" s="194"/>
      <c r="G1005" s="191"/>
      <c r="I1005" s="194"/>
      <c r="J1005" s="191"/>
      <c r="L1005" s="194"/>
      <c r="M1005" s="191"/>
      <c r="O1005" s="194"/>
      <c r="P1005" s="191"/>
      <c r="R1005" s="194"/>
      <c r="S1005" s="191"/>
      <c r="U1005" s="194"/>
    </row>
    <row r="1006">
      <c r="B1006" s="2">
        <f t="shared" si="1"/>
        <v>0</v>
      </c>
      <c r="D1006" s="191"/>
      <c r="F1006" s="194"/>
      <c r="G1006" s="191"/>
      <c r="I1006" s="194"/>
      <c r="J1006" s="191"/>
      <c r="L1006" s="194"/>
      <c r="M1006" s="191"/>
      <c r="O1006" s="194"/>
      <c r="P1006" s="191"/>
      <c r="R1006" s="194"/>
      <c r="S1006" s="191"/>
      <c r="U1006" s="194"/>
    </row>
    <row r="1007">
      <c r="B1007" s="2">
        <f t="shared" si="1"/>
        <v>0</v>
      </c>
      <c r="D1007" s="191"/>
      <c r="F1007" s="194"/>
      <c r="G1007" s="191"/>
      <c r="I1007" s="194"/>
      <c r="J1007" s="191"/>
      <c r="L1007" s="194"/>
      <c r="M1007" s="191"/>
      <c r="O1007" s="194"/>
      <c r="P1007" s="191"/>
      <c r="R1007" s="194"/>
      <c r="S1007" s="191"/>
      <c r="U1007" s="194"/>
    </row>
    <row r="1008">
      <c r="B1008" s="2">
        <f t="shared" si="1"/>
        <v>0</v>
      </c>
      <c r="D1008" s="191"/>
      <c r="F1008" s="194"/>
      <c r="G1008" s="191"/>
      <c r="I1008" s="194"/>
      <c r="J1008" s="191"/>
      <c r="L1008" s="194"/>
      <c r="M1008" s="191"/>
      <c r="O1008" s="194"/>
      <c r="P1008" s="191"/>
      <c r="R1008" s="194"/>
      <c r="S1008" s="191"/>
      <c r="U1008" s="194"/>
    </row>
    <row r="1009">
      <c r="B1009" s="2">
        <f t="shared" si="1"/>
        <v>0</v>
      </c>
      <c r="D1009" s="191"/>
      <c r="F1009" s="194"/>
      <c r="G1009" s="191"/>
      <c r="I1009" s="194"/>
      <c r="J1009" s="191"/>
      <c r="L1009" s="194"/>
      <c r="M1009" s="191"/>
      <c r="O1009" s="194"/>
      <c r="P1009" s="191"/>
      <c r="R1009" s="194"/>
      <c r="S1009" s="191"/>
      <c r="U1009" s="194"/>
    </row>
    <row r="1010">
      <c r="B1010" s="2">
        <f t="shared" si="1"/>
        <v>0</v>
      </c>
      <c r="D1010" s="191"/>
      <c r="F1010" s="194"/>
      <c r="G1010" s="191"/>
      <c r="I1010" s="194"/>
      <c r="J1010" s="191"/>
      <c r="L1010" s="194"/>
      <c r="M1010" s="191"/>
      <c r="O1010" s="194"/>
      <c r="P1010" s="191"/>
      <c r="R1010" s="194"/>
      <c r="S1010" s="191"/>
      <c r="U1010" s="194"/>
    </row>
    <row r="1011">
      <c r="B1011" s="2">
        <f t="shared" si="1"/>
        <v>0</v>
      </c>
      <c r="D1011" s="191"/>
      <c r="F1011" s="194"/>
      <c r="G1011" s="191"/>
      <c r="I1011" s="194"/>
      <c r="J1011" s="191"/>
      <c r="L1011" s="194"/>
      <c r="M1011" s="191"/>
      <c r="O1011" s="194"/>
      <c r="P1011" s="191"/>
      <c r="R1011" s="194"/>
      <c r="S1011" s="191"/>
      <c r="U1011" s="194"/>
    </row>
    <row r="1012">
      <c r="B1012" s="2">
        <f t="shared" si="1"/>
        <v>0</v>
      </c>
      <c r="D1012" s="196"/>
      <c r="E1012" s="260"/>
      <c r="F1012" s="197"/>
      <c r="G1012" s="196"/>
      <c r="H1012" s="260"/>
      <c r="I1012" s="197"/>
      <c r="J1012" s="196"/>
      <c r="K1012" s="260"/>
      <c r="L1012" s="197"/>
      <c r="M1012" s="196"/>
      <c r="N1012" s="260"/>
      <c r="O1012" s="197"/>
      <c r="P1012" s="196"/>
      <c r="Q1012" s="260"/>
      <c r="R1012" s="197"/>
      <c r="S1012" s="196"/>
      <c r="T1012" s="260"/>
      <c r="U1012" s="19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9.0" topLeftCell="G20" activePane="bottomRight" state="frozen"/>
      <selection activeCell="G1" sqref="G1" pane="topRight"/>
      <selection activeCell="A20" sqref="A20" pane="bottomLeft"/>
      <selection activeCell="G20" sqref="G20" pane="bottomRight"/>
    </sheetView>
  </sheetViews>
  <sheetFormatPr customHeight="1" defaultColWidth="12.63" defaultRowHeight="15.75"/>
  <cols>
    <col customWidth="1" min="1" max="1" width="9.88"/>
    <col customWidth="1" min="2" max="3" width="10.38"/>
    <col customWidth="1" min="4" max="4" width="8.88"/>
    <col customWidth="1" min="5" max="5" width="10.75"/>
    <col customWidth="1" min="6" max="6" width="10.38"/>
    <col customWidth="1" min="7" max="7" width="10.5"/>
    <col customWidth="1" min="8" max="20" width="11.13"/>
  </cols>
  <sheetData>
    <row r="1">
      <c r="A1" s="202"/>
      <c r="B1" s="202"/>
      <c r="C1" s="202"/>
      <c r="D1" s="202">
        <f>sum(G1:I1)</f>
        <v>0</v>
      </c>
      <c r="E1" s="204"/>
      <c r="F1" s="204" t="s">
        <v>64</v>
      </c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</row>
    <row r="2">
      <c r="A2" s="202"/>
      <c r="B2" s="202">
        <v>4173.59</v>
      </c>
      <c r="C2" s="202"/>
      <c r="D2" s="202"/>
      <c r="E2" s="204"/>
      <c r="F2" s="204" t="s">
        <v>223</v>
      </c>
      <c r="G2" s="204" t="s">
        <v>89</v>
      </c>
      <c r="H2" s="204" t="s">
        <v>302</v>
      </c>
      <c r="I2" s="262" t="s">
        <v>303</v>
      </c>
      <c r="J2" s="204" t="s">
        <v>304</v>
      </c>
      <c r="K2" s="204" t="s">
        <v>287</v>
      </c>
      <c r="L2" s="204" t="s">
        <v>305</v>
      </c>
      <c r="M2" s="204" t="s">
        <v>306</v>
      </c>
      <c r="N2" s="204" t="s">
        <v>307</v>
      </c>
      <c r="O2" s="204" t="s">
        <v>308</v>
      </c>
      <c r="P2" s="204" t="s">
        <v>309</v>
      </c>
      <c r="Q2" s="204" t="s">
        <v>310</v>
      </c>
      <c r="R2" s="204" t="s">
        <v>311</v>
      </c>
      <c r="S2" s="204" t="s">
        <v>312</v>
      </c>
      <c r="T2" s="262"/>
    </row>
    <row r="3">
      <c r="A3" s="202"/>
      <c r="B3" s="202">
        <v>271.28</v>
      </c>
      <c r="C3" s="202"/>
      <c r="D3" s="202"/>
      <c r="E3" s="204"/>
      <c r="F3" s="204" t="s">
        <v>175</v>
      </c>
      <c r="G3" s="204" t="s">
        <v>89</v>
      </c>
      <c r="H3" s="204" t="s">
        <v>302</v>
      </c>
      <c r="I3" s="262" t="s">
        <v>303</v>
      </c>
      <c r="J3" s="204" t="s">
        <v>313</v>
      </c>
      <c r="K3" s="204" t="s">
        <v>314</v>
      </c>
      <c r="L3" s="204" t="s">
        <v>314</v>
      </c>
      <c r="M3" s="204" t="s">
        <v>314</v>
      </c>
      <c r="N3" s="204" t="s">
        <v>314</v>
      </c>
      <c r="O3" s="204" t="s">
        <v>314</v>
      </c>
      <c r="P3" s="204" t="s">
        <v>314</v>
      </c>
      <c r="Q3" s="204" t="s">
        <v>315</v>
      </c>
      <c r="R3" s="204" t="s">
        <v>315</v>
      </c>
      <c r="S3" s="204" t="s">
        <v>316</v>
      </c>
      <c r="T3" s="202"/>
    </row>
    <row r="4">
      <c r="A4" s="202"/>
      <c r="B4" s="202">
        <v>145822.76</v>
      </c>
      <c r="C4" s="202"/>
      <c r="D4" s="202"/>
      <c r="E4" s="204"/>
      <c r="F4" s="204" t="s">
        <v>176</v>
      </c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</row>
    <row r="5" hidden="1">
      <c r="A5" s="202"/>
      <c r="B5" s="202"/>
      <c r="C5" s="202"/>
      <c r="D5" s="202"/>
      <c r="E5" s="204"/>
      <c r="F5" s="204" t="s">
        <v>177</v>
      </c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</row>
    <row r="6" hidden="1">
      <c r="A6" s="202"/>
      <c r="B6" s="202"/>
      <c r="C6" s="202"/>
      <c r="D6" s="202"/>
      <c r="E6" s="204"/>
      <c r="F6" s="204" t="s">
        <v>178</v>
      </c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</row>
    <row r="7" hidden="1">
      <c r="A7" s="202"/>
      <c r="B7" s="202"/>
      <c r="C7" s="202"/>
      <c r="D7" s="202"/>
      <c r="E7" s="204"/>
      <c r="F7" s="204" t="s">
        <v>179</v>
      </c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</row>
    <row r="8" hidden="1">
      <c r="A8" s="202"/>
      <c r="B8" s="208">
        <v>45383.0</v>
      </c>
      <c r="C8" s="208"/>
      <c r="D8" s="202"/>
      <c r="E8" s="204"/>
      <c r="F8" s="204" t="s">
        <v>245</v>
      </c>
      <c r="G8" s="208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</row>
    <row r="9" hidden="1">
      <c r="A9" s="202"/>
      <c r="B9" s="202"/>
      <c r="C9" s="202"/>
      <c r="D9" s="202"/>
      <c r="E9" s="204"/>
      <c r="F9" s="204" t="s">
        <v>246</v>
      </c>
      <c r="G9" s="208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</row>
    <row r="10" hidden="1">
      <c r="A10" s="202"/>
      <c r="B10" s="202"/>
      <c r="C10" s="202"/>
      <c r="D10" s="202"/>
      <c r="E10" s="204"/>
      <c r="F10" s="204" t="s">
        <v>182</v>
      </c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</row>
    <row r="11" hidden="1">
      <c r="A11" s="202"/>
      <c r="B11" s="202"/>
      <c r="C11" s="202"/>
      <c r="D11" s="202"/>
      <c r="E11" s="204"/>
      <c r="F11" s="204" t="s">
        <v>247</v>
      </c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</row>
    <row r="12">
      <c r="A12" s="202"/>
      <c r="B12" s="202">
        <v>224954.0</v>
      </c>
      <c r="C12" s="202"/>
      <c r="D12" s="202"/>
      <c r="E12" s="204"/>
      <c r="F12" s="204" t="s">
        <v>249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</row>
    <row r="13">
      <c r="A13" s="202"/>
      <c r="B13" s="202"/>
      <c r="C13" s="202"/>
      <c r="D13" s="202"/>
      <c r="E13" s="204"/>
      <c r="F13" s="204" t="s">
        <v>250</v>
      </c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</row>
    <row r="14" hidden="1">
      <c r="A14" s="202"/>
      <c r="B14" s="202"/>
      <c r="C14" s="202"/>
      <c r="D14" s="202"/>
      <c r="E14" s="204"/>
      <c r="F14" s="204" t="s">
        <v>251</v>
      </c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</row>
    <row r="15" hidden="1">
      <c r="A15" s="202"/>
      <c r="B15" s="202"/>
      <c r="C15" s="202"/>
      <c r="D15" s="202"/>
      <c r="E15" s="204"/>
      <c r="F15" s="204" t="s">
        <v>252</v>
      </c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</row>
    <row r="16" hidden="1">
      <c r="A16" s="202"/>
      <c r="B16" s="202"/>
      <c r="C16" s="202"/>
      <c r="D16" s="202"/>
      <c r="E16" s="204"/>
      <c r="F16" s="204" t="s">
        <v>253</v>
      </c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</row>
    <row r="17" hidden="1">
      <c r="A17" s="202"/>
      <c r="B17" s="202"/>
      <c r="C17" s="202"/>
      <c r="D17" s="202"/>
      <c r="E17" s="204"/>
      <c r="F17" s="204" t="s">
        <v>254</v>
      </c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</row>
    <row r="18">
      <c r="A18" s="202"/>
      <c r="D18" s="202"/>
      <c r="E18" s="204">
        <f>sum(E20:E117)</f>
        <v>204467</v>
      </c>
      <c r="F18" s="204" t="s">
        <v>255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</row>
    <row r="19">
      <c r="A19" s="202" t="s">
        <v>256</v>
      </c>
      <c r="B19" s="204" t="s">
        <v>257</v>
      </c>
      <c r="C19" s="204" t="s">
        <v>109</v>
      </c>
      <c r="D19" s="204">
        <f>sumif(F20:F117,"Future",B20:B117)</f>
        <v>193447</v>
      </c>
      <c r="E19" s="202" t="s">
        <v>289</v>
      </c>
      <c r="F19" s="204" t="s">
        <v>174</v>
      </c>
      <c r="G19" s="202" t="s">
        <v>289</v>
      </c>
      <c r="H19" s="202" t="s">
        <v>289</v>
      </c>
      <c r="I19" s="202" t="s">
        <v>289</v>
      </c>
      <c r="J19" s="202" t="s">
        <v>289</v>
      </c>
      <c r="K19" s="202" t="s">
        <v>289</v>
      </c>
      <c r="L19" s="202" t="s">
        <v>289</v>
      </c>
      <c r="M19" s="202" t="s">
        <v>289</v>
      </c>
      <c r="N19" s="202" t="s">
        <v>289</v>
      </c>
      <c r="O19" s="202" t="s">
        <v>289</v>
      </c>
      <c r="P19" s="202"/>
      <c r="Q19" s="202" t="s">
        <v>289</v>
      </c>
      <c r="R19" s="202" t="s">
        <v>289</v>
      </c>
      <c r="S19" s="202" t="s">
        <v>289</v>
      </c>
      <c r="T19" s="202" t="s">
        <v>289</v>
      </c>
    </row>
    <row r="20">
      <c r="A20" s="188">
        <f>ceiling(sum(G20:T117)-sum(G20:T20),1)</f>
        <v>276760</v>
      </c>
      <c r="B20" s="212">
        <f t="shared" ref="B20:B49" si="1">ceiling(sum(G20:T20),1)</f>
        <v>0</v>
      </c>
      <c r="C20" s="212">
        <f t="shared" ref="C20:C49" si="2">sum(E20)</f>
        <v>0</v>
      </c>
      <c r="D20" s="215">
        <v>44805.0</v>
      </c>
      <c r="E20" s="202">
        <f t="shared" ref="E20:E45" si="3">sumif($G$19:T19,E$19,$G20:T20)</f>
        <v>0</v>
      </c>
      <c r="F20" s="202" t="str">
        <f t="shared" ref="F20:F118" si="4">if(D20=DATE(year(today()),month(today()),1),"Current",if(D20&gt;DATE(year(today()),month(today()),1), "Future","Past"))</f>
        <v>Past</v>
      </c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</row>
    <row r="21">
      <c r="A21" s="188">
        <f t="shared" ref="A21:A118" si="5">ceiling(sum(G21:T119)-sum(G21:T21),1)</f>
        <v>279615</v>
      </c>
      <c r="B21" s="212">
        <f t="shared" si="1"/>
        <v>0</v>
      </c>
      <c r="C21" s="212">
        <f t="shared" si="2"/>
        <v>0</v>
      </c>
      <c r="D21" s="215">
        <v>44835.0</v>
      </c>
      <c r="E21" s="202">
        <f t="shared" si="3"/>
        <v>0</v>
      </c>
      <c r="F21" s="202" t="str">
        <f t="shared" si="4"/>
        <v>Past</v>
      </c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</row>
    <row r="22">
      <c r="A22" s="188">
        <f t="shared" si="5"/>
        <v>279615</v>
      </c>
      <c r="B22" s="212">
        <f t="shared" si="1"/>
        <v>0</v>
      </c>
      <c r="C22" s="212">
        <f t="shared" si="2"/>
        <v>0</v>
      </c>
      <c r="D22" s="215">
        <v>44866.0</v>
      </c>
      <c r="E22" s="202">
        <f t="shared" si="3"/>
        <v>0</v>
      </c>
      <c r="F22" s="202" t="str">
        <f t="shared" si="4"/>
        <v>Past</v>
      </c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</row>
    <row r="23">
      <c r="A23" s="188">
        <f t="shared" si="5"/>
        <v>279615</v>
      </c>
      <c r="B23" s="212">
        <f t="shared" si="1"/>
        <v>0</v>
      </c>
      <c r="C23" s="212">
        <f t="shared" si="2"/>
        <v>0</v>
      </c>
      <c r="D23" s="215">
        <v>44896.0</v>
      </c>
      <c r="E23" s="202">
        <f t="shared" si="3"/>
        <v>0</v>
      </c>
      <c r="F23" s="202" t="str">
        <f t="shared" si="4"/>
        <v>Past</v>
      </c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</row>
    <row r="24">
      <c r="A24" s="188">
        <f t="shared" si="5"/>
        <v>279615</v>
      </c>
      <c r="B24" s="212">
        <f t="shared" si="1"/>
        <v>0</v>
      </c>
      <c r="C24" s="212">
        <f t="shared" si="2"/>
        <v>0</v>
      </c>
      <c r="D24" s="215">
        <v>44927.0</v>
      </c>
      <c r="E24" s="202">
        <f t="shared" si="3"/>
        <v>0</v>
      </c>
      <c r="F24" s="202" t="str">
        <f t="shared" si="4"/>
        <v>Past</v>
      </c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</row>
    <row r="25">
      <c r="A25" s="188">
        <f t="shared" si="5"/>
        <v>279615</v>
      </c>
      <c r="B25" s="212">
        <f t="shared" si="1"/>
        <v>0</v>
      </c>
      <c r="C25" s="212">
        <f t="shared" si="2"/>
        <v>0</v>
      </c>
      <c r="D25" s="215">
        <v>44958.0</v>
      </c>
      <c r="E25" s="202">
        <f t="shared" si="3"/>
        <v>0</v>
      </c>
      <c r="F25" s="202" t="str">
        <f t="shared" si="4"/>
        <v>Past</v>
      </c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</row>
    <row r="26">
      <c r="A26" s="188">
        <f t="shared" si="5"/>
        <v>279615</v>
      </c>
      <c r="B26" s="212">
        <f t="shared" si="1"/>
        <v>0</v>
      </c>
      <c r="C26" s="212">
        <f t="shared" si="2"/>
        <v>0</v>
      </c>
      <c r="D26" s="215">
        <v>44986.0</v>
      </c>
      <c r="E26" s="202">
        <f t="shared" si="3"/>
        <v>0</v>
      </c>
      <c r="F26" s="202" t="str">
        <f t="shared" si="4"/>
        <v>Past</v>
      </c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</row>
    <row r="27">
      <c r="A27" s="188">
        <f t="shared" si="5"/>
        <v>279615</v>
      </c>
      <c r="B27" s="212">
        <f t="shared" si="1"/>
        <v>0</v>
      </c>
      <c r="C27" s="212">
        <f t="shared" si="2"/>
        <v>0</v>
      </c>
      <c r="D27" s="215">
        <v>45017.0</v>
      </c>
      <c r="E27" s="202">
        <f t="shared" si="3"/>
        <v>0</v>
      </c>
      <c r="F27" s="202" t="str">
        <f t="shared" si="4"/>
        <v>Past</v>
      </c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</row>
    <row r="28">
      <c r="A28" s="188">
        <f t="shared" si="5"/>
        <v>279615</v>
      </c>
      <c r="B28" s="212">
        <f t="shared" si="1"/>
        <v>0</v>
      </c>
      <c r="C28" s="212">
        <f t="shared" si="2"/>
        <v>0</v>
      </c>
      <c r="D28" s="215">
        <v>45047.0</v>
      </c>
      <c r="E28" s="202">
        <f t="shared" si="3"/>
        <v>0</v>
      </c>
      <c r="F28" s="202" t="str">
        <f t="shared" si="4"/>
        <v>Past</v>
      </c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</row>
    <row r="29">
      <c r="A29" s="188">
        <f t="shared" si="5"/>
        <v>279615</v>
      </c>
      <c r="B29" s="212">
        <f t="shared" si="1"/>
        <v>0</v>
      </c>
      <c r="C29" s="212">
        <f t="shared" si="2"/>
        <v>0</v>
      </c>
      <c r="D29" s="215">
        <v>45078.0</v>
      </c>
      <c r="E29" s="202">
        <f t="shared" si="3"/>
        <v>0</v>
      </c>
      <c r="F29" s="202" t="str">
        <f t="shared" si="4"/>
        <v>Past</v>
      </c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</row>
    <row r="30">
      <c r="A30" s="188">
        <f t="shared" si="5"/>
        <v>279615</v>
      </c>
      <c r="B30" s="212">
        <f t="shared" si="1"/>
        <v>0</v>
      </c>
      <c r="C30" s="212">
        <f t="shared" si="2"/>
        <v>0</v>
      </c>
      <c r="D30" s="215">
        <v>45108.0</v>
      </c>
      <c r="E30" s="202">
        <f t="shared" si="3"/>
        <v>0</v>
      </c>
      <c r="F30" s="202" t="str">
        <f t="shared" si="4"/>
        <v>Past</v>
      </c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</row>
    <row r="31">
      <c r="A31" s="188">
        <f t="shared" si="5"/>
        <v>279615</v>
      </c>
      <c r="B31" s="212">
        <f t="shared" si="1"/>
        <v>0</v>
      </c>
      <c r="C31" s="212">
        <f t="shared" si="2"/>
        <v>0</v>
      </c>
      <c r="D31" s="215">
        <v>45139.0</v>
      </c>
      <c r="E31" s="202">
        <f t="shared" si="3"/>
        <v>0</v>
      </c>
      <c r="F31" s="202" t="str">
        <f t="shared" si="4"/>
        <v>Past</v>
      </c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</row>
    <row r="32">
      <c r="A32" s="188">
        <f t="shared" si="5"/>
        <v>279615</v>
      </c>
      <c r="B32" s="212">
        <f t="shared" si="1"/>
        <v>0</v>
      </c>
      <c r="C32" s="212">
        <f t="shared" si="2"/>
        <v>0</v>
      </c>
      <c r="D32" s="215">
        <v>45170.0</v>
      </c>
      <c r="E32" s="202">
        <f t="shared" si="3"/>
        <v>0</v>
      </c>
      <c r="F32" s="202" t="str">
        <f t="shared" si="4"/>
        <v>Past</v>
      </c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</row>
    <row r="33">
      <c r="A33" s="188">
        <f t="shared" si="5"/>
        <v>279615</v>
      </c>
      <c r="B33" s="212">
        <f t="shared" si="1"/>
        <v>0</v>
      </c>
      <c r="C33" s="212">
        <f t="shared" si="2"/>
        <v>0</v>
      </c>
      <c r="D33" s="215">
        <v>45200.0</v>
      </c>
      <c r="E33" s="202">
        <f t="shared" si="3"/>
        <v>0</v>
      </c>
      <c r="F33" s="202" t="str">
        <f t="shared" si="4"/>
        <v>Past</v>
      </c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</row>
    <row r="34">
      <c r="A34" s="188">
        <f t="shared" si="5"/>
        <v>279615</v>
      </c>
      <c r="B34" s="212">
        <f t="shared" si="1"/>
        <v>0</v>
      </c>
      <c r="C34" s="212">
        <f t="shared" si="2"/>
        <v>0</v>
      </c>
      <c r="D34" s="215">
        <v>45231.0</v>
      </c>
      <c r="E34" s="202">
        <f t="shared" si="3"/>
        <v>0</v>
      </c>
      <c r="F34" s="202" t="str">
        <f t="shared" si="4"/>
        <v>Past</v>
      </c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</row>
    <row r="35">
      <c r="A35" s="188">
        <f t="shared" si="5"/>
        <v>279615</v>
      </c>
      <c r="B35" s="212">
        <f t="shared" si="1"/>
        <v>0</v>
      </c>
      <c r="C35" s="212">
        <f t="shared" si="2"/>
        <v>0</v>
      </c>
      <c r="D35" s="215">
        <v>45261.0</v>
      </c>
      <c r="E35" s="202">
        <f t="shared" si="3"/>
        <v>0</v>
      </c>
      <c r="F35" s="202" t="str">
        <f t="shared" si="4"/>
        <v>Past</v>
      </c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</row>
    <row r="36">
      <c r="A36" s="188">
        <f t="shared" si="5"/>
        <v>279615</v>
      </c>
      <c r="B36" s="212">
        <f t="shared" si="1"/>
        <v>0</v>
      </c>
      <c r="C36" s="212">
        <f t="shared" si="2"/>
        <v>0</v>
      </c>
      <c r="D36" s="215">
        <v>45292.0</v>
      </c>
      <c r="E36" s="202">
        <f t="shared" si="3"/>
        <v>0</v>
      </c>
      <c r="F36" s="202" t="str">
        <f t="shared" si="4"/>
        <v>Past</v>
      </c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</row>
    <row r="37">
      <c r="A37" s="188">
        <f t="shared" si="5"/>
        <v>279615</v>
      </c>
      <c r="B37" s="212">
        <f t="shared" si="1"/>
        <v>0</v>
      </c>
      <c r="C37" s="212">
        <f t="shared" si="2"/>
        <v>0</v>
      </c>
      <c r="D37" s="215">
        <v>45323.0</v>
      </c>
      <c r="E37" s="202">
        <f t="shared" si="3"/>
        <v>0</v>
      </c>
      <c r="F37" s="202" t="str">
        <f t="shared" si="4"/>
        <v>Past</v>
      </c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</row>
    <row r="38">
      <c r="A38" s="188">
        <f t="shared" si="5"/>
        <v>279615</v>
      </c>
      <c r="B38" s="212">
        <f t="shared" si="1"/>
        <v>0</v>
      </c>
      <c r="C38" s="212">
        <f t="shared" si="2"/>
        <v>0</v>
      </c>
      <c r="D38" s="215">
        <v>45352.0</v>
      </c>
      <c r="E38" s="202">
        <f t="shared" si="3"/>
        <v>0</v>
      </c>
      <c r="F38" s="202" t="str">
        <f t="shared" si="4"/>
        <v>Past</v>
      </c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</row>
    <row r="39">
      <c r="A39" s="188">
        <f t="shared" si="5"/>
        <v>274615</v>
      </c>
      <c r="B39" s="212">
        <f t="shared" si="1"/>
        <v>5000</v>
      </c>
      <c r="C39" s="212">
        <f t="shared" si="2"/>
        <v>5000</v>
      </c>
      <c r="D39" s="215">
        <v>45383.0</v>
      </c>
      <c r="E39" s="202">
        <f t="shared" si="3"/>
        <v>5000</v>
      </c>
      <c r="F39" s="202" t="str">
        <f t="shared" si="4"/>
        <v>Past</v>
      </c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>
        <v>5000.0</v>
      </c>
      <c r="T39" s="188"/>
    </row>
    <row r="40">
      <c r="A40" s="188">
        <f t="shared" si="5"/>
        <v>274615</v>
      </c>
      <c r="B40" s="212">
        <f t="shared" si="1"/>
        <v>0</v>
      </c>
      <c r="C40" s="212">
        <f t="shared" si="2"/>
        <v>0</v>
      </c>
      <c r="D40" s="215">
        <v>45413.0</v>
      </c>
      <c r="E40" s="202">
        <f t="shared" si="3"/>
        <v>0</v>
      </c>
      <c r="F40" s="202" t="str">
        <f t="shared" si="4"/>
        <v>Past</v>
      </c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>
        <v>0.0</v>
      </c>
      <c r="T40" s="188"/>
    </row>
    <row r="41">
      <c r="A41" s="188">
        <f t="shared" si="5"/>
        <v>274615</v>
      </c>
      <c r="B41" s="212">
        <f t="shared" si="1"/>
        <v>0</v>
      </c>
      <c r="C41" s="212">
        <f t="shared" si="2"/>
        <v>0</v>
      </c>
      <c r="D41" s="215">
        <v>45444.0</v>
      </c>
      <c r="E41" s="202">
        <f t="shared" si="3"/>
        <v>0</v>
      </c>
      <c r="F41" s="202" t="str">
        <f t="shared" si="4"/>
        <v>Past</v>
      </c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>
        <v>0.0</v>
      </c>
      <c r="T41" s="188"/>
    </row>
    <row r="42">
      <c r="A42" s="188">
        <f t="shared" si="5"/>
        <v>274615</v>
      </c>
      <c r="B42" s="212">
        <f t="shared" si="1"/>
        <v>0</v>
      </c>
      <c r="C42" s="212">
        <f t="shared" si="2"/>
        <v>0</v>
      </c>
      <c r="D42" s="215">
        <v>45474.0</v>
      </c>
      <c r="E42" s="202">
        <f t="shared" si="3"/>
        <v>0</v>
      </c>
      <c r="F42" s="202" t="str">
        <f t="shared" si="4"/>
        <v>Past</v>
      </c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>
        <v>0.0</v>
      </c>
      <c r="T42" s="188"/>
    </row>
    <row r="43">
      <c r="A43" s="188">
        <f t="shared" si="5"/>
        <v>274615</v>
      </c>
      <c r="B43" s="212">
        <f t="shared" si="1"/>
        <v>0</v>
      </c>
      <c r="C43" s="212">
        <f t="shared" si="2"/>
        <v>0</v>
      </c>
      <c r="D43" s="215">
        <v>45505.0</v>
      </c>
      <c r="E43" s="202">
        <f t="shared" si="3"/>
        <v>0</v>
      </c>
      <c r="F43" s="202" t="str">
        <f t="shared" si="4"/>
        <v>Past</v>
      </c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>
        <v>0.0</v>
      </c>
      <c r="T43" s="188"/>
    </row>
    <row r="44">
      <c r="A44" s="188">
        <f t="shared" si="5"/>
        <v>274615</v>
      </c>
      <c r="B44" s="212">
        <f t="shared" si="1"/>
        <v>0</v>
      </c>
      <c r="C44" s="212">
        <f t="shared" si="2"/>
        <v>0</v>
      </c>
      <c r="D44" s="215">
        <v>45536.0</v>
      </c>
      <c r="E44" s="202">
        <f t="shared" si="3"/>
        <v>0</v>
      </c>
      <c r="F44" s="202" t="str">
        <f t="shared" si="4"/>
        <v>Past</v>
      </c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>
        <v>0.0</v>
      </c>
      <c r="T44" s="188"/>
    </row>
    <row r="45">
      <c r="A45" s="188">
        <f t="shared" si="5"/>
        <v>269943</v>
      </c>
      <c r="B45" s="212">
        <f t="shared" si="1"/>
        <v>4672</v>
      </c>
      <c r="C45" s="212">
        <f t="shared" si="2"/>
        <v>4672</v>
      </c>
      <c r="D45" s="215">
        <v>45566.0</v>
      </c>
      <c r="E45" s="202">
        <f t="shared" si="3"/>
        <v>4672</v>
      </c>
      <c r="F45" s="202" t="str">
        <f t="shared" si="4"/>
        <v>Past</v>
      </c>
      <c r="G45" s="188">
        <v>1200.0</v>
      </c>
      <c r="H45" s="188">
        <v>228.0</v>
      </c>
      <c r="I45" s="188">
        <v>544.0</v>
      </c>
      <c r="J45" s="188">
        <v>0.0</v>
      </c>
      <c r="K45" s="188">
        <v>400.0</v>
      </c>
      <c r="L45" s="188">
        <v>150.0</v>
      </c>
      <c r="M45" s="188">
        <v>300.0</v>
      </c>
      <c r="N45" s="188">
        <v>30.0</v>
      </c>
      <c r="O45" s="188">
        <v>20.0</v>
      </c>
      <c r="P45" s="188"/>
      <c r="Q45" s="188">
        <v>1500.0</v>
      </c>
      <c r="R45" s="188">
        <v>300.0</v>
      </c>
      <c r="S45" s="188">
        <v>0.0</v>
      </c>
      <c r="T45" s="202"/>
    </row>
    <row r="46">
      <c r="A46" s="188">
        <f t="shared" si="5"/>
        <v>265648</v>
      </c>
      <c r="B46" s="212">
        <f t="shared" si="1"/>
        <v>4295</v>
      </c>
      <c r="C46" s="212">
        <f t="shared" si="2"/>
        <v>0</v>
      </c>
      <c r="D46" s="215">
        <v>45597.0</v>
      </c>
      <c r="E46" s="202">
        <v>0.0</v>
      </c>
      <c r="F46" s="202" t="str">
        <f t="shared" si="4"/>
        <v>Past</v>
      </c>
      <c r="G46" s="188">
        <v>1200.0</v>
      </c>
      <c r="H46" s="188">
        <v>104.0</v>
      </c>
      <c r="I46" s="188">
        <v>341.0</v>
      </c>
      <c r="J46" s="188">
        <v>0.0</v>
      </c>
      <c r="K46" s="188">
        <v>400.0</v>
      </c>
      <c r="L46" s="188">
        <v>150.0</v>
      </c>
      <c r="M46" s="188">
        <v>300.0</v>
      </c>
      <c r="N46" s="188">
        <v>0.0</v>
      </c>
      <c r="O46" s="188">
        <v>0.0</v>
      </c>
      <c r="P46" s="188"/>
      <c r="Q46" s="188">
        <v>1500.0</v>
      </c>
      <c r="R46" s="188">
        <v>300.0</v>
      </c>
      <c r="S46" s="188">
        <v>0.0</v>
      </c>
      <c r="T46" s="263"/>
    </row>
    <row r="47">
      <c r="A47" s="188">
        <f t="shared" si="5"/>
        <v>240674</v>
      </c>
      <c r="B47" s="212">
        <f t="shared" si="1"/>
        <v>24974</v>
      </c>
      <c r="C47" s="212">
        <f t="shared" si="2"/>
        <v>0</v>
      </c>
      <c r="D47" s="215">
        <v>45627.0</v>
      </c>
      <c r="E47" s="188">
        <f>ceiling(sumif($G$19:T46,E$19,$G47:T47),1)-sum(G47:S47)</f>
        <v>0</v>
      </c>
      <c r="F47" s="202" t="str">
        <f t="shared" si="4"/>
        <v>Past</v>
      </c>
      <c r="G47" s="188">
        <v>1200.0</v>
      </c>
      <c r="H47" s="188">
        <v>228.0</v>
      </c>
      <c r="I47" s="188">
        <v>821.0</v>
      </c>
      <c r="J47" s="188">
        <v>20000.0</v>
      </c>
      <c r="K47" s="253">
        <v>400.0</v>
      </c>
      <c r="L47" s="253">
        <v>150.0</v>
      </c>
      <c r="M47" s="253">
        <v>300.0</v>
      </c>
      <c r="N47" s="253">
        <v>0.0</v>
      </c>
      <c r="O47" s="253">
        <f>10*7.5</f>
        <v>75</v>
      </c>
      <c r="P47" s="253">
        <v>0.0</v>
      </c>
      <c r="Q47" s="253">
        <v>1500.0</v>
      </c>
      <c r="R47" s="253">
        <v>300.0</v>
      </c>
      <c r="S47" s="188">
        <v>0.0</v>
      </c>
      <c r="T47" s="263"/>
    </row>
    <row r="48">
      <c r="A48" s="188">
        <f t="shared" si="5"/>
        <v>240674</v>
      </c>
      <c r="B48" s="212">
        <f t="shared" si="1"/>
        <v>0</v>
      </c>
      <c r="C48" s="212">
        <f t="shared" si="2"/>
        <v>0</v>
      </c>
      <c r="D48" s="215">
        <v>45658.0</v>
      </c>
      <c r="E48" s="202">
        <f t="shared" ref="E48:E49" si="6">sumif($G$19:T47,E$19,$G48:T48)</f>
        <v>0</v>
      </c>
      <c r="F48" s="202" t="str">
        <f t="shared" si="4"/>
        <v>Past</v>
      </c>
      <c r="G48" s="253"/>
      <c r="H48" s="253"/>
      <c r="I48" s="253"/>
      <c r="J48" s="188">
        <v>0.0</v>
      </c>
      <c r="K48" s="253"/>
      <c r="L48" s="253"/>
      <c r="M48" s="253"/>
      <c r="N48" s="253"/>
      <c r="O48" s="253"/>
      <c r="P48" s="253"/>
      <c r="Q48" s="253"/>
      <c r="R48" s="253"/>
      <c r="S48" s="188">
        <v>0.0</v>
      </c>
      <c r="T48" s="188"/>
    </row>
    <row r="49">
      <c r="A49" s="188">
        <f t="shared" si="5"/>
        <v>240674</v>
      </c>
      <c r="B49" s="212">
        <f t="shared" si="1"/>
        <v>0</v>
      </c>
      <c r="C49" s="212">
        <f t="shared" si="2"/>
        <v>0</v>
      </c>
      <c r="D49" s="215">
        <v>45689.0</v>
      </c>
      <c r="E49" s="202">
        <f t="shared" si="6"/>
        <v>0</v>
      </c>
      <c r="F49" s="202" t="str">
        <f t="shared" si="4"/>
        <v>Past</v>
      </c>
      <c r="G49" s="253"/>
      <c r="H49" s="253"/>
      <c r="I49" s="253"/>
      <c r="J49" s="188">
        <v>0.0</v>
      </c>
      <c r="K49" s="253"/>
      <c r="L49" s="253"/>
      <c r="M49" s="253"/>
      <c r="N49" s="253"/>
      <c r="O49" s="253"/>
      <c r="P49" s="253"/>
      <c r="Q49" s="253"/>
      <c r="R49" s="253"/>
      <c r="S49" s="188">
        <v>0.0</v>
      </c>
      <c r="T49" s="188"/>
    </row>
    <row r="50">
      <c r="A50" s="188">
        <f t="shared" si="5"/>
        <v>240163</v>
      </c>
      <c r="B50" s="212">
        <v>0.0</v>
      </c>
      <c r="C50" s="212">
        <v>0.0</v>
      </c>
      <c r="D50" s="215">
        <v>45717.0</v>
      </c>
      <c r="E50" s="202">
        <v>0.0</v>
      </c>
      <c r="F50" s="202" t="str">
        <f t="shared" si="4"/>
        <v>Past</v>
      </c>
      <c r="G50" s="188" t="s">
        <v>317</v>
      </c>
      <c r="H50" s="188" t="s">
        <v>317</v>
      </c>
      <c r="I50" s="188">
        <v>511.0</v>
      </c>
      <c r="J50" s="188" t="s">
        <v>317</v>
      </c>
      <c r="K50" s="188" t="s">
        <v>317</v>
      </c>
      <c r="L50" s="188" t="s">
        <v>317</v>
      </c>
      <c r="M50" s="188" t="s">
        <v>317</v>
      </c>
      <c r="N50" s="188" t="s">
        <v>317</v>
      </c>
      <c r="O50" s="188" t="s">
        <v>317</v>
      </c>
      <c r="P50" s="188" t="s">
        <v>317</v>
      </c>
      <c r="Q50" s="188" t="s">
        <v>317</v>
      </c>
      <c r="R50" s="188" t="s">
        <v>317</v>
      </c>
      <c r="S50" s="188">
        <v>0.0</v>
      </c>
      <c r="T50" s="188"/>
    </row>
    <row r="51">
      <c r="A51" s="188">
        <f t="shared" si="5"/>
        <v>234225</v>
      </c>
      <c r="B51" s="212">
        <v>0.0</v>
      </c>
      <c r="C51" s="212">
        <f t="shared" ref="C51:C118" si="7">sum(E51)</f>
        <v>0</v>
      </c>
      <c r="D51" s="215">
        <v>45748.0</v>
      </c>
      <c r="E51" s="202">
        <v>0.0</v>
      </c>
      <c r="F51" s="202" t="str">
        <f t="shared" si="4"/>
        <v>Past</v>
      </c>
      <c r="G51" s="253">
        <v>1200.0</v>
      </c>
      <c r="H51" s="253">
        <v>101.0</v>
      </c>
      <c r="I51" s="188">
        <v>1987.0</v>
      </c>
      <c r="J51" s="188">
        <v>0.0</v>
      </c>
      <c r="K51" s="253">
        <v>400.0</v>
      </c>
      <c r="L51" s="253">
        <v>150.0</v>
      </c>
      <c r="M51" s="253">
        <v>300.0</v>
      </c>
      <c r="N51" s="253">
        <v>0.0</v>
      </c>
      <c r="O51" s="253">
        <v>0.0</v>
      </c>
      <c r="P51" s="253">
        <v>0.0</v>
      </c>
      <c r="Q51" s="253">
        <v>1500.0</v>
      </c>
      <c r="R51" s="253">
        <v>300.0</v>
      </c>
      <c r="S51" s="188">
        <v>0.0</v>
      </c>
      <c r="T51" s="188"/>
    </row>
    <row r="52">
      <c r="A52" s="188">
        <f t="shared" si="5"/>
        <v>222232</v>
      </c>
      <c r="B52" s="212">
        <f t="shared" ref="B52:B118" si="8">ceiling(sum(G52:T52),1)</f>
        <v>11993</v>
      </c>
      <c r="C52" s="212">
        <f t="shared" si="7"/>
        <v>0</v>
      </c>
      <c r="D52" s="215">
        <v>45778.0</v>
      </c>
      <c r="E52" s="202">
        <v>0.0</v>
      </c>
      <c r="F52" s="202" t="str">
        <f t="shared" si="4"/>
        <v>Past</v>
      </c>
      <c r="G52" s="253">
        <v>1200.0</v>
      </c>
      <c r="H52" s="253">
        <v>720.0</v>
      </c>
      <c r="I52" s="188">
        <v>2407.0</v>
      </c>
      <c r="J52" s="253">
        <v>0.0</v>
      </c>
      <c r="K52" s="253">
        <v>400.0</v>
      </c>
      <c r="L52" s="253">
        <v>0.0</v>
      </c>
      <c r="M52" s="253">
        <v>300.0</v>
      </c>
      <c r="N52" s="253">
        <v>0.0</v>
      </c>
      <c r="O52" s="253">
        <v>0.0</v>
      </c>
      <c r="P52" s="253">
        <v>0.0</v>
      </c>
      <c r="Q52" s="253">
        <v>1500.0</v>
      </c>
      <c r="R52" s="253">
        <v>300.0</v>
      </c>
      <c r="S52" s="253">
        <v>5166.0</v>
      </c>
      <c r="T52" s="188"/>
    </row>
    <row r="53">
      <c r="A53" s="188">
        <f t="shared" si="5"/>
        <v>216589</v>
      </c>
      <c r="B53" s="212">
        <f t="shared" si="8"/>
        <v>5643</v>
      </c>
      <c r="C53" s="212">
        <f t="shared" si="7"/>
        <v>0</v>
      </c>
      <c r="D53" s="215">
        <v>45809.0</v>
      </c>
      <c r="E53" s="202">
        <v>0.0</v>
      </c>
      <c r="F53" s="202" t="str">
        <f t="shared" si="4"/>
        <v>Past</v>
      </c>
      <c r="G53" s="188">
        <v>1200.0</v>
      </c>
      <c r="H53" s="188">
        <v>465.0</v>
      </c>
      <c r="I53" s="188">
        <v>1418.0</v>
      </c>
      <c r="J53" s="188">
        <v>0.0</v>
      </c>
      <c r="K53" s="188">
        <v>400.0</v>
      </c>
      <c r="L53" s="188">
        <v>0.0</v>
      </c>
      <c r="M53" s="188">
        <v>300.0</v>
      </c>
      <c r="N53" s="188">
        <v>60.0</v>
      </c>
      <c r="O53" s="188">
        <v>0.0</v>
      </c>
      <c r="P53" s="188">
        <v>0.0</v>
      </c>
      <c r="Q53" s="188">
        <v>1500.0</v>
      </c>
      <c r="R53" s="188">
        <v>300.0</v>
      </c>
      <c r="S53" s="188">
        <v>0.0</v>
      </c>
      <c r="T53" s="188"/>
    </row>
    <row r="54">
      <c r="A54" s="188">
        <f t="shared" si="5"/>
        <v>211160</v>
      </c>
      <c r="B54" s="212">
        <f t="shared" si="8"/>
        <v>5429</v>
      </c>
      <c r="C54" s="212">
        <f t="shared" si="7"/>
        <v>0</v>
      </c>
      <c r="D54" s="215">
        <v>45839.0</v>
      </c>
      <c r="E54" s="202">
        <v>0.0</v>
      </c>
      <c r="F54" s="202" t="str">
        <f t="shared" si="4"/>
        <v>Past</v>
      </c>
      <c r="G54" s="188">
        <v>1200.0</v>
      </c>
      <c r="H54" s="188">
        <v>302.0</v>
      </c>
      <c r="I54" s="188">
        <v>1337.0</v>
      </c>
      <c r="J54" s="188">
        <v>0.0</v>
      </c>
      <c r="K54" s="188">
        <v>400.0</v>
      </c>
      <c r="L54" s="188">
        <v>0.0</v>
      </c>
      <c r="M54" s="188">
        <v>300.0</v>
      </c>
      <c r="N54" s="188">
        <v>90.0</v>
      </c>
      <c r="O54" s="188">
        <v>0.0</v>
      </c>
      <c r="P54" s="188">
        <v>0.0</v>
      </c>
      <c r="Q54" s="188">
        <v>1500.0</v>
      </c>
      <c r="R54" s="188">
        <v>300.0</v>
      </c>
      <c r="S54" s="188">
        <v>0.0</v>
      </c>
      <c r="T54" s="188"/>
    </row>
    <row r="55">
      <c r="A55" s="188">
        <f t="shared" si="5"/>
        <v>205838</v>
      </c>
      <c r="B55" s="212">
        <f t="shared" si="8"/>
        <v>5322</v>
      </c>
      <c r="C55" s="212">
        <f t="shared" si="7"/>
        <v>0</v>
      </c>
      <c r="D55" s="215">
        <v>45870.0</v>
      </c>
      <c r="E55" s="202">
        <v>0.0</v>
      </c>
      <c r="F55" s="202" t="str">
        <f t="shared" si="4"/>
        <v>Past</v>
      </c>
      <c r="G55" s="188">
        <v>1200.0</v>
      </c>
      <c r="H55" s="188">
        <v>288.0</v>
      </c>
      <c r="I55" s="253">
        <v>1244.0</v>
      </c>
      <c r="J55" s="188">
        <v>0.0</v>
      </c>
      <c r="K55" s="253">
        <v>400.0</v>
      </c>
      <c r="L55" s="253">
        <v>0.0</v>
      </c>
      <c r="M55" s="253">
        <v>300.0</v>
      </c>
      <c r="N55" s="253">
        <v>90.0</v>
      </c>
      <c r="O55" s="253">
        <v>0.0</v>
      </c>
      <c r="P55" s="253">
        <v>0.0</v>
      </c>
      <c r="Q55" s="188">
        <v>1500.0</v>
      </c>
      <c r="R55" s="188">
        <v>300.0</v>
      </c>
      <c r="S55" s="188">
        <v>0.0</v>
      </c>
      <c r="T55" s="188"/>
    </row>
    <row r="56">
      <c r="A56" s="188">
        <f t="shared" si="5"/>
        <v>200483</v>
      </c>
      <c r="B56" s="212">
        <f t="shared" si="8"/>
        <v>5355</v>
      </c>
      <c r="C56" s="212">
        <f t="shared" si="7"/>
        <v>0</v>
      </c>
      <c r="D56" s="215">
        <v>45901.0</v>
      </c>
      <c r="E56" s="202">
        <v>0.0</v>
      </c>
      <c r="F56" s="202" t="str">
        <f t="shared" si="4"/>
        <v>Past</v>
      </c>
      <c r="G56" s="253">
        <v>1200.0</v>
      </c>
      <c r="H56" s="253">
        <v>351.0</v>
      </c>
      <c r="I56" s="188">
        <v>1454.0</v>
      </c>
      <c r="J56" s="188">
        <v>0.0</v>
      </c>
      <c r="K56" s="253">
        <v>400.0</v>
      </c>
      <c r="L56" s="253">
        <v>0.0</v>
      </c>
      <c r="M56" s="253">
        <v>150.0</v>
      </c>
      <c r="N56" s="253">
        <v>0.0</v>
      </c>
      <c r="O56" s="253">
        <v>0.0</v>
      </c>
      <c r="P56" s="253">
        <v>0.0</v>
      </c>
      <c r="Q56" s="188">
        <v>1500.0</v>
      </c>
      <c r="R56" s="188">
        <v>300.0</v>
      </c>
      <c r="S56" s="188">
        <v>0.0</v>
      </c>
      <c r="T56" s="188"/>
    </row>
    <row r="57">
      <c r="A57" s="188">
        <f t="shared" si="5"/>
        <v>197650</v>
      </c>
      <c r="B57" s="212">
        <f t="shared" si="8"/>
        <v>2833</v>
      </c>
      <c r="C57" s="212">
        <f t="shared" si="7"/>
        <v>0</v>
      </c>
      <c r="D57" s="215">
        <v>45931.0</v>
      </c>
      <c r="E57" s="202">
        <v>0.0</v>
      </c>
      <c r="F57" s="202" t="str">
        <f t="shared" si="4"/>
        <v>Past</v>
      </c>
      <c r="G57" s="188">
        <v>1200.0</v>
      </c>
      <c r="H57" s="188">
        <v>288.0</v>
      </c>
      <c r="I57" s="188">
        <f t="shared" ref="I57:I118" si="9">CEILING(AVERAGE(I54:I56),1)</f>
        <v>1345</v>
      </c>
      <c r="J57" s="188">
        <v>0.0</v>
      </c>
      <c r="K57" s="188">
        <v>0.0</v>
      </c>
      <c r="L57" s="188">
        <v>0.0</v>
      </c>
      <c r="M57" s="188">
        <v>0.0</v>
      </c>
      <c r="N57" s="188">
        <v>0.0</v>
      </c>
      <c r="O57" s="188">
        <v>0.0</v>
      </c>
      <c r="P57" s="188">
        <v>0.0</v>
      </c>
      <c r="Q57" s="188">
        <v>0.0</v>
      </c>
      <c r="R57" s="188">
        <v>0.0</v>
      </c>
      <c r="S57" s="188">
        <v>0.0</v>
      </c>
      <c r="T57" s="188"/>
    </row>
    <row r="58">
      <c r="A58" s="188">
        <f t="shared" si="5"/>
        <v>196302</v>
      </c>
      <c r="B58" s="212">
        <f t="shared" si="8"/>
        <v>1348</v>
      </c>
      <c r="C58" s="212">
        <f t="shared" si="7"/>
        <v>1348</v>
      </c>
      <c r="D58" s="215">
        <v>45962.0</v>
      </c>
      <c r="E58" s="202">
        <f t="shared" ref="E58:E118" si="10">sumif($G$19:T57,E$19,$G58:T58)</f>
        <v>1348</v>
      </c>
      <c r="F58" s="202" t="str">
        <f t="shared" si="4"/>
        <v>Current</v>
      </c>
      <c r="G58" s="188" t="str">
        <f>"PAID "&amp;1200</f>
        <v>PAID 1200</v>
      </c>
      <c r="H58" s="188" t="str">
        <f>"PAID "&amp;255</f>
        <v>PAID 255</v>
      </c>
      <c r="I58" s="188">
        <f t="shared" si="9"/>
        <v>1348</v>
      </c>
      <c r="J58" s="188">
        <v>0.0</v>
      </c>
      <c r="K58" s="188">
        <v>0.0</v>
      </c>
      <c r="L58" s="188">
        <v>0.0</v>
      </c>
      <c r="M58" s="188">
        <v>0.0</v>
      </c>
      <c r="N58" s="188">
        <v>0.0</v>
      </c>
      <c r="O58" s="188">
        <v>0.0</v>
      </c>
      <c r="P58" s="188">
        <v>0.0</v>
      </c>
      <c r="Q58" s="188">
        <v>0.0</v>
      </c>
      <c r="R58" s="188">
        <v>0.0</v>
      </c>
      <c r="S58" s="188">
        <v>0.0</v>
      </c>
      <c r="T58" s="188"/>
    </row>
    <row r="59">
      <c r="A59" s="188">
        <f t="shared" si="5"/>
        <v>193431</v>
      </c>
      <c r="B59" s="212">
        <f t="shared" si="8"/>
        <v>2871</v>
      </c>
      <c r="C59" s="212">
        <f t="shared" si="7"/>
        <v>2871</v>
      </c>
      <c r="D59" s="215">
        <v>45992.0</v>
      </c>
      <c r="E59" s="202">
        <f t="shared" si="10"/>
        <v>2871</v>
      </c>
      <c r="F59" s="202" t="str">
        <f t="shared" si="4"/>
        <v>Future</v>
      </c>
      <c r="G59" s="188">
        <v>1200.0</v>
      </c>
      <c r="H59" s="188">
        <v>288.0</v>
      </c>
      <c r="I59" s="188">
        <f t="shared" si="9"/>
        <v>1383</v>
      </c>
      <c r="J59" s="188">
        <v>0.0</v>
      </c>
      <c r="K59" s="188">
        <v>0.0</v>
      </c>
      <c r="L59" s="188">
        <v>0.0</v>
      </c>
      <c r="M59" s="188">
        <v>0.0</v>
      </c>
      <c r="N59" s="188">
        <v>0.0</v>
      </c>
      <c r="O59" s="188">
        <v>0.0</v>
      </c>
      <c r="P59" s="188">
        <v>0.0</v>
      </c>
      <c r="Q59" s="188">
        <v>0.0</v>
      </c>
      <c r="R59" s="188">
        <v>0.0</v>
      </c>
      <c r="S59" s="188">
        <v>0.0</v>
      </c>
      <c r="T59" s="188"/>
    </row>
    <row r="60">
      <c r="A60" s="188">
        <f t="shared" si="5"/>
        <v>190584</v>
      </c>
      <c r="B60" s="212">
        <f t="shared" si="8"/>
        <v>2847</v>
      </c>
      <c r="C60" s="212">
        <f t="shared" si="7"/>
        <v>2847</v>
      </c>
      <c r="D60" s="215">
        <v>46023.0</v>
      </c>
      <c r="E60" s="202">
        <f t="shared" si="10"/>
        <v>2847</v>
      </c>
      <c r="F60" s="202" t="str">
        <f t="shared" si="4"/>
        <v>Future</v>
      </c>
      <c r="G60" s="188">
        <v>1200.0</v>
      </c>
      <c r="H60" s="188">
        <v>288.0</v>
      </c>
      <c r="I60" s="188">
        <f t="shared" si="9"/>
        <v>1359</v>
      </c>
      <c r="J60" s="188">
        <v>0.0</v>
      </c>
      <c r="K60" s="188">
        <v>0.0</v>
      </c>
      <c r="L60" s="188">
        <v>0.0</v>
      </c>
      <c r="M60" s="188">
        <v>0.0</v>
      </c>
      <c r="N60" s="188">
        <v>0.0</v>
      </c>
      <c r="O60" s="188">
        <v>0.0</v>
      </c>
      <c r="P60" s="188">
        <v>0.0</v>
      </c>
      <c r="Q60" s="188">
        <v>0.0</v>
      </c>
      <c r="R60" s="188">
        <v>0.0</v>
      </c>
      <c r="S60" s="188">
        <v>0.0</v>
      </c>
      <c r="T60" s="188"/>
    </row>
    <row r="61">
      <c r="A61" s="188">
        <f t="shared" si="5"/>
        <v>187732</v>
      </c>
      <c r="B61" s="212">
        <f t="shared" si="8"/>
        <v>2852</v>
      </c>
      <c r="C61" s="212">
        <f t="shared" si="7"/>
        <v>2852</v>
      </c>
      <c r="D61" s="215">
        <v>46054.0</v>
      </c>
      <c r="E61" s="202">
        <f t="shared" si="10"/>
        <v>2852</v>
      </c>
      <c r="F61" s="202" t="str">
        <f t="shared" si="4"/>
        <v>Future</v>
      </c>
      <c r="G61" s="188">
        <v>1200.0</v>
      </c>
      <c r="H61" s="188">
        <v>288.0</v>
      </c>
      <c r="I61" s="188">
        <f t="shared" si="9"/>
        <v>1364</v>
      </c>
      <c r="J61" s="188">
        <v>0.0</v>
      </c>
      <c r="K61" s="188">
        <v>0.0</v>
      </c>
      <c r="L61" s="188">
        <v>0.0</v>
      </c>
      <c r="M61" s="188">
        <v>0.0</v>
      </c>
      <c r="N61" s="188">
        <v>0.0</v>
      </c>
      <c r="O61" s="188">
        <v>0.0</v>
      </c>
      <c r="P61" s="188">
        <v>0.0</v>
      </c>
      <c r="Q61" s="188">
        <v>0.0</v>
      </c>
      <c r="R61" s="188">
        <v>0.0</v>
      </c>
      <c r="S61" s="188">
        <v>0.0</v>
      </c>
      <c r="T61" s="188"/>
    </row>
    <row r="62">
      <c r="A62" s="188">
        <f t="shared" si="5"/>
        <v>179875</v>
      </c>
      <c r="B62" s="212">
        <f t="shared" si="8"/>
        <v>7857</v>
      </c>
      <c r="C62" s="212">
        <f t="shared" si="7"/>
        <v>7857</v>
      </c>
      <c r="D62" s="215">
        <v>46082.0</v>
      </c>
      <c r="E62" s="202">
        <f t="shared" si="10"/>
        <v>7857</v>
      </c>
      <c r="F62" s="202" t="str">
        <f t="shared" si="4"/>
        <v>Future</v>
      </c>
      <c r="G62" s="188">
        <v>1200.0</v>
      </c>
      <c r="H62" s="188">
        <v>288.0</v>
      </c>
      <c r="I62" s="188">
        <f t="shared" si="9"/>
        <v>1369</v>
      </c>
      <c r="J62" s="188">
        <v>0.0</v>
      </c>
      <c r="K62" s="188">
        <v>0.0</v>
      </c>
      <c r="L62" s="188">
        <v>0.0</v>
      </c>
      <c r="M62" s="188">
        <v>0.0</v>
      </c>
      <c r="N62" s="188">
        <v>0.0</v>
      </c>
      <c r="O62" s="188">
        <v>0.0</v>
      </c>
      <c r="P62" s="188">
        <v>0.0</v>
      </c>
      <c r="Q62" s="188">
        <v>0.0</v>
      </c>
      <c r="R62" s="188">
        <v>0.0</v>
      </c>
      <c r="S62" s="188">
        <v>5000.0</v>
      </c>
      <c r="T62" s="188"/>
    </row>
    <row r="63">
      <c r="A63" s="188">
        <f t="shared" si="5"/>
        <v>177023</v>
      </c>
      <c r="B63" s="212">
        <f t="shared" si="8"/>
        <v>2852</v>
      </c>
      <c r="C63" s="212">
        <f t="shared" si="7"/>
        <v>2852</v>
      </c>
      <c r="D63" s="215">
        <v>46113.0</v>
      </c>
      <c r="E63" s="202">
        <f t="shared" si="10"/>
        <v>2852</v>
      </c>
      <c r="F63" s="202" t="str">
        <f t="shared" si="4"/>
        <v>Future</v>
      </c>
      <c r="G63" s="188">
        <v>1200.0</v>
      </c>
      <c r="H63" s="188">
        <v>288.0</v>
      </c>
      <c r="I63" s="188">
        <f t="shared" si="9"/>
        <v>1364</v>
      </c>
      <c r="J63" s="188">
        <v>0.0</v>
      </c>
      <c r="K63" s="188">
        <v>0.0</v>
      </c>
      <c r="L63" s="188">
        <v>0.0</v>
      </c>
      <c r="M63" s="188">
        <v>0.0</v>
      </c>
      <c r="N63" s="188">
        <v>0.0</v>
      </c>
      <c r="O63" s="188">
        <v>0.0</v>
      </c>
      <c r="P63" s="188">
        <v>0.0</v>
      </c>
      <c r="Q63" s="188">
        <v>0.0</v>
      </c>
      <c r="R63" s="188">
        <v>0.0</v>
      </c>
      <c r="S63" s="188">
        <v>0.0</v>
      </c>
      <c r="T63" s="188"/>
    </row>
    <row r="64">
      <c r="A64" s="188">
        <f t="shared" si="5"/>
        <v>174169</v>
      </c>
      <c r="B64" s="212">
        <f t="shared" si="8"/>
        <v>2854</v>
      </c>
      <c r="C64" s="212">
        <f t="shared" si="7"/>
        <v>2854</v>
      </c>
      <c r="D64" s="215">
        <v>46143.0</v>
      </c>
      <c r="E64" s="202">
        <f t="shared" si="10"/>
        <v>2854</v>
      </c>
      <c r="F64" s="202" t="str">
        <f t="shared" si="4"/>
        <v>Future</v>
      </c>
      <c r="G64" s="188">
        <v>1200.0</v>
      </c>
      <c r="H64" s="188">
        <v>288.0</v>
      </c>
      <c r="I64" s="188">
        <f t="shared" si="9"/>
        <v>1366</v>
      </c>
      <c r="J64" s="188">
        <v>0.0</v>
      </c>
      <c r="K64" s="188">
        <v>0.0</v>
      </c>
      <c r="L64" s="188">
        <v>0.0</v>
      </c>
      <c r="M64" s="188">
        <v>0.0</v>
      </c>
      <c r="N64" s="188">
        <v>0.0</v>
      </c>
      <c r="O64" s="188">
        <v>0.0</v>
      </c>
      <c r="P64" s="188">
        <v>0.0</v>
      </c>
      <c r="Q64" s="188">
        <v>0.0</v>
      </c>
      <c r="R64" s="188">
        <v>0.0</v>
      </c>
      <c r="S64" s="188">
        <v>0.0</v>
      </c>
      <c r="T64" s="188"/>
    </row>
    <row r="65">
      <c r="A65" s="188">
        <f t="shared" si="5"/>
        <v>171314</v>
      </c>
      <c r="B65" s="212">
        <f t="shared" si="8"/>
        <v>2855</v>
      </c>
      <c r="C65" s="212">
        <f t="shared" si="7"/>
        <v>2855</v>
      </c>
      <c r="D65" s="215">
        <v>46174.0</v>
      </c>
      <c r="E65" s="202">
        <f t="shared" si="10"/>
        <v>2855</v>
      </c>
      <c r="F65" s="202" t="str">
        <f t="shared" si="4"/>
        <v>Future</v>
      </c>
      <c r="G65" s="188">
        <v>1200.0</v>
      </c>
      <c r="H65" s="188">
        <v>288.0</v>
      </c>
      <c r="I65" s="188">
        <f t="shared" si="9"/>
        <v>1367</v>
      </c>
      <c r="J65" s="188">
        <v>0.0</v>
      </c>
      <c r="K65" s="188">
        <v>0.0</v>
      </c>
      <c r="L65" s="188">
        <v>0.0</v>
      </c>
      <c r="M65" s="188">
        <v>0.0</v>
      </c>
      <c r="N65" s="188">
        <v>0.0</v>
      </c>
      <c r="O65" s="188">
        <v>0.0</v>
      </c>
      <c r="P65" s="188">
        <v>0.0</v>
      </c>
      <c r="Q65" s="188">
        <v>0.0</v>
      </c>
      <c r="R65" s="188">
        <v>0.0</v>
      </c>
      <c r="S65" s="188">
        <v>0.0</v>
      </c>
      <c r="T65" s="188"/>
    </row>
    <row r="66">
      <c r="A66" s="188">
        <f t="shared" si="5"/>
        <v>168460</v>
      </c>
      <c r="B66" s="212">
        <f t="shared" si="8"/>
        <v>2854</v>
      </c>
      <c r="C66" s="212">
        <f t="shared" si="7"/>
        <v>2854</v>
      </c>
      <c r="D66" s="215">
        <v>46204.0</v>
      </c>
      <c r="E66" s="202">
        <f t="shared" si="10"/>
        <v>2854</v>
      </c>
      <c r="F66" s="202" t="str">
        <f t="shared" si="4"/>
        <v>Future</v>
      </c>
      <c r="G66" s="188">
        <v>1200.0</v>
      </c>
      <c r="H66" s="188">
        <v>288.0</v>
      </c>
      <c r="I66" s="188">
        <f t="shared" si="9"/>
        <v>1366</v>
      </c>
      <c r="J66" s="188">
        <v>0.0</v>
      </c>
      <c r="K66" s="188">
        <v>0.0</v>
      </c>
      <c r="L66" s="188">
        <v>0.0</v>
      </c>
      <c r="M66" s="188">
        <v>0.0</v>
      </c>
      <c r="N66" s="188">
        <v>0.0</v>
      </c>
      <c r="O66" s="188">
        <v>0.0</v>
      </c>
      <c r="P66" s="188">
        <v>0.0</v>
      </c>
      <c r="Q66" s="188">
        <v>0.0</v>
      </c>
      <c r="R66" s="188">
        <v>0.0</v>
      </c>
      <c r="S66" s="188">
        <v>0.0</v>
      </c>
      <c r="T66" s="188"/>
    </row>
    <row r="67">
      <c r="A67" s="188">
        <f t="shared" si="5"/>
        <v>165605</v>
      </c>
      <c r="B67" s="212">
        <f t="shared" si="8"/>
        <v>2855</v>
      </c>
      <c r="C67" s="212">
        <f t="shared" si="7"/>
        <v>2855</v>
      </c>
      <c r="D67" s="215">
        <v>46235.0</v>
      </c>
      <c r="E67" s="202">
        <f t="shared" si="10"/>
        <v>2855</v>
      </c>
      <c r="F67" s="202" t="str">
        <f t="shared" si="4"/>
        <v>Future</v>
      </c>
      <c r="G67" s="188">
        <v>1200.0</v>
      </c>
      <c r="H67" s="188">
        <v>288.0</v>
      </c>
      <c r="I67" s="188">
        <f t="shared" si="9"/>
        <v>1367</v>
      </c>
      <c r="J67" s="188">
        <v>0.0</v>
      </c>
      <c r="K67" s="188">
        <v>0.0</v>
      </c>
      <c r="L67" s="188">
        <v>0.0</v>
      </c>
      <c r="M67" s="188">
        <v>0.0</v>
      </c>
      <c r="N67" s="188">
        <v>0.0</v>
      </c>
      <c r="O67" s="188">
        <v>0.0</v>
      </c>
      <c r="P67" s="188">
        <v>0.0</v>
      </c>
      <c r="Q67" s="188">
        <v>0.0</v>
      </c>
      <c r="R67" s="188">
        <v>0.0</v>
      </c>
      <c r="S67" s="188">
        <v>0.0</v>
      </c>
      <c r="T67" s="188"/>
    </row>
    <row r="68">
      <c r="A68" s="188">
        <f t="shared" si="5"/>
        <v>162750</v>
      </c>
      <c r="B68" s="212">
        <f t="shared" si="8"/>
        <v>2855</v>
      </c>
      <c r="C68" s="212">
        <f t="shared" si="7"/>
        <v>2855</v>
      </c>
      <c r="D68" s="215">
        <v>46266.0</v>
      </c>
      <c r="E68" s="202">
        <f t="shared" si="10"/>
        <v>2855</v>
      </c>
      <c r="F68" s="202" t="str">
        <f t="shared" si="4"/>
        <v>Future</v>
      </c>
      <c r="G68" s="188">
        <v>1200.0</v>
      </c>
      <c r="H68" s="188">
        <v>288.0</v>
      </c>
      <c r="I68" s="188">
        <f t="shared" si="9"/>
        <v>1367</v>
      </c>
      <c r="J68" s="188">
        <v>0.0</v>
      </c>
      <c r="K68" s="188">
        <v>0.0</v>
      </c>
      <c r="L68" s="188">
        <v>0.0</v>
      </c>
      <c r="M68" s="188">
        <v>0.0</v>
      </c>
      <c r="N68" s="188">
        <v>0.0</v>
      </c>
      <c r="O68" s="188">
        <v>0.0</v>
      </c>
      <c r="P68" s="188">
        <v>0.0</v>
      </c>
      <c r="Q68" s="188">
        <v>0.0</v>
      </c>
      <c r="R68" s="188">
        <v>0.0</v>
      </c>
      <c r="S68" s="188">
        <v>0.0</v>
      </c>
      <c r="T68" s="188"/>
    </row>
    <row r="69">
      <c r="A69" s="188">
        <f t="shared" si="5"/>
        <v>159895</v>
      </c>
      <c r="B69" s="212">
        <f t="shared" si="8"/>
        <v>2855</v>
      </c>
      <c r="C69" s="212">
        <f t="shared" si="7"/>
        <v>2855</v>
      </c>
      <c r="D69" s="215">
        <v>46296.0</v>
      </c>
      <c r="E69" s="202">
        <f t="shared" si="10"/>
        <v>2855</v>
      </c>
      <c r="F69" s="202" t="str">
        <f t="shared" si="4"/>
        <v>Future</v>
      </c>
      <c r="G69" s="188">
        <v>1200.0</v>
      </c>
      <c r="H69" s="188">
        <v>288.0</v>
      </c>
      <c r="I69" s="188">
        <f t="shared" si="9"/>
        <v>1367</v>
      </c>
      <c r="J69" s="188">
        <v>0.0</v>
      </c>
      <c r="K69" s="188">
        <v>0.0</v>
      </c>
      <c r="L69" s="188">
        <v>0.0</v>
      </c>
      <c r="M69" s="188">
        <v>0.0</v>
      </c>
      <c r="N69" s="188">
        <v>0.0</v>
      </c>
      <c r="O69" s="188">
        <v>0.0</v>
      </c>
      <c r="P69" s="188">
        <v>0.0</v>
      </c>
      <c r="Q69" s="188">
        <v>0.0</v>
      </c>
      <c r="R69" s="188">
        <v>0.0</v>
      </c>
      <c r="S69" s="188">
        <v>0.0</v>
      </c>
      <c r="T69" s="188"/>
    </row>
    <row r="70">
      <c r="A70" s="188">
        <f t="shared" si="5"/>
        <v>157040</v>
      </c>
      <c r="B70" s="212">
        <f t="shared" si="8"/>
        <v>2855</v>
      </c>
      <c r="C70" s="212">
        <f t="shared" si="7"/>
        <v>2855</v>
      </c>
      <c r="D70" s="215">
        <v>46327.0</v>
      </c>
      <c r="E70" s="202">
        <f t="shared" si="10"/>
        <v>2855</v>
      </c>
      <c r="F70" s="202" t="str">
        <f t="shared" si="4"/>
        <v>Future</v>
      </c>
      <c r="G70" s="188">
        <v>1200.0</v>
      </c>
      <c r="H70" s="188">
        <v>288.0</v>
      </c>
      <c r="I70" s="188">
        <f t="shared" si="9"/>
        <v>1367</v>
      </c>
      <c r="J70" s="188">
        <v>0.0</v>
      </c>
      <c r="K70" s="188">
        <v>0.0</v>
      </c>
      <c r="L70" s="188">
        <v>0.0</v>
      </c>
      <c r="M70" s="188">
        <v>0.0</v>
      </c>
      <c r="N70" s="188">
        <v>0.0</v>
      </c>
      <c r="O70" s="188">
        <v>0.0</v>
      </c>
      <c r="P70" s="188">
        <v>0.0</v>
      </c>
      <c r="Q70" s="188">
        <v>0.0</v>
      </c>
      <c r="R70" s="188">
        <v>0.0</v>
      </c>
      <c r="S70" s="188">
        <v>0.0</v>
      </c>
      <c r="T70" s="188"/>
    </row>
    <row r="71">
      <c r="A71" s="188">
        <f t="shared" si="5"/>
        <v>154185</v>
      </c>
      <c r="B71" s="212">
        <f t="shared" si="8"/>
        <v>2855</v>
      </c>
      <c r="C71" s="212">
        <f t="shared" si="7"/>
        <v>2855</v>
      </c>
      <c r="D71" s="215">
        <v>46357.0</v>
      </c>
      <c r="E71" s="202">
        <f t="shared" si="10"/>
        <v>2855</v>
      </c>
      <c r="F71" s="202" t="str">
        <f t="shared" si="4"/>
        <v>Future</v>
      </c>
      <c r="G71" s="188">
        <v>1200.0</v>
      </c>
      <c r="H71" s="188">
        <v>288.0</v>
      </c>
      <c r="I71" s="188">
        <f t="shared" si="9"/>
        <v>1367</v>
      </c>
      <c r="J71" s="188">
        <v>0.0</v>
      </c>
      <c r="K71" s="188">
        <v>0.0</v>
      </c>
      <c r="L71" s="188">
        <v>0.0</v>
      </c>
      <c r="M71" s="188">
        <v>0.0</v>
      </c>
      <c r="N71" s="188">
        <v>0.0</v>
      </c>
      <c r="O71" s="188">
        <v>0.0</v>
      </c>
      <c r="P71" s="188">
        <v>0.0</v>
      </c>
      <c r="Q71" s="188">
        <v>0.0</v>
      </c>
      <c r="R71" s="188">
        <v>0.0</v>
      </c>
      <c r="S71" s="188">
        <v>0.0</v>
      </c>
      <c r="T71" s="188"/>
    </row>
    <row r="72">
      <c r="A72" s="188">
        <f t="shared" si="5"/>
        <v>151330</v>
      </c>
      <c r="B72" s="212">
        <f t="shared" si="8"/>
        <v>2855</v>
      </c>
      <c r="C72" s="212">
        <f t="shared" si="7"/>
        <v>2855</v>
      </c>
      <c r="D72" s="215">
        <v>46388.0</v>
      </c>
      <c r="E72" s="202">
        <f t="shared" si="10"/>
        <v>2855</v>
      </c>
      <c r="F72" s="202" t="str">
        <f t="shared" si="4"/>
        <v>Future</v>
      </c>
      <c r="G72" s="188">
        <v>1200.0</v>
      </c>
      <c r="H72" s="188">
        <v>288.0</v>
      </c>
      <c r="I72" s="188">
        <f t="shared" si="9"/>
        <v>1367</v>
      </c>
      <c r="J72" s="188">
        <v>0.0</v>
      </c>
      <c r="K72" s="188">
        <v>0.0</v>
      </c>
      <c r="L72" s="188">
        <v>0.0</v>
      </c>
      <c r="M72" s="188">
        <v>0.0</v>
      </c>
      <c r="N72" s="188">
        <v>0.0</v>
      </c>
      <c r="O72" s="188">
        <v>0.0</v>
      </c>
      <c r="P72" s="188">
        <v>0.0</v>
      </c>
      <c r="Q72" s="188">
        <v>0.0</v>
      </c>
      <c r="R72" s="188">
        <v>0.0</v>
      </c>
      <c r="S72" s="188">
        <v>0.0</v>
      </c>
      <c r="T72" s="188"/>
    </row>
    <row r="73">
      <c r="A73" s="188">
        <f t="shared" si="5"/>
        <v>148475</v>
      </c>
      <c r="B73" s="212">
        <f t="shared" si="8"/>
        <v>2855</v>
      </c>
      <c r="C73" s="212">
        <f t="shared" si="7"/>
        <v>2855</v>
      </c>
      <c r="D73" s="215">
        <v>46419.0</v>
      </c>
      <c r="E73" s="202">
        <f t="shared" si="10"/>
        <v>2855</v>
      </c>
      <c r="F73" s="202" t="str">
        <f t="shared" si="4"/>
        <v>Future</v>
      </c>
      <c r="G73" s="188">
        <v>1200.0</v>
      </c>
      <c r="H73" s="188">
        <v>288.0</v>
      </c>
      <c r="I73" s="188">
        <f t="shared" si="9"/>
        <v>1367</v>
      </c>
      <c r="J73" s="188">
        <v>0.0</v>
      </c>
      <c r="K73" s="188">
        <v>0.0</v>
      </c>
      <c r="L73" s="188">
        <v>0.0</v>
      </c>
      <c r="M73" s="188">
        <v>0.0</v>
      </c>
      <c r="N73" s="188">
        <v>0.0</v>
      </c>
      <c r="O73" s="188">
        <v>0.0</v>
      </c>
      <c r="P73" s="188">
        <v>0.0</v>
      </c>
      <c r="Q73" s="188">
        <v>0.0</v>
      </c>
      <c r="R73" s="188">
        <v>0.0</v>
      </c>
      <c r="S73" s="188">
        <v>0.0</v>
      </c>
      <c r="T73" s="188"/>
    </row>
    <row r="74">
      <c r="A74" s="188">
        <f t="shared" si="5"/>
        <v>140620</v>
      </c>
      <c r="B74" s="212">
        <f t="shared" si="8"/>
        <v>7855</v>
      </c>
      <c r="C74" s="212">
        <f t="shared" si="7"/>
        <v>7855</v>
      </c>
      <c r="D74" s="215">
        <v>46447.0</v>
      </c>
      <c r="E74" s="202">
        <f t="shared" si="10"/>
        <v>7855</v>
      </c>
      <c r="F74" s="202" t="str">
        <f t="shared" si="4"/>
        <v>Future</v>
      </c>
      <c r="G74" s="188">
        <v>1200.0</v>
      </c>
      <c r="H74" s="188">
        <v>288.0</v>
      </c>
      <c r="I74" s="188">
        <f t="shared" si="9"/>
        <v>1367</v>
      </c>
      <c r="J74" s="188">
        <v>0.0</v>
      </c>
      <c r="K74" s="188">
        <v>0.0</v>
      </c>
      <c r="L74" s="188">
        <v>0.0</v>
      </c>
      <c r="M74" s="188">
        <v>0.0</v>
      </c>
      <c r="N74" s="188">
        <v>0.0</v>
      </c>
      <c r="O74" s="188">
        <v>0.0</v>
      </c>
      <c r="P74" s="188">
        <v>0.0</v>
      </c>
      <c r="Q74" s="188">
        <v>0.0</v>
      </c>
      <c r="R74" s="188">
        <v>0.0</v>
      </c>
      <c r="S74" s="188">
        <v>5000.0</v>
      </c>
      <c r="T74" s="188"/>
    </row>
    <row r="75">
      <c r="A75" s="188">
        <f t="shared" si="5"/>
        <v>137765</v>
      </c>
      <c r="B75" s="212">
        <f t="shared" si="8"/>
        <v>2855</v>
      </c>
      <c r="C75" s="212">
        <f t="shared" si="7"/>
        <v>2855</v>
      </c>
      <c r="D75" s="215">
        <v>46478.0</v>
      </c>
      <c r="E75" s="202">
        <f t="shared" si="10"/>
        <v>2855</v>
      </c>
      <c r="F75" s="202" t="str">
        <f t="shared" si="4"/>
        <v>Future</v>
      </c>
      <c r="G75" s="188">
        <v>1200.0</v>
      </c>
      <c r="H75" s="188">
        <v>288.0</v>
      </c>
      <c r="I75" s="188">
        <f t="shared" si="9"/>
        <v>1367</v>
      </c>
      <c r="J75" s="188">
        <v>0.0</v>
      </c>
      <c r="K75" s="188">
        <v>0.0</v>
      </c>
      <c r="L75" s="188">
        <v>0.0</v>
      </c>
      <c r="M75" s="188">
        <v>0.0</v>
      </c>
      <c r="N75" s="188">
        <v>0.0</v>
      </c>
      <c r="O75" s="188">
        <v>0.0</v>
      </c>
      <c r="P75" s="188">
        <v>0.0</v>
      </c>
      <c r="Q75" s="188">
        <v>0.0</v>
      </c>
      <c r="R75" s="188">
        <v>0.0</v>
      </c>
      <c r="S75" s="188">
        <v>0.0</v>
      </c>
      <c r="T75" s="188"/>
    </row>
    <row r="76">
      <c r="A76" s="188">
        <f t="shared" si="5"/>
        <v>134910</v>
      </c>
      <c r="B76" s="212">
        <f t="shared" si="8"/>
        <v>2855</v>
      </c>
      <c r="C76" s="212">
        <f t="shared" si="7"/>
        <v>2855</v>
      </c>
      <c r="D76" s="215">
        <v>46508.0</v>
      </c>
      <c r="E76" s="202">
        <f t="shared" si="10"/>
        <v>2855</v>
      </c>
      <c r="F76" s="202" t="str">
        <f t="shared" si="4"/>
        <v>Future</v>
      </c>
      <c r="G76" s="188">
        <v>1200.0</v>
      </c>
      <c r="H76" s="188">
        <v>288.0</v>
      </c>
      <c r="I76" s="188">
        <f t="shared" si="9"/>
        <v>1367</v>
      </c>
      <c r="J76" s="188">
        <v>0.0</v>
      </c>
      <c r="K76" s="188">
        <v>0.0</v>
      </c>
      <c r="L76" s="188">
        <v>0.0</v>
      </c>
      <c r="M76" s="188">
        <v>0.0</v>
      </c>
      <c r="N76" s="188">
        <v>0.0</v>
      </c>
      <c r="O76" s="188">
        <v>0.0</v>
      </c>
      <c r="P76" s="188">
        <v>0.0</v>
      </c>
      <c r="Q76" s="188">
        <v>0.0</v>
      </c>
      <c r="R76" s="188">
        <v>0.0</v>
      </c>
      <c r="S76" s="188">
        <v>0.0</v>
      </c>
      <c r="T76" s="188"/>
    </row>
    <row r="77">
      <c r="A77" s="188">
        <f t="shared" si="5"/>
        <v>132055</v>
      </c>
      <c r="B77" s="212">
        <f t="shared" si="8"/>
        <v>2855</v>
      </c>
      <c r="C77" s="212">
        <f t="shared" si="7"/>
        <v>2855</v>
      </c>
      <c r="D77" s="215">
        <v>46539.0</v>
      </c>
      <c r="E77" s="202">
        <f t="shared" si="10"/>
        <v>2855</v>
      </c>
      <c r="F77" s="202" t="str">
        <f t="shared" si="4"/>
        <v>Future</v>
      </c>
      <c r="G77" s="188">
        <v>1200.0</v>
      </c>
      <c r="H77" s="188">
        <v>288.0</v>
      </c>
      <c r="I77" s="188">
        <f t="shared" si="9"/>
        <v>1367</v>
      </c>
      <c r="J77" s="188">
        <v>0.0</v>
      </c>
      <c r="K77" s="188">
        <v>0.0</v>
      </c>
      <c r="L77" s="188">
        <v>0.0</v>
      </c>
      <c r="M77" s="188">
        <v>0.0</v>
      </c>
      <c r="N77" s="188">
        <v>0.0</v>
      </c>
      <c r="O77" s="188">
        <v>0.0</v>
      </c>
      <c r="P77" s="188">
        <v>0.0</v>
      </c>
      <c r="Q77" s="188">
        <v>0.0</v>
      </c>
      <c r="R77" s="188">
        <v>0.0</v>
      </c>
      <c r="S77" s="188">
        <v>0.0</v>
      </c>
      <c r="T77" s="188"/>
    </row>
    <row r="78">
      <c r="A78" s="188">
        <f t="shared" si="5"/>
        <v>129200</v>
      </c>
      <c r="B78" s="212">
        <f t="shared" si="8"/>
        <v>2855</v>
      </c>
      <c r="C78" s="212">
        <f t="shared" si="7"/>
        <v>2855</v>
      </c>
      <c r="D78" s="215">
        <v>46569.0</v>
      </c>
      <c r="E78" s="202">
        <f t="shared" si="10"/>
        <v>2855</v>
      </c>
      <c r="F78" s="202" t="str">
        <f t="shared" si="4"/>
        <v>Future</v>
      </c>
      <c r="G78" s="188">
        <v>1200.0</v>
      </c>
      <c r="H78" s="188">
        <v>288.0</v>
      </c>
      <c r="I78" s="188">
        <f t="shared" si="9"/>
        <v>1367</v>
      </c>
      <c r="J78" s="188">
        <v>0.0</v>
      </c>
      <c r="K78" s="188">
        <v>0.0</v>
      </c>
      <c r="L78" s="188">
        <v>0.0</v>
      </c>
      <c r="M78" s="188">
        <v>0.0</v>
      </c>
      <c r="N78" s="188">
        <v>0.0</v>
      </c>
      <c r="O78" s="188">
        <v>0.0</v>
      </c>
      <c r="P78" s="188">
        <v>0.0</v>
      </c>
      <c r="Q78" s="188">
        <v>0.0</v>
      </c>
      <c r="R78" s="188">
        <v>0.0</v>
      </c>
      <c r="S78" s="188">
        <v>0.0</v>
      </c>
      <c r="T78" s="188"/>
    </row>
    <row r="79">
      <c r="A79" s="188">
        <f t="shared" si="5"/>
        <v>126345</v>
      </c>
      <c r="B79" s="212">
        <f t="shared" si="8"/>
        <v>2855</v>
      </c>
      <c r="C79" s="212">
        <f t="shared" si="7"/>
        <v>2855</v>
      </c>
      <c r="D79" s="215">
        <v>46600.0</v>
      </c>
      <c r="E79" s="202">
        <f t="shared" si="10"/>
        <v>2855</v>
      </c>
      <c r="F79" s="202" t="str">
        <f t="shared" si="4"/>
        <v>Future</v>
      </c>
      <c r="G79" s="188">
        <v>1200.0</v>
      </c>
      <c r="H79" s="188">
        <v>288.0</v>
      </c>
      <c r="I79" s="188">
        <f t="shared" si="9"/>
        <v>1367</v>
      </c>
      <c r="J79" s="188">
        <v>0.0</v>
      </c>
      <c r="K79" s="188">
        <v>0.0</v>
      </c>
      <c r="L79" s="188">
        <v>0.0</v>
      </c>
      <c r="M79" s="188">
        <v>0.0</v>
      </c>
      <c r="N79" s="188">
        <v>0.0</v>
      </c>
      <c r="O79" s="188">
        <v>0.0</v>
      </c>
      <c r="P79" s="188">
        <v>0.0</v>
      </c>
      <c r="Q79" s="188">
        <v>0.0</v>
      </c>
      <c r="R79" s="188">
        <v>0.0</v>
      </c>
      <c r="S79" s="188">
        <v>0.0</v>
      </c>
      <c r="T79" s="188"/>
    </row>
    <row r="80">
      <c r="A80" s="188">
        <f t="shared" si="5"/>
        <v>123490</v>
      </c>
      <c r="B80" s="212">
        <f t="shared" si="8"/>
        <v>2855</v>
      </c>
      <c r="C80" s="212">
        <f t="shared" si="7"/>
        <v>2855</v>
      </c>
      <c r="D80" s="215">
        <v>46631.0</v>
      </c>
      <c r="E80" s="202">
        <f t="shared" si="10"/>
        <v>2855</v>
      </c>
      <c r="F80" s="202" t="str">
        <f t="shared" si="4"/>
        <v>Future</v>
      </c>
      <c r="G80" s="188">
        <v>1200.0</v>
      </c>
      <c r="H80" s="188">
        <v>288.0</v>
      </c>
      <c r="I80" s="188">
        <f t="shared" si="9"/>
        <v>1367</v>
      </c>
      <c r="J80" s="188">
        <v>0.0</v>
      </c>
      <c r="K80" s="188">
        <v>0.0</v>
      </c>
      <c r="L80" s="188">
        <v>0.0</v>
      </c>
      <c r="M80" s="188">
        <v>0.0</v>
      </c>
      <c r="N80" s="188">
        <v>0.0</v>
      </c>
      <c r="O80" s="188">
        <v>0.0</v>
      </c>
      <c r="P80" s="188">
        <v>0.0</v>
      </c>
      <c r="Q80" s="188">
        <v>0.0</v>
      </c>
      <c r="R80" s="188">
        <v>0.0</v>
      </c>
      <c r="S80" s="188">
        <v>0.0</v>
      </c>
      <c r="T80" s="188"/>
    </row>
    <row r="81">
      <c r="A81" s="188">
        <f t="shared" si="5"/>
        <v>120635</v>
      </c>
      <c r="B81" s="212">
        <f t="shared" si="8"/>
        <v>2855</v>
      </c>
      <c r="C81" s="212">
        <f t="shared" si="7"/>
        <v>2855</v>
      </c>
      <c r="D81" s="215">
        <v>46661.0</v>
      </c>
      <c r="E81" s="202">
        <f t="shared" si="10"/>
        <v>2855</v>
      </c>
      <c r="F81" s="202" t="str">
        <f t="shared" si="4"/>
        <v>Future</v>
      </c>
      <c r="G81" s="188">
        <v>1200.0</v>
      </c>
      <c r="H81" s="188">
        <v>288.0</v>
      </c>
      <c r="I81" s="188">
        <f t="shared" si="9"/>
        <v>1367</v>
      </c>
      <c r="J81" s="188">
        <v>0.0</v>
      </c>
      <c r="K81" s="188">
        <v>0.0</v>
      </c>
      <c r="L81" s="188">
        <v>0.0</v>
      </c>
      <c r="M81" s="188">
        <v>0.0</v>
      </c>
      <c r="N81" s="188">
        <v>0.0</v>
      </c>
      <c r="O81" s="188">
        <v>0.0</v>
      </c>
      <c r="P81" s="188">
        <v>0.0</v>
      </c>
      <c r="Q81" s="188">
        <v>0.0</v>
      </c>
      <c r="R81" s="188">
        <v>0.0</v>
      </c>
      <c r="S81" s="188">
        <v>0.0</v>
      </c>
      <c r="T81" s="188"/>
    </row>
    <row r="82">
      <c r="A82" s="188">
        <f t="shared" si="5"/>
        <v>117780</v>
      </c>
      <c r="B82" s="212">
        <f t="shared" si="8"/>
        <v>2855</v>
      </c>
      <c r="C82" s="212">
        <f t="shared" si="7"/>
        <v>2855</v>
      </c>
      <c r="D82" s="215">
        <v>46692.0</v>
      </c>
      <c r="E82" s="202">
        <f t="shared" si="10"/>
        <v>2855</v>
      </c>
      <c r="F82" s="202" t="str">
        <f t="shared" si="4"/>
        <v>Future</v>
      </c>
      <c r="G82" s="188">
        <v>1200.0</v>
      </c>
      <c r="H82" s="188">
        <v>288.0</v>
      </c>
      <c r="I82" s="188">
        <f t="shared" si="9"/>
        <v>1367</v>
      </c>
      <c r="J82" s="188">
        <v>0.0</v>
      </c>
      <c r="K82" s="188">
        <v>0.0</v>
      </c>
      <c r="L82" s="188">
        <v>0.0</v>
      </c>
      <c r="M82" s="188">
        <v>0.0</v>
      </c>
      <c r="N82" s="188">
        <v>0.0</v>
      </c>
      <c r="O82" s="188">
        <v>0.0</v>
      </c>
      <c r="P82" s="188">
        <v>0.0</v>
      </c>
      <c r="Q82" s="188">
        <v>0.0</v>
      </c>
      <c r="R82" s="188">
        <v>0.0</v>
      </c>
      <c r="S82" s="188">
        <v>0.0</v>
      </c>
      <c r="T82" s="188"/>
    </row>
    <row r="83">
      <c r="A83" s="188">
        <f t="shared" si="5"/>
        <v>114925</v>
      </c>
      <c r="B83" s="212">
        <f t="shared" si="8"/>
        <v>2855</v>
      </c>
      <c r="C83" s="212">
        <f t="shared" si="7"/>
        <v>2855</v>
      </c>
      <c r="D83" s="215">
        <v>46722.0</v>
      </c>
      <c r="E83" s="202">
        <f t="shared" si="10"/>
        <v>2855</v>
      </c>
      <c r="F83" s="202" t="str">
        <f t="shared" si="4"/>
        <v>Future</v>
      </c>
      <c r="G83" s="188">
        <v>1200.0</v>
      </c>
      <c r="H83" s="188">
        <v>288.0</v>
      </c>
      <c r="I83" s="188">
        <f t="shared" si="9"/>
        <v>1367</v>
      </c>
      <c r="J83" s="188">
        <v>0.0</v>
      </c>
      <c r="K83" s="188">
        <v>0.0</v>
      </c>
      <c r="L83" s="188">
        <v>0.0</v>
      </c>
      <c r="M83" s="188">
        <v>0.0</v>
      </c>
      <c r="N83" s="188">
        <v>0.0</v>
      </c>
      <c r="O83" s="188">
        <v>0.0</v>
      </c>
      <c r="P83" s="188">
        <v>0.0</v>
      </c>
      <c r="Q83" s="188">
        <v>0.0</v>
      </c>
      <c r="R83" s="188">
        <v>0.0</v>
      </c>
      <c r="S83" s="188">
        <v>0.0</v>
      </c>
      <c r="T83" s="188"/>
    </row>
    <row r="84">
      <c r="A84" s="188">
        <f t="shared" si="5"/>
        <v>112070</v>
      </c>
      <c r="B84" s="212">
        <f t="shared" si="8"/>
        <v>2855</v>
      </c>
      <c r="C84" s="212">
        <f t="shared" si="7"/>
        <v>2855</v>
      </c>
      <c r="D84" s="215">
        <v>46753.0</v>
      </c>
      <c r="E84" s="202">
        <f t="shared" si="10"/>
        <v>2855</v>
      </c>
      <c r="F84" s="202" t="str">
        <f t="shared" si="4"/>
        <v>Future</v>
      </c>
      <c r="G84" s="188">
        <v>1200.0</v>
      </c>
      <c r="H84" s="188">
        <v>288.0</v>
      </c>
      <c r="I84" s="188">
        <f t="shared" si="9"/>
        <v>1367</v>
      </c>
      <c r="J84" s="188">
        <v>0.0</v>
      </c>
      <c r="K84" s="188">
        <v>0.0</v>
      </c>
      <c r="L84" s="188">
        <v>0.0</v>
      </c>
      <c r="M84" s="188">
        <v>0.0</v>
      </c>
      <c r="N84" s="188">
        <v>0.0</v>
      </c>
      <c r="O84" s="188">
        <v>0.0</v>
      </c>
      <c r="P84" s="188">
        <v>0.0</v>
      </c>
      <c r="Q84" s="188">
        <v>0.0</v>
      </c>
      <c r="R84" s="188">
        <v>0.0</v>
      </c>
      <c r="S84" s="188">
        <v>0.0</v>
      </c>
      <c r="T84" s="188"/>
    </row>
    <row r="85">
      <c r="A85" s="188">
        <f t="shared" si="5"/>
        <v>109215</v>
      </c>
      <c r="B85" s="212">
        <f t="shared" si="8"/>
        <v>2855</v>
      </c>
      <c r="C85" s="212">
        <f t="shared" si="7"/>
        <v>2855</v>
      </c>
      <c r="D85" s="215">
        <v>46784.0</v>
      </c>
      <c r="E85" s="202">
        <f t="shared" si="10"/>
        <v>2855</v>
      </c>
      <c r="F85" s="202" t="str">
        <f t="shared" si="4"/>
        <v>Future</v>
      </c>
      <c r="G85" s="188">
        <v>1200.0</v>
      </c>
      <c r="H85" s="188">
        <v>288.0</v>
      </c>
      <c r="I85" s="188">
        <f t="shared" si="9"/>
        <v>1367</v>
      </c>
      <c r="J85" s="188">
        <v>0.0</v>
      </c>
      <c r="K85" s="188">
        <v>0.0</v>
      </c>
      <c r="L85" s="188">
        <v>0.0</v>
      </c>
      <c r="M85" s="188">
        <v>0.0</v>
      </c>
      <c r="N85" s="188">
        <v>0.0</v>
      </c>
      <c r="O85" s="188">
        <v>0.0</v>
      </c>
      <c r="P85" s="188">
        <v>0.0</v>
      </c>
      <c r="Q85" s="188">
        <v>0.0</v>
      </c>
      <c r="R85" s="188">
        <v>0.0</v>
      </c>
      <c r="S85" s="188">
        <v>0.0</v>
      </c>
      <c r="T85" s="188"/>
    </row>
    <row r="86">
      <c r="A86" s="188">
        <f t="shared" si="5"/>
        <v>101360</v>
      </c>
      <c r="B86" s="212">
        <f t="shared" si="8"/>
        <v>7855</v>
      </c>
      <c r="C86" s="212">
        <f t="shared" si="7"/>
        <v>7855</v>
      </c>
      <c r="D86" s="215">
        <v>46813.0</v>
      </c>
      <c r="E86" s="202">
        <f t="shared" si="10"/>
        <v>7855</v>
      </c>
      <c r="F86" s="202" t="str">
        <f t="shared" si="4"/>
        <v>Future</v>
      </c>
      <c r="G86" s="188">
        <v>1200.0</v>
      </c>
      <c r="H86" s="188">
        <v>288.0</v>
      </c>
      <c r="I86" s="188">
        <f t="shared" si="9"/>
        <v>1367</v>
      </c>
      <c r="J86" s="188">
        <v>0.0</v>
      </c>
      <c r="K86" s="188">
        <v>0.0</v>
      </c>
      <c r="L86" s="188">
        <v>0.0</v>
      </c>
      <c r="M86" s="188">
        <v>0.0</v>
      </c>
      <c r="N86" s="188">
        <v>0.0</v>
      </c>
      <c r="O86" s="188">
        <v>0.0</v>
      </c>
      <c r="P86" s="188">
        <v>0.0</v>
      </c>
      <c r="Q86" s="188">
        <v>0.0</v>
      </c>
      <c r="R86" s="188">
        <v>0.0</v>
      </c>
      <c r="S86" s="188">
        <v>5000.0</v>
      </c>
      <c r="T86" s="188"/>
    </row>
    <row r="87">
      <c r="A87" s="188">
        <f t="shared" si="5"/>
        <v>98505</v>
      </c>
      <c r="B87" s="212">
        <f t="shared" si="8"/>
        <v>2855</v>
      </c>
      <c r="C87" s="212">
        <f t="shared" si="7"/>
        <v>2855</v>
      </c>
      <c r="D87" s="215">
        <v>46844.0</v>
      </c>
      <c r="E87" s="202">
        <f t="shared" si="10"/>
        <v>2855</v>
      </c>
      <c r="F87" s="202" t="str">
        <f t="shared" si="4"/>
        <v>Future</v>
      </c>
      <c r="G87" s="188">
        <v>1200.0</v>
      </c>
      <c r="H87" s="188">
        <v>288.0</v>
      </c>
      <c r="I87" s="188">
        <f t="shared" si="9"/>
        <v>1367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/>
    </row>
    <row r="88">
      <c r="A88" s="188">
        <f t="shared" si="5"/>
        <v>95650</v>
      </c>
      <c r="B88" s="212">
        <f t="shared" si="8"/>
        <v>2855</v>
      </c>
      <c r="C88" s="212">
        <f t="shared" si="7"/>
        <v>2855</v>
      </c>
      <c r="D88" s="215">
        <v>46874.0</v>
      </c>
      <c r="E88" s="202">
        <f t="shared" si="10"/>
        <v>2855</v>
      </c>
      <c r="F88" s="202" t="str">
        <f t="shared" si="4"/>
        <v>Future</v>
      </c>
      <c r="G88" s="188">
        <v>1200.0</v>
      </c>
      <c r="H88" s="188">
        <v>288.0</v>
      </c>
      <c r="I88" s="188">
        <f t="shared" si="9"/>
        <v>1367</v>
      </c>
      <c r="J88" s="188">
        <v>0.0</v>
      </c>
      <c r="K88" s="188">
        <v>0.0</v>
      </c>
      <c r="L88" s="188">
        <v>0.0</v>
      </c>
      <c r="M88" s="188">
        <v>0.0</v>
      </c>
      <c r="N88" s="188">
        <v>0.0</v>
      </c>
      <c r="O88" s="188">
        <v>0.0</v>
      </c>
      <c r="P88" s="188">
        <v>0.0</v>
      </c>
      <c r="Q88" s="188">
        <v>0.0</v>
      </c>
      <c r="R88" s="188">
        <v>0.0</v>
      </c>
      <c r="S88" s="188">
        <v>0.0</v>
      </c>
      <c r="T88" s="188"/>
    </row>
    <row r="89">
      <c r="A89" s="188">
        <f t="shared" si="5"/>
        <v>92795</v>
      </c>
      <c r="B89" s="212">
        <f t="shared" si="8"/>
        <v>2855</v>
      </c>
      <c r="C89" s="212">
        <f t="shared" si="7"/>
        <v>2855</v>
      </c>
      <c r="D89" s="215">
        <v>46905.0</v>
      </c>
      <c r="E89" s="202">
        <f t="shared" si="10"/>
        <v>2855</v>
      </c>
      <c r="F89" s="202" t="str">
        <f t="shared" si="4"/>
        <v>Future</v>
      </c>
      <c r="G89" s="188">
        <v>1200.0</v>
      </c>
      <c r="H89" s="188">
        <v>288.0</v>
      </c>
      <c r="I89" s="188">
        <f t="shared" si="9"/>
        <v>1367</v>
      </c>
      <c r="J89" s="188">
        <v>0.0</v>
      </c>
      <c r="K89" s="188">
        <v>0.0</v>
      </c>
      <c r="L89" s="188">
        <v>0.0</v>
      </c>
      <c r="M89" s="188">
        <v>0.0</v>
      </c>
      <c r="N89" s="188">
        <v>0.0</v>
      </c>
      <c r="O89" s="188">
        <v>0.0</v>
      </c>
      <c r="P89" s="188">
        <v>0.0</v>
      </c>
      <c r="Q89" s="188">
        <v>0.0</v>
      </c>
      <c r="R89" s="188">
        <v>0.0</v>
      </c>
      <c r="S89" s="188">
        <v>0.0</v>
      </c>
      <c r="T89" s="188"/>
    </row>
    <row r="90">
      <c r="A90" s="188">
        <f t="shared" si="5"/>
        <v>89940</v>
      </c>
      <c r="B90" s="212">
        <f t="shared" si="8"/>
        <v>2855</v>
      </c>
      <c r="C90" s="212">
        <f t="shared" si="7"/>
        <v>2855</v>
      </c>
      <c r="D90" s="215">
        <v>46935.0</v>
      </c>
      <c r="E90" s="202">
        <f t="shared" si="10"/>
        <v>2855</v>
      </c>
      <c r="F90" s="202" t="str">
        <f t="shared" si="4"/>
        <v>Future</v>
      </c>
      <c r="G90" s="188">
        <v>1200.0</v>
      </c>
      <c r="H90" s="188">
        <v>288.0</v>
      </c>
      <c r="I90" s="188">
        <f t="shared" si="9"/>
        <v>1367</v>
      </c>
      <c r="J90" s="188">
        <v>0.0</v>
      </c>
      <c r="K90" s="188">
        <v>0.0</v>
      </c>
      <c r="L90" s="188">
        <v>0.0</v>
      </c>
      <c r="M90" s="188">
        <v>0.0</v>
      </c>
      <c r="N90" s="188">
        <v>0.0</v>
      </c>
      <c r="O90" s="188">
        <v>0.0</v>
      </c>
      <c r="P90" s="188">
        <v>0.0</v>
      </c>
      <c r="Q90" s="188">
        <v>0.0</v>
      </c>
      <c r="R90" s="188">
        <v>0.0</v>
      </c>
      <c r="S90" s="188">
        <v>0.0</v>
      </c>
      <c r="T90" s="188"/>
    </row>
    <row r="91">
      <c r="A91" s="188">
        <f t="shared" si="5"/>
        <v>87085</v>
      </c>
      <c r="B91" s="212">
        <f t="shared" si="8"/>
        <v>2855</v>
      </c>
      <c r="C91" s="212">
        <f t="shared" si="7"/>
        <v>2855</v>
      </c>
      <c r="D91" s="215">
        <v>46966.0</v>
      </c>
      <c r="E91" s="202">
        <f t="shared" si="10"/>
        <v>2855</v>
      </c>
      <c r="F91" s="202" t="str">
        <f t="shared" si="4"/>
        <v>Future</v>
      </c>
      <c r="G91" s="188">
        <v>1200.0</v>
      </c>
      <c r="H91" s="188">
        <v>288.0</v>
      </c>
      <c r="I91" s="188">
        <f t="shared" si="9"/>
        <v>1367</v>
      </c>
      <c r="J91" s="188">
        <v>0.0</v>
      </c>
      <c r="K91" s="188">
        <v>0.0</v>
      </c>
      <c r="L91" s="188">
        <v>0.0</v>
      </c>
      <c r="M91" s="188">
        <v>0.0</v>
      </c>
      <c r="N91" s="188">
        <v>0.0</v>
      </c>
      <c r="O91" s="188">
        <v>0.0</v>
      </c>
      <c r="P91" s="188">
        <v>0.0</v>
      </c>
      <c r="Q91" s="188">
        <v>0.0</v>
      </c>
      <c r="R91" s="188">
        <v>0.0</v>
      </c>
      <c r="S91" s="188">
        <v>0.0</v>
      </c>
      <c r="T91" s="188"/>
    </row>
    <row r="92">
      <c r="A92" s="188">
        <f t="shared" si="5"/>
        <v>84230</v>
      </c>
      <c r="B92" s="212">
        <f t="shared" si="8"/>
        <v>2855</v>
      </c>
      <c r="C92" s="212">
        <f t="shared" si="7"/>
        <v>2855</v>
      </c>
      <c r="D92" s="215">
        <v>46997.0</v>
      </c>
      <c r="E92" s="202">
        <f t="shared" si="10"/>
        <v>2855</v>
      </c>
      <c r="F92" s="202" t="str">
        <f t="shared" si="4"/>
        <v>Future</v>
      </c>
      <c r="G92" s="188">
        <v>1200.0</v>
      </c>
      <c r="H92" s="188">
        <v>288.0</v>
      </c>
      <c r="I92" s="188">
        <f t="shared" si="9"/>
        <v>1367</v>
      </c>
      <c r="J92" s="188">
        <v>0.0</v>
      </c>
      <c r="K92" s="188">
        <v>0.0</v>
      </c>
      <c r="L92" s="188">
        <v>0.0</v>
      </c>
      <c r="M92" s="188">
        <v>0.0</v>
      </c>
      <c r="N92" s="188">
        <v>0.0</v>
      </c>
      <c r="O92" s="188">
        <v>0.0</v>
      </c>
      <c r="P92" s="188">
        <v>0.0</v>
      </c>
      <c r="Q92" s="188">
        <v>0.0</v>
      </c>
      <c r="R92" s="188">
        <v>0.0</v>
      </c>
      <c r="S92" s="188">
        <v>0.0</v>
      </c>
      <c r="T92" s="188"/>
    </row>
    <row r="93">
      <c r="A93" s="188">
        <f t="shared" si="5"/>
        <v>81375</v>
      </c>
      <c r="B93" s="212">
        <f t="shared" si="8"/>
        <v>2855</v>
      </c>
      <c r="C93" s="212">
        <f t="shared" si="7"/>
        <v>2855</v>
      </c>
      <c r="D93" s="215">
        <v>47027.0</v>
      </c>
      <c r="E93" s="202">
        <f t="shared" si="10"/>
        <v>2855</v>
      </c>
      <c r="F93" s="202" t="str">
        <f t="shared" si="4"/>
        <v>Future</v>
      </c>
      <c r="G93" s="188">
        <v>1200.0</v>
      </c>
      <c r="H93" s="188">
        <v>288.0</v>
      </c>
      <c r="I93" s="188">
        <f t="shared" si="9"/>
        <v>1367</v>
      </c>
      <c r="J93" s="188">
        <v>0.0</v>
      </c>
      <c r="K93" s="188">
        <v>0.0</v>
      </c>
      <c r="L93" s="188">
        <v>0.0</v>
      </c>
      <c r="M93" s="188">
        <v>0.0</v>
      </c>
      <c r="N93" s="188">
        <v>0.0</v>
      </c>
      <c r="O93" s="188">
        <v>0.0</v>
      </c>
      <c r="P93" s="188">
        <v>0.0</v>
      </c>
      <c r="Q93" s="188">
        <v>0.0</v>
      </c>
      <c r="R93" s="188">
        <v>0.0</v>
      </c>
      <c r="S93" s="188">
        <v>0.0</v>
      </c>
      <c r="T93" s="188"/>
    </row>
    <row r="94">
      <c r="A94" s="188">
        <f t="shared" si="5"/>
        <v>78520</v>
      </c>
      <c r="B94" s="212">
        <f t="shared" si="8"/>
        <v>2855</v>
      </c>
      <c r="C94" s="212">
        <f t="shared" si="7"/>
        <v>2855</v>
      </c>
      <c r="D94" s="215">
        <v>47058.0</v>
      </c>
      <c r="E94" s="202">
        <f t="shared" si="10"/>
        <v>2855</v>
      </c>
      <c r="F94" s="202" t="str">
        <f t="shared" si="4"/>
        <v>Future</v>
      </c>
      <c r="G94" s="188">
        <v>1200.0</v>
      </c>
      <c r="H94" s="188">
        <v>288.0</v>
      </c>
      <c r="I94" s="188">
        <f t="shared" si="9"/>
        <v>1367</v>
      </c>
      <c r="J94" s="188">
        <v>0.0</v>
      </c>
      <c r="K94" s="188">
        <v>0.0</v>
      </c>
      <c r="L94" s="188">
        <v>0.0</v>
      </c>
      <c r="M94" s="188">
        <v>0.0</v>
      </c>
      <c r="N94" s="188">
        <v>0.0</v>
      </c>
      <c r="O94" s="188">
        <v>0.0</v>
      </c>
      <c r="P94" s="188">
        <v>0.0</v>
      </c>
      <c r="Q94" s="188">
        <v>0.0</v>
      </c>
      <c r="R94" s="188">
        <v>0.0</v>
      </c>
      <c r="S94" s="188">
        <v>0.0</v>
      </c>
      <c r="T94" s="188"/>
    </row>
    <row r="95">
      <c r="A95" s="188">
        <f t="shared" si="5"/>
        <v>75665</v>
      </c>
      <c r="B95" s="212">
        <f t="shared" si="8"/>
        <v>2855</v>
      </c>
      <c r="C95" s="212">
        <f t="shared" si="7"/>
        <v>2855</v>
      </c>
      <c r="D95" s="215">
        <v>47088.0</v>
      </c>
      <c r="E95" s="202">
        <f t="shared" si="10"/>
        <v>2855</v>
      </c>
      <c r="F95" s="202" t="str">
        <f t="shared" si="4"/>
        <v>Future</v>
      </c>
      <c r="G95" s="188">
        <v>1200.0</v>
      </c>
      <c r="H95" s="188">
        <v>288.0</v>
      </c>
      <c r="I95" s="188">
        <f t="shared" si="9"/>
        <v>1367</v>
      </c>
      <c r="J95" s="188">
        <v>0.0</v>
      </c>
      <c r="K95" s="188">
        <v>0.0</v>
      </c>
      <c r="L95" s="188">
        <v>0.0</v>
      </c>
      <c r="M95" s="188">
        <v>0.0</v>
      </c>
      <c r="N95" s="188">
        <v>0.0</v>
      </c>
      <c r="O95" s="188">
        <v>0.0</v>
      </c>
      <c r="P95" s="188">
        <v>0.0</v>
      </c>
      <c r="Q95" s="188">
        <v>0.0</v>
      </c>
      <c r="R95" s="188">
        <v>0.0</v>
      </c>
      <c r="S95" s="188">
        <v>0.0</v>
      </c>
      <c r="T95" s="188"/>
    </row>
    <row r="96">
      <c r="A96" s="188">
        <f t="shared" si="5"/>
        <v>72810</v>
      </c>
      <c r="B96" s="212">
        <f t="shared" si="8"/>
        <v>2855</v>
      </c>
      <c r="C96" s="212">
        <f t="shared" si="7"/>
        <v>2855</v>
      </c>
      <c r="D96" s="215">
        <v>47119.0</v>
      </c>
      <c r="E96" s="202">
        <f t="shared" si="10"/>
        <v>2855</v>
      </c>
      <c r="F96" s="202" t="str">
        <f t="shared" si="4"/>
        <v>Future</v>
      </c>
      <c r="G96" s="188">
        <v>1200.0</v>
      </c>
      <c r="H96" s="188">
        <v>288.0</v>
      </c>
      <c r="I96" s="188">
        <f t="shared" si="9"/>
        <v>1367</v>
      </c>
      <c r="J96" s="188">
        <v>0.0</v>
      </c>
      <c r="K96" s="188">
        <v>0.0</v>
      </c>
      <c r="L96" s="188">
        <v>0.0</v>
      </c>
      <c r="M96" s="188">
        <v>0.0</v>
      </c>
      <c r="N96" s="188">
        <v>0.0</v>
      </c>
      <c r="O96" s="188">
        <v>0.0</v>
      </c>
      <c r="P96" s="188">
        <v>0.0</v>
      </c>
      <c r="Q96" s="188">
        <v>0.0</v>
      </c>
      <c r="R96" s="188">
        <v>0.0</v>
      </c>
      <c r="S96" s="188">
        <v>0.0</v>
      </c>
      <c r="T96" s="188"/>
    </row>
    <row r="97">
      <c r="A97" s="188">
        <f t="shared" si="5"/>
        <v>69955</v>
      </c>
      <c r="B97" s="212">
        <f t="shared" si="8"/>
        <v>2855</v>
      </c>
      <c r="C97" s="212">
        <f t="shared" si="7"/>
        <v>2855</v>
      </c>
      <c r="D97" s="215">
        <v>47150.0</v>
      </c>
      <c r="E97" s="202">
        <f t="shared" si="10"/>
        <v>2855</v>
      </c>
      <c r="F97" s="202" t="str">
        <f t="shared" si="4"/>
        <v>Future</v>
      </c>
      <c r="G97" s="188">
        <v>1200.0</v>
      </c>
      <c r="H97" s="188">
        <v>288.0</v>
      </c>
      <c r="I97" s="188">
        <f t="shared" si="9"/>
        <v>1367</v>
      </c>
      <c r="J97" s="188">
        <v>0.0</v>
      </c>
      <c r="K97" s="188">
        <v>0.0</v>
      </c>
      <c r="L97" s="188">
        <v>0.0</v>
      </c>
      <c r="M97" s="188">
        <v>0.0</v>
      </c>
      <c r="N97" s="188">
        <v>0.0</v>
      </c>
      <c r="O97" s="188">
        <v>0.0</v>
      </c>
      <c r="P97" s="188">
        <v>0.0</v>
      </c>
      <c r="Q97" s="188">
        <v>0.0</v>
      </c>
      <c r="R97" s="188">
        <v>0.0</v>
      </c>
      <c r="S97" s="188">
        <v>0.0</v>
      </c>
      <c r="T97" s="188"/>
    </row>
    <row r="98">
      <c r="A98" s="188">
        <f t="shared" si="5"/>
        <v>67100</v>
      </c>
      <c r="B98" s="212">
        <f t="shared" si="8"/>
        <v>2855</v>
      </c>
      <c r="C98" s="212">
        <f t="shared" si="7"/>
        <v>2855</v>
      </c>
      <c r="D98" s="215">
        <v>47178.0</v>
      </c>
      <c r="E98" s="202">
        <f t="shared" si="10"/>
        <v>2855</v>
      </c>
      <c r="F98" s="202" t="str">
        <f t="shared" si="4"/>
        <v>Future</v>
      </c>
      <c r="G98" s="188">
        <v>1200.0</v>
      </c>
      <c r="H98" s="188">
        <v>288.0</v>
      </c>
      <c r="I98" s="188">
        <f t="shared" si="9"/>
        <v>1367</v>
      </c>
      <c r="J98" s="188">
        <v>0.0</v>
      </c>
      <c r="K98" s="188">
        <v>0.0</v>
      </c>
      <c r="L98" s="188">
        <v>0.0</v>
      </c>
      <c r="M98" s="188">
        <v>0.0</v>
      </c>
      <c r="N98" s="188">
        <v>0.0</v>
      </c>
      <c r="O98" s="188">
        <v>0.0</v>
      </c>
      <c r="P98" s="188">
        <v>0.0</v>
      </c>
      <c r="Q98" s="188">
        <v>0.0</v>
      </c>
      <c r="R98" s="188">
        <v>0.0</v>
      </c>
      <c r="S98" s="188">
        <v>0.0</v>
      </c>
      <c r="T98" s="188"/>
    </row>
    <row r="99">
      <c r="A99" s="188">
        <f t="shared" si="5"/>
        <v>59245</v>
      </c>
      <c r="B99" s="212">
        <f t="shared" si="8"/>
        <v>7855</v>
      </c>
      <c r="C99" s="212">
        <f t="shared" si="7"/>
        <v>7855</v>
      </c>
      <c r="D99" s="215">
        <v>47209.0</v>
      </c>
      <c r="E99" s="202">
        <f t="shared" si="10"/>
        <v>7855</v>
      </c>
      <c r="F99" s="202" t="str">
        <f t="shared" si="4"/>
        <v>Future</v>
      </c>
      <c r="G99" s="188">
        <v>1200.0</v>
      </c>
      <c r="H99" s="188">
        <v>288.0</v>
      </c>
      <c r="I99" s="188">
        <f t="shared" si="9"/>
        <v>1367</v>
      </c>
      <c r="J99" s="188">
        <v>0.0</v>
      </c>
      <c r="K99" s="188">
        <v>0.0</v>
      </c>
      <c r="L99" s="188">
        <v>0.0</v>
      </c>
      <c r="M99" s="188">
        <v>0.0</v>
      </c>
      <c r="N99" s="188">
        <v>0.0</v>
      </c>
      <c r="O99" s="188">
        <v>0.0</v>
      </c>
      <c r="P99" s="188">
        <v>0.0</v>
      </c>
      <c r="Q99" s="188">
        <v>0.0</v>
      </c>
      <c r="R99" s="188">
        <v>0.0</v>
      </c>
      <c r="S99" s="188">
        <v>5000.0</v>
      </c>
      <c r="T99" s="188"/>
    </row>
    <row r="100">
      <c r="A100" s="188">
        <f t="shared" si="5"/>
        <v>56390</v>
      </c>
      <c r="B100" s="212">
        <f t="shared" si="8"/>
        <v>2855</v>
      </c>
      <c r="C100" s="212">
        <f t="shared" si="7"/>
        <v>2855</v>
      </c>
      <c r="D100" s="215">
        <v>47239.0</v>
      </c>
      <c r="E100" s="202">
        <f t="shared" si="10"/>
        <v>2855</v>
      </c>
      <c r="F100" s="202" t="str">
        <f t="shared" si="4"/>
        <v>Future</v>
      </c>
      <c r="G100" s="188">
        <v>1200.0</v>
      </c>
      <c r="H100" s="188">
        <v>288.0</v>
      </c>
      <c r="I100" s="188">
        <f t="shared" si="9"/>
        <v>1367</v>
      </c>
      <c r="J100" s="188">
        <v>0.0</v>
      </c>
      <c r="K100" s="188">
        <v>0.0</v>
      </c>
      <c r="L100" s="188">
        <v>0.0</v>
      </c>
      <c r="M100" s="188">
        <v>0.0</v>
      </c>
      <c r="N100" s="188">
        <v>0.0</v>
      </c>
      <c r="O100" s="188">
        <v>0.0</v>
      </c>
      <c r="P100" s="188">
        <v>0.0</v>
      </c>
      <c r="Q100" s="188">
        <v>0.0</v>
      </c>
      <c r="R100" s="188">
        <v>0.0</v>
      </c>
      <c r="S100" s="188">
        <v>0.0</v>
      </c>
      <c r="T100" s="188"/>
    </row>
    <row r="101">
      <c r="A101" s="188">
        <f t="shared" si="5"/>
        <v>53535</v>
      </c>
      <c r="B101" s="212">
        <f t="shared" si="8"/>
        <v>2855</v>
      </c>
      <c r="C101" s="212">
        <f t="shared" si="7"/>
        <v>2855</v>
      </c>
      <c r="D101" s="215">
        <v>47270.0</v>
      </c>
      <c r="E101" s="202">
        <f t="shared" si="10"/>
        <v>2855</v>
      </c>
      <c r="F101" s="202" t="str">
        <f t="shared" si="4"/>
        <v>Future</v>
      </c>
      <c r="G101" s="188">
        <v>1200.0</v>
      </c>
      <c r="H101" s="188">
        <v>288.0</v>
      </c>
      <c r="I101" s="188">
        <f t="shared" si="9"/>
        <v>1367</v>
      </c>
      <c r="J101" s="188">
        <v>0.0</v>
      </c>
      <c r="K101" s="188">
        <v>0.0</v>
      </c>
      <c r="L101" s="188">
        <v>0.0</v>
      </c>
      <c r="M101" s="188">
        <v>0.0</v>
      </c>
      <c r="N101" s="188">
        <v>0.0</v>
      </c>
      <c r="O101" s="188">
        <v>0.0</v>
      </c>
      <c r="P101" s="188">
        <v>0.0</v>
      </c>
      <c r="Q101" s="188">
        <v>0.0</v>
      </c>
      <c r="R101" s="188">
        <v>0.0</v>
      </c>
      <c r="S101" s="188">
        <v>0.0</v>
      </c>
      <c r="T101" s="188"/>
    </row>
    <row r="102">
      <c r="A102" s="188">
        <f t="shared" si="5"/>
        <v>50680</v>
      </c>
      <c r="B102" s="212">
        <f t="shared" si="8"/>
        <v>2855</v>
      </c>
      <c r="C102" s="212">
        <f t="shared" si="7"/>
        <v>2855</v>
      </c>
      <c r="D102" s="215">
        <v>47300.0</v>
      </c>
      <c r="E102" s="202">
        <f t="shared" si="10"/>
        <v>2855</v>
      </c>
      <c r="F102" s="202" t="str">
        <f t="shared" si="4"/>
        <v>Future</v>
      </c>
      <c r="G102" s="188">
        <v>1200.0</v>
      </c>
      <c r="H102" s="188">
        <v>288.0</v>
      </c>
      <c r="I102" s="188">
        <f t="shared" si="9"/>
        <v>1367</v>
      </c>
      <c r="J102" s="188">
        <v>0.0</v>
      </c>
      <c r="K102" s="188">
        <v>0.0</v>
      </c>
      <c r="L102" s="188">
        <v>0.0</v>
      </c>
      <c r="M102" s="188">
        <v>0.0</v>
      </c>
      <c r="N102" s="188">
        <v>0.0</v>
      </c>
      <c r="O102" s="188">
        <v>0.0</v>
      </c>
      <c r="P102" s="188">
        <v>0.0</v>
      </c>
      <c r="Q102" s="188">
        <v>0.0</v>
      </c>
      <c r="R102" s="188">
        <v>0.0</v>
      </c>
      <c r="S102" s="188">
        <v>0.0</v>
      </c>
      <c r="T102" s="188"/>
    </row>
    <row r="103">
      <c r="A103" s="188">
        <f t="shared" si="5"/>
        <v>47825</v>
      </c>
      <c r="B103" s="212">
        <f t="shared" si="8"/>
        <v>2855</v>
      </c>
      <c r="C103" s="212">
        <f t="shared" si="7"/>
        <v>2855</v>
      </c>
      <c r="D103" s="215">
        <v>47331.0</v>
      </c>
      <c r="E103" s="202">
        <f t="shared" si="10"/>
        <v>2855</v>
      </c>
      <c r="F103" s="202" t="str">
        <f t="shared" si="4"/>
        <v>Future</v>
      </c>
      <c r="G103" s="188">
        <v>1200.0</v>
      </c>
      <c r="H103" s="188">
        <v>288.0</v>
      </c>
      <c r="I103" s="188">
        <f t="shared" si="9"/>
        <v>1367</v>
      </c>
      <c r="J103" s="188">
        <v>0.0</v>
      </c>
      <c r="K103" s="188">
        <v>0.0</v>
      </c>
      <c r="L103" s="188">
        <v>0.0</v>
      </c>
      <c r="M103" s="188">
        <v>0.0</v>
      </c>
      <c r="N103" s="188">
        <v>0.0</v>
      </c>
      <c r="O103" s="188">
        <v>0.0</v>
      </c>
      <c r="P103" s="188">
        <v>0.0</v>
      </c>
      <c r="Q103" s="188">
        <v>0.0</v>
      </c>
      <c r="R103" s="188">
        <v>0.0</v>
      </c>
      <c r="S103" s="188">
        <v>0.0</v>
      </c>
      <c r="T103" s="188"/>
    </row>
    <row r="104">
      <c r="A104" s="188">
        <f t="shared" si="5"/>
        <v>44970</v>
      </c>
      <c r="B104" s="212">
        <f t="shared" si="8"/>
        <v>2855</v>
      </c>
      <c r="C104" s="212">
        <f t="shared" si="7"/>
        <v>2855</v>
      </c>
      <c r="D104" s="215">
        <v>47362.0</v>
      </c>
      <c r="E104" s="202">
        <f t="shared" si="10"/>
        <v>2855</v>
      </c>
      <c r="F104" s="202" t="str">
        <f t="shared" si="4"/>
        <v>Future</v>
      </c>
      <c r="G104" s="188">
        <v>1200.0</v>
      </c>
      <c r="H104" s="188">
        <v>288.0</v>
      </c>
      <c r="I104" s="188">
        <f t="shared" si="9"/>
        <v>1367</v>
      </c>
      <c r="J104" s="188">
        <v>0.0</v>
      </c>
      <c r="K104" s="188">
        <v>0.0</v>
      </c>
      <c r="L104" s="188">
        <v>0.0</v>
      </c>
      <c r="M104" s="188">
        <v>0.0</v>
      </c>
      <c r="N104" s="188">
        <v>0.0</v>
      </c>
      <c r="O104" s="188">
        <v>0.0</v>
      </c>
      <c r="P104" s="188">
        <v>0.0</v>
      </c>
      <c r="Q104" s="188">
        <v>0.0</v>
      </c>
      <c r="R104" s="188">
        <v>0.0</v>
      </c>
      <c r="S104" s="188">
        <v>0.0</v>
      </c>
      <c r="T104" s="188"/>
    </row>
    <row r="105">
      <c r="A105" s="188">
        <f t="shared" si="5"/>
        <v>42115</v>
      </c>
      <c r="B105" s="212">
        <f t="shared" si="8"/>
        <v>2855</v>
      </c>
      <c r="C105" s="212">
        <f t="shared" si="7"/>
        <v>2855</v>
      </c>
      <c r="D105" s="215">
        <v>47392.0</v>
      </c>
      <c r="E105" s="202">
        <f t="shared" si="10"/>
        <v>2855</v>
      </c>
      <c r="F105" s="202" t="str">
        <f t="shared" si="4"/>
        <v>Future</v>
      </c>
      <c r="G105" s="188">
        <v>1200.0</v>
      </c>
      <c r="H105" s="188">
        <v>288.0</v>
      </c>
      <c r="I105" s="188">
        <f t="shared" si="9"/>
        <v>1367</v>
      </c>
      <c r="J105" s="188">
        <v>0.0</v>
      </c>
      <c r="K105" s="188">
        <v>0.0</v>
      </c>
      <c r="L105" s="188">
        <v>0.0</v>
      </c>
      <c r="M105" s="188">
        <v>0.0</v>
      </c>
      <c r="N105" s="188">
        <v>0.0</v>
      </c>
      <c r="O105" s="188">
        <v>0.0</v>
      </c>
      <c r="P105" s="188">
        <v>0.0</v>
      </c>
      <c r="Q105" s="188">
        <v>0.0</v>
      </c>
      <c r="R105" s="188">
        <v>0.0</v>
      </c>
      <c r="S105" s="188">
        <v>0.0</v>
      </c>
      <c r="T105" s="188"/>
    </row>
    <row r="106">
      <c r="A106" s="188">
        <f t="shared" si="5"/>
        <v>39260</v>
      </c>
      <c r="B106" s="212">
        <f t="shared" si="8"/>
        <v>2855</v>
      </c>
      <c r="C106" s="212">
        <f t="shared" si="7"/>
        <v>2855</v>
      </c>
      <c r="D106" s="215">
        <v>47423.0</v>
      </c>
      <c r="E106" s="202">
        <f t="shared" si="10"/>
        <v>2855</v>
      </c>
      <c r="F106" s="202" t="str">
        <f t="shared" si="4"/>
        <v>Future</v>
      </c>
      <c r="G106" s="188">
        <v>1200.0</v>
      </c>
      <c r="H106" s="188">
        <v>288.0</v>
      </c>
      <c r="I106" s="188">
        <f t="shared" si="9"/>
        <v>1367</v>
      </c>
      <c r="J106" s="188">
        <v>0.0</v>
      </c>
      <c r="K106" s="188">
        <v>0.0</v>
      </c>
      <c r="L106" s="188">
        <v>0.0</v>
      </c>
      <c r="M106" s="188">
        <v>0.0</v>
      </c>
      <c r="N106" s="188">
        <v>0.0</v>
      </c>
      <c r="O106" s="188">
        <v>0.0</v>
      </c>
      <c r="P106" s="188">
        <v>0.0</v>
      </c>
      <c r="Q106" s="188">
        <v>0.0</v>
      </c>
      <c r="R106" s="188">
        <v>0.0</v>
      </c>
      <c r="S106" s="188">
        <v>0.0</v>
      </c>
      <c r="T106" s="188"/>
    </row>
    <row r="107">
      <c r="A107" s="188">
        <f t="shared" si="5"/>
        <v>36405</v>
      </c>
      <c r="B107" s="212">
        <f t="shared" si="8"/>
        <v>2855</v>
      </c>
      <c r="C107" s="212">
        <f t="shared" si="7"/>
        <v>2855</v>
      </c>
      <c r="D107" s="215">
        <v>47453.0</v>
      </c>
      <c r="E107" s="202">
        <f t="shared" si="10"/>
        <v>2855</v>
      </c>
      <c r="F107" s="202" t="str">
        <f t="shared" si="4"/>
        <v>Future</v>
      </c>
      <c r="G107" s="188">
        <v>1200.0</v>
      </c>
      <c r="H107" s="188">
        <v>288.0</v>
      </c>
      <c r="I107" s="188">
        <f t="shared" si="9"/>
        <v>1367</v>
      </c>
      <c r="J107" s="188">
        <v>0.0</v>
      </c>
      <c r="K107" s="188">
        <v>0.0</v>
      </c>
      <c r="L107" s="188">
        <v>0.0</v>
      </c>
      <c r="M107" s="188">
        <v>0.0</v>
      </c>
      <c r="N107" s="188">
        <v>0.0</v>
      </c>
      <c r="O107" s="188">
        <v>0.0</v>
      </c>
      <c r="P107" s="188">
        <v>0.0</v>
      </c>
      <c r="Q107" s="188">
        <v>0.0</v>
      </c>
      <c r="R107" s="188">
        <v>0.0</v>
      </c>
      <c r="S107" s="188">
        <v>0.0</v>
      </c>
      <c r="T107" s="188"/>
    </row>
    <row r="108">
      <c r="A108" s="188">
        <f t="shared" si="5"/>
        <v>33550</v>
      </c>
      <c r="B108" s="212">
        <f t="shared" si="8"/>
        <v>2855</v>
      </c>
      <c r="C108" s="212">
        <f t="shared" si="7"/>
        <v>2855</v>
      </c>
      <c r="D108" s="215">
        <v>47484.0</v>
      </c>
      <c r="E108" s="202">
        <f t="shared" si="10"/>
        <v>2855</v>
      </c>
      <c r="F108" s="202" t="str">
        <f t="shared" si="4"/>
        <v>Future</v>
      </c>
      <c r="G108" s="188">
        <v>1200.0</v>
      </c>
      <c r="H108" s="188">
        <v>288.0</v>
      </c>
      <c r="I108" s="188">
        <f t="shared" si="9"/>
        <v>1367</v>
      </c>
      <c r="J108" s="188">
        <v>0.0</v>
      </c>
      <c r="K108" s="188">
        <v>0.0</v>
      </c>
      <c r="L108" s="188">
        <v>0.0</v>
      </c>
      <c r="M108" s="188">
        <v>0.0</v>
      </c>
      <c r="N108" s="188">
        <v>0.0</v>
      </c>
      <c r="O108" s="188">
        <v>0.0</v>
      </c>
      <c r="P108" s="188">
        <v>0.0</v>
      </c>
      <c r="Q108" s="188">
        <v>0.0</v>
      </c>
      <c r="R108" s="188">
        <v>0.0</v>
      </c>
      <c r="S108" s="188">
        <v>0.0</v>
      </c>
      <c r="T108" s="188"/>
    </row>
    <row r="109">
      <c r="A109" s="188">
        <f t="shared" si="5"/>
        <v>30695</v>
      </c>
      <c r="B109" s="212">
        <f t="shared" si="8"/>
        <v>2855</v>
      </c>
      <c r="C109" s="212">
        <f t="shared" si="7"/>
        <v>2855</v>
      </c>
      <c r="D109" s="215">
        <v>47515.0</v>
      </c>
      <c r="E109" s="202">
        <f t="shared" si="10"/>
        <v>2855</v>
      </c>
      <c r="F109" s="202" t="str">
        <f t="shared" si="4"/>
        <v>Future</v>
      </c>
      <c r="G109" s="188">
        <v>1200.0</v>
      </c>
      <c r="H109" s="188">
        <v>288.0</v>
      </c>
      <c r="I109" s="188">
        <f t="shared" si="9"/>
        <v>1367</v>
      </c>
      <c r="J109" s="188">
        <v>0.0</v>
      </c>
      <c r="K109" s="188">
        <v>0.0</v>
      </c>
      <c r="L109" s="188">
        <v>0.0</v>
      </c>
      <c r="M109" s="188">
        <v>0.0</v>
      </c>
      <c r="N109" s="188">
        <v>0.0</v>
      </c>
      <c r="O109" s="188">
        <v>0.0</v>
      </c>
      <c r="P109" s="188">
        <v>0.0</v>
      </c>
      <c r="Q109" s="188">
        <v>0.0</v>
      </c>
      <c r="R109" s="188">
        <v>0.0</v>
      </c>
      <c r="S109" s="188">
        <v>0.0</v>
      </c>
      <c r="T109" s="188"/>
    </row>
    <row r="110">
      <c r="A110" s="188">
        <f t="shared" si="5"/>
        <v>27840</v>
      </c>
      <c r="B110" s="212">
        <f t="shared" si="8"/>
        <v>2855</v>
      </c>
      <c r="C110" s="212">
        <f t="shared" si="7"/>
        <v>2855</v>
      </c>
      <c r="D110" s="215">
        <v>47543.0</v>
      </c>
      <c r="E110" s="202">
        <f t="shared" si="10"/>
        <v>2855</v>
      </c>
      <c r="F110" s="202" t="str">
        <f t="shared" si="4"/>
        <v>Future</v>
      </c>
      <c r="G110" s="188">
        <v>1200.0</v>
      </c>
      <c r="H110" s="188">
        <v>288.0</v>
      </c>
      <c r="I110" s="188">
        <f t="shared" si="9"/>
        <v>1367</v>
      </c>
      <c r="J110" s="188">
        <v>0.0</v>
      </c>
      <c r="K110" s="188">
        <v>0.0</v>
      </c>
      <c r="L110" s="188">
        <v>0.0</v>
      </c>
      <c r="M110" s="188">
        <v>0.0</v>
      </c>
      <c r="N110" s="188">
        <v>0.0</v>
      </c>
      <c r="O110" s="188">
        <v>0.0</v>
      </c>
      <c r="P110" s="188">
        <v>0.0</v>
      </c>
      <c r="Q110" s="188">
        <v>0.0</v>
      </c>
      <c r="R110" s="188">
        <v>0.0</v>
      </c>
      <c r="S110" s="188">
        <v>0.0</v>
      </c>
      <c r="T110" s="188"/>
    </row>
    <row r="111">
      <c r="A111" s="188">
        <f t="shared" si="5"/>
        <v>24985</v>
      </c>
      <c r="B111" s="212">
        <f t="shared" si="8"/>
        <v>2855</v>
      </c>
      <c r="C111" s="212">
        <f t="shared" si="7"/>
        <v>2855</v>
      </c>
      <c r="D111" s="215">
        <v>47574.0</v>
      </c>
      <c r="E111" s="202">
        <f t="shared" si="10"/>
        <v>2855</v>
      </c>
      <c r="F111" s="202" t="str">
        <f t="shared" si="4"/>
        <v>Future</v>
      </c>
      <c r="G111" s="188">
        <v>1200.0</v>
      </c>
      <c r="H111" s="188">
        <v>288.0</v>
      </c>
      <c r="I111" s="188">
        <f t="shared" si="9"/>
        <v>1367</v>
      </c>
      <c r="J111" s="188">
        <v>0.0</v>
      </c>
      <c r="K111" s="188">
        <v>0.0</v>
      </c>
      <c r="L111" s="188">
        <v>0.0</v>
      </c>
      <c r="M111" s="188">
        <v>0.0</v>
      </c>
      <c r="N111" s="188">
        <v>0.0</v>
      </c>
      <c r="O111" s="188">
        <v>0.0</v>
      </c>
      <c r="P111" s="188">
        <v>0.0</v>
      </c>
      <c r="Q111" s="188">
        <v>0.0</v>
      </c>
      <c r="R111" s="188">
        <v>0.0</v>
      </c>
      <c r="S111" s="188">
        <v>0.0</v>
      </c>
      <c r="T111" s="188"/>
    </row>
    <row r="112">
      <c r="A112" s="188">
        <f t="shared" si="5"/>
        <v>17130</v>
      </c>
      <c r="B112" s="212">
        <f t="shared" si="8"/>
        <v>7855</v>
      </c>
      <c r="C112" s="212">
        <f t="shared" si="7"/>
        <v>7855</v>
      </c>
      <c r="D112" s="215">
        <v>47604.0</v>
      </c>
      <c r="E112" s="202">
        <f t="shared" si="10"/>
        <v>7855</v>
      </c>
      <c r="F112" s="202" t="str">
        <f t="shared" si="4"/>
        <v>Future</v>
      </c>
      <c r="G112" s="188">
        <v>1200.0</v>
      </c>
      <c r="H112" s="188">
        <v>288.0</v>
      </c>
      <c r="I112" s="188">
        <f t="shared" si="9"/>
        <v>1367</v>
      </c>
      <c r="J112" s="188">
        <v>0.0</v>
      </c>
      <c r="K112" s="188">
        <v>0.0</v>
      </c>
      <c r="L112" s="188">
        <v>0.0</v>
      </c>
      <c r="M112" s="188">
        <v>0.0</v>
      </c>
      <c r="N112" s="188">
        <v>0.0</v>
      </c>
      <c r="O112" s="188">
        <v>0.0</v>
      </c>
      <c r="P112" s="188">
        <v>0.0</v>
      </c>
      <c r="Q112" s="188">
        <v>0.0</v>
      </c>
      <c r="R112" s="188">
        <v>0.0</v>
      </c>
      <c r="S112" s="188">
        <v>5000.0</v>
      </c>
      <c r="T112" s="188"/>
    </row>
    <row r="113">
      <c r="A113" s="188">
        <f t="shared" si="5"/>
        <v>14275</v>
      </c>
      <c r="B113" s="212">
        <f t="shared" si="8"/>
        <v>2855</v>
      </c>
      <c r="C113" s="212">
        <f t="shared" si="7"/>
        <v>2855</v>
      </c>
      <c r="D113" s="215">
        <v>47635.0</v>
      </c>
      <c r="E113" s="202">
        <f t="shared" si="10"/>
        <v>2855</v>
      </c>
      <c r="F113" s="202" t="str">
        <f t="shared" si="4"/>
        <v>Future</v>
      </c>
      <c r="G113" s="188">
        <v>1200.0</v>
      </c>
      <c r="H113" s="188">
        <v>288.0</v>
      </c>
      <c r="I113" s="188">
        <f t="shared" si="9"/>
        <v>1367</v>
      </c>
      <c r="J113" s="188">
        <v>0.0</v>
      </c>
      <c r="K113" s="188">
        <v>0.0</v>
      </c>
      <c r="L113" s="188">
        <v>0.0</v>
      </c>
      <c r="M113" s="188">
        <v>0.0</v>
      </c>
      <c r="N113" s="188">
        <v>0.0</v>
      </c>
      <c r="O113" s="188">
        <v>0.0</v>
      </c>
      <c r="P113" s="188">
        <v>0.0</v>
      </c>
      <c r="Q113" s="188">
        <v>0.0</v>
      </c>
      <c r="R113" s="188">
        <v>0.0</v>
      </c>
      <c r="S113" s="188">
        <v>0.0</v>
      </c>
      <c r="T113" s="188"/>
    </row>
    <row r="114">
      <c r="A114" s="188">
        <f t="shared" si="5"/>
        <v>11420</v>
      </c>
      <c r="B114" s="212">
        <f t="shared" si="8"/>
        <v>2855</v>
      </c>
      <c r="C114" s="212">
        <f t="shared" si="7"/>
        <v>2855</v>
      </c>
      <c r="D114" s="215">
        <v>47665.0</v>
      </c>
      <c r="E114" s="202">
        <f t="shared" si="10"/>
        <v>2855</v>
      </c>
      <c r="F114" s="202" t="str">
        <f t="shared" si="4"/>
        <v>Future</v>
      </c>
      <c r="G114" s="188">
        <v>1200.0</v>
      </c>
      <c r="H114" s="188">
        <v>288.0</v>
      </c>
      <c r="I114" s="188">
        <f t="shared" si="9"/>
        <v>1367</v>
      </c>
      <c r="J114" s="188">
        <v>0.0</v>
      </c>
      <c r="K114" s="188">
        <v>0.0</v>
      </c>
      <c r="L114" s="188">
        <v>0.0</v>
      </c>
      <c r="M114" s="188">
        <v>0.0</v>
      </c>
      <c r="N114" s="188">
        <v>0.0</v>
      </c>
      <c r="O114" s="188">
        <v>0.0</v>
      </c>
      <c r="P114" s="188">
        <v>0.0</v>
      </c>
      <c r="Q114" s="188">
        <v>0.0</v>
      </c>
      <c r="R114" s="188">
        <v>0.0</v>
      </c>
      <c r="S114" s="188">
        <v>0.0</v>
      </c>
      <c r="T114" s="188"/>
    </row>
    <row r="115">
      <c r="A115" s="188">
        <f t="shared" si="5"/>
        <v>8565</v>
      </c>
      <c r="B115" s="212">
        <f t="shared" si="8"/>
        <v>2855</v>
      </c>
      <c r="C115" s="212">
        <f t="shared" si="7"/>
        <v>2855</v>
      </c>
      <c r="D115" s="215">
        <v>47696.0</v>
      </c>
      <c r="E115" s="202">
        <f t="shared" si="10"/>
        <v>2855</v>
      </c>
      <c r="F115" s="202" t="str">
        <f t="shared" si="4"/>
        <v>Future</v>
      </c>
      <c r="G115" s="188">
        <v>1200.0</v>
      </c>
      <c r="H115" s="188">
        <v>288.0</v>
      </c>
      <c r="I115" s="188">
        <f t="shared" si="9"/>
        <v>1367</v>
      </c>
      <c r="J115" s="188">
        <v>0.0</v>
      </c>
      <c r="K115" s="188">
        <v>0.0</v>
      </c>
      <c r="L115" s="188">
        <v>0.0</v>
      </c>
      <c r="M115" s="188">
        <v>0.0</v>
      </c>
      <c r="N115" s="188">
        <v>0.0</v>
      </c>
      <c r="O115" s="188">
        <v>0.0</v>
      </c>
      <c r="P115" s="188">
        <v>0.0</v>
      </c>
      <c r="Q115" s="188">
        <v>0.0</v>
      </c>
      <c r="R115" s="188">
        <v>0.0</v>
      </c>
      <c r="S115" s="188">
        <v>0.0</v>
      </c>
      <c r="T115" s="188"/>
    </row>
    <row r="116">
      <c r="A116" s="188">
        <f t="shared" si="5"/>
        <v>5710</v>
      </c>
      <c r="B116" s="212">
        <f t="shared" si="8"/>
        <v>2855</v>
      </c>
      <c r="C116" s="212">
        <f t="shared" si="7"/>
        <v>2855</v>
      </c>
      <c r="D116" s="215">
        <v>47727.0</v>
      </c>
      <c r="E116" s="202">
        <f t="shared" si="10"/>
        <v>2855</v>
      </c>
      <c r="F116" s="202" t="str">
        <f t="shared" si="4"/>
        <v>Future</v>
      </c>
      <c r="G116" s="188">
        <v>1200.0</v>
      </c>
      <c r="H116" s="188">
        <v>288.0</v>
      </c>
      <c r="I116" s="188">
        <f t="shared" si="9"/>
        <v>1367</v>
      </c>
      <c r="J116" s="188">
        <v>0.0</v>
      </c>
      <c r="K116" s="188">
        <v>0.0</v>
      </c>
      <c r="L116" s="188">
        <v>0.0</v>
      </c>
      <c r="M116" s="188">
        <v>0.0</v>
      </c>
      <c r="N116" s="188">
        <v>0.0</v>
      </c>
      <c r="O116" s="188">
        <v>0.0</v>
      </c>
      <c r="P116" s="188">
        <v>0.0</v>
      </c>
      <c r="Q116" s="188">
        <v>0.0</v>
      </c>
      <c r="R116" s="188">
        <v>0.0</v>
      </c>
      <c r="S116" s="188">
        <v>0.0</v>
      </c>
      <c r="T116" s="188"/>
    </row>
    <row r="117">
      <c r="A117" s="188">
        <f t="shared" si="5"/>
        <v>2855</v>
      </c>
      <c r="B117" s="212">
        <f t="shared" si="8"/>
        <v>2855</v>
      </c>
      <c r="C117" s="212">
        <f t="shared" si="7"/>
        <v>2855</v>
      </c>
      <c r="D117" s="215">
        <v>47757.0</v>
      </c>
      <c r="E117" s="202">
        <f t="shared" si="10"/>
        <v>2855</v>
      </c>
      <c r="F117" s="202" t="str">
        <f t="shared" si="4"/>
        <v>Future</v>
      </c>
      <c r="G117" s="188">
        <v>1200.0</v>
      </c>
      <c r="H117" s="188">
        <v>288.0</v>
      </c>
      <c r="I117" s="188">
        <f t="shared" si="9"/>
        <v>1367</v>
      </c>
      <c r="J117" s="188">
        <v>0.0</v>
      </c>
      <c r="K117" s="188">
        <v>0.0</v>
      </c>
      <c r="L117" s="188">
        <v>0.0</v>
      </c>
      <c r="M117" s="188">
        <v>0.0</v>
      </c>
      <c r="N117" s="188">
        <v>0.0</v>
      </c>
      <c r="O117" s="188">
        <v>0.0</v>
      </c>
      <c r="P117" s="188">
        <v>0.0</v>
      </c>
      <c r="Q117" s="188">
        <v>0.0</v>
      </c>
      <c r="R117" s="188">
        <v>0.0</v>
      </c>
      <c r="S117" s="188">
        <v>0.0</v>
      </c>
      <c r="T117" s="188"/>
    </row>
    <row r="118">
      <c r="A118" s="188">
        <f t="shared" si="5"/>
        <v>0</v>
      </c>
      <c r="B118" s="212">
        <f t="shared" si="8"/>
        <v>2855</v>
      </c>
      <c r="C118" s="212">
        <f t="shared" si="7"/>
        <v>2855</v>
      </c>
      <c r="D118" s="215">
        <v>47788.0</v>
      </c>
      <c r="E118" s="202">
        <f t="shared" si="10"/>
        <v>2855</v>
      </c>
      <c r="F118" s="202" t="str">
        <f t="shared" si="4"/>
        <v>Future</v>
      </c>
      <c r="G118" s="188">
        <v>1200.0</v>
      </c>
      <c r="H118" s="188">
        <v>288.0</v>
      </c>
      <c r="I118" s="188">
        <f t="shared" si="9"/>
        <v>1367</v>
      </c>
      <c r="J118" s="188">
        <v>0.0</v>
      </c>
      <c r="K118" s="188">
        <v>0.0</v>
      </c>
      <c r="L118" s="188">
        <v>0.0</v>
      </c>
      <c r="M118" s="188">
        <v>0.0</v>
      </c>
      <c r="N118" s="188">
        <v>0.0</v>
      </c>
      <c r="O118" s="188">
        <v>0.0</v>
      </c>
      <c r="P118" s="188">
        <v>0.0</v>
      </c>
      <c r="Q118" s="188">
        <v>0.0</v>
      </c>
      <c r="R118" s="188">
        <v>0.0</v>
      </c>
      <c r="S118" s="188">
        <v>0.0</v>
      </c>
      <c r="T118" s="188"/>
    </row>
  </sheetData>
  <conditionalFormatting sqref="E20:F118">
    <cfRule type="cellIs" dxfId="19" priority="1" operator="equal">
      <formula>"Current"</formula>
    </cfRule>
  </conditionalFormatting>
  <conditionalFormatting sqref="A1:T118">
    <cfRule type="cellIs" dxfId="19" priority="2" operator="equal">
      <formula>DATE(year(today()),month(today()),1)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7.63"/>
    <col customWidth="1" min="4" max="4" width="8.88"/>
    <col customWidth="1" min="5" max="5" width="7.38"/>
    <col customWidth="1" min="6" max="6" width="8.63"/>
    <col customWidth="1" min="7" max="7" width="7.63"/>
    <col customWidth="1" min="8" max="8" width="16.13"/>
    <col customWidth="1" min="9" max="11" width="12.25"/>
    <col customWidth="1" min="12" max="12" width="11.13"/>
  </cols>
  <sheetData>
    <row r="1">
      <c r="A1" s="202"/>
      <c r="B1" s="202"/>
      <c r="C1" s="202"/>
      <c r="D1" s="202">
        <f>sum(G1:L1)</f>
        <v>0</v>
      </c>
      <c r="E1" s="204"/>
      <c r="F1" s="204" t="s">
        <v>64</v>
      </c>
      <c r="G1" s="204"/>
      <c r="H1" s="204"/>
      <c r="I1" s="204"/>
      <c r="J1" s="204"/>
      <c r="K1" s="204"/>
      <c r="L1" s="204"/>
    </row>
    <row r="2">
      <c r="A2" s="202"/>
      <c r="B2" s="202">
        <v>4173.59</v>
      </c>
      <c r="C2" s="202"/>
      <c r="D2" s="202"/>
      <c r="E2" s="204"/>
      <c r="F2" s="204" t="s">
        <v>223</v>
      </c>
      <c r="G2" s="204" t="s">
        <v>318</v>
      </c>
      <c r="H2" s="204" t="s">
        <v>319</v>
      </c>
      <c r="I2" s="204" t="s">
        <v>320</v>
      </c>
      <c r="J2" s="204" t="s">
        <v>321</v>
      </c>
      <c r="K2" s="204" t="s">
        <v>322</v>
      </c>
      <c r="L2" s="204" t="s">
        <v>323</v>
      </c>
    </row>
    <row r="3">
      <c r="A3" s="202"/>
      <c r="B3" s="202">
        <v>271.28</v>
      </c>
      <c r="C3" s="202"/>
      <c r="D3" s="202"/>
      <c r="E3" s="204"/>
      <c r="F3" s="204" t="s">
        <v>175</v>
      </c>
      <c r="G3" s="204" t="s">
        <v>318</v>
      </c>
      <c r="H3" s="204" t="s">
        <v>319</v>
      </c>
      <c r="I3" s="204"/>
      <c r="J3" s="204"/>
      <c r="K3" s="204"/>
      <c r="L3" s="204" t="s">
        <v>323</v>
      </c>
    </row>
    <row r="4">
      <c r="A4" s="202"/>
      <c r="B4" s="202">
        <v>145822.76</v>
      </c>
      <c r="C4" s="202"/>
      <c r="D4" s="202"/>
      <c r="E4" s="204"/>
      <c r="F4" s="204" t="s">
        <v>176</v>
      </c>
      <c r="G4" s="204" t="s">
        <v>318</v>
      </c>
      <c r="H4" s="204" t="s">
        <v>319</v>
      </c>
      <c r="I4" s="204"/>
      <c r="J4" s="204"/>
      <c r="K4" s="204"/>
      <c r="L4" s="204" t="s">
        <v>323</v>
      </c>
    </row>
    <row r="5" hidden="1">
      <c r="A5" s="202"/>
      <c r="B5" s="202"/>
      <c r="C5" s="202"/>
      <c r="D5" s="202"/>
      <c r="E5" s="204"/>
      <c r="F5" s="204" t="s">
        <v>177</v>
      </c>
      <c r="G5" s="202"/>
      <c r="H5" s="202"/>
      <c r="I5" s="202"/>
      <c r="J5" s="202"/>
      <c r="K5" s="202"/>
      <c r="L5" s="202"/>
    </row>
    <row r="6" hidden="1">
      <c r="A6" s="202"/>
      <c r="B6" s="202"/>
      <c r="C6" s="202"/>
      <c r="D6" s="202"/>
      <c r="E6" s="204"/>
      <c r="F6" s="204" t="s">
        <v>178</v>
      </c>
      <c r="G6" s="202"/>
      <c r="H6" s="202"/>
      <c r="I6" s="202"/>
      <c r="J6" s="202"/>
      <c r="K6" s="202"/>
      <c r="L6" s="202"/>
    </row>
    <row r="7" hidden="1">
      <c r="A7" s="202"/>
      <c r="B7" s="202"/>
      <c r="C7" s="202"/>
      <c r="D7" s="202"/>
      <c r="E7" s="204"/>
      <c r="F7" s="204" t="s">
        <v>179</v>
      </c>
      <c r="G7" s="202"/>
      <c r="H7" s="202"/>
      <c r="I7" s="202"/>
      <c r="J7" s="202"/>
      <c r="K7" s="202"/>
      <c r="L7" s="202"/>
    </row>
    <row r="8" hidden="1">
      <c r="A8" s="202"/>
      <c r="B8" s="208">
        <v>45383.0</v>
      </c>
      <c r="C8" s="208"/>
      <c r="D8" s="202"/>
      <c r="E8" s="204"/>
      <c r="F8" s="204" t="s">
        <v>245</v>
      </c>
      <c r="G8" s="208">
        <v>45231.0</v>
      </c>
      <c r="H8" s="210">
        <v>45018.0</v>
      </c>
      <c r="I8" s="210"/>
      <c r="J8" s="210"/>
      <c r="K8" s="210"/>
      <c r="L8" s="210">
        <v>45018.0</v>
      </c>
    </row>
    <row r="9" hidden="1">
      <c r="A9" s="202"/>
      <c r="B9" s="202"/>
      <c r="C9" s="202"/>
      <c r="D9" s="202"/>
      <c r="E9" s="204"/>
      <c r="F9" s="204" t="s">
        <v>246</v>
      </c>
      <c r="G9" s="208">
        <v>47757.0</v>
      </c>
      <c r="H9" s="210">
        <v>46814.0</v>
      </c>
      <c r="I9" s="210"/>
      <c r="J9" s="210"/>
      <c r="K9" s="210"/>
      <c r="L9" s="210">
        <v>46814.0</v>
      </c>
    </row>
    <row r="10" hidden="1">
      <c r="A10" s="202"/>
      <c r="B10" s="202"/>
      <c r="C10" s="202"/>
      <c r="D10" s="202"/>
      <c r="E10" s="204"/>
      <c r="F10" s="204" t="s">
        <v>182</v>
      </c>
      <c r="G10" s="202"/>
      <c r="H10" s="202"/>
      <c r="I10" s="202"/>
      <c r="J10" s="202"/>
      <c r="K10" s="202"/>
      <c r="L10" s="202"/>
    </row>
    <row r="11" hidden="1">
      <c r="A11" s="202"/>
      <c r="B11" s="202"/>
      <c r="C11" s="202"/>
      <c r="D11" s="202"/>
      <c r="E11" s="204"/>
      <c r="F11" s="204" t="s">
        <v>247</v>
      </c>
      <c r="G11" s="188"/>
      <c r="H11" s="188"/>
      <c r="I11" s="188"/>
      <c r="J11" s="188"/>
      <c r="K11" s="188"/>
      <c r="L11" s="188"/>
    </row>
    <row r="12">
      <c r="A12" s="202"/>
      <c r="B12" s="202">
        <v>224954.0</v>
      </c>
      <c r="C12" s="202"/>
      <c r="D12" s="202"/>
      <c r="E12" s="204"/>
      <c r="F12" s="204" t="s">
        <v>249</v>
      </c>
      <c r="G12" s="212">
        <f t="shared" ref="G12:H12" si="1">SUMIFS(G20:G118,$D20:$D118,"&gt;"&amp;#REF!)</f>
        <v>0</v>
      </c>
      <c r="H12" s="212">
        <f t="shared" si="1"/>
        <v>0</v>
      </c>
      <c r="I12" s="212"/>
      <c r="J12" s="212"/>
      <c r="K12" s="212"/>
      <c r="L12" s="212">
        <f>SUMIFS(L20:L118,$D20:$D118,"&gt;"&amp;#REF!)</f>
        <v>0</v>
      </c>
    </row>
    <row r="13">
      <c r="A13" s="202"/>
      <c r="B13" s="202"/>
      <c r="C13" s="202"/>
      <c r="D13" s="202"/>
      <c r="E13" s="204"/>
      <c r="F13" s="204" t="s">
        <v>250</v>
      </c>
      <c r="G13" s="212">
        <f>COUNTIFs(G20:G118,"&gt;"&amp;0,$D20:$D118,"&gt;"&amp;#REF!)</f>
        <v>0</v>
      </c>
      <c r="H13" s="212">
        <v>0.0</v>
      </c>
      <c r="I13" s="212"/>
      <c r="J13" s="212"/>
      <c r="K13" s="212"/>
      <c r="L13" s="212">
        <f>COUNTIFs(L20:L118,"&gt;"&amp;0,$D20:$D118,"&gt;"&amp;#REF!)</f>
        <v>0</v>
      </c>
    </row>
    <row r="14" hidden="1">
      <c r="A14" s="202"/>
      <c r="B14" s="202"/>
      <c r="C14" s="202"/>
      <c r="D14" s="202"/>
      <c r="E14" s="204"/>
      <c r="F14" s="204" t="s">
        <v>251</v>
      </c>
      <c r="G14" s="213"/>
      <c r="H14" s="213"/>
      <c r="I14" s="213"/>
      <c r="J14" s="213"/>
      <c r="K14" s="213"/>
      <c r="L14" s="213"/>
    </row>
    <row r="15" hidden="1">
      <c r="A15" s="202"/>
      <c r="B15" s="202"/>
      <c r="C15" s="202"/>
      <c r="D15" s="202"/>
      <c r="E15" s="204"/>
      <c r="F15" s="204" t="s">
        <v>252</v>
      </c>
      <c r="G15" s="212"/>
      <c r="H15" s="212"/>
      <c r="I15" s="212"/>
      <c r="J15" s="212"/>
      <c r="K15" s="212"/>
      <c r="L15" s="212"/>
    </row>
    <row r="16" hidden="1">
      <c r="A16" s="202"/>
      <c r="B16" s="202"/>
      <c r="C16" s="202"/>
      <c r="D16" s="202"/>
      <c r="E16" s="204"/>
      <c r="F16" s="204" t="s">
        <v>253</v>
      </c>
      <c r="G16" s="212"/>
      <c r="H16" s="212"/>
      <c r="I16" s="212"/>
      <c r="J16" s="212"/>
      <c r="K16" s="212"/>
      <c r="L16" s="212"/>
    </row>
    <row r="17" hidden="1">
      <c r="A17" s="202"/>
      <c r="B17" s="202"/>
      <c r="C17" s="202"/>
      <c r="D17" s="202"/>
      <c r="E17" s="204"/>
      <c r="F17" s="204" t="s">
        <v>254</v>
      </c>
      <c r="G17" s="212"/>
      <c r="H17" s="212"/>
      <c r="I17" s="212"/>
      <c r="J17" s="212"/>
      <c r="K17" s="212"/>
      <c r="L17" s="212"/>
    </row>
    <row r="18">
      <c r="A18" s="202"/>
      <c r="D18" s="202"/>
      <c r="E18" s="204">
        <f>sum(E20:E117)</f>
        <v>625000</v>
      </c>
      <c r="F18" s="204" t="s">
        <v>255</v>
      </c>
      <c r="G18" s="212">
        <v>10000.0</v>
      </c>
      <c r="H18" s="212">
        <v>5000.0</v>
      </c>
      <c r="I18" s="212"/>
      <c r="J18" s="212"/>
      <c r="K18" s="212"/>
      <c r="L18" s="212">
        <v>2500.0</v>
      </c>
    </row>
    <row r="19">
      <c r="A19" s="202" t="s">
        <v>256</v>
      </c>
      <c r="B19" s="204" t="s">
        <v>257</v>
      </c>
      <c r="C19" s="204" t="s">
        <v>109</v>
      </c>
      <c r="D19" s="204">
        <f>sumif(F20:F117,"Future",B20:B117)</f>
        <v>295000</v>
      </c>
      <c r="E19" s="202" t="s">
        <v>290</v>
      </c>
      <c r="F19" s="204" t="s">
        <v>174</v>
      </c>
      <c r="G19" s="202" t="s">
        <v>290</v>
      </c>
      <c r="H19" s="202" t="s">
        <v>290</v>
      </c>
      <c r="I19" s="202" t="s">
        <v>290</v>
      </c>
      <c r="J19" s="202" t="s">
        <v>290</v>
      </c>
      <c r="K19" s="202" t="s">
        <v>290</v>
      </c>
      <c r="L19" s="202" t="s">
        <v>290</v>
      </c>
    </row>
    <row r="20">
      <c r="A20" s="188">
        <f>ceiling(sum(G20:L117)-sum(G20:L20),1)</f>
        <v>988500</v>
      </c>
      <c r="B20" s="212">
        <f t="shared" ref="B20:B49" si="2">ceiling(sum(G20:L20),1)</f>
        <v>0</v>
      </c>
      <c r="C20" s="212">
        <f t="shared" ref="C20:C49" si="3">sum(E20)</f>
        <v>0</v>
      </c>
      <c r="D20" s="215">
        <v>44805.0</v>
      </c>
      <c r="E20" s="202">
        <f t="shared" ref="E20:E46" si="4">sumif($G$19:L19,E$19,$G20:L20)</f>
        <v>0</v>
      </c>
      <c r="F20" s="202" t="str">
        <f t="shared" ref="F20:F118" si="5">if(D20=DATE(year(today()),month(today()),1),"Current",if(D20&gt;DATE(year(today()),month(today()),1), "Future","Past"))</f>
        <v>Past</v>
      </c>
      <c r="G20" s="188"/>
      <c r="H20" s="188"/>
      <c r="I20" s="188"/>
      <c r="J20" s="188"/>
      <c r="K20" s="188"/>
      <c r="L20" s="188"/>
    </row>
    <row r="21">
      <c r="A21" s="188">
        <f t="shared" ref="A21:A118" si="6">ceiling(sum(G21:L119)-sum(G21:L21),1)</f>
        <v>993500</v>
      </c>
      <c r="B21" s="212">
        <f t="shared" si="2"/>
        <v>0</v>
      </c>
      <c r="C21" s="212">
        <f t="shared" si="3"/>
        <v>0</v>
      </c>
      <c r="D21" s="215">
        <v>44835.0</v>
      </c>
      <c r="E21" s="202">
        <f t="shared" si="4"/>
        <v>0</v>
      </c>
      <c r="F21" s="202" t="str">
        <f t="shared" si="5"/>
        <v>Past</v>
      </c>
      <c r="G21" s="188"/>
      <c r="H21" s="188"/>
      <c r="I21" s="188"/>
      <c r="J21" s="188"/>
      <c r="K21" s="188"/>
      <c r="L21" s="188"/>
    </row>
    <row r="22">
      <c r="A22" s="188">
        <f t="shared" si="6"/>
        <v>993500</v>
      </c>
      <c r="B22" s="212">
        <f t="shared" si="2"/>
        <v>0</v>
      </c>
      <c r="C22" s="212">
        <f t="shared" si="3"/>
        <v>0</v>
      </c>
      <c r="D22" s="215">
        <v>44866.0</v>
      </c>
      <c r="E22" s="202">
        <f t="shared" si="4"/>
        <v>0</v>
      </c>
      <c r="F22" s="202" t="str">
        <f t="shared" si="5"/>
        <v>Past</v>
      </c>
      <c r="G22" s="188"/>
      <c r="H22" s="188"/>
      <c r="I22" s="188"/>
      <c r="J22" s="188"/>
      <c r="K22" s="188"/>
      <c r="L22" s="188"/>
    </row>
    <row r="23">
      <c r="A23" s="188">
        <f t="shared" si="6"/>
        <v>993500</v>
      </c>
      <c r="B23" s="212">
        <f t="shared" si="2"/>
        <v>0</v>
      </c>
      <c r="C23" s="212">
        <f t="shared" si="3"/>
        <v>0</v>
      </c>
      <c r="D23" s="215">
        <v>44896.0</v>
      </c>
      <c r="E23" s="202">
        <f t="shared" si="4"/>
        <v>0</v>
      </c>
      <c r="F23" s="202" t="str">
        <f t="shared" si="5"/>
        <v>Past</v>
      </c>
      <c r="G23" s="188"/>
      <c r="H23" s="188"/>
      <c r="I23" s="188"/>
      <c r="J23" s="188"/>
      <c r="K23" s="188"/>
      <c r="L23" s="188"/>
    </row>
    <row r="24">
      <c r="A24" s="188">
        <f t="shared" si="6"/>
        <v>988500</v>
      </c>
      <c r="B24" s="212">
        <f t="shared" si="2"/>
        <v>5000</v>
      </c>
      <c r="C24" s="212">
        <f t="shared" si="3"/>
        <v>5000</v>
      </c>
      <c r="D24" s="215">
        <v>44927.0</v>
      </c>
      <c r="E24" s="202">
        <f t="shared" si="4"/>
        <v>5000</v>
      </c>
      <c r="F24" s="202" t="str">
        <f t="shared" si="5"/>
        <v>Past</v>
      </c>
      <c r="G24" s="188">
        <v>0.0</v>
      </c>
      <c r="H24" s="188">
        <v>5000.0</v>
      </c>
      <c r="I24" s="264"/>
      <c r="J24" s="264"/>
      <c r="K24" s="264"/>
      <c r="L24" s="264"/>
    </row>
    <row r="25">
      <c r="A25" s="188">
        <f t="shared" si="6"/>
        <v>983500</v>
      </c>
      <c r="B25" s="212">
        <f t="shared" si="2"/>
        <v>5000</v>
      </c>
      <c r="C25" s="212">
        <f t="shared" si="3"/>
        <v>5000</v>
      </c>
      <c r="D25" s="215">
        <v>44958.0</v>
      </c>
      <c r="E25" s="202">
        <f t="shared" si="4"/>
        <v>5000</v>
      </c>
      <c r="F25" s="202" t="str">
        <f t="shared" si="5"/>
        <v>Past</v>
      </c>
      <c r="G25" s="188">
        <v>0.0</v>
      </c>
      <c r="H25" s="188">
        <v>5000.0</v>
      </c>
      <c r="I25" s="264"/>
      <c r="J25" s="264"/>
      <c r="K25" s="264"/>
      <c r="L25" s="264"/>
    </row>
    <row r="26">
      <c r="A26" s="188">
        <f t="shared" si="6"/>
        <v>976000</v>
      </c>
      <c r="B26" s="212">
        <f t="shared" si="2"/>
        <v>7500</v>
      </c>
      <c r="C26" s="212">
        <f t="shared" si="3"/>
        <v>7500</v>
      </c>
      <c r="D26" s="215">
        <v>44986.0</v>
      </c>
      <c r="E26" s="202">
        <f t="shared" si="4"/>
        <v>7500</v>
      </c>
      <c r="F26" s="202" t="str">
        <f t="shared" si="5"/>
        <v>Past</v>
      </c>
      <c r="G26" s="188">
        <v>0.0</v>
      </c>
      <c r="H26" s="188">
        <v>5000.0</v>
      </c>
      <c r="I26" s="264"/>
      <c r="J26" s="264"/>
      <c r="K26" s="264"/>
      <c r="L26" s="264">
        <v>2500.0</v>
      </c>
    </row>
    <row r="27">
      <c r="A27" s="188">
        <f t="shared" si="6"/>
        <v>958500</v>
      </c>
      <c r="B27" s="212">
        <f t="shared" si="2"/>
        <v>17500</v>
      </c>
      <c r="C27" s="212">
        <f t="shared" si="3"/>
        <v>17500</v>
      </c>
      <c r="D27" s="215">
        <v>45017.0</v>
      </c>
      <c r="E27" s="202">
        <f t="shared" si="4"/>
        <v>17500</v>
      </c>
      <c r="F27" s="202" t="str">
        <f t="shared" si="5"/>
        <v>Past</v>
      </c>
      <c r="G27" s="188">
        <v>10000.0</v>
      </c>
      <c r="H27" s="188">
        <v>5000.0</v>
      </c>
      <c r="I27" s="264"/>
      <c r="J27" s="264"/>
      <c r="K27" s="264"/>
      <c r="L27" s="264">
        <v>2500.0</v>
      </c>
    </row>
    <row r="28">
      <c r="A28" s="188">
        <f t="shared" si="6"/>
        <v>941000</v>
      </c>
      <c r="B28" s="212">
        <f t="shared" si="2"/>
        <v>17500</v>
      </c>
      <c r="C28" s="212">
        <f t="shared" si="3"/>
        <v>17500</v>
      </c>
      <c r="D28" s="215">
        <v>45047.0</v>
      </c>
      <c r="E28" s="202">
        <f t="shared" si="4"/>
        <v>17500</v>
      </c>
      <c r="F28" s="202" t="str">
        <f t="shared" si="5"/>
        <v>Past</v>
      </c>
      <c r="G28" s="188">
        <v>10000.0</v>
      </c>
      <c r="H28" s="188">
        <v>5000.0</v>
      </c>
      <c r="I28" s="264"/>
      <c r="J28" s="264"/>
      <c r="K28" s="264"/>
      <c r="L28" s="264">
        <v>2500.0</v>
      </c>
    </row>
    <row r="29">
      <c r="A29" s="188">
        <f t="shared" si="6"/>
        <v>923500</v>
      </c>
      <c r="B29" s="212">
        <f t="shared" si="2"/>
        <v>17500</v>
      </c>
      <c r="C29" s="212">
        <f t="shared" si="3"/>
        <v>17500</v>
      </c>
      <c r="D29" s="215">
        <v>45078.0</v>
      </c>
      <c r="E29" s="202">
        <f t="shared" si="4"/>
        <v>17500</v>
      </c>
      <c r="F29" s="202" t="str">
        <f t="shared" si="5"/>
        <v>Past</v>
      </c>
      <c r="G29" s="188">
        <v>10000.0</v>
      </c>
      <c r="H29" s="188">
        <v>5000.0</v>
      </c>
      <c r="I29" s="264"/>
      <c r="J29" s="264"/>
      <c r="K29" s="264"/>
      <c r="L29" s="264">
        <v>2500.0</v>
      </c>
    </row>
    <row r="30">
      <c r="A30" s="188">
        <f t="shared" si="6"/>
        <v>906000</v>
      </c>
      <c r="B30" s="212">
        <f t="shared" si="2"/>
        <v>17500</v>
      </c>
      <c r="C30" s="212">
        <f t="shared" si="3"/>
        <v>17500</v>
      </c>
      <c r="D30" s="215">
        <v>45108.0</v>
      </c>
      <c r="E30" s="202">
        <f t="shared" si="4"/>
        <v>17500</v>
      </c>
      <c r="F30" s="202" t="str">
        <f t="shared" si="5"/>
        <v>Past</v>
      </c>
      <c r="G30" s="188">
        <v>10000.0</v>
      </c>
      <c r="H30" s="188">
        <v>5000.0</v>
      </c>
      <c r="I30" s="264"/>
      <c r="J30" s="264"/>
      <c r="K30" s="264"/>
      <c r="L30" s="264">
        <v>2500.0</v>
      </c>
    </row>
    <row r="31">
      <c r="A31" s="188">
        <f t="shared" si="6"/>
        <v>888500</v>
      </c>
      <c r="B31" s="212">
        <f t="shared" si="2"/>
        <v>17500</v>
      </c>
      <c r="C31" s="212">
        <f t="shared" si="3"/>
        <v>17500</v>
      </c>
      <c r="D31" s="215">
        <v>45139.0</v>
      </c>
      <c r="E31" s="202">
        <f t="shared" si="4"/>
        <v>17500</v>
      </c>
      <c r="F31" s="202" t="str">
        <f t="shared" si="5"/>
        <v>Past</v>
      </c>
      <c r="G31" s="188">
        <v>10000.0</v>
      </c>
      <c r="H31" s="188">
        <v>5000.0</v>
      </c>
      <c r="I31" s="264"/>
      <c r="J31" s="264"/>
      <c r="K31" s="264"/>
      <c r="L31" s="264">
        <v>2500.0</v>
      </c>
    </row>
    <row r="32">
      <c r="A32" s="188">
        <f t="shared" si="6"/>
        <v>871000</v>
      </c>
      <c r="B32" s="212">
        <f t="shared" si="2"/>
        <v>17500</v>
      </c>
      <c r="C32" s="212">
        <f t="shared" si="3"/>
        <v>17500</v>
      </c>
      <c r="D32" s="215">
        <v>45170.0</v>
      </c>
      <c r="E32" s="202">
        <f t="shared" si="4"/>
        <v>17500</v>
      </c>
      <c r="F32" s="202" t="str">
        <f t="shared" si="5"/>
        <v>Past</v>
      </c>
      <c r="G32" s="188">
        <v>10000.0</v>
      </c>
      <c r="H32" s="188">
        <v>5000.0</v>
      </c>
      <c r="I32" s="264"/>
      <c r="J32" s="264"/>
      <c r="K32" s="264"/>
      <c r="L32" s="264">
        <v>2500.0</v>
      </c>
    </row>
    <row r="33">
      <c r="A33" s="188">
        <f t="shared" si="6"/>
        <v>853500</v>
      </c>
      <c r="B33" s="212">
        <f t="shared" si="2"/>
        <v>17500</v>
      </c>
      <c r="C33" s="212">
        <f t="shared" si="3"/>
        <v>17500</v>
      </c>
      <c r="D33" s="215">
        <v>45200.0</v>
      </c>
      <c r="E33" s="202">
        <f t="shared" si="4"/>
        <v>17500</v>
      </c>
      <c r="F33" s="202" t="str">
        <f t="shared" si="5"/>
        <v>Past</v>
      </c>
      <c r="G33" s="188">
        <v>10000.0</v>
      </c>
      <c r="H33" s="188">
        <v>5000.0</v>
      </c>
      <c r="I33" s="264"/>
      <c r="J33" s="264"/>
      <c r="K33" s="264"/>
      <c r="L33" s="264">
        <v>2500.0</v>
      </c>
    </row>
    <row r="34">
      <c r="A34" s="188">
        <f t="shared" si="6"/>
        <v>836000</v>
      </c>
      <c r="B34" s="212">
        <f t="shared" si="2"/>
        <v>17500</v>
      </c>
      <c r="C34" s="212">
        <f t="shared" si="3"/>
        <v>17500</v>
      </c>
      <c r="D34" s="215">
        <v>45231.0</v>
      </c>
      <c r="E34" s="202">
        <f t="shared" si="4"/>
        <v>17500</v>
      </c>
      <c r="F34" s="202" t="str">
        <f t="shared" si="5"/>
        <v>Past</v>
      </c>
      <c r="G34" s="188">
        <v>10000.0</v>
      </c>
      <c r="H34" s="188">
        <v>5000.0</v>
      </c>
      <c r="I34" s="264"/>
      <c r="J34" s="264"/>
      <c r="K34" s="264"/>
      <c r="L34" s="264">
        <v>2500.0</v>
      </c>
    </row>
    <row r="35">
      <c r="A35" s="188">
        <f t="shared" si="6"/>
        <v>818500</v>
      </c>
      <c r="B35" s="212">
        <f t="shared" si="2"/>
        <v>17500</v>
      </c>
      <c r="C35" s="212">
        <f t="shared" si="3"/>
        <v>17500</v>
      </c>
      <c r="D35" s="215">
        <v>45261.0</v>
      </c>
      <c r="E35" s="202">
        <f t="shared" si="4"/>
        <v>17500</v>
      </c>
      <c r="F35" s="202" t="str">
        <f t="shared" si="5"/>
        <v>Past</v>
      </c>
      <c r="G35" s="188">
        <v>10000.0</v>
      </c>
      <c r="H35" s="188">
        <v>5000.0</v>
      </c>
      <c r="I35" s="264"/>
      <c r="J35" s="264"/>
      <c r="K35" s="264"/>
      <c r="L35" s="264">
        <v>2500.0</v>
      </c>
    </row>
    <row r="36">
      <c r="A36" s="188">
        <f t="shared" si="6"/>
        <v>801000</v>
      </c>
      <c r="B36" s="212">
        <f t="shared" si="2"/>
        <v>17500</v>
      </c>
      <c r="C36" s="212">
        <f t="shared" si="3"/>
        <v>17500</v>
      </c>
      <c r="D36" s="215">
        <v>45292.0</v>
      </c>
      <c r="E36" s="202">
        <f t="shared" si="4"/>
        <v>17500</v>
      </c>
      <c r="F36" s="202" t="str">
        <f t="shared" si="5"/>
        <v>Past</v>
      </c>
      <c r="G36" s="188">
        <v>10000.0</v>
      </c>
      <c r="H36" s="188">
        <v>5000.0</v>
      </c>
      <c r="I36" s="264"/>
      <c r="J36" s="264"/>
      <c r="K36" s="264"/>
      <c r="L36" s="264">
        <v>2500.0</v>
      </c>
    </row>
    <row r="37">
      <c r="A37" s="188">
        <f t="shared" si="6"/>
        <v>783500</v>
      </c>
      <c r="B37" s="212">
        <f t="shared" si="2"/>
        <v>17500</v>
      </c>
      <c r="C37" s="212">
        <f t="shared" si="3"/>
        <v>17500</v>
      </c>
      <c r="D37" s="215">
        <v>45323.0</v>
      </c>
      <c r="E37" s="202">
        <f t="shared" si="4"/>
        <v>17500</v>
      </c>
      <c r="F37" s="202" t="str">
        <f t="shared" si="5"/>
        <v>Past</v>
      </c>
      <c r="G37" s="188">
        <v>10000.0</v>
      </c>
      <c r="H37" s="188">
        <v>5000.0</v>
      </c>
      <c r="I37" s="264"/>
      <c r="J37" s="264"/>
      <c r="K37" s="264"/>
      <c r="L37" s="264">
        <v>2500.0</v>
      </c>
    </row>
    <row r="38">
      <c r="A38" s="188">
        <f t="shared" si="6"/>
        <v>766000</v>
      </c>
      <c r="B38" s="212">
        <f t="shared" si="2"/>
        <v>17500</v>
      </c>
      <c r="C38" s="212">
        <f t="shared" si="3"/>
        <v>17500</v>
      </c>
      <c r="D38" s="215">
        <v>45352.0</v>
      </c>
      <c r="E38" s="202">
        <f t="shared" si="4"/>
        <v>17500</v>
      </c>
      <c r="F38" s="202" t="str">
        <f t="shared" si="5"/>
        <v>Past</v>
      </c>
      <c r="G38" s="188">
        <v>10000.0</v>
      </c>
      <c r="H38" s="188">
        <v>5000.0</v>
      </c>
      <c r="I38" s="264"/>
      <c r="J38" s="264"/>
      <c r="K38" s="264"/>
      <c r="L38" s="264">
        <v>2500.0</v>
      </c>
    </row>
    <row r="39">
      <c r="A39" s="188">
        <f t="shared" si="6"/>
        <v>748500</v>
      </c>
      <c r="B39" s="212">
        <f t="shared" si="2"/>
        <v>17500</v>
      </c>
      <c r="C39" s="212">
        <f t="shared" si="3"/>
        <v>17500</v>
      </c>
      <c r="D39" s="215">
        <v>45383.0</v>
      </c>
      <c r="E39" s="202">
        <f t="shared" si="4"/>
        <v>17500</v>
      </c>
      <c r="F39" s="202" t="str">
        <f t="shared" si="5"/>
        <v>Past</v>
      </c>
      <c r="G39" s="188">
        <v>10000.0</v>
      </c>
      <c r="H39" s="188">
        <v>5000.0</v>
      </c>
      <c r="I39" s="264"/>
      <c r="J39" s="264"/>
      <c r="K39" s="264"/>
      <c r="L39" s="264">
        <v>2500.0</v>
      </c>
    </row>
    <row r="40">
      <c r="A40" s="188">
        <f t="shared" si="6"/>
        <v>731000</v>
      </c>
      <c r="B40" s="212">
        <f t="shared" si="2"/>
        <v>17500</v>
      </c>
      <c r="C40" s="212">
        <f t="shared" si="3"/>
        <v>17500</v>
      </c>
      <c r="D40" s="215">
        <v>45413.0</v>
      </c>
      <c r="E40" s="202">
        <f t="shared" si="4"/>
        <v>17500</v>
      </c>
      <c r="F40" s="202" t="str">
        <f t="shared" si="5"/>
        <v>Past</v>
      </c>
      <c r="G40" s="188">
        <v>10000.0</v>
      </c>
      <c r="H40" s="188">
        <v>5000.0</v>
      </c>
      <c r="I40" s="264"/>
      <c r="J40" s="264"/>
      <c r="K40" s="264"/>
      <c r="L40" s="264">
        <v>2500.0</v>
      </c>
    </row>
    <row r="41">
      <c r="A41" s="188">
        <f t="shared" si="6"/>
        <v>713500</v>
      </c>
      <c r="B41" s="212">
        <f t="shared" si="2"/>
        <v>17500</v>
      </c>
      <c r="C41" s="212">
        <f t="shared" si="3"/>
        <v>17500</v>
      </c>
      <c r="D41" s="215">
        <v>45444.0</v>
      </c>
      <c r="E41" s="202">
        <f t="shared" si="4"/>
        <v>17500</v>
      </c>
      <c r="F41" s="202" t="str">
        <f t="shared" si="5"/>
        <v>Past</v>
      </c>
      <c r="G41" s="188">
        <v>10000.0</v>
      </c>
      <c r="H41" s="188">
        <v>5000.0</v>
      </c>
      <c r="I41" s="264"/>
      <c r="J41" s="264"/>
      <c r="K41" s="264"/>
      <c r="L41" s="264">
        <v>2500.0</v>
      </c>
    </row>
    <row r="42">
      <c r="A42" s="188">
        <f t="shared" si="6"/>
        <v>696000</v>
      </c>
      <c r="B42" s="212">
        <f t="shared" si="2"/>
        <v>17500</v>
      </c>
      <c r="C42" s="212">
        <f t="shared" si="3"/>
        <v>17500</v>
      </c>
      <c r="D42" s="215">
        <v>45474.0</v>
      </c>
      <c r="E42" s="202">
        <f t="shared" si="4"/>
        <v>17500</v>
      </c>
      <c r="F42" s="202" t="str">
        <f t="shared" si="5"/>
        <v>Past</v>
      </c>
      <c r="G42" s="188">
        <v>10000.0</v>
      </c>
      <c r="H42" s="188">
        <v>5000.0</v>
      </c>
      <c r="I42" s="264"/>
      <c r="J42" s="264"/>
      <c r="K42" s="264"/>
      <c r="L42" s="264">
        <v>2500.0</v>
      </c>
    </row>
    <row r="43">
      <c r="A43" s="188">
        <f t="shared" si="6"/>
        <v>678500</v>
      </c>
      <c r="B43" s="212">
        <f t="shared" si="2"/>
        <v>17500</v>
      </c>
      <c r="C43" s="212">
        <f t="shared" si="3"/>
        <v>17500</v>
      </c>
      <c r="D43" s="215">
        <v>45505.0</v>
      </c>
      <c r="E43" s="202">
        <f t="shared" si="4"/>
        <v>17500</v>
      </c>
      <c r="F43" s="202" t="str">
        <f t="shared" si="5"/>
        <v>Past</v>
      </c>
      <c r="G43" s="188">
        <v>10000.0</v>
      </c>
      <c r="H43" s="188">
        <v>5000.0</v>
      </c>
      <c r="I43" s="264"/>
      <c r="J43" s="264"/>
      <c r="K43" s="264"/>
      <c r="L43" s="264">
        <v>2500.0</v>
      </c>
    </row>
    <row r="44">
      <c r="A44" s="188">
        <f t="shared" si="6"/>
        <v>671000</v>
      </c>
      <c r="B44" s="212">
        <f t="shared" si="2"/>
        <v>7500</v>
      </c>
      <c r="C44" s="212">
        <f t="shared" si="3"/>
        <v>7500</v>
      </c>
      <c r="D44" s="215">
        <v>45536.0</v>
      </c>
      <c r="E44" s="202">
        <f t="shared" si="4"/>
        <v>7500</v>
      </c>
      <c r="F44" s="202" t="str">
        <f t="shared" si="5"/>
        <v>Past</v>
      </c>
      <c r="G44" s="188">
        <v>0.0</v>
      </c>
      <c r="H44" s="188">
        <v>5000.0</v>
      </c>
      <c r="I44" s="264"/>
      <c r="J44" s="264"/>
      <c r="K44" s="264"/>
      <c r="L44" s="264">
        <v>2500.0</v>
      </c>
    </row>
    <row r="45">
      <c r="A45" s="188">
        <f t="shared" si="6"/>
        <v>663500</v>
      </c>
      <c r="B45" s="212">
        <f t="shared" si="2"/>
        <v>7500</v>
      </c>
      <c r="C45" s="212">
        <f t="shared" si="3"/>
        <v>7500</v>
      </c>
      <c r="D45" s="215">
        <v>45566.0</v>
      </c>
      <c r="E45" s="202">
        <f t="shared" si="4"/>
        <v>7500</v>
      </c>
      <c r="F45" s="202" t="str">
        <f t="shared" si="5"/>
        <v>Past</v>
      </c>
      <c r="G45" s="264">
        <v>0.0</v>
      </c>
      <c r="H45" s="264">
        <v>5000.0</v>
      </c>
      <c r="I45" s="264"/>
      <c r="J45" s="264"/>
      <c r="K45" s="264"/>
      <c r="L45" s="264">
        <v>2500.0</v>
      </c>
    </row>
    <row r="46">
      <c r="A46" s="188">
        <f t="shared" si="6"/>
        <v>663500</v>
      </c>
      <c r="B46" s="212">
        <f t="shared" si="2"/>
        <v>0</v>
      </c>
      <c r="C46" s="212">
        <f t="shared" si="3"/>
        <v>0</v>
      </c>
      <c r="D46" s="215">
        <v>45597.0</v>
      </c>
      <c r="E46" s="202">
        <f t="shared" si="4"/>
        <v>0</v>
      </c>
      <c r="F46" s="202" t="str">
        <f t="shared" si="5"/>
        <v>Past</v>
      </c>
      <c r="G46" s="264">
        <v>0.0</v>
      </c>
      <c r="H46" s="188">
        <v>0.0</v>
      </c>
      <c r="I46" s="188"/>
      <c r="J46" s="188"/>
      <c r="K46" s="188"/>
      <c r="L46" s="188">
        <v>0.0</v>
      </c>
    </row>
    <row r="47">
      <c r="A47" s="188">
        <f t="shared" si="6"/>
        <v>656000</v>
      </c>
      <c r="B47" s="212">
        <f t="shared" si="2"/>
        <v>7500</v>
      </c>
      <c r="C47" s="212">
        <f t="shared" si="3"/>
        <v>0</v>
      </c>
      <c r="D47" s="215">
        <v>45627.0</v>
      </c>
      <c r="E47" s="202">
        <f>sumif($G$19:L46,E$19,$G47:L47)-5000-2500</f>
        <v>0</v>
      </c>
      <c r="F47" s="202" t="str">
        <f t="shared" si="5"/>
        <v>Past</v>
      </c>
      <c r="G47" s="264">
        <v>0.0</v>
      </c>
      <c r="H47" s="265">
        <v>5000.0</v>
      </c>
      <c r="I47" s="265"/>
      <c r="J47" s="265"/>
      <c r="K47" s="265"/>
      <c r="L47" s="265">
        <v>2500.0</v>
      </c>
    </row>
    <row r="48">
      <c r="A48" s="188">
        <f t="shared" si="6"/>
        <v>656000</v>
      </c>
      <c r="B48" s="212">
        <f t="shared" si="2"/>
        <v>0</v>
      </c>
      <c r="C48" s="212">
        <f t="shared" si="3"/>
        <v>0</v>
      </c>
      <c r="D48" s="215">
        <v>45658.0</v>
      </c>
      <c r="E48" s="202">
        <f t="shared" ref="E48:E49" si="7">sumif($G$19:L47,E$19,$G48:L48)</f>
        <v>0</v>
      </c>
      <c r="F48" s="202" t="str">
        <f t="shared" si="5"/>
        <v>Past</v>
      </c>
      <c r="G48" s="264">
        <v>0.0</v>
      </c>
      <c r="H48" s="253">
        <v>0.0</v>
      </c>
      <c r="I48" s="264"/>
      <c r="J48" s="264"/>
      <c r="K48" s="264"/>
      <c r="L48" s="264">
        <v>0.0</v>
      </c>
    </row>
    <row r="49">
      <c r="A49" s="188">
        <f t="shared" si="6"/>
        <v>656000</v>
      </c>
      <c r="B49" s="212">
        <f t="shared" si="2"/>
        <v>0</v>
      </c>
      <c r="C49" s="212">
        <f t="shared" si="3"/>
        <v>0</v>
      </c>
      <c r="D49" s="215">
        <v>45689.0</v>
      </c>
      <c r="E49" s="202">
        <f t="shared" si="7"/>
        <v>0</v>
      </c>
      <c r="F49" s="202" t="str">
        <f t="shared" si="5"/>
        <v>Past</v>
      </c>
      <c r="G49" s="264">
        <v>0.0</v>
      </c>
      <c r="H49" s="264">
        <v>0.0</v>
      </c>
      <c r="I49" s="264"/>
      <c r="J49" s="264"/>
      <c r="K49" s="264"/>
      <c r="L49" s="264">
        <v>0.0</v>
      </c>
    </row>
    <row r="50">
      <c r="A50" s="188">
        <f t="shared" si="6"/>
        <v>651000</v>
      </c>
      <c r="B50" s="212">
        <v>0.0</v>
      </c>
      <c r="C50" s="212">
        <v>0.0</v>
      </c>
      <c r="D50" s="215">
        <v>45717.0</v>
      </c>
      <c r="E50" s="202">
        <v>0.0</v>
      </c>
      <c r="F50" s="202" t="str">
        <f t="shared" si="5"/>
        <v>Past</v>
      </c>
      <c r="G50" s="264">
        <v>0.0</v>
      </c>
      <c r="H50" s="188">
        <v>5000.0</v>
      </c>
      <c r="I50" s="188"/>
      <c r="J50" s="188"/>
      <c r="K50" s="188"/>
      <c r="L50" s="264">
        <v>0.0</v>
      </c>
    </row>
    <row r="51">
      <c r="A51" s="188">
        <f t="shared" si="6"/>
        <v>625000</v>
      </c>
      <c r="B51" s="212">
        <v>0.0</v>
      </c>
      <c r="C51" s="212">
        <f t="shared" ref="C51:C118" si="8">sum(E51)</f>
        <v>0</v>
      </c>
      <c r="D51" s="215">
        <v>45748.0</v>
      </c>
      <c r="E51" s="202">
        <v>0.0</v>
      </c>
      <c r="F51" s="202" t="str">
        <f t="shared" si="5"/>
        <v>Past</v>
      </c>
      <c r="G51" s="264">
        <v>0.0</v>
      </c>
      <c r="H51" s="265">
        <v>5000.0</v>
      </c>
      <c r="I51" s="253">
        <v>0.0</v>
      </c>
      <c r="J51" s="253">
        <v>16000.0</v>
      </c>
      <c r="K51" s="253">
        <v>5000.0</v>
      </c>
      <c r="L51" s="264">
        <v>0.0</v>
      </c>
    </row>
    <row r="52">
      <c r="A52" s="188">
        <f t="shared" si="6"/>
        <v>565000</v>
      </c>
      <c r="B52" s="212">
        <f t="shared" ref="B52:B118" si="9">ceiling(sum(G52:L52),1)</f>
        <v>60000</v>
      </c>
      <c r="C52" s="212">
        <f t="shared" si="8"/>
        <v>0</v>
      </c>
      <c r="D52" s="215">
        <v>45778.0</v>
      </c>
      <c r="E52" s="202">
        <v>0.0</v>
      </c>
      <c r="F52" s="202" t="str">
        <f t="shared" si="5"/>
        <v>Past</v>
      </c>
      <c r="G52" s="264">
        <v>0.0</v>
      </c>
      <c r="H52" s="266">
        <v>5000.0</v>
      </c>
      <c r="I52" s="267">
        <v>20000.0</v>
      </c>
      <c r="J52" s="267">
        <v>30000.0</v>
      </c>
      <c r="K52" s="267">
        <f t="shared" ref="K52:K56" si="10">K51</f>
        <v>5000</v>
      </c>
      <c r="L52" s="264">
        <v>0.0</v>
      </c>
    </row>
    <row r="53">
      <c r="A53" s="188">
        <f t="shared" si="6"/>
        <v>505000</v>
      </c>
      <c r="B53" s="212">
        <f t="shared" si="9"/>
        <v>60000</v>
      </c>
      <c r="C53" s="212">
        <f t="shared" si="8"/>
        <v>0</v>
      </c>
      <c r="D53" s="215">
        <v>45809.0</v>
      </c>
      <c r="E53" s="202">
        <v>0.0</v>
      </c>
      <c r="F53" s="202" t="str">
        <f t="shared" si="5"/>
        <v>Past</v>
      </c>
      <c r="G53" s="264">
        <v>0.0</v>
      </c>
      <c r="H53" s="264">
        <v>5000.0</v>
      </c>
      <c r="I53" s="253">
        <v>20000.0</v>
      </c>
      <c r="J53" s="253">
        <v>30000.0</v>
      </c>
      <c r="K53" s="253">
        <f t="shared" si="10"/>
        <v>5000</v>
      </c>
      <c r="L53" s="264">
        <v>0.0</v>
      </c>
    </row>
    <row r="54">
      <c r="A54" s="188">
        <f t="shared" si="6"/>
        <v>445000</v>
      </c>
      <c r="B54" s="212">
        <f t="shared" si="9"/>
        <v>60000</v>
      </c>
      <c r="C54" s="212">
        <f t="shared" si="8"/>
        <v>0</v>
      </c>
      <c r="D54" s="215">
        <v>45839.0</v>
      </c>
      <c r="E54" s="202">
        <v>0.0</v>
      </c>
      <c r="F54" s="202" t="str">
        <f t="shared" si="5"/>
        <v>Past</v>
      </c>
      <c r="G54" s="264">
        <v>0.0</v>
      </c>
      <c r="H54" s="264">
        <v>5000.0</v>
      </c>
      <c r="I54" s="188">
        <v>20000.0</v>
      </c>
      <c r="J54" s="188">
        <v>30000.0</v>
      </c>
      <c r="K54" s="188">
        <f t="shared" si="10"/>
        <v>5000</v>
      </c>
      <c r="L54" s="264">
        <v>0.0</v>
      </c>
    </row>
    <row r="55">
      <c r="A55" s="188">
        <f t="shared" si="6"/>
        <v>385000</v>
      </c>
      <c r="B55" s="212">
        <f t="shared" si="9"/>
        <v>60000</v>
      </c>
      <c r="C55" s="212">
        <f t="shared" si="8"/>
        <v>0</v>
      </c>
      <c r="D55" s="215">
        <v>45870.0</v>
      </c>
      <c r="E55" s="202">
        <v>0.0</v>
      </c>
      <c r="F55" s="202" t="str">
        <f t="shared" si="5"/>
        <v>Past</v>
      </c>
      <c r="G55" s="264">
        <v>0.0</v>
      </c>
      <c r="H55" s="264">
        <v>5000.0</v>
      </c>
      <c r="I55" s="188">
        <v>20000.0</v>
      </c>
      <c r="J55" s="188">
        <v>30000.0</v>
      </c>
      <c r="K55" s="188">
        <f t="shared" si="10"/>
        <v>5000</v>
      </c>
      <c r="L55" s="264">
        <v>0.0</v>
      </c>
    </row>
    <row r="56">
      <c r="A56" s="188">
        <f t="shared" si="6"/>
        <v>325000</v>
      </c>
      <c r="B56" s="212">
        <f t="shared" si="9"/>
        <v>60000</v>
      </c>
      <c r="C56" s="212">
        <f t="shared" si="8"/>
        <v>0</v>
      </c>
      <c r="D56" s="215">
        <v>45901.0</v>
      </c>
      <c r="E56" s="202">
        <v>0.0</v>
      </c>
      <c r="F56" s="202" t="str">
        <f t="shared" si="5"/>
        <v>Past</v>
      </c>
      <c r="G56" s="264">
        <v>0.0</v>
      </c>
      <c r="H56" s="264">
        <v>5000.0</v>
      </c>
      <c r="I56" s="188">
        <v>20000.0</v>
      </c>
      <c r="J56" s="188">
        <v>30000.0</v>
      </c>
      <c r="K56" s="188">
        <f t="shared" si="10"/>
        <v>5000</v>
      </c>
      <c r="L56" s="264">
        <v>0.0</v>
      </c>
    </row>
    <row r="57">
      <c r="A57" s="188">
        <f t="shared" si="6"/>
        <v>300000</v>
      </c>
      <c r="B57" s="212">
        <f t="shared" si="9"/>
        <v>25000</v>
      </c>
      <c r="C57" s="212">
        <f t="shared" si="8"/>
        <v>0</v>
      </c>
      <c r="D57" s="215">
        <v>45931.0</v>
      </c>
      <c r="E57" s="202">
        <v>0.0</v>
      </c>
      <c r="F57" s="202" t="str">
        <f t="shared" si="5"/>
        <v>Past</v>
      </c>
      <c r="G57" s="264">
        <v>0.0</v>
      </c>
      <c r="H57" s="264">
        <v>5000.0</v>
      </c>
      <c r="I57" s="188">
        <v>20000.0</v>
      </c>
      <c r="J57" s="188"/>
      <c r="K57" s="188">
        <v>0.0</v>
      </c>
      <c r="L57" s="264">
        <v>0.0</v>
      </c>
    </row>
    <row r="58">
      <c r="A58" s="188">
        <f t="shared" si="6"/>
        <v>300000</v>
      </c>
      <c r="B58" s="212">
        <f t="shared" si="9"/>
        <v>0</v>
      </c>
      <c r="C58" s="212">
        <f t="shared" si="8"/>
        <v>0</v>
      </c>
      <c r="D58" s="215">
        <v>45962.0</v>
      </c>
      <c r="E58" s="202">
        <f t="shared" ref="E58:E118" si="11">sumif($G$19:L57,E$19,$G58:L58)</f>
        <v>0</v>
      </c>
      <c r="F58" s="202" t="str">
        <f t="shared" si="5"/>
        <v>Current</v>
      </c>
      <c r="G58" s="264">
        <v>0.0</v>
      </c>
      <c r="H58" s="264" t="str">
        <f>"Paid "&amp;5000</f>
        <v>Paid 5000</v>
      </c>
      <c r="I58" s="188"/>
      <c r="J58" s="188"/>
      <c r="K58" s="188"/>
      <c r="L58" s="264">
        <v>0.0</v>
      </c>
    </row>
    <row r="59">
      <c r="A59" s="188">
        <f t="shared" si="6"/>
        <v>295000</v>
      </c>
      <c r="B59" s="212">
        <f t="shared" si="9"/>
        <v>5000</v>
      </c>
      <c r="C59" s="212">
        <f t="shared" si="8"/>
        <v>5000</v>
      </c>
      <c r="D59" s="215">
        <v>45992.0</v>
      </c>
      <c r="E59" s="202">
        <f t="shared" si="11"/>
        <v>5000</v>
      </c>
      <c r="F59" s="202" t="str">
        <f t="shared" si="5"/>
        <v>Future</v>
      </c>
      <c r="G59" s="264">
        <v>0.0</v>
      </c>
      <c r="H59" s="264">
        <v>5000.0</v>
      </c>
      <c r="I59" s="188"/>
      <c r="J59" s="188"/>
      <c r="K59" s="188"/>
      <c r="L59" s="264">
        <v>0.0</v>
      </c>
    </row>
    <row r="60">
      <c r="A60" s="188">
        <f t="shared" si="6"/>
        <v>290000</v>
      </c>
      <c r="B60" s="212">
        <f t="shared" si="9"/>
        <v>5000</v>
      </c>
      <c r="C60" s="212">
        <f t="shared" si="8"/>
        <v>5000</v>
      </c>
      <c r="D60" s="215">
        <v>46023.0</v>
      </c>
      <c r="E60" s="202">
        <f t="shared" si="11"/>
        <v>5000</v>
      </c>
      <c r="F60" s="202" t="str">
        <f t="shared" si="5"/>
        <v>Future</v>
      </c>
      <c r="G60" s="264">
        <v>0.0</v>
      </c>
      <c r="H60" s="264">
        <v>5000.0</v>
      </c>
      <c r="I60" s="188"/>
      <c r="J60" s="188"/>
      <c r="K60" s="188"/>
      <c r="L60" s="264">
        <v>0.0</v>
      </c>
    </row>
    <row r="61">
      <c r="A61" s="188">
        <f t="shared" si="6"/>
        <v>285000</v>
      </c>
      <c r="B61" s="212">
        <f t="shared" si="9"/>
        <v>5000</v>
      </c>
      <c r="C61" s="212">
        <f t="shared" si="8"/>
        <v>5000</v>
      </c>
      <c r="D61" s="215">
        <v>46054.0</v>
      </c>
      <c r="E61" s="202">
        <f t="shared" si="11"/>
        <v>5000</v>
      </c>
      <c r="F61" s="202" t="str">
        <f t="shared" si="5"/>
        <v>Future</v>
      </c>
      <c r="G61" s="264">
        <v>0.0</v>
      </c>
      <c r="H61" s="264">
        <v>5000.0</v>
      </c>
      <c r="I61" s="188"/>
      <c r="J61" s="188"/>
      <c r="K61" s="188"/>
      <c r="L61" s="264">
        <v>0.0</v>
      </c>
    </row>
    <row r="62">
      <c r="A62" s="188">
        <f t="shared" si="6"/>
        <v>280000</v>
      </c>
      <c r="B62" s="212">
        <f t="shared" si="9"/>
        <v>5000</v>
      </c>
      <c r="C62" s="212">
        <f t="shared" si="8"/>
        <v>5000</v>
      </c>
      <c r="D62" s="215">
        <v>46082.0</v>
      </c>
      <c r="E62" s="202">
        <f t="shared" si="11"/>
        <v>5000</v>
      </c>
      <c r="F62" s="202" t="str">
        <f t="shared" si="5"/>
        <v>Future</v>
      </c>
      <c r="G62" s="264">
        <v>0.0</v>
      </c>
      <c r="H62" s="264">
        <v>5000.0</v>
      </c>
      <c r="I62" s="188"/>
      <c r="J62" s="188"/>
      <c r="K62" s="188"/>
      <c r="L62" s="264">
        <v>0.0</v>
      </c>
    </row>
    <row r="63">
      <c r="A63" s="188">
        <f t="shared" si="6"/>
        <v>275000</v>
      </c>
      <c r="B63" s="212">
        <f t="shared" si="9"/>
        <v>5000</v>
      </c>
      <c r="C63" s="212">
        <f t="shared" si="8"/>
        <v>5000</v>
      </c>
      <c r="D63" s="215">
        <v>46113.0</v>
      </c>
      <c r="E63" s="202">
        <f t="shared" si="11"/>
        <v>5000</v>
      </c>
      <c r="F63" s="202" t="str">
        <f t="shared" si="5"/>
        <v>Future</v>
      </c>
      <c r="G63" s="264">
        <v>0.0</v>
      </c>
      <c r="H63" s="264">
        <v>5000.0</v>
      </c>
      <c r="I63" s="188"/>
      <c r="J63" s="188"/>
      <c r="K63" s="188"/>
      <c r="L63" s="264">
        <v>0.0</v>
      </c>
    </row>
    <row r="64">
      <c r="A64" s="188">
        <f t="shared" si="6"/>
        <v>270000</v>
      </c>
      <c r="B64" s="212">
        <f t="shared" si="9"/>
        <v>5000</v>
      </c>
      <c r="C64" s="212">
        <f t="shared" si="8"/>
        <v>5000</v>
      </c>
      <c r="D64" s="215">
        <v>46143.0</v>
      </c>
      <c r="E64" s="202">
        <f t="shared" si="11"/>
        <v>5000</v>
      </c>
      <c r="F64" s="202" t="str">
        <f t="shared" si="5"/>
        <v>Future</v>
      </c>
      <c r="G64" s="264">
        <v>0.0</v>
      </c>
      <c r="H64" s="264">
        <v>5000.0</v>
      </c>
      <c r="I64" s="188"/>
      <c r="J64" s="188"/>
      <c r="K64" s="188"/>
      <c r="L64" s="264">
        <v>0.0</v>
      </c>
    </row>
    <row r="65">
      <c r="A65" s="188">
        <f t="shared" si="6"/>
        <v>265000</v>
      </c>
      <c r="B65" s="212">
        <f t="shared" si="9"/>
        <v>5000</v>
      </c>
      <c r="C65" s="212">
        <f t="shared" si="8"/>
        <v>5000</v>
      </c>
      <c r="D65" s="215">
        <v>46174.0</v>
      </c>
      <c r="E65" s="202">
        <f t="shared" si="11"/>
        <v>5000</v>
      </c>
      <c r="F65" s="202" t="str">
        <f t="shared" si="5"/>
        <v>Future</v>
      </c>
      <c r="G65" s="264">
        <v>0.0</v>
      </c>
      <c r="H65" s="264">
        <v>5000.0</v>
      </c>
      <c r="I65" s="188"/>
      <c r="J65" s="188"/>
      <c r="K65" s="188"/>
      <c r="L65" s="264">
        <v>0.0</v>
      </c>
    </row>
    <row r="66">
      <c r="A66" s="188">
        <f t="shared" si="6"/>
        <v>260000</v>
      </c>
      <c r="B66" s="212">
        <f t="shared" si="9"/>
        <v>5000</v>
      </c>
      <c r="C66" s="212">
        <f t="shared" si="8"/>
        <v>5000</v>
      </c>
      <c r="D66" s="215">
        <v>46204.0</v>
      </c>
      <c r="E66" s="202">
        <f t="shared" si="11"/>
        <v>5000</v>
      </c>
      <c r="F66" s="202" t="str">
        <f t="shared" si="5"/>
        <v>Future</v>
      </c>
      <c r="G66" s="264">
        <v>0.0</v>
      </c>
      <c r="H66" s="264">
        <v>5000.0</v>
      </c>
      <c r="I66" s="188"/>
      <c r="J66" s="188"/>
      <c r="K66" s="188"/>
      <c r="L66" s="264">
        <v>0.0</v>
      </c>
    </row>
    <row r="67">
      <c r="A67" s="188">
        <f t="shared" si="6"/>
        <v>255000</v>
      </c>
      <c r="B67" s="212">
        <f t="shared" si="9"/>
        <v>5000</v>
      </c>
      <c r="C67" s="212">
        <f t="shared" si="8"/>
        <v>5000</v>
      </c>
      <c r="D67" s="215">
        <v>46235.0</v>
      </c>
      <c r="E67" s="202">
        <f t="shared" si="11"/>
        <v>5000</v>
      </c>
      <c r="F67" s="202" t="str">
        <f t="shared" si="5"/>
        <v>Future</v>
      </c>
      <c r="G67" s="264">
        <v>0.0</v>
      </c>
      <c r="H67" s="264">
        <v>5000.0</v>
      </c>
      <c r="I67" s="188"/>
      <c r="J67" s="188"/>
      <c r="K67" s="188"/>
      <c r="L67" s="264">
        <v>0.0</v>
      </c>
    </row>
    <row r="68">
      <c r="A68" s="188">
        <f t="shared" si="6"/>
        <v>250000</v>
      </c>
      <c r="B68" s="212">
        <f t="shared" si="9"/>
        <v>5000</v>
      </c>
      <c r="C68" s="212">
        <f t="shared" si="8"/>
        <v>5000</v>
      </c>
      <c r="D68" s="215">
        <v>46266.0</v>
      </c>
      <c r="E68" s="202">
        <f t="shared" si="11"/>
        <v>5000</v>
      </c>
      <c r="F68" s="202" t="str">
        <f t="shared" si="5"/>
        <v>Future</v>
      </c>
      <c r="G68" s="264">
        <v>0.0</v>
      </c>
      <c r="H68" s="264">
        <v>5000.0</v>
      </c>
      <c r="I68" s="188"/>
      <c r="J68" s="188"/>
      <c r="K68" s="188"/>
      <c r="L68" s="264">
        <v>0.0</v>
      </c>
    </row>
    <row r="69">
      <c r="A69" s="188">
        <f t="shared" si="6"/>
        <v>245000</v>
      </c>
      <c r="B69" s="212">
        <f t="shared" si="9"/>
        <v>5000</v>
      </c>
      <c r="C69" s="212">
        <f t="shared" si="8"/>
        <v>5000</v>
      </c>
      <c r="D69" s="215">
        <v>46296.0</v>
      </c>
      <c r="E69" s="202">
        <f t="shared" si="11"/>
        <v>5000</v>
      </c>
      <c r="F69" s="202" t="str">
        <f t="shared" si="5"/>
        <v>Future</v>
      </c>
      <c r="G69" s="264">
        <v>0.0</v>
      </c>
      <c r="H69" s="264">
        <v>5000.0</v>
      </c>
      <c r="I69" s="188"/>
      <c r="J69" s="188"/>
      <c r="K69" s="188"/>
      <c r="L69" s="264">
        <v>0.0</v>
      </c>
    </row>
    <row r="70">
      <c r="A70" s="188">
        <f t="shared" si="6"/>
        <v>240000</v>
      </c>
      <c r="B70" s="212">
        <f t="shared" si="9"/>
        <v>5000</v>
      </c>
      <c r="C70" s="212">
        <f t="shared" si="8"/>
        <v>5000</v>
      </c>
      <c r="D70" s="215">
        <v>46327.0</v>
      </c>
      <c r="E70" s="202">
        <f t="shared" si="11"/>
        <v>5000</v>
      </c>
      <c r="F70" s="202" t="str">
        <f t="shared" si="5"/>
        <v>Future</v>
      </c>
      <c r="G70" s="264">
        <v>0.0</v>
      </c>
      <c r="H70" s="264">
        <v>5000.0</v>
      </c>
      <c r="I70" s="188"/>
      <c r="J70" s="188"/>
      <c r="K70" s="188"/>
      <c r="L70" s="264">
        <v>0.0</v>
      </c>
    </row>
    <row r="71">
      <c r="A71" s="188">
        <f t="shared" si="6"/>
        <v>235000</v>
      </c>
      <c r="B71" s="212">
        <f t="shared" si="9"/>
        <v>5000</v>
      </c>
      <c r="C71" s="212">
        <f t="shared" si="8"/>
        <v>5000</v>
      </c>
      <c r="D71" s="215">
        <v>46357.0</v>
      </c>
      <c r="E71" s="202">
        <f t="shared" si="11"/>
        <v>5000</v>
      </c>
      <c r="F71" s="202" t="str">
        <f t="shared" si="5"/>
        <v>Future</v>
      </c>
      <c r="G71" s="264">
        <v>0.0</v>
      </c>
      <c r="H71" s="264">
        <v>5000.0</v>
      </c>
      <c r="I71" s="188"/>
      <c r="J71" s="188"/>
      <c r="K71" s="188"/>
      <c r="L71" s="264">
        <v>0.0</v>
      </c>
    </row>
    <row r="72">
      <c r="A72" s="188">
        <f t="shared" si="6"/>
        <v>230000</v>
      </c>
      <c r="B72" s="212">
        <f t="shared" si="9"/>
        <v>5000</v>
      </c>
      <c r="C72" s="212">
        <f t="shared" si="8"/>
        <v>5000</v>
      </c>
      <c r="D72" s="215">
        <v>46388.0</v>
      </c>
      <c r="E72" s="202">
        <f t="shared" si="11"/>
        <v>5000</v>
      </c>
      <c r="F72" s="202" t="str">
        <f t="shared" si="5"/>
        <v>Future</v>
      </c>
      <c r="G72" s="264">
        <v>0.0</v>
      </c>
      <c r="H72" s="264">
        <v>5000.0</v>
      </c>
      <c r="I72" s="188"/>
      <c r="J72" s="188"/>
      <c r="K72" s="188"/>
      <c r="L72" s="264">
        <v>0.0</v>
      </c>
    </row>
    <row r="73">
      <c r="A73" s="188">
        <f t="shared" si="6"/>
        <v>225000</v>
      </c>
      <c r="B73" s="212">
        <f t="shared" si="9"/>
        <v>5000</v>
      </c>
      <c r="C73" s="212">
        <f t="shared" si="8"/>
        <v>5000</v>
      </c>
      <c r="D73" s="215">
        <v>46419.0</v>
      </c>
      <c r="E73" s="202">
        <f t="shared" si="11"/>
        <v>5000</v>
      </c>
      <c r="F73" s="202" t="str">
        <f t="shared" si="5"/>
        <v>Future</v>
      </c>
      <c r="G73" s="264">
        <v>0.0</v>
      </c>
      <c r="H73" s="264">
        <v>5000.0</v>
      </c>
      <c r="I73" s="188"/>
      <c r="J73" s="188"/>
      <c r="K73" s="188"/>
      <c r="L73" s="264">
        <v>0.0</v>
      </c>
    </row>
    <row r="74">
      <c r="A74" s="188">
        <f t="shared" si="6"/>
        <v>220000</v>
      </c>
      <c r="B74" s="212">
        <f t="shared" si="9"/>
        <v>5000</v>
      </c>
      <c r="C74" s="212">
        <f t="shared" si="8"/>
        <v>5000</v>
      </c>
      <c r="D74" s="215">
        <v>46447.0</v>
      </c>
      <c r="E74" s="202">
        <f t="shared" si="11"/>
        <v>5000</v>
      </c>
      <c r="F74" s="202" t="str">
        <f t="shared" si="5"/>
        <v>Future</v>
      </c>
      <c r="G74" s="264">
        <v>0.0</v>
      </c>
      <c r="H74" s="264">
        <v>5000.0</v>
      </c>
      <c r="I74" s="188"/>
      <c r="J74" s="188"/>
      <c r="K74" s="188"/>
      <c r="L74" s="264">
        <v>0.0</v>
      </c>
    </row>
    <row r="75">
      <c r="A75" s="188">
        <f t="shared" si="6"/>
        <v>215000</v>
      </c>
      <c r="B75" s="212">
        <f t="shared" si="9"/>
        <v>5000</v>
      </c>
      <c r="C75" s="212">
        <f t="shared" si="8"/>
        <v>5000</v>
      </c>
      <c r="D75" s="215">
        <v>46478.0</v>
      </c>
      <c r="E75" s="202">
        <f t="shared" si="11"/>
        <v>5000</v>
      </c>
      <c r="F75" s="202" t="str">
        <f t="shared" si="5"/>
        <v>Future</v>
      </c>
      <c r="G75" s="264">
        <v>0.0</v>
      </c>
      <c r="H75" s="264">
        <v>5000.0</v>
      </c>
      <c r="I75" s="188"/>
      <c r="J75" s="188"/>
      <c r="K75" s="188"/>
      <c r="L75" s="264">
        <v>0.0</v>
      </c>
    </row>
    <row r="76">
      <c r="A76" s="188">
        <f t="shared" si="6"/>
        <v>210000</v>
      </c>
      <c r="B76" s="212">
        <f t="shared" si="9"/>
        <v>5000</v>
      </c>
      <c r="C76" s="212">
        <f t="shared" si="8"/>
        <v>5000</v>
      </c>
      <c r="D76" s="215">
        <v>46508.0</v>
      </c>
      <c r="E76" s="202">
        <f t="shared" si="11"/>
        <v>5000</v>
      </c>
      <c r="F76" s="202" t="str">
        <f t="shared" si="5"/>
        <v>Future</v>
      </c>
      <c r="G76" s="264">
        <v>0.0</v>
      </c>
      <c r="H76" s="264">
        <v>5000.0</v>
      </c>
      <c r="I76" s="188"/>
      <c r="J76" s="188"/>
      <c r="K76" s="188"/>
      <c r="L76" s="264">
        <v>0.0</v>
      </c>
    </row>
    <row r="77">
      <c r="A77" s="188">
        <f t="shared" si="6"/>
        <v>205000</v>
      </c>
      <c r="B77" s="212">
        <f t="shared" si="9"/>
        <v>5000</v>
      </c>
      <c r="C77" s="212">
        <f t="shared" si="8"/>
        <v>5000</v>
      </c>
      <c r="D77" s="215">
        <v>46539.0</v>
      </c>
      <c r="E77" s="202">
        <f t="shared" si="11"/>
        <v>5000</v>
      </c>
      <c r="F77" s="202" t="str">
        <f t="shared" si="5"/>
        <v>Future</v>
      </c>
      <c r="G77" s="264">
        <v>0.0</v>
      </c>
      <c r="H77" s="264">
        <v>5000.0</v>
      </c>
      <c r="I77" s="188"/>
      <c r="J77" s="188"/>
      <c r="K77" s="188"/>
      <c r="L77" s="264">
        <v>0.0</v>
      </c>
    </row>
    <row r="78">
      <c r="A78" s="188">
        <f t="shared" si="6"/>
        <v>200000</v>
      </c>
      <c r="B78" s="212">
        <f t="shared" si="9"/>
        <v>5000</v>
      </c>
      <c r="C78" s="212">
        <f t="shared" si="8"/>
        <v>5000</v>
      </c>
      <c r="D78" s="215">
        <v>46569.0</v>
      </c>
      <c r="E78" s="202">
        <f t="shared" si="11"/>
        <v>5000</v>
      </c>
      <c r="F78" s="202" t="str">
        <f t="shared" si="5"/>
        <v>Future</v>
      </c>
      <c r="G78" s="264">
        <v>0.0</v>
      </c>
      <c r="H78" s="264">
        <v>5000.0</v>
      </c>
      <c r="I78" s="188"/>
      <c r="J78" s="188"/>
      <c r="K78" s="188"/>
      <c r="L78" s="264">
        <v>0.0</v>
      </c>
    </row>
    <row r="79">
      <c r="A79" s="188">
        <f t="shared" si="6"/>
        <v>195000</v>
      </c>
      <c r="B79" s="212">
        <f t="shared" si="9"/>
        <v>5000</v>
      </c>
      <c r="C79" s="212">
        <f t="shared" si="8"/>
        <v>5000</v>
      </c>
      <c r="D79" s="215">
        <v>46600.0</v>
      </c>
      <c r="E79" s="202">
        <f t="shared" si="11"/>
        <v>5000</v>
      </c>
      <c r="F79" s="202" t="str">
        <f t="shared" si="5"/>
        <v>Future</v>
      </c>
      <c r="G79" s="264">
        <v>0.0</v>
      </c>
      <c r="H79" s="264">
        <v>5000.0</v>
      </c>
      <c r="I79" s="188"/>
      <c r="J79" s="188"/>
      <c r="K79" s="188"/>
      <c r="L79" s="264">
        <v>0.0</v>
      </c>
    </row>
    <row r="80">
      <c r="A80" s="188">
        <f t="shared" si="6"/>
        <v>190000</v>
      </c>
      <c r="B80" s="212">
        <f t="shared" si="9"/>
        <v>5000</v>
      </c>
      <c r="C80" s="212">
        <f t="shared" si="8"/>
        <v>5000</v>
      </c>
      <c r="D80" s="215">
        <v>46631.0</v>
      </c>
      <c r="E80" s="202">
        <f t="shared" si="11"/>
        <v>5000</v>
      </c>
      <c r="F80" s="202" t="str">
        <f t="shared" si="5"/>
        <v>Future</v>
      </c>
      <c r="G80" s="264">
        <v>0.0</v>
      </c>
      <c r="H80" s="264">
        <v>5000.0</v>
      </c>
      <c r="I80" s="188"/>
      <c r="J80" s="188"/>
      <c r="K80" s="188"/>
      <c r="L80" s="264">
        <v>0.0</v>
      </c>
    </row>
    <row r="81">
      <c r="A81" s="188">
        <f t="shared" si="6"/>
        <v>185000</v>
      </c>
      <c r="B81" s="212">
        <f t="shared" si="9"/>
        <v>5000</v>
      </c>
      <c r="C81" s="212">
        <f t="shared" si="8"/>
        <v>5000</v>
      </c>
      <c r="D81" s="215">
        <v>46661.0</v>
      </c>
      <c r="E81" s="202">
        <f t="shared" si="11"/>
        <v>5000</v>
      </c>
      <c r="F81" s="202" t="str">
        <f t="shared" si="5"/>
        <v>Future</v>
      </c>
      <c r="G81" s="264">
        <v>0.0</v>
      </c>
      <c r="H81" s="264">
        <v>5000.0</v>
      </c>
      <c r="I81" s="188"/>
      <c r="J81" s="188"/>
      <c r="K81" s="188"/>
      <c r="L81" s="264">
        <v>0.0</v>
      </c>
    </row>
    <row r="82">
      <c r="A82" s="188">
        <f t="shared" si="6"/>
        <v>180000</v>
      </c>
      <c r="B82" s="212">
        <f t="shared" si="9"/>
        <v>5000</v>
      </c>
      <c r="C82" s="212">
        <f t="shared" si="8"/>
        <v>5000</v>
      </c>
      <c r="D82" s="215">
        <v>46692.0</v>
      </c>
      <c r="E82" s="202">
        <f t="shared" si="11"/>
        <v>5000</v>
      </c>
      <c r="F82" s="202" t="str">
        <f t="shared" si="5"/>
        <v>Future</v>
      </c>
      <c r="G82" s="264">
        <v>0.0</v>
      </c>
      <c r="H82" s="264">
        <v>5000.0</v>
      </c>
      <c r="I82" s="188"/>
      <c r="J82" s="188"/>
      <c r="K82" s="188"/>
      <c r="L82" s="264">
        <v>0.0</v>
      </c>
    </row>
    <row r="83">
      <c r="A83" s="188">
        <f t="shared" si="6"/>
        <v>175000</v>
      </c>
      <c r="B83" s="212">
        <f t="shared" si="9"/>
        <v>5000</v>
      </c>
      <c r="C83" s="212">
        <f t="shared" si="8"/>
        <v>5000</v>
      </c>
      <c r="D83" s="215">
        <v>46722.0</v>
      </c>
      <c r="E83" s="202">
        <f t="shared" si="11"/>
        <v>5000</v>
      </c>
      <c r="F83" s="202" t="str">
        <f t="shared" si="5"/>
        <v>Future</v>
      </c>
      <c r="G83" s="264">
        <v>0.0</v>
      </c>
      <c r="H83" s="264">
        <v>5000.0</v>
      </c>
      <c r="I83" s="188"/>
      <c r="J83" s="188"/>
      <c r="K83" s="188"/>
      <c r="L83" s="264">
        <v>0.0</v>
      </c>
    </row>
    <row r="84">
      <c r="A84" s="188">
        <f t="shared" si="6"/>
        <v>170000</v>
      </c>
      <c r="B84" s="212">
        <f t="shared" si="9"/>
        <v>5000</v>
      </c>
      <c r="C84" s="212">
        <f t="shared" si="8"/>
        <v>5000</v>
      </c>
      <c r="D84" s="215">
        <v>46753.0</v>
      </c>
      <c r="E84" s="202">
        <f t="shared" si="11"/>
        <v>5000</v>
      </c>
      <c r="F84" s="202" t="str">
        <f t="shared" si="5"/>
        <v>Future</v>
      </c>
      <c r="G84" s="264">
        <v>0.0</v>
      </c>
      <c r="H84" s="264">
        <v>5000.0</v>
      </c>
      <c r="I84" s="188"/>
      <c r="J84" s="188"/>
      <c r="K84" s="188"/>
      <c r="L84" s="264">
        <v>0.0</v>
      </c>
    </row>
    <row r="85">
      <c r="A85" s="188">
        <f t="shared" si="6"/>
        <v>165000</v>
      </c>
      <c r="B85" s="212">
        <f t="shared" si="9"/>
        <v>5000</v>
      </c>
      <c r="C85" s="212">
        <f t="shared" si="8"/>
        <v>5000</v>
      </c>
      <c r="D85" s="215">
        <v>46784.0</v>
      </c>
      <c r="E85" s="202">
        <f t="shared" si="11"/>
        <v>5000</v>
      </c>
      <c r="F85" s="202" t="str">
        <f t="shared" si="5"/>
        <v>Future</v>
      </c>
      <c r="G85" s="264">
        <v>0.0</v>
      </c>
      <c r="H85" s="264">
        <v>5000.0</v>
      </c>
      <c r="I85" s="188"/>
      <c r="J85" s="188"/>
      <c r="K85" s="188"/>
      <c r="L85" s="264">
        <v>0.0</v>
      </c>
    </row>
    <row r="86">
      <c r="A86" s="188">
        <f t="shared" si="6"/>
        <v>160000</v>
      </c>
      <c r="B86" s="212">
        <f t="shared" si="9"/>
        <v>5000</v>
      </c>
      <c r="C86" s="212">
        <f t="shared" si="8"/>
        <v>5000</v>
      </c>
      <c r="D86" s="215">
        <v>46813.0</v>
      </c>
      <c r="E86" s="202">
        <f t="shared" si="11"/>
        <v>5000</v>
      </c>
      <c r="F86" s="202" t="str">
        <f t="shared" si="5"/>
        <v>Future</v>
      </c>
      <c r="G86" s="264">
        <v>0.0</v>
      </c>
      <c r="H86" s="264">
        <v>5000.0</v>
      </c>
      <c r="I86" s="188"/>
      <c r="J86" s="188"/>
      <c r="K86" s="188"/>
      <c r="L86" s="264">
        <v>0.0</v>
      </c>
    </row>
    <row r="87">
      <c r="A87" s="188">
        <f t="shared" si="6"/>
        <v>155000</v>
      </c>
      <c r="B87" s="212">
        <f t="shared" si="9"/>
        <v>5000</v>
      </c>
      <c r="C87" s="212">
        <f t="shared" si="8"/>
        <v>5000</v>
      </c>
      <c r="D87" s="215">
        <v>46844.0</v>
      </c>
      <c r="E87" s="202">
        <f t="shared" si="11"/>
        <v>5000</v>
      </c>
      <c r="F87" s="202" t="str">
        <f t="shared" si="5"/>
        <v>Future</v>
      </c>
      <c r="G87" s="264">
        <v>0.0</v>
      </c>
      <c r="H87" s="264">
        <v>5000.0</v>
      </c>
      <c r="I87" s="188"/>
      <c r="J87" s="188"/>
      <c r="K87" s="188"/>
      <c r="L87" s="264">
        <v>0.0</v>
      </c>
    </row>
    <row r="88">
      <c r="A88" s="188">
        <f t="shared" si="6"/>
        <v>150000</v>
      </c>
      <c r="B88" s="212">
        <f t="shared" si="9"/>
        <v>5000</v>
      </c>
      <c r="C88" s="212">
        <f t="shared" si="8"/>
        <v>5000</v>
      </c>
      <c r="D88" s="215">
        <v>46874.0</v>
      </c>
      <c r="E88" s="202">
        <f t="shared" si="11"/>
        <v>5000</v>
      </c>
      <c r="F88" s="202" t="str">
        <f t="shared" si="5"/>
        <v>Future</v>
      </c>
      <c r="G88" s="264">
        <v>0.0</v>
      </c>
      <c r="H88" s="264">
        <v>5000.0</v>
      </c>
      <c r="I88" s="188"/>
      <c r="J88" s="188"/>
      <c r="K88" s="188"/>
      <c r="L88" s="264">
        <v>0.0</v>
      </c>
    </row>
    <row r="89">
      <c r="A89" s="188">
        <f t="shared" si="6"/>
        <v>145000</v>
      </c>
      <c r="B89" s="212">
        <f t="shared" si="9"/>
        <v>5000</v>
      </c>
      <c r="C89" s="212">
        <f t="shared" si="8"/>
        <v>5000</v>
      </c>
      <c r="D89" s="215">
        <v>46905.0</v>
      </c>
      <c r="E89" s="202">
        <f t="shared" si="11"/>
        <v>5000</v>
      </c>
      <c r="F89" s="202" t="str">
        <f t="shared" si="5"/>
        <v>Future</v>
      </c>
      <c r="G89" s="264">
        <v>0.0</v>
      </c>
      <c r="H89" s="264">
        <v>5000.0</v>
      </c>
      <c r="I89" s="188"/>
      <c r="J89" s="188"/>
      <c r="K89" s="188"/>
      <c r="L89" s="264">
        <v>0.0</v>
      </c>
    </row>
    <row r="90">
      <c r="A90" s="188">
        <f t="shared" si="6"/>
        <v>140000</v>
      </c>
      <c r="B90" s="212">
        <f t="shared" si="9"/>
        <v>5000</v>
      </c>
      <c r="C90" s="212">
        <f t="shared" si="8"/>
        <v>5000</v>
      </c>
      <c r="D90" s="215">
        <v>46935.0</v>
      </c>
      <c r="E90" s="202">
        <f t="shared" si="11"/>
        <v>5000</v>
      </c>
      <c r="F90" s="202" t="str">
        <f t="shared" si="5"/>
        <v>Future</v>
      </c>
      <c r="G90" s="264">
        <v>0.0</v>
      </c>
      <c r="H90" s="264">
        <v>5000.0</v>
      </c>
      <c r="I90" s="188"/>
      <c r="J90" s="188"/>
      <c r="K90" s="188"/>
      <c r="L90" s="264">
        <v>0.0</v>
      </c>
    </row>
    <row r="91">
      <c r="A91" s="188">
        <f t="shared" si="6"/>
        <v>135000</v>
      </c>
      <c r="B91" s="212">
        <f t="shared" si="9"/>
        <v>5000</v>
      </c>
      <c r="C91" s="212">
        <f t="shared" si="8"/>
        <v>5000</v>
      </c>
      <c r="D91" s="215">
        <v>46966.0</v>
      </c>
      <c r="E91" s="202">
        <f t="shared" si="11"/>
        <v>5000</v>
      </c>
      <c r="F91" s="202" t="str">
        <f t="shared" si="5"/>
        <v>Future</v>
      </c>
      <c r="G91" s="264">
        <v>0.0</v>
      </c>
      <c r="H91" s="264">
        <v>5000.0</v>
      </c>
      <c r="I91" s="188"/>
      <c r="J91" s="188"/>
      <c r="K91" s="188"/>
      <c r="L91" s="264">
        <v>0.0</v>
      </c>
    </row>
    <row r="92">
      <c r="A92" s="188">
        <f t="shared" si="6"/>
        <v>130000</v>
      </c>
      <c r="B92" s="212">
        <f t="shared" si="9"/>
        <v>5000</v>
      </c>
      <c r="C92" s="212">
        <f t="shared" si="8"/>
        <v>5000</v>
      </c>
      <c r="D92" s="215">
        <v>46997.0</v>
      </c>
      <c r="E92" s="202">
        <f t="shared" si="11"/>
        <v>5000</v>
      </c>
      <c r="F92" s="202" t="str">
        <f t="shared" si="5"/>
        <v>Future</v>
      </c>
      <c r="G92" s="264">
        <v>0.0</v>
      </c>
      <c r="H92" s="264">
        <v>5000.0</v>
      </c>
      <c r="I92" s="188"/>
      <c r="J92" s="188"/>
      <c r="K92" s="188"/>
      <c r="L92" s="264">
        <v>0.0</v>
      </c>
    </row>
    <row r="93">
      <c r="A93" s="188">
        <f t="shared" si="6"/>
        <v>125000</v>
      </c>
      <c r="B93" s="212">
        <f t="shared" si="9"/>
        <v>5000</v>
      </c>
      <c r="C93" s="212">
        <f t="shared" si="8"/>
        <v>5000</v>
      </c>
      <c r="D93" s="215">
        <v>47027.0</v>
      </c>
      <c r="E93" s="202">
        <f t="shared" si="11"/>
        <v>5000</v>
      </c>
      <c r="F93" s="202" t="str">
        <f t="shared" si="5"/>
        <v>Future</v>
      </c>
      <c r="G93" s="264">
        <v>0.0</v>
      </c>
      <c r="H93" s="264">
        <v>5000.0</v>
      </c>
      <c r="I93" s="188"/>
      <c r="J93" s="188"/>
      <c r="K93" s="188"/>
      <c r="L93" s="264">
        <v>0.0</v>
      </c>
    </row>
    <row r="94">
      <c r="A94" s="188">
        <f t="shared" si="6"/>
        <v>120000</v>
      </c>
      <c r="B94" s="212">
        <f t="shared" si="9"/>
        <v>5000</v>
      </c>
      <c r="C94" s="212">
        <f t="shared" si="8"/>
        <v>5000</v>
      </c>
      <c r="D94" s="215">
        <v>47058.0</v>
      </c>
      <c r="E94" s="202">
        <f t="shared" si="11"/>
        <v>5000</v>
      </c>
      <c r="F94" s="202" t="str">
        <f t="shared" si="5"/>
        <v>Future</v>
      </c>
      <c r="G94" s="264">
        <v>0.0</v>
      </c>
      <c r="H94" s="264">
        <v>5000.0</v>
      </c>
      <c r="I94" s="188"/>
      <c r="J94" s="188"/>
      <c r="K94" s="188"/>
      <c r="L94" s="264">
        <v>0.0</v>
      </c>
    </row>
    <row r="95">
      <c r="A95" s="188">
        <f t="shared" si="6"/>
        <v>115000</v>
      </c>
      <c r="B95" s="212">
        <f t="shared" si="9"/>
        <v>5000</v>
      </c>
      <c r="C95" s="212">
        <f t="shared" si="8"/>
        <v>5000</v>
      </c>
      <c r="D95" s="215">
        <v>47088.0</v>
      </c>
      <c r="E95" s="202">
        <f t="shared" si="11"/>
        <v>5000</v>
      </c>
      <c r="F95" s="202" t="str">
        <f t="shared" si="5"/>
        <v>Future</v>
      </c>
      <c r="G95" s="264">
        <v>0.0</v>
      </c>
      <c r="H95" s="264">
        <v>5000.0</v>
      </c>
      <c r="I95" s="188"/>
      <c r="J95" s="188"/>
      <c r="K95" s="188"/>
      <c r="L95" s="264">
        <v>0.0</v>
      </c>
    </row>
    <row r="96">
      <c r="A96" s="188">
        <f t="shared" si="6"/>
        <v>110000</v>
      </c>
      <c r="B96" s="212">
        <f t="shared" si="9"/>
        <v>5000</v>
      </c>
      <c r="C96" s="212">
        <f t="shared" si="8"/>
        <v>5000</v>
      </c>
      <c r="D96" s="215">
        <v>47119.0</v>
      </c>
      <c r="E96" s="202">
        <f t="shared" si="11"/>
        <v>5000</v>
      </c>
      <c r="F96" s="202" t="str">
        <f t="shared" si="5"/>
        <v>Future</v>
      </c>
      <c r="G96" s="264">
        <v>0.0</v>
      </c>
      <c r="H96" s="264">
        <v>5000.0</v>
      </c>
      <c r="I96" s="188"/>
      <c r="J96" s="188"/>
      <c r="K96" s="188"/>
      <c r="L96" s="264">
        <v>0.0</v>
      </c>
    </row>
    <row r="97">
      <c r="A97" s="188">
        <f t="shared" si="6"/>
        <v>105000</v>
      </c>
      <c r="B97" s="212">
        <f t="shared" si="9"/>
        <v>5000</v>
      </c>
      <c r="C97" s="212">
        <f t="shared" si="8"/>
        <v>5000</v>
      </c>
      <c r="D97" s="215">
        <v>47150.0</v>
      </c>
      <c r="E97" s="202">
        <f t="shared" si="11"/>
        <v>5000</v>
      </c>
      <c r="F97" s="202" t="str">
        <f t="shared" si="5"/>
        <v>Future</v>
      </c>
      <c r="G97" s="264">
        <v>0.0</v>
      </c>
      <c r="H97" s="264">
        <v>5000.0</v>
      </c>
      <c r="I97" s="188"/>
      <c r="J97" s="188"/>
      <c r="K97" s="188"/>
      <c r="L97" s="264">
        <v>0.0</v>
      </c>
    </row>
    <row r="98">
      <c r="A98" s="188">
        <f t="shared" si="6"/>
        <v>100000</v>
      </c>
      <c r="B98" s="212">
        <f t="shared" si="9"/>
        <v>5000</v>
      </c>
      <c r="C98" s="212">
        <f t="shared" si="8"/>
        <v>5000</v>
      </c>
      <c r="D98" s="215">
        <v>47178.0</v>
      </c>
      <c r="E98" s="202">
        <f t="shared" si="11"/>
        <v>5000</v>
      </c>
      <c r="F98" s="202" t="str">
        <f t="shared" si="5"/>
        <v>Future</v>
      </c>
      <c r="G98" s="264">
        <v>0.0</v>
      </c>
      <c r="H98" s="264">
        <v>5000.0</v>
      </c>
      <c r="I98" s="188"/>
      <c r="J98" s="188"/>
      <c r="K98" s="188"/>
      <c r="L98" s="264">
        <v>0.0</v>
      </c>
    </row>
    <row r="99">
      <c r="A99" s="188">
        <f t="shared" si="6"/>
        <v>95000</v>
      </c>
      <c r="B99" s="212">
        <f t="shared" si="9"/>
        <v>5000</v>
      </c>
      <c r="C99" s="212">
        <f t="shared" si="8"/>
        <v>5000</v>
      </c>
      <c r="D99" s="215">
        <v>47209.0</v>
      </c>
      <c r="E99" s="202">
        <f t="shared" si="11"/>
        <v>5000</v>
      </c>
      <c r="F99" s="202" t="str">
        <f t="shared" si="5"/>
        <v>Future</v>
      </c>
      <c r="G99" s="264">
        <v>0.0</v>
      </c>
      <c r="H99" s="264">
        <v>5000.0</v>
      </c>
      <c r="I99" s="188"/>
      <c r="J99" s="188"/>
      <c r="K99" s="188"/>
      <c r="L99" s="264">
        <v>0.0</v>
      </c>
    </row>
    <row r="100">
      <c r="A100" s="188">
        <f t="shared" si="6"/>
        <v>90000</v>
      </c>
      <c r="B100" s="212">
        <f t="shared" si="9"/>
        <v>5000</v>
      </c>
      <c r="C100" s="212">
        <f t="shared" si="8"/>
        <v>5000</v>
      </c>
      <c r="D100" s="215">
        <v>47239.0</v>
      </c>
      <c r="E100" s="202">
        <f t="shared" si="11"/>
        <v>5000</v>
      </c>
      <c r="F100" s="202" t="str">
        <f t="shared" si="5"/>
        <v>Future</v>
      </c>
      <c r="G100" s="264">
        <v>0.0</v>
      </c>
      <c r="H100" s="264">
        <v>5000.0</v>
      </c>
      <c r="I100" s="188"/>
      <c r="J100" s="188"/>
      <c r="K100" s="188"/>
      <c r="L100" s="264">
        <v>0.0</v>
      </c>
    </row>
    <row r="101">
      <c r="A101" s="188">
        <f t="shared" si="6"/>
        <v>85000</v>
      </c>
      <c r="B101" s="212">
        <f t="shared" si="9"/>
        <v>5000</v>
      </c>
      <c r="C101" s="212">
        <f t="shared" si="8"/>
        <v>5000</v>
      </c>
      <c r="D101" s="215">
        <v>47270.0</v>
      </c>
      <c r="E101" s="202">
        <f t="shared" si="11"/>
        <v>5000</v>
      </c>
      <c r="F101" s="202" t="str">
        <f t="shared" si="5"/>
        <v>Future</v>
      </c>
      <c r="G101" s="264">
        <v>0.0</v>
      </c>
      <c r="H101" s="264">
        <v>5000.0</v>
      </c>
      <c r="I101" s="188"/>
      <c r="J101" s="188"/>
      <c r="K101" s="188"/>
      <c r="L101" s="264">
        <v>0.0</v>
      </c>
    </row>
    <row r="102">
      <c r="A102" s="188">
        <f t="shared" si="6"/>
        <v>80000</v>
      </c>
      <c r="B102" s="212">
        <f t="shared" si="9"/>
        <v>5000</v>
      </c>
      <c r="C102" s="212">
        <f t="shared" si="8"/>
        <v>5000</v>
      </c>
      <c r="D102" s="215">
        <v>47300.0</v>
      </c>
      <c r="E102" s="202">
        <f t="shared" si="11"/>
        <v>5000</v>
      </c>
      <c r="F102" s="202" t="str">
        <f t="shared" si="5"/>
        <v>Future</v>
      </c>
      <c r="G102" s="264">
        <v>0.0</v>
      </c>
      <c r="H102" s="264">
        <v>5000.0</v>
      </c>
      <c r="I102" s="188"/>
      <c r="J102" s="188"/>
      <c r="K102" s="188"/>
      <c r="L102" s="264">
        <v>0.0</v>
      </c>
    </row>
    <row r="103">
      <c r="A103" s="188">
        <f t="shared" si="6"/>
        <v>75000</v>
      </c>
      <c r="B103" s="212">
        <f t="shared" si="9"/>
        <v>5000</v>
      </c>
      <c r="C103" s="212">
        <f t="shared" si="8"/>
        <v>5000</v>
      </c>
      <c r="D103" s="215">
        <v>47331.0</v>
      </c>
      <c r="E103" s="202">
        <f t="shared" si="11"/>
        <v>5000</v>
      </c>
      <c r="F103" s="202" t="str">
        <f t="shared" si="5"/>
        <v>Future</v>
      </c>
      <c r="G103" s="264">
        <v>0.0</v>
      </c>
      <c r="H103" s="264">
        <v>5000.0</v>
      </c>
      <c r="I103" s="188"/>
      <c r="J103" s="188"/>
      <c r="K103" s="188"/>
      <c r="L103" s="264">
        <v>0.0</v>
      </c>
    </row>
    <row r="104">
      <c r="A104" s="188">
        <f t="shared" si="6"/>
        <v>70000</v>
      </c>
      <c r="B104" s="212">
        <f t="shared" si="9"/>
        <v>5000</v>
      </c>
      <c r="C104" s="212">
        <f t="shared" si="8"/>
        <v>5000</v>
      </c>
      <c r="D104" s="215">
        <v>47362.0</v>
      </c>
      <c r="E104" s="202">
        <f t="shared" si="11"/>
        <v>5000</v>
      </c>
      <c r="F104" s="202" t="str">
        <f t="shared" si="5"/>
        <v>Future</v>
      </c>
      <c r="G104" s="264">
        <v>0.0</v>
      </c>
      <c r="H104" s="264">
        <v>5000.0</v>
      </c>
      <c r="I104" s="188"/>
      <c r="J104" s="188"/>
      <c r="K104" s="188"/>
      <c r="L104" s="264">
        <v>0.0</v>
      </c>
    </row>
    <row r="105">
      <c r="A105" s="188">
        <f t="shared" si="6"/>
        <v>65000</v>
      </c>
      <c r="B105" s="212">
        <f t="shared" si="9"/>
        <v>5000</v>
      </c>
      <c r="C105" s="212">
        <f t="shared" si="8"/>
        <v>5000</v>
      </c>
      <c r="D105" s="215">
        <v>47392.0</v>
      </c>
      <c r="E105" s="202">
        <f t="shared" si="11"/>
        <v>5000</v>
      </c>
      <c r="F105" s="202" t="str">
        <f t="shared" si="5"/>
        <v>Future</v>
      </c>
      <c r="G105" s="264">
        <v>0.0</v>
      </c>
      <c r="H105" s="264">
        <v>5000.0</v>
      </c>
      <c r="I105" s="188"/>
      <c r="J105" s="188"/>
      <c r="K105" s="188"/>
      <c r="L105" s="264">
        <v>0.0</v>
      </c>
    </row>
    <row r="106">
      <c r="A106" s="188">
        <f t="shared" si="6"/>
        <v>60000</v>
      </c>
      <c r="B106" s="212">
        <f t="shared" si="9"/>
        <v>5000</v>
      </c>
      <c r="C106" s="212">
        <f t="shared" si="8"/>
        <v>5000</v>
      </c>
      <c r="D106" s="215">
        <v>47423.0</v>
      </c>
      <c r="E106" s="202">
        <f t="shared" si="11"/>
        <v>5000</v>
      </c>
      <c r="F106" s="202" t="str">
        <f t="shared" si="5"/>
        <v>Future</v>
      </c>
      <c r="G106" s="264">
        <v>0.0</v>
      </c>
      <c r="H106" s="264">
        <v>5000.0</v>
      </c>
      <c r="I106" s="188"/>
      <c r="J106" s="188"/>
      <c r="K106" s="188"/>
      <c r="L106" s="264">
        <v>0.0</v>
      </c>
    </row>
    <row r="107">
      <c r="A107" s="188">
        <f t="shared" si="6"/>
        <v>55000</v>
      </c>
      <c r="B107" s="212">
        <f t="shared" si="9"/>
        <v>5000</v>
      </c>
      <c r="C107" s="212">
        <f t="shared" si="8"/>
        <v>5000</v>
      </c>
      <c r="D107" s="215">
        <v>47453.0</v>
      </c>
      <c r="E107" s="202">
        <f t="shared" si="11"/>
        <v>5000</v>
      </c>
      <c r="F107" s="202" t="str">
        <f t="shared" si="5"/>
        <v>Future</v>
      </c>
      <c r="G107" s="264">
        <v>0.0</v>
      </c>
      <c r="H107" s="264">
        <v>5000.0</v>
      </c>
      <c r="I107" s="188"/>
      <c r="J107" s="188"/>
      <c r="K107" s="188"/>
      <c r="L107" s="264">
        <v>0.0</v>
      </c>
    </row>
    <row r="108">
      <c r="A108" s="188">
        <f t="shared" si="6"/>
        <v>50000</v>
      </c>
      <c r="B108" s="212">
        <f t="shared" si="9"/>
        <v>5000</v>
      </c>
      <c r="C108" s="212">
        <f t="shared" si="8"/>
        <v>5000</v>
      </c>
      <c r="D108" s="215">
        <v>47484.0</v>
      </c>
      <c r="E108" s="202">
        <f t="shared" si="11"/>
        <v>5000</v>
      </c>
      <c r="F108" s="202" t="str">
        <f t="shared" si="5"/>
        <v>Future</v>
      </c>
      <c r="G108" s="264">
        <v>0.0</v>
      </c>
      <c r="H108" s="264">
        <v>5000.0</v>
      </c>
      <c r="I108" s="188"/>
      <c r="J108" s="188"/>
      <c r="K108" s="188"/>
      <c r="L108" s="264">
        <v>0.0</v>
      </c>
    </row>
    <row r="109">
      <c r="A109" s="188">
        <f t="shared" si="6"/>
        <v>45000</v>
      </c>
      <c r="B109" s="212">
        <f t="shared" si="9"/>
        <v>5000</v>
      </c>
      <c r="C109" s="212">
        <f t="shared" si="8"/>
        <v>5000</v>
      </c>
      <c r="D109" s="215">
        <v>47515.0</v>
      </c>
      <c r="E109" s="202">
        <f t="shared" si="11"/>
        <v>5000</v>
      </c>
      <c r="F109" s="202" t="str">
        <f t="shared" si="5"/>
        <v>Future</v>
      </c>
      <c r="G109" s="264">
        <v>0.0</v>
      </c>
      <c r="H109" s="264">
        <v>5000.0</v>
      </c>
      <c r="I109" s="188"/>
      <c r="J109" s="188"/>
      <c r="K109" s="188"/>
      <c r="L109" s="264">
        <v>0.0</v>
      </c>
    </row>
    <row r="110">
      <c r="A110" s="188">
        <f t="shared" si="6"/>
        <v>40000</v>
      </c>
      <c r="B110" s="212">
        <f t="shared" si="9"/>
        <v>5000</v>
      </c>
      <c r="C110" s="212">
        <f t="shared" si="8"/>
        <v>5000</v>
      </c>
      <c r="D110" s="215">
        <v>47543.0</v>
      </c>
      <c r="E110" s="202">
        <f t="shared" si="11"/>
        <v>5000</v>
      </c>
      <c r="F110" s="202" t="str">
        <f t="shared" si="5"/>
        <v>Future</v>
      </c>
      <c r="G110" s="264">
        <v>0.0</v>
      </c>
      <c r="H110" s="264">
        <v>5000.0</v>
      </c>
      <c r="I110" s="188"/>
      <c r="J110" s="188"/>
      <c r="K110" s="188"/>
      <c r="L110" s="264">
        <v>0.0</v>
      </c>
    </row>
    <row r="111">
      <c r="A111" s="188">
        <f t="shared" si="6"/>
        <v>35000</v>
      </c>
      <c r="B111" s="212">
        <f t="shared" si="9"/>
        <v>5000</v>
      </c>
      <c r="C111" s="212">
        <f t="shared" si="8"/>
        <v>5000</v>
      </c>
      <c r="D111" s="215">
        <v>47574.0</v>
      </c>
      <c r="E111" s="202">
        <f t="shared" si="11"/>
        <v>5000</v>
      </c>
      <c r="F111" s="202" t="str">
        <f t="shared" si="5"/>
        <v>Future</v>
      </c>
      <c r="G111" s="264">
        <v>0.0</v>
      </c>
      <c r="H111" s="264">
        <v>5000.0</v>
      </c>
      <c r="I111" s="188"/>
      <c r="J111" s="188"/>
      <c r="K111" s="188"/>
      <c r="L111" s="264">
        <v>0.0</v>
      </c>
    </row>
    <row r="112">
      <c r="A112" s="188">
        <f t="shared" si="6"/>
        <v>30000</v>
      </c>
      <c r="B112" s="212">
        <f t="shared" si="9"/>
        <v>5000</v>
      </c>
      <c r="C112" s="212">
        <f t="shared" si="8"/>
        <v>5000</v>
      </c>
      <c r="D112" s="215">
        <v>47604.0</v>
      </c>
      <c r="E112" s="202">
        <f t="shared" si="11"/>
        <v>5000</v>
      </c>
      <c r="F112" s="202" t="str">
        <f t="shared" si="5"/>
        <v>Future</v>
      </c>
      <c r="G112" s="264">
        <v>0.0</v>
      </c>
      <c r="H112" s="264">
        <v>5000.0</v>
      </c>
      <c r="I112" s="188"/>
      <c r="J112" s="188"/>
      <c r="K112" s="188"/>
      <c r="L112" s="264">
        <v>0.0</v>
      </c>
    </row>
    <row r="113">
      <c r="A113" s="188">
        <f t="shared" si="6"/>
        <v>25000</v>
      </c>
      <c r="B113" s="212">
        <f t="shared" si="9"/>
        <v>5000</v>
      </c>
      <c r="C113" s="212">
        <f t="shared" si="8"/>
        <v>5000</v>
      </c>
      <c r="D113" s="215">
        <v>47635.0</v>
      </c>
      <c r="E113" s="202">
        <f t="shared" si="11"/>
        <v>5000</v>
      </c>
      <c r="F113" s="202" t="str">
        <f t="shared" si="5"/>
        <v>Future</v>
      </c>
      <c r="G113" s="264">
        <v>0.0</v>
      </c>
      <c r="H113" s="264">
        <v>5000.0</v>
      </c>
      <c r="I113" s="188"/>
      <c r="J113" s="188"/>
      <c r="K113" s="188"/>
      <c r="L113" s="264">
        <v>0.0</v>
      </c>
    </row>
    <row r="114">
      <c r="A114" s="188">
        <f t="shared" si="6"/>
        <v>20000</v>
      </c>
      <c r="B114" s="212">
        <f t="shared" si="9"/>
        <v>5000</v>
      </c>
      <c r="C114" s="212">
        <f t="shared" si="8"/>
        <v>5000</v>
      </c>
      <c r="D114" s="215">
        <v>47665.0</v>
      </c>
      <c r="E114" s="202">
        <f t="shared" si="11"/>
        <v>5000</v>
      </c>
      <c r="F114" s="202" t="str">
        <f t="shared" si="5"/>
        <v>Future</v>
      </c>
      <c r="G114" s="264">
        <v>0.0</v>
      </c>
      <c r="H114" s="264">
        <v>5000.0</v>
      </c>
      <c r="I114" s="188"/>
      <c r="J114" s="188"/>
      <c r="K114" s="188"/>
      <c r="L114" s="264">
        <v>0.0</v>
      </c>
    </row>
    <row r="115">
      <c r="A115" s="188">
        <f t="shared" si="6"/>
        <v>15000</v>
      </c>
      <c r="B115" s="212">
        <f t="shared" si="9"/>
        <v>5000</v>
      </c>
      <c r="C115" s="212">
        <f t="shared" si="8"/>
        <v>5000</v>
      </c>
      <c r="D115" s="215">
        <v>47696.0</v>
      </c>
      <c r="E115" s="202">
        <f t="shared" si="11"/>
        <v>5000</v>
      </c>
      <c r="F115" s="202" t="str">
        <f t="shared" si="5"/>
        <v>Future</v>
      </c>
      <c r="G115" s="264">
        <v>0.0</v>
      </c>
      <c r="H115" s="264">
        <v>5000.0</v>
      </c>
      <c r="I115" s="188"/>
      <c r="J115" s="188"/>
      <c r="K115" s="188"/>
      <c r="L115" s="264">
        <v>0.0</v>
      </c>
    </row>
    <row r="116">
      <c r="A116" s="188">
        <f t="shared" si="6"/>
        <v>10000</v>
      </c>
      <c r="B116" s="212">
        <f t="shared" si="9"/>
        <v>5000</v>
      </c>
      <c r="C116" s="212">
        <f t="shared" si="8"/>
        <v>5000</v>
      </c>
      <c r="D116" s="215">
        <v>47727.0</v>
      </c>
      <c r="E116" s="202">
        <f t="shared" si="11"/>
        <v>5000</v>
      </c>
      <c r="F116" s="202" t="str">
        <f t="shared" si="5"/>
        <v>Future</v>
      </c>
      <c r="G116" s="264">
        <v>0.0</v>
      </c>
      <c r="H116" s="264">
        <v>5000.0</v>
      </c>
      <c r="I116" s="188"/>
      <c r="J116" s="188"/>
      <c r="K116" s="188"/>
      <c r="L116" s="264">
        <v>0.0</v>
      </c>
    </row>
    <row r="117">
      <c r="A117" s="188">
        <f t="shared" si="6"/>
        <v>5000</v>
      </c>
      <c r="B117" s="212">
        <f t="shared" si="9"/>
        <v>5000</v>
      </c>
      <c r="C117" s="212">
        <f t="shared" si="8"/>
        <v>5000</v>
      </c>
      <c r="D117" s="215">
        <v>47757.0</v>
      </c>
      <c r="E117" s="202">
        <f t="shared" si="11"/>
        <v>5000</v>
      </c>
      <c r="F117" s="202" t="str">
        <f t="shared" si="5"/>
        <v>Future</v>
      </c>
      <c r="G117" s="264">
        <v>0.0</v>
      </c>
      <c r="H117" s="264">
        <v>5000.0</v>
      </c>
      <c r="I117" s="188"/>
      <c r="J117" s="188"/>
      <c r="K117" s="188"/>
      <c r="L117" s="264">
        <v>0.0</v>
      </c>
    </row>
    <row r="118">
      <c r="A118" s="188">
        <f t="shared" si="6"/>
        <v>0</v>
      </c>
      <c r="B118" s="212">
        <f t="shared" si="9"/>
        <v>5000</v>
      </c>
      <c r="C118" s="212">
        <f t="shared" si="8"/>
        <v>5000</v>
      </c>
      <c r="D118" s="215">
        <v>47788.0</v>
      </c>
      <c r="E118" s="202">
        <f t="shared" si="11"/>
        <v>5000</v>
      </c>
      <c r="F118" s="202" t="str">
        <f t="shared" si="5"/>
        <v>Future</v>
      </c>
      <c r="G118" s="264">
        <v>0.0</v>
      </c>
      <c r="H118" s="264">
        <v>5000.0</v>
      </c>
      <c r="I118" s="188"/>
      <c r="J118" s="188"/>
      <c r="K118" s="188"/>
      <c r="L118" s="264">
        <v>0.0</v>
      </c>
    </row>
  </sheetData>
  <conditionalFormatting sqref="E20:F118">
    <cfRule type="cellIs" dxfId="19" priority="1" operator="equal">
      <formula>"Current"</formula>
    </cfRule>
  </conditionalFormatting>
  <conditionalFormatting sqref="A1:L118">
    <cfRule type="cellIs" dxfId="19" priority="2" operator="equal">
      <formula>DATE(year(today()),month(today()),1)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9.0" topLeftCell="F20" activePane="bottomRight" state="frozen"/>
      <selection activeCell="F1" sqref="F1" pane="topRight"/>
      <selection activeCell="A20" sqref="A20" pane="bottomLeft"/>
      <selection activeCell="F20" sqref="F20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8.88"/>
    <col customWidth="1" min="4" max="4" width="7.38"/>
    <col customWidth="1" min="5" max="5" width="8.63"/>
    <col customWidth="1" min="6" max="6" width="7.63"/>
    <col customWidth="1" min="7" max="8" width="11.13"/>
    <col customWidth="1" min="9" max="9" width="8.38"/>
    <col customWidth="1" min="10" max="11" width="12.25"/>
    <col customWidth="1" min="12" max="13" width="13.88"/>
    <col customWidth="1" min="14" max="14" width="14.0"/>
    <col customWidth="1" min="15" max="15" width="13.5"/>
    <col customWidth="1" min="16" max="16" width="21.13"/>
    <col customWidth="1" min="17" max="17" width="13.63"/>
    <col customWidth="1" min="18" max="18" width="11.13"/>
  </cols>
  <sheetData>
    <row r="1">
      <c r="A1" s="202"/>
      <c r="B1" s="202"/>
      <c r="C1" s="202">
        <f>sum(F1:H1)</f>
        <v>0</v>
      </c>
      <c r="D1" s="204"/>
      <c r="E1" s="204" t="s">
        <v>64</v>
      </c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</row>
    <row r="2">
      <c r="A2" s="202"/>
      <c r="B2" s="202">
        <v>4173.59</v>
      </c>
      <c r="C2" s="202"/>
      <c r="D2" s="204"/>
      <c r="E2" s="204" t="s">
        <v>223</v>
      </c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</row>
    <row r="3">
      <c r="A3" s="202"/>
      <c r="B3" s="202">
        <v>271.28</v>
      </c>
      <c r="C3" s="202"/>
      <c r="D3" s="204"/>
      <c r="E3" s="204" t="s">
        <v>175</v>
      </c>
      <c r="F3" s="202" t="s">
        <v>324</v>
      </c>
      <c r="G3" s="36" t="s">
        <v>325</v>
      </c>
      <c r="H3" s="36" t="s">
        <v>326</v>
      </c>
      <c r="I3" s="82" t="s">
        <v>327</v>
      </c>
      <c r="J3" s="82" t="s">
        <v>328</v>
      </c>
      <c r="K3" s="82" t="s">
        <v>329</v>
      </c>
      <c r="L3" s="82" t="s">
        <v>330</v>
      </c>
      <c r="M3" s="82" t="s">
        <v>331</v>
      </c>
      <c r="N3" s="82" t="s">
        <v>332</v>
      </c>
      <c r="O3" s="36" t="s">
        <v>333</v>
      </c>
      <c r="P3" s="82" t="s">
        <v>334</v>
      </c>
      <c r="Q3" s="82" t="s">
        <v>335</v>
      </c>
      <c r="R3" s="82" t="s">
        <v>328</v>
      </c>
    </row>
    <row r="4">
      <c r="A4" s="202"/>
      <c r="B4" s="202">
        <v>145822.76</v>
      </c>
      <c r="C4" s="202"/>
      <c r="D4" s="204"/>
      <c r="E4" s="204" t="s">
        <v>176</v>
      </c>
      <c r="F4" s="188">
        <v>649.0</v>
      </c>
      <c r="G4" s="73">
        <v>0.0</v>
      </c>
      <c r="H4" s="73">
        <v>707.0</v>
      </c>
      <c r="I4" s="73">
        <v>1490.0</v>
      </c>
      <c r="J4" s="73"/>
      <c r="K4" s="73">
        <v>0.0</v>
      </c>
      <c r="L4" s="73">
        <v>1499.0</v>
      </c>
      <c r="M4" s="73">
        <v>169.0</v>
      </c>
      <c r="N4" s="73">
        <v>0.0</v>
      </c>
      <c r="O4" s="73">
        <v>0.0</v>
      </c>
      <c r="P4" s="73">
        <v>870.0</v>
      </c>
      <c r="Q4" s="73">
        <v>13227.0</v>
      </c>
      <c r="R4" s="73"/>
    </row>
    <row r="5" hidden="1">
      <c r="A5" s="202"/>
      <c r="B5" s="202"/>
      <c r="C5" s="202"/>
      <c r="D5" s="204"/>
      <c r="E5" s="204" t="s">
        <v>177</v>
      </c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</row>
    <row r="6" hidden="1">
      <c r="A6" s="202"/>
      <c r="B6" s="202"/>
      <c r="C6" s="202"/>
      <c r="D6" s="204"/>
      <c r="E6" s="204" t="s">
        <v>178</v>
      </c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</row>
    <row r="7" hidden="1">
      <c r="A7" s="202"/>
      <c r="B7" s="202"/>
      <c r="C7" s="202"/>
      <c r="D7" s="204"/>
      <c r="E7" s="204" t="s">
        <v>179</v>
      </c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</row>
    <row r="8" hidden="1">
      <c r="A8" s="202"/>
      <c r="B8" s="208">
        <v>45383.0</v>
      </c>
      <c r="C8" s="202"/>
      <c r="D8" s="204"/>
      <c r="E8" s="204" t="s">
        <v>245</v>
      </c>
      <c r="F8" s="208">
        <v>45231.0</v>
      </c>
      <c r="G8" s="210">
        <v>45018.0</v>
      </c>
      <c r="H8" s="210">
        <v>45018.0</v>
      </c>
      <c r="I8" s="210"/>
      <c r="J8" s="210"/>
      <c r="K8" s="210"/>
      <c r="L8" s="210"/>
      <c r="M8" s="210"/>
      <c r="N8" s="210"/>
      <c r="O8" s="210"/>
      <c r="P8" s="210"/>
      <c r="Q8" s="210"/>
      <c r="R8" s="210"/>
    </row>
    <row r="9" hidden="1">
      <c r="A9" s="202"/>
      <c r="B9" s="202"/>
      <c r="C9" s="202"/>
      <c r="D9" s="204"/>
      <c r="E9" s="204" t="s">
        <v>246</v>
      </c>
      <c r="F9" s="208">
        <v>47757.0</v>
      </c>
      <c r="G9" s="210">
        <v>46814.0</v>
      </c>
      <c r="H9" s="210">
        <v>46814.0</v>
      </c>
      <c r="I9" s="210"/>
      <c r="J9" s="210"/>
      <c r="K9" s="210"/>
      <c r="L9" s="210"/>
      <c r="M9" s="210"/>
      <c r="N9" s="210"/>
      <c r="O9" s="210"/>
      <c r="P9" s="210"/>
      <c r="Q9" s="210"/>
      <c r="R9" s="210"/>
    </row>
    <row r="10" hidden="1">
      <c r="A10" s="202"/>
      <c r="B10" s="202"/>
      <c r="C10" s="202"/>
      <c r="D10" s="204"/>
      <c r="E10" s="204" t="s">
        <v>182</v>
      </c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</row>
    <row r="11" hidden="1">
      <c r="A11" s="202"/>
      <c r="B11" s="202"/>
      <c r="C11" s="202"/>
      <c r="D11" s="204"/>
      <c r="E11" s="204" t="s">
        <v>247</v>
      </c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</row>
    <row r="12">
      <c r="A12" s="202"/>
      <c r="B12" s="202">
        <v>224954.0</v>
      </c>
      <c r="C12" s="202"/>
      <c r="D12" s="204"/>
      <c r="E12" s="204" t="s">
        <v>249</v>
      </c>
      <c r="F12" s="212">
        <f t="shared" ref="F12:H12" si="1">SUMIFS(F20:F118,$C20:$C118,"&gt;"&amp;#REF!)</f>
        <v>0</v>
      </c>
      <c r="G12" s="212">
        <f t="shared" si="1"/>
        <v>0</v>
      </c>
      <c r="H12" s="212">
        <f t="shared" si="1"/>
        <v>0</v>
      </c>
      <c r="I12" s="212"/>
      <c r="J12" s="212"/>
      <c r="K12" s="212"/>
      <c r="L12" s="212"/>
      <c r="M12" s="212"/>
      <c r="N12" s="212"/>
      <c r="O12" s="212"/>
      <c r="P12" s="212"/>
      <c r="Q12" s="212"/>
      <c r="R12" s="212"/>
    </row>
    <row r="13">
      <c r="A13" s="202"/>
      <c r="B13" s="202"/>
      <c r="C13" s="202"/>
      <c r="D13" s="204"/>
      <c r="E13" s="204" t="s">
        <v>250</v>
      </c>
      <c r="F13" s="212">
        <f>COUNTIFs(F20:F118,"&gt;"&amp;0,$C20:$C118,"&gt;"&amp;#REF!)</f>
        <v>0</v>
      </c>
      <c r="G13" s="212">
        <v>48.0</v>
      </c>
      <c r="H13" s="212">
        <f>COUNTIFs(H20:H118,"&gt;"&amp;0,$C20:$C118,"&gt;"&amp;#REF!)</f>
        <v>0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</row>
    <row r="14" hidden="1">
      <c r="A14" s="202"/>
      <c r="B14" s="202"/>
      <c r="C14" s="202"/>
      <c r="D14" s="204"/>
      <c r="E14" s="204" t="s">
        <v>251</v>
      </c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</row>
    <row r="15" hidden="1">
      <c r="A15" s="202"/>
      <c r="B15" s="202"/>
      <c r="C15" s="202"/>
      <c r="D15" s="204"/>
      <c r="E15" s="204" t="s">
        <v>252</v>
      </c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</row>
    <row r="16" hidden="1">
      <c r="A16" s="202"/>
      <c r="B16" s="202"/>
      <c r="C16" s="202"/>
      <c r="D16" s="204"/>
      <c r="E16" s="204" t="s">
        <v>253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</row>
    <row r="17" hidden="1">
      <c r="A17" s="202"/>
      <c r="B17" s="202"/>
      <c r="C17" s="202"/>
      <c r="D17" s="204"/>
      <c r="E17" s="204" t="s">
        <v>254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</row>
    <row r="18">
      <c r="A18" s="202"/>
      <c r="C18" s="202"/>
      <c r="D18" s="204"/>
      <c r="E18" s="204" t="s">
        <v>255</v>
      </c>
      <c r="F18" s="212">
        <v>12770.0</v>
      </c>
      <c r="G18" s="212">
        <v>9290.0</v>
      </c>
      <c r="H18" s="212">
        <v>15577.0</v>
      </c>
      <c r="I18" s="212"/>
      <c r="J18" s="212"/>
      <c r="K18" s="212"/>
      <c r="L18" s="212"/>
      <c r="M18" s="212"/>
      <c r="N18" s="212"/>
      <c r="O18" s="212"/>
      <c r="P18" s="212"/>
      <c r="Q18" s="212"/>
      <c r="R18" s="212"/>
    </row>
    <row r="19">
      <c r="A19" s="202" t="s">
        <v>256</v>
      </c>
      <c r="B19" s="204" t="s">
        <v>257</v>
      </c>
      <c r="C19" s="204">
        <f>sumif(E20:E117,"Future",B20:B117)</f>
        <v>171431</v>
      </c>
      <c r="D19" s="202" t="s">
        <v>336</v>
      </c>
      <c r="E19" s="204" t="s">
        <v>174</v>
      </c>
      <c r="F19" s="202" t="s">
        <v>336</v>
      </c>
      <c r="G19" s="202" t="s">
        <v>336</v>
      </c>
      <c r="H19" s="202" t="s">
        <v>336</v>
      </c>
      <c r="I19" s="202" t="s">
        <v>336</v>
      </c>
      <c r="J19" s="202" t="s">
        <v>336</v>
      </c>
      <c r="K19" s="202" t="s">
        <v>336</v>
      </c>
      <c r="L19" s="202" t="s">
        <v>336</v>
      </c>
      <c r="M19" s="202" t="s">
        <v>336</v>
      </c>
      <c r="N19" s="202" t="s">
        <v>336</v>
      </c>
      <c r="O19" s="202" t="s">
        <v>336</v>
      </c>
      <c r="P19" s="202" t="s">
        <v>336</v>
      </c>
      <c r="Q19" s="202" t="s">
        <v>336</v>
      </c>
      <c r="R19" s="202" t="s">
        <v>336</v>
      </c>
    </row>
    <row r="20">
      <c r="A20" s="188">
        <f>ceiling(sum(F20:R117)-sum(F20:R20),1)</f>
        <v>268825</v>
      </c>
      <c r="B20" s="212">
        <f t="shared" ref="B20:B46" si="2">ceiling(sum(F20:R20),1)</f>
        <v>1356</v>
      </c>
      <c r="C20" s="215">
        <v>44805.0</v>
      </c>
      <c r="D20" s="202">
        <f t="shared" ref="D20:D45" si="3">sumif($F$19:R19,D$19,$F20:R20)</f>
        <v>1356</v>
      </c>
      <c r="E20" s="202" t="str">
        <f t="shared" ref="E20:E118" si="4">if(C20=DATE(year(today()),month(today()),1),"Current",if(C20&gt;DATE(year(today()),month(today()),1), "Future","Past"))</f>
        <v>Past</v>
      </c>
      <c r="F20" s="188">
        <v>649.0</v>
      </c>
      <c r="G20" s="188">
        <v>0.0</v>
      </c>
      <c r="H20" s="188">
        <v>707.0</v>
      </c>
      <c r="I20" s="188"/>
      <c r="J20" s="188"/>
      <c r="K20" s="188"/>
      <c r="L20" s="188"/>
      <c r="M20" s="188"/>
      <c r="N20" s="188"/>
      <c r="O20" s="188"/>
      <c r="P20" s="188"/>
      <c r="Q20" s="188"/>
      <c r="R20" s="188"/>
    </row>
    <row r="21">
      <c r="A21" s="188">
        <f t="shared" ref="A21:A118" si="5">ceiling(sum(F21:R119)-sum(F21:R21),1)</f>
        <v>268508</v>
      </c>
      <c r="B21" s="212">
        <f t="shared" si="2"/>
        <v>1356</v>
      </c>
      <c r="C21" s="215">
        <v>44835.0</v>
      </c>
      <c r="D21" s="202">
        <f t="shared" si="3"/>
        <v>1356</v>
      </c>
      <c r="E21" s="202" t="str">
        <f t="shared" si="4"/>
        <v>Past</v>
      </c>
      <c r="F21" s="188">
        <v>649.0</v>
      </c>
      <c r="G21" s="188">
        <v>0.0</v>
      </c>
      <c r="H21" s="188">
        <v>707.0</v>
      </c>
      <c r="I21" s="188"/>
      <c r="J21" s="188"/>
      <c r="K21" s="188"/>
      <c r="L21" s="188"/>
      <c r="M21" s="188"/>
      <c r="N21" s="188"/>
      <c r="O21" s="188"/>
      <c r="P21" s="188"/>
      <c r="Q21" s="188"/>
      <c r="R21" s="188"/>
    </row>
    <row r="22">
      <c r="A22" s="188">
        <f t="shared" si="5"/>
        <v>267152</v>
      </c>
      <c r="B22" s="212">
        <f t="shared" si="2"/>
        <v>1356</v>
      </c>
      <c r="C22" s="215">
        <v>44866.0</v>
      </c>
      <c r="D22" s="202">
        <f t="shared" si="3"/>
        <v>1356</v>
      </c>
      <c r="E22" s="202" t="str">
        <f t="shared" si="4"/>
        <v>Past</v>
      </c>
      <c r="F22" s="188">
        <v>649.0</v>
      </c>
      <c r="G22" s="188">
        <v>0.0</v>
      </c>
      <c r="H22" s="188">
        <v>707.0</v>
      </c>
      <c r="I22" s="188"/>
      <c r="J22" s="188"/>
      <c r="K22" s="188"/>
      <c r="L22" s="188"/>
      <c r="M22" s="188"/>
      <c r="N22" s="188"/>
      <c r="O22" s="188"/>
      <c r="P22" s="188"/>
      <c r="Q22" s="188"/>
      <c r="R22" s="188"/>
    </row>
    <row r="23">
      <c r="A23" s="188">
        <f t="shared" si="5"/>
        <v>265796</v>
      </c>
      <c r="B23" s="212">
        <f t="shared" si="2"/>
        <v>1356</v>
      </c>
      <c r="C23" s="215">
        <v>44896.0</v>
      </c>
      <c r="D23" s="202">
        <f t="shared" si="3"/>
        <v>1356</v>
      </c>
      <c r="E23" s="202" t="str">
        <f t="shared" si="4"/>
        <v>Past</v>
      </c>
      <c r="F23" s="188">
        <v>649.0</v>
      </c>
      <c r="G23" s="188">
        <v>0.0</v>
      </c>
      <c r="H23" s="188">
        <v>707.0</v>
      </c>
      <c r="I23" s="188"/>
      <c r="J23" s="188"/>
      <c r="K23" s="188"/>
      <c r="L23" s="188"/>
      <c r="M23" s="188"/>
      <c r="N23" s="188"/>
      <c r="O23" s="188"/>
      <c r="P23" s="188"/>
      <c r="Q23" s="188"/>
      <c r="R23" s="188"/>
    </row>
    <row r="24">
      <c r="A24" s="188">
        <f t="shared" si="5"/>
        <v>264440</v>
      </c>
      <c r="B24" s="212">
        <f t="shared" si="2"/>
        <v>1356</v>
      </c>
      <c r="C24" s="215">
        <v>44927.0</v>
      </c>
      <c r="D24" s="202">
        <f t="shared" si="3"/>
        <v>1356</v>
      </c>
      <c r="E24" s="202" t="str">
        <f t="shared" si="4"/>
        <v>Past</v>
      </c>
      <c r="F24" s="188">
        <v>649.0</v>
      </c>
      <c r="G24" s="188">
        <v>0.0</v>
      </c>
      <c r="H24" s="188">
        <v>707.0</v>
      </c>
      <c r="I24" s="264"/>
      <c r="J24" s="264"/>
      <c r="K24" s="264"/>
      <c r="L24" s="264"/>
      <c r="M24" s="264"/>
      <c r="N24" s="264"/>
      <c r="O24" s="264"/>
      <c r="P24" s="264"/>
      <c r="Q24" s="264"/>
      <c r="R24" s="264"/>
    </row>
    <row r="25">
      <c r="A25" s="188">
        <f t="shared" si="5"/>
        <v>263084</v>
      </c>
      <c r="B25" s="212">
        <f t="shared" si="2"/>
        <v>1356</v>
      </c>
      <c r="C25" s="215">
        <v>44958.0</v>
      </c>
      <c r="D25" s="202">
        <f t="shared" si="3"/>
        <v>1356</v>
      </c>
      <c r="E25" s="202" t="str">
        <f t="shared" si="4"/>
        <v>Past</v>
      </c>
      <c r="F25" s="188">
        <v>649.0</v>
      </c>
      <c r="G25" s="188">
        <v>0.0</v>
      </c>
      <c r="H25" s="188">
        <v>707.0</v>
      </c>
      <c r="I25" s="264"/>
      <c r="J25" s="264"/>
      <c r="K25" s="264"/>
      <c r="L25" s="264"/>
      <c r="M25" s="264"/>
      <c r="N25" s="264"/>
      <c r="O25" s="264"/>
      <c r="P25" s="264"/>
      <c r="Q25" s="264"/>
      <c r="R25" s="264"/>
    </row>
    <row r="26">
      <c r="A26" s="188">
        <f t="shared" si="5"/>
        <v>261728</v>
      </c>
      <c r="B26" s="212">
        <f t="shared" si="2"/>
        <v>1356</v>
      </c>
      <c r="C26" s="215">
        <v>44986.0</v>
      </c>
      <c r="D26" s="202">
        <f t="shared" si="3"/>
        <v>1356</v>
      </c>
      <c r="E26" s="202" t="str">
        <f t="shared" si="4"/>
        <v>Past</v>
      </c>
      <c r="F26" s="188">
        <v>649.0</v>
      </c>
      <c r="G26" s="188">
        <v>0.0</v>
      </c>
      <c r="H26" s="188">
        <v>707.0</v>
      </c>
      <c r="I26" s="264"/>
      <c r="J26" s="264"/>
      <c r="K26" s="264"/>
      <c r="L26" s="264"/>
      <c r="M26" s="264"/>
      <c r="N26" s="264"/>
      <c r="O26" s="264"/>
      <c r="P26" s="264"/>
      <c r="Q26" s="264"/>
      <c r="R26" s="264"/>
    </row>
    <row r="27">
      <c r="A27" s="188">
        <f t="shared" si="5"/>
        <v>260372</v>
      </c>
      <c r="B27" s="212">
        <f t="shared" si="2"/>
        <v>1356</v>
      </c>
      <c r="C27" s="215">
        <v>45017.0</v>
      </c>
      <c r="D27" s="202">
        <f t="shared" si="3"/>
        <v>1356</v>
      </c>
      <c r="E27" s="202" t="str">
        <f t="shared" si="4"/>
        <v>Past</v>
      </c>
      <c r="F27" s="188">
        <v>649.0</v>
      </c>
      <c r="G27" s="188">
        <v>0.0</v>
      </c>
      <c r="H27" s="188">
        <v>707.0</v>
      </c>
      <c r="I27" s="264"/>
      <c r="J27" s="264"/>
      <c r="K27" s="264"/>
      <c r="L27" s="264"/>
      <c r="M27" s="264"/>
      <c r="N27" s="264"/>
      <c r="O27" s="264"/>
      <c r="P27" s="264"/>
      <c r="Q27" s="264"/>
      <c r="R27" s="264"/>
    </row>
    <row r="28">
      <c r="A28" s="188">
        <f t="shared" si="5"/>
        <v>259016</v>
      </c>
      <c r="B28" s="212">
        <f t="shared" si="2"/>
        <v>1356</v>
      </c>
      <c r="C28" s="215">
        <v>45047.0</v>
      </c>
      <c r="D28" s="202">
        <f t="shared" si="3"/>
        <v>1356</v>
      </c>
      <c r="E28" s="202" t="str">
        <f t="shared" si="4"/>
        <v>Past</v>
      </c>
      <c r="F28" s="188">
        <v>649.0</v>
      </c>
      <c r="G28" s="188">
        <v>0.0</v>
      </c>
      <c r="H28" s="188">
        <v>707.0</v>
      </c>
      <c r="I28" s="264"/>
      <c r="J28" s="264"/>
      <c r="K28" s="264"/>
      <c r="L28" s="264"/>
      <c r="M28" s="264"/>
      <c r="N28" s="264"/>
      <c r="O28" s="264"/>
      <c r="P28" s="264"/>
      <c r="Q28" s="264"/>
      <c r="R28" s="264"/>
    </row>
    <row r="29">
      <c r="A29" s="188">
        <f t="shared" si="5"/>
        <v>257660</v>
      </c>
      <c r="B29" s="212">
        <f t="shared" si="2"/>
        <v>1356</v>
      </c>
      <c r="C29" s="215">
        <v>45078.0</v>
      </c>
      <c r="D29" s="202">
        <f t="shared" si="3"/>
        <v>1356</v>
      </c>
      <c r="E29" s="202" t="str">
        <f t="shared" si="4"/>
        <v>Past</v>
      </c>
      <c r="F29" s="188">
        <v>649.0</v>
      </c>
      <c r="G29" s="188">
        <v>0.0</v>
      </c>
      <c r="H29" s="188">
        <v>707.0</v>
      </c>
      <c r="I29" s="264"/>
      <c r="J29" s="264"/>
      <c r="K29" s="264"/>
      <c r="L29" s="264"/>
      <c r="M29" s="264"/>
      <c r="N29" s="264"/>
      <c r="O29" s="264"/>
      <c r="P29" s="264"/>
      <c r="Q29" s="264"/>
      <c r="R29" s="264"/>
    </row>
    <row r="30">
      <c r="A30" s="188">
        <f t="shared" si="5"/>
        <v>256304</v>
      </c>
      <c r="B30" s="212">
        <f t="shared" si="2"/>
        <v>1356</v>
      </c>
      <c r="C30" s="215">
        <v>45108.0</v>
      </c>
      <c r="D30" s="202">
        <f t="shared" si="3"/>
        <v>1356</v>
      </c>
      <c r="E30" s="202" t="str">
        <f t="shared" si="4"/>
        <v>Past</v>
      </c>
      <c r="F30" s="188">
        <v>649.0</v>
      </c>
      <c r="G30" s="188">
        <v>0.0</v>
      </c>
      <c r="H30" s="188">
        <v>707.0</v>
      </c>
      <c r="I30" s="264"/>
      <c r="J30" s="264"/>
      <c r="K30" s="264"/>
      <c r="L30" s="264"/>
      <c r="M30" s="264"/>
      <c r="N30" s="264"/>
      <c r="O30" s="264"/>
      <c r="P30" s="264"/>
      <c r="Q30" s="264"/>
      <c r="R30" s="264"/>
    </row>
    <row r="31">
      <c r="A31" s="188">
        <f t="shared" si="5"/>
        <v>254948</v>
      </c>
      <c r="B31" s="212">
        <f t="shared" si="2"/>
        <v>1356</v>
      </c>
      <c r="C31" s="215">
        <v>45139.0</v>
      </c>
      <c r="D31" s="202">
        <f t="shared" si="3"/>
        <v>1356</v>
      </c>
      <c r="E31" s="202" t="str">
        <f t="shared" si="4"/>
        <v>Past</v>
      </c>
      <c r="F31" s="188">
        <v>649.0</v>
      </c>
      <c r="G31" s="188">
        <v>0.0</v>
      </c>
      <c r="H31" s="188">
        <v>707.0</v>
      </c>
      <c r="I31" s="264"/>
      <c r="J31" s="264"/>
      <c r="K31" s="264"/>
      <c r="L31" s="264"/>
      <c r="M31" s="264"/>
      <c r="N31" s="264"/>
      <c r="O31" s="264"/>
      <c r="P31" s="264"/>
      <c r="Q31" s="264"/>
      <c r="R31" s="264"/>
    </row>
    <row r="32">
      <c r="A32" s="188">
        <f t="shared" si="5"/>
        <v>253592</v>
      </c>
      <c r="B32" s="212">
        <f t="shared" si="2"/>
        <v>1356</v>
      </c>
      <c r="C32" s="215">
        <v>45170.0</v>
      </c>
      <c r="D32" s="202">
        <f t="shared" si="3"/>
        <v>1356</v>
      </c>
      <c r="E32" s="202" t="str">
        <f t="shared" si="4"/>
        <v>Past</v>
      </c>
      <c r="F32" s="188">
        <v>649.0</v>
      </c>
      <c r="G32" s="188">
        <v>0.0</v>
      </c>
      <c r="H32" s="188">
        <v>707.0</v>
      </c>
      <c r="I32" s="264"/>
      <c r="J32" s="264"/>
      <c r="K32" s="264"/>
      <c r="L32" s="264"/>
      <c r="M32" s="264"/>
      <c r="N32" s="264"/>
      <c r="O32" s="264"/>
      <c r="P32" s="264"/>
      <c r="Q32" s="264"/>
      <c r="R32" s="264"/>
    </row>
    <row r="33">
      <c r="A33" s="188">
        <f t="shared" si="5"/>
        <v>252236</v>
      </c>
      <c r="B33" s="212">
        <f t="shared" si="2"/>
        <v>1356</v>
      </c>
      <c r="C33" s="215">
        <v>45200.0</v>
      </c>
      <c r="D33" s="202">
        <f t="shared" si="3"/>
        <v>1356</v>
      </c>
      <c r="E33" s="202" t="str">
        <f t="shared" si="4"/>
        <v>Past</v>
      </c>
      <c r="F33" s="188">
        <v>649.0</v>
      </c>
      <c r="G33" s="188">
        <v>0.0</v>
      </c>
      <c r="H33" s="188">
        <v>707.0</v>
      </c>
      <c r="I33" s="264"/>
      <c r="J33" s="264"/>
      <c r="K33" s="264"/>
      <c r="L33" s="264"/>
      <c r="M33" s="264"/>
      <c r="N33" s="264"/>
      <c r="O33" s="264"/>
      <c r="P33" s="264"/>
      <c r="Q33" s="264"/>
      <c r="R33" s="264"/>
    </row>
    <row r="34">
      <c r="A34" s="188">
        <f t="shared" si="5"/>
        <v>250880</v>
      </c>
      <c r="B34" s="212">
        <f t="shared" si="2"/>
        <v>1356</v>
      </c>
      <c r="C34" s="215">
        <v>45231.0</v>
      </c>
      <c r="D34" s="202">
        <f t="shared" si="3"/>
        <v>1356</v>
      </c>
      <c r="E34" s="202" t="str">
        <f t="shared" si="4"/>
        <v>Past</v>
      </c>
      <c r="F34" s="188">
        <v>649.0</v>
      </c>
      <c r="G34" s="188">
        <v>0.0</v>
      </c>
      <c r="H34" s="188">
        <v>707.0</v>
      </c>
      <c r="I34" s="264"/>
      <c r="J34" s="264"/>
      <c r="K34" s="264"/>
      <c r="L34" s="264"/>
      <c r="M34" s="264"/>
      <c r="N34" s="264"/>
      <c r="O34" s="264"/>
      <c r="P34" s="264"/>
      <c r="Q34" s="264"/>
      <c r="R34" s="264"/>
    </row>
    <row r="35">
      <c r="A35" s="188">
        <f t="shared" si="5"/>
        <v>249524</v>
      </c>
      <c r="B35" s="212">
        <f t="shared" si="2"/>
        <v>1356</v>
      </c>
      <c r="C35" s="215">
        <v>45261.0</v>
      </c>
      <c r="D35" s="202">
        <f t="shared" si="3"/>
        <v>1356</v>
      </c>
      <c r="E35" s="202" t="str">
        <f t="shared" si="4"/>
        <v>Past</v>
      </c>
      <c r="F35" s="188">
        <v>649.0</v>
      </c>
      <c r="G35" s="188">
        <v>0.0</v>
      </c>
      <c r="H35" s="188">
        <v>707.0</v>
      </c>
      <c r="I35" s="264"/>
      <c r="J35" s="264"/>
      <c r="K35" s="264"/>
      <c r="L35" s="264"/>
      <c r="M35" s="264"/>
      <c r="N35" s="264"/>
      <c r="O35" s="264"/>
      <c r="P35" s="264"/>
      <c r="Q35" s="264"/>
      <c r="R35" s="264"/>
    </row>
    <row r="36">
      <c r="A36" s="188">
        <f t="shared" si="5"/>
        <v>248168</v>
      </c>
      <c r="B36" s="212">
        <f t="shared" si="2"/>
        <v>1356</v>
      </c>
      <c r="C36" s="215">
        <v>45292.0</v>
      </c>
      <c r="D36" s="202">
        <f t="shared" si="3"/>
        <v>1356</v>
      </c>
      <c r="E36" s="202" t="str">
        <f t="shared" si="4"/>
        <v>Past</v>
      </c>
      <c r="F36" s="188">
        <v>649.0</v>
      </c>
      <c r="G36" s="188">
        <v>0.0</v>
      </c>
      <c r="H36" s="188">
        <v>707.0</v>
      </c>
      <c r="I36" s="264"/>
      <c r="J36" s="264"/>
      <c r="K36" s="264"/>
      <c r="L36" s="264"/>
      <c r="M36" s="264"/>
      <c r="N36" s="264"/>
      <c r="O36" s="264"/>
      <c r="P36" s="264"/>
      <c r="Q36" s="264"/>
      <c r="R36" s="264"/>
    </row>
    <row r="37">
      <c r="A37" s="188">
        <f t="shared" si="5"/>
        <v>246812</v>
      </c>
      <c r="B37" s="212">
        <f t="shared" si="2"/>
        <v>1356</v>
      </c>
      <c r="C37" s="215">
        <v>45323.0</v>
      </c>
      <c r="D37" s="202">
        <f t="shared" si="3"/>
        <v>1356</v>
      </c>
      <c r="E37" s="202" t="str">
        <f t="shared" si="4"/>
        <v>Past</v>
      </c>
      <c r="F37" s="188">
        <v>649.0</v>
      </c>
      <c r="G37" s="188">
        <v>0.0</v>
      </c>
      <c r="H37" s="188">
        <v>707.0</v>
      </c>
      <c r="I37" s="264"/>
      <c r="J37" s="264"/>
      <c r="K37" s="264"/>
      <c r="L37" s="264"/>
      <c r="M37" s="264"/>
      <c r="N37" s="264"/>
      <c r="O37" s="264"/>
      <c r="P37" s="264"/>
      <c r="Q37" s="264"/>
      <c r="R37" s="264"/>
    </row>
    <row r="38">
      <c r="A38" s="188">
        <f t="shared" si="5"/>
        <v>245456</v>
      </c>
      <c r="B38" s="212">
        <f t="shared" si="2"/>
        <v>1356</v>
      </c>
      <c r="C38" s="215">
        <v>45352.0</v>
      </c>
      <c r="D38" s="202">
        <f t="shared" si="3"/>
        <v>1356</v>
      </c>
      <c r="E38" s="202" t="str">
        <f t="shared" si="4"/>
        <v>Past</v>
      </c>
      <c r="F38" s="188">
        <v>649.0</v>
      </c>
      <c r="G38" s="188">
        <v>0.0</v>
      </c>
      <c r="H38" s="188">
        <v>707.0</v>
      </c>
      <c r="I38" s="264"/>
      <c r="J38" s="264"/>
      <c r="K38" s="264"/>
      <c r="L38" s="264"/>
      <c r="M38" s="264"/>
      <c r="N38" s="264"/>
      <c r="O38" s="264"/>
      <c r="P38" s="264"/>
      <c r="Q38" s="264"/>
      <c r="R38" s="264"/>
    </row>
    <row r="39">
      <c r="A39" s="188">
        <f t="shared" si="5"/>
        <v>244100</v>
      </c>
      <c r="B39" s="212">
        <f t="shared" si="2"/>
        <v>1356</v>
      </c>
      <c r="C39" s="215">
        <v>45383.0</v>
      </c>
      <c r="D39" s="202">
        <f t="shared" si="3"/>
        <v>1356</v>
      </c>
      <c r="E39" s="202" t="str">
        <f t="shared" si="4"/>
        <v>Past</v>
      </c>
      <c r="F39" s="188">
        <v>649.0</v>
      </c>
      <c r="G39" s="188">
        <v>0.0</v>
      </c>
      <c r="H39" s="188">
        <v>707.0</v>
      </c>
      <c r="I39" s="264"/>
      <c r="J39" s="264"/>
      <c r="K39" s="264"/>
      <c r="L39" s="264"/>
      <c r="M39" s="264"/>
      <c r="N39" s="264"/>
      <c r="O39" s="264"/>
      <c r="P39" s="264"/>
      <c r="Q39" s="264"/>
      <c r="R39" s="264"/>
    </row>
    <row r="40">
      <c r="A40" s="188">
        <f t="shared" si="5"/>
        <v>242744</v>
      </c>
      <c r="B40" s="212">
        <f t="shared" si="2"/>
        <v>1356</v>
      </c>
      <c r="C40" s="215">
        <v>45413.0</v>
      </c>
      <c r="D40" s="202">
        <f t="shared" si="3"/>
        <v>1356</v>
      </c>
      <c r="E40" s="202" t="str">
        <f t="shared" si="4"/>
        <v>Past</v>
      </c>
      <c r="F40" s="188">
        <v>649.0</v>
      </c>
      <c r="G40" s="188">
        <v>0.0</v>
      </c>
      <c r="H40" s="188">
        <v>707.0</v>
      </c>
      <c r="I40" s="264"/>
      <c r="J40" s="264"/>
      <c r="K40" s="264"/>
      <c r="L40" s="264"/>
      <c r="M40" s="264"/>
      <c r="N40" s="264"/>
      <c r="O40" s="264"/>
      <c r="P40" s="264"/>
      <c r="Q40" s="264"/>
      <c r="R40" s="264"/>
    </row>
    <row r="41">
      <c r="A41" s="188">
        <f t="shared" si="5"/>
        <v>241388</v>
      </c>
      <c r="B41" s="212">
        <f t="shared" si="2"/>
        <v>1356</v>
      </c>
      <c r="C41" s="215">
        <v>45444.0</v>
      </c>
      <c r="D41" s="202">
        <f t="shared" si="3"/>
        <v>1356</v>
      </c>
      <c r="E41" s="202" t="str">
        <f t="shared" si="4"/>
        <v>Past</v>
      </c>
      <c r="F41" s="188">
        <v>649.0</v>
      </c>
      <c r="G41" s="188">
        <v>0.0</v>
      </c>
      <c r="H41" s="188">
        <v>707.0</v>
      </c>
      <c r="I41" s="264"/>
      <c r="J41" s="264"/>
      <c r="K41" s="264"/>
      <c r="L41" s="264"/>
      <c r="M41" s="264"/>
      <c r="N41" s="264"/>
      <c r="O41" s="264"/>
      <c r="P41" s="264"/>
      <c r="Q41" s="264"/>
      <c r="R41" s="264"/>
    </row>
    <row r="42">
      <c r="A42" s="188">
        <f t="shared" si="5"/>
        <v>238732</v>
      </c>
      <c r="B42" s="212">
        <f t="shared" si="2"/>
        <v>2656</v>
      </c>
      <c r="C42" s="215">
        <v>45474.0</v>
      </c>
      <c r="D42" s="202">
        <f t="shared" si="3"/>
        <v>2656</v>
      </c>
      <c r="E42" s="202" t="str">
        <f t="shared" si="4"/>
        <v>Past</v>
      </c>
      <c r="F42" s="188">
        <v>649.0</v>
      </c>
      <c r="G42" s="188">
        <v>0.0</v>
      </c>
      <c r="H42" s="188">
        <v>707.0</v>
      </c>
      <c r="I42" s="264"/>
      <c r="J42" s="264"/>
      <c r="K42" s="264"/>
      <c r="L42" s="264"/>
      <c r="M42" s="264"/>
      <c r="N42" s="188">
        <v>1300.0</v>
      </c>
      <c r="O42" s="264"/>
      <c r="P42" s="264"/>
      <c r="Q42" s="264"/>
      <c r="R42" s="264"/>
    </row>
    <row r="43">
      <c r="A43" s="188">
        <f t="shared" si="5"/>
        <v>232376</v>
      </c>
      <c r="B43" s="212">
        <f t="shared" si="2"/>
        <v>6356</v>
      </c>
      <c r="C43" s="215">
        <v>45505.0</v>
      </c>
      <c r="D43" s="202">
        <f t="shared" si="3"/>
        <v>6356</v>
      </c>
      <c r="E43" s="202" t="str">
        <f t="shared" si="4"/>
        <v>Past</v>
      </c>
      <c r="F43" s="188">
        <v>649.0</v>
      </c>
      <c r="G43" s="188">
        <v>0.0</v>
      </c>
      <c r="H43" s="188">
        <v>707.0</v>
      </c>
      <c r="I43" s="264"/>
      <c r="J43" s="264"/>
      <c r="K43" s="264"/>
      <c r="L43" s="264"/>
      <c r="M43" s="264"/>
      <c r="N43" s="188">
        <v>0.0</v>
      </c>
      <c r="O43" s="188">
        <v>5000.0</v>
      </c>
      <c r="P43" s="264"/>
      <c r="Q43" s="264"/>
      <c r="R43" s="264"/>
    </row>
    <row r="44">
      <c r="A44" s="188">
        <f t="shared" si="5"/>
        <v>231020</v>
      </c>
      <c r="B44" s="212">
        <f t="shared" si="2"/>
        <v>1356</v>
      </c>
      <c r="C44" s="215">
        <v>45536.0</v>
      </c>
      <c r="D44" s="202">
        <f t="shared" si="3"/>
        <v>1356</v>
      </c>
      <c r="E44" s="202" t="str">
        <f t="shared" si="4"/>
        <v>Past</v>
      </c>
      <c r="F44" s="188">
        <v>649.0</v>
      </c>
      <c r="G44" s="188">
        <v>0.0</v>
      </c>
      <c r="H44" s="188">
        <v>707.0</v>
      </c>
      <c r="I44" s="264"/>
      <c r="J44" s="264"/>
      <c r="K44" s="264"/>
      <c r="L44" s="264"/>
      <c r="M44" s="264"/>
      <c r="N44" s="188">
        <v>0.0</v>
      </c>
      <c r="O44" s="188">
        <v>0.0</v>
      </c>
      <c r="P44" s="264"/>
      <c r="Q44" s="264"/>
      <c r="R44" s="264"/>
    </row>
    <row r="45">
      <c r="A45" s="188">
        <f t="shared" si="5"/>
        <v>210628</v>
      </c>
      <c r="B45" s="212">
        <f t="shared" si="2"/>
        <v>20392</v>
      </c>
      <c r="C45" s="215">
        <v>45566.0</v>
      </c>
      <c r="D45" s="202">
        <f t="shared" si="3"/>
        <v>20392</v>
      </c>
      <c r="E45" s="202" t="str">
        <f t="shared" si="4"/>
        <v>Past</v>
      </c>
      <c r="F45" s="188">
        <v>649.0</v>
      </c>
      <c r="G45" s="188">
        <v>0.0</v>
      </c>
      <c r="H45" s="188">
        <v>707.0</v>
      </c>
      <c r="I45" s="188">
        <v>1490.0</v>
      </c>
      <c r="J45" s="188"/>
      <c r="K45" s="188"/>
      <c r="L45" s="188">
        <v>1499.0</v>
      </c>
      <c r="M45" s="188">
        <v>0.0</v>
      </c>
      <c r="N45" s="188">
        <v>0.0</v>
      </c>
      <c r="O45" s="188">
        <v>0.0</v>
      </c>
      <c r="P45" s="188">
        <v>870.0</v>
      </c>
      <c r="Q45" s="188">
        <v>13227.0</v>
      </c>
      <c r="R45" s="188">
        <v>1950.0</v>
      </c>
    </row>
    <row r="46">
      <c r="A46" s="188">
        <f t="shared" si="5"/>
        <v>204497</v>
      </c>
      <c r="B46" s="212">
        <f t="shared" si="2"/>
        <v>6131</v>
      </c>
      <c r="C46" s="215">
        <v>45597.0</v>
      </c>
      <c r="D46" s="202">
        <v>0.0</v>
      </c>
      <c r="E46" s="202" t="str">
        <f t="shared" si="4"/>
        <v>Past</v>
      </c>
      <c r="F46" s="188">
        <v>649.0</v>
      </c>
      <c r="G46" s="188">
        <v>0.0</v>
      </c>
      <c r="H46" s="188">
        <v>3182.46</v>
      </c>
      <c r="I46" s="188">
        <v>0.0</v>
      </c>
      <c r="J46" s="188"/>
      <c r="K46" s="188"/>
      <c r="L46" s="188">
        <v>0.0</v>
      </c>
      <c r="M46" s="188">
        <v>0.0</v>
      </c>
      <c r="N46" s="188">
        <v>0.0</v>
      </c>
      <c r="O46" s="188">
        <v>0.0</v>
      </c>
      <c r="P46" s="188">
        <v>349.0</v>
      </c>
      <c r="Q46" s="188">
        <v>0.0</v>
      </c>
      <c r="R46" s="188">
        <v>1950.0</v>
      </c>
    </row>
    <row r="47">
      <c r="A47" s="188">
        <f t="shared" si="5"/>
        <v>198130</v>
      </c>
      <c r="B47" s="212">
        <v>0.0</v>
      </c>
      <c r="C47" s="215">
        <v>45627.0</v>
      </c>
      <c r="D47" s="202">
        <v>0.0</v>
      </c>
      <c r="E47" s="202" t="str">
        <f t="shared" si="4"/>
        <v>Past</v>
      </c>
      <c r="F47" s="188">
        <v>649.0</v>
      </c>
      <c r="G47" s="188">
        <v>0.0</v>
      </c>
      <c r="H47" s="188">
        <v>0.0</v>
      </c>
      <c r="I47" s="188">
        <v>0.0</v>
      </c>
      <c r="J47" s="188"/>
      <c r="K47" s="188"/>
      <c r="L47" s="188">
        <v>0.0</v>
      </c>
      <c r="M47" s="253">
        <v>169.0</v>
      </c>
      <c r="N47" s="188">
        <v>0.0</v>
      </c>
      <c r="O47" s="188">
        <v>0.0</v>
      </c>
      <c r="P47" s="253">
        <v>3599.0</v>
      </c>
      <c r="Q47" s="188">
        <v>0.0</v>
      </c>
      <c r="R47" s="188">
        <v>1950.0</v>
      </c>
    </row>
    <row r="48">
      <c r="A48" s="188">
        <f t="shared" si="5"/>
        <v>196180</v>
      </c>
      <c r="B48" s="212">
        <f>ceiling(sum(F48:R48),1)</f>
        <v>1950</v>
      </c>
      <c r="C48" s="215">
        <v>45658.0</v>
      </c>
      <c r="D48" s="202">
        <v>0.0</v>
      </c>
      <c r="E48" s="202" t="str">
        <f t="shared" si="4"/>
        <v>Past</v>
      </c>
      <c r="F48" s="188">
        <v>0.0</v>
      </c>
      <c r="G48" s="188">
        <v>0.0</v>
      </c>
      <c r="H48" s="188">
        <v>0.0</v>
      </c>
      <c r="I48" s="188">
        <v>0.0</v>
      </c>
      <c r="J48" s="188"/>
      <c r="K48" s="188"/>
      <c r="L48" s="188">
        <v>0.0</v>
      </c>
      <c r="M48" s="253"/>
      <c r="N48" s="188">
        <v>0.0</v>
      </c>
      <c r="O48" s="188">
        <v>0.0</v>
      </c>
      <c r="P48" s="188">
        <v>0.0</v>
      </c>
      <c r="Q48" s="188">
        <v>0.0</v>
      </c>
      <c r="R48" s="188">
        <v>1950.0</v>
      </c>
    </row>
    <row r="49">
      <c r="A49" s="188">
        <f t="shared" si="5"/>
        <v>194230</v>
      </c>
      <c r="B49" s="212">
        <v>0.0</v>
      </c>
      <c r="C49" s="215">
        <v>45689.0</v>
      </c>
      <c r="D49" s="202">
        <v>0.0</v>
      </c>
      <c r="E49" s="202" t="str">
        <f t="shared" si="4"/>
        <v>Past</v>
      </c>
      <c r="F49" s="188" t="s">
        <v>317</v>
      </c>
      <c r="G49" s="188" t="s">
        <v>317</v>
      </c>
      <c r="H49" s="188" t="s">
        <v>317</v>
      </c>
      <c r="I49" s="188" t="s">
        <v>317</v>
      </c>
      <c r="J49" s="188" t="s">
        <v>317</v>
      </c>
      <c r="K49" s="188" t="s">
        <v>317</v>
      </c>
      <c r="L49" s="188" t="s">
        <v>317</v>
      </c>
      <c r="M49" s="188" t="s">
        <v>317</v>
      </c>
      <c r="N49" s="188" t="s">
        <v>317</v>
      </c>
      <c r="O49" s="188" t="s">
        <v>317</v>
      </c>
      <c r="P49" s="188" t="s">
        <v>317</v>
      </c>
      <c r="Q49" s="188" t="s">
        <v>317</v>
      </c>
      <c r="R49" s="188">
        <v>1950.0</v>
      </c>
    </row>
    <row r="50">
      <c r="A50" s="188">
        <f t="shared" si="5"/>
        <v>189163</v>
      </c>
      <c r="B50" s="212">
        <v>0.0</v>
      </c>
      <c r="C50" s="215">
        <v>45717.0</v>
      </c>
      <c r="D50" s="202">
        <v>0.0</v>
      </c>
      <c r="E50" s="202" t="str">
        <f t="shared" si="4"/>
        <v>Past</v>
      </c>
      <c r="F50" s="188">
        <v>649.0</v>
      </c>
      <c r="G50" s="188">
        <v>0.0</v>
      </c>
      <c r="H50" s="188">
        <v>0.0</v>
      </c>
      <c r="I50" s="188">
        <v>0.0</v>
      </c>
      <c r="J50" s="188">
        <v>1950.0</v>
      </c>
      <c r="K50" s="188"/>
      <c r="L50" s="188">
        <v>0.0</v>
      </c>
      <c r="M50" s="188">
        <v>169.0</v>
      </c>
      <c r="N50" s="188">
        <v>0.0</v>
      </c>
      <c r="O50" s="188">
        <v>0.0</v>
      </c>
      <c r="P50" s="188">
        <v>349.0</v>
      </c>
      <c r="Q50" s="188">
        <v>0.0</v>
      </c>
      <c r="R50" s="188">
        <v>1950.0</v>
      </c>
    </row>
    <row r="51">
      <c r="A51" s="188">
        <f t="shared" si="5"/>
        <v>186695</v>
      </c>
      <c r="B51" s="212">
        <v>0.0</v>
      </c>
      <c r="C51" s="215">
        <v>45748.0</v>
      </c>
      <c r="D51" s="202">
        <v>0.0</v>
      </c>
      <c r="E51" s="202" t="str">
        <f t="shared" si="4"/>
        <v>Past</v>
      </c>
      <c r="F51" s="188">
        <v>0.0</v>
      </c>
      <c r="G51" s="188">
        <v>0.0</v>
      </c>
      <c r="H51" s="188">
        <v>0.0</v>
      </c>
      <c r="I51" s="188">
        <v>0.0</v>
      </c>
      <c r="J51" s="188">
        <v>0.0</v>
      </c>
      <c r="K51" s="188"/>
      <c r="L51" s="188">
        <v>0.0</v>
      </c>
      <c r="M51" s="188">
        <v>169.0</v>
      </c>
      <c r="N51" s="188">
        <v>0.0</v>
      </c>
      <c r="O51" s="188">
        <v>0.0</v>
      </c>
      <c r="P51" s="188">
        <v>349.0</v>
      </c>
      <c r="Q51" s="188">
        <v>0.0</v>
      </c>
      <c r="R51" s="188">
        <v>1950.0</v>
      </c>
    </row>
    <row r="52">
      <c r="A52" s="188">
        <f t="shared" si="5"/>
        <v>184227</v>
      </c>
      <c r="B52" s="212">
        <v>0.0</v>
      </c>
      <c r="C52" s="215">
        <v>45778.0</v>
      </c>
      <c r="D52" s="202">
        <v>0.0</v>
      </c>
      <c r="E52" s="202" t="str">
        <f t="shared" si="4"/>
        <v>Past</v>
      </c>
      <c r="F52" s="188">
        <v>0.0</v>
      </c>
      <c r="G52" s="188">
        <v>0.0</v>
      </c>
      <c r="H52" s="188">
        <v>0.0</v>
      </c>
      <c r="I52" s="188">
        <v>0.0</v>
      </c>
      <c r="J52" s="188">
        <v>0.0</v>
      </c>
      <c r="K52" s="188"/>
      <c r="L52" s="188">
        <v>0.0</v>
      </c>
      <c r="M52" s="188">
        <v>169.0</v>
      </c>
      <c r="N52" s="188">
        <v>0.0</v>
      </c>
      <c r="O52" s="188">
        <v>0.0</v>
      </c>
      <c r="P52" s="188">
        <v>349.0</v>
      </c>
      <c r="Q52" s="188">
        <v>0.0</v>
      </c>
      <c r="R52" s="188">
        <v>1950.0</v>
      </c>
    </row>
    <row r="53">
      <c r="A53" s="188">
        <f t="shared" si="5"/>
        <v>181759</v>
      </c>
      <c r="B53" s="212">
        <v>0.0</v>
      </c>
      <c r="C53" s="215">
        <v>45809.0</v>
      </c>
      <c r="D53" s="202">
        <v>0.0</v>
      </c>
      <c r="E53" s="202" t="str">
        <f t="shared" si="4"/>
        <v>Past</v>
      </c>
      <c r="F53" s="188">
        <v>0.0</v>
      </c>
      <c r="G53" s="188">
        <v>0.0</v>
      </c>
      <c r="H53" s="188">
        <v>0.0</v>
      </c>
      <c r="I53" s="188">
        <v>0.0</v>
      </c>
      <c r="J53" s="188">
        <v>0.0</v>
      </c>
      <c r="K53" s="188"/>
      <c r="L53" s="188">
        <v>0.0</v>
      </c>
      <c r="M53" s="188">
        <v>169.0</v>
      </c>
      <c r="N53" s="188">
        <v>0.0</v>
      </c>
      <c r="O53" s="188">
        <v>0.0</v>
      </c>
      <c r="P53" s="188">
        <v>349.0</v>
      </c>
      <c r="Q53" s="188">
        <v>0.0</v>
      </c>
      <c r="R53" s="188">
        <v>1950.0</v>
      </c>
    </row>
    <row r="54">
      <c r="A54" s="188">
        <f t="shared" si="5"/>
        <v>177991</v>
      </c>
      <c r="B54" s="212">
        <v>0.0</v>
      </c>
      <c r="C54" s="215">
        <v>45839.0</v>
      </c>
      <c r="D54" s="202">
        <v>0.0</v>
      </c>
      <c r="E54" s="202" t="str">
        <f t="shared" si="4"/>
        <v>Past</v>
      </c>
      <c r="F54" s="188">
        <v>0.0</v>
      </c>
      <c r="G54" s="188">
        <v>0.0</v>
      </c>
      <c r="H54" s="188">
        <v>0.0</v>
      </c>
      <c r="I54" s="188">
        <v>0.0</v>
      </c>
      <c r="J54" s="188">
        <v>0.0</v>
      </c>
      <c r="K54" s="188"/>
      <c r="L54" s="188">
        <v>0.0</v>
      </c>
      <c r="M54" s="188">
        <v>169.0</v>
      </c>
      <c r="N54" s="188">
        <v>1300.0</v>
      </c>
      <c r="O54" s="188">
        <v>0.0</v>
      </c>
      <c r="P54" s="188">
        <v>349.0</v>
      </c>
      <c r="Q54" s="188">
        <v>0.0</v>
      </c>
      <c r="R54" s="188">
        <v>1950.0</v>
      </c>
    </row>
    <row r="55">
      <c r="A55" s="188">
        <f t="shared" si="5"/>
        <v>175523</v>
      </c>
      <c r="B55" s="212">
        <v>0.0</v>
      </c>
      <c r="C55" s="215">
        <v>45870.0</v>
      </c>
      <c r="D55" s="202">
        <v>0.0</v>
      </c>
      <c r="E55" s="202" t="str">
        <f t="shared" si="4"/>
        <v>Past</v>
      </c>
      <c r="F55" s="188">
        <v>0.0</v>
      </c>
      <c r="G55" s="188">
        <v>0.0</v>
      </c>
      <c r="H55" s="188">
        <v>0.0</v>
      </c>
      <c r="I55" s="188">
        <v>0.0</v>
      </c>
      <c r="J55" s="188">
        <v>0.0</v>
      </c>
      <c r="K55" s="188"/>
      <c r="L55" s="188">
        <v>0.0</v>
      </c>
      <c r="M55" s="188">
        <v>169.0</v>
      </c>
      <c r="N55" s="188">
        <v>0.0</v>
      </c>
      <c r="O55" s="188">
        <v>0.0</v>
      </c>
      <c r="P55" s="188">
        <v>349.0</v>
      </c>
      <c r="Q55" s="188">
        <v>0.0</v>
      </c>
      <c r="R55" s="188">
        <v>1950.0</v>
      </c>
    </row>
    <row r="56">
      <c r="A56" s="188">
        <f t="shared" si="5"/>
        <v>175005</v>
      </c>
      <c r="B56" s="212">
        <v>0.0</v>
      </c>
      <c r="C56" s="215">
        <v>45901.0</v>
      </c>
      <c r="D56" s="202">
        <v>0.0</v>
      </c>
      <c r="E56" s="202" t="str">
        <f t="shared" si="4"/>
        <v>Past</v>
      </c>
      <c r="F56" s="188">
        <v>0.0</v>
      </c>
      <c r="G56" s="188">
        <v>0.0</v>
      </c>
      <c r="H56" s="188">
        <v>0.0</v>
      </c>
      <c r="I56" s="188">
        <v>0.0</v>
      </c>
      <c r="J56" s="188">
        <v>0.0</v>
      </c>
      <c r="K56" s="188"/>
      <c r="L56" s="188">
        <v>0.0</v>
      </c>
      <c r="M56" s="188">
        <v>169.0</v>
      </c>
      <c r="N56" s="188">
        <v>0.0</v>
      </c>
      <c r="O56" s="188">
        <v>0.0</v>
      </c>
      <c r="P56" s="188">
        <v>349.0</v>
      </c>
      <c r="Q56" s="188">
        <v>0.0</v>
      </c>
      <c r="R56" s="188">
        <v>0.0</v>
      </c>
    </row>
    <row r="57">
      <c r="A57" s="188">
        <f t="shared" si="5"/>
        <v>172988</v>
      </c>
      <c r="B57" s="212">
        <v>0.0</v>
      </c>
      <c r="C57" s="215">
        <v>45931.0</v>
      </c>
      <c r="D57" s="202">
        <v>0.0</v>
      </c>
      <c r="E57" s="202" t="str">
        <f t="shared" si="4"/>
        <v>Past</v>
      </c>
      <c r="F57" s="188">
        <v>0.0</v>
      </c>
      <c r="G57" s="188">
        <v>0.0</v>
      </c>
      <c r="H57" s="188">
        <v>0.0</v>
      </c>
      <c r="I57" s="188">
        <v>0.0</v>
      </c>
      <c r="J57" s="188">
        <v>0.0</v>
      </c>
      <c r="K57" s="188"/>
      <c r="L57" s="188">
        <v>1499.0</v>
      </c>
      <c r="M57" s="188">
        <v>169.0</v>
      </c>
      <c r="N57" s="188">
        <v>0.0</v>
      </c>
      <c r="O57" s="188">
        <v>0.0</v>
      </c>
      <c r="P57" s="188">
        <v>349.0</v>
      </c>
      <c r="Q57" s="188">
        <v>0.0</v>
      </c>
      <c r="R57" s="188">
        <v>0.0</v>
      </c>
    </row>
    <row r="58">
      <c r="A58" s="188">
        <f t="shared" si="5"/>
        <v>172470</v>
      </c>
      <c r="B58" s="212">
        <f t="shared" ref="B58:B118" si="6">ceiling(sum(F58:R58),1)</f>
        <v>518</v>
      </c>
      <c r="C58" s="215">
        <v>45962.0</v>
      </c>
      <c r="D58" s="202">
        <f t="shared" ref="D58:D118" si="7">sumif($F$19:R57,D$19,$F58:R58)</f>
        <v>518</v>
      </c>
      <c r="E58" s="202" t="str">
        <f t="shared" si="4"/>
        <v>Current</v>
      </c>
      <c r="F58" s="188">
        <v>0.0</v>
      </c>
      <c r="G58" s="188">
        <v>0.0</v>
      </c>
      <c r="H58" s="188">
        <v>0.0</v>
      </c>
      <c r="I58" s="188">
        <v>0.0</v>
      </c>
      <c r="J58" s="188">
        <v>0.0</v>
      </c>
      <c r="K58" s="188"/>
      <c r="L58" s="188">
        <v>0.0</v>
      </c>
      <c r="M58" s="188">
        <v>169.0</v>
      </c>
      <c r="N58" s="188">
        <v>0.0</v>
      </c>
      <c r="O58" s="188">
        <v>0.0</v>
      </c>
      <c r="P58" s="188">
        <v>349.0</v>
      </c>
      <c r="Q58" s="188">
        <v>0.0</v>
      </c>
      <c r="R58" s="188">
        <v>0.0</v>
      </c>
    </row>
    <row r="59">
      <c r="A59" s="188">
        <f t="shared" si="5"/>
        <v>171431</v>
      </c>
      <c r="B59" s="212">
        <f t="shared" si="6"/>
        <v>1039</v>
      </c>
      <c r="C59" s="215">
        <v>45992.0</v>
      </c>
      <c r="D59" s="202">
        <f t="shared" si="7"/>
        <v>1039</v>
      </c>
      <c r="E59" s="202" t="str">
        <f t="shared" si="4"/>
        <v>Future</v>
      </c>
      <c r="F59" s="188">
        <v>0.0</v>
      </c>
      <c r="G59" s="188">
        <v>0.0</v>
      </c>
      <c r="H59" s="188">
        <v>0.0</v>
      </c>
      <c r="I59" s="188">
        <v>0.0</v>
      </c>
      <c r="J59" s="188">
        <v>0.0</v>
      </c>
      <c r="K59" s="188"/>
      <c r="L59" s="188">
        <v>0.0</v>
      </c>
      <c r="M59" s="188">
        <v>169.0</v>
      </c>
      <c r="N59" s="188">
        <v>0.0</v>
      </c>
      <c r="O59" s="188">
        <v>0.0</v>
      </c>
      <c r="P59" s="188">
        <v>870.0</v>
      </c>
      <c r="Q59" s="188">
        <v>0.0</v>
      </c>
      <c r="R59" s="188">
        <v>0.0</v>
      </c>
    </row>
    <row r="60">
      <c r="A60" s="188">
        <f t="shared" si="5"/>
        <v>170392</v>
      </c>
      <c r="B60" s="212">
        <f t="shared" si="6"/>
        <v>1039</v>
      </c>
      <c r="C60" s="215">
        <v>46023.0</v>
      </c>
      <c r="D60" s="202">
        <f t="shared" si="7"/>
        <v>1039</v>
      </c>
      <c r="E60" s="202" t="str">
        <f t="shared" si="4"/>
        <v>Future</v>
      </c>
      <c r="F60" s="188">
        <v>0.0</v>
      </c>
      <c r="G60" s="188">
        <v>0.0</v>
      </c>
      <c r="H60" s="188">
        <v>0.0</v>
      </c>
      <c r="I60" s="188">
        <v>0.0</v>
      </c>
      <c r="J60" s="188">
        <v>0.0</v>
      </c>
      <c r="K60" s="188"/>
      <c r="L60" s="188">
        <v>0.0</v>
      </c>
      <c r="M60" s="188">
        <v>169.0</v>
      </c>
      <c r="N60" s="188">
        <v>0.0</v>
      </c>
      <c r="O60" s="188">
        <v>0.0</v>
      </c>
      <c r="P60" s="188">
        <v>870.0</v>
      </c>
      <c r="Q60" s="188">
        <v>0.0</v>
      </c>
      <c r="R60" s="188">
        <v>0.0</v>
      </c>
    </row>
    <row r="61">
      <c r="A61" s="188">
        <f t="shared" si="5"/>
        <v>169353</v>
      </c>
      <c r="B61" s="212">
        <f t="shared" si="6"/>
        <v>1039</v>
      </c>
      <c r="C61" s="215">
        <v>46054.0</v>
      </c>
      <c r="D61" s="202">
        <f t="shared" si="7"/>
        <v>1039</v>
      </c>
      <c r="E61" s="202" t="str">
        <f t="shared" si="4"/>
        <v>Future</v>
      </c>
      <c r="F61" s="188">
        <v>0.0</v>
      </c>
      <c r="G61" s="188">
        <v>0.0</v>
      </c>
      <c r="H61" s="188">
        <v>0.0</v>
      </c>
      <c r="I61" s="188">
        <v>0.0</v>
      </c>
      <c r="J61" s="188">
        <v>0.0</v>
      </c>
      <c r="K61" s="188"/>
      <c r="L61" s="188">
        <v>0.0</v>
      </c>
      <c r="M61" s="188">
        <v>169.0</v>
      </c>
      <c r="N61" s="188">
        <v>0.0</v>
      </c>
      <c r="O61" s="188">
        <v>0.0</v>
      </c>
      <c r="P61" s="188">
        <v>870.0</v>
      </c>
      <c r="Q61" s="188">
        <v>0.0</v>
      </c>
      <c r="R61" s="188">
        <v>0.0</v>
      </c>
    </row>
    <row r="62">
      <c r="A62" s="188">
        <f t="shared" si="5"/>
        <v>168314</v>
      </c>
      <c r="B62" s="212">
        <f t="shared" si="6"/>
        <v>1039</v>
      </c>
      <c r="C62" s="215">
        <v>46082.0</v>
      </c>
      <c r="D62" s="202">
        <f t="shared" si="7"/>
        <v>1039</v>
      </c>
      <c r="E62" s="202" t="str">
        <f t="shared" si="4"/>
        <v>Future</v>
      </c>
      <c r="F62" s="188">
        <v>0.0</v>
      </c>
      <c r="G62" s="188">
        <v>0.0</v>
      </c>
      <c r="H62" s="188">
        <v>0.0</v>
      </c>
      <c r="I62" s="188">
        <v>0.0</v>
      </c>
      <c r="J62" s="188">
        <v>0.0</v>
      </c>
      <c r="K62" s="188"/>
      <c r="L62" s="188">
        <v>0.0</v>
      </c>
      <c r="M62" s="188">
        <v>169.0</v>
      </c>
      <c r="N62" s="188">
        <v>0.0</v>
      </c>
      <c r="O62" s="188">
        <v>0.0</v>
      </c>
      <c r="P62" s="188">
        <v>870.0</v>
      </c>
      <c r="Q62" s="188">
        <v>0.0</v>
      </c>
      <c r="R62" s="188">
        <v>0.0</v>
      </c>
    </row>
    <row r="63">
      <c r="A63" s="188">
        <f t="shared" si="5"/>
        <v>162275</v>
      </c>
      <c r="B63" s="212">
        <f t="shared" si="6"/>
        <v>6039</v>
      </c>
      <c r="C63" s="215">
        <v>46113.0</v>
      </c>
      <c r="D63" s="202">
        <f t="shared" si="7"/>
        <v>6039</v>
      </c>
      <c r="E63" s="202" t="str">
        <f t="shared" si="4"/>
        <v>Future</v>
      </c>
      <c r="F63" s="188">
        <v>0.0</v>
      </c>
      <c r="G63" s="188">
        <v>0.0</v>
      </c>
      <c r="H63" s="188">
        <v>0.0</v>
      </c>
      <c r="I63" s="188">
        <v>0.0</v>
      </c>
      <c r="J63" s="188">
        <v>0.0</v>
      </c>
      <c r="K63" s="188"/>
      <c r="L63" s="188">
        <v>0.0</v>
      </c>
      <c r="M63" s="188">
        <v>169.0</v>
      </c>
      <c r="N63" s="188">
        <v>0.0</v>
      </c>
      <c r="O63" s="188">
        <v>5000.0</v>
      </c>
      <c r="P63" s="188">
        <v>870.0</v>
      </c>
      <c r="Q63" s="188">
        <v>0.0</v>
      </c>
      <c r="R63" s="188">
        <v>0.0</v>
      </c>
    </row>
    <row r="64">
      <c r="A64" s="188">
        <f t="shared" si="5"/>
        <v>161236</v>
      </c>
      <c r="B64" s="212">
        <f t="shared" si="6"/>
        <v>1039</v>
      </c>
      <c r="C64" s="215">
        <v>46143.0</v>
      </c>
      <c r="D64" s="202">
        <f t="shared" si="7"/>
        <v>1039</v>
      </c>
      <c r="E64" s="202" t="str">
        <f t="shared" si="4"/>
        <v>Future</v>
      </c>
      <c r="F64" s="188">
        <v>0.0</v>
      </c>
      <c r="G64" s="188">
        <v>0.0</v>
      </c>
      <c r="H64" s="188">
        <v>0.0</v>
      </c>
      <c r="I64" s="188">
        <v>0.0</v>
      </c>
      <c r="J64" s="188">
        <v>0.0</v>
      </c>
      <c r="K64" s="188"/>
      <c r="L64" s="188">
        <v>0.0</v>
      </c>
      <c r="M64" s="188">
        <v>169.0</v>
      </c>
      <c r="N64" s="188">
        <v>0.0</v>
      </c>
      <c r="O64" s="188">
        <v>0.0</v>
      </c>
      <c r="P64" s="188">
        <v>870.0</v>
      </c>
      <c r="Q64" s="188">
        <v>0.0</v>
      </c>
      <c r="R64" s="188">
        <v>0.0</v>
      </c>
    </row>
    <row r="65">
      <c r="A65" s="188">
        <f t="shared" si="5"/>
        <v>160197</v>
      </c>
      <c r="B65" s="212">
        <f t="shared" si="6"/>
        <v>1039</v>
      </c>
      <c r="C65" s="215">
        <v>46174.0</v>
      </c>
      <c r="D65" s="202">
        <f t="shared" si="7"/>
        <v>1039</v>
      </c>
      <c r="E65" s="202" t="str">
        <f t="shared" si="4"/>
        <v>Future</v>
      </c>
      <c r="F65" s="188">
        <v>0.0</v>
      </c>
      <c r="G65" s="188">
        <v>0.0</v>
      </c>
      <c r="H65" s="188">
        <v>0.0</v>
      </c>
      <c r="I65" s="188">
        <v>0.0</v>
      </c>
      <c r="J65" s="188">
        <v>0.0</v>
      </c>
      <c r="K65" s="188"/>
      <c r="L65" s="188">
        <v>0.0</v>
      </c>
      <c r="M65" s="188">
        <v>169.0</v>
      </c>
      <c r="N65" s="188">
        <v>0.0</v>
      </c>
      <c r="O65" s="188">
        <v>0.0</v>
      </c>
      <c r="P65" s="188">
        <v>870.0</v>
      </c>
      <c r="Q65" s="188">
        <v>0.0</v>
      </c>
      <c r="R65" s="188">
        <v>0.0</v>
      </c>
    </row>
    <row r="66">
      <c r="A66" s="188">
        <f t="shared" si="5"/>
        <v>157858</v>
      </c>
      <c r="B66" s="212">
        <f t="shared" si="6"/>
        <v>2339</v>
      </c>
      <c r="C66" s="215">
        <v>46204.0</v>
      </c>
      <c r="D66" s="202">
        <f t="shared" si="7"/>
        <v>2339</v>
      </c>
      <c r="E66" s="202" t="str">
        <f t="shared" si="4"/>
        <v>Future</v>
      </c>
      <c r="F66" s="188">
        <v>0.0</v>
      </c>
      <c r="G66" s="188">
        <v>0.0</v>
      </c>
      <c r="H66" s="188">
        <v>0.0</v>
      </c>
      <c r="I66" s="188">
        <v>0.0</v>
      </c>
      <c r="J66" s="188">
        <v>0.0</v>
      </c>
      <c r="K66" s="188"/>
      <c r="L66" s="188">
        <v>0.0</v>
      </c>
      <c r="M66" s="188">
        <v>169.0</v>
      </c>
      <c r="N66" s="268">
        <v>1300.0</v>
      </c>
      <c r="O66" s="188">
        <v>0.0</v>
      </c>
      <c r="P66" s="188">
        <v>870.0</v>
      </c>
      <c r="Q66" s="188">
        <v>0.0</v>
      </c>
      <c r="R66" s="188">
        <v>0.0</v>
      </c>
    </row>
    <row r="67">
      <c r="A67" s="188">
        <f t="shared" si="5"/>
        <v>156819</v>
      </c>
      <c r="B67" s="212">
        <f t="shared" si="6"/>
        <v>1039</v>
      </c>
      <c r="C67" s="215">
        <v>46235.0</v>
      </c>
      <c r="D67" s="202">
        <f t="shared" si="7"/>
        <v>1039</v>
      </c>
      <c r="E67" s="202" t="str">
        <f t="shared" si="4"/>
        <v>Future</v>
      </c>
      <c r="F67" s="188">
        <v>0.0</v>
      </c>
      <c r="G67" s="188">
        <v>0.0</v>
      </c>
      <c r="H67" s="188">
        <v>0.0</v>
      </c>
      <c r="I67" s="188">
        <v>0.0</v>
      </c>
      <c r="J67" s="188">
        <v>0.0</v>
      </c>
      <c r="K67" s="188"/>
      <c r="L67" s="188">
        <v>0.0</v>
      </c>
      <c r="M67" s="188">
        <v>169.0</v>
      </c>
      <c r="N67" s="268">
        <v>0.0</v>
      </c>
      <c r="O67" s="188">
        <v>0.0</v>
      </c>
      <c r="P67" s="188">
        <v>870.0</v>
      </c>
      <c r="Q67" s="188">
        <v>0.0</v>
      </c>
      <c r="R67" s="188">
        <v>0.0</v>
      </c>
    </row>
    <row r="68">
      <c r="A68" s="188">
        <f t="shared" si="5"/>
        <v>155780</v>
      </c>
      <c r="B68" s="212">
        <f t="shared" si="6"/>
        <v>1039</v>
      </c>
      <c r="C68" s="215">
        <v>46266.0</v>
      </c>
      <c r="D68" s="202">
        <f t="shared" si="7"/>
        <v>1039</v>
      </c>
      <c r="E68" s="202" t="str">
        <f t="shared" si="4"/>
        <v>Future</v>
      </c>
      <c r="F68" s="188">
        <v>0.0</v>
      </c>
      <c r="G68" s="188">
        <v>0.0</v>
      </c>
      <c r="H68" s="188">
        <v>0.0</v>
      </c>
      <c r="I68" s="188">
        <v>0.0</v>
      </c>
      <c r="J68" s="188">
        <v>0.0</v>
      </c>
      <c r="K68" s="188"/>
      <c r="L68" s="188">
        <v>0.0</v>
      </c>
      <c r="M68" s="188">
        <v>169.0</v>
      </c>
      <c r="N68" s="268">
        <v>0.0</v>
      </c>
      <c r="O68" s="188">
        <v>0.0</v>
      </c>
      <c r="P68" s="188">
        <v>870.0</v>
      </c>
      <c r="Q68" s="188">
        <v>0.0</v>
      </c>
      <c r="R68" s="188">
        <v>0.0</v>
      </c>
    </row>
    <row r="69">
      <c r="A69" s="188">
        <f t="shared" si="5"/>
        <v>140015</v>
      </c>
      <c r="B69" s="212">
        <f t="shared" si="6"/>
        <v>15765</v>
      </c>
      <c r="C69" s="215">
        <v>46296.0</v>
      </c>
      <c r="D69" s="202">
        <f t="shared" si="7"/>
        <v>15765</v>
      </c>
      <c r="E69" s="202" t="str">
        <f t="shared" si="4"/>
        <v>Future</v>
      </c>
      <c r="F69" s="188">
        <v>0.0</v>
      </c>
      <c r="G69" s="188">
        <v>0.0</v>
      </c>
      <c r="H69" s="188">
        <v>0.0</v>
      </c>
      <c r="I69" s="188">
        <v>0.0</v>
      </c>
      <c r="J69" s="188">
        <v>0.0</v>
      </c>
      <c r="K69" s="188"/>
      <c r="L69" s="188">
        <v>1499.0</v>
      </c>
      <c r="M69" s="188">
        <v>169.0</v>
      </c>
      <c r="N69" s="268">
        <v>0.0</v>
      </c>
      <c r="O69" s="188">
        <v>0.0</v>
      </c>
      <c r="P69" s="188">
        <v>870.0</v>
      </c>
      <c r="Q69" s="188">
        <v>13227.0</v>
      </c>
      <c r="R69" s="188">
        <v>0.0</v>
      </c>
    </row>
    <row r="70">
      <c r="A70" s="188">
        <f t="shared" si="5"/>
        <v>138976</v>
      </c>
      <c r="B70" s="212">
        <f t="shared" si="6"/>
        <v>1039</v>
      </c>
      <c r="C70" s="215">
        <v>46327.0</v>
      </c>
      <c r="D70" s="202">
        <f t="shared" si="7"/>
        <v>1039</v>
      </c>
      <c r="E70" s="202" t="str">
        <f t="shared" si="4"/>
        <v>Future</v>
      </c>
      <c r="F70" s="188">
        <v>0.0</v>
      </c>
      <c r="G70" s="188">
        <v>0.0</v>
      </c>
      <c r="H70" s="188">
        <v>0.0</v>
      </c>
      <c r="I70" s="188">
        <v>0.0</v>
      </c>
      <c r="J70" s="188">
        <v>0.0</v>
      </c>
      <c r="K70" s="188"/>
      <c r="L70" s="188">
        <v>0.0</v>
      </c>
      <c r="M70" s="188">
        <v>169.0</v>
      </c>
      <c r="N70" s="268">
        <v>0.0</v>
      </c>
      <c r="O70" s="188">
        <v>0.0</v>
      </c>
      <c r="P70" s="188">
        <v>870.0</v>
      </c>
      <c r="Q70" s="188">
        <v>0.0</v>
      </c>
      <c r="R70" s="188">
        <v>0.0</v>
      </c>
    </row>
    <row r="71">
      <c r="A71" s="188">
        <f t="shared" si="5"/>
        <v>137937</v>
      </c>
      <c r="B71" s="212">
        <f t="shared" si="6"/>
        <v>1039</v>
      </c>
      <c r="C71" s="215">
        <v>46357.0</v>
      </c>
      <c r="D71" s="202">
        <f t="shared" si="7"/>
        <v>1039</v>
      </c>
      <c r="E71" s="202" t="str">
        <f t="shared" si="4"/>
        <v>Future</v>
      </c>
      <c r="F71" s="188">
        <v>0.0</v>
      </c>
      <c r="G71" s="188">
        <v>0.0</v>
      </c>
      <c r="H71" s="188">
        <v>0.0</v>
      </c>
      <c r="I71" s="188">
        <v>0.0</v>
      </c>
      <c r="J71" s="188">
        <v>0.0</v>
      </c>
      <c r="K71" s="188"/>
      <c r="L71" s="188">
        <v>0.0</v>
      </c>
      <c r="M71" s="188">
        <v>169.0</v>
      </c>
      <c r="N71" s="268">
        <v>0.0</v>
      </c>
      <c r="O71" s="188">
        <v>0.0</v>
      </c>
      <c r="P71" s="188">
        <v>870.0</v>
      </c>
      <c r="Q71" s="188">
        <v>0.0</v>
      </c>
      <c r="R71" s="188">
        <v>0.0</v>
      </c>
    </row>
    <row r="72">
      <c r="A72" s="188">
        <f t="shared" si="5"/>
        <v>136898</v>
      </c>
      <c r="B72" s="212">
        <f t="shared" si="6"/>
        <v>1039</v>
      </c>
      <c r="C72" s="215">
        <v>46388.0</v>
      </c>
      <c r="D72" s="202">
        <f t="shared" si="7"/>
        <v>1039</v>
      </c>
      <c r="E72" s="202" t="str">
        <f t="shared" si="4"/>
        <v>Future</v>
      </c>
      <c r="F72" s="188">
        <v>0.0</v>
      </c>
      <c r="G72" s="188">
        <v>0.0</v>
      </c>
      <c r="H72" s="188">
        <v>0.0</v>
      </c>
      <c r="I72" s="188">
        <v>0.0</v>
      </c>
      <c r="J72" s="188">
        <v>0.0</v>
      </c>
      <c r="K72" s="188"/>
      <c r="L72" s="188">
        <v>0.0</v>
      </c>
      <c r="M72" s="188">
        <v>169.0</v>
      </c>
      <c r="N72" s="268">
        <v>0.0</v>
      </c>
      <c r="O72" s="188">
        <v>0.0</v>
      </c>
      <c r="P72" s="188">
        <v>870.0</v>
      </c>
      <c r="Q72" s="188">
        <v>0.0</v>
      </c>
      <c r="R72" s="188">
        <v>0.0</v>
      </c>
    </row>
    <row r="73">
      <c r="A73" s="188">
        <f t="shared" si="5"/>
        <v>130859</v>
      </c>
      <c r="B73" s="212">
        <f t="shared" si="6"/>
        <v>6039</v>
      </c>
      <c r="C73" s="215">
        <v>46419.0</v>
      </c>
      <c r="D73" s="202">
        <f t="shared" si="7"/>
        <v>6039</v>
      </c>
      <c r="E73" s="202" t="str">
        <f t="shared" si="4"/>
        <v>Future</v>
      </c>
      <c r="F73" s="188">
        <v>0.0</v>
      </c>
      <c r="G73" s="188">
        <v>0.0</v>
      </c>
      <c r="H73" s="188">
        <v>0.0</v>
      </c>
      <c r="I73" s="188">
        <v>0.0</v>
      </c>
      <c r="J73" s="188">
        <v>0.0</v>
      </c>
      <c r="K73" s="188"/>
      <c r="L73" s="188">
        <v>0.0</v>
      </c>
      <c r="M73" s="188">
        <v>169.0</v>
      </c>
      <c r="N73" s="268">
        <v>0.0</v>
      </c>
      <c r="O73" s="188">
        <v>5000.0</v>
      </c>
      <c r="P73" s="188">
        <v>870.0</v>
      </c>
      <c r="Q73" s="188">
        <v>0.0</v>
      </c>
      <c r="R73" s="188">
        <v>0.0</v>
      </c>
    </row>
    <row r="74">
      <c r="A74" s="188">
        <f t="shared" si="5"/>
        <v>129820</v>
      </c>
      <c r="B74" s="212">
        <f t="shared" si="6"/>
        <v>1039</v>
      </c>
      <c r="C74" s="215">
        <v>46447.0</v>
      </c>
      <c r="D74" s="202">
        <f t="shared" si="7"/>
        <v>1039</v>
      </c>
      <c r="E74" s="202" t="str">
        <f t="shared" si="4"/>
        <v>Future</v>
      </c>
      <c r="F74" s="188">
        <v>0.0</v>
      </c>
      <c r="G74" s="188">
        <v>0.0</v>
      </c>
      <c r="H74" s="188">
        <v>0.0</v>
      </c>
      <c r="I74" s="188">
        <v>0.0</v>
      </c>
      <c r="J74" s="188">
        <v>0.0</v>
      </c>
      <c r="K74" s="188"/>
      <c r="L74" s="188">
        <v>0.0</v>
      </c>
      <c r="M74" s="188">
        <v>169.0</v>
      </c>
      <c r="N74" s="268">
        <v>0.0</v>
      </c>
      <c r="O74" s="188">
        <v>0.0</v>
      </c>
      <c r="P74" s="188">
        <v>870.0</v>
      </c>
      <c r="Q74" s="188">
        <v>0.0</v>
      </c>
      <c r="R74" s="188">
        <v>0.0</v>
      </c>
    </row>
    <row r="75">
      <c r="A75" s="188">
        <f t="shared" si="5"/>
        <v>128781</v>
      </c>
      <c r="B75" s="212">
        <f t="shared" si="6"/>
        <v>1039</v>
      </c>
      <c r="C75" s="215">
        <v>46478.0</v>
      </c>
      <c r="D75" s="202">
        <f t="shared" si="7"/>
        <v>1039</v>
      </c>
      <c r="E75" s="202" t="str">
        <f t="shared" si="4"/>
        <v>Future</v>
      </c>
      <c r="F75" s="188">
        <v>0.0</v>
      </c>
      <c r="G75" s="188">
        <v>0.0</v>
      </c>
      <c r="H75" s="188">
        <v>0.0</v>
      </c>
      <c r="I75" s="188">
        <v>0.0</v>
      </c>
      <c r="J75" s="188">
        <v>0.0</v>
      </c>
      <c r="K75" s="188"/>
      <c r="L75" s="188">
        <v>0.0</v>
      </c>
      <c r="M75" s="188">
        <v>169.0</v>
      </c>
      <c r="N75" s="268">
        <v>0.0</v>
      </c>
      <c r="O75" s="188">
        <v>0.0</v>
      </c>
      <c r="P75" s="188">
        <v>870.0</v>
      </c>
      <c r="Q75" s="188">
        <v>0.0</v>
      </c>
      <c r="R75" s="188">
        <v>0.0</v>
      </c>
    </row>
    <row r="76">
      <c r="A76" s="188">
        <f t="shared" si="5"/>
        <v>127742</v>
      </c>
      <c r="B76" s="212">
        <f t="shared" si="6"/>
        <v>1039</v>
      </c>
      <c r="C76" s="215">
        <v>46508.0</v>
      </c>
      <c r="D76" s="202">
        <f t="shared" si="7"/>
        <v>1039</v>
      </c>
      <c r="E76" s="202" t="str">
        <f t="shared" si="4"/>
        <v>Future</v>
      </c>
      <c r="F76" s="188">
        <v>0.0</v>
      </c>
      <c r="G76" s="188">
        <v>0.0</v>
      </c>
      <c r="H76" s="188">
        <v>0.0</v>
      </c>
      <c r="I76" s="188">
        <v>0.0</v>
      </c>
      <c r="J76" s="188">
        <v>0.0</v>
      </c>
      <c r="K76" s="188"/>
      <c r="L76" s="188">
        <v>0.0</v>
      </c>
      <c r="M76" s="188">
        <v>169.0</v>
      </c>
      <c r="N76" s="268">
        <v>0.0</v>
      </c>
      <c r="O76" s="188">
        <v>0.0</v>
      </c>
      <c r="P76" s="188">
        <v>870.0</v>
      </c>
      <c r="Q76" s="188">
        <v>0.0</v>
      </c>
      <c r="R76" s="188">
        <v>0.0</v>
      </c>
    </row>
    <row r="77">
      <c r="A77" s="188">
        <f t="shared" si="5"/>
        <v>126703</v>
      </c>
      <c r="B77" s="212">
        <f t="shared" si="6"/>
        <v>1039</v>
      </c>
      <c r="C77" s="215">
        <v>46539.0</v>
      </c>
      <c r="D77" s="202">
        <f t="shared" si="7"/>
        <v>1039</v>
      </c>
      <c r="E77" s="202" t="str">
        <f t="shared" si="4"/>
        <v>Future</v>
      </c>
      <c r="F77" s="188">
        <v>0.0</v>
      </c>
      <c r="G77" s="188">
        <v>0.0</v>
      </c>
      <c r="H77" s="188">
        <v>0.0</v>
      </c>
      <c r="I77" s="188">
        <v>0.0</v>
      </c>
      <c r="J77" s="188">
        <v>0.0</v>
      </c>
      <c r="K77" s="188"/>
      <c r="L77" s="188">
        <v>0.0</v>
      </c>
      <c r="M77" s="188">
        <v>169.0</v>
      </c>
      <c r="N77" s="268">
        <v>0.0</v>
      </c>
      <c r="O77" s="188">
        <v>0.0</v>
      </c>
      <c r="P77" s="188">
        <v>870.0</v>
      </c>
      <c r="Q77" s="188">
        <v>0.0</v>
      </c>
      <c r="R77" s="188">
        <v>0.0</v>
      </c>
    </row>
    <row r="78">
      <c r="A78" s="188">
        <f t="shared" si="5"/>
        <v>124364</v>
      </c>
      <c r="B78" s="212">
        <f t="shared" si="6"/>
        <v>2339</v>
      </c>
      <c r="C78" s="215">
        <v>46569.0</v>
      </c>
      <c r="D78" s="202">
        <f t="shared" si="7"/>
        <v>2339</v>
      </c>
      <c r="E78" s="202" t="str">
        <f t="shared" si="4"/>
        <v>Future</v>
      </c>
      <c r="F78" s="188">
        <v>0.0</v>
      </c>
      <c r="G78" s="188">
        <v>0.0</v>
      </c>
      <c r="H78" s="188">
        <v>0.0</v>
      </c>
      <c r="I78" s="188">
        <v>0.0</v>
      </c>
      <c r="J78" s="188">
        <v>0.0</v>
      </c>
      <c r="K78" s="188"/>
      <c r="L78" s="188">
        <v>0.0</v>
      </c>
      <c r="M78" s="188">
        <v>169.0</v>
      </c>
      <c r="N78" s="268">
        <v>1300.0</v>
      </c>
      <c r="O78" s="188">
        <v>0.0</v>
      </c>
      <c r="P78" s="188">
        <v>870.0</v>
      </c>
      <c r="Q78" s="188">
        <v>0.0</v>
      </c>
      <c r="R78" s="188">
        <v>0.0</v>
      </c>
    </row>
    <row r="79">
      <c r="A79" s="188">
        <f t="shared" si="5"/>
        <v>123325</v>
      </c>
      <c r="B79" s="212">
        <f t="shared" si="6"/>
        <v>1039</v>
      </c>
      <c r="C79" s="215">
        <v>46600.0</v>
      </c>
      <c r="D79" s="202">
        <f t="shared" si="7"/>
        <v>1039</v>
      </c>
      <c r="E79" s="202" t="str">
        <f t="shared" si="4"/>
        <v>Future</v>
      </c>
      <c r="F79" s="188">
        <v>0.0</v>
      </c>
      <c r="G79" s="188">
        <v>0.0</v>
      </c>
      <c r="H79" s="188">
        <v>0.0</v>
      </c>
      <c r="I79" s="188">
        <v>0.0</v>
      </c>
      <c r="J79" s="188">
        <v>0.0</v>
      </c>
      <c r="K79" s="188"/>
      <c r="L79" s="188">
        <v>0.0</v>
      </c>
      <c r="M79" s="188">
        <v>169.0</v>
      </c>
      <c r="N79" s="268">
        <v>0.0</v>
      </c>
      <c r="O79" s="188">
        <v>0.0</v>
      </c>
      <c r="P79" s="188">
        <v>870.0</v>
      </c>
      <c r="Q79" s="188">
        <v>0.0</v>
      </c>
      <c r="R79" s="188">
        <v>0.0</v>
      </c>
    </row>
    <row r="80">
      <c r="A80" s="188">
        <f t="shared" si="5"/>
        <v>122286</v>
      </c>
      <c r="B80" s="212">
        <f t="shared" si="6"/>
        <v>1039</v>
      </c>
      <c r="C80" s="215">
        <v>46631.0</v>
      </c>
      <c r="D80" s="202">
        <f t="shared" si="7"/>
        <v>1039</v>
      </c>
      <c r="E80" s="202" t="str">
        <f t="shared" si="4"/>
        <v>Future</v>
      </c>
      <c r="F80" s="188">
        <v>0.0</v>
      </c>
      <c r="G80" s="188">
        <v>0.0</v>
      </c>
      <c r="H80" s="188">
        <v>0.0</v>
      </c>
      <c r="I80" s="188">
        <v>0.0</v>
      </c>
      <c r="J80" s="188">
        <v>0.0</v>
      </c>
      <c r="K80" s="188"/>
      <c r="L80" s="188">
        <v>0.0</v>
      </c>
      <c r="M80" s="188">
        <v>169.0</v>
      </c>
      <c r="N80" s="268">
        <v>0.0</v>
      </c>
      <c r="O80" s="188">
        <v>0.0</v>
      </c>
      <c r="P80" s="188">
        <v>870.0</v>
      </c>
      <c r="Q80" s="188">
        <v>0.0</v>
      </c>
      <c r="R80" s="188">
        <v>0.0</v>
      </c>
    </row>
    <row r="81">
      <c r="A81" s="188">
        <f t="shared" si="5"/>
        <v>106521</v>
      </c>
      <c r="B81" s="212">
        <f t="shared" si="6"/>
        <v>15765</v>
      </c>
      <c r="C81" s="215">
        <v>46661.0</v>
      </c>
      <c r="D81" s="202">
        <f t="shared" si="7"/>
        <v>15765</v>
      </c>
      <c r="E81" s="202" t="str">
        <f t="shared" si="4"/>
        <v>Future</v>
      </c>
      <c r="F81" s="188">
        <v>0.0</v>
      </c>
      <c r="G81" s="188">
        <v>0.0</v>
      </c>
      <c r="H81" s="188">
        <v>0.0</v>
      </c>
      <c r="I81" s="188">
        <v>0.0</v>
      </c>
      <c r="J81" s="188">
        <v>0.0</v>
      </c>
      <c r="K81" s="188"/>
      <c r="L81" s="188">
        <v>1499.0</v>
      </c>
      <c r="M81" s="188">
        <v>169.0</v>
      </c>
      <c r="N81" s="268">
        <v>0.0</v>
      </c>
      <c r="O81" s="188">
        <v>0.0</v>
      </c>
      <c r="P81" s="188">
        <v>870.0</v>
      </c>
      <c r="Q81" s="188">
        <v>13227.0</v>
      </c>
      <c r="R81" s="188">
        <v>0.0</v>
      </c>
    </row>
    <row r="82">
      <c r="A82" s="188">
        <f t="shared" si="5"/>
        <v>105482</v>
      </c>
      <c r="B82" s="212">
        <f t="shared" si="6"/>
        <v>1039</v>
      </c>
      <c r="C82" s="215">
        <v>46692.0</v>
      </c>
      <c r="D82" s="202">
        <f t="shared" si="7"/>
        <v>1039</v>
      </c>
      <c r="E82" s="202" t="str">
        <f t="shared" si="4"/>
        <v>Future</v>
      </c>
      <c r="F82" s="188">
        <v>0.0</v>
      </c>
      <c r="G82" s="188">
        <v>0.0</v>
      </c>
      <c r="H82" s="188">
        <v>0.0</v>
      </c>
      <c r="I82" s="188">
        <v>0.0</v>
      </c>
      <c r="J82" s="188">
        <v>0.0</v>
      </c>
      <c r="K82" s="188"/>
      <c r="L82" s="188">
        <v>0.0</v>
      </c>
      <c r="M82" s="188">
        <v>169.0</v>
      </c>
      <c r="N82" s="268">
        <v>0.0</v>
      </c>
      <c r="O82" s="188">
        <v>0.0</v>
      </c>
      <c r="P82" s="188">
        <v>870.0</v>
      </c>
      <c r="Q82" s="188">
        <v>0.0</v>
      </c>
      <c r="R82" s="188">
        <v>0.0</v>
      </c>
    </row>
    <row r="83">
      <c r="A83" s="188">
        <f t="shared" si="5"/>
        <v>99443</v>
      </c>
      <c r="B83" s="212">
        <f t="shared" si="6"/>
        <v>6039</v>
      </c>
      <c r="C83" s="215">
        <v>46722.0</v>
      </c>
      <c r="D83" s="202">
        <f t="shared" si="7"/>
        <v>6039</v>
      </c>
      <c r="E83" s="202" t="str">
        <f t="shared" si="4"/>
        <v>Future</v>
      </c>
      <c r="F83" s="188">
        <v>0.0</v>
      </c>
      <c r="G83" s="188">
        <v>0.0</v>
      </c>
      <c r="H83" s="188">
        <v>0.0</v>
      </c>
      <c r="I83" s="188">
        <v>0.0</v>
      </c>
      <c r="J83" s="188">
        <v>0.0</v>
      </c>
      <c r="K83" s="188"/>
      <c r="L83" s="188">
        <v>0.0</v>
      </c>
      <c r="M83" s="188">
        <v>169.0</v>
      </c>
      <c r="N83" s="268">
        <v>0.0</v>
      </c>
      <c r="O83" s="188">
        <v>5000.0</v>
      </c>
      <c r="P83" s="188">
        <v>870.0</v>
      </c>
      <c r="Q83" s="188">
        <v>0.0</v>
      </c>
      <c r="R83" s="188">
        <v>0.0</v>
      </c>
    </row>
    <row r="84">
      <c r="A84" s="188">
        <f t="shared" si="5"/>
        <v>98404</v>
      </c>
      <c r="B84" s="212">
        <f t="shared" si="6"/>
        <v>1039</v>
      </c>
      <c r="C84" s="215">
        <v>46753.0</v>
      </c>
      <c r="D84" s="202">
        <f t="shared" si="7"/>
        <v>1039</v>
      </c>
      <c r="E84" s="202" t="str">
        <f t="shared" si="4"/>
        <v>Future</v>
      </c>
      <c r="F84" s="188">
        <v>0.0</v>
      </c>
      <c r="G84" s="188">
        <v>0.0</v>
      </c>
      <c r="H84" s="188">
        <v>0.0</v>
      </c>
      <c r="I84" s="188">
        <v>0.0</v>
      </c>
      <c r="J84" s="188">
        <v>0.0</v>
      </c>
      <c r="K84" s="188"/>
      <c r="L84" s="188">
        <v>0.0</v>
      </c>
      <c r="M84" s="188">
        <v>169.0</v>
      </c>
      <c r="N84" s="268">
        <v>0.0</v>
      </c>
      <c r="O84" s="188">
        <v>0.0</v>
      </c>
      <c r="P84" s="188">
        <v>870.0</v>
      </c>
      <c r="Q84" s="188">
        <v>0.0</v>
      </c>
      <c r="R84" s="188">
        <v>0.0</v>
      </c>
    </row>
    <row r="85">
      <c r="A85" s="188">
        <f t="shared" si="5"/>
        <v>97365</v>
      </c>
      <c r="B85" s="212">
        <f t="shared" si="6"/>
        <v>1039</v>
      </c>
      <c r="C85" s="215">
        <v>46784.0</v>
      </c>
      <c r="D85" s="202">
        <f t="shared" si="7"/>
        <v>1039</v>
      </c>
      <c r="E85" s="202" t="str">
        <f t="shared" si="4"/>
        <v>Future</v>
      </c>
      <c r="F85" s="188">
        <v>0.0</v>
      </c>
      <c r="G85" s="188">
        <v>0.0</v>
      </c>
      <c r="H85" s="188">
        <v>0.0</v>
      </c>
      <c r="I85" s="188">
        <v>0.0</v>
      </c>
      <c r="J85" s="188">
        <v>0.0</v>
      </c>
      <c r="K85" s="188"/>
      <c r="L85" s="188">
        <v>0.0</v>
      </c>
      <c r="M85" s="188">
        <v>169.0</v>
      </c>
      <c r="N85" s="268">
        <v>0.0</v>
      </c>
      <c r="O85" s="188">
        <v>0.0</v>
      </c>
      <c r="P85" s="188">
        <v>870.0</v>
      </c>
      <c r="Q85" s="188">
        <v>0.0</v>
      </c>
      <c r="R85" s="188">
        <v>0.0</v>
      </c>
    </row>
    <row r="86">
      <c r="A86" s="188">
        <f t="shared" si="5"/>
        <v>96326</v>
      </c>
      <c r="B86" s="212">
        <f t="shared" si="6"/>
        <v>1039</v>
      </c>
      <c r="C86" s="215">
        <v>46813.0</v>
      </c>
      <c r="D86" s="202">
        <f t="shared" si="7"/>
        <v>1039</v>
      </c>
      <c r="E86" s="202" t="str">
        <f t="shared" si="4"/>
        <v>Future</v>
      </c>
      <c r="F86" s="188">
        <v>0.0</v>
      </c>
      <c r="G86" s="188">
        <v>0.0</v>
      </c>
      <c r="H86" s="188">
        <v>0.0</v>
      </c>
      <c r="I86" s="188">
        <v>0.0</v>
      </c>
      <c r="J86" s="188">
        <v>0.0</v>
      </c>
      <c r="K86" s="188"/>
      <c r="L86" s="188">
        <v>0.0</v>
      </c>
      <c r="M86" s="188">
        <v>169.0</v>
      </c>
      <c r="N86" s="268">
        <v>0.0</v>
      </c>
      <c r="O86" s="188">
        <v>0.0</v>
      </c>
      <c r="P86" s="188">
        <v>870.0</v>
      </c>
      <c r="Q86" s="188">
        <v>0.0</v>
      </c>
      <c r="R86" s="188">
        <v>0.0</v>
      </c>
    </row>
    <row r="87">
      <c r="A87" s="188">
        <f t="shared" si="5"/>
        <v>95287</v>
      </c>
      <c r="B87" s="212">
        <f t="shared" si="6"/>
        <v>1039</v>
      </c>
      <c r="C87" s="215">
        <v>46844.0</v>
      </c>
      <c r="D87" s="202">
        <f t="shared" si="7"/>
        <v>1039</v>
      </c>
      <c r="E87" s="202" t="str">
        <f t="shared" si="4"/>
        <v>Future</v>
      </c>
      <c r="F87" s="188">
        <v>0.0</v>
      </c>
      <c r="G87" s="188">
        <v>0.0</v>
      </c>
      <c r="H87" s="188">
        <v>0.0</v>
      </c>
      <c r="I87" s="188">
        <v>0.0</v>
      </c>
      <c r="J87" s="188">
        <v>0.0</v>
      </c>
      <c r="K87" s="188"/>
      <c r="L87" s="188">
        <v>0.0</v>
      </c>
      <c r="M87" s="188">
        <v>169.0</v>
      </c>
      <c r="N87" s="268">
        <v>0.0</v>
      </c>
      <c r="O87" s="188">
        <v>0.0</v>
      </c>
      <c r="P87" s="188">
        <v>870.0</v>
      </c>
      <c r="Q87" s="188">
        <v>0.0</v>
      </c>
      <c r="R87" s="188">
        <v>0.0</v>
      </c>
    </row>
    <row r="88">
      <c r="A88" s="188">
        <f t="shared" si="5"/>
        <v>94248</v>
      </c>
      <c r="B88" s="212">
        <f t="shared" si="6"/>
        <v>1039</v>
      </c>
      <c r="C88" s="215">
        <v>46874.0</v>
      </c>
      <c r="D88" s="202">
        <f t="shared" si="7"/>
        <v>1039</v>
      </c>
      <c r="E88" s="202" t="str">
        <f t="shared" si="4"/>
        <v>Future</v>
      </c>
      <c r="F88" s="188">
        <v>0.0</v>
      </c>
      <c r="G88" s="188">
        <v>0.0</v>
      </c>
      <c r="H88" s="188">
        <v>0.0</v>
      </c>
      <c r="I88" s="188">
        <v>0.0</v>
      </c>
      <c r="J88" s="188">
        <v>0.0</v>
      </c>
      <c r="K88" s="188"/>
      <c r="L88" s="188">
        <v>0.0</v>
      </c>
      <c r="M88" s="188">
        <v>169.0</v>
      </c>
      <c r="N88" s="268">
        <v>0.0</v>
      </c>
      <c r="O88" s="188">
        <v>0.0</v>
      </c>
      <c r="P88" s="188">
        <v>870.0</v>
      </c>
      <c r="Q88" s="188">
        <v>0.0</v>
      </c>
      <c r="R88" s="188">
        <v>0.0</v>
      </c>
    </row>
    <row r="89">
      <c r="A89" s="188">
        <f t="shared" si="5"/>
        <v>93209</v>
      </c>
      <c r="B89" s="212">
        <f t="shared" si="6"/>
        <v>1039</v>
      </c>
      <c r="C89" s="215">
        <v>46905.0</v>
      </c>
      <c r="D89" s="202">
        <f t="shared" si="7"/>
        <v>1039</v>
      </c>
      <c r="E89" s="202" t="str">
        <f t="shared" si="4"/>
        <v>Future</v>
      </c>
      <c r="F89" s="188">
        <v>0.0</v>
      </c>
      <c r="G89" s="188">
        <v>0.0</v>
      </c>
      <c r="H89" s="188">
        <v>0.0</v>
      </c>
      <c r="I89" s="188">
        <v>0.0</v>
      </c>
      <c r="J89" s="188">
        <v>0.0</v>
      </c>
      <c r="K89" s="188"/>
      <c r="L89" s="188">
        <v>0.0</v>
      </c>
      <c r="M89" s="188">
        <v>169.0</v>
      </c>
      <c r="N89" s="268">
        <v>0.0</v>
      </c>
      <c r="O89" s="188">
        <v>0.0</v>
      </c>
      <c r="P89" s="188">
        <v>870.0</v>
      </c>
      <c r="Q89" s="188">
        <v>0.0</v>
      </c>
      <c r="R89" s="188">
        <v>0.0</v>
      </c>
    </row>
    <row r="90">
      <c r="A90" s="188">
        <f t="shared" si="5"/>
        <v>90870</v>
      </c>
      <c r="B90" s="212">
        <f t="shared" si="6"/>
        <v>2339</v>
      </c>
      <c r="C90" s="215">
        <v>46935.0</v>
      </c>
      <c r="D90" s="202">
        <f t="shared" si="7"/>
        <v>2339</v>
      </c>
      <c r="E90" s="202" t="str">
        <f t="shared" si="4"/>
        <v>Future</v>
      </c>
      <c r="F90" s="188">
        <v>0.0</v>
      </c>
      <c r="G90" s="188">
        <v>0.0</v>
      </c>
      <c r="H90" s="188">
        <v>0.0</v>
      </c>
      <c r="I90" s="188">
        <v>0.0</v>
      </c>
      <c r="J90" s="188">
        <v>0.0</v>
      </c>
      <c r="K90" s="188"/>
      <c r="L90" s="188">
        <v>0.0</v>
      </c>
      <c r="M90" s="188">
        <v>169.0</v>
      </c>
      <c r="N90" s="268">
        <v>1300.0</v>
      </c>
      <c r="O90" s="188">
        <v>0.0</v>
      </c>
      <c r="P90" s="188">
        <v>870.0</v>
      </c>
      <c r="Q90" s="188">
        <v>0.0</v>
      </c>
      <c r="R90" s="188">
        <v>0.0</v>
      </c>
    </row>
    <row r="91">
      <c r="A91" s="188">
        <f t="shared" si="5"/>
        <v>89831</v>
      </c>
      <c r="B91" s="212">
        <f t="shared" si="6"/>
        <v>1039</v>
      </c>
      <c r="C91" s="215">
        <v>46966.0</v>
      </c>
      <c r="D91" s="202">
        <f t="shared" si="7"/>
        <v>1039</v>
      </c>
      <c r="E91" s="202" t="str">
        <f t="shared" si="4"/>
        <v>Future</v>
      </c>
      <c r="F91" s="188">
        <v>0.0</v>
      </c>
      <c r="G91" s="188">
        <v>0.0</v>
      </c>
      <c r="H91" s="188">
        <v>0.0</v>
      </c>
      <c r="I91" s="188">
        <v>0.0</v>
      </c>
      <c r="J91" s="188">
        <v>0.0</v>
      </c>
      <c r="K91" s="188"/>
      <c r="L91" s="188">
        <v>0.0</v>
      </c>
      <c r="M91" s="188">
        <v>169.0</v>
      </c>
      <c r="N91" s="268">
        <v>0.0</v>
      </c>
      <c r="O91" s="188">
        <v>0.0</v>
      </c>
      <c r="P91" s="188">
        <v>870.0</v>
      </c>
      <c r="Q91" s="188">
        <v>0.0</v>
      </c>
      <c r="R91" s="188">
        <v>0.0</v>
      </c>
    </row>
    <row r="92">
      <c r="A92" s="188">
        <f t="shared" si="5"/>
        <v>88792</v>
      </c>
      <c r="B92" s="212">
        <f t="shared" si="6"/>
        <v>1039</v>
      </c>
      <c r="C92" s="215">
        <v>46997.0</v>
      </c>
      <c r="D92" s="202">
        <f t="shared" si="7"/>
        <v>1039</v>
      </c>
      <c r="E92" s="202" t="str">
        <f t="shared" si="4"/>
        <v>Future</v>
      </c>
      <c r="F92" s="188">
        <v>0.0</v>
      </c>
      <c r="G92" s="188">
        <v>0.0</v>
      </c>
      <c r="H92" s="188">
        <v>0.0</v>
      </c>
      <c r="I92" s="188">
        <v>0.0</v>
      </c>
      <c r="J92" s="188">
        <v>0.0</v>
      </c>
      <c r="K92" s="188"/>
      <c r="L92" s="188">
        <v>0.0</v>
      </c>
      <c r="M92" s="188">
        <v>169.0</v>
      </c>
      <c r="N92" s="268">
        <v>0.0</v>
      </c>
      <c r="O92" s="188">
        <v>0.0</v>
      </c>
      <c r="P92" s="188">
        <v>870.0</v>
      </c>
      <c r="Q92" s="188">
        <v>0.0</v>
      </c>
      <c r="R92" s="188">
        <v>0.0</v>
      </c>
    </row>
    <row r="93">
      <c r="A93" s="188">
        <f t="shared" si="5"/>
        <v>68027</v>
      </c>
      <c r="B93" s="212">
        <f t="shared" si="6"/>
        <v>20765</v>
      </c>
      <c r="C93" s="215">
        <v>47027.0</v>
      </c>
      <c r="D93" s="202">
        <f t="shared" si="7"/>
        <v>20765</v>
      </c>
      <c r="E93" s="202" t="str">
        <f t="shared" si="4"/>
        <v>Future</v>
      </c>
      <c r="F93" s="188">
        <v>0.0</v>
      </c>
      <c r="G93" s="188">
        <v>0.0</v>
      </c>
      <c r="H93" s="188">
        <v>0.0</v>
      </c>
      <c r="I93" s="188">
        <v>0.0</v>
      </c>
      <c r="J93" s="188">
        <v>0.0</v>
      </c>
      <c r="K93" s="188"/>
      <c r="L93" s="188">
        <v>1499.0</v>
      </c>
      <c r="M93" s="188">
        <v>169.0</v>
      </c>
      <c r="N93" s="268">
        <v>0.0</v>
      </c>
      <c r="O93" s="188">
        <v>5000.0</v>
      </c>
      <c r="P93" s="188">
        <v>870.0</v>
      </c>
      <c r="Q93" s="188">
        <v>13227.0</v>
      </c>
      <c r="R93" s="188">
        <v>0.0</v>
      </c>
    </row>
    <row r="94">
      <c r="A94" s="188">
        <f t="shared" si="5"/>
        <v>66988</v>
      </c>
      <c r="B94" s="212">
        <f t="shared" si="6"/>
        <v>1039</v>
      </c>
      <c r="C94" s="215">
        <v>47058.0</v>
      </c>
      <c r="D94" s="202">
        <f t="shared" si="7"/>
        <v>1039</v>
      </c>
      <c r="E94" s="202" t="str">
        <f t="shared" si="4"/>
        <v>Future</v>
      </c>
      <c r="F94" s="188">
        <v>0.0</v>
      </c>
      <c r="G94" s="188">
        <v>0.0</v>
      </c>
      <c r="H94" s="188">
        <v>0.0</v>
      </c>
      <c r="I94" s="188">
        <v>0.0</v>
      </c>
      <c r="J94" s="188">
        <v>0.0</v>
      </c>
      <c r="K94" s="188"/>
      <c r="L94" s="188">
        <v>0.0</v>
      </c>
      <c r="M94" s="188">
        <v>169.0</v>
      </c>
      <c r="N94" s="268">
        <v>0.0</v>
      </c>
      <c r="O94" s="188">
        <v>0.0</v>
      </c>
      <c r="P94" s="188">
        <v>870.0</v>
      </c>
      <c r="Q94" s="188">
        <v>0.0</v>
      </c>
      <c r="R94" s="188">
        <v>0.0</v>
      </c>
    </row>
    <row r="95">
      <c r="A95" s="188">
        <f t="shared" si="5"/>
        <v>65949</v>
      </c>
      <c r="B95" s="212">
        <f t="shared" si="6"/>
        <v>1039</v>
      </c>
      <c r="C95" s="215">
        <v>47088.0</v>
      </c>
      <c r="D95" s="202">
        <f t="shared" si="7"/>
        <v>1039</v>
      </c>
      <c r="E95" s="202" t="str">
        <f t="shared" si="4"/>
        <v>Future</v>
      </c>
      <c r="F95" s="188">
        <v>0.0</v>
      </c>
      <c r="G95" s="188">
        <v>0.0</v>
      </c>
      <c r="H95" s="188">
        <v>0.0</v>
      </c>
      <c r="I95" s="188">
        <v>0.0</v>
      </c>
      <c r="J95" s="188">
        <v>0.0</v>
      </c>
      <c r="K95" s="188"/>
      <c r="L95" s="188">
        <v>0.0</v>
      </c>
      <c r="M95" s="188">
        <v>169.0</v>
      </c>
      <c r="N95" s="268">
        <v>0.0</v>
      </c>
      <c r="O95" s="188">
        <v>0.0</v>
      </c>
      <c r="P95" s="188">
        <v>870.0</v>
      </c>
      <c r="Q95" s="188">
        <v>0.0</v>
      </c>
      <c r="R95" s="188">
        <v>0.0</v>
      </c>
    </row>
    <row r="96">
      <c r="A96" s="188">
        <f t="shared" si="5"/>
        <v>64910</v>
      </c>
      <c r="B96" s="212">
        <f t="shared" si="6"/>
        <v>1039</v>
      </c>
      <c r="C96" s="215">
        <v>47119.0</v>
      </c>
      <c r="D96" s="202">
        <f t="shared" si="7"/>
        <v>1039</v>
      </c>
      <c r="E96" s="202" t="str">
        <f t="shared" si="4"/>
        <v>Future</v>
      </c>
      <c r="F96" s="188">
        <v>0.0</v>
      </c>
      <c r="G96" s="188">
        <v>0.0</v>
      </c>
      <c r="H96" s="188">
        <v>0.0</v>
      </c>
      <c r="I96" s="188">
        <v>0.0</v>
      </c>
      <c r="J96" s="188">
        <v>0.0</v>
      </c>
      <c r="K96" s="188"/>
      <c r="L96" s="188">
        <v>0.0</v>
      </c>
      <c r="M96" s="188">
        <v>169.0</v>
      </c>
      <c r="N96" s="268">
        <v>0.0</v>
      </c>
      <c r="O96" s="188">
        <v>0.0</v>
      </c>
      <c r="P96" s="188">
        <v>870.0</v>
      </c>
      <c r="Q96" s="188">
        <v>0.0</v>
      </c>
      <c r="R96" s="188">
        <v>0.0</v>
      </c>
    </row>
    <row r="97">
      <c r="A97" s="188">
        <f t="shared" si="5"/>
        <v>63871</v>
      </c>
      <c r="B97" s="212">
        <f t="shared" si="6"/>
        <v>1039</v>
      </c>
      <c r="C97" s="215">
        <v>47150.0</v>
      </c>
      <c r="D97" s="202">
        <f t="shared" si="7"/>
        <v>1039</v>
      </c>
      <c r="E97" s="202" t="str">
        <f t="shared" si="4"/>
        <v>Future</v>
      </c>
      <c r="F97" s="188">
        <v>0.0</v>
      </c>
      <c r="G97" s="188">
        <v>0.0</v>
      </c>
      <c r="H97" s="188">
        <v>0.0</v>
      </c>
      <c r="I97" s="188">
        <v>0.0</v>
      </c>
      <c r="J97" s="188">
        <v>0.0</v>
      </c>
      <c r="K97" s="188"/>
      <c r="L97" s="188">
        <v>0.0</v>
      </c>
      <c r="M97" s="188">
        <v>169.0</v>
      </c>
      <c r="N97" s="268">
        <v>0.0</v>
      </c>
      <c r="O97" s="188">
        <v>0.0</v>
      </c>
      <c r="P97" s="188">
        <v>870.0</v>
      </c>
      <c r="Q97" s="188">
        <v>0.0</v>
      </c>
      <c r="R97" s="188">
        <v>0.0</v>
      </c>
    </row>
    <row r="98">
      <c r="A98" s="188">
        <f t="shared" si="5"/>
        <v>62832</v>
      </c>
      <c r="B98" s="212">
        <f t="shared" si="6"/>
        <v>1039</v>
      </c>
      <c r="C98" s="215">
        <v>47178.0</v>
      </c>
      <c r="D98" s="202">
        <f t="shared" si="7"/>
        <v>1039</v>
      </c>
      <c r="E98" s="202" t="str">
        <f t="shared" si="4"/>
        <v>Future</v>
      </c>
      <c r="F98" s="188">
        <v>0.0</v>
      </c>
      <c r="G98" s="188">
        <v>0.0</v>
      </c>
      <c r="H98" s="188">
        <v>0.0</v>
      </c>
      <c r="I98" s="188">
        <v>0.0</v>
      </c>
      <c r="J98" s="188">
        <v>0.0</v>
      </c>
      <c r="K98" s="188"/>
      <c r="L98" s="188">
        <v>0.0</v>
      </c>
      <c r="M98" s="188">
        <v>169.0</v>
      </c>
      <c r="N98" s="268">
        <v>0.0</v>
      </c>
      <c r="O98" s="188">
        <v>0.0</v>
      </c>
      <c r="P98" s="188">
        <v>870.0</v>
      </c>
      <c r="Q98" s="188">
        <v>0.0</v>
      </c>
      <c r="R98" s="188">
        <v>0.0</v>
      </c>
    </row>
    <row r="99">
      <c r="A99" s="188">
        <f t="shared" si="5"/>
        <v>61793</v>
      </c>
      <c r="B99" s="212">
        <f t="shared" si="6"/>
        <v>1039</v>
      </c>
      <c r="C99" s="215">
        <v>47209.0</v>
      </c>
      <c r="D99" s="202">
        <f t="shared" si="7"/>
        <v>1039</v>
      </c>
      <c r="E99" s="202" t="str">
        <f t="shared" si="4"/>
        <v>Future</v>
      </c>
      <c r="F99" s="188">
        <v>0.0</v>
      </c>
      <c r="G99" s="188">
        <v>0.0</v>
      </c>
      <c r="H99" s="188">
        <v>0.0</v>
      </c>
      <c r="I99" s="188">
        <v>0.0</v>
      </c>
      <c r="J99" s="188">
        <v>0.0</v>
      </c>
      <c r="K99" s="188"/>
      <c r="L99" s="188">
        <v>0.0</v>
      </c>
      <c r="M99" s="188">
        <v>169.0</v>
      </c>
      <c r="N99" s="268">
        <v>0.0</v>
      </c>
      <c r="O99" s="188">
        <v>0.0</v>
      </c>
      <c r="P99" s="188">
        <v>870.0</v>
      </c>
      <c r="Q99" s="188">
        <v>0.0</v>
      </c>
      <c r="R99" s="188">
        <v>0.0</v>
      </c>
    </row>
    <row r="100">
      <c r="A100" s="188">
        <f t="shared" si="5"/>
        <v>60754</v>
      </c>
      <c r="B100" s="212">
        <f t="shared" si="6"/>
        <v>1039</v>
      </c>
      <c r="C100" s="215">
        <v>47239.0</v>
      </c>
      <c r="D100" s="202">
        <f t="shared" si="7"/>
        <v>1039</v>
      </c>
      <c r="E100" s="202" t="str">
        <f t="shared" si="4"/>
        <v>Future</v>
      </c>
      <c r="F100" s="188">
        <v>0.0</v>
      </c>
      <c r="G100" s="188">
        <v>0.0</v>
      </c>
      <c r="H100" s="188">
        <v>0.0</v>
      </c>
      <c r="I100" s="188">
        <v>0.0</v>
      </c>
      <c r="J100" s="188">
        <v>0.0</v>
      </c>
      <c r="K100" s="188"/>
      <c r="L100" s="188">
        <v>0.0</v>
      </c>
      <c r="M100" s="188">
        <v>169.0</v>
      </c>
      <c r="N100" s="268">
        <v>0.0</v>
      </c>
      <c r="O100" s="188">
        <v>0.0</v>
      </c>
      <c r="P100" s="188">
        <v>870.0</v>
      </c>
      <c r="Q100" s="188">
        <v>0.0</v>
      </c>
      <c r="R100" s="188">
        <v>0.0</v>
      </c>
    </row>
    <row r="101">
      <c r="A101" s="188">
        <f t="shared" si="5"/>
        <v>59715</v>
      </c>
      <c r="B101" s="212">
        <f t="shared" si="6"/>
        <v>1039</v>
      </c>
      <c r="C101" s="215">
        <v>47270.0</v>
      </c>
      <c r="D101" s="202">
        <f t="shared" si="7"/>
        <v>1039</v>
      </c>
      <c r="E101" s="202" t="str">
        <f t="shared" si="4"/>
        <v>Future</v>
      </c>
      <c r="F101" s="188">
        <v>0.0</v>
      </c>
      <c r="G101" s="188">
        <v>0.0</v>
      </c>
      <c r="H101" s="188">
        <v>0.0</v>
      </c>
      <c r="I101" s="188">
        <v>0.0</v>
      </c>
      <c r="J101" s="188">
        <v>0.0</v>
      </c>
      <c r="K101" s="188"/>
      <c r="L101" s="188">
        <v>0.0</v>
      </c>
      <c r="M101" s="188">
        <v>169.0</v>
      </c>
      <c r="N101" s="268">
        <v>0.0</v>
      </c>
      <c r="O101" s="188">
        <v>0.0</v>
      </c>
      <c r="P101" s="188">
        <v>870.0</v>
      </c>
      <c r="Q101" s="188">
        <v>0.0</v>
      </c>
      <c r="R101" s="188">
        <v>0.0</v>
      </c>
    </row>
    <row r="102">
      <c r="A102" s="188">
        <f t="shared" si="5"/>
        <v>57376</v>
      </c>
      <c r="B102" s="212">
        <f t="shared" si="6"/>
        <v>2339</v>
      </c>
      <c r="C102" s="215">
        <v>47300.0</v>
      </c>
      <c r="D102" s="202">
        <f t="shared" si="7"/>
        <v>2339</v>
      </c>
      <c r="E102" s="202" t="str">
        <f t="shared" si="4"/>
        <v>Future</v>
      </c>
      <c r="F102" s="188">
        <v>0.0</v>
      </c>
      <c r="G102" s="188">
        <v>0.0</v>
      </c>
      <c r="H102" s="188">
        <v>0.0</v>
      </c>
      <c r="I102" s="188">
        <v>0.0</v>
      </c>
      <c r="J102" s="188">
        <v>0.0</v>
      </c>
      <c r="K102" s="188"/>
      <c r="L102" s="188">
        <v>0.0</v>
      </c>
      <c r="M102" s="188">
        <v>169.0</v>
      </c>
      <c r="N102" s="268">
        <v>1300.0</v>
      </c>
      <c r="O102" s="188">
        <v>0.0</v>
      </c>
      <c r="P102" s="188">
        <v>870.0</v>
      </c>
      <c r="Q102" s="188">
        <v>0.0</v>
      </c>
      <c r="R102" s="188">
        <v>0.0</v>
      </c>
    </row>
    <row r="103">
      <c r="A103" s="188">
        <f t="shared" si="5"/>
        <v>51337</v>
      </c>
      <c r="B103" s="212">
        <f t="shared" si="6"/>
        <v>6039</v>
      </c>
      <c r="C103" s="215">
        <v>47331.0</v>
      </c>
      <c r="D103" s="202">
        <f t="shared" si="7"/>
        <v>6039</v>
      </c>
      <c r="E103" s="202" t="str">
        <f t="shared" si="4"/>
        <v>Future</v>
      </c>
      <c r="F103" s="188">
        <v>0.0</v>
      </c>
      <c r="G103" s="188">
        <v>0.0</v>
      </c>
      <c r="H103" s="188">
        <v>0.0</v>
      </c>
      <c r="I103" s="188">
        <v>0.0</v>
      </c>
      <c r="J103" s="188">
        <v>0.0</v>
      </c>
      <c r="K103" s="188"/>
      <c r="L103" s="188">
        <v>0.0</v>
      </c>
      <c r="M103" s="188">
        <v>169.0</v>
      </c>
      <c r="N103" s="268">
        <v>0.0</v>
      </c>
      <c r="O103" s="188">
        <v>5000.0</v>
      </c>
      <c r="P103" s="188">
        <v>870.0</v>
      </c>
      <c r="Q103" s="188">
        <v>0.0</v>
      </c>
      <c r="R103" s="188">
        <v>0.0</v>
      </c>
    </row>
    <row r="104">
      <c r="A104" s="188">
        <f t="shared" si="5"/>
        <v>50298</v>
      </c>
      <c r="B104" s="212">
        <f t="shared" si="6"/>
        <v>1039</v>
      </c>
      <c r="C104" s="215">
        <v>47362.0</v>
      </c>
      <c r="D104" s="202">
        <f t="shared" si="7"/>
        <v>1039</v>
      </c>
      <c r="E104" s="202" t="str">
        <f t="shared" si="4"/>
        <v>Future</v>
      </c>
      <c r="F104" s="188">
        <v>0.0</v>
      </c>
      <c r="G104" s="188">
        <v>0.0</v>
      </c>
      <c r="H104" s="188">
        <v>0.0</v>
      </c>
      <c r="I104" s="188">
        <v>0.0</v>
      </c>
      <c r="J104" s="188">
        <v>0.0</v>
      </c>
      <c r="K104" s="188"/>
      <c r="L104" s="188">
        <v>0.0</v>
      </c>
      <c r="M104" s="188">
        <v>169.0</v>
      </c>
      <c r="N104" s="268">
        <v>0.0</v>
      </c>
      <c r="O104" s="188">
        <v>0.0</v>
      </c>
      <c r="P104" s="188">
        <v>870.0</v>
      </c>
      <c r="Q104" s="188">
        <v>0.0</v>
      </c>
      <c r="R104" s="188">
        <v>0.0</v>
      </c>
    </row>
    <row r="105">
      <c r="A105" s="188">
        <f t="shared" si="5"/>
        <v>34533</v>
      </c>
      <c r="B105" s="212">
        <f t="shared" si="6"/>
        <v>15765</v>
      </c>
      <c r="C105" s="215">
        <v>47392.0</v>
      </c>
      <c r="D105" s="202">
        <f t="shared" si="7"/>
        <v>15765</v>
      </c>
      <c r="E105" s="202" t="str">
        <f t="shared" si="4"/>
        <v>Future</v>
      </c>
      <c r="F105" s="188">
        <v>0.0</v>
      </c>
      <c r="G105" s="188">
        <v>0.0</v>
      </c>
      <c r="H105" s="188">
        <v>0.0</v>
      </c>
      <c r="I105" s="188">
        <v>0.0</v>
      </c>
      <c r="J105" s="188">
        <v>0.0</v>
      </c>
      <c r="K105" s="188"/>
      <c r="L105" s="188">
        <v>1499.0</v>
      </c>
      <c r="M105" s="188">
        <v>169.0</v>
      </c>
      <c r="N105" s="268">
        <v>0.0</v>
      </c>
      <c r="O105" s="188">
        <v>0.0</v>
      </c>
      <c r="P105" s="188">
        <v>870.0</v>
      </c>
      <c r="Q105" s="188">
        <v>13227.0</v>
      </c>
      <c r="R105" s="188">
        <v>0.0</v>
      </c>
    </row>
    <row r="106">
      <c r="A106" s="188">
        <f t="shared" si="5"/>
        <v>33494</v>
      </c>
      <c r="B106" s="212">
        <f t="shared" si="6"/>
        <v>1039</v>
      </c>
      <c r="C106" s="215">
        <v>47423.0</v>
      </c>
      <c r="D106" s="202">
        <f t="shared" si="7"/>
        <v>1039</v>
      </c>
      <c r="E106" s="202" t="str">
        <f t="shared" si="4"/>
        <v>Future</v>
      </c>
      <c r="F106" s="188">
        <v>0.0</v>
      </c>
      <c r="G106" s="188">
        <v>0.0</v>
      </c>
      <c r="H106" s="188">
        <v>0.0</v>
      </c>
      <c r="I106" s="188">
        <v>0.0</v>
      </c>
      <c r="J106" s="188">
        <v>0.0</v>
      </c>
      <c r="K106" s="188"/>
      <c r="L106" s="188">
        <v>0.0</v>
      </c>
      <c r="M106" s="188">
        <v>169.0</v>
      </c>
      <c r="N106" s="268">
        <v>0.0</v>
      </c>
      <c r="O106" s="188">
        <v>0.0</v>
      </c>
      <c r="P106" s="188">
        <v>870.0</v>
      </c>
      <c r="Q106" s="188">
        <v>0.0</v>
      </c>
      <c r="R106" s="188">
        <v>0.0</v>
      </c>
    </row>
    <row r="107">
      <c r="A107" s="188">
        <f t="shared" si="5"/>
        <v>32455</v>
      </c>
      <c r="B107" s="212">
        <f t="shared" si="6"/>
        <v>1039</v>
      </c>
      <c r="C107" s="215">
        <v>47453.0</v>
      </c>
      <c r="D107" s="202">
        <f t="shared" si="7"/>
        <v>1039</v>
      </c>
      <c r="E107" s="202" t="str">
        <f t="shared" si="4"/>
        <v>Future</v>
      </c>
      <c r="F107" s="188">
        <v>0.0</v>
      </c>
      <c r="G107" s="188">
        <v>0.0</v>
      </c>
      <c r="H107" s="188">
        <v>0.0</v>
      </c>
      <c r="I107" s="188">
        <v>0.0</v>
      </c>
      <c r="J107" s="188">
        <v>0.0</v>
      </c>
      <c r="K107" s="188"/>
      <c r="L107" s="188">
        <v>0.0</v>
      </c>
      <c r="M107" s="188">
        <v>169.0</v>
      </c>
      <c r="N107" s="268">
        <v>0.0</v>
      </c>
      <c r="O107" s="188">
        <v>0.0</v>
      </c>
      <c r="P107" s="188">
        <v>870.0</v>
      </c>
      <c r="Q107" s="188">
        <v>0.0</v>
      </c>
      <c r="R107" s="188">
        <v>0.0</v>
      </c>
    </row>
    <row r="108">
      <c r="A108" s="188">
        <f t="shared" si="5"/>
        <v>31416</v>
      </c>
      <c r="B108" s="212">
        <f t="shared" si="6"/>
        <v>1039</v>
      </c>
      <c r="C108" s="215">
        <v>47484.0</v>
      </c>
      <c r="D108" s="202">
        <f t="shared" si="7"/>
        <v>1039</v>
      </c>
      <c r="E108" s="202" t="str">
        <f t="shared" si="4"/>
        <v>Future</v>
      </c>
      <c r="F108" s="188">
        <v>0.0</v>
      </c>
      <c r="G108" s="188">
        <v>0.0</v>
      </c>
      <c r="H108" s="188">
        <v>0.0</v>
      </c>
      <c r="I108" s="188">
        <v>0.0</v>
      </c>
      <c r="J108" s="188">
        <v>0.0</v>
      </c>
      <c r="K108" s="188"/>
      <c r="L108" s="188">
        <v>0.0</v>
      </c>
      <c r="M108" s="188">
        <v>169.0</v>
      </c>
      <c r="N108" s="268">
        <v>0.0</v>
      </c>
      <c r="O108" s="188">
        <v>0.0</v>
      </c>
      <c r="P108" s="188">
        <v>870.0</v>
      </c>
      <c r="Q108" s="188">
        <v>0.0</v>
      </c>
      <c r="R108" s="188">
        <v>0.0</v>
      </c>
    </row>
    <row r="109">
      <c r="A109" s="188">
        <f t="shared" si="5"/>
        <v>30377</v>
      </c>
      <c r="B109" s="212">
        <f t="shared" si="6"/>
        <v>1039</v>
      </c>
      <c r="C109" s="215">
        <v>47515.0</v>
      </c>
      <c r="D109" s="202">
        <f t="shared" si="7"/>
        <v>1039</v>
      </c>
      <c r="E109" s="202" t="str">
        <f t="shared" si="4"/>
        <v>Future</v>
      </c>
      <c r="F109" s="188">
        <v>0.0</v>
      </c>
      <c r="G109" s="188">
        <v>0.0</v>
      </c>
      <c r="H109" s="188">
        <v>0.0</v>
      </c>
      <c r="I109" s="188">
        <v>0.0</v>
      </c>
      <c r="J109" s="188">
        <v>0.0</v>
      </c>
      <c r="K109" s="188"/>
      <c r="L109" s="188">
        <v>0.0</v>
      </c>
      <c r="M109" s="188">
        <v>169.0</v>
      </c>
      <c r="N109" s="268">
        <v>0.0</v>
      </c>
      <c r="O109" s="188">
        <v>0.0</v>
      </c>
      <c r="P109" s="188">
        <v>870.0</v>
      </c>
      <c r="Q109" s="188">
        <v>0.0</v>
      </c>
      <c r="R109" s="188">
        <v>0.0</v>
      </c>
    </row>
    <row r="110">
      <c r="A110" s="188">
        <f t="shared" si="5"/>
        <v>29338</v>
      </c>
      <c r="B110" s="212">
        <f t="shared" si="6"/>
        <v>1039</v>
      </c>
      <c r="C110" s="215">
        <v>47543.0</v>
      </c>
      <c r="D110" s="202">
        <f t="shared" si="7"/>
        <v>1039</v>
      </c>
      <c r="E110" s="202" t="str">
        <f t="shared" si="4"/>
        <v>Future</v>
      </c>
      <c r="F110" s="188">
        <v>0.0</v>
      </c>
      <c r="G110" s="188">
        <v>0.0</v>
      </c>
      <c r="H110" s="188">
        <v>0.0</v>
      </c>
      <c r="I110" s="188">
        <v>0.0</v>
      </c>
      <c r="J110" s="188">
        <v>0.0</v>
      </c>
      <c r="K110" s="188"/>
      <c r="L110" s="188">
        <v>0.0</v>
      </c>
      <c r="M110" s="188">
        <v>169.0</v>
      </c>
      <c r="N110" s="268">
        <v>0.0</v>
      </c>
      <c r="O110" s="188">
        <v>0.0</v>
      </c>
      <c r="P110" s="188">
        <v>870.0</v>
      </c>
      <c r="Q110" s="188">
        <v>0.0</v>
      </c>
      <c r="R110" s="188">
        <v>0.0</v>
      </c>
    </row>
    <row r="111">
      <c r="A111" s="188">
        <f t="shared" si="5"/>
        <v>28299</v>
      </c>
      <c r="B111" s="212">
        <f t="shared" si="6"/>
        <v>1039</v>
      </c>
      <c r="C111" s="215">
        <v>47574.0</v>
      </c>
      <c r="D111" s="202">
        <f t="shared" si="7"/>
        <v>1039</v>
      </c>
      <c r="E111" s="202" t="str">
        <f t="shared" si="4"/>
        <v>Future</v>
      </c>
      <c r="F111" s="188">
        <v>0.0</v>
      </c>
      <c r="G111" s="188">
        <v>0.0</v>
      </c>
      <c r="H111" s="188">
        <v>0.0</v>
      </c>
      <c r="I111" s="188">
        <v>0.0</v>
      </c>
      <c r="J111" s="188">
        <v>0.0</v>
      </c>
      <c r="K111" s="188"/>
      <c r="L111" s="188">
        <v>0.0</v>
      </c>
      <c r="M111" s="188">
        <v>169.0</v>
      </c>
      <c r="N111" s="268">
        <v>0.0</v>
      </c>
      <c r="O111" s="188">
        <v>0.0</v>
      </c>
      <c r="P111" s="188">
        <v>870.0</v>
      </c>
      <c r="Q111" s="188">
        <v>0.0</v>
      </c>
      <c r="R111" s="188">
        <v>0.0</v>
      </c>
    </row>
    <row r="112">
      <c r="A112" s="188">
        <f t="shared" si="5"/>
        <v>27260</v>
      </c>
      <c r="B112" s="212">
        <f t="shared" si="6"/>
        <v>1039</v>
      </c>
      <c r="C112" s="215">
        <v>47604.0</v>
      </c>
      <c r="D112" s="202">
        <f t="shared" si="7"/>
        <v>1039</v>
      </c>
      <c r="E112" s="202" t="str">
        <f t="shared" si="4"/>
        <v>Future</v>
      </c>
      <c r="F112" s="188">
        <v>0.0</v>
      </c>
      <c r="G112" s="188">
        <v>0.0</v>
      </c>
      <c r="H112" s="188">
        <v>0.0</v>
      </c>
      <c r="I112" s="188">
        <v>0.0</v>
      </c>
      <c r="J112" s="188">
        <v>0.0</v>
      </c>
      <c r="K112" s="188"/>
      <c r="L112" s="188">
        <v>0.0</v>
      </c>
      <c r="M112" s="188">
        <v>169.0</v>
      </c>
      <c r="N112" s="268">
        <v>0.0</v>
      </c>
      <c r="O112" s="188">
        <v>0.0</v>
      </c>
      <c r="P112" s="188">
        <v>870.0</v>
      </c>
      <c r="Q112" s="188">
        <v>0.0</v>
      </c>
      <c r="R112" s="188">
        <v>0.0</v>
      </c>
    </row>
    <row r="113">
      <c r="A113" s="188">
        <f t="shared" si="5"/>
        <v>21221</v>
      </c>
      <c r="B113" s="212">
        <f t="shared" si="6"/>
        <v>6039</v>
      </c>
      <c r="C113" s="215">
        <v>47635.0</v>
      </c>
      <c r="D113" s="202">
        <f t="shared" si="7"/>
        <v>6039</v>
      </c>
      <c r="E113" s="202" t="str">
        <f t="shared" si="4"/>
        <v>Future</v>
      </c>
      <c r="F113" s="188">
        <v>0.0</v>
      </c>
      <c r="G113" s="188">
        <v>0.0</v>
      </c>
      <c r="H113" s="188">
        <v>0.0</v>
      </c>
      <c r="I113" s="188">
        <v>0.0</v>
      </c>
      <c r="J113" s="188">
        <v>0.0</v>
      </c>
      <c r="K113" s="188"/>
      <c r="L113" s="188">
        <v>0.0</v>
      </c>
      <c r="M113" s="188">
        <v>169.0</v>
      </c>
      <c r="N113" s="268">
        <v>0.0</v>
      </c>
      <c r="O113" s="188">
        <v>5000.0</v>
      </c>
      <c r="P113" s="188">
        <v>870.0</v>
      </c>
      <c r="Q113" s="188">
        <v>0.0</v>
      </c>
      <c r="R113" s="188">
        <v>0.0</v>
      </c>
    </row>
    <row r="114">
      <c r="A114" s="188">
        <f t="shared" si="5"/>
        <v>18882</v>
      </c>
      <c r="B114" s="212">
        <f t="shared" si="6"/>
        <v>2339</v>
      </c>
      <c r="C114" s="215">
        <v>47665.0</v>
      </c>
      <c r="D114" s="202">
        <f t="shared" si="7"/>
        <v>2339</v>
      </c>
      <c r="E114" s="202" t="str">
        <f t="shared" si="4"/>
        <v>Future</v>
      </c>
      <c r="F114" s="188">
        <v>0.0</v>
      </c>
      <c r="G114" s="188">
        <v>0.0</v>
      </c>
      <c r="H114" s="188">
        <v>0.0</v>
      </c>
      <c r="I114" s="188">
        <v>0.0</v>
      </c>
      <c r="J114" s="188">
        <v>0.0</v>
      </c>
      <c r="K114" s="188"/>
      <c r="L114" s="188">
        <v>0.0</v>
      </c>
      <c r="M114" s="188">
        <v>169.0</v>
      </c>
      <c r="N114" s="268">
        <v>1300.0</v>
      </c>
      <c r="O114" s="188">
        <v>0.0</v>
      </c>
      <c r="P114" s="188">
        <v>870.0</v>
      </c>
      <c r="Q114" s="188">
        <v>0.0</v>
      </c>
      <c r="R114" s="188">
        <v>0.0</v>
      </c>
    </row>
    <row r="115">
      <c r="A115" s="188">
        <f t="shared" si="5"/>
        <v>17843</v>
      </c>
      <c r="B115" s="212">
        <f t="shared" si="6"/>
        <v>1039</v>
      </c>
      <c r="C115" s="215">
        <v>47696.0</v>
      </c>
      <c r="D115" s="202">
        <f t="shared" si="7"/>
        <v>1039</v>
      </c>
      <c r="E115" s="202" t="str">
        <f t="shared" si="4"/>
        <v>Future</v>
      </c>
      <c r="F115" s="188">
        <v>0.0</v>
      </c>
      <c r="G115" s="188">
        <v>0.0</v>
      </c>
      <c r="H115" s="188">
        <v>0.0</v>
      </c>
      <c r="I115" s="188">
        <v>0.0</v>
      </c>
      <c r="J115" s="188">
        <v>0.0</v>
      </c>
      <c r="K115" s="188"/>
      <c r="L115" s="188">
        <v>0.0</v>
      </c>
      <c r="M115" s="188">
        <v>169.0</v>
      </c>
      <c r="N115" s="188">
        <v>0.0</v>
      </c>
      <c r="O115" s="188">
        <v>0.0</v>
      </c>
      <c r="P115" s="188">
        <v>870.0</v>
      </c>
      <c r="Q115" s="188">
        <v>0.0</v>
      </c>
      <c r="R115" s="188">
        <v>0.0</v>
      </c>
    </row>
    <row r="116">
      <c r="A116" s="188">
        <f t="shared" si="5"/>
        <v>16804</v>
      </c>
      <c r="B116" s="212">
        <f t="shared" si="6"/>
        <v>1039</v>
      </c>
      <c r="C116" s="215">
        <v>47727.0</v>
      </c>
      <c r="D116" s="202">
        <f t="shared" si="7"/>
        <v>1039</v>
      </c>
      <c r="E116" s="202" t="str">
        <f t="shared" si="4"/>
        <v>Future</v>
      </c>
      <c r="F116" s="188">
        <v>0.0</v>
      </c>
      <c r="G116" s="188">
        <v>0.0</v>
      </c>
      <c r="H116" s="188">
        <v>0.0</v>
      </c>
      <c r="I116" s="188">
        <v>0.0</v>
      </c>
      <c r="J116" s="188">
        <v>0.0</v>
      </c>
      <c r="K116" s="188"/>
      <c r="L116" s="188">
        <v>0.0</v>
      </c>
      <c r="M116" s="188">
        <v>169.0</v>
      </c>
      <c r="N116" s="188">
        <v>0.0</v>
      </c>
      <c r="O116" s="188">
        <v>0.0</v>
      </c>
      <c r="P116" s="188">
        <v>870.0</v>
      </c>
      <c r="Q116" s="188">
        <v>0.0</v>
      </c>
      <c r="R116" s="188">
        <v>0.0</v>
      </c>
    </row>
    <row r="117">
      <c r="A117" s="188">
        <f t="shared" si="5"/>
        <v>1039</v>
      </c>
      <c r="B117" s="212">
        <f t="shared" si="6"/>
        <v>15765</v>
      </c>
      <c r="C117" s="215">
        <v>47757.0</v>
      </c>
      <c r="D117" s="202">
        <f t="shared" si="7"/>
        <v>15765</v>
      </c>
      <c r="E117" s="202" t="str">
        <f t="shared" si="4"/>
        <v>Future</v>
      </c>
      <c r="F117" s="188">
        <v>0.0</v>
      </c>
      <c r="G117" s="188">
        <v>0.0</v>
      </c>
      <c r="H117" s="188">
        <v>0.0</v>
      </c>
      <c r="I117" s="188">
        <v>0.0</v>
      </c>
      <c r="J117" s="188">
        <v>0.0</v>
      </c>
      <c r="K117" s="188"/>
      <c r="L117" s="188">
        <v>1499.0</v>
      </c>
      <c r="M117" s="188">
        <v>169.0</v>
      </c>
      <c r="N117" s="188">
        <v>0.0</v>
      </c>
      <c r="O117" s="188">
        <v>0.0</v>
      </c>
      <c r="P117" s="188">
        <v>870.0</v>
      </c>
      <c r="Q117" s="188">
        <v>13227.0</v>
      </c>
      <c r="R117" s="188">
        <v>0.0</v>
      </c>
    </row>
    <row r="118">
      <c r="A118" s="188">
        <f t="shared" si="5"/>
        <v>0</v>
      </c>
      <c r="B118" s="212">
        <f t="shared" si="6"/>
        <v>1039</v>
      </c>
      <c r="C118" s="215">
        <v>47788.0</v>
      </c>
      <c r="D118" s="202">
        <f t="shared" si="7"/>
        <v>1039</v>
      </c>
      <c r="E118" s="202" t="str">
        <f t="shared" si="4"/>
        <v>Future</v>
      </c>
      <c r="F118" s="188">
        <v>0.0</v>
      </c>
      <c r="G118" s="188">
        <v>0.0</v>
      </c>
      <c r="H118" s="188">
        <v>0.0</v>
      </c>
      <c r="I118" s="188">
        <v>0.0</v>
      </c>
      <c r="J118" s="188">
        <v>0.0</v>
      </c>
      <c r="K118" s="188"/>
      <c r="L118" s="188">
        <v>0.0</v>
      </c>
      <c r="M118" s="188">
        <v>169.0</v>
      </c>
      <c r="N118" s="188">
        <v>0.0</v>
      </c>
      <c r="O118" s="188">
        <v>0.0</v>
      </c>
      <c r="P118" s="188">
        <v>870.0</v>
      </c>
      <c r="Q118" s="188">
        <v>0.0</v>
      </c>
      <c r="R118" s="188">
        <v>0.0</v>
      </c>
    </row>
  </sheetData>
  <conditionalFormatting sqref="G3:R4">
    <cfRule type="cellIs" dxfId="12" priority="1" operator="equal">
      <formula>"Pending"</formula>
    </cfRule>
  </conditionalFormatting>
  <conditionalFormatting sqref="G3:R4">
    <cfRule type="cellIs" dxfId="13" priority="2" operator="equal">
      <formula>"Paid"</formula>
    </cfRule>
  </conditionalFormatting>
  <conditionalFormatting sqref="G3:R4">
    <cfRule type="cellIs" dxfId="14" priority="3" operator="equal">
      <formula>"Alternative"</formula>
    </cfRule>
  </conditionalFormatting>
  <conditionalFormatting sqref="G3:R4">
    <cfRule type="cellIs" dxfId="15" priority="4" operator="equal">
      <formula>"Planned"</formula>
    </cfRule>
  </conditionalFormatting>
  <conditionalFormatting sqref="G4:R4">
    <cfRule type="cellIs" dxfId="16" priority="5" operator="greaterThan">
      <formula>0</formula>
    </cfRule>
  </conditionalFormatting>
  <conditionalFormatting sqref="G4:R4">
    <cfRule type="cellIs" dxfId="17" priority="6" operator="lessThan">
      <formula>0</formula>
    </cfRule>
  </conditionalFormatting>
  <conditionalFormatting sqref="G3:R4">
    <cfRule type="cellIs" dxfId="2" priority="7" operator="equal">
      <formula>"Carry Forward"</formula>
    </cfRule>
  </conditionalFormatting>
  <conditionalFormatting sqref="D20:E118">
    <cfRule type="cellIs" dxfId="19" priority="8" operator="equal">
      <formula>"Current"</formula>
    </cfRule>
  </conditionalFormatting>
  <conditionalFormatting sqref="A1:R118">
    <cfRule type="cellIs" dxfId="19" priority="9" operator="equal">
      <formula>DATE(year(today()),month(today()),1)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9.0" topLeftCell="F20" activePane="bottomRight" state="frozen"/>
      <selection activeCell="F1" sqref="F1" pane="topRight"/>
      <selection activeCell="A20" sqref="A20" pane="bottomLeft"/>
      <selection activeCell="F20" sqref="F20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8.88"/>
    <col customWidth="1" min="4" max="4" width="7.38"/>
    <col customWidth="1" min="5" max="5" width="8.63"/>
    <col customWidth="1" min="6" max="8" width="17.13"/>
  </cols>
  <sheetData>
    <row r="1">
      <c r="A1" s="269"/>
      <c r="B1" s="269"/>
      <c r="C1" s="270">
        <f>sum(F1:H1)</f>
        <v>0</v>
      </c>
      <c r="D1" s="269"/>
      <c r="E1" s="271" t="s">
        <v>64</v>
      </c>
      <c r="F1" s="269"/>
      <c r="G1" s="269"/>
      <c r="H1" s="269"/>
    </row>
    <row r="2">
      <c r="A2" s="269"/>
      <c r="B2" s="270">
        <v>4173.59</v>
      </c>
      <c r="C2" s="269"/>
      <c r="D2" s="269"/>
      <c r="E2" s="271" t="s">
        <v>223</v>
      </c>
      <c r="F2" s="271" t="s">
        <v>337</v>
      </c>
      <c r="G2" s="271" t="s">
        <v>337</v>
      </c>
      <c r="H2" s="271" t="s">
        <v>337</v>
      </c>
    </row>
    <row r="3">
      <c r="A3" s="269"/>
      <c r="B3" s="270">
        <v>271.28</v>
      </c>
      <c r="C3" s="269"/>
      <c r="D3" s="269"/>
      <c r="E3" s="271" t="s">
        <v>175</v>
      </c>
      <c r="F3" s="272" t="s">
        <v>338</v>
      </c>
      <c r="G3" s="272" t="s">
        <v>338</v>
      </c>
      <c r="H3" s="272" t="s">
        <v>338</v>
      </c>
    </row>
    <row r="4">
      <c r="A4" s="269"/>
      <c r="B4" s="270">
        <v>145822.76</v>
      </c>
      <c r="C4" s="269"/>
      <c r="D4" s="269"/>
      <c r="E4" s="271" t="s">
        <v>176</v>
      </c>
      <c r="F4" s="268">
        <v>649.0</v>
      </c>
      <c r="G4" s="151">
        <v>0.0</v>
      </c>
      <c r="H4" s="273">
        <v>707.0</v>
      </c>
    </row>
    <row r="5" hidden="1">
      <c r="A5" s="269"/>
      <c r="B5" s="269"/>
      <c r="C5" s="269"/>
      <c r="D5" s="269"/>
      <c r="E5" s="271" t="s">
        <v>177</v>
      </c>
      <c r="F5" s="269"/>
      <c r="G5" s="269"/>
      <c r="H5" s="269"/>
    </row>
    <row r="6" hidden="1">
      <c r="A6" s="269"/>
      <c r="B6" s="269"/>
      <c r="C6" s="269"/>
      <c r="D6" s="269"/>
      <c r="E6" s="271" t="s">
        <v>178</v>
      </c>
      <c r="F6" s="269"/>
      <c r="G6" s="269"/>
      <c r="H6" s="269"/>
    </row>
    <row r="7" hidden="1">
      <c r="A7" s="269"/>
      <c r="B7" s="269"/>
      <c r="C7" s="269"/>
      <c r="D7" s="269"/>
      <c r="E7" s="271" t="s">
        <v>179</v>
      </c>
      <c r="F7" s="269"/>
      <c r="G7" s="269"/>
      <c r="H7" s="269"/>
    </row>
    <row r="8" hidden="1">
      <c r="A8" s="269"/>
      <c r="B8" s="274">
        <v>45383.0</v>
      </c>
      <c r="C8" s="269"/>
      <c r="D8" s="269"/>
      <c r="E8" s="271" t="s">
        <v>245</v>
      </c>
      <c r="F8" s="274">
        <v>45231.0</v>
      </c>
      <c r="G8" s="275">
        <v>45018.0</v>
      </c>
      <c r="H8" s="275">
        <v>45018.0</v>
      </c>
    </row>
    <row r="9" hidden="1">
      <c r="A9" s="269"/>
      <c r="B9" s="269"/>
      <c r="C9" s="269"/>
      <c r="D9" s="269"/>
      <c r="E9" s="271" t="s">
        <v>246</v>
      </c>
      <c r="F9" s="274">
        <v>47757.0</v>
      </c>
      <c r="G9" s="275">
        <v>46814.0</v>
      </c>
      <c r="H9" s="275">
        <v>46814.0</v>
      </c>
    </row>
    <row r="10" hidden="1">
      <c r="A10" s="269"/>
      <c r="B10" s="269"/>
      <c r="C10" s="269"/>
      <c r="D10" s="269"/>
      <c r="E10" s="271" t="s">
        <v>182</v>
      </c>
      <c r="F10" s="269"/>
      <c r="G10" s="269"/>
      <c r="H10" s="269"/>
    </row>
    <row r="11" hidden="1">
      <c r="A11" s="269"/>
      <c r="B11" s="269"/>
      <c r="C11" s="269"/>
      <c r="D11" s="269"/>
      <c r="E11" s="271" t="s">
        <v>247</v>
      </c>
      <c r="F11" s="276"/>
      <c r="G11" s="276"/>
      <c r="H11" s="276"/>
    </row>
    <row r="12">
      <c r="A12" s="269"/>
      <c r="B12" s="270">
        <v>224954.0</v>
      </c>
      <c r="C12" s="269"/>
      <c r="D12" s="269"/>
      <c r="E12" s="271" t="s">
        <v>249</v>
      </c>
      <c r="F12" s="277">
        <f t="shared" ref="F12:H12" si="1">SUMIFS(F20:F118,$C20:$C118,"&gt;"&amp;#REF!)</f>
        <v>0</v>
      </c>
      <c r="G12" s="277">
        <f t="shared" si="1"/>
        <v>0</v>
      </c>
      <c r="H12" s="277">
        <f t="shared" si="1"/>
        <v>0</v>
      </c>
    </row>
    <row r="13">
      <c r="A13" s="269"/>
      <c r="B13" s="269"/>
      <c r="C13" s="269"/>
      <c r="D13" s="269"/>
      <c r="E13" s="271" t="s">
        <v>250</v>
      </c>
      <c r="F13" s="277">
        <f>COUNTIFs(F20:F118,"&gt;"&amp;0,$C20:$C118,"&gt;"&amp;#REF!)</f>
        <v>0</v>
      </c>
      <c r="G13" s="277">
        <v>48.0</v>
      </c>
      <c r="H13" s="277">
        <f>COUNTIFs(H20:H118,"&gt;"&amp;0,$C20:$C118,"&gt;"&amp;#REF!)</f>
        <v>0</v>
      </c>
    </row>
    <row r="14" hidden="1">
      <c r="A14" s="269"/>
      <c r="B14" s="269"/>
      <c r="C14" s="269"/>
      <c r="D14" s="269"/>
      <c r="E14" s="271" t="s">
        <v>251</v>
      </c>
      <c r="F14" s="278"/>
      <c r="G14" s="278"/>
      <c r="H14" s="278"/>
    </row>
    <row r="15" hidden="1">
      <c r="A15" s="269"/>
      <c r="B15" s="269"/>
      <c r="C15" s="269"/>
      <c r="D15" s="269"/>
      <c r="E15" s="271" t="s">
        <v>252</v>
      </c>
      <c r="F15" s="276"/>
      <c r="G15" s="276"/>
      <c r="H15" s="276"/>
    </row>
    <row r="16" hidden="1">
      <c r="A16" s="269"/>
      <c r="B16" s="269"/>
      <c r="C16" s="269"/>
      <c r="D16" s="269"/>
      <c r="E16" s="271" t="s">
        <v>253</v>
      </c>
      <c r="F16" s="276"/>
      <c r="G16" s="276"/>
      <c r="H16" s="276"/>
    </row>
    <row r="17" hidden="1">
      <c r="A17" s="269"/>
      <c r="B17" s="269"/>
      <c r="C17" s="269"/>
      <c r="D17" s="269"/>
      <c r="E17" s="271" t="s">
        <v>254</v>
      </c>
      <c r="F17" s="276"/>
      <c r="G17" s="276"/>
      <c r="H17" s="276"/>
    </row>
    <row r="18">
      <c r="A18" s="269"/>
      <c r="B18" s="279"/>
      <c r="C18" s="269"/>
      <c r="D18" s="269"/>
      <c r="E18" s="271" t="s">
        <v>255</v>
      </c>
      <c r="F18" s="277">
        <v>12770.0</v>
      </c>
      <c r="G18" s="277">
        <v>9290.0</v>
      </c>
      <c r="H18" s="277">
        <v>15577.0</v>
      </c>
    </row>
    <row r="19">
      <c r="A19" s="270" t="s">
        <v>256</v>
      </c>
      <c r="B19" s="271" t="s">
        <v>257</v>
      </c>
      <c r="C19" s="271">
        <f>sumif(E20:E117,"Future",B20:B117)</f>
        <v>0</v>
      </c>
      <c r="D19" s="270" t="s">
        <v>290</v>
      </c>
      <c r="E19" s="271" t="s">
        <v>174</v>
      </c>
      <c r="F19" s="270" t="s">
        <v>290</v>
      </c>
      <c r="G19" s="270" t="s">
        <v>290</v>
      </c>
      <c r="H19" s="270" t="s">
        <v>290</v>
      </c>
    </row>
    <row r="20">
      <c r="A20" s="268">
        <f>ceiling(sum(F20:H117)-sum(F20:H20),1)</f>
        <v>0</v>
      </c>
      <c r="B20" s="277">
        <f t="shared" ref="B20:B118" si="2">ceiling(sum(F20:H20),1)</f>
        <v>0</v>
      </c>
      <c r="C20" s="280">
        <v>44805.0</v>
      </c>
      <c r="D20" s="270">
        <f t="shared" ref="D20:D45" si="3">sumif($F$19:H19,D$19,$F20:H20)</f>
        <v>0</v>
      </c>
      <c r="E20" s="270" t="str">
        <f t="shared" ref="E20:E48" si="4">if(C20=DATE(year(today()),month(today()),1),"Current",if(C20&gt;DATE(year(today()),month(today()),1), "Future","Past"))</f>
        <v>Past</v>
      </c>
      <c r="F20" s="276"/>
      <c r="G20" s="276"/>
      <c r="H20" s="276"/>
    </row>
    <row r="21">
      <c r="A21" s="268">
        <f t="shared" ref="A21:A118" si="5">ceiling(sum(F21:H119)-sum(F21:H21),1)</f>
        <v>0</v>
      </c>
      <c r="B21" s="277">
        <f t="shared" si="2"/>
        <v>0</v>
      </c>
      <c r="C21" s="280">
        <v>44835.0</v>
      </c>
      <c r="D21" s="270">
        <f t="shared" si="3"/>
        <v>0</v>
      </c>
      <c r="E21" s="270" t="str">
        <f t="shared" si="4"/>
        <v>Past</v>
      </c>
      <c r="F21" s="276"/>
      <c r="G21" s="276"/>
      <c r="H21" s="276"/>
    </row>
    <row r="22">
      <c r="A22" s="268">
        <f t="shared" si="5"/>
        <v>0</v>
      </c>
      <c r="B22" s="277">
        <f t="shared" si="2"/>
        <v>0</v>
      </c>
      <c r="C22" s="280">
        <v>44866.0</v>
      </c>
      <c r="D22" s="270">
        <f t="shared" si="3"/>
        <v>0</v>
      </c>
      <c r="E22" s="270" t="str">
        <f t="shared" si="4"/>
        <v>Past</v>
      </c>
      <c r="F22" s="276"/>
      <c r="G22" s="276"/>
      <c r="H22" s="276"/>
    </row>
    <row r="23">
      <c r="A23" s="268">
        <f t="shared" si="5"/>
        <v>0</v>
      </c>
      <c r="B23" s="277">
        <f t="shared" si="2"/>
        <v>0</v>
      </c>
      <c r="C23" s="280">
        <v>44896.0</v>
      </c>
      <c r="D23" s="270">
        <f t="shared" si="3"/>
        <v>0</v>
      </c>
      <c r="E23" s="270" t="str">
        <f t="shared" si="4"/>
        <v>Past</v>
      </c>
      <c r="F23" s="276"/>
      <c r="G23" s="276"/>
      <c r="H23" s="276"/>
    </row>
    <row r="24">
      <c r="A24" s="268">
        <f t="shared" si="5"/>
        <v>0</v>
      </c>
      <c r="B24" s="277">
        <f t="shared" si="2"/>
        <v>0</v>
      </c>
      <c r="C24" s="280">
        <v>44927.0</v>
      </c>
      <c r="D24" s="270">
        <f t="shared" si="3"/>
        <v>0</v>
      </c>
      <c r="E24" s="270" t="str">
        <f t="shared" si="4"/>
        <v>Past</v>
      </c>
      <c r="F24" s="276"/>
      <c r="G24" s="276"/>
      <c r="H24" s="276"/>
    </row>
    <row r="25">
      <c r="A25" s="268">
        <f t="shared" si="5"/>
        <v>0</v>
      </c>
      <c r="B25" s="277">
        <f t="shared" si="2"/>
        <v>0</v>
      </c>
      <c r="C25" s="280">
        <v>44958.0</v>
      </c>
      <c r="D25" s="270">
        <f t="shared" si="3"/>
        <v>0</v>
      </c>
      <c r="E25" s="270" t="str">
        <f t="shared" si="4"/>
        <v>Past</v>
      </c>
      <c r="F25" s="276"/>
      <c r="G25" s="276"/>
      <c r="H25" s="276"/>
    </row>
    <row r="26">
      <c r="A26" s="268">
        <f t="shared" si="5"/>
        <v>0</v>
      </c>
      <c r="B26" s="277">
        <f t="shared" si="2"/>
        <v>0</v>
      </c>
      <c r="C26" s="280">
        <v>44986.0</v>
      </c>
      <c r="D26" s="270">
        <f t="shared" si="3"/>
        <v>0</v>
      </c>
      <c r="E26" s="270" t="str">
        <f t="shared" si="4"/>
        <v>Past</v>
      </c>
      <c r="F26" s="276"/>
      <c r="G26" s="276"/>
      <c r="H26" s="276"/>
    </row>
    <row r="27">
      <c r="A27" s="268">
        <f t="shared" si="5"/>
        <v>0</v>
      </c>
      <c r="B27" s="277">
        <f t="shared" si="2"/>
        <v>0</v>
      </c>
      <c r="C27" s="280">
        <v>45017.0</v>
      </c>
      <c r="D27" s="270">
        <f t="shared" si="3"/>
        <v>0</v>
      </c>
      <c r="E27" s="270" t="str">
        <f t="shared" si="4"/>
        <v>Past</v>
      </c>
      <c r="F27" s="276"/>
      <c r="G27" s="276"/>
      <c r="H27" s="276"/>
    </row>
    <row r="28">
      <c r="A28" s="268">
        <f t="shared" si="5"/>
        <v>0</v>
      </c>
      <c r="B28" s="277">
        <f t="shared" si="2"/>
        <v>0</v>
      </c>
      <c r="C28" s="280">
        <v>45047.0</v>
      </c>
      <c r="D28" s="270">
        <f t="shared" si="3"/>
        <v>0</v>
      </c>
      <c r="E28" s="270" t="str">
        <f t="shared" si="4"/>
        <v>Past</v>
      </c>
      <c r="F28" s="276"/>
      <c r="G28" s="276"/>
      <c r="H28" s="276"/>
    </row>
    <row r="29">
      <c r="A29" s="268">
        <f t="shared" si="5"/>
        <v>0</v>
      </c>
      <c r="B29" s="277">
        <f t="shared" si="2"/>
        <v>0</v>
      </c>
      <c r="C29" s="280">
        <v>45078.0</v>
      </c>
      <c r="D29" s="270">
        <f t="shared" si="3"/>
        <v>0</v>
      </c>
      <c r="E29" s="270" t="str">
        <f t="shared" si="4"/>
        <v>Past</v>
      </c>
      <c r="F29" s="276"/>
      <c r="G29" s="276"/>
      <c r="H29" s="276"/>
    </row>
    <row r="30">
      <c r="A30" s="268">
        <f t="shared" si="5"/>
        <v>0</v>
      </c>
      <c r="B30" s="277">
        <f t="shared" si="2"/>
        <v>0</v>
      </c>
      <c r="C30" s="280">
        <v>45108.0</v>
      </c>
      <c r="D30" s="270">
        <f t="shared" si="3"/>
        <v>0</v>
      </c>
      <c r="E30" s="270" t="str">
        <f t="shared" si="4"/>
        <v>Past</v>
      </c>
      <c r="F30" s="276"/>
      <c r="G30" s="276"/>
      <c r="H30" s="276"/>
    </row>
    <row r="31">
      <c r="A31" s="268">
        <f t="shared" si="5"/>
        <v>0</v>
      </c>
      <c r="B31" s="277">
        <f t="shared" si="2"/>
        <v>0</v>
      </c>
      <c r="C31" s="280">
        <v>45139.0</v>
      </c>
      <c r="D31" s="270">
        <f t="shared" si="3"/>
        <v>0</v>
      </c>
      <c r="E31" s="270" t="str">
        <f t="shared" si="4"/>
        <v>Past</v>
      </c>
      <c r="F31" s="276"/>
      <c r="G31" s="276"/>
      <c r="H31" s="276"/>
    </row>
    <row r="32">
      <c r="A32" s="268">
        <f t="shared" si="5"/>
        <v>0</v>
      </c>
      <c r="B32" s="277">
        <f t="shared" si="2"/>
        <v>0</v>
      </c>
      <c r="C32" s="280">
        <v>45170.0</v>
      </c>
      <c r="D32" s="270">
        <f t="shared" si="3"/>
        <v>0</v>
      </c>
      <c r="E32" s="270" t="str">
        <f t="shared" si="4"/>
        <v>Past</v>
      </c>
      <c r="F32" s="276"/>
      <c r="G32" s="276"/>
      <c r="H32" s="276"/>
    </row>
    <row r="33">
      <c r="A33" s="268">
        <f t="shared" si="5"/>
        <v>0</v>
      </c>
      <c r="B33" s="277">
        <f t="shared" si="2"/>
        <v>0</v>
      </c>
      <c r="C33" s="280">
        <v>45200.0</v>
      </c>
      <c r="D33" s="270">
        <f t="shared" si="3"/>
        <v>0</v>
      </c>
      <c r="E33" s="270" t="str">
        <f t="shared" si="4"/>
        <v>Past</v>
      </c>
      <c r="F33" s="276"/>
      <c r="G33" s="276"/>
      <c r="H33" s="276"/>
    </row>
    <row r="34">
      <c r="A34" s="268">
        <f t="shared" si="5"/>
        <v>0</v>
      </c>
      <c r="B34" s="277">
        <f t="shared" si="2"/>
        <v>0</v>
      </c>
      <c r="C34" s="280">
        <v>45231.0</v>
      </c>
      <c r="D34" s="270">
        <f t="shared" si="3"/>
        <v>0</v>
      </c>
      <c r="E34" s="270" t="str">
        <f t="shared" si="4"/>
        <v>Past</v>
      </c>
      <c r="F34" s="276"/>
      <c r="G34" s="276"/>
      <c r="H34" s="276"/>
    </row>
    <row r="35">
      <c r="A35" s="268">
        <f t="shared" si="5"/>
        <v>0</v>
      </c>
      <c r="B35" s="277">
        <f t="shared" si="2"/>
        <v>0</v>
      </c>
      <c r="C35" s="280">
        <v>45261.0</v>
      </c>
      <c r="D35" s="270">
        <f t="shared" si="3"/>
        <v>0</v>
      </c>
      <c r="E35" s="270" t="str">
        <f t="shared" si="4"/>
        <v>Past</v>
      </c>
      <c r="F35" s="276"/>
      <c r="G35" s="276"/>
      <c r="H35" s="276"/>
    </row>
    <row r="36">
      <c r="A36" s="268">
        <f t="shared" si="5"/>
        <v>0</v>
      </c>
      <c r="B36" s="277">
        <f t="shared" si="2"/>
        <v>0</v>
      </c>
      <c r="C36" s="280">
        <v>45292.0</v>
      </c>
      <c r="D36" s="270">
        <f t="shared" si="3"/>
        <v>0</v>
      </c>
      <c r="E36" s="270" t="str">
        <f t="shared" si="4"/>
        <v>Past</v>
      </c>
      <c r="F36" s="276"/>
      <c r="G36" s="276"/>
      <c r="H36" s="276"/>
    </row>
    <row r="37">
      <c r="A37" s="268">
        <f t="shared" si="5"/>
        <v>0</v>
      </c>
      <c r="B37" s="277">
        <f t="shared" si="2"/>
        <v>0</v>
      </c>
      <c r="C37" s="280">
        <v>45323.0</v>
      </c>
      <c r="D37" s="270">
        <f t="shared" si="3"/>
        <v>0</v>
      </c>
      <c r="E37" s="270" t="str">
        <f t="shared" si="4"/>
        <v>Past</v>
      </c>
      <c r="F37" s="276"/>
      <c r="G37" s="276"/>
      <c r="H37" s="276"/>
    </row>
    <row r="38">
      <c r="A38" s="268">
        <f t="shared" si="5"/>
        <v>0</v>
      </c>
      <c r="B38" s="277">
        <f t="shared" si="2"/>
        <v>0</v>
      </c>
      <c r="C38" s="280">
        <v>45352.0</v>
      </c>
      <c r="D38" s="270">
        <f t="shared" si="3"/>
        <v>0</v>
      </c>
      <c r="E38" s="270" t="str">
        <f t="shared" si="4"/>
        <v>Past</v>
      </c>
      <c r="F38" s="276"/>
      <c r="G38" s="276"/>
      <c r="H38" s="276"/>
    </row>
    <row r="39">
      <c r="A39" s="268">
        <f t="shared" si="5"/>
        <v>0</v>
      </c>
      <c r="B39" s="277">
        <f t="shared" si="2"/>
        <v>0</v>
      </c>
      <c r="C39" s="280">
        <v>45383.0</v>
      </c>
      <c r="D39" s="270">
        <f t="shared" si="3"/>
        <v>0</v>
      </c>
      <c r="E39" s="270" t="str">
        <f t="shared" si="4"/>
        <v>Past</v>
      </c>
      <c r="F39" s="276"/>
      <c r="G39" s="276"/>
      <c r="H39" s="276"/>
    </row>
    <row r="40">
      <c r="A40" s="268">
        <f t="shared" si="5"/>
        <v>0</v>
      </c>
      <c r="B40" s="277">
        <f t="shared" si="2"/>
        <v>0</v>
      </c>
      <c r="C40" s="280">
        <v>45413.0</v>
      </c>
      <c r="D40" s="270">
        <f t="shared" si="3"/>
        <v>0</v>
      </c>
      <c r="E40" s="270" t="str">
        <f t="shared" si="4"/>
        <v>Past</v>
      </c>
      <c r="F40" s="276"/>
      <c r="G40" s="276"/>
      <c r="H40" s="276"/>
    </row>
    <row r="41">
      <c r="A41" s="268">
        <f t="shared" si="5"/>
        <v>0</v>
      </c>
      <c r="B41" s="277">
        <f t="shared" si="2"/>
        <v>0</v>
      </c>
      <c r="C41" s="280">
        <v>45444.0</v>
      </c>
      <c r="D41" s="270">
        <f t="shared" si="3"/>
        <v>0</v>
      </c>
      <c r="E41" s="270" t="str">
        <f t="shared" si="4"/>
        <v>Past</v>
      </c>
      <c r="F41" s="276"/>
      <c r="G41" s="276"/>
      <c r="H41" s="276"/>
    </row>
    <row r="42">
      <c r="A42" s="268">
        <f t="shared" si="5"/>
        <v>0</v>
      </c>
      <c r="B42" s="277">
        <f t="shared" si="2"/>
        <v>0</v>
      </c>
      <c r="C42" s="280">
        <v>45474.0</v>
      </c>
      <c r="D42" s="270">
        <f t="shared" si="3"/>
        <v>0</v>
      </c>
      <c r="E42" s="270" t="str">
        <f t="shared" si="4"/>
        <v>Past</v>
      </c>
      <c r="F42" s="276"/>
      <c r="G42" s="276"/>
      <c r="H42" s="276"/>
    </row>
    <row r="43">
      <c r="A43" s="268">
        <f t="shared" si="5"/>
        <v>0</v>
      </c>
      <c r="B43" s="277">
        <f t="shared" si="2"/>
        <v>0</v>
      </c>
      <c r="C43" s="280">
        <v>45505.0</v>
      </c>
      <c r="D43" s="270">
        <f t="shared" si="3"/>
        <v>0</v>
      </c>
      <c r="E43" s="270" t="str">
        <f t="shared" si="4"/>
        <v>Past</v>
      </c>
      <c r="F43" s="276"/>
      <c r="G43" s="276"/>
      <c r="H43" s="276"/>
    </row>
    <row r="44">
      <c r="A44" s="268">
        <f t="shared" si="5"/>
        <v>0</v>
      </c>
      <c r="B44" s="277">
        <f t="shared" si="2"/>
        <v>0</v>
      </c>
      <c r="C44" s="280">
        <v>45536.0</v>
      </c>
      <c r="D44" s="270">
        <f t="shared" si="3"/>
        <v>0</v>
      </c>
      <c r="E44" s="270" t="str">
        <f t="shared" si="4"/>
        <v>Past</v>
      </c>
      <c r="F44" s="276"/>
      <c r="G44" s="276"/>
      <c r="H44" s="276"/>
    </row>
    <row r="45">
      <c r="A45" s="268">
        <f t="shared" si="5"/>
        <v>0</v>
      </c>
      <c r="B45" s="277">
        <f t="shared" si="2"/>
        <v>0</v>
      </c>
      <c r="C45" s="281">
        <v>45566.0</v>
      </c>
      <c r="D45" s="270">
        <f t="shared" si="3"/>
        <v>0</v>
      </c>
      <c r="E45" s="282" t="str">
        <f t="shared" si="4"/>
        <v>Past</v>
      </c>
      <c r="F45" s="283" t="s">
        <v>339</v>
      </c>
      <c r="G45" s="283" t="s">
        <v>339</v>
      </c>
      <c r="H45" s="283" t="s">
        <v>339</v>
      </c>
    </row>
    <row r="46">
      <c r="A46" s="268">
        <f t="shared" si="5"/>
        <v>0</v>
      </c>
      <c r="B46" s="277">
        <f t="shared" si="2"/>
        <v>0</v>
      </c>
      <c r="C46" s="280">
        <v>45597.0</v>
      </c>
      <c r="D46" s="284">
        <v>0.0</v>
      </c>
      <c r="E46" s="270" t="str">
        <f t="shared" si="4"/>
        <v>Past</v>
      </c>
      <c r="F46" s="283" t="s">
        <v>339</v>
      </c>
      <c r="G46" s="283" t="s">
        <v>339</v>
      </c>
      <c r="H46" s="283" t="s">
        <v>339</v>
      </c>
    </row>
    <row r="47">
      <c r="A47" s="268">
        <f t="shared" si="5"/>
        <v>0</v>
      </c>
      <c r="B47" s="277">
        <f t="shared" si="2"/>
        <v>0</v>
      </c>
      <c r="C47" s="280">
        <v>45627.0</v>
      </c>
      <c r="D47" s="268">
        <f>sumif($F$19:H46,D$19,$F47:H47)-sum(G47:H47)</f>
        <v>0</v>
      </c>
      <c r="E47" s="270" t="str">
        <f t="shared" si="4"/>
        <v>Past</v>
      </c>
      <c r="F47" s="283" t="s">
        <v>339</v>
      </c>
      <c r="G47" s="283" t="s">
        <v>339</v>
      </c>
      <c r="H47" s="283" t="s">
        <v>339</v>
      </c>
    </row>
    <row r="48">
      <c r="A48" s="268">
        <f t="shared" si="5"/>
        <v>0</v>
      </c>
      <c r="B48" s="277">
        <f t="shared" si="2"/>
        <v>0</v>
      </c>
      <c r="C48" s="280">
        <v>45658.0</v>
      </c>
      <c r="D48" s="270">
        <f t="shared" ref="D48:D118" si="6">sumif($F$19:H47,D$19,$F48:H48)</f>
        <v>0</v>
      </c>
      <c r="E48" s="270" t="str">
        <f t="shared" si="4"/>
        <v>Past</v>
      </c>
      <c r="F48" s="283" t="s">
        <v>339</v>
      </c>
      <c r="G48" s="283" t="s">
        <v>339</v>
      </c>
      <c r="H48" s="283" t="s">
        <v>339</v>
      </c>
    </row>
    <row r="49">
      <c r="A49" s="268">
        <f t="shared" si="5"/>
        <v>0</v>
      </c>
      <c r="B49" s="277">
        <f t="shared" si="2"/>
        <v>0</v>
      </c>
      <c r="C49" s="280">
        <v>45689.0</v>
      </c>
      <c r="D49" s="270">
        <f t="shared" si="6"/>
        <v>0</v>
      </c>
      <c r="E49" s="284" t="s">
        <v>340</v>
      </c>
      <c r="F49" s="283" t="s">
        <v>341</v>
      </c>
      <c r="G49" s="283" t="s">
        <v>341</v>
      </c>
      <c r="H49" s="283" t="s">
        <v>341</v>
      </c>
    </row>
    <row r="50">
      <c r="A50" s="268">
        <f t="shared" si="5"/>
        <v>0</v>
      </c>
      <c r="B50" s="277">
        <f t="shared" si="2"/>
        <v>0</v>
      </c>
      <c r="C50" s="280">
        <v>45717.0</v>
      </c>
      <c r="D50" s="270">
        <f t="shared" si="6"/>
        <v>0</v>
      </c>
      <c r="E50" s="270" t="str">
        <f t="shared" ref="E50:E118" si="7">if(C50=DATE(year(today()),month(today()),1),"Current",if(C50&gt;DATE(year(today()),month(today()),1), "Future","Past"))</f>
        <v>Past</v>
      </c>
      <c r="F50" s="283" t="s">
        <v>341</v>
      </c>
      <c r="G50" s="283" t="s">
        <v>341</v>
      </c>
      <c r="H50" s="283" t="s">
        <v>341</v>
      </c>
    </row>
    <row r="51">
      <c r="A51" s="268">
        <f t="shared" si="5"/>
        <v>0</v>
      </c>
      <c r="B51" s="277">
        <f t="shared" si="2"/>
        <v>0</v>
      </c>
      <c r="C51" s="280">
        <v>45748.0</v>
      </c>
      <c r="D51" s="270">
        <f t="shared" si="6"/>
        <v>0</v>
      </c>
      <c r="E51" s="270" t="str">
        <f t="shared" si="7"/>
        <v>Past</v>
      </c>
      <c r="F51" s="283" t="s">
        <v>341</v>
      </c>
      <c r="G51" s="283" t="s">
        <v>341</v>
      </c>
      <c r="H51" s="283" t="s">
        <v>341</v>
      </c>
    </row>
    <row r="52">
      <c r="A52" s="268">
        <f t="shared" si="5"/>
        <v>0</v>
      </c>
      <c r="B52" s="277">
        <f t="shared" si="2"/>
        <v>0</v>
      </c>
      <c r="C52" s="280">
        <v>45778.0</v>
      </c>
      <c r="D52" s="270">
        <f t="shared" si="6"/>
        <v>0</v>
      </c>
      <c r="E52" s="270" t="str">
        <f t="shared" si="7"/>
        <v>Past</v>
      </c>
      <c r="F52" s="276"/>
      <c r="G52" s="283" t="s">
        <v>341</v>
      </c>
      <c r="H52" s="283" t="s">
        <v>341</v>
      </c>
    </row>
    <row r="53">
      <c r="A53" s="268">
        <f t="shared" si="5"/>
        <v>0</v>
      </c>
      <c r="B53" s="277">
        <f t="shared" si="2"/>
        <v>0</v>
      </c>
      <c r="C53" s="280">
        <v>45809.0</v>
      </c>
      <c r="D53" s="270">
        <f t="shared" si="6"/>
        <v>0</v>
      </c>
      <c r="E53" s="270" t="str">
        <f t="shared" si="7"/>
        <v>Past</v>
      </c>
      <c r="F53" s="276"/>
      <c r="G53" s="283" t="s">
        <v>341</v>
      </c>
      <c r="H53" s="276"/>
    </row>
    <row r="54">
      <c r="A54" s="268">
        <f t="shared" si="5"/>
        <v>0</v>
      </c>
      <c r="B54" s="277">
        <f t="shared" si="2"/>
        <v>0</v>
      </c>
      <c r="C54" s="280">
        <v>45839.0</v>
      </c>
      <c r="D54" s="270">
        <f t="shared" si="6"/>
        <v>0</v>
      </c>
      <c r="E54" s="270" t="str">
        <f t="shared" si="7"/>
        <v>Past</v>
      </c>
      <c r="F54" s="276"/>
      <c r="G54" s="283" t="s">
        <v>342</v>
      </c>
      <c r="H54" s="276"/>
    </row>
    <row r="55">
      <c r="A55" s="268">
        <f t="shared" si="5"/>
        <v>0</v>
      </c>
      <c r="B55" s="277">
        <f t="shared" si="2"/>
        <v>0</v>
      </c>
      <c r="C55" s="280">
        <v>45870.0</v>
      </c>
      <c r="D55" s="270">
        <f t="shared" si="6"/>
        <v>0</v>
      </c>
      <c r="E55" s="270" t="str">
        <f t="shared" si="7"/>
        <v>Past</v>
      </c>
      <c r="F55" s="276"/>
      <c r="G55" s="283" t="s">
        <v>342</v>
      </c>
      <c r="H55" s="276"/>
    </row>
    <row r="56">
      <c r="A56" s="268">
        <f t="shared" si="5"/>
        <v>0</v>
      </c>
      <c r="B56" s="277">
        <f t="shared" si="2"/>
        <v>0</v>
      </c>
      <c r="C56" s="280">
        <v>45901.0</v>
      </c>
      <c r="D56" s="270">
        <f t="shared" si="6"/>
        <v>0</v>
      </c>
      <c r="E56" s="270" t="str">
        <f t="shared" si="7"/>
        <v>Past</v>
      </c>
      <c r="F56" s="276"/>
      <c r="G56" s="283" t="s">
        <v>342</v>
      </c>
      <c r="H56" s="276"/>
    </row>
    <row r="57">
      <c r="A57" s="268">
        <f t="shared" si="5"/>
        <v>0</v>
      </c>
      <c r="B57" s="277">
        <f t="shared" si="2"/>
        <v>0</v>
      </c>
      <c r="C57" s="280">
        <v>45931.0</v>
      </c>
      <c r="D57" s="270">
        <f t="shared" si="6"/>
        <v>0</v>
      </c>
      <c r="E57" s="270" t="str">
        <f t="shared" si="7"/>
        <v>Past</v>
      </c>
      <c r="F57" s="276"/>
      <c r="G57" s="283" t="s">
        <v>342</v>
      </c>
      <c r="H57" s="276"/>
    </row>
    <row r="58">
      <c r="A58" s="268">
        <f t="shared" si="5"/>
        <v>0</v>
      </c>
      <c r="B58" s="277">
        <f t="shared" si="2"/>
        <v>0</v>
      </c>
      <c r="C58" s="280">
        <v>45962.0</v>
      </c>
      <c r="D58" s="270">
        <f t="shared" si="6"/>
        <v>0</v>
      </c>
      <c r="E58" s="270" t="str">
        <f t="shared" si="7"/>
        <v>Current</v>
      </c>
      <c r="F58" s="276"/>
      <c r="G58" s="283" t="s">
        <v>342</v>
      </c>
      <c r="H58" s="276"/>
    </row>
    <row r="59">
      <c r="A59" s="268">
        <f t="shared" si="5"/>
        <v>0</v>
      </c>
      <c r="B59" s="277">
        <f t="shared" si="2"/>
        <v>0</v>
      </c>
      <c r="C59" s="280">
        <v>45992.0</v>
      </c>
      <c r="D59" s="270">
        <f t="shared" si="6"/>
        <v>0</v>
      </c>
      <c r="E59" s="270" t="str">
        <f t="shared" si="7"/>
        <v>Future</v>
      </c>
      <c r="F59" s="276"/>
      <c r="G59" s="283" t="s">
        <v>342</v>
      </c>
      <c r="H59" s="276"/>
    </row>
    <row r="60">
      <c r="A60" s="268">
        <f t="shared" si="5"/>
        <v>0</v>
      </c>
      <c r="B60" s="277">
        <f t="shared" si="2"/>
        <v>0</v>
      </c>
      <c r="C60" s="280">
        <v>46023.0</v>
      </c>
      <c r="D60" s="270">
        <f t="shared" si="6"/>
        <v>0</v>
      </c>
      <c r="E60" s="270" t="str">
        <f t="shared" si="7"/>
        <v>Future</v>
      </c>
      <c r="F60" s="276"/>
      <c r="G60" s="283" t="s">
        <v>342</v>
      </c>
      <c r="H60" s="276"/>
    </row>
    <row r="61">
      <c r="A61" s="268">
        <f t="shared" si="5"/>
        <v>0</v>
      </c>
      <c r="B61" s="277">
        <f t="shared" si="2"/>
        <v>0</v>
      </c>
      <c r="C61" s="280">
        <v>46054.0</v>
      </c>
      <c r="D61" s="270">
        <f t="shared" si="6"/>
        <v>0</v>
      </c>
      <c r="E61" s="270" t="str">
        <f t="shared" si="7"/>
        <v>Future</v>
      </c>
      <c r="F61" s="276"/>
      <c r="G61" s="283" t="s">
        <v>342</v>
      </c>
      <c r="H61" s="276"/>
    </row>
    <row r="62">
      <c r="A62" s="268">
        <f t="shared" si="5"/>
        <v>0</v>
      </c>
      <c r="B62" s="277">
        <f t="shared" si="2"/>
        <v>0</v>
      </c>
      <c r="C62" s="280">
        <v>46082.0</v>
      </c>
      <c r="D62" s="270">
        <f t="shared" si="6"/>
        <v>0</v>
      </c>
      <c r="E62" s="270" t="str">
        <f t="shared" si="7"/>
        <v>Future</v>
      </c>
      <c r="F62" s="276"/>
      <c r="G62" s="283" t="s">
        <v>342</v>
      </c>
      <c r="H62" s="276"/>
    </row>
    <row r="63">
      <c r="A63" s="268">
        <f t="shared" si="5"/>
        <v>0</v>
      </c>
      <c r="B63" s="277">
        <f t="shared" si="2"/>
        <v>0</v>
      </c>
      <c r="C63" s="280">
        <v>46113.0</v>
      </c>
      <c r="D63" s="270">
        <f t="shared" si="6"/>
        <v>0</v>
      </c>
      <c r="E63" s="270" t="str">
        <f t="shared" si="7"/>
        <v>Future</v>
      </c>
      <c r="F63" s="276"/>
      <c r="G63" s="283" t="s">
        <v>342</v>
      </c>
      <c r="H63" s="276"/>
    </row>
    <row r="64">
      <c r="A64" s="268">
        <f t="shared" si="5"/>
        <v>0</v>
      </c>
      <c r="B64" s="277">
        <f t="shared" si="2"/>
        <v>0</v>
      </c>
      <c r="C64" s="280">
        <v>46143.0</v>
      </c>
      <c r="D64" s="270">
        <f t="shared" si="6"/>
        <v>0</v>
      </c>
      <c r="E64" s="270" t="str">
        <f t="shared" si="7"/>
        <v>Future</v>
      </c>
      <c r="F64" s="276"/>
      <c r="G64" s="283" t="s">
        <v>342</v>
      </c>
      <c r="H64" s="276"/>
    </row>
    <row r="65">
      <c r="A65" s="268">
        <f t="shared" si="5"/>
        <v>0</v>
      </c>
      <c r="B65" s="277">
        <f t="shared" si="2"/>
        <v>0</v>
      </c>
      <c r="C65" s="280">
        <v>46174.0</v>
      </c>
      <c r="D65" s="270">
        <f t="shared" si="6"/>
        <v>0</v>
      </c>
      <c r="E65" s="270" t="str">
        <f t="shared" si="7"/>
        <v>Future</v>
      </c>
      <c r="F65" s="276"/>
      <c r="G65" s="283" t="s">
        <v>342</v>
      </c>
      <c r="H65" s="276"/>
    </row>
    <row r="66">
      <c r="A66" s="268">
        <f t="shared" si="5"/>
        <v>0</v>
      </c>
      <c r="B66" s="277">
        <f t="shared" si="2"/>
        <v>0</v>
      </c>
      <c r="C66" s="280">
        <v>46204.0</v>
      </c>
      <c r="D66" s="270">
        <f t="shared" si="6"/>
        <v>0</v>
      </c>
      <c r="E66" s="270" t="str">
        <f t="shared" si="7"/>
        <v>Future</v>
      </c>
      <c r="F66" s="276"/>
      <c r="G66" s="283" t="s">
        <v>342</v>
      </c>
      <c r="H66" s="276"/>
    </row>
    <row r="67">
      <c r="A67" s="268">
        <f t="shared" si="5"/>
        <v>0</v>
      </c>
      <c r="B67" s="277">
        <f t="shared" si="2"/>
        <v>0</v>
      </c>
      <c r="C67" s="280">
        <v>46235.0</v>
      </c>
      <c r="D67" s="270">
        <f t="shared" si="6"/>
        <v>0</v>
      </c>
      <c r="E67" s="270" t="str">
        <f t="shared" si="7"/>
        <v>Future</v>
      </c>
      <c r="F67" s="276"/>
      <c r="G67" s="283" t="s">
        <v>342</v>
      </c>
      <c r="H67" s="276"/>
    </row>
    <row r="68">
      <c r="A68" s="268">
        <f t="shared" si="5"/>
        <v>0</v>
      </c>
      <c r="B68" s="277">
        <f t="shared" si="2"/>
        <v>0</v>
      </c>
      <c r="C68" s="280">
        <v>46266.0</v>
      </c>
      <c r="D68" s="270">
        <f t="shared" si="6"/>
        <v>0</v>
      </c>
      <c r="E68" s="270" t="str">
        <f t="shared" si="7"/>
        <v>Future</v>
      </c>
      <c r="F68" s="276"/>
      <c r="G68" s="283" t="s">
        <v>342</v>
      </c>
      <c r="H68" s="276"/>
    </row>
    <row r="69">
      <c r="A69" s="268">
        <f t="shared" si="5"/>
        <v>0</v>
      </c>
      <c r="B69" s="277">
        <f t="shared" si="2"/>
        <v>0</v>
      </c>
      <c r="C69" s="280">
        <v>46296.0</v>
      </c>
      <c r="D69" s="270">
        <f t="shared" si="6"/>
        <v>0</v>
      </c>
      <c r="E69" s="270" t="str">
        <f t="shared" si="7"/>
        <v>Future</v>
      </c>
      <c r="F69" s="276"/>
      <c r="G69" s="283" t="s">
        <v>342</v>
      </c>
      <c r="H69" s="276"/>
    </row>
    <row r="70">
      <c r="A70" s="268">
        <f t="shared" si="5"/>
        <v>0</v>
      </c>
      <c r="B70" s="277">
        <f t="shared" si="2"/>
        <v>0</v>
      </c>
      <c r="C70" s="280">
        <v>46327.0</v>
      </c>
      <c r="D70" s="270">
        <f t="shared" si="6"/>
        <v>0</v>
      </c>
      <c r="E70" s="270" t="str">
        <f t="shared" si="7"/>
        <v>Future</v>
      </c>
      <c r="F70" s="276"/>
      <c r="G70" s="283" t="s">
        <v>342</v>
      </c>
      <c r="H70" s="276"/>
    </row>
    <row r="71">
      <c r="A71" s="268">
        <f t="shared" si="5"/>
        <v>0</v>
      </c>
      <c r="B71" s="277">
        <f t="shared" si="2"/>
        <v>0</v>
      </c>
      <c r="C71" s="280">
        <v>46357.0</v>
      </c>
      <c r="D71" s="270">
        <f t="shared" si="6"/>
        <v>0</v>
      </c>
      <c r="E71" s="270" t="str">
        <f t="shared" si="7"/>
        <v>Future</v>
      </c>
      <c r="F71" s="276"/>
      <c r="G71" s="283" t="s">
        <v>342</v>
      </c>
      <c r="H71" s="276"/>
    </row>
    <row r="72">
      <c r="A72" s="268">
        <f t="shared" si="5"/>
        <v>0</v>
      </c>
      <c r="B72" s="277">
        <f t="shared" si="2"/>
        <v>0</v>
      </c>
      <c r="C72" s="280">
        <v>46388.0</v>
      </c>
      <c r="D72" s="270">
        <f t="shared" si="6"/>
        <v>0</v>
      </c>
      <c r="E72" s="270" t="str">
        <f t="shared" si="7"/>
        <v>Future</v>
      </c>
      <c r="F72" s="276"/>
      <c r="G72" s="283" t="s">
        <v>343</v>
      </c>
      <c r="H72" s="276"/>
    </row>
    <row r="73">
      <c r="A73" s="268">
        <f t="shared" si="5"/>
        <v>0</v>
      </c>
      <c r="B73" s="277">
        <f t="shared" si="2"/>
        <v>0</v>
      </c>
      <c r="C73" s="280">
        <v>46419.0</v>
      </c>
      <c r="D73" s="270">
        <f t="shared" si="6"/>
        <v>0</v>
      </c>
      <c r="E73" s="270" t="str">
        <f t="shared" si="7"/>
        <v>Future</v>
      </c>
      <c r="F73" s="276"/>
      <c r="G73" s="276"/>
      <c r="H73" s="276"/>
    </row>
    <row r="74">
      <c r="A74" s="268">
        <f t="shared" si="5"/>
        <v>0</v>
      </c>
      <c r="B74" s="277">
        <f t="shared" si="2"/>
        <v>0</v>
      </c>
      <c r="C74" s="280">
        <v>46447.0</v>
      </c>
      <c r="D74" s="270">
        <f t="shared" si="6"/>
        <v>0</v>
      </c>
      <c r="E74" s="270" t="str">
        <f t="shared" si="7"/>
        <v>Future</v>
      </c>
      <c r="F74" s="276"/>
      <c r="G74" s="276"/>
      <c r="H74" s="276"/>
    </row>
    <row r="75">
      <c r="A75" s="268">
        <f t="shared" si="5"/>
        <v>0</v>
      </c>
      <c r="B75" s="277">
        <f t="shared" si="2"/>
        <v>0</v>
      </c>
      <c r="C75" s="280">
        <v>46478.0</v>
      </c>
      <c r="D75" s="270">
        <f t="shared" si="6"/>
        <v>0</v>
      </c>
      <c r="E75" s="270" t="str">
        <f t="shared" si="7"/>
        <v>Future</v>
      </c>
      <c r="F75" s="276"/>
      <c r="G75" s="276"/>
      <c r="H75" s="276"/>
    </row>
    <row r="76">
      <c r="A76" s="268">
        <f t="shared" si="5"/>
        <v>0</v>
      </c>
      <c r="B76" s="277">
        <f t="shared" si="2"/>
        <v>0</v>
      </c>
      <c r="C76" s="280">
        <v>46508.0</v>
      </c>
      <c r="D76" s="270">
        <f t="shared" si="6"/>
        <v>0</v>
      </c>
      <c r="E76" s="270" t="str">
        <f t="shared" si="7"/>
        <v>Future</v>
      </c>
      <c r="F76" s="276"/>
      <c r="G76" s="276"/>
      <c r="H76" s="276"/>
    </row>
    <row r="77">
      <c r="A77" s="268">
        <f t="shared" si="5"/>
        <v>0</v>
      </c>
      <c r="B77" s="277">
        <f t="shared" si="2"/>
        <v>0</v>
      </c>
      <c r="C77" s="280">
        <v>46539.0</v>
      </c>
      <c r="D77" s="270">
        <f t="shared" si="6"/>
        <v>0</v>
      </c>
      <c r="E77" s="270" t="str">
        <f t="shared" si="7"/>
        <v>Future</v>
      </c>
      <c r="F77" s="276"/>
      <c r="G77" s="276"/>
      <c r="H77" s="276"/>
    </row>
    <row r="78">
      <c r="A78" s="268">
        <f t="shared" si="5"/>
        <v>0</v>
      </c>
      <c r="B78" s="277">
        <f t="shared" si="2"/>
        <v>0</v>
      </c>
      <c r="C78" s="280">
        <v>46569.0</v>
      </c>
      <c r="D78" s="270">
        <f t="shared" si="6"/>
        <v>0</v>
      </c>
      <c r="E78" s="270" t="str">
        <f t="shared" si="7"/>
        <v>Future</v>
      </c>
      <c r="F78" s="276"/>
      <c r="G78" s="276"/>
      <c r="H78" s="276"/>
    </row>
    <row r="79">
      <c r="A79" s="268">
        <f t="shared" si="5"/>
        <v>0</v>
      </c>
      <c r="B79" s="277">
        <f t="shared" si="2"/>
        <v>0</v>
      </c>
      <c r="C79" s="280">
        <v>46600.0</v>
      </c>
      <c r="D79" s="270">
        <f t="shared" si="6"/>
        <v>0</v>
      </c>
      <c r="E79" s="270" t="str">
        <f t="shared" si="7"/>
        <v>Future</v>
      </c>
      <c r="F79" s="276"/>
      <c r="G79" s="276"/>
      <c r="H79" s="276"/>
    </row>
    <row r="80">
      <c r="A80" s="268">
        <f t="shared" si="5"/>
        <v>0</v>
      </c>
      <c r="B80" s="277">
        <f t="shared" si="2"/>
        <v>0</v>
      </c>
      <c r="C80" s="280">
        <v>46631.0</v>
      </c>
      <c r="D80" s="270">
        <f t="shared" si="6"/>
        <v>0</v>
      </c>
      <c r="E80" s="270" t="str">
        <f t="shared" si="7"/>
        <v>Future</v>
      </c>
      <c r="F80" s="276"/>
      <c r="G80" s="276"/>
      <c r="H80" s="276"/>
    </row>
    <row r="81">
      <c r="A81" s="268">
        <f t="shared" si="5"/>
        <v>0</v>
      </c>
      <c r="B81" s="277">
        <f t="shared" si="2"/>
        <v>0</v>
      </c>
      <c r="C81" s="280">
        <v>46661.0</v>
      </c>
      <c r="D81" s="270">
        <f t="shared" si="6"/>
        <v>0</v>
      </c>
      <c r="E81" s="270" t="str">
        <f t="shared" si="7"/>
        <v>Future</v>
      </c>
      <c r="F81" s="276"/>
      <c r="G81" s="276"/>
      <c r="H81" s="276"/>
    </row>
    <row r="82">
      <c r="A82" s="268">
        <f t="shared" si="5"/>
        <v>0</v>
      </c>
      <c r="B82" s="277">
        <f t="shared" si="2"/>
        <v>0</v>
      </c>
      <c r="C82" s="280">
        <v>46692.0</v>
      </c>
      <c r="D82" s="270">
        <f t="shared" si="6"/>
        <v>0</v>
      </c>
      <c r="E82" s="270" t="str">
        <f t="shared" si="7"/>
        <v>Future</v>
      </c>
      <c r="F82" s="276"/>
      <c r="G82" s="276"/>
      <c r="H82" s="276"/>
    </row>
    <row r="83">
      <c r="A83" s="268">
        <f t="shared" si="5"/>
        <v>0</v>
      </c>
      <c r="B83" s="277">
        <f t="shared" si="2"/>
        <v>0</v>
      </c>
      <c r="C83" s="280">
        <v>46722.0</v>
      </c>
      <c r="D83" s="270">
        <f t="shared" si="6"/>
        <v>0</v>
      </c>
      <c r="E83" s="270" t="str">
        <f t="shared" si="7"/>
        <v>Future</v>
      </c>
      <c r="F83" s="276"/>
      <c r="G83" s="276"/>
      <c r="H83" s="276"/>
    </row>
    <row r="84">
      <c r="A84" s="268">
        <f t="shared" si="5"/>
        <v>0</v>
      </c>
      <c r="B84" s="277">
        <f t="shared" si="2"/>
        <v>0</v>
      </c>
      <c r="C84" s="280">
        <v>46753.0</v>
      </c>
      <c r="D84" s="270">
        <f t="shared" si="6"/>
        <v>0</v>
      </c>
      <c r="E84" s="270" t="str">
        <f t="shared" si="7"/>
        <v>Future</v>
      </c>
      <c r="F84" s="276"/>
      <c r="G84" s="276"/>
      <c r="H84" s="276"/>
    </row>
    <row r="85">
      <c r="A85" s="268">
        <f t="shared" si="5"/>
        <v>0</v>
      </c>
      <c r="B85" s="277">
        <f t="shared" si="2"/>
        <v>0</v>
      </c>
      <c r="C85" s="280">
        <v>46784.0</v>
      </c>
      <c r="D85" s="270">
        <f t="shared" si="6"/>
        <v>0</v>
      </c>
      <c r="E85" s="270" t="str">
        <f t="shared" si="7"/>
        <v>Future</v>
      </c>
      <c r="F85" s="276"/>
      <c r="G85" s="276"/>
      <c r="H85" s="276"/>
    </row>
    <row r="86">
      <c r="A86" s="268">
        <f t="shared" si="5"/>
        <v>0</v>
      </c>
      <c r="B86" s="277">
        <f t="shared" si="2"/>
        <v>0</v>
      </c>
      <c r="C86" s="280">
        <v>46813.0</v>
      </c>
      <c r="D86" s="270">
        <f t="shared" si="6"/>
        <v>0</v>
      </c>
      <c r="E86" s="270" t="str">
        <f t="shared" si="7"/>
        <v>Future</v>
      </c>
      <c r="F86" s="276"/>
      <c r="G86" s="276"/>
      <c r="H86" s="276"/>
    </row>
    <row r="87">
      <c r="A87" s="268">
        <f t="shared" si="5"/>
        <v>0</v>
      </c>
      <c r="B87" s="277">
        <f t="shared" si="2"/>
        <v>0</v>
      </c>
      <c r="C87" s="280">
        <v>46844.0</v>
      </c>
      <c r="D87" s="270">
        <f t="shared" si="6"/>
        <v>0</v>
      </c>
      <c r="E87" s="270" t="str">
        <f t="shared" si="7"/>
        <v>Future</v>
      </c>
      <c r="F87" s="276"/>
      <c r="G87" s="276"/>
      <c r="H87" s="276"/>
    </row>
    <row r="88">
      <c r="A88" s="268">
        <f t="shared" si="5"/>
        <v>0</v>
      </c>
      <c r="B88" s="277">
        <f t="shared" si="2"/>
        <v>0</v>
      </c>
      <c r="C88" s="280">
        <v>46874.0</v>
      </c>
      <c r="D88" s="270">
        <f t="shared" si="6"/>
        <v>0</v>
      </c>
      <c r="E88" s="270" t="str">
        <f t="shared" si="7"/>
        <v>Future</v>
      </c>
      <c r="F88" s="276"/>
      <c r="G88" s="276"/>
      <c r="H88" s="276"/>
    </row>
    <row r="89">
      <c r="A89" s="268">
        <f t="shared" si="5"/>
        <v>0</v>
      </c>
      <c r="B89" s="277">
        <f t="shared" si="2"/>
        <v>0</v>
      </c>
      <c r="C89" s="280">
        <v>46905.0</v>
      </c>
      <c r="D89" s="270">
        <f t="shared" si="6"/>
        <v>0</v>
      </c>
      <c r="E89" s="270" t="str">
        <f t="shared" si="7"/>
        <v>Future</v>
      </c>
      <c r="F89" s="276"/>
      <c r="G89" s="276"/>
      <c r="H89" s="276"/>
    </row>
    <row r="90">
      <c r="A90" s="268">
        <f t="shared" si="5"/>
        <v>0</v>
      </c>
      <c r="B90" s="277">
        <f t="shared" si="2"/>
        <v>0</v>
      </c>
      <c r="C90" s="280">
        <v>46935.0</v>
      </c>
      <c r="D90" s="270">
        <f t="shared" si="6"/>
        <v>0</v>
      </c>
      <c r="E90" s="270" t="str">
        <f t="shared" si="7"/>
        <v>Future</v>
      </c>
      <c r="F90" s="276"/>
      <c r="G90" s="276"/>
      <c r="H90" s="276"/>
    </row>
    <row r="91">
      <c r="A91" s="268">
        <f t="shared" si="5"/>
        <v>0</v>
      </c>
      <c r="B91" s="277">
        <f t="shared" si="2"/>
        <v>0</v>
      </c>
      <c r="C91" s="280">
        <v>46966.0</v>
      </c>
      <c r="D91" s="270">
        <f t="shared" si="6"/>
        <v>0</v>
      </c>
      <c r="E91" s="270" t="str">
        <f t="shared" si="7"/>
        <v>Future</v>
      </c>
      <c r="F91" s="276"/>
      <c r="G91" s="276"/>
      <c r="H91" s="276"/>
    </row>
    <row r="92">
      <c r="A92" s="268">
        <f t="shared" si="5"/>
        <v>0</v>
      </c>
      <c r="B92" s="277">
        <f t="shared" si="2"/>
        <v>0</v>
      </c>
      <c r="C92" s="280">
        <v>46997.0</v>
      </c>
      <c r="D92" s="270">
        <f t="shared" si="6"/>
        <v>0</v>
      </c>
      <c r="E92" s="270" t="str">
        <f t="shared" si="7"/>
        <v>Future</v>
      </c>
      <c r="F92" s="276"/>
      <c r="G92" s="276"/>
      <c r="H92" s="276"/>
    </row>
    <row r="93">
      <c r="A93" s="268">
        <f t="shared" si="5"/>
        <v>0</v>
      </c>
      <c r="B93" s="277">
        <f t="shared" si="2"/>
        <v>0</v>
      </c>
      <c r="C93" s="280">
        <v>47027.0</v>
      </c>
      <c r="D93" s="270">
        <f t="shared" si="6"/>
        <v>0</v>
      </c>
      <c r="E93" s="270" t="str">
        <f t="shared" si="7"/>
        <v>Future</v>
      </c>
      <c r="F93" s="276"/>
      <c r="G93" s="276"/>
      <c r="H93" s="276"/>
    </row>
    <row r="94">
      <c r="A94" s="268">
        <f t="shared" si="5"/>
        <v>0</v>
      </c>
      <c r="B94" s="277">
        <f t="shared" si="2"/>
        <v>0</v>
      </c>
      <c r="C94" s="280">
        <v>47058.0</v>
      </c>
      <c r="D94" s="270">
        <f t="shared" si="6"/>
        <v>0</v>
      </c>
      <c r="E94" s="270" t="str">
        <f t="shared" si="7"/>
        <v>Future</v>
      </c>
      <c r="F94" s="276"/>
      <c r="G94" s="276"/>
      <c r="H94" s="276"/>
    </row>
    <row r="95">
      <c r="A95" s="268">
        <f t="shared" si="5"/>
        <v>0</v>
      </c>
      <c r="B95" s="277">
        <f t="shared" si="2"/>
        <v>0</v>
      </c>
      <c r="C95" s="280">
        <v>47088.0</v>
      </c>
      <c r="D95" s="270">
        <f t="shared" si="6"/>
        <v>0</v>
      </c>
      <c r="E95" s="270" t="str">
        <f t="shared" si="7"/>
        <v>Future</v>
      </c>
      <c r="F95" s="276"/>
      <c r="G95" s="276"/>
      <c r="H95" s="276"/>
    </row>
    <row r="96">
      <c r="A96" s="268">
        <f t="shared" si="5"/>
        <v>0</v>
      </c>
      <c r="B96" s="277">
        <f t="shared" si="2"/>
        <v>0</v>
      </c>
      <c r="C96" s="280">
        <v>47119.0</v>
      </c>
      <c r="D96" s="270">
        <f t="shared" si="6"/>
        <v>0</v>
      </c>
      <c r="E96" s="270" t="str">
        <f t="shared" si="7"/>
        <v>Future</v>
      </c>
      <c r="F96" s="276"/>
      <c r="G96" s="276"/>
      <c r="H96" s="276"/>
    </row>
    <row r="97">
      <c r="A97" s="268">
        <f t="shared" si="5"/>
        <v>0</v>
      </c>
      <c r="B97" s="277">
        <f t="shared" si="2"/>
        <v>0</v>
      </c>
      <c r="C97" s="280">
        <v>47150.0</v>
      </c>
      <c r="D97" s="270">
        <f t="shared" si="6"/>
        <v>0</v>
      </c>
      <c r="E97" s="270" t="str">
        <f t="shared" si="7"/>
        <v>Future</v>
      </c>
      <c r="F97" s="276"/>
      <c r="G97" s="276"/>
      <c r="H97" s="276"/>
    </row>
    <row r="98">
      <c r="A98" s="268">
        <f t="shared" si="5"/>
        <v>0</v>
      </c>
      <c r="B98" s="277">
        <f t="shared" si="2"/>
        <v>0</v>
      </c>
      <c r="C98" s="280">
        <v>47178.0</v>
      </c>
      <c r="D98" s="270">
        <f t="shared" si="6"/>
        <v>0</v>
      </c>
      <c r="E98" s="270" t="str">
        <f t="shared" si="7"/>
        <v>Future</v>
      </c>
      <c r="F98" s="276"/>
      <c r="G98" s="276"/>
      <c r="H98" s="276"/>
    </row>
    <row r="99">
      <c r="A99" s="268">
        <f t="shared" si="5"/>
        <v>0</v>
      </c>
      <c r="B99" s="277">
        <f t="shared" si="2"/>
        <v>0</v>
      </c>
      <c r="C99" s="280">
        <v>47209.0</v>
      </c>
      <c r="D99" s="270">
        <f t="shared" si="6"/>
        <v>0</v>
      </c>
      <c r="E99" s="270" t="str">
        <f t="shared" si="7"/>
        <v>Future</v>
      </c>
      <c r="F99" s="276"/>
      <c r="G99" s="276"/>
      <c r="H99" s="276"/>
    </row>
    <row r="100">
      <c r="A100" s="268">
        <f t="shared" si="5"/>
        <v>0</v>
      </c>
      <c r="B100" s="277">
        <f t="shared" si="2"/>
        <v>0</v>
      </c>
      <c r="C100" s="280">
        <v>47239.0</v>
      </c>
      <c r="D100" s="270">
        <f t="shared" si="6"/>
        <v>0</v>
      </c>
      <c r="E100" s="270" t="str">
        <f t="shared" si="7"/>
        <v>Future</v>
      </c>
      <c r="F100" s="276"/>
      <c r="G100" s="276"/>
      <c r="H100" s="276"/>
    </row>
    <row r="101">
      <c r="A101" s="268">
        <f t="shared" si="5"/>
        <v>0</v>
      </c>
      <c r="B101" s="277">
        <f t="shared" si="2"/>
        <v>0</v>
      </c>
      <c r="C101" s="280">
        <v>47270.0</v>
      </c>
      <c r="D101" s="270">
        <f t="shared" si="6"/>
        <v>0</v>
      </c>
      <c r="E101" s="270" t="str">
        <f t="shared" si="7"/>
        <v>Future</v>
      </c>
      <c r="F101" s="276"/>
      <c r="G101" s="276"/>
      <c r="H101" s="276"/>
    </row>
    <row r="102">
      <c r="A102" s="268">
        <f t="shared" si="5"/>
        <v>0</v>
      </c>
      <c r="B102" s="277">
        <f t="shared" si="2"/>
        <v>0</v>
      </c>
      <c r="C102" s="280">
        <v>47300.0</v>
      </c>
      <c r="D102" s="270">
        <f t="shared" si="6"/>
        <v>0</v>
      </c>
      <c r="E102" s="270" t="str">
        <f t="shared" si="7"/>
        <v>Future</v>
      </c>
      <c r="F102" s="276"/>
      <c r="G102" s="276"/>
      <c r="H102" s="276"/>
    </row>
    <row r="103">
      <c r="A103" s="268">
        <f t="shared" si="5"/>
        <v>0</v>
      </c>
      <c r="B103" s="277">
        <f t="shared" si="2"/>
        <v>0</v>
      </c>
      <c r="C103" s="280">
        <v>47331.0</v>
      </c>
      <c r="D103" s="270">
        <f t="shared" si="6"/>
        <v>0</v>
      </c>
      <c r="E103" s="270" t="str">
        <f t="shared" si="7"/>
        <v>Future</v>
      </c>
      <c r="F103" s="276"/>
      <c r="G103" s="276"/>
      <c r="H103" s="276"/>
    </row>
    <row r="104">
      <c r="A104" s="268">
        <f t="shared" si="5"/>
        <v>0</v>
      </c>
      <c r="B104" s="277">
        <f t="shared" si="2"/>
        <v>0</v>
      </c>
      <c r="C104" s="280">
        <v>47362.0</v>
      </c>
      <c r="D104" s="270">
        <f t="shared" si="6"/>
        <v>0</v>
      </c>
      <c r="E104" s="270" t="str">
        <f t="shared" si="7"/>
        <v>Future</v>
      </c>
      <c r="F104" s="276"/>
      <c r="G104" s="276"/>
      <c r="H104" s="276"/>
    </row>
    <row r="105">
      <c r="A105" s="268">
        <f t="shared" si="5"/>
        <v>0</v>
      </c>
      <c r="B105" s="277">
        <f t="shared" si="2"/>
        <v>0</v>
      </c>
      <c r="C105" s="280">
        <v>47392.0</v>
      </c>
      <c r="D105" s="270">
        <f t="shared" si="6"/>
        <v>0</v>
      </c>
      <c r="E105" s="270" t="str">
        <f t="shared" si="7"/>
        <v>Future</v>
      </c>
      <c r="F105" s="276"/>
      <c r="G105" s="276"/>
      <c r="H105" s="276"/>
    </row>
    <row r="106">
      <c r="A106" s="268">
        <f t="shared" si="5"/>
        <v>0</v>
      </c>
      <c r="B106" s="277">
        <f t="shared" si="2"/>
        <v>0</v>
      </c>
      <c r="C106" s="280">
        <v>47423.0</v>
      </c>
      <c r="D106" s="270">
        <f t="shared" si="6"/>
        <v>0</v>
      </c>
      <c r="E106" s="270" t="str">
        <f t="shared" si="7"/>
        <v>Future</v>
      </c>
      <c r="F106" s="276"/>
      <c r="G106" s="276"/>
      <c r="H106" s="276"/>
    </row>
    <row r="107">
      <c r="A107" s="268">
        <f t="shared" si="5"/>
        <v>0</v>
      </c>
      <c r="B107" s="277">
        <f t="shared" si="2"/>
        <v>0</v>
      </c>
      <c r="C107" s="280">
        <v>47453.0</v>
      </c>
      <c r="D107" s="270">
        <f t="shared" si="6"/>
        <v>0</v>
      </c>
      <c r="E107" s="270" t="str">
        <f t="shared" si="7"/>
        <v>Future</v>
      </c>
      <c r="F107" s="276"/>
      <c r="G107" s="276"/>
      <c r="H107" s="276"/>
    </row>
    <row r="108">
      <c r="A108" s="268">
        <f t="shared" si="5"/>
        <v>0</v>
      </c>
      <c r="B108" s="277">
        <f t="shared" si="2"/>
        <v>0</v>
      </c>
      <c r="C108" s="280">
        <v>47484.0</v>
      </c>
      <c r="D108" s="270">
        <f t="shared" si="6"/>
        <v>0</v>
      </c>
      <c r="E108" s="270" t="str">
        <f t="shared" si="7"/>
        <v>Future</v>
      </c>
      <c r="F108" s="276"/>
      <c r="G108" s="276"/>
      <c r="H108" s="276"/>
    </row>
    <row r="109">
      <c r="A109" s="268">
        <f t="shared" si="5"/>
        <v>0</v>
      </c>
      <c r="B109" s="277">
        <f t="shared" si="2"/>
        <v>0</v>
      </c>
      <c r="C109" s="280">
        <v>47515.0</v>
      </c>
      <c r="D109" s="270">
        <f t="shared" si="6"/>
        <v>0</v>
      </c>
      <c r="E109" s="270" t="str">
        <f t="shared" si="7"/>
        <v>Future</v>
      </c>
      <c r="F109" s="276"/>
      <c r="G109" s="276"/>
      <c r="H109" s="276"/>
    </row>
    <row r="110">
      <c r="A110" s="268">
        <f t="shared" si="5"/>
        <v>0</v>
      </c>
      <c r="B110" s="277">
        <f t="shared" si="2"/>
        <v>0</v>
      </c>
      <c r="C110" s="280">
        <v>47543.0</v>
      </c>
      <c r="D110" s="270">
        <f t="shared" si="6"/>
        <v>0</v>
      </c>
      <c r="E110" s="270" t="str">
        <f t="shared" si="7"/>
        <v>Future</v>
      </c>
      <c r="F110" s="276"/>
      <c r="G110" s="276"/>
      <c r="H110" s="276"/>
    </row>
    <row r="111">
      <c r="A111" s="268">
        <f t="shared" si="5"/>
        <v>0</v>
      </c>
      <c r="B111" s="277">
        <f t="shared" si="2"/>
        <v>0</v>
      </c>
      <c r="C111" s="280">
        <v>47574.0</v>
      </c>
      <c r="D111" s="270">
        <f t="shared" si="6"/>
        <v>0</v>
      </c>
      <c r="E111" s="270" t="str">
        <f t="shared" si="7"/>
        <v>Future</v>
      </c>
      <c r="F111" s="276"/>
      <c r="G111" s="276"/>
      <c r="H111" s="276"/>
    </row>
    <row r="112">
      <c r="A112" s="268">
        <f t="shared" si="5"/>
        <v>0</v>
      </c>
      <c r="B112" s="277">
        <f t="shared" si="2"/>
        <v>0</v>
      </c>
      <c r="C112" s="280">
        <v>47604.0</v>
      </c>
      <c r="D112" s="270">
        <f t="shared" si="6"/>
        <v>0</v>
      </c>
      <c r="E112" s="270" t="str">
        <f t="shared" si="7"/>
        <v>Future</v>
      </c>
      <c r="F112" s="276"/>
      <c r="G112" s="276"/>
      <c r="H112" s="276"/>
    </row>
    <row r="113">
      <c r="A113" s="268">
        <f t="shared" si="5"/>
        <v>0</v>
      </c>
      <c r="B113" s="277">
        <f t="shared" si="2"/>
        <v>0</v>
      </c>
      <c r="C113" s="280">
        <v>47635.0</v>
      </c>
      <c r="D113" s="270">
        <f t="shared" si="6"/>
        <v>0</v>
      </c>
      <c r="E113" s="270" t="str">
        <f t="shared" si="7"/>
        <v>Future</v>
      </c>
      <c r="F113" s="276"/>
      <c r="G113" s="276"/>
      <c r="H113" s="276"/>
    </row>
    <row r="114">
      <c r="A114" s="268">
        <f t="shared" si="5"/>
        <v>0</v>
      </c>
      <c r="B114" s="277">
        <f t="shared" si="2"/>
        <v>0</v>
      </c>
      <c r="C114" s="280">
        <v>47665.0</v>
      </c>
      <c r="D114" s="270">
        <f t="shared" si="6"/>
        <v>0</v>
      </c>
      <c r="E114" s="270" t="str">
        <f t="shared" si="7"/>
        <v>Future</v>
      </c>
      <c r="F114" s="276"/>
      <c r="G114" s="276"/>
      <c r="H114" s="276"/>
    </row>
    <row r="115">
      <c r="A115" s="268">
        <f t="shared" si="5"/>
        <v>0</v>
      </c>
      <c r="B115" s="277">
        <f t="shared" si="2"/>
        <v>0</v>
      </c>
      <c r="C115" s="280">
        <v>47696.0</v>
      </c>
      <c r="D115" s="270">
        <f t="shared" si="6"/>
        <v>0</v>
      </c>
      <c r="E115" s="270" t="str">
        <f t="shared" si="7"/>
        <v>Future</v>
      </c>
      <c r="F115" s="276"/>
      <c r="G115" s="276"/>
      <c r="H115" s="276"/>
    </row>
    <row r="116">
      <c r="A116" s="268">
        <f t="shared" si="5"/>
        <v>0</v>
      </c>
      <c r="B116" s="277">
        <f t="shared" si="2"/>
        <v>0</v>
      </c>
      <c r="C116" s="280">
        <v>47727.0</v>
      </c>
      <c r="D116" s="270">
        <f t="shared" si="6"/>
        <v>0</v>
      </c>
      <c r="E116" s="270" t="str">
        <f t="shared" si="7"/>
        <v>Future</v>
      </c>
      <c r="F116" s="276"/>
      <c r="G116" s="276"/>
      <c r="H116" s="276"/>
    </row>
    <row r="117">
      <c r="A117" s="268">
        <f t="shared" si="5"/>
        <v>0</v>
      </c>
      <c r="B117" s="277">
        <f t="shared" si="2"/>
        <v>0</v>
      </c>
      <c r="C117" s="280">
        <v>47757.0</v>
      </c>
      <c r="D117" s="270">
        <f t="shared" si="6"/>
        <v>0</v>
      </c>
      <c r="E117" s="270" t="str">
        <f t="shared" si="7"/>
        <v>Future</v>
      </c>
      <c r="F117" s="276"/>
      <c r="G117" s="276"/>
      <c r="H117" s="276"/>
    </row>
    <row r="118">
      <c r="A118" s="268">
        <f t="shared" si="5"/>
        <v>0</v>
      </c>
      <c r="B118" s="277">
        <f t="shared" si="2"/>
        <v>0</v>
      </c>
      <c r="C118" s="280">
        <v>47788.0</v>
      </c>
      <c r="D118" s="270">
        <f t="shared" si="6"/>
        <v>0</v>
      </c>
      <c r="E118" s="270" t="str">
        <f t="shared" si="7"/>
        <v>Future</v>
      </c>
      <c r="F118" s="276"/>
      <c r="G118" s="276"/>
      <c r="H118" s="276"/>
    </row>
  </sheetData>
  <conditionalFormatting sqref="F3 G3:H4">
    <cfRule type="cellIs" dxfId="12" priority="1" operator="equal">
      <formula>"Pending"</formula>
    </cfRule>
  </conditionalFormatting>
  <conditionalFormatting sqref="F3 G3:H4">
    <cfRule type="cellIs" dxfId="13" priority="2" operator="equal">
      <formula>"Paid"</formula>
    </cfRule>
  </conditionalFormatting>
  <conditionalFormatting sqref="F3 G3:H4">
    <cfRule type="cellIs" dxfId="14" priority="3" operator="equal">
      <formula>"Alternative"</formula>
    </cfRule>
  </conditionalFormatting>
  <conditionalFormatting sqref="F3 G3:H4">
    <cfRule type="cellIs" dxfId="15" priority="4" operator="equal">
      <formula>"Planned"</formula>
    </cfRule>
  </conditionalFormatting>
  <conditionalFormatting sqref="G4:H4">
    <cfRule type="cellIs" dxfId="16" priority="5" operator="greaterThan">
      <formula>0</formula>
    </cfRule>
  </conditionalFormatting>
  <conditionalFormatting sqref="G4:H4">
    <cfRule type="cellIs" dxfId="17" priority="6" operator="lessThan">
      <formula>0</formula>
    </cfRule>
  </conditionalFormatting>
  <conditionalFormatting sqref="F3 G3:H4">
    <cfRule type="cellIs" dxfId="2" priority="7" operator="equal">
      <formula>"Carry Forward"</formula>
    </cfRule>
  </conditionalFormatting>
  <conditionalFormatting sqref="D20:E118">
    <cfRule type="cellIs" dxfId="19" priority="8" operator="equal">
      <formula>"Current"</formula>
    </cfRule>
  </conditionalFormatting>
  <conditionalFormatting sqref="A1:H118">
    <cfRule type="cellIs" dxfId="19" priority="9" operator="equal">
      <formula>DATE(year(today()),month(today()),1)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9.0" topLeftCell="G20" activePane="bottomRight" state="frozen"/>
      <selection activeCell="G1" sqref="G1" pane="topRight"/>
      <selection activeCell="A20" sqref="A20" pane="bottomLeft"/>
      <selection activeCell="G20" sqref="G20" pane="bottomRight"/>
    </sheetView>
  </sheetViews>
  <sheetFormatPr customHeight="1" defaultColWidth="12.63" defaultRowHeight="15.75"/>
  <cols>
    <col customWidth="1" min="1" max="1" width="9.88"/>
    <col customWidth="1" min="2" max="2" width="8.38"/>
    <col customWidth="1" min="3" max="3" width="8.88"/>
    <col customWidth="1" min="4" max="5" width="7.38"/>
    <col customWidth="1" min="6" max="6" width="8.63"/>
    <col customWidth="1" min="7" max="10" width="9.13"/>
  </cols>
  <sheetData>
    <row r="1">
      <c r="A1" s="269"/>
      <c r="B1" s="269"/>
      <c r="C1" s="270"/>
      <c r="D1" s="269"/>
      <c r="E1" s="269"/>
      <c r="F1" s="271" t="s">
        <v>64</v>
      </c>
      <c r="G1" s="269"/>
      <c r="H1" s="269"/>
      <c r="I1" s="285">
        <v>45627.0</v>
      </c>
      <c r="J1" s="285">
        <v>45627.0</v>
      </c>
    </row>
    <row r="2">
      <c r="A2" s="269"/>
      <c r="B2" s="270"/>
      <c r="C2" s="269"/>
      <c r="D2" s="269"/>
      <c r="E2" s="269"/>
      <c r="F2" s="271" t="s">
        <v>223</v>
      </c>
      <c r="G2" s="286" t="s">
        <v>344</v>
      </c>
      <c r="H2" s="286" t="s">
        <v>344</v>
      </c>
      <c r="I2" s="286" t="s">
        <v>150</v>
      </c>
      <c r="J2" s="286" t="s">
        <v>345</v>
      </c>
    </row>
    <row r="3">
      <c r="A3" s="269"/>
      <c r="B3" s="270"/>
      <c r="C3" s="269"/>
      <c r="D3" s="269"/>
      <c r="E3" s="269"/>
      <c r="F3" s="271" t="s">
        <v>175</v>
      </c>
      <c r="G3" s="284" t="s">
        <v>346</v>
      </c>
      <c r="H3" s="284" t="s">
        <v>346</v>
      </c>
      <c r="I3" s="284" t="s">
        <v>347</v>
      </c>
      <c r="J3" s="284" t="s">
        <v>347</v>
      </c>
    </row>
    <row r="4">
      <c r="A4" s="269"/>
      <c r="B4" s="270"/>
      <c r="C4" s="269"/>
      <c r="D4" s="269"/>
      <c r="E4" s="269"/>
      <c r="F4" s="271" t="s">
        <v>176</v>
      </c>
      <c r="G4" s="287">
        <v>1000.0</v>
      </c>
      <c r="H4" s="287">
        <v>1000.0</v>
      </c>
      <c r="I4" s="287">
        <v>1000.0</v>
      </c>
      <c r="J4" s="287">
        <v>500.0</v>
      </c>
    </row>
    <row r="5" hidden="1">
      <c r="A5" s="269"/>
      <c r="B5" s="269"/>
      <c r="C5" s="269"/>
      <c r="D5" s="269"/>
      <c r="E5" s="269"/>
      <c r="F5" s="271" t="s">
        <v>177</v>
      </c>
      <c r="G5" s="269"/>
      <c r="H5" s="269"/>
      <c r="I5" s="269"/>
      <c r="J5" s="269"/>
    </row>
    <row r="6" hidden="1">
      <c r="A6" s="269"/>
      <c r="B6" s="269"/>
      <c r="C6" s="269"/>
      <c r="D6" s="269"/>
      <c r="E6" s="269"/>
      <c r="F6" s="271" t="s">
        <v>178</v>
      </c>
      <c r="G6" s="269"/>
      <c r="H6" s="269"/>
      <c r="I6" s="269"/>
      <c r="J6" s="269"/>
    </row>
    <row r="7" hidden="1">
      <c r="A7" s="269"/>
      <c r="B7" s="269"/>
      <c r="C7" s="269"/>
      <c r="D7" s="269"/>
      <c r="E7" s="269"/>
      <c r="F7" s="271" t="s">
        <v>179</v>
      </c>
      <c r="G7" s="269"/>
      <c r="H7" s="269"/>
      <c r="I7" s="269"/>
      <c r="J7" s="269"/>
    </row>
    <row r="8" hidden="1">
      <c r="A8" s="269"/>
      <c r="B8" s="274"/>
      <c r="C8" s="269"/>
      <c r="D8" s="269"/>
      <c r="E8" s="269"/>
      <c r="F8" s="271" t="s">
        <v>245</v>
      </c>
      <c r="G8" s="274">
        <v>45231.0</v>
      </c>
      <c r="H8" s="274">
        <v>45231.0</v>
      </c>
      <c r="I8" s="274"/>
      <c r="J8" s="274"/>
    </row>
    <row r="9" hidden="1">
      <c r="A9" s="269"/>
      <c r="B9" s="269"/>
      <c r="C9" s="269"/>
      <c r="D9" s="269"/>
      <c r="E9" s="269"/>
      <c r="F9" s="271" t="s">
        <v>246</v>
      </c>
      <c r="G9" s="274">
        <v>47757.0</v>
      </c>
      <c r="H9" s="274">
        <v>47757.0</v>
      </c>
      <c r="I9" s="274"/>
      <c r="J9" s="274"/>
    </row>
    <row r="10" hidden="1">
      <c r="A10" s="269"/>
      <c r="B10" s="269"/>
      <c r="C10" s="269"/>
      <c r="D10" s="269"/>
      <c r="E10" s="269"/>
      <c r="F10" s="271" t="s">
        <v>182</v>
      </c>
      <c r="G10" s="269"/>
      <c r="H10" s="269"/>
      <c r="I10" s="269"/>
      <c r="J10" s="269"/>
    </row>
    <row r="11" hidden="1">
      <c r="A11" s="269"/>
      <c r="B11" s="269"/>
      <c r="C11" s="269"/>
      <c r="D11" s="269"/>
      <c r="E11" s="269"/>
      <c r="F11" s="271" t="s">
        <v>247</v>
      </c>
      <c r="G11" s="276"/>
      <c r="H11" s="276"/>
      <c r="I11" s="276"/>
      <c r="J11" s="276"/>
    </row>
    <row r="12">
      <c r="A12" s="269"/>
      <c r="B12" s="270"/>
      <c r="C12" s="269"/>
      <c r="D12" s="269"/>
      <c r="E12" s="269"/>
      <c r="F12" s="271" t="s">
        <v>249</v>
      </c>
      <c r="G12" s="277">
        <f t="shared" ref="G12:J12" si="1">SUMIFS(G20:G118,$C20:$C118,"&gt;"&amp;#REF!)</f>
        <v>0</v>
      </c>
      <c r="H12" s="277">
        <f t="shared" si="1"/>
        <v>0</v>
      </c>
      <c r="I12" s="277">
        <f t="shared" si="1"/>
        <v>0</v>
      </c>
      <c r="J12" s="277">
        <f t="shared" si="1"/>
        <v>0</v>
      </c>
    </row>
    <row r="13">
      <c r="A13" s="269"/>
      <c r="B13" s="269"/>
      <c r="C13" s="269"/>
      <c r="D13" s="269"/>
      <c r="E13" s="269"/>
      <c r="F13" s="271" t="s">
        <v>250</v>
      </c>
      <c r="G13" s="277">
        <f t="shared" ref="G13:J13" si="2">COUNTIFs(G20:G118,"&gt;"&amp;0,$C20:$C118,"&gt;"&amp;#REF!)</f>
        <v>0</v>
      </c>
      <c r="H13" s="277">
        <f t="shared" si="2"/>
        <v>0</v>
      </c>
      <c r="I13" s="277">
        <f t="shared" si="2"/>
        <v>0</v>
      </c>
      <c r="J13" s="277">
        <f t="shared" si="2"/>
        <v>0</v>
      </c>
    </row>
    <row r="14" hidden="1">
      <c r="A14" s="269"/>
      <c r="B14" s="269"/>
      <c r="C14" s="269"/>
      <c r="D14" s="269"/>
      <c r="E14" s="269"/>
      <c r="F14" s="271" t="s">
        <v>251</v>
      </c>
      <c r="G14" s="278"/>
      <c r="H14" s="278"/>
      <c r="I14" s="278"/>
      <c r="J14" s="278"/>
    </row>
    <row r="15" hidden="1">
      <c r="A15" s="269"/>
      <c r="B15" s="269"/>
      <c r="C15" s="269"/>
      <c r="D15" s="269"/>
      <c r="E15" s="269"/>
      <c r="F15" s="271" t="s">
        <v>252</v>
      </c>
      <c r="G15" s="276"/>
      <c r="H15" s="276"/>
      <c r="I15" s="276"/>
      <c r="J15" s="276"/>
    </row>
    <row r="16" hidden="1">
      <c r="A16" s="269"/>
      <c r="B16" s="269"/>
      <c r="C16" s="269"/>
      <c r="D16" s="269"/>
      <c r="E16" s="269"/>
      <c r="F16" s="271" t="s">
        <v>253</v>
      </c>
      <c r="G16" s="276"/>
      <c r="H16" s="276"/>
      <c r="I16" s="276"/>
      <c r="J16" s="276"/>
    </row>
    <row r="17" hidden="1">
      <c r="A17" s="269"/>
      <c r="B17" s="269"/>
      <c r="C17" s="269"/>
      <c r="D17" s="269"/>
      <c r="E17" s="269"/>
      <c r="F17" s="271" t="s">
        <v>254</v>
      </c>
      <c r="G17" s="276"/>
      <c r="H17" s="276"/>
      <c r="I17" s="276"/>
      <c r="J17" s="276"/>
    </row>
    <row r="18">
      <c r="A18" s="269"/>
      <c r="B18" s="279"/>
      <c r="C18" s="269"/>
      <c r="D18" s="269"/>
      <c r="E18" s="269"/>
      <c r="F18" s="271" t="s">
        <v>255</v>
      </c>
      <c r="G18" s="288">
        <v>1000.0</v>
      </c>
      <c r="H18" s="288">
        <v>500.0</v>
      </c>
      <c r="I18" s="288">
        <v>1000.0</v>
      </c>
      <c r="J18" s="288">
        <v>500.0</v>
      </c>
    </row>
    <row r="19">
      <c r="A19" s="270" t="s">
        <v>256</v>
      </c>
      <c r="B19" s="271" t="s">
        <v>257</v>
      </c>
      <c r="C19" s="271"/>
      <c r="D19" s="270" t="s">
        <v>290</v>
      </c>
      <c r="E19" s="284" t="s">
        <v>289</v>
      </c>
      <c r="F19" s="271" t="s">
        <v>174</v>
      </c>
      <c r="G19" s="284" t="s">
        <v>290</v>
      </c>
      <c r="H19" s="284" t="s">
        <v>290</v>
      </c>
      <c r="I19" s="284" t="s">
        <v>289</v>
      </c>
      <c r="J19" s="284" t="s">
        <v>289</v>
      </c>
    </row>
    <row r="20">
      <c r="A20" s="268">
        <f>ceiling(sum(G20:J117)-sum(G20:J20),1)</f>
        <v>2090500</v>
      </c>
      <c r="B20" s="277">
        <f t="shared" ref="B20:B46" si="4">ceiling(sum(G20:J20),1)</f>
        <v>2000</v>
      </c>
      <c r="C20" s="280">
        <v>44805.0</v>
      </c>
      <c r="D20" s="270">
        <f t="shared" ref="D20:E20" si="3">sumif($G$19:J19,D$19,$G20:J20)</f>
        <v>2000</v>
      </c>
      <c r="E20" s="270">
        <f t="shared" si="3"/>
        <v>0</v>
      </c>
      <c r="F20" s="270" t="str">
        <f t="shared" ref="F20:F118" si="6">if(C20=DATE(year(today()),month(today()),1),"Current",if(C20&gt;DATE(year(today()),month(today()),1), "Future","Past"))</f>
        <v>Past</v>
      </c>
      <c r="G20" s="289">
        <v>1000.0</v>
      </c>
      <c r="H20" s="289">
        <v>1000.0</v>
      </c>
      <c r="I20" s="289"/>
      <c r="J20" s="289"/>
    </row>
    <row r="21">
      <c r="A21" s="268">
        <f t="shared" ref="A21:A118" si="7">ceiling(sum(G21:J119)-sum(G21:J21),1)</f>
        <v>2153500</v>
      </c>
      <c r="B21" s="277">
        <f t="shared" si="4"/>
        <v>2000</v>
      </c>
      <c r="C21" s="280">
        <v>44835.0</v>
      </c>
      <c r="D21" s="270">
        <f t="shared" ref="D21:E21" si="5">sumif($G$19:J20,D$19,$G21:J21)</f>
        <v>2000</v>
      </c>
      <c r="E21" s="270">
        <f t="shared" si="5"/>
        <v>0</v>
      </c>
      <c r="F21" s="270" t="str">
        <f t="shared" si="6"/>
        <v>Past</v>
      </c>
      <c r="G21" s="289">
        <v>1000.0</v>
      </c>
      <c r="H21" s="289">
        <v>1000.0</v>
      </c>
      <c r="I21" s="289"/>
      <c r="J21" s="289"/>
    </row>
    <row r="22">
      <c r="A22" s="268">
        <f t="shared" si="7"/>
        <v>2151500</v>
      </c>
      <c r="B22" s="277">
        <f t="shared" si="4"/>
        <v>2000</v>
      </c>
      <c r="C22" s="280">
        <v>44866.0</v>
      </c>
      <c r="D22" s="270">
        <f t="shared" ref="D22:E22" si="8">sumif($G$19:J21,D$19,$G22:J22)</f>
        <v>2000</v>
      </c>
      <c r="E22" s="270">
        <f t="shared" si="8"/>
        <v>0</v>
      </c>
      <c r="F22" s="270" t="str">
        <f t="shared" si="6"/>
        <v>Past</v>
      </c>
      <c r="G22" s="289">
        <v>1000.0</v>
      </c>
      <c r="H22" s="289">
        <v>1000.0</v>
      </c>
      <c r="I22" s="289"/>
      <c r="J22" s="289"/>
    </row>
    <row r="23">
      <c r="A23" s="268">
        <f t="shared" si="7"/>
        <v>2149500</v>
      </c>
      <c r="B23" s="277">
        <f t="shared" si="4"/>
        <v>2000</v>
      </c>
      <c r="C23" s="280">
        <v>44896.0</v>
      </c>
      <c r="D23" s="270">
        <f t="shared" ref="D23:E23" si="9">sumif($G$19:J22,D$19,$G23:J23)</f>
        <v>2000</v>
      </c>
      <c r="E23" s="270">
        <f t="shared" si="9"/>
        <v>0</v>
      </c>
      <c r="F23" s="270" t="str">
        <f t="shared" si="6"/>
        <v>Past</v>
      </c>
      <c r="G23" s="289">
        <v>1000.0</v>
      </c>
      <c r="H23" s="289">
        <v>1000.0</v>
      </c>
      <c r="I23" s="289"/>
      <c r="J23" s="289"/>
    </row>
    <row r="24">
      <c r="A24" s="268">
        <f t="shared" si="7"/>
        <v>2147500</v>
      </c>
      <c r="B24" s="277">
        <f t="shared" si="4"/>
        <v>2000</v>
      </c>
      <c r="C24" s="280">
        <v>44927.0</v>
      </c>
      <c r="D24" s="270">
        <f t="shared" ref="D24:E24" si="10">sumif($G$19:J23,D$19,$G24:J24)</f>
        <v>2000</v>
      </c>
      <c r="E24" s="270">
        <f t="shared" si="10"/>
        <v>0</v>
      </c>
      <c r="F24" s="270" t="str">
        <f t="shared" si="6"/>
        <v>Past</v>
      </c>
      <c r="G24" s="289">
        <v>1000.0</v>
      </c>
      <c r="H24" s="289">
        <v>1000.0</v>
      </c>
      <c r="I24" s="289"/>
      <c r="J24" s="289"/>
    </row>
    <row r="25">
      <c r="A25" s="268">
        <f t="shared" si="7"/>
        <v>2145500</v>
      </c>
      <c r="B25" s="277">
        <f t="shared" si="4"/>
        <v>2000</v>
      </c>
      <c r="C25" s="280">
        <v>44958.0</v>
      </c>
      <c r="D25" s="270">
        <f t="shared" ref="D25:E25" si="11">sumif($G$19:J24,D$19,$G25:J25)</f>
        <v>2000</v>
      </c>
      <c r="E25" s="270">
        <f t="shared" si="11"/>
        <v>0</v>
      </c>
      <c r="F25" s="270" t="str">
        <f t="shared" si="6"/>
        <v>Past</v>
      </c>
      <c r="G25" s="289">
        <v>1000.0</v>
      </c>
      <c r="H25" s="289">
        <v>1000.0</v>
      </c>
      <c r="I25" s="289"/>
      <c r="J25" s="289"/>
    </row>
    <row r="26">
      <c r="A26" s="268">
        <f t="shared" si="7"/>
        <v>2143500</v>
      </c>
      <c r="B26" s="277">
        <f t="shared" si="4"/>
        <v>2000</v>
      </c>
      <c r="C26" s="280">
        <v>44986.0</v>
      </c>
      <c r="D26" s="270">
        <f t="shared" ref="D26:E26" si="12">sumif($G$19:J25,D$19,$G26:J26)</f>
        <v>2000</v>
      </c>
      <c r="E26" s="270">
        <f t="shared" si="12"/>
        <v>0</v>
      </c>
      <c r="F26" s="270" t="str">
        <f t="shared" si="6"/>
        <v>Past</v>
      </c>
      <c r="G26" s="289">
        <v>1000.0</v>
      </c>
      <c r="H26" s="289">
        <v>1000.0</v>
      </c>
      <c r="I26" s="289"/>
      <c r="J26" s="289"/>
    </row>
    <row r="27">
      <c r="A27" s="268">
        <f t="shared" si="7"/>
        <v>2141500</v>
      </c>
      <c r="B27" s="277">
        <f t="shared" si="4"/>
        <v>2000</v>
      </c>
      <c r="C27" s="280">
        <v>45017.0</v>
      </c>
      <c r="D27" s="270">
        <f t="shared" ref="D27:E27" si="13">sumif($G$19:J26,D$19,$G27:J27)</f>
        <v>2000</v>
      </c>
      <c r="E27" s="270">
        <f t="shared" si="13"/>
        <v>0</v>
      </c>
      <c r="F27" s="270" t="str">
        <f t="shared" si="6"/>
        <v>Past</v>
      </c>
      <c r="G27" s="289">
        <v>1000.0</v>
      </c>
      <c r="H27" s="289">
        <v>1000.0</v>
      </c>
      <c r="I27" s="289"/>
      <c r="J27" s="289"/>
    </row>
    <row r="28">
      <c r="A28" s="268">
        <f t="shared" si="7"/>
        <v>2139500</v>
      </c>
      <c r="B28" s="277">
        <f t="shared" si="4"/>
        <v>2000</v>
      </c>
      <c r="C28" s="280">
        <v>45047.0</v>
      </c>
      <c r="D28" s="270">
        <f t="shared" ref="D28:E28" si="14">sumif($G$19:J27,D$19,$G28:J28)</f>
        <v>2000</v>
      </c>
      <c r="E28" s="270">
        <f t="shared" si="14"/>
        <v>0</v>
      </c>
      <c r="F28" s="270" t="str">
        <f t="shared" si="6"/>
        <v>Past</v>
      </c>
      <c r="G28" s="289">
        <v>1000.0</v>
      </c>
      <c r="H28" s="289">
        <v>1000.0</v>
      </c>
      <c r="I28" s="289"/>
      <c r="J28" s="289"/>
    </row>
    <row r="29">
      <c r="A29" s="268">
        <f t="shared" si="7"/>
        <v>2137500</v>
      </c>
      <c r="B29" s="277">
        <f t="shared" si="4"/>
        <v>2000</v>
      </c>
      <c r="C29" s="280">
        <v>45078.0</v>
      </c>
      <c r="D29" s="270">
        <f t="shared" ref="D29:E29" si="15">sumif($G$19:J28,D$19,$G29:J29)</f>
        <v>2000</v>
      </c>
      <c r="E29" s="270">
        <f t="shared" si="15"/>
        <v>0</v>
      </c>
      <c r="F29" s="270" t="str">
        <f t="shared" si="6"/>
        <v>Past</v>
      </c>
      <c r="G29" s="289">
        <v>1000.0</v>
      </c>
      <c r="H29" s="289">
        <v>1000.0</v>
      </c>
      <c r="I29" s="289"/>
      <c r="J29" s="289"/>
    </row>
    <row r="30">
      <c r="A30" s="268">
        <f t="shared" si="7"/>
        <v>2135500</v>
      </c>
      <c r="B30" s="277">
        <f t="shared" si="4"/>
        <v>2000</v>
      </c>
      <c r="C30" s="280">
        <v>45108.0</v>
      </c>
      <c r="D30" s="270">
        <f t="shared" ref="D30:E30" si="16">sumif($G$19:J29,D$19,$G30:J30)</f>
        <v>2000</v>
      </c>
      <c r="E30" s="270">
        <f t="shared" si="16"/>
        <v>0</v>
      </c>
      <c r="F30" s="270" t="str">
        <f t="shared" si="6"/>
        <v>Past</v>
      </c>
      <c r="G30" s="289">
        <v>1000.0</v>
      </c>
      <c r="H30" s="289">
        <v>1000.0</v>
      </c>
      <c r="I30" s="289"/>
      <c r="J30" s="289"/>
    </row>
    <row r="31">
      <c r="A31" s="268">
        <f t="shared" si="7"/>
        <v>2133500</v>
      </c>
      <c r="B31" s="277">
        <f t="shared" si="4"/>
        <v>2000</v>
      </c>
      <c r="C31" s="280">
        <v>45139.0</v>
      </c>
      <c r="D31" s="270">
        <f t="shared" ref="D31:E31" si="17">sumif($G$19:J30,D$19,$G31:J31)</f>
        <v>2000</v>
      </c>
      <c r="E31" s="270">
        <f t="shared" si="17"/>
        <v>0</v>
      </c>
      <c r="F31" s="270" t="str">
        <f t="shared" si="6"/>
        <v>Past</v>
      </c>
      <c r="G31" s="289">
        <v>1000.0</v>
      </c>
      <c r="H31" s="289">
        <v>1000.0</v>
      </c>
      <c r="I31" s="289"/>
      <c r="J31" s="289"/>
    </row>
    <row r="32">
      <c r="A32" s="268">
        <f t="shared" si="7"/>
        <v>2131500</v>
      </c>
      <c r="B32" s="277">
        <f t="shared" si="4"/>
        <v>2000</v>
      </c>
      <c r="C32" s="280">
        <v>45170.0</v>
      </c>
      <c r="D32" s="270">
        <f t="shared" ref="D32:E32" si="18">sumif($G$19:J31,D$19,$G32:J32)</f>
        <v>2000</v>
      </c>
      <c r="E32" s="270">
        <f t="shared" si="18"/>
        <v>0</v>
      </c>
      <c r="F32" s="270" t="str">
        <f t="shared" si="6"/>
        <v>Past</v>
      </c>
      <c r="G32" s="289">
        <v>1000.0</v>
      </c>
      <c r="H32" s="289">
        <v>1000.0</v>
      </c>
      <c r="I32" s="289"/>
      <c r="J32" s="289"/>
    </row>
    <row r="33">
      <c r="A33" s="268">
        <f t="shared" si="7"/>
        <v>2129500</v>
      </c>
      <c r="B33" s="277">
        <f t="shared" si="4"/>
        <v>2000</v>
      </c>
      <c r="C33" s="280">
        <v>45200.0</v>
      </c>
      <c r="D33" s="270">
        <f t="shared" ref="D33:E33" si="19">sumif($G$19:J32,D$19,$G33:J33)</f>
        <v>2000</v>
      </c>
      <c r="E33" s="270">
        <f t="shared" si="19"/>
        <v>0</v>
      </c>
      <c r="F33" s="270" t="str">
        <f t="shared" si="6"/>
        <v>Past</v>
      </c>
      <c r="G33" s="289">
        <v>1000.0</v>
      </c>
      <c r="H33" s="289">
        <v>1000.0</v>
      </c>
      <c r="I33" s="289"/>
      <c r="J33" s="289"/>
    </row>
    <row r="34">
      <c r="A34" s="268">
        <f t="shared" si="7"/>
        <v>2127500</v>
      </c>
      <c r="B34" s="277">
        <f t="shared" si="4"/>
        <v>2000</v>
      </c>
      <c r="C34" s="280">
        <v>45231.0</v>
      </c>
      <c r="D34" s="270">
        <f t="shared" ref="D34:E34" si="20">sumif($G$19:J33,D$19,$G34:J34)</f>
        <v>2000</v>
      </c>
      <c r="E34" s="270">
        <f t="shared" si="20"/>
        <v>0</v>
      </c>
      <c r="F34" s="270" t="str">
        <f t="shared" si="6"/>
        <v>Past</v>
      </c>
      <c r="G34" s="289">
        <v>1000.0</v>
      </c>
      <c r="H34" s="289">
        <v>1000.0</v>
      </c>
      <c r="I34" s="289"/>
      <c r="J34" s="289"/>
    </row>
    <row r="35">
      <c r="A35" s="268">
        <f t="shared" si="7"/>
        <v>2125500</v>
      </c>
      <c r="B35" s="277">
        <f t="shared" si="4"/>
        <v>2000</v>
      </c>
      <c r="C35" s="280">
        <v>45261.0</v>
      </c>
      <c r="D35" s="270">
        <f t="shared" ref="D35:E35" si="21">sumif($G$19:J34,D$19,$G35:J35)</f>
        <v>2000</v>
      </c>
      <c r="E35" s="270">
        <f t="shared" si="21"/>
        <v>0</v>
      </c>
      <c r="F35" s="270" t="str">
        <f t="shared" si="6"/>
        <v>Past</v>
      </c>
      <c r="G35" s="289">
        <v>1000.0</v>
      </c>
      <c r="H35" s="289">
        <v>1000.0</v>
      </c>
      <c r="I35" s="289"/>
      <c r="J35" s="289"/>
    </row>
    <row r="36">
      <c r="A36" s="268">
        <f t="shared" si="7"/>
        <v>2123500</v>
      </c>
      <c r="B36" s="277">
        <f t="shared" si="4"/>
        <v>2000</v>
      </c>
      <c r="C36" s="280">
        <v>45292.0</v>
      </c>
      <c r="D36" s="270">
        <f t="shared" ref="D36:E36" si="22">sumif($G$19:J35,D$19,$G36:J36)</f>
        <v>2000</v>
      </c>
      <c r="E36" s="270">
        <f t="shared" si="22"/>
        <v>0</v>
      </c>
      <c r="F36" s="270" t="str">
        <f t="shared" si="6"/>
        <v>Past</v>
      </c>
      <c r="G36" s="289">
        <v>1000.0</v>
      </c>
      <c r="H36" s="289">
        <v>1000.0</v>
      </c>
      <c r="I36" s="289"/>
      <c r="J36" s="289"/>
    </row>
    <row r="37">
      <c r="A37" s="268">
        <f t="shared" si="7"/>
        <v>2121500</v>
      </c>
      <c r="B37" s="277">
        <f t="shared" si="4"/>
        <v>2000</v>
      </c>
      <c r="C37" s="280">
        <v>45323.0</v>
      </c>
      <c r="D37" s="270">
        <f t="shared" ref="D37:E37" si="23">sumif($G$19:J36,D$19,$G37:J37)</f>
        <v>2000</v>
      </c>
      <c r="E37" s="270">
        <f t="shared" si="23"/>
        <v>0</v>
      </c>
      <c r="F37" s="270" t="str">
        <f t="shared" si="6"/>
        <v>Past</v>
      </c>
      <c r="G37" s="289">
        <v>1000.0</v>
      </c>
      <c r="H37" s="289">
        <v>1000.0</v>
      </c>
      <c r="I37" s="289"/>
      <c r="J37" s="289"/>
    </row>
    <row r="38">
      <c r="A38" s="268">
        <f t="shared" si="7"/>
        <v>2119500</v>
      </c>
      <c r="B38" s="277">
        <f t="shared" si="4"/>
        <v>2000</v>
      </c>
      <c r="C38" s="280">
        <v>45352.0</v>
      </c>
      <c r="D38" s="270">
        <f t="shared" ref="D38:E38" si="24">sumif($G$19:J37,D$19,$G38:J38)</f>
        <v>2000</v>
      </c>
      <c r="E38" s="270">
        <f t="shared" si="24"/>
        <v>0</v>
      </c>
      <c r="F38" s="270" t="str">
        <f t="shared" si="6"/>
        <v>Past</v>
      </c>
      <c r="G38" s="289">
        <v>1000.0</v>
      </c>
      <c r="H38" s="289">
        <v>1000.0</v>
      </c>
      <c r="I38" s="289"/>
      <c r="J38" s="289"/>
    </row>
    <row r="39">
      <c r="A39" s="268">
        <f t="shared" si="7"/>
        <v>2117500</v>
      </c>
      <c r="B39" s="277">
        <f t="shared" si="4"/>
        <v>2000</v>
      </c>
      <c r="C39" s="280">
        <v>45383.0</v>
      </c>
      <c r="D39" s="270">
        <f t="shared" ref="D39:E39" si="25">sumif($G$19:J38,D$19,$G39:J39)</f>
        <v>2000</v>
      </c>
      <c r="E39" s="270">
        <f t="shared" si="25"/>
        <v>0</v>
      </c>
      <c r="F39" s="270" t="str">
        <f t="shared" si="6"/>
        <v>Past</v>
      </c>
      <c r="G39" s="289">
        <v>1000.0</v>
      </c>
      <c r="H39" s="289">
        <v>1000.0</v>
      </c>
      <c r="I39" s="289"/>
      <c r="J39" s="289"/>
    </row>
    <row r="40">
      <c r="A40" s="268">
        <f t="shared" si="7"/>
        <v>2115500</v>
      </c>
      <c r="B40" s="277">
        <f t="shared" si="4"/>
        <v>2000</v>
      </c>
      <c r="C40" s="280">
        <v>45413.0</v>
      </c>
      <c r="D40" s="270">
        <f t="shared" ref="D40:E40" si="26">sumif($G$19:J39,D$19,$G40:J40)</f>
        <v>2000</v>
      </c>
      <c r="E40" s="270">
        <f t="shared" si="26"/>
        <v>0</v>
      </c>
      <c r="F40" s="270" t="str">
        <f t="shared" si="6"/>
        <v>Past</v>
      </c>
      <c r="G40" s="289">
        <v>1000.0</v>
      </c>
      <c r="H40" s="289">
        <v>1000.0</v>
      </c>
      <c r="I40" s="289"/>
      <c r="J40" s="289"/>
    </row>
    <row r="41">
      <c r="A41" s="268">
        <f t="shared" si="7"/>
        <v>2113500</v>
      </c>
      <c r="B41" s="277">
        <f t="shared" si="4"/>
        <v>2000</v>
      </c>
      <c r="C41" s="280">
        <v>45444.0</v>
      </c>
      <c r="D41" s="270">
        <f t="shared" ref="D41:E41" si="27">sumif($G$19:J40,D$19,$G41:J41)</f>
        <v>2000</v>
      </c>
      <c r="E41" s="270">
        <f t="shared" si="27"/>
        <v>0</v>
      </c>
      <c r="F41" s="270" t="str">
        <f t="shared" si="6"/>
        <v>Past</v>
      </c>
      <c r="G41" s="289">
        <v>1000.0</v>
      </c>
      <c r="H41" s="289">
        <v>1000.0</v>
      </c>
      <c r="I41" s="289"/>
      <c r="J41" s="289"/>
    </row>
    <row r="42">
      <c r="A42" s="268">
        <f t="shared" si="7"/>
        <v>2111500</v>
      </c>
      <c r="B42" s="277">
        <f t="shared" si="4"/>
        <v>2000</v>
      </c>
      <c r="C42" s="280">
        <v>45474.0</v>
      </c>
      <c r="D42" s="270">
        <f t="shared" ref="D42:E42" si="28">sumif($G$19:J41,D$19,$G42:J42)</f>
        <v>2000</v>
      </c>
      <c r="E42" s="270">
        <f t="shared" si="28"/>
        <v>0</v>
      </c>
      <c r="F42" s="270" t="str">
        <f t="shared" si="6"/>
        <v>Past</v>
      </c>
      <c r="G42" s="289">
        <v>1000.0</v>
      </c>
      <c r="H42" s="289">
        <v>1000.0</v>
      </c>
      <c r="I42" s="289"/>
      <c r="J42" s="289"/>
    </row>
    <row r="43">
      <c r="A43" s="268">
        <f t="shared" si="7"/>
        <v>2109500</v>
      </c>
      <c r="B43" s="277">
        <f t="shared" si="4"/>
        <v>2000</v>
      </c>
      <c r="C43" s="280">
        <v>45505.0</v>
      </c>
      <c r="D43" s="270">
        <f t="shared" ref="D43:E43" si="29">sumif($G$19:J42,D$19,$G43:J43)</f>
        <v>2000</v>
      </c>
      <c r="E43" s="270">
        <f t="shared" si="29"/>
        <v>0</v>
      </c>
      <c r="F43" s="270" t="str">
        <f t="shared" si="6"/>
        <v>Past</v>
      </c>
      <c r="G43" s="289">
        <v>1000.0</v>
      </c>
      <c r="H43" s="289">
        <v>1000.0</v>
      </c>
      <c r="I43" s="289"/>
      <c r="J43" s="289"/>
    </row>
    <row r="44">
      <c r="A44" s="268">
        <f t="shared" si="7"/>
        <v>2107500</v>
      </c>
      <c r="B44" s="277">
        <f t="shared" si="4"/>
        <v>2000</v>
      </c>
      <c r="C44" s="280">
        <v>45536.0</v>
      </c>
      <c r="D44" s="270">
        <f t="shared" ref="D44:E44" si="30">sumif($G$19:J43,D$19,$G44:J44)</f>
        <v>2000</v>
      </c>
      <c r="E44" s="270">
        <f t="shared" si="30"/>
        <v>0</v>
      </c>
      <c r="F44" s="270" t="str">
        <f t="shared" si="6"/>
        <v>Past</v>
      </c>
      <c r="G44" s="289">
        <v>1000.0</v>
      </c>
      <c r="H44" s="289">
        <v>1000.0</v>
      </c>
      <c r="I44" s="289"/>
      <c r="J44" s="289"/>
    </row>
    <row r="45">
      <c r="A45" s="268">
        <f t="shared" si="7"/>
        <v>2105500</v>
      </c>
      <c r="B45" s="277">
        <f t="shared" si="4"/>
        <v>2000</v>
      </c>
      <c r="C45" s="280">
        <v>45566.0</v>
      </c>
      <c r="D45" s="270">
        <f t="shared" ref="D45:E45" si="31">sumif($G$19:J44,D$19,$G45:J45)</f>
        <v>2000</v>
      </c>
      <c r="E45" s="270">
        <f t="shared" si="31"/>
        <v>0</v>
      </c>
      <c r="F45" s="270" t="str">
        <f t="shared" si="6"/>
        <v>Past</v>
      </c>
      <c r="G45" s="289">
        <v>1000.0</v>
      </c>
      <c r="H45" s="289">
        <v>1000.0</v>
      </c>
      <c r="I45" s="289"/>
      <c r="J45" s="289"/>
    </row>
    <row r="46">
      <c r="A46" s="268">
        <f t="shared" si="7"/>
        <v>2103500</v>
      </c>
      <c r="B46" s="277">
        <f t="shared" si="4"/>
        <v>2000</v>
      </c>
      <c r="C46" s="280">
        <v>45597.0</v>
      </c>
      <c r="D46" s="284">
        <v>0.0</v>
      </c>
      <c r="E46" s="284">
        <v>0.0</v>
      </c>
      <c r="F46" s="270" t="str">
        <f t="shared" si="6"/>
        <v>Past</v>
      </c>
      <c r="G46" s="289">
        <v>1000.0</v>
      </c>
      <c r="H46" s="289">
        <v>1000.0</v>
      </c>
      <c r="I46" s="289"/>
      <c r="J46" s="289"/>
    </row>
    <row r="47">
      <c r="A47" s="268">
        <f t="shared" si="7"/>
        <v>2100000</v>
      </c>
      <c r="B47" s="277">
        <f t="shared" ref="B47:B118" si="32">sum(D47:E47)</f>
        <v>1000</v>
      </c>
      <c r="C47" s="280">
        <v>45627.0</v>
      </c>
      <c r="D47" s="270">
        <f>sumif($G$19:J46,D$19,$G47:J47)-1000</f>
        <v>1000</v>
      </c>
      <c r="E47" s="270">
        <f>sumif($G$19:J46,E$19,$G47:J47)-1000-500</f>
        <v>0</v>
      </c>
      <c r="F47" s="270" t="str">
        <f t="shared" si="6"/>
        <v>Past</v>
      </c>
      <c r="G47" s="290">
        <v>1000.0</v>
      </c>
      <c r="H47" s="290">
        <v>1000.0</v>
      </c>
      <c r="I47" s="290">
        <v>1000.0</v>
      </c>
      <c r="J47" s="290">
        <v>500.0</v>
      </c>
    </row>
    <row r="48">
      <c r="A48" s="268">
        <f t="shared" si="7"/>
        <v>2096000</v>
      </c>
      <c r="B48" s="277">
        <f t="shared" si="32"/>
        <v>0</v>
      </c>
      <c r="C48" s="280">
        <v>45658.0</v>
      </c>
      <c r="D48" s="284">
        <v>0.0</v>
      </c>
      <c r="E48" s="284">
        <v>0.0</v>
      </c>
      <c r="F48" s="270" t="str">
        <f t="shared" si="6"/>
        <v>Past</v>
      </c>
      <c r="G48" s="289">
        <v>1000.0</v>
      </c>
      <c r="H48" s="289">
        <v>1000.0</v>
      </c>
      <c r="I48" s="289">
        <v>2000.0</v>
      </c>
      <c r="J48" s="290"/>
    </row>
    <row r="49">
      <c r="A49" s="268">
        <f t="shared" si="7"/>
        <v>2091500</v>
      </c>
      <c r="B49" s="277">
        <f t="shared" si="32"/>
        <v>0</v>
      </c>
      <c r="C49" s="280">
        <v>45689.0</v>
      </c>
      <c r="D49" s="284">
        <v>0.0</v>
      </c>
      <c r="E49" s="284">
        <v>0.0</v>
      </c>
      <c r="F49" s="270" t="str">
        <f t="shared" si="6"/>
        <v>Past</v>
      </c>
      <c r="G49" s="289">
        <v>1000.0</v>
      </c>
      <c r="H49" s="289">
        <v>1000.0</v>
      </c>
      <c r="I49" s="289">
        <v>2500.0</v>
      </c>
      <c r="J49" s="290"/>
    </row>
    <row r="50">
      <c r="A50" s="268">
        <f t="shared" si="7"/>
        <v>2085000</v>
      </c>
      <c r="B50" s="277">
        <f t="shared" si="32"/>
        <v>0</v>
      </c>
      <c r="C50" s="280">
        <v>45717.0</v>
      </c>
      <c r="D50" s="284">
        <v>0.0</v>
      </c>
      <c r="E50" s="284">
        <v>0.0</v>
      </c>
      <c r="F50" s="270" t="str">
        <f t="shared" si="6"/>
        <v>Past</v>
      </c>
      <c r="G50" s="289">
        <v>1000.0</v>
      </c>
      <c r="H50" s="289">
        <v>1000.0</v>
      </c>
      <c r="I50" s="289">
        <v>2500.0</v>
      </c>
      <c r="J50" s="289">
        <v>2000.0</v>
      </c>
    </row>
    <row r="51">
      <c r="A51" s="268">
        <f t="shared" si="7"/>
        <v>2077000</v>
      </c>
      <c r="B51" s="277">
        <f t="shared" si="32"/>
        <v>0</v>
      </c>
      <c r="C51" s="280">
        <v>45748.0</v>
      </c>
      <c r="D51" s="284">
        <v>0.0</v>
      </c>
      <c r="E51" s="284">
        <v>0.0</v>
      </c>
      <c r="F51" s="270" t="str">
        <f t="shared" si="6"/>
        <v>Past</v>
      </c>
      <c r="G51" s="289">
        <v>1000.0</v>
      </c>
      <c r="H51" s="289">
        <v>1000.0</v>
      </c>
      <c r="I51" s="289">
        <v>3000.0</v>
      </c>
      <c r="J51" s="289">
        <v>3000.0</v>
      </c>
    </row>
    <row r="52">
      <c r="A52" s="268">
        <f t="shared" si="7"/>
        <v>2075500</v>
      </c>
      <c r="B52" s="277">
        <f t="shared" si="32"/>
        <v>0</v>
      </c>
      <c r="C52" s="280">
        <v>45778.0</v>
      </c>
      <c r="D52" s="284">
        <v>0.0</v>
      </c>
      <c r="E52" s="284">
        <v>0.0</v>
      </c>
      <c r="F52" s="270" t="str">
        <f t="shared" si="6"/>
        <v>Past</v>
      </c>
      <c r="G52" s="290">
        <v>1000.0</v>
      </c>
      <c r="H52" s="290">
        <v>500.0</v>
      </c>
      <c r="I52" s="289"/>
      <c r="J52" s="290">
        <v>0.0</v>
      </c>
    </row>
    <row r="53">
      <c r="A53" s="268">
        <f t="shared" si="7"/>
        <v>2075500</v>
      </c>
      <c r="B53" s="277">
        <f t="shared" si="32"/>
        <v>0</v>
      </c>
      <c r="C53" s="280">
        <v>45809.0</v>
      </c>
      <c r="D53" s="270">
        <f t="shared" ref="D53:E53" si="33">sumif($G$19:J52,D$19,$G53:J53)</f>
        <v>0</v>
      </c>
      <c r="E53" s="270">
        <f t="shared" si="33"/>
        <v>0</v>
      </c>
      <c r="F53" s="270" t="str">
        <f t="shared" si="6"/>
        <v>Past</v>
      </c>
      <c r="G53" s="289">
        <v>0.0</v>
      </c>
      <c r="H53" s="289">
        <v>0.0</v>
      </c>
      <c r="I53" s="289"/>
      <c r="J53" s="289">
        <v>0.0</v>
      </c>
    </row>
    <row r="54">
      <c r="A54" s="268">
        <f t="shared" si="7"/>
        <v>2074500</v>
      </c>
      <c r="B54" s="277">
        <f t="shared" si="32"/>
        <v>0</v>
      </c>
      <c r="C54" s="280">
        <v>45839.0</v>
      </c>
      <c r="D54" s="284">
        <v>0.0</v>
      </c>
      <c r="E54" s="270">
        <f t="shared" ref="E54:E57" si="34">sumif($G$19:J53,E$19,$G54:J54)</f>
        <v>0</v>
      </c>
      <c r="F54" s="270" t="str">
        <f t="shared" si="6"/>
        <v>Past</v>
      </c>
      <c r="G54" s="289">
        <v>1000.0</v>
      </c>
      <c r="H54" s="289">
        <v>0.0</v>
      </c>
      <c r="I54" s="289"/>
      <c r="J54" s="289">
        <v>0.0</v>
      </c>
    </row>
    <row r="55">
      <c r="A55" s="268">
        <f t="shared" si="7"/>
        <v>2073000</v>
      </c>
      <c r="B55" s="277">
        <f t="shared" si="32"/>
        <v>0</v>
      </c>
      <c r="C55" s="280">
        <v>45870.0</v>
      </c>
      <c r="D55" s="284">
        <v>0.0</v>
      </c>
      <c r="E55" s="270">
        <f t="shared" si="34"/>
        <v>0</v>
      </c>
      <c r="F55" s="270" t="str">
        <f t="shared" si="6"/>
        <v>Past</v>
      </c>
      <c r="G55" s="289">
        <v>1000.0</v>
      </c>
      <c r="H55" s="289">
        <v>500.0</v>
      </c>
      <c r="I55" s="289"/>
      <c r="J55" s="289">
        <v>0.0</v>
      </c>
    </row>
    <row r="56">
      <c r="A56" s="268">
        <f t="shared" si="7"/>
        <v>2071500</v>
      </c>
      <c r="B56" s="277">
        <f t="shared" si="32"/>
        <v>0</v>
      </c>
      <c r="C56" s="280">
        <v>45901.0</v>
      </c>
      <c r="D56" s="284">
        <v>0.0</v>
      </c>
      <c r="E56" s="270">
        <f t="shared" si="34"/>
        <v>0</v>
      </c>
      <c r="F56" s="270" t="str">
        <f t="shared" si="6"/>
        <v>Past</v>
      </c>
      <c r="G56" s="289">
        <v>1000.0</v>
      </c>
      <c r="H56" s="289">
        <v>500.0</v>
      </c>
      <c r="I56" s="289"/>
      <c r="J56" s="289">
        <v>0.0</v>
      </c>
    </row>
    <row r="57">
      <c r="A57" s="268">
        <f t="shared" si="7"/>
        <v>2070000</v>
      </c>
      <c r="B57" s="277">
        <f t="shared" si="32"/>
        <v>0</v>
      </c>
      <c r="C57" s="280">
        <v>45931.0</v>
      </c>
      <c r="D57" s="284">
        <v>0.0</v>
      </c>
      <c r="E57" s="270">
        <f t="shared" si="34"/>
        <v>0</v>
      </c>
      <c r="F57" s="270" t="str">
        <f t="shared" si="6"/>
        <v>Past</v>
      </c>
      <c r="G57" s="289">
        <v>1500.0</v>
      </c>
      <c r="H57" s="289">
        <v>0.0</v>
      </c>
      <c r="I57" s="289"/>
      <c r="J57" s="289">
        <v>0.0</v>
      </c>
    </row>
    <row r="58">
      <c r="A58" s="268">
        <f t="shared" si="7"/>
        <v>2067500</v>
      </c>
      <c r="B58" s="277">
        <f t="shared" si="32"/>
        <v>0</v>
      </c>
      <c r="C58" s="280">
        <v>45962.0</v>
      </c>
      <c r="D58" s="284">
        <v>0.0</v>
      </c>
      <c r="E58" s="284">
        <v>0.0</v>
      </c>
      <c r="F58" s="270" t="str">
        <f t="shared" si="6"/>
        <v>Current</v>
      </c>
      <c r="G58" s="289">
        <v>1500.0</v>
      </c>
      <c r="H58" s="289">
        <v>0.0</v>
      </c>
      <c r="I58" s="289">
        <f t="shared" ref="I58:J58" si="35">I57+500</f>
        <v>500</v>
      </c>
      <c r="J58" s="289">
        <f t="shared" si="35"/>
        <v>500</v>
      </c>
    </row>
    <row r="59">
      <c r="A59" s="268">
        <f t="shared" si="7"/>
        <v>2064000</v>
      </c>
      <c r="B59" s="277">
        <f t="shared" si="32"/>
        <v>3500</v>
      </c>
      <c r="C59" s="280">
        <v>45992.0</v>
      </c>
      <c r="D59" s="270">
        <f t="shared" ref="D59:E59" si="36">sumif($G$19:J58,D$19,$G59:J59)</f>
        <v>1500</v>
      </c>
      <c r="E59" s="270">
        <f t="shared" si="36"/>
        <v>2000</v>
      </c>
      <c r="F59" s="270" t="str">
        <f t="shared" si="6"/>
        <v>Future</v>
      </c>
      <c r="G59" s="289">
        <v>1500.0</v>
      </c>
      <c r="H59" s="289">
        <v>0.0</v>
      </c>
      <c r="I59" s="289">
        <f t="shared" ref="I59:J59" si="37">I58+500</f>
        <v>1000</v>
      </c>
      <c r="J59" s="289">
        <f t="shared" si="37"/>
        <v>1000</v>
      </c>
    </row>
    <row r="60">
      <c r="A60" s="268">
        <f t="shared" si="7"/>
        <v>2059000</v>
      </c>
      <c r="B60" s="277">
        <f t="shared" si="32"/>
        <v>5000</v>
      </c>
      <c r="C60" s="280">
        <v>46023.0</v>
      </c>
      <c r="D60" s="270">
        <f t="shared" ref="D60:E60" si="38">sumif($G$19:J59,D$19,$G60:J60)</f>
        <v>2000</v>
      </c>
      <c r="E60" s="270">
        <f t="shared" si="38"/>
        <v>3000</v>
      </c>
      <c r="F60" s="270" t="str">
        <f t="shared" si="6"/>
        <v>Future</v>
      </c>
      <c r="G60" s="289">
        <v>2000.0</v>
      </c>
      <c r="H60" s="289">
        <v>0.0</v>
      </c>
      <c r="I60" s="289">
        <f t="shared" ref="I60:J60" si="39">I59+500</f>
        <v>1500</v>
      </c>
      <c r="J60" s="289">
        <f t="shared" si="39"/>
        <v>1500</v>
      </c>
    </row>
    <row r="61">
      <c r="A61" s="268">
        <f t="shared" si="7"/>
        <v>2053000</v>
      </c>
      <c r="B61" s="277">
        <f t="shared" si="32"/>
        <v>6000</v>
      </c>
      <c r="C61" s="280">
        <v>46054.0</v>
      </c>
      <c r="D61" s="270">
        <f t="shared" ref="D61:E61" si="40">sumif($G$19:J60,D$19,$G61:J61)</f>
        <v>2000</v>
      </c>
      <c r="E61" s="270">
        <f t="shared" si="40"/>
        <v>4000</v>
      </c>
      <c r="F61" s="270" t="str">
        <f t="shared" si="6"/>
        <v>Future</v>
      </c>
      <c r="G61" s="289">
        <f t="shared" ref="G61:G71" si="43">G60</f>
        <v>2000</v>
      </c>
      <c r="H61" s="289">
        <v>0.0</v>
      </c>
      <c r="I61" s="289">
        <f t="shared" ref="I61:J61" si="41">I60+500</f>
        <v>2000</v>
      </c>
      <c r="J61" s="289">
        <f t="shared" si="41"/>
        <v>2000</v>
      </c>
    </row>
    <row r="62">
      <c r="A62" s="268">
        <f t="shared" si="7"/>
        <v>2046000</v>
      </c>
      <c r="B62" s="277">
        <f t="shared" si="32"/>
        <v>7000</v>
      </c>
      <c r="C62" s="280">
        <v>46082.0</v>
      </c>
      <c r="D62" s="270">
        <f t="shared" ref="D62:E62" si="42">sumif($G$19:J61,D$19,$G62:J62)</f>
        <v>2000</v>
      </c>
      <c r="E62" s="270">
        <f t="shared" si="42"/>
        <v>5000</v>
      </c>
      <c r="F62" s="270" t="str">
        <f t="shared" si="6"/>
        <v>Future</v>
      </c>
      <c r="G62" s="289">
        <f t="shared" si="43"/>
        <v>2000</v>
      </c>
      <c r="H62" s="289">
        <v>0.0</v>
      </c>
      <c r="I62" s="289">
        <f t="shared" ref="I62:J62" si="44">I61+500</f>
        <v>2500</v>
      </c>
      <c r="J62" s="289">
        <f t="shared" si="44"/>
        <v>2500</v>
      </c>
    </row>
    <row r="63">
      <c r="A63" s="268">
        <f t="shared" si="7"/>
        <v>2038000</v>
      </c>
      <c r="B63" s="277">
        <f t="shared" si="32"/>
        <v>8000</v>
      </c>
      <c r="C63" s="280">
        <v>46113.0</v>
      </c>
      <c r="D63" s="270">
        <f t="shared" ref="D63:E63" si="45">sumif($G$19:J62,D$19,$G63:J63)</f>
        <v>2000</v>
      </c>
      <c r="E63" s="270">
        <f t="shared" si="45"/>
        <v>6000</v>
      </c>
      <c r="F63" s="270" t="str">
        <f t="shared" si="6"/>
        <v>Future</v>
      </c>
      <c r="G63" s="289">
        <f t="shared" si="43"/>
        <v>2000</v>
      </c>
      <c r="H63" s="289">
        <v>0.0</v>
      </c>
      <c r="I63" s="289">
        <f t="shared" ref="I63:J63" si="46">I62+500</f>
        <v>3000</v>
      </c>
      <c r="J63" s="289">
        <f t="shared" si="46"/>
        <v>3000</v>
      </c>
    </row>
    <row r="64">
      <c r="A64" s="268">
        <f t="shared" si="7"/>
        <v>2029000</v>
      </c>
      <c r="B64" s="277">
        <f t="shared" si="32"/>
        <v>9000</v>
      </c>
      <c r="C64" s="280">
        <v>46143.0</v>
      </c>
      <c r="D64" s="270">
        <f t="shared" ref="D64:E64" si="47">sumif($G$19:J63,D$19,$G64:J64)</f>
        <v>2000</v>
      </c>
      <c r="E64" s="270">
        <f t="shared" si="47"/>
        <v>7000</v>
      </c>
      <c r="F64" s="270" t="str">
        <f t="shared" si="6"/>
        <v>Future</v>
      </c>
      <c r="G64" s="289">
        <f t="shared" si="43"/>
        <v>2000</v>
      </c>
      <c r="H64" s="289">
        <v>0.0</v>
      </c>
      <c r="I64" s="289">
        <f t="shared" ref="I64:J64" si="48">I63+500</f>
        <v>3500</v>
      </c>
      <c r="J64" s="289">
        <f t="shared" si="48"/>
        <v>3500</v>
      </c>
    </row>
    <row r="65">
      <c r="A65" s="268">
        <f t="shared" si="7"/>
        <v>2019000</v>
      </c>
      <c r="B65" s="277">
        <f t="shared" si="32"/>
        <v>10000</v>
      </c>
      <c r="C65" s="280">
        <v>46174.0</v>
      </c>
      <c r="D65" s="270">
        <f t="shared" ref="D65:E65" si="49">sumif($G$19:J64,D$19,$G65:J65)</f>
        <v>2000</v>
      </c>
      <c r="E65" s="270">
        <f t="shared" si="49"/>
        <v>8000</v>
      </c>
      <c r="F65" s="270" t="str">
        <f t="shared" si="6"/>
        <v>Future</v>
      </c>
      <c r="G65" s="289">
        <f t="shared" si="43"/>
        <v>2000</v>
      </c>
      <c r="H65" s="289">
        <v>0.0</v>
      </c>
      <c r="I65" s="289">
        <f t="shared" ref="I65:J65" si="50">I64+500</f>
        <v>4000</v>
      </c>
      <c r="J65" s="289">
        <f t="shared" si="50"/>
        <v>4000</v>
      </c>
    </row>
    <row r="66">
      <c r="A66" s="268">
        <f t="shared" si="7"/>
        <v>2008000</v>
      </c>
      <c r="B66" s="277">
        <f t="shared" si="32"/>
        <v>11000</v>
      </c>
      <c r="C66" s="280">
        <v>46204.0</v>
      </c>
      <c r="D66" s="270">
        <f t="shared" ref="D66:E66" si="51">sumif($G$19:J65,D$19,$G66:J66)</f>
        <v>2000</v>
      </c>
      <c r="E66" s="270">
        <f t="shared" si="51"/>
        <v>9000</v>
      </c>
      <c r="F66" s="270" t="str">
        <f t="shared" si="6"/>
        <v>Future</v>
      </c>
      <c r="G66" s="289">
        <f t="shared" si="43"/>
        <v>2000</v>
      </c>
      <c r="H66" s="289">
        <v>0.0</v>
      </c>
      <c r="I66" s="289">
        <f t="shared" ref="I66:J66" si="52">I65+500</f>
        <v>4500</v>
      </c>
      <c r="J66" s="289">
        <f t="shared" si="52"/>
        <v>4500</v>
      </c>
    </row>
    <row r="67">
      <c r="A67" s="268">
        <f t="shared" si="7"/>
        <v>1996000</v>
      </c>
      <c r="B67" s="277">
        <f t="shared" si="32"/>
        <v>12000</v>
      </c>
      <c r="C67" s="280">
        <v>46235.0</v>
      </c>
      <c r="D67" s="270">
        <f t="shared" ref="D67:E67" si="53">sumif($G$19:J66,D$19,$G67:J67)</f>
        <v>2000</v>
      </c>
      <c r="E67" s="270">
        <f t="shared" si="53"/>
        <v>10000</v>
      </c>
      <c r="F67" s="270" t="str">
        <f t="shared" si="6"/>
        <v>Future</v>
      </c>
      <c r="G67" s="289">
        <f t="shared" si="43"/>
        <v>2000</v>
      </c>
      <c r="H67" s="289">
        <v>0.0</v>
      </c>
      <c r="I67" s="289">
        <f t="shared" ref="I67:J67" si="54">I66+500</f>
        <v>5000</v>
      </c>
      <c r="J67" s="289">
        <f t="shared" si="54"/>
        <v>5000</v>
      </c>
    </row>
    <row r="68">
      <c r="A68" s="268">
        <f t="shared" si="7"/>
        <v>1983000</v>
      </c>
      <c r="B68" s="277">
        <f t="shared" si="32"/>
        <v>13000</v>
      </c>
      <c r="C68" s="280">
        <v>46266.0</v>
      </c>
      <c r="D68" s="270">
        <f t="shared" ref="D68:E68" si="55">sumif($G$19:J67,D$19,$G68:J68)</f>
        <v>2000</v>
      </c>
      <c r="E68" s="270">
        <f t="shared" si="55"/>
        <v>11000</v>
      </c>
      <c r="F68" s="270" t="str">
        <f t="shared" si="6"/>
        <v>Future</v>
      </c>
      <c r="G68" s="289">
        <f t="shared" si="43"/>
        <v>2000</v>
      </c>
      <c r="H68" s="289">
        <v>0.0</v>
      </c>
      <c r="I68" s="289">
        <f t="shared" ref="I68:J68" si="56">I67+500</f>
        <v>5500</v>
      </c>
      <c r="J68" s="289">
        <f t="shared" si="56"/>
        <v>5500</v>
      </c>
    </row>
    <row r="69">
      <c r="A69" s="268">
        <f t="shared" si="7"/>
        <v>1969000</v>
      </c>
      <c r="B69" s="277">
        <f t="shared" si="32"/>
        <v>14000</v>
      </c>
      <c r="C69" s="280">
        <v>46296.0</v>
      </c>
      <c r="D69" s="270">
        <f t="shared" ref="D69:E69" si="57">sumif($G$19:J68,D$19,$G69:J69)</f>
        <v>2000</v>
      </c>
      <c r="E69" s="270">
        <f t="shared" si="57"/>
        <v>12000</v>
      </c>
      <c r="F69" s="270" t="str">
        <f t="shared" si="6"/>
        <v>Future</v>
      </c>
      <c r="G69" s="289">
        <f t="shared" si="43"/>
        <v>2000</v>
      </c>
      <c r="H69" s="289">
        <v>0.0</v>
      </c>
      <c r="I69" s="289">
        <f t="shared" ref="I69:J69" si="58">I68+500</f>
        <v>6000</v>
      </c>
      <c r="J69" s="289">
        <f t="shared" si="58"/>
        <v>6000</v>
      </c>
    </row>
    <row r="70">
      <c r="A70" s="268">
        <f t="shared" si="7"/>
        <v>1954000</v>
      </c>
      <c r="B70" s="277">
        <f t="shared" si="32"/>
        <v>15000</v>
      </c>
      <c r="C70" s="280">
        <v>46327.0</v>
      </c>
      <c r="D70" s="270">
        <f t="shared" ref="D70:E70" si="59">sumif($G$19:J69,D$19,$G70:J70)</f>
        <v>2000</v>
      </c>
      <c r="E70" s="270">
        <f t="shared" si="59"/>
        <v>13000</v>
      </c>
      <c r="F70" s="270" t="str">
        <f t="shared" si="6"/>
        <v>Future</v>
      </c>
      <c r="G70" s="289">
        <f t="shared" si="43"/>
        <v>2000</v>
      </c>
      <c r="H70" s="289">
        <v>0.0</v>
      </c>
      <c r="I70" s="289">
        <f t="shared" ref="I70:J70" si="60">I69+500</f>
        <v>6500</v>
      </c>
      <c r="J70" s="289">
        <f t="shared" si="60"/>
        <v>6500</v>
      </c>
    </row>
    <row r="71">
      <c r="A71" s="268">
        <f t="shared" si="7"/>
        <v>1938000</v>
      </c>
      <c r="B71" s="277">
        <f t="shared" si="32"/>
        <v>16000</v>
      </c>
      <c r="C71" s="280">
        <v>46357.0</v>
      </c>
      <c r="D71" s="270">
        <f t="shared" ref="D71:E71" si="61">sumif($G$19:J70,D$19,$G71:J71)</f>
        <v>2000</v>
      </c>
      <c r="E71" s="270">
        <f t="shared" si="61"/>
        <v>14000</v>
      </c>
      <c r="F71" s="270" t="str">
        <f t="shared" si="6"/>
        <v>Future</v>
      </c>
      <c r="G71" s="289">
        <f t="shared" si="43"/>
        <v>2000</v>
      </c>
      <c r="H71" s="289">
        <v>0.0</v>
      </c>
      <c r="I71" s="289">
        <f t="shared" ref="I71:J71" si="62">I70+500</f>
        <v>7000</v>
      </c>
      <c r="J71" s="289">
        <f t="shared" si="62"/>
        <v>7000</v>
      </c>
    </row>
    <row r="72">
      <c r="A72" s="268">
        <f t="shared" si="7"/>
        <v>1920500</v>
      </c>
      <c r="B72" s="277">
        <f t="shared" si="32"/>
        <v>17500</v>
      </c>
      <c r="C72" s="280">
        <v>46388.0</v>
      </c>
      <c r="D72" s="270">
        <f t="shared" ref="D72:E72" si="63">sumif($G$19:J71,D$19,$G72:J72)</f>
        <v>2500</v>
      </c>
      <c r="E72" s="270">
        <f t="shared" si="63"/>
        <v>15000</v>
      </c>
      <c r="F72" s="270" t="str">
        <f t="shared" si="6"/>
        <v>Future</v>
      </c>
      <c r="G72" s="289">
        <f>G71+500</f>
        <v>2500</v>
      </c>
      <c r="H72" s="289">
        <v>0.0</v>
      </c>
      <c r="I72" s="289">
        <f t="shared" ref="I72:J72" si="64">I71+500</f>
        <v>7500</v>
      </c>
      <c r="J72" s="289">
        <f t="shared" si="64"/>
        <v>7500</v>
      </c>
    </row>
    <row r="73">
      <c r="A73" s="268">
        <f t="shared" si="7"/>
        <v>1902000</v>
      </c>
      <c r="B73" s="277">
        <f t="shared" si="32"/>
        <v>18500</v>
      </c>
      <c r="C73" s="280">
        <v>46419.0</v>
      </c>
      <c r="D73" s="270">
        <f t="shared" ref="D73:E73" si="65">sumif($G$19:J72,D$19,$G73:J73)</f>
        <v>2500</v>
      </c>
      <c r="E73" s="270">
        <f t="shared" si="65"/>
        <v>16000</v>
      </c>
      <c r="F73" s="270" t="str">
        <f t="shared" si="6"/>
        <v>Future</v>
      </c>
      <c r="G73" s="289">
        <f t="shared" ref="G73:G83" si="68">G72</f>
        <v>2500</v>
      </c>
      <c r="H73" s="289">
        <v>0.0</v>
      </c>
      <c r="I73" s="289">
        <f t="shared" ref="I73:J73" si="66">I72+500</f>
        <v>8000</v>
      </c>
      <c r="J73" s="289">
        <f t="shared" si="66"/>
        <v>8000</v>
      </c>
    </row>
    <row r="74">
      <c r="A74" s="268">
        <f t="shared" si="7"/>
        <v>1882500</v>
      </c>
      <c r="B74" s="277">
        <f t="shared" si="32"/>
        <v>19500</v>
      </c>
      <c r="C74" s="280">
        <v>46447.0</v>
      </c>
      <c r="D74" s="270">
        <f t="shared" ref="D74:E74" si="67">sumif($G$19:J73,D$19,$G74:J74)</f>
        <v>2500</v>
      </c>
      <c r="E74" s="270">
        <f t="shared" si="67"/>
        <v>17000</v>
      </c>
      <c r="F74" s="270" t="str">
        <f t="shared" si="6"/>
        <v>Future</v>
      </c>
      <c r="G74" s="289">
        <f t="shared" si="68"/>
        <v>2500</v>
      </c>
      <c r="H74" s="289">
        <v>0.0</v>
      </c>
      <c r="I74" s="289">
        <f t="shared" ref="I74:J74" si="69">I73+500</f>
        <v>8500</v>
      </c>
      <c r="J74" s="289">
        <f t="shared" si="69"/>
        <v>8500</v>
      </c>
    </row>
    <row r="75">
      <c r="A75" s="268">
        <f t="shared" si="7"/>
        <v>1862000</v>
      </c>
      <c r="B75" s="277">
        <f t="shared" si="32"/>
        <v>20500</v>
      </c>
      <c r="C75" s="280">
        <v>46478.0</v>
      </c>
      <c r="D75" s="270">
        <f t="shared" ref="D75:E75" si="70">sumif($G$19:J74,D$19,$G75:J75)</f>
        <v>2500</v>
      </c>
      <c r="E75" s="270">
        <f t="shared" si="70"/>
        <v>18000</v>
      </c>
      <c r="F75" s="270" t="str">
        <f t="shared" si="6"/>
        <v>Future</v>
      </c>
      <c r="G75" s="289">
        <f t="shared" si="68"/>
        <v>2500</v>
      </c>
      <c r="H75" s="289">
        <v>0.0</v>
      </c>
      <c r="I75" s="289">
        <f t="shared" ref="I75:J75" si="71">I74+500</f>
        <v>9000</v>
      </c>
      <c r="J75" s="289">
        <f t="shared" si="71"/>
        <v>9000</v>
      </c>
    </row>
    <row r="76">
      <c r="A76" s="268">
        <f t="shared" si="7"/>
        <v>1840500</v>
      </c>
      <c r="B76" s="277">
        <f t="shared" si="32"/>
        <v>21500</v>
      </c>
      <c r="C76" s="280">
        <v>46508.0</v>
      </c>
      <c r="D76" s="270">
        <f t="shared" ref="D76:E76" si="72">sumif($G$19:J75,D$19,$G76:J76)</f>
        <v>2500</v>
      </c>
      <c r="E76" s="270">
        <f t="shared" si="72"/>
        <v>19000</v>
      </c>
      <c r="F76" s="270" t="str">
        <f t="shared" si="6"/>
        <v>Future</v>
      </c>
      <c r="G76" s="289">
        <f t="shared" si="68"/>
        <v>2500</v>
      </c>
      <c r="H76" s="289">
        <v>0.0</v>
      </c>
      <c r="I76" s="289">
        <f t="shared" ref="I76:J76" si="73">I75+500</f>
        <v>9500</v>
      </c>
      <c r="J76" s="289">
        <f t="shared" si="73"/>
        <v>9500</v>
      </c>
    </row>
    <row r="77">
      <c r="A77" s="268">
        <f t="shared" si="7"/>
        <v>1818000</v>
      </c>
      <c r="B77" s="277">
        <f t="shared" si="32"/>
        <v>22500</v>
      </c>
      <c r="C77" s="280">
        <v>46539.0</v>
      </c>
      <c r="D77" s="270">
        <f t="shared" ref="D77:E77" si="74">sumif($G$19:J76,D$19,$G77:J77)</f>
        <v>2500</v>
      </c>
      <c r="E77" s="270">
        <f t="shared" si="74"/>
        <v>20000</v>
      </c>
      <c r="F77" s="270" t="str">
        <f t="shared" si="6"/>
        <v>Future</v>
      </c>
      <c r="G77" s="289">
        <f t="shared" si="68"/>
        <v>2500</v>
      </c>
      <c r="H77" s="289">
        <v>0.0</v>
      </c>
      <c r="I77" s="289">
        <f t="shared" ref="I77:J77" si="75">I76+500</f>
        <v>10000</v>
      </c>
      <c r="J77" s="289">
        <f t="shared" si="75"/>
        <v>10000</v>
      </c>
    </row>
    <row r="78">
      <c r="A78" s="268">
        <f t="shared" si="7"/>
        <v>1794500</v>
      </c>
      <c r="B78" s="277">
        <f t="shared" si="32"/>
        <v>23500</v>
      </c>
      <c r="C78" s="280">
        <v>46569.0</v>
      </c>
      <c r="D78" s="270">
        <f t="shared" ref="D78:E78" si="76">sumif($G$19:J77,D$19,$G78:J78)</f>
        <v>2500</v>
      </c>
      <c r="E78" s="270">
        <f t="shared" si="76"/>
        <v>21000</v>
      </c>
      <c r="F78" s="270" t="str">
        <f t="shared" si="6"/>
        <v>Future</v>
      </c>
      <c r="G78" s="289">
        <f t="shared" si="68"/>
        <v>2500</v>
      </c>
      <c r="H78" s="289">
        <v>0.0</v>
      </c>
      <c r="I78" s="289">
        <f t="shared" ref="I78:J78" si="77">I77+500</f>
        <v>10500</v>
      </c>
      <c r="J78" s="289">
        <f t="shared" si="77"/>
        <v>10500</v>
      </c>
    </row>
    <row r="79">
      <c r="A79" s="268">
        <f t="shared" si="7"/>
        <v>1770000</v>
      </c>
      <c r="B79" s="277">
        <f t="shared" si="32"/>
        <v>24500</v>
      </c>
      <c r="C79" s="280">
        <v>46600.0</v>
      </c>
      <c r="D79" s="270">
        <f t="shared" ref="D79:E79" si="78">sumif($G$19:J78,D$19,$G79:J79)</f>
        <v>2500</v>
      </c>
      <c r="E79" s="270">
        <f t="shared" si="78"/>
        <v>22000</v>
      </c>
      <c r="F79" s="270" t="str">
        <f t="shared" si="6"/>
        <v>Future</v>
      </c>
      <c r="G79" s="289">
        <f t="shared" si="68"/>
        <v>2500</v>
      </c>
      <c r="H79" s="289">
        <v>0.0</v>
      </c>
      <c r="I79" s="289">
        <f t="shared" ref="I79:J79" si="79">I78+500</f>
        <v>11000</v>
      </c>
      <c r="J79" s="289">
        <f t="shared" si="79"/>
        <v>11000</v>
      </c>
    </row>
    <row r="80">
      <c r="A80" s="268">
        <f t="shared" si="7"/>
        <v>1744500</v>
      </c>
      <c r="B80" s="277">
        <f t="shared" si="32"/>
        <v>25500</v>
      </c>
      <c r="C80" s="280">
        <v>46631.0</v>
      </c>
      <c r="D80" s="270">
        <f t="shared" ref="D80:E80" si="80">sumif($G$19:J79,D$19,$G80:J80)</f>
        <v>2500</v>
      </c>
      <c r="E80" s="270">
        <f t="shared" si="80"/>
        <v>23000</v>
      </c>
      <c r="F80" s="270" t="str">
        <f t="shared" si="6"/>
        <v>Future</v>
      </c>
      <c r="G80" s="289">
        <f t="shared" si="68"/>
        <v>2500</v>
      </c>
      <c r="H80" s="289">
        <v>0.0</v>
      </c>
      <c r="I80" s="289">
        <f t="shared" ref="I80:J80" si="81">I79+500</f>
        <v>11500</v>
      </c>
      <c r="J80" s="289">
        <f t="shared" si="81"/>
        <v>11500</v>
      </c>
    </row>
    <row r="81">
      <c r="A81" s="268">
        <f t="shared" si="7"/>
        <v>1718000</v>
      </c>
      <c r="B81" s="277">
        <f t="shared" si="32"/>
        <v>26500</v>
      </c>
      <c r="C81" s="280">
        <v>46661.0</v>
      </c>
      <c r="D81" s="270">
        <f t="shared" ref="D81:E81" si="82">sumif($G$19:J80,D$19,$G81:J81)</f>
        <v>2500</v>
      </c>
      <c r="E81" s="270">
        <f t="shared" si="82"/>
        <v>24000</v>
      </c>
      <c r="F81" s="270" t="str">
        <f t="shared" si="6"/>
        <v>Future</v>
      </c>
      <c r="G81" s="289">
        <f t="shared" si="68"/>
        <v>2500</v>
      </c>
      <c r="H81" s="289">
        <v>0.0</v>
      </c>
      <c r="I81" s="289">
        <f t="shared" ref="I81:J81" si="83">I80+500</f>
        <v>12000</v>
      </c>
      <c r="J81" s="289">
        <f t="shared" si="83"/>
        <v>12000</v>
      </c>
    </row>
    <row r="82">
      <c r="A82" s="268">
        <f t="shared" si="7"/>
        <v>1690500</v>
      </c>
      <c r="B82" s="277">
        <f t="shared" si="32"/>
        <v>27500</v>
      </c>
      <c r="C82" s="280">
        <v>46692.0</v>
      </c>
      <c r="D82" s="270">
        <f t="shared" ref="D82:E82" si="84">sumif($G$19:J81,D$19,$G82:J82)</f>
        <v>2500</v>
      </c>
      <c r="E82" s="270">
        <f t="shared" si="84"/>
        <v>25000</v>
      </c>
      <c r="F82" s="270" t="str">
        <f t="shared" si="6"/>
        <v>Future</v>
      </c>
      <c r="G82" s="289">
        <f t="shared" si="68"/>
        <v>2500</v>
      </c>
      <c r="H82" s="289">
        <v>0.0</v>
      </c>
      <c r="I82" s="289">
        <f t="shared" ref="I82:J82" si="85">I81+500</f>
        <v>12500</v>
      </c>
      <c r="J82" s="289">
        <f t="shared" si="85"/>
        <v>12500</v>
      </c>
    </row>
    <row r="83">
      <c r="A83" s="268">
        <f t="shared" si="7"/>
        <v>1662000</v>
      </c>
      <c r="B83" s="277">
        <f t="shared" si="32"/>
        <v>28500</v>
      </c>
      <c r="C83" s="280">
        <v>46722.0</v>
      </c>
      <c r="D83" s="270">
        <f t="shared" ref="D83:E83" si="86">sumif($G$19:J82,D$19,$G83:J83)</f>
        <v>2500</v>
      </c>
      <c r="E83" s="270">
        <f t="shared" si="86"/>
        <v>26000</v>
      </c>
      <c r="F83" s="270" t="str">
        <f t="shared" si="6"/>
        <v>Future</v>
      </c>
      <c r="G83" s="289">
        <f t="shared" si="68"/>
        <v>2500</v>
      </c>
      <c r="H83" s="289">
        <v>0.0</v>
      </c>
      <c r="I83" s="289">
        <f t="shared" ref="I83:J83" si="87">I82+500</f>
        <v>13000</v>
      </c>
      <c r="J83" s="289">
        <f t="shared" si="87"/>
        <v>13000</v>
      </c>
    </row>
    <row r="84">
      <c r="A84" s="268">
        <f t="shared" si="7"/>
        <v>1632000</v>
      </c>
      <c r="B84" s="277">
        <f t="shared" si="32"/>
        <v>30000</v>
      </c>
      <c r="C84" s="280">
        <v>46753.0</v>
      </c>
      <c r="D84" s="270">
        <f t="shared" ref="D84:E84" si="88">sumif($G$19:J83,D$19,$G84:J84)</f>
        <v>3000</v>
      </c>
      <c r="E84" s="270">
        <f t="shared" si="88"/>
        <v>27000</v>
      </c>
      <c r="F84" s="270" t="str">
        <f t="shared" si="6"/>
        <v>Future</v>
      </c>
      <c r="G84" s="289">
        <f>G83+500</f>
        <v>3000</v>
      </c>
      <c r="H84" s="289">
        <v>0.0</v>
      </c>
      <c r="I84" s="289">
        <f t="shared" ref="I84:J84" si="89">I83+500</f>
        <v>13500</v>
      </c>
      <c r="J84" s="289">
        <f t="shared" si="89"/>
        <v>13500</v>
      </c>
    </row>
    <row r="85">
      <c r="A85" s="268">
        <f t="shared" si="7"/>
        <v>1601000</v>
      </c>
      <c r="B85" s="277">
        <f t="shared" si="32"/>
        <v>31000</v>
      </c>
      <c r="C85" s="280">
        <v>46784.0</v>
      </c>
      <c r="D85" s="270">
        <f t="shared" ref="D85:E85" si="90">sumif($G$19:J84,D$19,$G85:J85)</f>
        <v>3000</v>
      </c>
      <c r="E85" s="270">
        <f t="shared" si="90"/>
        <v>28000</v>
      </c>
      <c r="F85" s="270" t="str">
        <f t="shared" si="6"/>
        <v>Future</v>
      </c>
      <c r="G85" s="289">
        <f t="shared" ref="G85:G95" si="93">G84</f>
        <v>3000</v>
      </c>
      <c r="H85" s="289">
        <v>0.0</v>
      </c>
      <c r="I85" s="289">
        <f t="shared" ref="I85:J85" si="91">I84+500</f>
        <v>14000</v>
      </c>
      <c r="J85" s="289">
        <f t="shared" si="91"/>
        <v>14000</v>
      </c>
    </row>
    <row r="86">
      <c r="A86" s="268">
        <f t="shared" si="7"/>
        <v>1569000</v>
      </c>
      <c r="B86" s="277">
        <f t="shared" si="32"/>
        <v>32000</v>
      </c>
      <c r="C86" s="280">
        <v>46813.0</v>
      </c>
      <c r="D86" s="270">
        <f t="shared" ref="D86:E86" si="92">sumif($G$19:J85,D$19,$G86:J86)</f>
        <v>3000</v>
      </c>
      <c r="E86" s="270">
        <f t="shared" si="92"/>
        <v>29000</v>
      </c>
      <c r="F86" s="270" t="str">
        <f t="shared" si="6"/>
        <v>Future</v>
      </c>
      <c r="G86" s="289">
        <f t="shared" si="93"/>
        <v>3000</v>
      </c>
      <c r="H86" s="289">
        <v>0.0</v>
      </c>
      <c r="I86" s="289">
        <f t="shared" ref="I86:J86" si="94">I85+500</f>
        <v>14500</v>
      </c>
      <c r="J86" s="289">
        <f t="shared" si="94"/>
        <v>14500</v>
      </c>
    </row>
    <row r="87">
      <c r="A87" s="268">
        <f t="shared" si="7"/>
        <v>1536000</v>
      </c>
      <c r="B87" s="277">
        <f t="shared" si="32"/>
        <v>33000</v>
      </c>
      <c r="C87" s="280">
        <v>46844.0</v>
      </c>
      <c r="D87" s="270">
        <f t="shared" ref="D87:E87" si="95">sumif($G$19:J86,D$19,$G87:J87)</f>
        <v>3000</v>
      </c>
      <c r="E87" s="270">
        <f t="shared" si="95"/>
        <v>30000</v>
      </c>
      <c r="F87" s="270" t="str">
        <f t="shared" si="6"/>
        <v>Future</v>
      </c>
      <c r="G87" s="289">
        <f t="shared" si="93"/>
        <v>3000</v>
      </c>
      <c r="H87" s="289">
        <v>0.0</v>
      </c>
      <c r="I87" s="289">
        <f t="shared" ref="I87:J87" si="96">I86+500</f>
        <v>15000</v>
      </c>
      <c r="J87" s="289">
        <f t="shared" si="96"/>
        <v>15000</v>
      </c>
    </row>
    <row r="88">
      <c r="A88" s="268">
        <f t="shared" si="7"/>
        <v>1502000</v>
      </c>
      <c r="B88" s="277">
        <f t="shared" si="32"/>
        <v>34000</v>
      </c>
      <c r="C88" s="280">
        <v>46874.0</v>
      </c>
      <c r="D88" s="270">
        <f t="shared" ref="D88:E88" si="97">sumif($G$19:J87,D$19,$G88:J88)</f>
        <v>3000</v>
      </c>
      <c r="E88" s="270">
        <f t="shared" si="97"/>
        <v>31000</v>
      </c>
      <c r="F88" s="270" t="str">
        <f t="shared" si="6"/>
        <v>Future</v>
      </c>
      <c r="G88" s="289">
        <f t="shared" si="93"/>
        <v>3000</v>
      </c>
      <c r="H88" s="289">
        <v>0.0</v>
      </c>
      <c r="I88" s="289">
        <f t="shared" ref="I88:J88" si="98">I87+500</f>
        <v>15500</v>
      </c>
      <c r="J88" s="289">
        <f t="shared" si="98"/>
        <v>15500</v>
      </c>
    </row>
    <row r="89">
      <c r="A89" s="268">
        <f t="shared" si="7"/>
        <v>1467000</v>
      </c>
      <c r="B89" s="277">
        <f t="shared" si="32"/>
        <v>35000</v>
      </c>
      <c r="C89" s="280">
        <v>46905.0</v>
      </c>
      <c r="D89" s="270">
        <f t="shared" ref="D89:E89" si="99">sumif($G$19:J88,D$19,$G89:J89)</f>
        <v>3000</v>
      </c>
      <c r="E89" s="270">
        <f t="shared" si="99"/>
        <v>32000</v>
      </c>
      <c r="F89" s="270" t="str">
        <f t="shared" si="6"/>
        <v>Future</v>
      </c>
      <c r="G89" s="289">
        <f t="shared" si="93"/>
        <v>3000</v>
      </c>
      <c r="H89" s="289">
        <v>0.0</v>
      </c>
      <c r="I89" s="289">
        <f t="shared" ref="I89:J89" si="100">I88+500</f>
        <v>16000</v>
      </c>
      <c r="J89" s="289">
        <f t="shared" si="100"/>
        <v>16000</v>
      </c>
    </row>
    <row r="90">
      <c r="A90" s="268">
        <f t="shared" si="7"/>
        <v>1431000</v>
      </c>
      <c r="B90" s="277">
        <f t="shared" si="32"/>
        <v>36000</v>
      </c>
      <c r="C90" s="280">
        <v>46935.0</v>
      </c>
      <c r="D90" s="270">
        <f t="shared" ref="D90:E90" si="101">sumif($G$19:J89,D$19,$G90:J90)</f>
        <v>3000</v>
      </c>
      <c r="E90" s="270">
        <f t="shared" si="101"/>
        <v>33000</v>
      </c>
      <c r="F90" s="270" t="str">
        <f t="shared" si="6"/>
        <v>Future</v>
      </c>
      <c r="G90" s="289">
        <f t="shared" si="93"/>
        <v>3000</v>
      </c>
      <c r="H90" s="289">
        <v>0.0</v>
      </c>
      <c r="I90" s="289">
        <f t="shared" ref="I90:J90" si="102">I89+500</f>
        <v>16500</v>
      </c>
      <c r="J90" s="289">
        <f t="shared" si="102"/>
        <v>16500</v>
      </c>
    </row>
    <row r="91">
      <c r="A91" s="268">
        <f t="shared" si="7"/>
        <v>1394000</v>
      </c>
      <c r="B91" s="277">
        <f t="shared" si="32"/>
        <v>37000</v>
      </c>
      <c r="C91" s="280">
        <v>46966.0</v>
      </c>
      <c r="D91" s="270">
        <f t="shared" ref="D91:E91" si="103">sumif($G$19:J90,D$19,$G91:J91)</f>
        <v>3000</v>
      </c>
      <c r="E91" s="270">
        <f t="shared" si="103"/>
        <v>34000</v>
      </c>
      <c r="F91" s="270" t="str">
        <f t="shared" si="6"/>
        <v>Future</v>
      </c>
      <c r="G91" s="289">
        <f t="shared" si="93"/>
        <v>3000</v>
      </c>
      <c r="H91" s="289">
        <v>0.0</v>
      </c>
      <c r="I91" s="289">
        <f t="shared" ref="I91:J91" si="104">I90+500</f>
        <v>17000</v>
      </c>
      <c r="J91" s="289">
        <f t="shared" si="104"/>
        <v>17000</v>
      </c>
    </row>
    <row r="92">
      <c r="A92" s="268">
        <f t="shared" si="7"/>
        <v>1356000</v>
      </c>
      <c r="B92" s="277">
        <f t="shared" si="32"/>
        <v>38000</v>
      </c>
      <c r="C92" s="280">
        <v>46997.0</v>
      </c>
      <c r="D92" s="270">
        <f t="shared" ref="D92:E92" si="105">sumif($G$19:J91,D$19,$G92:J92)</f>
        <v>3000</v>
      </c>
      <c r="E92" s="270">
        <f t="shared" si="105"/>
        <v>35000</v>
      </c>
      <c r="F92" s="270" t="str">
        <f t="shared" si="6"/>
        <v>Future</v>
      </c>
      <c r="G92" s="289">
        <f t="shared" si="93"/>
        <v>3000</v>
      </c>
      <c r="H92" s="289">
        <v>0.0</v>
      </c>
      <c r="I92" s="289">
        <f t="shared" ref="I92:J92" si="106">I91+500</f>
        <v>17500</v>
      </c>
      <c r="J92" s="289">
        <f t="shared" si="106"/>
        <v>17500</v>
      </c>
    </row>
    <row r="93">
      <c r="A93" s="268">
        <f t="shared" si="7"/>
        <v>1317000</v>
      </c>
      <c r="B93" s="277">
        <f t="shared" si="32"/>
        <v>39000</v>
      </c>
      <c r="C93" s="280">
        <v>47027.0</v>
      </c>
      <c r="D93" s="270">
        <f t="shared" ref="D93:E93" si="107">sumif($G$19:J92,D$19,$G93:J93)</f>
        <v>3000</v>
      </c>
      <c r="E93" s="270">
        <f t="shared" si="107"/>
        <v>36000</v>
      </c>
      <c r="F93" s="270" t="str">
        <f t="shared" si="6"/>
        <v>Future</v>
      </c>
      <c r="G93" s="289">
        <f t="shared" si="93"/>
        <v>3000</v>
      </c>
      <c r="H93" s="289">
        <v>0.0</v>
      </c>
      <c r="I93" s="289">
        <f t="shared" ref="I93:J93" si="108">I92+500</f>
        <v>18000</v>
      </c>
      <c r="J93" s="289">
        <f t="shared" si="108"/>
        <v>18000</v>
      </c>
    </row>
    <row r="94">
      <c r="A94" s="268">
        <f t="shared" si="7"/>
        <v>1277000</v>
      </c>
      <c r="B94" s="277">
        <f t="shared" si="32"/>
        <v>40000</v>
      </c>
      <c r="C94" s="280">
        <v>47058.0</v>
      </c>
      <c r="D94" s="270">
        <f t="shared" ref="D94:E94" si="109">sumif($G$19:J93,D$19,$G94:J94)</f>
        <v>3000</v>
      </c>
      <c r="E94" s="270">
        <f t="shared" si="109"/>
        <v>37000</v>
      </c>
      <c r="F94" s="270" t="str">
        <f t="shared" si="6"/>
        <v>Future</v>
      </c>
      <c r="G94" s="289">
        <f t="shared" si="93"/>
        <v>3000</v>
      </c>
      <c r="H94" s="289">
        <v>0.0</v>
      </c>
      <c r="I94" s="289">
        <f t="shared" ref="I94:J94" si="110">I93+500</f>
        <v>18500</v>
      </c>
      <c r="J94" s="289">
        <f t="shared" si="110"/>
        <v>18500</v>
      </c>
    </row>
    <row r="95">
      <c r="A95" s="268">
        <f t="shared" si="7"/>
        <v>1236000</v>
      </c>
      <c r="B95" s="277">
        <f t="shared" si="32"/>
        <v>41000</v>
      </c>
      <c r="C95" s="280">
        <v>47088.0</v>
      </c>
      <c r="D95" s="270">
        <f t="shared" ref="D95:E95" si="111">sumif($G$19:J94,D$19,$G95:J95)</f>
        <v>3000</v>
      </c>
      <c r="E95" s="270">
        <f t="shared" si="111"/>
        <v>38000</v>
      </c>
      <c r="F95" s="270" t="str">
        <f t="shared" si="6"/>
        <v>Future</v>
      </c>
      <c r="G95" s="289">
        <f t="shared" si="93"/>
        <v>3000</v>
      </c>
      <c r="H95" s="289">
        <v>0.0</v>
      </c>
      <c r="I95" s="289">
        <f t="shared" ref="I95:J95" si="112">I94+500</f>
        <v>19000</v>
      </c>
      <c r="J95" s="289">
        <f t="shared" si="112"/>
        <v>19000</v>
      </c>
    </row>
    <row r="96">
      <c r="A96" s="268">
        <f t="shared" si="7"/>
        <v>1193500</v>
      </c>
      <c r="B96" s="277">
        <f t="shared" si="32"/>
        <v>42500</v>
      </c>
      <c r="C96" s="280">
        <v>47119.0</v>
      </c>
      <c r="D96" s="270">
        <f t="shared" ref="D96:E96" si="113">sumif($G$19:J95,D$19,$G96:J96)</f>
        <v>3500</v>
      </c>
      <c r="E96" s="270">
        <f t="shared" si="113"/>
        <v>39000</v>
      </c>
      <c r="F96" s="270" t="str">
        <f t="shared" si="6"/>
        <v>Future</v>
      </c>
      <c r="G96" s="289">
        <f>G95+500</f>
        <v>3500</v>
      </c>
      <c r="H96" s="289">
        <v>0.0</v>
      </c>
      <c r="I96" s="289">
        <f t="shared" ref="I96:J96" si="114">I95+500</f>
        <v>19500</v>
      </c>
      <c r="J96" s="289">
        <f t="shared" si="114"/>
        <v>19500</v>
      </c>
    </row>
    <row r="97">
      <c r="A97" s="268">
        <f t="shared" si="7"/>
        <v>1150000</v>
      </c>
      <c r="B97" s="277">
        <f t="shared" si="32"/>
        <v>43500</v>
      </c>
      <c r="C97" s="280">
        <v>47150.0</v>
      </c>
      <c r="D97" s="270">
        <f t="shared" ref="D97:E97" si="115">sumif($G$19:J96,D$19,$G97:J97)</f>
        <v>3500</v>
      </c>
      <c r="E97" s="270">
        <f t="shared" si="115"/>
        <v>40000</v>
      </c>
      <c r="F97" s="270" t="str">
        <f t="shared" si="6"/>
        <v>Future</v>
      </c>
      <c r="G97" s="289">
        <f t="shared" ref="G97:G107" si="118">G96</f>
        <v>3500</v>
      </c>
      <c r="H97" s="289">
        <v>0.0</v>
      </c>
      <c r="I97" s="289">
        <f t="shared" ref="I97:J97" si="116">I96+500</f>
        <v>20000</v>
      </c>
      <c r="J97" s="289">
        <f t="shared" si="116"/>
        <v>20000</v>
      </c>
    </row>
    <row r="98">
      <c r="A98" s="268">
        <f t="shared" si="7"/>
        <v>1105500</v>
      </c>
      <c r="B98" s="277">
        <f t="shared" si="32"/>
        <v>44500</v>
      </c>
      <c r="C98" s="280">
        <v>47178.0</v>
      </c>
      <c r="D98" s="270">
        <f t="shared" ref="D98:E98" si="117">sumif($G$19:J97,D$19,$G98:J98)</f>
        <v>3500</v>
      </c>
      <c r="E98" s="270">
        <f t="shared" si="117"/>
        <v>41000</v>
      </c>
      <c r="F98" s="270" t="str">
        <f t="shared" si="6"/>
        <v>Future</v>
      </c>
      <c r="G98" s="289">
        <f t="shared" si="118"/>
        <v>3500</v>
      </c>
      <c r="H98" s="289">
        <v>0.0</v>
      </c>
      <c r="I98" s="289">
        <f t="shared" ref="I98:J98" si="119">I97+500</f>
        <v>20500</v>
      </c>
      <c r="J98" s="289">
        <f t="shared" si="119"/>
        <v>20500</v>
      </c>
    </row>
    <row r="99">
      <c r="A99" s="268">
        <f t="shared" si="7"/>
        <v>1060000</v>
      </c>
      <c r="B99" s="277">
        <f t="shared" si="32"/>
        <v>45500</v>
      </c>
      <c r="C99" s="280">
        <v>47209.0</v>
      </c>
      <c r="D99" s="270">
        <f t="shared" ref="D99:E99" si="120">sumif($G$19:J98,D$19,$G99:J99)</f>
        <v>3500</v>
      </c>
      <c r="E99" s="270">
        <f t="shared" si="120"/>
        <v>42000</v>
      </c>
      <c r="F99" s="270" t="str">
        <f t="shared" si="6"/>
        <v>Future</v>
      </c>
      <c r="G99" s="289">
        <f t="shared" si="118"/>
        <v>3500</v>
      </c>
      <c r="H99" s="289">
        <v>0.0</v>
      </c>
      <c r="I99" s="289">
        <f t="shared" ref="I99:J99" si="121">I98+500</f>
        <v>21000</v>
      </c>
      <c r="J99" s="289">
        <f t="shared" si="121"/>
        <v>21000</v>
      </c>
    </row>
    <row r="100">
      <c r="A100" s="268">
        <f t="shared" si="7"/>
        <v>1013500</v>
      </c>
      <c r="B100" s="277">
        <f t="shared" si="32"/>
        <v>46500</v>
      </c>
      <c r="C100" s="280">
        <v>47239.0</v>
      </c>
      <c r="D100" s="270">
        <f t="shared" ref="D100:E100" si="122">sumif($G$19:J99,D$19,$G100:J100)</f>
        <v>3500</v>
      </c>
      <c r="E100" s="270">
        <f t="shared" si="122"/>
        <v>43000</v>
      </c>
      <c r="F100" s="270" t="str">
        <f t="shared" si="6"/>
        <v>Future</v>
      </c>
      <c r="G100" s="289">
        <f t="shared" si="118"/>
        <v>3500</v>
      </c>
      <c r="H100" s="289">
        <v>0.0</v>
      </c>
      <c r="I100" s="289">
        <f t="shared" ref="I100:J100" si="123">I99+500</f>
        <v>21500</v>
      </c>
      <c r="J100" s="289">
        <f t="shared" si="123"/>
        <v>21500</v>
      </c>
    </row>
    <row r="101">
      <c r="A101" s="268">
        <f t="shared" si="7"/>
        <v>966000</v>
      </c>
      <c r="B101" s="277">
        <f t="shared" si="32"/>
        <v>47500</v>
      </c>
      <c r="C101" s="280">
        <v>47270.0</v>
      </c>
      <c r="D101" s="270">
        <f t="shared" ref="D101:E101" si="124">sumif($G$19:J100,D$19,$G101:J101)</f>
        <v>3500</v>
      </c>
      <c r="E101" s="270">
        <f t="shared" si="124"/>
        <v>44000</v>
      </c>
      <c r="F101" s="270" t="str">
        <f t="shared" si="6"/>
        <v>Future</v>
      </c>
      <c r="G101" s="289">
        <f t="shared" si="118"/>
        <v>3500</v>
      </c>
      <c r="H101" s="289">
        <v>0.0</v>
      </c>
      <c r="I101" s="289">
        <f t="shared" ref="I101:J101" si="125">I100+500</f>
        <v>22000</v>
      </c>
      <c r="J101" s="289">
        <f t="shared" si="125"/>
        <v>22000</v>
      </c>
    </row>
    <row r="102">
      <c r="A102" s="268">
        <f t="shared" si="7"/>
        <v>917500</v>
      </c>
      <c r="B102" s="277">
        <f t="shared" si="32"/>
        <v>48500</v>
      </c>
      <c r="C102" s="280">
        <v>47300.0</v>
      </c>
      <c r="D102" s="270">
        <f t="shared" ref="D102:E102" si="126">sumif($G$19:J101,D$19,$G102:J102)</f>
        <v>3500</v>
      </c>
      <c r="E102" s="270">
        <f t="shared" si="126"/>
        <v>45000</v>
      </c>
      <c r="F102" s="270" t="str">
        <f t="shared" si="6"/>
        <v>Future</v>
      </c>
      <c r="G102" s="289">
        <f t="shared" si="118"/>
        <v>3500</v>
      </c>
      <c r="H102" s="289">
        <v>0.0</v>
      </c>
      <c r="I102" s="289">
        <f t="shared" ref="I102:J102" si="127">I101+500</f>
        <v>22500</v>
      </c>
      <c r="J102" s="289">
        <f t="shared" si="127"/>
        <v>22500</v>
      </c>
    </row>
    <row r="103">
      <c r="A103" s="268">
        <f t="shared" si="7"/>
        <v>868000</v>
      </c>
      <c r="B103" s="277">
        <f t="shared" si="32"/>
        <v>49500</v>
      </c>
      <c r="C103" s="280">
        <v>47331.0</v>
      </c>
      <c r="D103" s="270">
        <f t="shared" ref="D103:E103" si="128">sumif($G$19:J102,D$19,$G103:J103)</f>
        <v>3500</v>
      </c>
      <c r="E103" s="270">
        <f t="shared" si="128"/>
        <v>46000</v>
      </c>
      <c r="F103" s="270" t="str">
        <f t="shared" si="6"/>
        <v>Future</v>
      </c>
      <c r="G103" s="289">
        <f t="shared" si="118"/>
        <v>3500</v>
      </c>
      <c r="H103" s="289">
        <v>0.0</v>
      </c>
      <c r="I103" s="289">
        <f t="shared" ref="I103:J103" si="129">I102+500</f>
        <v>23000</v>
      </c>
      <c r="J103" s="289">
        <f t="shared" si="129"/>
        <v>23000</v>
      </c>
    </row>
    <row r="104">
      <c r="A104" s="268">
        <f t="shared" si="7"/>
        <v>817500</v>
      </c>
      <c r="B104" s="277">
        <f t="shared" si="32"/>
        <v>50500</v>
      </c>
      <c r="C104" s="280">
        <v>47362.0</v>
      </c>
      <c r="D104" s="270">
        <f t="shared" ref="D104:E104" si="130">sumif($G$19:J103,D$19,$G104:J104)</f>
        <v>3500</v>
      </c>
      <c r="E104" s="270">
        <f t="shared" si="130"/>
        <v>47000</v>
      </c>
      <c r="F104" s="270" t="str">
        <f t="shared" si="6"/>
        <v>Future</v>
      </c>
      <c r="G104" s="289">
        <f t="shared" si="118"/>
        <v>3500</v>
      </c>
      <c r="H104" s="289">
        <v>0.0</v>
      </c>
      <c r="I104" s="289">
        <f t="shared" ref="I104:J104" si="131">I103+500</f>
        <v>23500</v>
      </c>
      <c r="J104" s="289">
        <f t="shared" si="131"/>
        <v>23500</v>
      </c>
    </row>
    <row r="105">
      <c r="A105" s="268">
        <f t="shared" si="7"/>
        <v>766000</v>
      </c>
      <c r="B105" s="277">
        <f t="shared" si="32"/>
        <v>51500</v>
      </c>
      <c r="C105" s="280">
        <v>47392.0</v>
      </c>
      <c r="D105" s="270">
        <f t="shared" ref="D105:E105" si="132">sumif($G$19:J104,D$19,$G105:J105)</f>
        <v>3500</v>
      </c>
      <c r="E105" s="270">
        <f t="shared" si="132"/>
        <v>48000</v>
      </c>
      <c r="F105" s="270" t="str">
        <f t="shared" si="6"/>
        <v>Future</v>
      </c>
      <c r="G105" s="289">
        <f t="shared" si="118"/>
        <v>3500</v>
      </c>
      <c r="H105" s="289">
        <v>0.0</v>
      </c>
      <c r="I105" s="289">
        <f t="shared" ref="I105:J105" si="133">I104+500</f>
        <v>24000</v>
      </c>
      <c r="J105" s="289">
        <f t="shared" si="133"/>
        <v>24000</v>
      </c>
    </row>
    <row r="106">
      <c r="A106" s="268">
        <f t="shared" si="7"/>
        <v>713500</v>
      </c>
      <c r="B106" s="277">
        <f t="shared" si="32"/>
        <v>52500</v>
      </c>
      <c r="C106" s="280">
        <v>47423.0</v>
      </c>
      <c r="D106" s="270">
        <f t="shared" ref="D106:E106" si="134">sumif($G$19:J105,D$19,$G106:J106)</f>
        <v>3500</v>
      </c>
      <c r="E106" s="270">
        <f t="shared" si="134"/>
        <v>49000</v>
      </c>
      <c r="F106" s="270" t="str">
        <f t="shared" si="6"/>
        <v>Future</v>
      </c>
      <c r="G106" s="289">
        <f t="shared" si="118"/>
        <v>3500</v>
      </c>
      <c r="H106" s="289">
        <v>0.0</v>
      </c>
      <c r="I106" s="289">
        <f t="shared" ref="I106:J106" si="135">I105+500</f>
        <v>24500</v>
      </c>
      <c r="J106" s="289">
        <f t="shared" si="135"/>
        <v>24500</v>
      </c>
    </row>
    <row r="107">
      <c r="A107" s="268">
        <f t="shared" si="7"/>
        <v>660000</v>
      </c>
      <c r="B107" s="277">
        <f t="shared" si="32"/>
        <v>53500</v>
      </c>
      <c r="C107" s="280">
        <v>47453.0</v>
      </c>
      <c r="D107" s="270">
        <f t="shared" ref="D107:E107" si="136">sumif($G$19:J106,D$19,$G107:J107)</f>
        <v>3500</v>
      </c>
      <c r="E107" s="270">
        <f t="shared" si="136"/>
        <v>50000</v>
      </c>
      <c r="F107" s="270" t="str">
        <f t="shared" si="6"/>
        <v>Future</v>
      </c>
      <c r="G107" s="289">
        <f t="shared" si="118"/>
        <v>3500</v>
      </c>
      <c r="H107" s="289">
        <v>0.0</v>
      </c>
      <c r="I107" s="289">
        <f t="shared" ref="I107:J107" si="137">I106+500</f>
        <v>25000</v>
      </c>
      <c r="J107" s="289">
        <f t="shared" si="137"/>
        <v>25000</v>
      </c>
    </row>
    <row r="108">
      <c r="A108" s="268">
        <f t="shared" si="7"/>
        <v>605000</v>
      </c>
      <c r="B108" s="277">
        <f t="shared" si="32"/>
        <v>55000</v>
      </c>
      <c r="C108" s="280">
        <v>47484.0</v>
      </c>
      <c r="D108" s="270">
        <f t="shared" ref="D108:E108" si="138">sumif($G$19:J107,D$19,$G108:J108)</f>
        <v>4000</v>
      </c>
      <c r="E108" s="270">
        <f t="shared" si="138"/>
        <v>51000</v>
      </c>
      <c r="F108" s="270" t="str">
        <f t="shared" si="6"/>
        <v>Future</v>
      </c>
      <c r="G108" s="289">
        <f>G107+500</f>
        <v>4000</v>
      </c>
      <c r="H108" s="289">
        <v>0.0</v>
      </c>
      <c r="I108" s="289">
        <f t="shared" ref="I108:J108" si="139">I107+500</f>
        <v>25500</v>
      </c>
      <c r="J108" s="289">
        <f t="shared" si="139"/>
        <v>25500</v>
      </c>
    </row>
    <row r="109">
      <c r="A109" s="268">
        <f t="shared" si="7"/>
        <v>549000</v>
      </c>
      <c r="B109" s="277">
        <f t="shared" si="32"/>
        <v>56000</v>
      </c>
      <c r="C109" s="280">
        <v>47515.0</v>
      </c>
      <c r="D109" s="270">
        <f t="shared" ref="D109:E109" si="140">sumif($G$19:J108,D$19,$G109:J109)</f>
        <v>4000</v>
      </c>
      <c r="E109" s="270">
        <f t="shared" si="140"/>
        <v>52000</v>
      </c>
      <c r="F109" s="270" t="str">
        <f t="shared" si="6"/>
        <v>Future</v>
      </c>
      <c r="G109" s="289">
        <f t="shared" ref="G109:G118" si="143">G108</f>
        <v>4000</v>
      </c>
      <c r="H109" s="289">
        <v>0.0</v>
      </c>
      <c r="I109" s="289">
        <f t="shared" ref="I109:J109" si="141">I108+500</f>
        <v>26000</v>
      </c>
      <c r="J109" s="289">
        <f t="shared" si="141"/>
        <v>26000</v>
      </c>
    </row>
    <row r="110">
      <c r="A110" s="268">
        <f t="shared" si="7"/>
        <v>492000</v>
      </c>
      <c r="B110" s="277">
        <f t="shared" si="32"/>
        <v>57000</v>
      </c>
      <c r="C110" s="280">
        <v>47543.0</v>
      </c>
      <c r="D110" s="270">
        <f t="shared" ref="D110:E110" si="142">sumif($G$19:J109,D$19,$G110:J110)</f>
        <v>4000</v>
      </c>
      <c r="E110" s="270">
        <f t="shared" si="142"/>
        <v>53000</v>
      </c>
      <c r="F110" s="270" t="str">
        <f t="shared" si="6"/>
        <v>Future</v>
      </c>
      <c r="G110" s="289">
        <f t="shared" si="143"/>
        <v>4000</v>
      </c>
      <c r="H110" s="289">
        <v>0.0</v>
      </c>
      <c r="I110" s="289">
        <f t="shared" ref="I110:J110" si="144">I109+500</f>
        <v>26500</v>
      </c>
      <c r="J110" s="289">
        <f t="shared" si="144"/>
        <v>26500</v>
      </c>
    </row>
    <row r="111">
      <c r="A111" s="268">
        <f t="shared" si="7"/>
        <v>434000</v>
      </c>
      <c r="B111" s="277">
        <f t="shared" si="32"/>
        <v>58000</v>
      </c>
      <c r="C111" s="280">
        <v>47574.0</v>
      </c>
      <c r="D111" s="270">
        <f t="shared" ref="D111:E111" si="145">sumif($G$19:J110,D$19,$G111:J111)</f>
        <v>4000</v>
      </c>
      <c r="E111" s="270">
        <f t="shared" si="145"/>
        <v>54000</v>
      </c>
      <c r="F111" s="270" t="str">
        <f t="shared" si="6"/>
        <v>Future</v>
      </c>
      <c r="G111" s="289">
        <f t="shared" si="143"/>
        <v>4000</v>
      </c>
      <c r="H111" s="289">
        <v>0.0</v>
      </c>
      <c r="I111" s="289">
        <f t="shared" ref="I111:J111" si="146">I110+500</f>
        <v>27000</v>
      </c>
      <c r="J111" s="289">
        <f t="shared" si="146"/>
        <v>27000</v>
      </c>
    </row>
    <row r="112">
      <c r="A112" s="268">
        <f t="shared" si="7"/>
        <v>375000</v>
      </c>
      <c r="B112" s="277">
        <f t="shared" si="32"/>
        <v>59000</v>
      </c>
      <c r="C112" s="280">
        <v>47604.0</v>
      </c>
      <c r="D112" s="270">
        <f t="shared" ref="D112:E112" si="147">sumif($G$19:J111,D$19,$G112:J112)</f>
        <v>4000</v>
      </c>
      <c r="E112" s="270">
        <f t="shared" si="147"/>
        <v>55000</v>
      </c>
      <c r="F112" s="270" t="str">
        <f t="shared" si="6"/>
        <v>Future</v>
      </c>
      <c r="G112" s="289">
        <f t="shared" si="143"/>
        <v>4000</v>
      </c>
      <c r="H112" s="289">
        <v>0.0</v>
      </c>
      <c r="I112" s="289">
        <f t="shared" ref="I112:J112" si="148">I111+500</f>
        <v>27500</v>
      </c>
      <c r="J112" s="289">
        <f t="shared" si="148"/>
        <v>27500</v>
      </c>
    </row>
    <row r="113">
      <c r="A113" s="268">
        <f t="shared" si="7"/>
        <v>315000</v>
      </c>
      <c r="B113" s="277">
        <f t="shared" si="32"/>
        <v>60000</v>
      </c>
      <c r="C113" s="280">
        <v>47635.0</v>
      </c>
      <c r="D113" s="270">
        <f t="shared" ref="D113:E113" si="149">sumif($G$19:J112,D$19,$G113:J113)</f>
        <v>4000</v>
      </c>
      <c r="E113" s="270">
        <f t="shared" si="149"/>
        <v>56000</v>
      </c>
      <c r="F113" s="270" t="str">
        <f t="shared" si="6"/>
        <v>Future</v>
      </c>
      <c r="G113" s="289">
        <f t="shared" si="143"/>
        <v>4000</v>
      </c>
      <c r="H113" s="289">
        <v>0.0</v>
      </c>
      <c r="I113" s="289">
        <f t="shared" ref="I113:J113" si="150">I112+500</f>
        <v>28000</v>
      </c>
      <c r="J113" s="289">
        <f t="shared" si="150"/>
        <v>28000</v>
      </c>
    </row>
    <row r="114">
      <c r="A114" s="268">
        <f t="shared" si="7"/>
        <v>254000</v>
      </c>
      <c r="B114" s="277">
        <f t="shared" si="32"/>
        <v>61000</v>
      </c>
      <c r="C114" s="280">
        <v>47665.0</v>
      </c>
      <c r="D114" s="270">
        <f t="shared" ref="D114:E114" si="151">sumif($G$19:J113,D$19,$G114:J114)</f>
        <v>4000</v>
      </c>
      <c r="E114" s="270">
        <f t="shared" si="151"/>
        <v>57000</v>
      </c>
      <c r="F114" s="270" t="str">
        <f t="shared" si="6"/>
        <v>Future</v>
      </c>
      <c r="G114" s="289">
        <f t="shared" si="143"/>
        <v>4000</v>
      </c>
      <c r="H114" s="289">
        <v>0.0</v>
      </c>
      <c r="I114" s="289">
        <f t="shared" ref="I114:J114" si="152">I113+500</f>
        <v>28500</v>
      </c>
      <c r="J114" s="289">
        <f t="shared" si="152"/>
        <v>28500</v>
      </c>
    </row>
    <row r="115">
      <c r="A115" s="268">
        <f t="shared" si="7"/>
        <v>192000</v>
      </c>
      <c r="B115" s="277">
        <f t="shared" si="32"/>
        <v>62000</v>
      </c>
      <c r="C115" s="280">
        <v>47696.0</v>
      </c>
      <c r="D115" s="270">
        <f t="shared" ref="D115:E115" si="153">sumif($G$19:J114,D$19,$G115:J115)</f>
        <v>4000</v>
      </c>
      <c r="E115" s="270">
        <f t="shared" si="153"/>
        <v>58000</v>
      </c>
      <c r="F115" s="270" t="str">
        <f t="shared" si="6"/>
        <v>Future</v>
      </c>
      <c r="G115" s="289">
        <f t="shared" si="143"/>
        <v>4000</v>
      </c>
      <c r="H115" s="289">
        <v>0.0</v>
      </c>
      <c r="I115" s="289">
        <f t="shared" ref="I115:J115" si="154">I114+500</f>
        <v>29000</v>
      </c>
      <c r="J115" s="289">
        <f t="shared" si="154"/>
        <v>29000</v>
      </c>
    </row>
    <row r="116">
      <c r="A116" s="268">
        <f t="shared" si="7"/>
        <v>129000</v>
      </c>
      <c r="B116" s="277">
        <f t="shared" si="32"/>
        <v>63000</v>
      </c>
      <c r="C116" s="280">
        <v>47727.0</v>
      </c>
      <c r="D116" s="270">
        <f t="shared" ref="D116:E116" si="155">sumif($G$19:J115,D$19,$G116:J116)</f>
        <v>4000</v>
      </c>
      <c r="E116" s="270">
        <f t="shared" si="155"/>
        <v>59000</v>
      </c>
      <c r="F116" s="270" t="str">
        <f t="shared" si="6"/>
        <v>Future</v>
      </c>
      <c r="G116" s="289">
        <f t="shared" si="143"/>
        <v>4000</v>
      </c>
      <c r="H116" s="289">
        <v>0.0</v>
      </c>
      <c r="I116" s="289">
        <f t="shared" ref="I116:J116" si="156">I115+500</f>
        <v>29500</v>
      </c>
      <c r="J116" s="289">
        <f t="shared" si="156"/>
        <v>29500</v>
      </c>
    </row>
    <row r="117">
      <c r="A117" s="268">
        <f t="shared" si="7"/>
        <v>65000</v>
      </c>
      <c r="B117" s="277">
        <f t="shared" si="32"/>
        <v>64000</v>
      </c>
      <c r="C117" s="280">
        <v>47757.0</v>
      </c>
      <c r="D117" s="270">
        <f t="shared" ref="D117:E117" si="157">sumif($G$19:J116,D$19,$G117:J117)</f>
        <v>4000</v>
      </c>
      <c r="E117" s="270">
        <f t="shared" si="157"/>
        <v>60000</v>
      </c>
      <c r="F117" s="270" t="str">
        <f t="shared" si="6"/>
        <v>Future</v>
      </c>
      <c r="G117" s="289">
        <f t="shared" si="143"/>
        <v>4000</v>
      </c>
      <c r="H117" s="289">
        <v>0.0</v>
      </c>
      <c r="I117" s="289">
        <f t="shared" ref="I117:J117" si="158">I116+500</f>
        <v>30000</v>
      </c>
      <c r="J117" s="289">
        <f t="shared" si="158"/>
        <v>30000</v>
      </c>
    </row>
    <row r="118">
      <c r="A118" s="268">
        <f t="shared" si="7"/>
        <v>0</v>
      </c>
      <c r="B118" s="277">
        <f t="shared" si="32"/>
        <v>65000</v>
      </c>
      <c r="C118" s="280">
        <v>47788.0</v>
      </c>
      <c r="D118" s="270">
        <f t="shared" ref="D118:E118" si="159">sumif($G$19:J117,D$19,$G118:J118)</f>
        <v>4000</v>
      </c>
      <c r="E118" s="270">
        <f t="shared" si="159"/>
        <v>61000</v>
      </c>
      <c r="F118" s="270" t="str">
        <f t="shared" si="6"/>
        <v>Future</v>
      </c>
      <c r="G118" s="289">
        <f t="shared" si="143"/>
        <v>4000</v>
      </c>
      <c r="H118" s="289">
        <v>0.0</v>
      </c>
      <c r="I118" s="289">
        <f t="shared" ref="I118:J118" si="160">I117+500</f>
        <v>30500</v>
      </c>
      <c r="J118" s="289">
        <f t="shared" si="160"/>
        <v>30500</v>
      </c>
    </row>
  </sheetData>
  <conditionalFormatting sqref="D20:F118">
    <cfRule type="cellIs" dxfId="19" priority="1" operator="equal">
      <formula>"Current"</formula>
    </cfRule>
  </conditionalFormatting>
  <conditionalFormatting sqref="A1:J118">
    <cfRule type="cellIs" dxfId="19" priority="2" operator="equal">
      <formula>DATE(year(today()),month(today()),1)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.63"/>
    <col customWidth="1" min="3" max="3" width="65.63"/>
    <col customWidth="1" min="4" max="4" width="55.88"/>
  </cols>
  <sheetData>
    <row r="4">
      <c r="B4" s="6" t="s">
        <v>348</v>
      </c>
      <c r="C4" s="6" t="s">
        <v>349</v>
      </c>
    </row>
    <row r="6">
      <c r="C6" s="6" t="s">
        <v>350</v>
      </c>
    </row>
    <row r="7">
      <c r="C7" s="6" t="s">
        <v>351</v>
      </c>
      <c r="D7" s="6" t="s">
        <v>352</v>
      </c>
    </row>
    <row r="8">
      <c r="B8" s="6" t="s">
        <v>348</v>
      </c>
      <c r="C8" s="6" t="s">
        <v>353</v>
      </c>
      <c r="D8" s="6" t="s">
        <v>354</v>
      </c>
    </row>
    <row r="10">
      <c r="B10" s="6" t="s">
        <v>348</v>
      </c>
      <c r="C10" s="6" t="s">
        <v>355</v>
      </c>
    </row>
    <row r="13">
      <c r="C13" s="6" t="s">
        <v>356</v>
      </c>
    </row>
    <row r="14">
      <c r="C14" s="6" t="s">
        <v>357</v>
      </c>
    </row>
    <row r="16">
      <c r="C16" s="6" t="s">
        <v>358</v>
      </c>
      <c r="D16" s="291">
        <v>45505.0</v>
      </c>
    </row>
    <row r="17">
      <c r="C17" s="6" t="s">
        <v>359</v>
      </c>
      <c r="D17" s="291">
        <v>45536.0</v>
      </c>
    </row>
    <row r="18">
      <c r="C18" s="6" t="s">
        <v>360</v>
      </c>
      <c r="D18" s="2">
        <f>(D17-D16)*86400000</f>
        <v>2678400000</v>
      </c>
    </row>
    <row r="19">
      <c r="C19" s="6"/>
      <c r="D19" s="292"/>
    </row>
    <row r="20">
      <c r="C20" s="6" t="s">
        <v>361</v>
      </c>
      <c r="D20" s="292">
        <f>now()</f>
        <v>45969.75637</v>
      </c>
    </row>
    <row r="21">
      <c r="C21" s="6" t="s">
        <v>362</v>
      </c>
      <c r="D21" s="2">
        <f>(D20-D16)*86400000</f>
        <v>40154950397</v>
      </c>
    </row>
    <row r="22">
      <c r="C22" s="6" t="s">
        <v>363</v>
      </c>
      <c r="D22" s="2">
        <f>(D17-D20)*86400000</f>
        <v>-37476550397</v>
      </c>
    </row>
    <row r="24">
      <c r="C24" s="6" t="s">
        <v>95</v>
      </c>
      <c r="D24" s="6">
        <v>143373.0</v>
      </c>
    </row>
    <row r="25">
      <c r="D25" s="2">
        <f>D24/D18</f>
        <v>0.00005352934588</v>
      </c>
    </row>
    <row r="26">
      <c r="C26" s="6" t="s">
        <v>364</v>
      </c>
      <c r="D26" s="2">
        <f>D25*D21</f>
        <v>2149468.229</v>
      </c>
    </row>
    <row r="27">
      <c r="C27" s="6" t="s">
        <v>365</v>
      </c>
      <c r="D27" s="2">
        <f>D25*D22</f>
        <v>-2006095.229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7.13"/>
    <col customWidth="1" min="4" max="4" width="8.75"/>
    <col customWidth="1" min="5" max="5" width="28.38"/>
    <col customWidth="1" min="6" max="6" width="8.75"/>
    <col customWidth="1" min="7" max="7" width="9.13"/>
    <col customWidth="1" min="8" max="8" width="10.13"/>
    <col customWidth="1" min="9" max="9" width="8.0"/>
    <col customWidth="1" min="10" max="10" width="15.5"/>
    <col customWidth="1" min="11" max="11" width="11.88"/>
    <col customWidth="1" min="12" max="12" width="7.88"/>
    <col customWidth="1" min="14" max="14" width="7.88"/>
    <col customWidth="1" min="15" max="15" width="6.5"/>
    <col customWidth="1" min="16" max="16" width="30.5"/>
    <col customWidth="1" min="17" max="17" width="34.88"/>
    <col customWidth="1" min="18" max="18" width="10.5"/>
    <col customWidth="1" min="19" max="19" width="14.88"/>
    <col customWidth="1" min="20" max="20" width="4.75"/>
    <col customWidth="1" min="21" max="21" width="17.0"/>
    <col customWidth="1" min="22" max="22" width="9.5"/>
    <col customWidth="1" min="23" max="23" width="17.0"/>
    <col customWidth="1" min="24" max="24" width="4.75"/>
    <col customWidth="1" min="25" max="25" width="16.75"/>
    <col customWidth="1" min="26" max="26" width="17.75"/>
    <col customWidth="1" min="27" max="27" width="9.75"/>
    <col customWidth="1" min="28" max="28" width="10.75"/>
    <col customWidth="1" min="29" max="29" width="17.0"/>
    <col customWidth="1" min="30" max="30" width="8.13"/>
    <col customWidth="1" min="31" max="31" width="16.75"/>
    <col customWidth="1" min="32" max="32" width="17.75"/>
  </cols>
  <sheetData>
    <row r="2">
      <c r="I2" s="6" t="s">
        <v>366</v>
      </c>
      <c r="J2" s="2" t="str">
        <f t="array" ref="J2:J8">UNIQUE(S:S)</f>
        <v/>
      </c>
      <c r="K2" s="6" t="s">
        <v>367</v>
      </c>
      <c r="L2" s="6" t="s">
        <v>368</v>
      </c>
      <c r="P2" s="6" t="s">
        <v>369</v>
      </c>
      <c r="Q2" s="6" t="s">
        <v>370</v>
      </c>
      <c r="S2" s="6" t="s">
        <v>371</v>
      </c>
      <c r="T2" s="6" t="s">
        <v>372</v>
      </c>
    </row>
    <row r="3">
      <c r="B3" s="293" t="s">
        <v>367</v>
      </c>
      <c r="C3" s="294">
        <f>sum(C6:C791)</f>
        <v>190020</v>
      </c>
      <c r="D3" s="294">
        <f>sumif(F5:F22,"Paid",D5:D22)</f>
        <v>118192.66</v>
      </c>
      <c r="E3" s="294"/>
      <c r="F3" s="294">
        <f>sumif(F5:F22,"Paid", D5:D22)</f>
        <v>118192.66</v>
      </c>
      <c r="I3" s="2">
        <f t="shared" ref="I3:I8" si="1">K3-L3</f>
        <v>0</v>
      </c>
      <c r="J3" s="2" t="s">
        <v>371</v>
      </c>
      <c r="K3" s="2">
        <f t="shared" ref="K3:K8" si="2">sumifs(O:O,S:S,J:J,N:N,K$2,T:T,"Loan")</f>
        <v>0</v>
      </c>
      <c r="L3" s="2">
        <f t="shared" ref="L3:L8" si="3">sumifs(O:O,S:S,J:J,N:N,L$2,T:T,"Loan")</f>
        <v>0</v>
      </c>
      <c r="N3" s="6" t="s">
        <v>367</v>
      </c>
      <c r="O3" s="6">
        <v>20000.0</v>
      </c>
      <c r="P3" s="6" t="s">
        <v>373</v>
      </c>
      <c r="Q3" s="6"/>
      <c r="R3" s="206">
        <v>45496.0</v>
      </c>
      <c r="S3" s="6" t="s">
        <v>337</v>
      </c>
      <c r="T3" s="6" t="s">
        <v>374</v>
      </c>
    </row>
    <row r="4">
      <c r="B4" s="295" t="s">
        <v>337</v>
      </c>
      <c r="C4" s="296" t="s">
        <v>375</v>
      </c>
      <c r="D4" s="296" t="s">
        <v>68</v>
      </c>
      <c r="E4" s="296" t="s">
        <v>370</v>
      </c>
      <c r="F4" s="296" t="s">
        <v>376</v>
      </c>
      <c r="I4" s="2">
        <f t="shared" si="1"/>
        <v>20000</v>
      </c>
      <c r="J4" s="2" t="s">
        <v>337</v>
      </c>
      <c r="K4" s="2">
        <f t="shared" si="2"/>
        <v>20000</v>
      </c>
      <c r="L4" s="2">
        <f t="shared" si="3"/>
        <v>0</v>
      </c>
      <c r="N4" s="6" t="s">
        <v>368</v>
      </c>
      <c r="O4" s="6">
        <v>12000.0</v>
      </c>
      <c r="P4" s="6" t="s">
        <v>377</v>
      </c>
      <c r="Q4" s="6"/>
      <c r="R4" s="206">
        <v>45500.0</v>
      </c>
      <c r="S4" s="6" t="s">
        <v>378</v>
      </c>
      <c r="T4" s="6"/>
    </row>
    <row r="5">
      <c r="B5" s="191"/>
      <c r="F5" s="194"/>
      <c r="I5" s="2">
        <f t="shared" si="1"/>
        <v>0</v>
      </c>
      <c r="J5" s="2" t="s">
        <v>378</v>
      </c>
      <c r="K5" s="2">
        <f t="shared" si="2"/>
        <v>0</v>
      </c>
      <c r="L5" s="2">
        <f t="shared" si="3"/>
        <v>0</v>
      </c>
      <c r="N5" s="6" t="s">
        <v>368</v>
      </c>
      <c r="O5" s="6">
        <v>6053.0</v>
      </c>
      <c r="P5" s="6" t="s">
        <v>377</v>
      </c>
      <c r="Q5" s="6"/>
      <c r="R5" s="206">
        <v>45500.0</v>
      </c>
      <c r="S5" s="6" t="s">
        <v>378</v>
      </c>
      <c r="T5" s="6"/>
    </row>
    <row r="6">
      <c r="B6" s="297">
        <v>45167.0</v>
      </c>
      <c r="C6" s="6">
        <v>10000.0</v>
      </c>
      <c r="D6" s="6">
        <v>10000.0</v>
      </c>
      <c r="E6" s="6" t="s">
        <v>379</v>
      </c>
      <c r="F6" s="192" t="s">
        <v>68</v>
      </c>
      <c r="I6" s="2">
        <f t="shared" si="1"/>
        <v>0</v>
      </c>
      <c r="J6" s="2" t="s">
        <v>380</v>
      </c>
      <c r="K6" s="2">
        <f t="shared" si="2"/>
        <v>38100</v>
      </c>
      <c r="L6" s="2">
        <f t="shared" si="3"/>
        <v>38100</v>
      </c>
      <c r="N6" s="6" t="s">
        <v>368</v>
      </c>
      <c r="O6" s="6">
        <v>2000.0</v>
      </c>
      <c r="P6" s="6" t="s">
        <v>377</v>
      </c>
      <c r="Q6" s="6"/>
      <c r="R6" s="206">
        <v>45540.0</v>
      </c>
      <c r="S6" s="6" t="s">
        <v>378</v>
      </c>
      <c r="T6" s="6"/>
      <c r="V6" s="298">
        <v>45507.0</v>
      </c>
    </row>
    <row r="7">
      <c r="B7" s="297">
        <v>45201.0</v>
      </c>
      <c r="C7" s="6">
        <v>10000.0</v>
      </c>
      <c r="D7" s="6">
        <v>10000.0</v>
      </c>
      <c r="E7" s="6" t="s">
        <v>381</v>
      </c>
      <c r="F7" s="192" t="s">
        <v>68</v>
      </c>
      <c r="I7" s="2">
        <f t="shared" si="1"/>
        <v>60000</v>
      </c>
      <c r="J7" s="2" t="s">
        <v>382</v>
      </c>
      <c r="K7" s="2">
        <f t="shared" si="2"/>
        <v>60000</v>
      </c>
      <c r="L7" s="2">
        <f t="shared" si="3"/>
        <v>0</v>
      </c>
      <c r="N7" s="6" t="s">
        <v>367</v>
      </c>
      <c r="O7" s="6">
        <v>5000.0</v>
      </c>
      <c r="P7" s="6" t="s">
        <v>383</v>
      </c>
      <c r="Q7" s="6" t="s">
        <v>384</v>
      </c>
      <c r="R7" s="206">
        <v>45571.0</v>
      </c>
      <c r="S7" s="6" t="s">
        <v>380</v>
      </c>
      <c r="T7" s="6" t="s">
        <v>374</v>
      </c>
      <c r="V7" s="296">
        <v>10000.0</v>
      </c>
      <c r="W7" s="299">
        <f t="shared" ref="W7:X7" si="4">sum(W8:W16)</f>
        <v>10755</v>
      </c>
      <c r="X7" s="299">
        <f t="shared" si="4"/>
        <v>500</v>
      </c>
      <c r="Y7" s="299">
        <f t="shared" ref="Y7:Y16" si="5">W7+X7</f>
        <v>11255</v>
      </c>
      <c r="AB7" s="6">
        <v>10000.0</v>
      </c>
      <c r="AC7" s="6" t="s">
        <v>385</v>
      </c>
    </row>
    <row r="8">
      <c r="B8" s="297">
        <v>45231.0</v>
      </c>
      <c r="C8" s="6">
        <v>10000.0</v>
      </c>
      <c r="D8" s="6">
        <v>10000.0</v>
      </c>
      <c r="E8" s="6" t="s">
        <v>381</v>
      </c>
      <c r="F8" s="192" t="s">
        <v>68</v>
      </c>
      <c r="I8" s="2">
        <f t="shared" si="1"/>
        <v>0</v>
      </c>
      <c r="J8" s="2" t="s">
        <v>386</v>
      </c>
      <c r="K8" s="2">
        <f t="shared" si="2"/>
        <v>5000</v>
      </c>
      <c r="L8" s="2">
        <f t="shared" si="3"/>
        <v>5000</v>
      </c>
      <c r="N8" s="6" t="s">
        <v>367</v>
      </c>
      <c r="O8" s="6">
        <v>1000.0</v>
      </c>
      <c r="P8" s="6" t="s">
        <v>387</v>
      </c>
      <c r="Q8" s="6" t="s">
        <v>384</v>
      </c>
      <c r="R8" s="206">
        <v>45571.0</v>
      </c>
      <c r="S8" s="6" t="s">
        <v>380</v>
      </c>
      <c r="T8" s="6" t="s">
        <v>374</v>
      </c>
      <c r="V8" s="300">
        <v>1.0</v>
      </c>
      <c r="W8" s="300">
        <v>1195.0</v>
      </c>
      <c r="X8" s="300">
        <v>500.0</v>
      </c>
      <c r="Y8" s="301">
        <f t="shared" si="5"/>
        <v>1695</v>
      </c>
      <c r="Z8" s="6" t="s">
        <v>68</v>
      </c>
      <c r="AA8" s="2">
        <f t="shared" ref="AA8:AA16" si="6">10000/9</f>
        <v>1111.111111</v>
      </c>
      <c r="AB8" s="2">
        <f>V$7-AA8</f>
        <v>8888.888889</v>
      </c>
      <c r="AC8" s="2">
        <f t="shared" ref="AC8:AC16" si="7">AB7+AB7*4%</f>
        <v>10400</v>
      </c>
      <c r="AD8" s="6" t="s">
        <v>388</v>
      </c>
    </row>
    <row r="9">
      <c r="B9" s="297">
        <v>45261.0</v>
      </c>
      <c r="C9" s="6">
        <v>10000.0</v>
      </c>
      <c r="D9" s="6">
        <v>10000.0</v>
      </c>
      <c r="E9" s="6" t="s">
        <v>381</v>
      </c>
      <c r="F9" s="192" t="s">
        <v>68</v>
      </c>
      <c r="N9" s="6" t="s">
        <v>367</v>
      </c>
      <c r="O9" s="6">
        <v>1000.0</v>
      </c>
      <c r="P9" s="6" t="s">
        <v>389</v>
      </c>
      <c r="Q9" s="6" t="s">
        <v>384</v>
      </c>
      <c r="R9" s="206">
        <v>45572.0</v>
      </c>
      <c r="S9" s="6" t="s">
        <v>380</v>
      </c>
      <c r="T9" s="6" t="s">
        <v>374</v>
      </c>
      <c r="V9" s="300">
        <v>2.0</v>
      </c>
      <c r="W9" s="300">
        <v>1195.0</v>
      </c>
      <c r="X9" s="301"/>
      <c r="Y9" s="301">
        <f t="shared" si="5"/>
        <v>1195</v>
      </c>
      <c r="Z9" s="6" t="s">
        <v>68</v>
      </c>
      <c r="AA9" s="2">
        <f t="shared" si="6"/>
        <v>1111.111111</v>
      </c>
      <c r="AB9" s="2">
        <f t="shared" ref="AB9:AB16" si="8">AB8-AA9</f>
        <v>7777.777778</v>
      </c>
      <c r="AC9" s="2">
        <f t="shared" si="7"/>
        <v>9244.444444</v>
      </c>
      <c r="AD9" s="6" t="s">
        <v>388</v>
      </c>
    </row>
    <row r="10">
      <c r="B10" s="297">
        <v>45293.0</v>
      </c>
      <c r="C10" s="6">
        <v>10000.0</v>
      </c>
      <c r="D10" s="6">
        <v>10000.0</v>
      </c>
      <c r="E10" s="6" t="s">
        <v>381</v>
      </c>
      <c r="F10" s="192" t="s">
        <v>68</v>
      </c>
      <c r="N10" s="6" t="s">
        <v>367</v>
      </c>
      <c r="O10" s="6">
        <v>10000.0</v>
      </c>
      <c r="P10" s="6" t="s">
        <v>390</v>
      </c>
      <c r="Q10" s="6" t="s">
        <v>391</v>
      </c>
      <c r="R10" s="206">
        <v>45556.0</v>
      </c>
      <c r="S10" s="6" t="s">
        <v>382</v>
      </c>
      <c r="T10" s="6" t="s">
        <v>374</v>
      </c>
      <c r="V10" s="300">
        <v>3.0</v>
      </c>
      <c r="W10" s="300">
        <v>1195.0</v>
      </c>
      <c r="X10" s="301"/>
      <c r="Y10" s="301">
        <f t="shared" si="5"/>
        <v>1195</v>
      </c>
      <c r="Z10" s="6" t="s">
        <v>67</v>
      </c>
      <c r="AA10" s="2">
        <f t="shared" si="6"/>
        <v>1111.111111</v>
      </c>
      <c r="AB10" s="2">
        <f t="shared" si="8"/>
        <v>6666.666667</v>
      </c>
      <c r="AC10" s="2">
        <f t="shared" si="7"/>
        <v>8088.888889</v>
      </c>
      <c r="AD10" s="6" t="s">
        <v>392</v>
      </c>
    </row>
    <row r="11">
      <c r="B11" s="297">
        <v>45300.0</v>
      </c>
      <c r="C11" s="6">
        <v>0.0</v>
      </c>
      <c r="D11" s="6">
        <v>13172.66</v>
      </c>
      <c r="E11" s="6" t="s">
        <v>393</v>
      </c>
      <c r="F11" s="192" t="s">
        <v>68</v>
      </c>
      <c r="N11" s="6" t="s">
        <v>367</v>
      </c>
      <c r="O11" s="6">
        <v>10000.0</v>
      </c>
      <c r="P11" s="6" t="s">
        <v>390</v>
      </c>
      <c r="Q11" s="6" t="s">
        <v>391</v>
      </c>
      <c r="R11" s="206">
        <v>45556.0</v>
      </c>
      <c r="S11" s="6" t="s">
        <v>382</v>
      </c>
      <c r="T11" s="6" t="s">
        <v>374</v>
      </c>
      <c r="V11" s="300">
        <v>4.0</v>
      </c>
      <c r="W11" s="300">
        <v>1195.0</v>
      </c>
      <c r="X11" s="301"/>
      <c r="Y11" s="301">
        <f t="shared" si="5"/>
        <v>1195</v>
      </c>
      <c r="Z11" s="6" t="s">
        <v>67</v>
      </c>
      <c r="AA11" s="2">
        <f t="shared" si="6"/>
        <v>1111.111111</v>
      </c>
      <c r="AB11" s="2">
        <f t="shared" si="8"/>
        <v>5555.555556</v>
      </c>
      <c r="AC11" s="2">
        <f t="shared" si="7"/>
        <v>6933.333333</v>
      </c>
      <c r="AD11" s="6" t="s">
        <v>392</v>
      </c>
    </row>
    <row r="12">
      <c r="B12" s="297">
        <v>45324.0</v>
      </c>
      <c r="C12" s="6">
        <v>10000.0</v>
      </c>
      <c r="D12" s="6">
        <v>10000.0</v>
      </c>
      <c r="E12" s="6" t="s">
        <v>381</v>
      </c>
      <c r="F12" s="192" t="s">
        <v>68</v>
      </c>
      <c r="N12" s="6" t="s">
        <v>367</v>
      </c>
      <c r="O12" s="6">
        <v>30000.0</v>
      </c>
      <c r="P12" s="6" t="s">
        <v>394</v>
      </c>
      <c r="Q12" s="6" t="s">
        <v>391</v>
      </c>
      <c r="R12" s="206">
        <v>45573.0</v>
      </c>
      <c r="S12" s="6" t="s">
        <v>382</v>
      </c>
      <c r="T12" s="6" t="s">
        <v>374</v>
      </c>
      <c r="V12" s="300">
        <v>5.0</v>
      </c>
      <c r="W12" s="300">
        <v>1195.0</v>
      </c>
      <c r="X12" s="301"/>
      <c r="Y12" s="301">
        <f t="shared" si="5"/>
        <v>1195</v>
      </c>
      <c r="Z12" s="6" t="s">
        <v>67</v>
      </c>
      <c r="AA12" s="2">
        <f t="shared" si="6"/>
        <v>1111.111111</v>
      </c>
      <c r="AB12" s="2">
        <f t="shared" si="8"/>
        <v>4444.444444</v>
      </c>
      <c r="AC12" s="2">
        <f t="shared" si="7"/>
        <v>5777.777778</v>
      </c>
      <c r="AD12" s="6" t="s">
        <v>392</v>
      </c>
    </row>
    <row r="13">
      <c r="B13" s="297">
        <v>45353.0</v>
      </c>
      <c r="C13" s="6">
        <v>10000.0</v>
      </c>
      <c r="D13" s="6">
        <v>10000.0</v>
      </c>
      <c r="E13" s="6" t="s">
        <v>381</v>
      </c>
      <c r="F13" s="192" t="s">
        <v>68</v>
      </c>
      <c r="N13" s="6" t="s">
        <v>367</v>
      </c>
      <c r="O13" s="6">
        <v>10000.0</v>
      </c>
      <c r="P13" s="6" t="s">
        <v>390</v>
      </c>
      <c r="Q13" s="6" t="s">
        <v>391</v>
      </c>
      <c r="R13" s="206">
        <v>45542.0</v>
      </c>
      <c r="S13" s="6" t="s">
        <v>382</v>
      </c>
      <c r="T13" s="6" t="s">
        <v>374</v>
      </c>
      <c r="V13" s="300">
        <v>6.0</v>
      </c>
      <c r="W13" s="300">
        <v>1195.0</v>
      </c>
      <c r="X13" s="301"/>
      <c r="Y13" s="301">
        <f t="shared" si="5"/>
        <v>1195</v>
      </c>
      <c r="Z13" s="6" t="s">
        <v>67</v>
      </c>
      <c r="AA13" s="2">
        <f t="shared" si="6"/>
        <v>1111.111111</v>
      </c>
      <c r="AB13" s="2">
        <f t="shared" si="8"/>
        <v>3333.333333</v>
      </c>
      <c r="AC13" s="2">
        <f t="shared" si="7"/>
        <v>4622.222222</v>
      </c>
      <c r="AD13" s="6" t="s">
        <v>392</v>
      </c>
    </row>
    <row r="14">
      <c r="B14" s="297">
        <v>45363.0</v>
      </c>
      <c r="C14" s="6">
        <v>50000.0</v>
      </c>
      <c r="D14" s="6">
        <v>35000.0</v>
      </c>
      <c r="E14" s="6" t="s">
        <v>395</v>
      </c>
      <c r="F14" s="192" t="s">
        <v>68</v>
      </c>
      <c r="G14" s="206"/>
      <c r="H14" s="206">
        <v>45749.0</v>
      </c>
      <c r="I14" s="6">
        <v>100000.0</v>
      </c>
      <c r="J14" s="6" t="s">
        <v>396</v>
      </c>
      <c r="K14" s="6" t="s">
        <v>397</v>
      </c>
      <c r="N14" s="6" t="s">
        <v>367</v>
      </c>
      <c r="O14" s="6">
        <v>1000.0</v>
      </c>
      <c r="P14" s="6" t="s">
        <v>398</v>
      </c>
      <c r="Q14" s="6" t="s">
        <v>384</v>
      </c>
      <c r="R14" s="6" t="s">
        <v>399</v>
      </c>
      <c r="S14" s="6" t="s">
        <v>380</v>
      </c>
      <c r="T14" s="6" t="s">
        <v>374</v>
      </c>
      <c r="V14" s="300">
        <v>7.0</v>
      </c>
      <c r="W14" s="300">
        <v>1195.0</v>
      </c>
      <c r="X14" s="301"/>
      <c r="Y14" s="301">
        <f t="shared" si="5"/>
        <v>1195</v>
      </c>
      <c r="Z14" s="6" t="s">
        <v>67</v>
      </c>
      <c r="AA14" s="2">
        <f t="shared" si="6"/>
        <v>1111.111111</v>
      </c>
      <c r="AB14" s="2">
        <f t="shared" si="8"/>
        <v>2222.222222</v>
      </c>
      <c r="AC14" s="2">
        <f t="shared" si="7"/>
        <v>3466.666667</v>
      </c>
      <c r="AD14" s="6" t="s">
        <v>392</v>
      </c>
    </row>
    <row r="15">
      <c r="B15" s="297">
        <v>45384.0</v>
      </c>
      <c r="C15" s="6">
        <v>40000.0</v>
      </c>
      <c r="D15" s="6">
        <v>0.0</v>
      </c>
      <c r="E15" s="6" t="s">
        <v>400</v>
      </c>
      <c r="F15" s="192"/>
      <c r="G15" s="206"/>
      <c r="H15" s="206">
        <v>45749.0</v>
      </c>
      <c r="I15" s="6">
        <v>8000.0</v>
      </c>
      <c r="J15" s="6" t="s">
        <v>401</v>
      </c>
      <c r="K15" s="6" t="s">
        <v>402</v>
      </c>
      <c r="N15" s="6" t="s">
        <v>368</v>
      </c>
      <c r="O15" s="6">
        <v>8000.0</v>
      </c>
      <c r="P15" s="6" t="s">
        <v>403</v>
      </c>
      <c r="Q15" s="6" t="s">
        <v>404</v>
      </c>
      <c r="R15" s="206">
        <v>45573.0</v>
      </c>
      <c r="S15" s="6" t="s">
        <v>380</v>
      </c>
      <c r="T15" s="6" t="s">
        <v>374</v>
      </c>
      <c r="V15" s="300">
        <v>8.0</v>
      </c>
      <c r="W15" s="300">
        <v>1195.0</v>
      </c>
      <c r="X15" s="301"/>
      <c r="Y15" s="301">
        <f t="shared" si="5"/>
        <v>1195</v>
      </c>
      <c r="Z15" s="6" t="s">
        <v>67</v>
      </c>
      <c r="AA15" s="2">
        <f t="shared" si="6"/>
        <v>1111.111111</v>
      </c>
      <c r="AB15" s="2">
        <f t="shared" si="8"/>
        <v>1111.111111</v>
      </c>
      <c r="AC15" s="2">
        <f t="shared" si="7"/>
        <v>2311.111111</v>
      </c>
      <c r="AD15" s="6" t="s">
        <v>392</v>
      </c>
    </row>
    <row r="16">
      <c r="B16" s="297">
        <v>45414.0</v>
      </c>
      <c r="C16" s="6">
        <v>10000.0</v>
      </c>
      <c r="D16" s="6">
        <v>0.0</v>
      </c>
      <c r="E16" s="6" t="s">
        <v>381</v>
      </c>
      <c r="F16" s="192"/>
      <c r="G16" s="206"/>
      <c r="H16" s="206">
        <v>45749.0</v>
      </c>
      <c r="I16" s="6">
        <v>13202.93</v>
      </c>
      <c r="J16" s="6" t="s">
        <v>405</v>
      </c>
      <c r="K16" s="6" t="s">
        <v>366</v>
      </c>
      <c r="N16" s="6" t="s">
        <v>367</v>
      </c>
      <c r="O16" s="6">
        <v>5000.0</v>
      </c>
      <c r="P16" s="6" t="s">
        <v>406</v>
      </c>
      <c r="Q16" s="6" t="s">
        <v>407</v>
      </c>
      <c r="R16" s="206">
        <v>45576.0</v>
      </c>
      <c r="S16" s="6" t="s">
        <v>386</v>
      </c>
      <c r="T16" s="6" t="s">
        <v>374</v>
      </c>
      <c r="V16" s="302">
        <v>9.0</v>
      </c>
      <c r="W16" s="302">
        <v>1195.0</v>
      </c>
      <c r="X16" s="303"/>
      <c r="Y16" s="303">
        <f t="shared" si="5"/>
        <v>1195</v>
      </c>
      <c r="Z16" s="6" t="s">
        <v>67</v>
      </c>
      <c r="AA16" s="2">
        <f t="shared" si="6"/>
        <v>1111.111111</v>
      </c>
      <c r="AB16" s="2">
        <f t="shared" si="8"/>
        <v>0</v>
      </c>
      <c r="AC16" s="2">
        <f t="shared" si="7"/>
        <v>1155.555556</v>
      </c>
      <c r="AD16" s="6" t="s">
        <v>392</v>
      </c>
    </row>
    <row r="17">
      <c r="B17" s="297">
        <v>45445.0</v>
      </c>
      <c r="C17" s="6">
        <v>10000.0</v>
      </c>
      <c r="D17" s="6">
        <v>0.0</v>
      </c>
      <c r="E17" s="6" t="s">
        <v>381</v>
      </c>
      <c r="F17" s="194"/>
      <c r="G17" s="206"/>
      <c r="H17" s="206">
        <v>45749.0</v>
      </c>
      <c r="I17" s="304">
        <f>I14-I15-I16</f>
        <v>78797.07</v>
      </c>
      <c r="J17" s="305" t="s">
        <v>408</v>
      </c>
      <c r="N17" s="6" t="s">
        <v>367</v>
      </c>
      <c r="O17" s="6">
        <v>3000.0</v>
      </c>
      <c r="P17" s="6" t="s">
        <v>409</v>
      </c>
      <c r="Q17" s="6" t="s">
        <v>410</v>
      </c>
      <c r="R17" s="206">
        <v>45579.0</v>
      </c>
      <c r="S17" s="6" t="s">
        <v>380</v>
      </c>
      <c r="T17" s="6" t="s">
        <v>374</v>
      </c>
    </row>
    <row r="18">
      <c r="B18" s="297">
        <v>45507.0</v>
      </c>
      <c r="C18" s="6">
        <v>10000.0</v>
      </c>
      <c r="D18" s="6">
        <v>0.0</v>
      </c>
      <c r="E18" s="6" t="s">
        <v>411</v>
      </c>
      <c r="F18" s="192" t="s">
        <v>68</v>
      </c>
      <c r="H18" s="206">
        <v>45813.0</v>
      </c>
      <c r="I18" s="6">
        <v>12000.0</v>
      </c>
      <c r="J18" s="6" t="s">
        <v>412</v>
      </c>
      <c r="N18" s="6" t="s">
        <v>368</v>
      </c>
      <c r="O18" s="6">
        <v>3000.0</v>
      </c>
      <c r="P18" s="6" t="s">
        <v>409</v>
      </c>
      <c r="Q18" s="6" t="s">
        <v>410</v>
      </c>
      <c r="R18" s="206">
        <v>45579.0</v>
      </c>
      <c r="S18" s="6" t="s">
        <v>380</v>
      </c>
      <c r="T18" s="6" t="s">
        <v>374</v>
      </c>
    </row>
    <row r="19">
      <c r="B19" s="297">
        <v>45514.0</v>
      </c>
      <c r="C19" s="6">
        <v>20.0</v>
      </c>
      <c r="D19" s="6">
        <v>20.0</v>
      </c>
      <c r="E19" s="6" t="s">
        <v>413</v>
      </c>
      <c r="F19" s="192" t="s">
        <v>68</v>
      </c>
      <c r="H19" s="206">
        <v>45813.0</v>
      </c>
      <c r="I19" s="305">
        <v>1000.0</v>
      </c>
      <c r="J19" s="6" t="s">
        <v>412</v>
      </c>
      <c r="K19" s="6" t="s">
        <v>366</v>
      </c>
      <c r="N19" s="6" t="s">
        <v>367</v>
      </c>
      <c r="O19" s="6">
        <v>600.0</v>
      </c>
      <c r="P19" s="6" t="s">
        <v>414</v>
      </c>
      <c r="Q19" s="6" t="s">
        <v>384</v>
      </c>
      <c r="R19" s="206">
        <v>45579.0</v>
      </c>
      <c r="S19" s="6" t="s">
        <v>380</v>
      </c>
      <c r="T19" s="6" t="s">
        <v>374</v>
      </c>
      <c r="V19" s="6" t="s">
        <v>374</v>
      </c>
      <c r="W19" s="6">
        <v>20000.0</v>
      </c>
      <c r="AB19" s="6" t="s">
        <v>374</v>
      </c>
      <c r="AC19" s="6">
        <v>300000.0</v>
      </c>
      <c r="AE19" s="6" t="s">
        <v>294</v>
      </c>
      <c r="AF19" s="6">
        <v>10000.0</v>
      </c>
    </row>
    <row r="20">
      <c r="B20" s="191"/>
      <c r="F20" s="194"/>
      <c r="H20" s="206">
        <v>45813.0</v>
      </c>
      <c r="I20" s="304">
        <f>I17-sum(I18:I19)</f>
        <v>65797.07</v>
      </c>
      <c r="J20" s="6" t="s">
        <v>408</v>
      </c>
      <c r="N20" s="6" t="s">
        <v>367</v>
      </c>
      <c r="O20" s="6">
        <v>1000.0</v>
      </c>
      <c r="P20" s="6" t="s">
        <v>415</v>
      </c>
      <c r="Q20" s="6" t="s">
        <v>384</v>
      </c>
      <c r="R20" s="206">
        <v>45581.0</v>
      </c>
      <c r="S20" s="6" t="s">
        <v>380</v>
      </c>
      <c r="T20" s="6" t="s">
        <v>374</v>
      </c>
      <c r="V20" s="6" t="s">
        <v>416</v>
      </c>
      <c r="W20" s="306">
        <v>0.025</v>
      </c>
      <c r="AB20" s="6" t="s">
        <v>416</v>
      </c>
      <c r="AC20" s="306">
        <v>0.025</v>
      </c>
      <c r="AE20" s="6" t="s">
        <v>114</v>
      </c>
      <c r="AF20" s="2">
        <f>sum(#REF!)</f>
        <v>0</v>
      </c>
    </row>
    <row r="21">
      <c r="B21" s="191"/>
      <c r="F21" s="194"/>
      <c r="H21" s="206">
        <v>45821.0</v>
      </c>
      <c r="I21" s="6">
        <v>2000.0</v>
      </c>
      <c r="J21" s="6" t="s">
        <v>417</v>
      </c>
      <c r="K21" s="6" t="s">
        <v>366</v>
      </c>
      <c r="L21" s="6" t="s">
        <v>94</v>
      </c>
      <c r="N21" s="6" t="s">
        <v>367</v>
      </c>
      <c r="O21" s="6">
        <v>500.0</v>
      </c>
      <c r="P21" s="6" t="s">
        <v>418</v>
      </c>
      <c r="Q21" s="6" t="s">
        <v>384</v>
      </c>
      <c r="R21" s="206">
        <v>45581.0</v>
      </c>
      <c r="S21" s="6" t="s">
        <v>380</v>
      </c>
      <c r="T21" s="6" t="s">
        <v>374</v>
      </c>
      <c r="V21" s="6" t="s">
        <v>419</v>
      </c>
      <c r="W21" s="6" t="s">
        <v>420</v>
      </c>
      <c r="AB21" s="6" t="s">
        <v>419</v>
      </c>
      <c r="AC21" s="6" t="s">
        <v>421</v>
      </c>
      <c r="AE21" s="6" t="s">
        <v>177</v>
      </c>
      <c r="AF21" s="2">
        <f>countif(#REF!,"&gt;0")</f>
        <v>0</v>
      </c>
    </row>
    <row r="22">
      <c r="B22" s="196"/>
      <c r="C22" s="260"/>
      <c r="D22" s="260"/>
      <c r="E22" s="260"/>
      <c r="F22" s="197"/>
      <c r="H22" s="206">
        <v>45821.0</v>
      </c>
      <c r="I22" s="2">
        <f>I20-I21</f>
        <v>63797.07</v>
      </c>
      <c r="J22" s="6" t="s">
        <v>408</v>
      </c>
      <c r="N22" s="6" t="s">
        <v>368</v>
      </c>
      <c r="O22" s="6">
        <v>2100.0</v>
      </c>
      <c r="P22" s="6" t="s">
        <v>114</v>
      </c>
      <c r="Q22" s="6" t="s">
        <v>404</v>
      </c>
      <c r="R22" s="206">
        <v>45584.0</v>
      </c>
      <c r="S22" s="6" t="s">
        <v>380</v>
      </c>
      <c r="T22" s="6" t="s">
        <v>374</v>
      </c>
      <c r="V22" s="307" t="s">
        <v>422</v>
      </c>
      <c r="W22" s="307" t="s">
        <v>423</v>
      </c>
      <c r="X22" s="307" t="s">
        <v>294</v>
      </c>
      <c r="Y22" s="307" t="s">
        <v>424</v>
      </c>
      <c r="Z22" s="307" t="s">
        <v>425</v>
      </c>
      <c r="AB22" s="307" t="s">
        <v>422</v>
      </c>
      <c r="AC22" s="307" t="s">
        <v>423</v>
      </c>
      <c r="AD22" s="307" t="s">
        <v>294</v>
      </c>
      <c r="AE22" s="307" t="s">
        <v>424</v>
      </c>
      <c r="AF22" s="307" t="s">
        <v>425</v>
      </c>
    </row>
    <row r="23">
      <c r="N23" s="6" t="s">
        <v>368</v>
      </c>
      <c r="O23" s="6">
        <v>5000.0</v>
      </c>
      <c r="P23" s="6" t="s">
        <v>406</v>
      </c>
      <c r="Q23" s="6" t="s">
        <v>426</v>
      </c>
      <c r="R23" s="206">
        <v>45584.0</v>
      </c>
      <c r="S23" s="6" t="s">
        <v>386</v>
      </c>
      <c r="T23" s="6" t="s">
        <v>374</v>
      </c>
      <c r="V23" s="308">
        <v>45536.0</v>
      </c>
      <c r="W23" s="296">
        <v>20000.0</v>
      </c>
      <c r="X23" s="296">
        <f t="shared" ref="X23:X51" si="9">if(W23&lt;1000,W23,1000)</f>
        <v>1000</v>
      </c>
      <c r="Y23" s="299">
        <f t="shared" ref="Y23:Y51" si="10">floor(W23*W$20,1)</f>
        <v>500</v>
      </c>
      <c r="Z23" s="299">
        <f t="shared" ref="Z23:Z51" si="11">X23-Y23</f>
        <v>500</v>
      </c>
      <c r="AB23" s="308">
        <v>45536.0</v>
      </c>
      <c r="AC23" s="296">
        <f>AC19</f>
        <v>300000</v>
      </c>
      <c r="AD23" s="296">
        <f>if(AC23&lt;AF$19,AC23,AF$19)</f>
        <v>10000</v>
      </c>
      <c r="AE23" s="299">
        <f t="shared" ref="AE23:AE791" si="12">if(AF$19&lt;AC23,floor(AC23*AC$20,1),0)</f>
        <v>7500</v>
      </c>
      <c r="AF23" s="299">
        <f t="shared" ref="AF23:AF791" si="13">AD23-AE23</f>
        <v>2500</v>
      </c>
    </row>
    <row r="24">
      <c r="N24" s="6" t="s">
        <v>367</v>
      </c>
      <c r="O24" s="6">
        <v>10000.0</v>
      </c>
      <c r="P24" s="6" t="s">
        <v>427</v>
      </c>
      <c r="Q24" s="6" t="s">
        <v>384</v>
      </c>
      <c r="R24" s="206">
        <v>45585.0</v>
      </c>
      <c r="S24" s="6" t="s">
        <v>380</v>
      </c>
      <c r="T24" s="6" t="s">
        <v>374</v>
      </c>
      <c r="V24" s="308">
        <v>45566.0</v>
      </c>
      <c r="W24" s="299">
        <f t="shared" ref="W24:W51" si="14">W23-Z23</f>
        <v>19500</v>
      </c>
      <c r="X24" s="296">
        <f t="shared" si="9"/>
        <v>1000</v>
      </c>
      <c r="Y24" s="299">
        <f t="shared" si="10"/>
        <v>487</v>
      </c>
      <c r="Z24" s="299">
        <f t="shared" si="11"/>
        <v>513</v>
      </c>
      <c r="AB24" s="308">
        <v>45566.0</v>
      </c>
      <c r="AC24" s="299">
        <f t="shared" ref="AC24:AC791" si="15">if(AD23&lt;AF$19,0,AC23-AF23)</f>
        <v>297500</v>
      </c>
      <c r="AD24" s="296">
        <f t="shared" ref="AD24:AD791" si="16">if(AC24&lt;AF$19,AC24+floor(AC24*AC$20,1),AF$19)</f>
        <v>10000</v>
      </c>
      <c r="AE24" s="299">
        <f t="shared" si="12"/>
        <v>7437</v>
      </c>
      <c r="AF24" s="299">
        <f t="shared" si="13"/>
        <v>2563</v>
      </c>
    </row>
    <row r="25">
      <c r="N25" s="6" t="s">
        <v>367</v>
      </c>
      <c r="O25" s="6">
        <v>15000.0</v>
      </c>
      <c r="P25" s="6" t="s">
        <v>428</v>
      </c>
      <c r="Q25" s="6" t="s">
        <v>384</v>
      </c>
      <c r="R25" s="206">
        <v>45585.0</v>
      </c>
      <c r="S25" s="6" t="s">
        <v>380</v>
      </c>
      <c r="T25" s="6" t="s">
        <v>374</v>
      </c>
      <c r="V25" s="308">
        <v>45597.0</v>
      </c>
      <c r="W25" s="299">
        <f t="shared" si="14"/>
        <v>18987</v>
      </c>
      <c r="X25" s="296">
        <f t="shared" si="9"/>
        <v>1000</v>
      </c>
      <c r="Y25" s="299">
        <f t="shared" si="10"/>
        <v>474</v>
      </c>
      <c r="Z25" s="299">
        <f t="shared" si="11"/>
        <v>526</v>
      </c>
      <c r="AB25" s="308">
        <v>45597.0</v>
      </c>
      <c r="AC25" s="299">
        <f t="shared" si="15"/>
        <v>294937</v>
      </c>
      <c r="AD25" s="296">
        <f t="shared" si="16"/>
        <v>10000</v>
      </c>
      <c r="AE25" s="299">
        <f t="shared" si="12"/>
        <v>7373</v>
      </c>
      <c r="AF25" s="299">
        <f t="shared" si="13"/>
        <v>2627</v>
      </c>
    </row>
    <row r="26">
      <c r="N26" s="6" t="s">
        <v>368</v>
      </c>
      <c r="O26" s="6">
        <v>12000.0</v>
      </c>
      <c r="P26" s="6" t="s">
        <v>428</v>
      </c>
      <c r="Q26" s="6" t="s">
        <v>404</v>
      </c>
      <c r="R26" s="206">
        <v>45585.0</v>
      </c>
      <c r="S26" s="6" t="s">
        <v>380</v>
      </c>
      <c r="T26" s="6" t="s">
        <v>374</v>
      </c>
      <c r="V26" s="308">
        <v>45627.0</v>
      </c>
      <c r="W26" s="299">
        <f t="shared" si="14"/>
        <v>18461</v>
      </c>
      <c r="X26" s="296">
        <f t="shared" si="9"/>
        <v>1000</v>
      </c>
      <c r="Y26" s="299">
        <f t="shared" si="10"/>
        <v>461</v>
      </c>
      <c r="Z26" s="299">
        <f t="shared" si="11"/>
        <v>539</v>
      </c>
      <c r="AB26" s="308">
        <v>45627.0</v>
      </c>
      <c r="AC26" s="299">
        <f t="shared" si="15"/>
        <v>292310</v>
      </c>
      <c r="AD26" s="296">
        <f t="shared" si="16"/>
        <v>10000</v>
      </c>
      <c r="AE26" s="299">
        <f t="shared" si="12"/>
        <v>7307</v>
      </c>
      <c r="AF26" s="299">
        <f t="shared" si="13"/>
        <v>2693</v>
      </c>
    </row>
    <row r="27">
      <c r="N27" s="6" t="s">
        <v>368</v>
      </c>
      <c r="O27" s="6">
        <v>3000.0</v>
      </c>
      <c r="P27" s="6" t="s">
        <v>428</v>
      </c>
      <c r="Q27" s="6" t="s">
        <v>404</v>
      </c>
      <c r="R27" s="206">
        <v>45584.0</v>
      </c>
      <c r="S27" s="6" t="s">
        <v>380</v>
      </c>
      <c r="T27" s="6" t="s">
        <v>374</v>
      </c>
      <c r="V27" s="308">
        <v>45658.0</v>
      </c>
      <c r="W27" s="299">
        <f t="shared" si="14"/>
        <v>17922</v>
      </c>
      <c r="X27" s="296">
        <f t="shared" si="9"/>
        <v>1000</v>
      </c>
      <c r="Y27" s="299">
        <f t="shared" si="10"/>
        <v>448</v>
      </c>
      <c r="Z27" s="299">
        <f t="shared" si="11"/>
        <v>552</v>
      </c>
      <c r="AB27" s="308">
        <v>45658.0</v>
      </c>
      <c r="AC27" s="299">
        <f t="shared" si="15"/>
        <v>289617</v>
      </c>
      <c r="AD27" s="296">
        <f t="shared" si="16"/>
        <v>10000</v>
      </c>
      <c r="AE27" s="299">
        <f t="shared" si="12"/>
        <v>7240</v>
      </c>
      <c r="AF27" s="299">
        <f t="shared" si="13"/>
        <v>2760</v>
      </c>
    </row>
    <row r="28">
      <c r="N28" s="6" t="s">
        <v>368</v>
      </c>
      <c r="O28" s="6">
        <v>10000.0</v>
      </c>
      <c r="P28" s="6" t="s">
        <v>427</v>
      </c>
      <c r="Q28" s="6" t="s">
        <v>404</v>
      </c>
      <c r="R28" s="206">
        <v>45615.0</v>
      </c>
      <c r="S28" s="6" t="s">
        <v>380</v>
      </c>
      <c r="T28" s="6" t="s">
        <v>374</v>
      </c>
      <c r="V28" s="308">
        <v>45689.0</v>
      </c>
      <c r="W28" s="299">
        <f t="shared" si="14"/>
        <v>17370</v>
      </c>
      <c r="X28" s="296">
        <f t="shared" si="9"/>
        <v>1000</v>
      </c>
      <c r="Y28" s="299">
        <f t="shared" si="10"/>
        <v>434</v>
      </c>
      <c r="Z28" s="299">
        <f t="shared" si="11"/>
        <v>566</v>
      </c>
      <c r="AB28" s="308">
        <v>45689.0</v>
      </c>
      <c r="AC28" s="299">
        <f t="shared" si="15"/>
        <v>286857</v>
      </c>
      <c r="AD28" s="296">
        <f t="shared" si="16"/>
        <v>10000</v>
      </c>
      <c r="AE28" s="299">
        <f t="shared" si="12"/>
        <v>7171</v>
      </c>
      <c r="AF28" s="299">
        <f t="shared" si="13"/>
        <v>2829</v>
      </c>
    </row>
    <row r="29">
      <c r="N29" s="6" t="s">
        <v>429</v>
      </c>
      <c r="O29" s="6">
        <v>100000.0</v>
      </c>
      <c r="P29" s="6" t="s">
        <v>430</v>
      </c>
      <c r="Q29" s="6" t="s">
        <v>431</v>
      </c>
      <c r="V29" s="308">
        <v>45717.0</v>
      </c>
      <c r="W29" s="299">
        <f t="shared" si="14"/>
        <v>16804</v>
      </c>
      <c r="X29" s="296">
        <f t="shared" si="9"/>
        <v>1000</v>
      </c>
      <c r="Y29" s="299">
        <f t="shared" si="10"/>
        <v>420</v>
      </c>
      <c r="Z29" s="299">
        <f t="shared" si="11"/>
        <v>580</v>
      </c>
      <c r="AB29" s="308">
        <v>45717.0</v>
      </c>
      <c r="AC29" s="299">
        <f t="shared" si="15"/>
        <v>284028</v>
      </c>
      <c r="AD29" s="296">
        <f t="shared" si="16"/>
        <v>10000</v>
      </c>
      <c r="AE29" s="299">
        <f t="shared" si="12"/>
        <v>7100</v>
      </c>
      <c r="AF29" s="299">
        <f t="shared" si="13"/>
        <v>2900</v>
      </c>
    </row>
    <row r="30">
      <c r="N30" s="6" t="s">
        <v>429</v>
      </c>
      <c r="O30" s="6">
        <v>8000.0</v>
      </c>
      <c r="P30" s="6" t="s">
        <v>430</v>
      </c>
      <c r="Q30" s="6" t="s">
        <v>432</v>
      </c>
      <c r="V30" s="308">
        <v>45748.0</v>
      </c>
      <c r="W30" s="299">
        <f t="shared" si="14"/>
        <v>16224</v>
      </c>
      <c r="X30" s="296">
        <f t="shared" si="9"/>
        <v>1000</v>
      </c>
      <c r="Y30" s="299">
        <f t="shared" si="10"/>
        <v>405</v>
      </c>
      <c r="Z30" s="299">
        <f t="shared" si="11"/>
        <v>595</v>
      </c>
      <c r="AB30" s="308">
        <v>45748.0</v>
      </c>
      <c r="AC30" s="299">
        <f t="shared" si="15"/>
        <v>281128</v>
      </c>
      <c r="AD30" s="296">
        <f t="shared" si="16"/>
        <v>10000</v>
      </c>
      <c r="AE30" s="299">
        <f t="shared" si="12"/>
        <v>7028</v>
      </c>
      <c r="AF30" s="299">
        <f t="shared" si="13"/>
        <v>2972</v>
      </c>
    </row>
    <row r="31">
      <c r="V31" s="308">
        <v>45778.0</v>
      </c>
      <c r="W31" s="299">
        <f t="shared" si="14"/>
        <v>15629</v>
      </c>
      <c r="X31" s="296">
        <f t="shared" si="9"/>
        <v>1000</v>
      </c>
      <c r="Y31" s="299">
        <f t="shared" si="10"/>
        <v>390</v>
      </c>
      <c r="Z31" s="299">
        <f t="shared" si="11"/>
        <v>610</v>
      </c>
      <c r="AB31" s="308">
        <v>45778.0</v>
      </c>
      <c r="AC31" s="299">
        <f t="shared" si="15"/>
        <v>278156</v>
      </c>
      <c r="AD31" s="296">
        <f t="shared" si="16"/>
        <v>10000</v>
      </c>
      <c r="AE31" s="299">
        <f t="shared" si="12"/>
        <v>6953</v>
      </c>
      <c r="AF31" s="299">
        <f t="shared" si="13"/>
        <v>3047</v>
      </c>
    </row>
    <row r="32">
      <c r="V32" s="308">
        <v>45809.0</v>
      </c>
      <c r="W32" s="299">
        <f t="shared" si="14"/>
        <v>15019</v>
      </c>
      <c r="X32" s="296">
        <f t="shared" si="9"/>
        <v>1000</v>
      </c>
      <c r="Y32" s="299">
        <f t="shared" si="10"/>
        <v>375</v>
      </c>
      <c r="Z32" s="299">
        <f t="shared" si="11"/>
        <v>625</v>
      </c>
      <c r="AB32" s="308">
        <v>45809.0</v>
      </c>
      <c r="AC32" s="299">
        <f t="shared" si="15"/>
        <v>275109</v>
      </c>
      <c r="AD32" s="296">
        <f t="shared" si="16"/>
        <v>10000</v>
      </c>
      <c r="AE32" s="299">
        <f t="shared" si="12"/>
        <v>6877</v>
      </c>
      <c r="AF32" s="299">
        <f t="shared" si="13"/>
        <v>3123</v>
      </c>
    </row>
    <row r="33">
      <c r="V33" s="308">
        <v>45839.0</v>
      </c>
      <c r="W33" s="299">
        <f t="shared" si="14"/>
        <v>14394</v>
      </c>
      <c r="X33" s="296">
        <f t="shared" si="9"/>
        <v>1000</v>
      </c>
      <c r="Y33" s="299">
        <f t="shared" si="10"/>
        <v>359</v>
      </c>
      <c r="Z33" s="299">
        <f t="shared" si="11"/>
        <v>641</v>
      </c>
      <c r="AB33" s="308">
        <v>45839.0</v>
      </c>
      <c r="AC33" s="299">
        <f t="shared" si="15"/>
        <v>271986</v>
      </c>
      <c r="AD33" s="296">
        <f t="shared" si="16"/>
        <v>10000</v>
      </c>
      <c r="AE33" s="299">
        <f t="shared" si="12"/>
        <v>6799</v>
      </c>
      <c r="AF33" s="299">
        <f t="shared" si="13"/>
        <v>3201</v>
      </c>
    </row>
    <row r="34">
      <c r="V34" s="308">
        <v>45870.0</v>
      </c>
      <c r="W34" s="299">
        <f t="shared" si="14"/>
        <v>13753</v>
      </c>
      <c r="X34" s="296">
        <f t="shared" si="9"/>
        <v>1000</v>
      </c>
      <c r="Y34" s="299">
        <f t="shared" si="10"/>
        <v>343</v>
      </c>
      <c r="Z34" s="299">
        <f t="shared" si="11"/>
        <v>657</v>
      </c>
      <c r="AB34" s="308">
        <v>45870.0</v>
      </c>
      <c r="AC34" s="299">
        <f t="shared" si="15"/>
        <v>268785</v>
      </c>
      <c r="AD34" s="296">
        <f t="shared" si="16"/>
        <v>10000</v>
      </c>
      <c r="AE34" s="299">
        <f t="shared" si="12"/>
        <v>6719</v>
      </c>
      <c r="AF34" s="299">
        <f t="shared" si="13"/>
        <v>3281</v>
      </c>
    </row>
    <row r="35">
      <c r="V35" s="308">
        <v>45901.0</v>
      </c>
      <c r="W35" s="299">
        <f t="shared" si="14"/>
        <v>13096</v>
      </c>
      <c r="X35" s="296">
        <f t="shared" si="9"/>
        <v>1000</v>
      </c>
      <c r="Y35" s="299">
        <f t="shared" si="10"/>
        <v>327</v>
      </c>
      <c r="Z35" s="299">
        <f t="shared" si="11"/>
        <v>673</v>
      </c>
      <c r="AB35" s="308">
        <v>45901.0</v>
      </c>
      <c r="AC35" s="299">
        <f t="shared" si="15"/>
        <v>265504</v>
      </c>
      <c r="AD35" s="296">
        <f t="shared" si="16"/>
        <v>10000</v>
      </c>
      <c r="AE35" s="299">
        <f t="shared" si="12"/>
        <v>6637</v>
      </c>
      <c r="AF35" s="299">
        <f t="shared" si="13"/>
        <v>3363</v>
      </c>
    </row>
    <row r="36">
      <c r="V36" s="308">
        <v>45931.0</v>
      </c>
      <c r="W36" s="299">
        <f t="shared" si="14"/>
        <v>12423</v>
      </c>
      <c r="X36" s="296">
        <f t="shared" si="9"/>
        <v>1000</v>
      </c>
      <c r="Y36" s="299">
        <f t="shared" si="10"/>
        <v>310</v>
      </c>
      <c r="Z36" s="299">
        <f t="shared" si="11"/>
        <v>690</v>
      </c>
      <c r="AB36" s="308">
        <v>45931.0</v>
      </c>
      <c r="AC36" s="299">
        <f t="shared" si="15"/>
        <v>262141</v>
      </c>
      <c r="AD36" s="296">
        <f t="shared" si="16"/>
        <v>10000</v>
      </c>
      <c r="AE36" s="299">
        <f t="shared" si="12"/>
        <v>6553</v>
      </c>
      <c r="AF36" s="299">
        <f t="shared" si="13"/>
        <v>3447</v>
      </c>
    </row>
    <row r="37">
      <c r="V37" s="308">
        <v>45962.0</v>
      </c>
      <c r="W37" s="299">
        <f t="shared" si="14"/>
        <v>11733</v>
      </c>
      <c r="X37" s="296">
        <f t="shared" si="9"/>
        <v>1000</v>
      </c>
      <c r="Y37" s="299">
        <f t="shared" si="10"/>
        <v>293</v>
      </c>
      <c r="Z37" s="299">
        <f t="shared" si="11"/>
        <v>707</v>
      </c>
      <c r="AB37" s="308">
        <v>45962.0</v>
      </c>
      <c r="AC37" s="299">
        <f t="shared" si="15"/>
        <v>258694</v>
      </c>
      <c r="AD37" s="296">
        <f t="shared" si="16"/>
        <v>10000</v>
      </c>
      <c r="AE37" s="299">
        <f t="shared" si="12"/>
        <v>6467</v>
      </c>
      <c r="AF37" s="299">
        <f t="shared" si="13"/>
        <v>3533</v>
      </c>
    </row>
    <row r="38">
      <c r="V38" s="308">
        <v>45992.0</v>
      </c>
      <c r="W38" s="299">
        <f t="shared" si="14"/>
        <v>11026</v>
      </c>
      <c r="X38" s="296">
        <f t="shared" si="9"/>
        <v>1000</v>
      </c>
      <c r="Y38" s="299">
        <f t="shared" si="10"/>
        <v>275</v>
      </c>
      <c r="Z38" s="299">
        <f t="shared" si="11"/>
        <v>725</v>
      </c>
      <c r="AB38" s="308">
        <v>45992.0</v>
      </c>
      <c r="AC38" s="299">
        <f t="shared" si="15"/>
        <v>255161</v>
      </c>
      <c r="AD38" s="296">
        <f t="shared" si="16"/>
        <v>10000</v>
      </c>
      <c r="AE38" s="299">
        <f t="shared" si="12"/>
        <v>6379</v>
      </c>
      <c r="AF38" s="299">
        <f t="shared" si="13"/>
        <v>3621</v>
      </c>
    </row>
    <row r="39">
      <c r="V39" s="308">
        <v>46023.0</v>
      </c>
      <c r="W39" s="299">
        <f t="shared" si="14"/>
        <v>10301</v>
      </c>
      <c r="X39" s="296">
        <f t="shared" si="9"/>
        <v>1000</v>
      </c>
      <c r="Y39" s="299">
        <f t="shared" si="10"/>
        <v>257</v>
      </c>
      <c r="Z39" s="299">
        <f t="shared" si="11"/>
        <v>743</v>
      </c>
      <c r="AB39" s="308">
        <v>46023.0</v>
      </c>
      <c r="AC39" s="299">
        <f t="shared" si="15"/>
        <v>251540</v>
      </c>
      <c r="AD39" s="296">
        <f t="shared" si="16"/>
        <v>10000</v>
      </c>
      <c r="AE39" s="299">
        <f t="shared" si="12"/>
        <v>6288</v>
      </c>
      <c r="AF39" s="299">
        <f t="shared" si="13"/>
        <v>3712</v>
      </c>
    </row>
    <row r="40">
      <c r="V40" s="308">
        <v>46054.0</v>
      </c>
      <c r="W40" s="299">
        <f t="shared" si="14"/>
        <v>9558</v>
      </c>
      <c r="X40" s="296">
        <f t="shared" si="9"/>
        <v>1000</v>
      </c>
      <c r="Y40" s="299">
        <f t="shared" si="10"/>
        <v>238</v>
      </c>
      <c r="Z40" s="299">
        <f t="shared" si="11"/>
        <v>762</v>
      </c>
      <c r="AB40" s="308">
        <v>46054.0</v>
      </c>
      <c r="AC40" s="299">
        <f t="shared" si="15"/>
        <v>247828</v>
      </c>
      <c r="AD40" s="296">
        <f t="shared" si="16"/>
        <v>10000</v>
      </c>
      <c r="AE40" s="299">
        <f t="shared" si="12"/>
        <v>6195</v>
      </c>
      <c r="AF40" s="299">
        <f t="shared" si="13"/>
        <v>3805</v>
      </c>
    </row>
    <row r="41">
      <c r="V41" s="308">
        <v>46082.0</v>
      </c>
      <c r="W41" s="299">
        <f t="shared" si="14"/>
        <v>8796</v>
      </c>
      <c r="X41" s="296">
        <f t="shared" si="9"/>
        <v>1000</v>
      </c>
      <c r="Y41" s="299">
        <f t="shared" si="10"/>
        <v>219</v>
      </c>
      <c r="Z41" s="299">
        <f t="shared" si="11"/>
        <v>781</v>
      </c>
      <c r="AB41" s="308">
        <v>46082.0</v>
      </c>
      <c r="AC41" s="299">
        <f t="shared" si="15"/>
        <v>244023</v>
      </c>
      <c r="AD41" s="296">
        <f t="shared" si="16"/>
        <v>10000</v>
      </c>
      <c r="AE41" s="299">
        <f t="shared" si="12"/>
        <v>6100</v>
      </c>
      <c r="AF41" s="299">
        <f t="shared" si="13"/>
        <v>3900</v>
      </c>
    </row>
    <row r="42">
      <c r="V42" s="308">
        <v>46113.0</v>
      </c>
      <c r="W42" s="299">
        <f t="shared" si="14"/>
        <v>8015</v>
      </c>
      <c r="X42" s="296">
        <f t="shared" si="9"/>
        <v>1000</v>
      </c>
      <c r="Y42" s="299">
        <f t="shared" si="10"/>
        <v>200</v>
      </c>
      <c r="Z42" s="299">
        <f t="shared" si="11"/>
        <v>800</v>
      </c>
      <c r="AB42" s="308">
        <v>46113.0</v>
      </c>
      <c r="AC42" s="299">
        <f t="shared" si="15"/>
        <v>240123</v>
      </c>
      <c r="AD42" s="296">
        <f t="shared" si="16"/>
        <v>10000</v>
      </c>
      <c r="AE42" s="299">
        <f t="shared" si="12"/>
        <v>6003</v>
      </c>
      <c r="AF42" s="299">
        <f t="shared" si="13"/>
        <v>3997</v>
      </c>
    </row>
    <row r="43">
      <c r="V43" s="308">
        <v>46143.0</v>
      </c>
      <c r="W43" s="299">
        <f t="shared" si="14"/>
        <v>7215</v>
      </c>
      <c r="X43" s="296">
        <f t="shared" si="9"/>
        <v>1000</v>
      </c>
      <c r="Y43" s="299">
        <f t="shared" si="10"/>
        <v>180</v>
      </c>
      <c r="Z43" s="299">
        <f t="shared" si="11"/>
        <v>820</v>
      </c>
      <c r="AB43" s="308">
        <v>46143.0</v>
      </c>
      <c r="AC43" s="299">
        <f t="shared" si="15"/>
        <v>236126</v>
      </c>
      <c r="AD43" s="296">
        <f t="shared" si="16"/>
        <v>10000</v>
      </c>
      <c r="AE43" s="299">
        <f t="shared" si="12"/>
        <v>5903</v>
      </c>
      <c r="AF43" s="299">
        <f t="shared" si="13"/>
        <v>4097</v>
      </c>
    </row>
    <row r="44">
      <c r="V44" s="308">
        <v>46174.0</v>
      </c>
      <c r="W44" s="299">
        <f t="shared" si="14"/>
        <v>6395</v>
      </c>
      <c r="X44" s="296">
        <f t="shared" si="9"/>
        <v>1000</v>
      </c>
      <c r="Y44" s="299">
        <f t="shared" si="10"/>
        <v>159</v>
      </c>
      <c r="Z44" s="299">
        <f t="shared" si="11"/>
        <v>841</v>
      </c>
      <c r="AB44" s="308">
        <v>46174.0</v>
      </c>
      <c r="AC44" s="299">
        <f t="shared" si="15"/>
        <v>232029</v>
      </c>
      <c r="AD44" s="296">
        <f t="shared" si="16"/>
        <v>10000</v>
      </c>
      <c r="AE44" s="299">
        <f t="shared" si="12"/>
        <v>5800</v>
      </c>
      <c r="AF44" s="299">
        <f t="shared" si="13"/>
        <v>4200</v>
      </c>
    </row>
    <row r="45">
      <c r="V45" s="308">
        <v>46204.0</v>
      </c>
      <c r="W45" s="299">
        <f t="shared" si="14"/>
        <v>5554</v>
      </c>
      <c r="X45" s="296">
        <f t="shared" si="9"/>
        <v>1000</v>
      </c>
      <c r="Y45" s="299">
        <f t="shared" si="10"/>
        <v>138</v>
      </c>
      <c r="Z45" s="299">
        <f t="shared" si="11"/>
        <v>862</v>
      </c>
      <c r="AB45" s="308">
        <v>46204.0</v>
      </c>
      <c r="AC45" s="299">
        <f t="shared" si="15"/>
        <v>227829</v>
      </c>
      <c r="AD45" s="296">
        <f t="shared" si="16"/>
        <v>10000</v>
      </c>
      <c r="AE45" s="299">
        <f t="shared" si="12"/>
        <v>5695</v>
      </c>
      <c r="AF45" s="299">
        <f t="shared" si="13"/>
        <v>4305</v>
      </c>
    </row>
    <row r="46">
      <c r="V46" s="308">
        <v>46235.0</v>
      </c>
      <c r="W46" s="299">
        <f t="shared" si="14"/>
        <v>4692</v>
      </c>
      <c r="X46" s="296">
        <f t="shared" si="9"/>
        <v>1000</v>
      </c>
      <c r="Y46" s="299">
        <f t="shared" si="10"/>
        <v>117</v>
      </c>
      <c r="Z46" s="299">
        <f t="shared" si="11"/>
        <v>883</v>
      </c>
      <c r="AB46" s="308">
        <v>46235.0</v>
      </c>
      <c r="AC46" s="299">
        <f t="shared" si="15"/>
        <v>223524</v>
      </c>
      <c r="AD46" s="296">
        <f t="shared" si="16"/>
        <v>10000</v>
      </c>
      <c r="AE46" s="299">
        <f t="shared" si="12"/>
        <v>5588</v>
      </c>
      <c r="AF46" s="299">
        <f t="shared" si="13"/>
        <v>4412</v>
      </c>
    </row>
    <row r="47">
      <c r="V47" s="308">
        <v>46266.0</v>
      </c>
      <c r="W47" s="299">
        <f t="shared" si="14"/>
        <v>3809</v>
      </c>
      <c r="X47" s="296">
        <f t="shared" si="9"/>
        <v>1000</v>
      </c>
      <c r="Y47" s="299">
        <f t="shared" si="10"/>
        <v>95</v>
      </c>
      <c r="Z47" s="299">
        <f t="shared" si="11"/>
        <v>905</v>
      </c>
      <c r="AB47" s="308">
        <v>46266.0</v>
      </c>
      <c r="AC47" s="299">
        <f t="shared" si="15"/>
        <v>219112</v>
      </c>
      <c r="AD47" s="296">
        <f t="shared" si="16"/>
        <v>10000</v>
      </c>
      <c r="AE47" s="299">
        <f t="shared" si="12"/>
        <v>5477</v>
      </c>
      <c r="AF47" s="299">
        <f t="shared" si="13"/>
        <v>4523</v>
      </c>
    </row>
    <row r="48">
      <c r="V48" s="308">
        <v>46296.0</v>
      </c>
      <c r="W48" s="299">
        <f t="shared" si="14"/>
        <v>2904</v>
      </c>
      <c r="X48" s="296">
        <f t="shared" si="9"/>
        <v>1000</v>
      </c>
      <c r="Y48" s="299">
        <f t="shared" si="10"/>
        <v>72</v>
      </c>
      <c r="Z48" s="299">
        <f t="shared" si="11"/>
        <v>928</v>
      </c>
      <c r="AB48" s="308">
        <v>46296.0</v>
      </c>
      <c r="AC48" s="299">
        <f t="shared" si="15"/>
        <v>214589</v>
      </c>
      <c r="AD48" s="296">
        <f t="shared" si="16"/>
        <v>10000</v>
      </c>
      <c r="AE48" s="299">
        <f t="shared" si="12"/>
        <v>5364</v>
      </c>
      <c r="AF48" s="299">
        <f t="shared" si="13"/>
        <v>4636</v>
      </c>
    </row>
    <row r="49">
      <c r="V49" s="308">
        <v>46327.0</v>
      </c>
      <c r="W49" s="299">
        <f t="shared" si="14"/>
        <v>1976</v>
      </c>
      <c r="X49" s="296">
        <f t="shared" si="9"/>
        <v>1000</v>
      </c>
      <c r="Y49" s="299">
        <f t="shared" si="10"/>
        <v>49</v>
      </c>
      <c r="Z49" s="299">
        <f t="shared" si="11"/>
        <v>951</v>
      </c>
      <c r="AB49" s="308">
        <v>46327.0</v>
      </c>
      <c r="AC49" s="299">
        <f t="shared" si="15"/>
        <v>209953</v>
      </c>
      <c r="AD49" s="296">
        <f t="shared" si="16"/>
        <v>10000</v>
      </c>
      <c r="AE49" s="299">
        <f t="shared" si="12"/>
        <v>5248</v>
      </c>
      <c r="AF49" s="299">
        <f t="shared" si="13"/>
        <v>4752</v>
      </c>
    </row>
    <row r="50">
      <c r="V50" s="308">
        <v>46357.0</v>
      </c>
      <c r="W50" s="299">
        <f t="shared" si="14"/>
        <v>1025</v>
      </c>
      <c r="X50" s="296">
        <f t="shared" si="9"/>
        <v>1000</v>
      </c>
      <c r="Y50" s="299">
        <f t="shared" si="10"/>
        <v>25</v>
      </c>
      <c r="Z50" s="299">
        <f t="shared" si="11"/>
        <v>975</v>
      </c>
      <c r="AB50" s="308">
        <v>46357.0</v>
      </c>
      <c r="AC50" s="299">
        <f t="shared" si="15"/>
        <v>205201</v>
      </c>
      <c r="AD50" s="296">
        <f t="shared" si="16"/>
        <v>10000</v>
      </c>
      <c r="AE50" s="299">
        <f t="shared" si="12"/>
        <v>5130</v>
      </c>
      <c r="AF50" s="299">
        <f t="shared" si="13"/>
        <v>4870</v>
      </c>
    </row>
    <row r="51">
      <c r="V51" s="308">
        <v>46388.0</v>
      </c>
      <c r="W51" s="299">
        <f t="shared" si="14"/>
        <v>50</v>
      </c>
      <c r="X51" s="296">
        <f t="shared" si="9"/>
        <v>50</v>
      </c>
      <c r="Y51" s="299">
        <f t="shared" si="10"/>
        <v>1</v>
      </c>
      <c r="Z51" s="299">
        <f t="shared" si="11"/>
        <v>49</v>
      </c>
      <c r="AB51" s="308">
        <v>46388.0</v>
      </c>
      <c r="AC51" s="299">
        <f t="shared" si="15"/>
        <v>200331</v>
      </c>
      <c r="AD51" s="296">
        <f t="shared" si="16"/>
        <v>10000</v>
      </c>
      <c r="AE51" s="299">
        <f t="shared" si="12"/>
        <v>5008</v>
      </c>
      <c r="AF51" s="299">
        <f t="shared" si="13"/>
        <v>4992</v>
      </c>
    </row>
    <row r="52">
      <c r="V52" s="261"/>
      <c r="AB52" s="308">
        <v>46419.0</v>
      </c>
      <c r="AC52" s="299">
        <f t="shared" si="15"/>
        <v>195339</v>
      </c>
      <c r="AD52" s="296">
        <f t="shared" si="16"/>
        <v>10000</v>
      </c>
      <c r="AE52" s="299">
        <f t="shared" si="12"/>
        <v>4883</v>
      </c>
      <c r="AF52" s="299">
        <f t="shared" si="13"/>
        <v>5117</v>
      </c>
    </row>
    <row r="53">
      <c r="AB53" s="308">
        <v>46447.0</v>
      </c>
      <c r="AC53" s="299">
        <f t="shared" si="15"/>
        <v>190222</v>
      </c>
      <c r="AD53" s="296">
        <f t="shared" si="16"/>
        <v>10000</v>
      </c>
      <c r="AE53" s="299">
        <f t="shared" si="12"/>
        <v>4755</v>
      </c>
      <c r="AF53" s="299">
        <f t="shared" si="13"/>
        <v>5245</v>
      </c>
    </row>
    <row r="54">
      <c r="AB54" s="308">
        <v>46478.0</v>
      </c>
      <c r="AC54" s="299">
        <f t="shared" si="15"/>
        <v>184977</v>
      </c>
      <c r="AD54" s="296">
        <f t="shared" si="16"/>
        <v>10000</v>
      </c>
      <c r="AE54" s="299">
        <f t="shared" si="12"/>
        <v>4624</v>
      </c>
      <c r="AF54" s="299">
        <f t="shared" si="13"/>
        <v>5376</v>
      </c>
    </row>
    <row r="55">
      <c r="AB55" s="308">
        <v>46508.0</v>
      </c>
      <c r="AC55" s="299">
        <f t="shared" si="15"/>
        <v>179601</v>
      </c>
      <c r="AD55" s="296">
        <f t="shared" si="16"/>
        <v>10000</v>
      </c>
      <c r="AE55" s="299">
        <f t="shared" si="12"/>
        <v>4490</v>
      </c>
      <c r="AF55" s="299">
        <f t="shared" si="13"/>
        <v>5510</v>
      </c>
    </row>
    <row r="56">
      <c r="AB56" s="308">
        <v>46539.0</v>
      </c>
      <c r="AC56" s="299">
        <f t="shared" si="15"/>
        <v>174091</v>
      </c>
      <c r="AD56" s="296">
        <f t="shared" si="16"/>
        <v>10000</v>
      </c>
      <c r="AE56" s="299">
        <f t="shared" si="12"/>
        <v>4352</v>
      </c>
      <c r="AF56" s="299">
        <f t="shared" si="13"/>
        <v>5648</v>
      </c>
    </row>
    <row r="57">
      <c r="AB57" s="308">
        <v>46569.0</v>
      </c>
      <c r="AC57" s="299">
        <f t="shared" si="15"/>
        <v>168443</v>
      </c>
      <c r="AD57" s="296">
        <f t="shared" si="16"/>
        <v>10000</v>
      </c>
      <c r="AE57" s="299">
        <f t="shared" si="12"/>
        <v>4211</v>
      </c>
      <c r="AF57" s="299">
        <f t="shared" si="13"/>
        <v>5789</v>
      </c>
    </row>
    <row r="58">
      <c r="AB58" s="308">
        <v>46600.0</v>
      </c>
      <c r="AC58" s="299">
        <f t="shared" si="15"/>
        <v>162654</v>
      </c>
      <c r="AD58" s="296">
        <f t="shared" si="16"/>
        <v>10000</v>
      </c>
      <c r="AE58" s="299">
        <f t="shared" si="12"/>
        <v>4066</v>
      </c>
      <c r="AF58" s="299">
        <f t="shared" si="13"/>
        <v>5934</v>
      </c>
    </row>
    <row r="59">
      <c r="AB59" s="308">
        <v>46631.0</v>
      </c>
      <c r="AC59" s="299">
        <f t="shared" si="15"/>
        <v>156720</v>
      </c>
      <c r="AD59" s="296">
        <f t="shared" si="16"/>
        <v>10000</v>
      </c>
      <c r="AE59" s="299">
        <f t="shared" si="12"/>
        <v>3918</v>
      </c>
      <c r="AF59" s="299">
        <f t="shared" si="13"/>
        <v>6082</v>
      </c>
    </row>
    <row r="60">
      <c r="AB60" s="308">
        <v>46661.0</v>
      </c>
      <c r="AC60" s="299">
        <f t="shared" si="15"/>
        <v>150638</v>
      </c>
      <c r="AD60" s="296">
        <f t="shared" si="16"/>
        <v>10000</v>
      </c>
      <c r="AE60" s="299">
        <f t="shared" si="12"/>
        <v>3765</v>
      </c>
      <c r="AF60" s="299">
        <f t="shared" si="13"/>
        <v>6235</v>
      </c>
    </row>
    <row r="61">
      <c r="AB61" s="308">
        <v>46692.0</v>
      </c>
      <c r="AC61" s="299">
        <f t="shared" si="15"/>
        <v>144403</v>
      </c>
      <c r="AD61" s="296">
        <f t="shared" si="16"/>
        <v>10000</v>
      </c>
      <c r="AE61" s="299">
        <f t="shared" si="12"/>
        <v>3610</v>
      </c>
      <c r="AF61" s="299">
        <f t="shared" si="13"/>
        <v>6390</v>
      </c>
    </row>
    <row r="62">
      <c r="AB62" s="308">
        <v>46722.0</v>
      </c>
      <c r="AC62" s="299">
        <f t="shared" si="15"/>
        <v>138013</v>
      </c>
      <c r="AD62" s="296">
        <f t="shared" si="16"/>
        <v>10000</v>
      </c>
      <c r="AE62" s="299">
        <f t="shared" si="12"/>
        <v>3450</v>
      </c>
      <c r="AF62" s="299">
        <f t="shared" si="13"/>
        <v>6550</v>
      </c>
    </row>
    <row r="63">
      <c r="AB63" s="308">
        <v>46753.0</v>
      </c>
      <c r="AC63" s="299">
        <f t="shared" si="15"/>
        <v>131463</v>
      </c>
      <c r="AD63" s="296">
        <f t="shared" si="16"/>
        <v>10000</v>
      </c>
      <c r="AE63" s="299">
        <f t="shared" si="12"/>
        <v>3286</v>
      </c>
      <c r="AF63" s="299">
        <f t="shared" si="13"/>
        <v>6714</v>
      </c>
    </row>
    <row r="64">
      <c r="AB64" s="308">
        <v>46784.0</v>
      </c>
      <c r="AC64" s="299">
        <f t="shared" si="15"/>
        <v>124749</v>
      </c>
      <c r="AD64" s="296">
        <f t="shared" si="16"/>
        <v>10000</v>
      </c>
      <c r="AE64" s="299">
        <f t="shared" si="12"/>
        <v>3118</v>
      </c>
      <c r="AF64" s="299">
        <f t="shared" si="13"/>
        <v>6882</v>
      </c>
    </row>
    <row r="65">
      <c r="AB65" s="308">
        <v>46813.0</v>
      </c>
      <c r="AC65" s="299">
        <f t="shared" si="15"/>
        <v>117867</v>
      </c>
      <c r="AD65" s="296">
        <f t="shared" si="16"/>
        <v>10000</v>
      </c>
      <c r="AE65" s="299">
        <f t="shared" si="12"/>
        <v>2946</v>
      </c>
      <c r="AF65" s="299">
        <f t="shared" si="13"/>
        <v>7054</v>
      </c>
    </row>
    <row r="66">
      <c r="AB66" s="308">
        <v>46844.0</v>
      </c>
      <c r="AC66" s="299">
        <f t="shared" si="15"/>
        <v>110813</v>
      </c>
      <c r="AD66" s="296">
        <f t="shared" si="16"/>
        <v>10000</v>
      </c>
      <c r="AE66" s="299">
        <f t="shared" si="12"/>
        <v>2770</v>
      </c>
      <c r="AF66" s="299">
        <f t="shared" si="13"/>
        <v>7230</v>
      </c>
    </row>
    <row r="67">
      <c r="AB67" s="308">
        <v>46874.0</v>
      </c>
      <c r="AC67" s="299">
        <f t="shared" si="15"/>
        <v>103583</v>
      </c>
      <c r="AD67" s="296">
        <f t="shared" si="16"/>
        <v>10000</v>
      </c>
      <c r="AE67" s="299">
        <f t="shared" si="12"/>
        <v>2589</v>
      </c>
      <c r="AF67" s="299">
        <f t="shared" si="13"/>
        <v>7411</v>
      </c>
    </row>
    <row r="68">
      <c r="AB68" s="308">
        <v>46905.0</v>
      </c>
      <c r="AC68" s="299">
        <f t="shared" si="15"/>
        <v>96172</v>
      </c>
      <c r="AD68" s="296">
        <f t="shared" si="16"/>
        <v>10000</v>
      </c>
      <c r="AE68" s="299">
        <f t="shared" si="12"/>
        <v>2404</v>
      </c>
      <c r="AF68" s="299">
        <f t="shared" si="13"/>
        <v>7596</v>
      </c>
    </row>
    <row r="69">
      <c r="AB69" s="308">
        <v>46935.0</v>
      </c>
      <c r="AC69" s="299">
        <f t="shared" si="15"/>
        <v>88576</v>
      </c>
      <c r="AD69" s="296">
        <f t="shared" si="16"/>
        <v>10000</v>
      </c>
      <c r="AE69" s="299">
        <f t="shared" si="12"/>
        <v>2214</v>
      </c>
      <c r="AF69" s="299">
        <f t="shared" si="13"/>
        <v>7786</v>
      </c>
    </row>
    <row r="70">
      <c r="AB70" s="308">
        <v>46966.0</v>
      </c>
      <c r="AC70" s="299">
        <f t="shared" si="15"/>
        <v>80790</v>
      </c>
      <c r="AD70" s="296">
        <f t="shared" si="16"/>
        <v>10000</v>
      </c>
      <c r="AE70" s="299">
        <f t="shared" si="12"/>
        <v>2019</v>
      </c>
      <c r="AF70" s="299">
        <f t="shared" si="13"/>
        <v>7981</v>
      </c>
    </row>
    <row r="71">
      <c r="AB71" s="308">
        <v>46997.0</v>
      </c>
      <c r="AC71" s="299">
        <f t="shared" si="15"/>
        <v>72809</v>
      </c>
      <c r="AD71" s="296">
        <f t="shared" si="16"/>
        <v>10000</v>
      </c>
      <c r="AE71" s="299">
        <f t="shared" si="12"/>
        <v>1820</v>
      </c>
      <c r="AF71" s="299">
        <f t="shared" si="13"/>
        <v>8180</v>
      </c>
    </row>
    <row r="72">
      <c r="AB72" s="308">
        <v>47027.0</v>
      </c>
      <c r="AC72" s="299">
        <f t="shared" si="15"/>
        <v>64629</v>
      </c>
      <c r="AD72" s="296">
        <f t="shared" si="16"/>
        <v>10000</v>
      </c>
      <c r="AE72" s="299">
        <f t="shared" si="12"/>
        <v>1615</v>
      </c>
      <c r="AF72" s="299">
        <f t="shared" si="13"/>
        <v>8385</v>
      </c>
    </row>
    <row r="73">
      <c r="AB73" s="308">
        <v>47058.0</v>
      </c>
      <c r="AC73" s="299">
        <f t="shared" si="15"/>
        <v>56244</v>
      </c>
      <c r="AD73" s="296">
        <f t="shared" si="16"/>
        <v>10000</v>
      </c>
      <c r="AE73" s="299">
        <f t="shared" si="12"/>
        <v>1406</v>
      </c>
      <c r="AF73" s="299">
        <f t="shared" si="13"/>
        <v>8594</v>
      </c>
    </row>
    <row r="74">
      <c r="AB74" s="308">
        <v>47088.0</v>
      </c>
      <c r="AC74" s="299">
        <f t="shared" si="15"/>
        <v>47650</v>
      </c>
      <c r="AD74" s="296">
        <f t="shared" si="16"/>
        <v>10000</v>
      </c>
      <c r="AE74" s="299">
        <f t="shared" si="12"/>
        <v>1191</v>
      </c>
      <c r="AF74" s="299">
        <f t="shared" si="13"/>
        <v>8809</v>
      </c>
    </row>
    <row r="75">
      <c r="AB75" s="308">
        <v>47119.0</v>
      </c>
      <c r="AC75" s="299">
        <f t="shared" si="15"/>
        <v>38841</v>
      </c>
      <c r="AD75" s="296">
        <f t="shared" si="16"/>
        <v>10000</v>
      </c>
      <c r="AE75" s="299">
        <f t="shared" si="12"/>
        <v>971</v>
      </c>
      <c r="AF75" s="299">
        <f t="shared" si="13"/>
        <v>9029</v>
      </c>
    </row>
    <row r="76">
      <c r="AB76" s="308">
        <v>47150.0</v>
      </c>
      <c r="AC76" s="299">
        <f t="shared" si="15"/>
        <v>29812</v>
      </c>
      <c r="AD76" s="296">
        <f t="shared" si="16"/>
        <v>10000</v>
      </c>
      <c r="AE76" s="299">
        <f t="shared" si="12"/>
        <v>745</v>
      </c>
      <c r="AF76" s="299">
        <f t="shared" si="13"/>
        <v>9255</v>
      </c>
    </row>
    <row r="77">
      <c r="AB77" s="308">
        <v>47178.0</v>
      </c>
      <c r="AC77" s="299">
        <f t="shared" si="15"/>
        <v>20557</v>
      </c>
      <c r="AD77" s="296">
        <f t="shared" si="16"/>
        <v>10000</v>
      </c>
      <c r="AE77" s="299">
        <f t="shared" si="12"/>
        <v>513</v>
      </c>
      <c r="AF77" s="299">
        <f t="shared" si="13"/>
        <v>9487</v>
      </c>
    </row>
    <row r="78">
      <c r="AB78" s="308">
        <v>47209.0</v>
      </c>
      <c r="AC78" s="299">
        <f t="shared" si="15"/>
        <v>11070</v>
      </c>
      <c r="AD78" s="296">
        <f t="shared" si="16"/>
        <v>10000</v>
      </c>
      <c r="AE78" s="299">
        <f t="shared" si="12"/>
        <v>276</v>
      </c>
      <c r="AF78" s="299">
        <f t="shared" si="13"/>
        <v>9724</v>
      </c>
    </row>
    <row r="79">
      <c r="AB79" s="308">
        <v>47239.0</v>
      </c>
      <c r="AC79" s="299">
        <f t="shared" si="15"/>
        <v>1346</v>
      </c>
      <c r="AD79" s="296">
        <f t="shared" si="16"/>
        <v>1379</v>
      </c>
      <c r="AE79" s="299">
        <f t="shared" si="12"/>
        <v>0</v>
      </c>
      <c r="AF79" s="299">
        <f t="shared" si="13"/>
        <v>1379</v>
      </c>
    </row>
    <row r="80">
      <c r="AB80" s="308">
        <v>47270.0</v>
      </c>
      <c r="AC80" s="299">
        <f t="shared" si="15"/>
        <v>0</v>
      </c>
      <c r="AD80" s="296">
        <f t="shared" si="16"/>
        <v>0</v>
      </c>
      <c r="AE80" s="299">
        <f t="shared" si="12"/>
        <v>0</v>
      </c>
      <c r="AF80" s="299">
        <f t="shared" si="13"/>
        <v>0</v>
      </c>
    </row>
    <row r="81">
      <c r="AB81" s="308">
        <v>47300.0</v>
      </c>
      <c r="AC81" s="299">
        <f t="shared" si="15"/>
        <v>0</v>
      </c>
      <c r="AD81" s="296">
        <f t="shared" si="16"/>
        <v>0</v>
      </c>
      <c r="AE81" s="299">
        <f t="shared" si="12"/>
        <v>0</v>
      </c>
      <c r="AF81" s="299">
        <f t="shared" si="13"/>
        <v>0</v>
      </c>
    </row>
    <row r="82">
      <c r="AB82" s="308">
        <v>47331.0</v>
      </c>
      <c r="AC82" s="299">
        <f t="shared" si="15"/>
        <v>0</v>
      </c>
      <c r="AD82" s="296">
        <f t="shared" si="16"/>
        <v>0</v>
      </c>
      <c r="AE82" s="299">
        <f t="shared" si="12"/>
        <v>0</v>
      </c>
      <c r="AF82" s="299">
        <f t="shared" si="13"/>
        <v>0</v>
      </c>
    </row>
    <row r="83">
      <c r="AB83" s="308">
        <v>47362.0</v>
      </c>
      <c r="AC83" s="299">
        <f t="shared" si="15"/>
        <v>0</v>
      </c>
      <c r="AD83" s="296">
        <f t="shared" si="16"/>
        <v>0</v>
      </c>
      <c r="AE83" s="299">
        <f t="shared" si="12"/>
        <v>0</v>
      </c>
      <c r="AF83" s="299">
        <f t="shared" si="13"/>
        <v>0</v>
      </c>
    </row>
    <row r="84">
      <c r="AB84" s="308">
        <v>47392.0</v>
      </c>
      <c r="AC84" s="299">
        <f t="shared" si="15"/>
        <v>0</v>
      </c>
      <c r="AD84" s="296">
        <f t="shared" si="16"/>
        <v>0</v>
      </c>
      <c r="AE84" s="299">
        <f t="shared" si="12"/>
        <v>0</v>
      </c>
      <c r="AF84" s="299">
        <f t="shared" si="13"/>
        <v>0</v>
      </c>
    </row>
    <row r="85">
      <c r="AB85" s="308">
        <v>47423.0</v>
      </c>
      <c r="AC85" s="299">
        <f t="shared" si="15"/>
        <v>0</v>
      </c>
      <c r="AD85" s="296">
        <f t="shared" si="16"/>
        <v>0</v>
      </c>
      <c r="AE85" s="299">
        <f t="shared" si="12"/>
        <v>0</v>
      </c>
      <c r="AF85" s="299">
        <f t="shared" si="13"/>
        <v>0</v>
      </c>
    </row>
    <row r="86">
      <c r="AB86" s="308">
        <v>47453.0</v>
      </c>
      <c r="AC86" s="299">
        <f t="shared" si="15"/>
        <v>0</v>
      </c>
      <c r="AD86" s="296">
        <f t="shared" si="16"/>
        <v>0</v>
      </c>
      <c r="AE86" s="299">
        <f t="shared" si="12"/>
        <v>0</v>
      </c>
      <c r="AF86" s="299">
        <f t="shared" si="13"/>
        <v>0</v>
      </c>
    </row>
    <row r="87">
      <c r="AB87" s="308">
        <v>47484.0</v>
      </c>
      <c r="AC87" s="299">
        <f t="shared" si="15"/>
        <v>0</v>
      </c>
      <c r="AD87" s="296">
        <f t="shared" si="16"/>
        <v>0</v>
      </c>
      <c r="AE87" s="299">
        <f t="shared" si="12"/>
        <v>0</v>
      </c>
      <c r="AF87" s="299">
        <f t="shared" si="13"/>
        <v>0</v>
      </c>
    </row>
    <row r="88">
      <c r="AB88" s="308">
        <v>47515.0</v>
      </c>
      <c r="AC88" s="299">
        <f t="shared" si="15"/>
        <v>0</v>
      </c>
      <c r="AD88" s="296">
        <f t="shared" si="16"/>
        <v>0</v>
      </c>
      <c r="AE88" s="299">
        <f t="shared" si="12"/>
        <v>0</v>
      </c>
      <c r="AF88" s="299">
        <f t="shared" si="13"/>
        <v>0</v>
      </c>
    </row>
    <row r="89">
      <c r="AB89" s="308">
        <v>47543.0</v>
      </c>
      <c r="AC89" s="299">
        <f t="shared" si="15"/>
        <v>0</v>
      </c>
      <c r="AD89" s="296">
        <f t="shared" si="16"/>
        <v>0</v>
      </c>
      <c r="AE89" s="299">
        <f t="shared" si="12"/>
        <v>0</v>
      </c>
      <c r="AF89" s="299">
        <f t="shared" si="13"/>
        <v>0</v>
      </c>
    </row>
    <row r="90">
      <c r="AB90" s="308">
        <v>47574.0</v>
      </c>
      <c r="AC90" s="299">
        <f t="shared" si="15"/>
        <v>0</v>
      </c>
      <c r="AD90" s="296">
        <f t="shared" si="16"/>
        <v>0</v>
      </c>
      <c r="AE90" s="299">
        <f t="shared" si="12"/>
        <v>0</v>
      </c>
      <c r="AF90" s="299">
        <f t="shared" si="13"/>
        <v>0</v>
      </c>
    </row>
    <row r="91">
      <c r="AB91" s="308">
        <v>47604.0</v>
      </c>
      <c r="AC91" s="299">
        <f t="shared" si="15"/>
        <v>0</v>
      </c>
      <c r="AD91" s="296">
        <f t="shared" si="16"/>
        <v>0</v>
      </c>
      <c r="AE91" s="299">
        <f t="shared" si="12"/>
        <v>0</v>
      </c>
      <c r="AF91" s="299">
        <f t="shared" si="13"/>
        <v>0</v>
      </c>
    </row>
    <row r="92">
      <c r="AB92" s="308">
        <v>47635.0</v>
      </c>
      <c r="AC92" s="299">
        <f t="shared" si="15"/>
        <v>0</v>
      </c>
      <c r="AD92" s="296">
        <f t="shared" si="16"/>
        <v>0</v>
      </c>
      <c r="AE92" s="299">
        <f t="shared" si="12"/>
        <v>0</v>
      </c>
      <c r="AF92" s="299">
        <f t="shared" si="13"/>
        <v>0</v>
      </c>
    </row>
    <row r="93">
      <c r="AB93" s="308">
        <v>47665.0</v>
      </c>
      <c r="AC93" s="299">
        <f t="shared" si="15"/>
        <v>0</v>
      </c>
      <c r="AD93" s="296">
        <f t="shared" si="16"/>
        <v>0</v>
      </c>
      <c r="AE93" s="299">
        <f t="shared" si="12"/>
        <v>0</v>
      </c>
      <c r="AF93" s="299">
        <f t="shared" si="13"/>
        <v>0</v>
      </c>
    </row>
    <row r="94">
      <c r="AB94" s="308">
        <v>47696.0</v>
      </c>
      <c r="AC94" s="299">
        <f t="shared" si="15"/>
        <v>0</v>
      </c>
      <c r="AD94" s="296">
        <f t="shared" si="16"/>
        <v>0</v>
      </c>
      <c r="AE94" s="299">
        <f t="shared" si="12"/>
        <v>0</v>
      </c>
      <c r="AF94" s="299">
        <f t="shared" si="13"/>
        <v>0</v>
      </c>
    </row>
    <row r="95">
      <c r="AB95" s="308">
        <v>47727.0</v>
      </c>
      <c r="AC95" s="299">
        <f t="shared" si="15"/>
        <v>0</v>
      </c>
      <c r="AD95" s="296">
        <f t="shared" si="16"/>
        <v>0</v>
      </c>
      <c r="AE95" s="299">
        <f t="shared" si="12"/>
        <v>0</v>
      </c>
      <c r="AF95" s="299">
        <f t="shared" si="13"/>
        <v>0</v>
      </c>
    </row>
    <row r="96">
      <c r="AB96" s="308">
        <v>47757.0</v>
      </c>
      <c r="AC96" s="299">
        <f t="shared" si="15"/>
        <v>0</v>
      </c>
      <c r="AD96" s="296">
        <f t="shared" si="16"/>
        <v>0</v>
      </c>
      <c r="AE96" s="299">
        <f t="shared" si="12"/>
        <v>0</v>
      </c>
      <c r="AF96" s="299">
        <f t="shared" si="13"/>
        <v>0</v>
      </c>
    </row>
    <row r="97">
      <c r="AB97" s="308">
        <v>47788.0</v>
      </c>
      <c r="AC97" s="299">
        <f t="shared" si="15"/>
        <v>0</v>
      </c>
      <c r="AD97" s="296">
        <f t="shared" si="16"/>
        <v>0</v>
      </c>
      <c r="AE97" s="299">
        <f t="shared" si="12"/>
        <v>0</v>
      </c>
      <c r="AF97" s="299">
        <f t="shared" si="13"/>
        <v>0</v>
      </c>
    </row>
    <row r="98">
      <c r="AB98" s="308">
        <v>47818.0</v>
      </c>
      <c r="AC98" s="299">
        <f t="shared" si="15"/>
        <v>0</v>
      </c>
      <c r="AD98" s="296">
        <f t="shared" si="16"/>
        <v>0</v>
      </c>
      <c r="AE98" s="299">
        <f t="shared" si="12"/>
        <v>0</v>
      </c>
      <c r="AF98" s="299">
        <f t="shared" si="13"/>
        <v>0</v>
      </c>
    </row>
    <row r="99">
      <c r="AB99" s="308">
        <v>47849.0</v>
      </c>
      <c r="AC99" s="299">
        <f t="shared" si="15"/>
        <v>0</v>
      </c>
      <c r="AD99" s="296">
        <f t="shared" si="16"/>
        <v>0</v>
      </c>
      <c r="AE99" s="299">
        <f t="shared" si="12"/>
        <v>0</v>
      </c>
      <c r="AF99" s="299">
        <f t="shared" si="13"/>
        <v>0</v>
      </c>
    </row>
    <row r="100">
      <c r="AB100" s="308">
        <v>47880.0</v>
      </c>
      <c r="AC100" s="299">
        <f t="shared" si="15"/>
        <v>0</v>
      </c>
      <c r="AD100" s="296">
        <f t="shared" si="16"/>
        <v>0</v>
      </c>
      <c r="AE100" s="299">
        <f t="shared" si="12"/>
        <v>0</v>
      </c>
      <c r="AF100" s="299">
        <f t="shared" si="13"/>
        <v>0</v>
      </c>
    </row>
    <row r="101">
      <c r="AB101" s="308">
        <v>47908.0</v>
      </c>
      <c r="AC101" s="299">
        <f t="shared" si="15"/>
        <v>0</v>
      </c>
      <c r="AD101" s="296">
        <f t="shared" si="16"/>
        <v>0</v>
      </c>
      <c r="AE101" s="299">
        <f t="shared" si="12"/>
        <v>0</v>
      </c>
      <c r="AF101" s="299">
        <f t="shared" si="13"/>
        <v>0</v>
      </c>
    </row>
    <row r="102">
      <c r="AB102" s="308">
        <v>47939.0</v>
      </c>
      <c r="AC102" s="299">
        <f t="shared" si="15"/>
        <v>0</v>
      </c>
      <c r="AD102" s="296">
        <f t="shared" si="16"/>
        <v>0</v>
      </c>
      <c r="AE102" s="299">
        <f t="shared" si="12"/>
        <v>0</v>
      </c>
      <c r="AF102" s="299">
        <f t="shared" si="13"/>
        <v>0</v>
      </c>
    </row>
    <row r="103">
      <c r="AB103" s="308">
        <v>47969.0</v>
      </c>
      <c r="AC103" s="299">
        <f t="shared" si="15"/>
        <v>0</v>
      </c>
      <c r="AD103" s="296">
        <f t="shared" si="16"/>
        <v>0</v>
      </c>
      <c r="AE103" s="299">
        <f t="shared" si="12"/>
        <v>0</v>
      </c>
      <c r="AF103" s="299">
        <f t="shared" si="13"/>
        <v>0</v>
      </c>
    </row>
    <row r="104">
      <c r="AB104" s="308">
        <v>48000.0</v>
      </c>
      <c r="AC104" s="299">
        <f t="shared" si="15"/>
        <v>0</v>
      </c>
      <c r="AD104" s="296">
        <f t="shared" si="16"/>
        <v>0</v>
      </c>
      <c r="AE104" s="299">
        <f t="shared" si="12"/>
        <v>0</v>
      </c>
      <c r="AF104" s="299">
        <f t="shared" si="13"/>
        <v>0</v>
      </c>
    </row>
    <row r="105">
      <c r="AB105" s="308">
        <v>48030.0</v>
      </c>
      <c r="AC105" s="299">
        <f t="shared" si="15"/>
        <v>0</v>
      </c>
      <c r="AD105" s="296">
        <f t="shared" si="16"/>
        <v>0</v>
      </c>
      <c r="AE105" s="299">
        <f t="shared" si="12"/>
        <v>0</v>
      </c>
      <c r="AF105" s="299">
        <f t="shared" si="13"/>
        <v>0</v>
      </c>
    </row>
    <row r="106">
      <c r="AB106" s="308">
        <v>48061.0</v>
      </c>
      <c r="AC106" s="299">
        <f t="shared" si="15"/>
        <v>0</v>
      </c>
      <c r="AD106" s="296">
        <f t="shared" si="16"/>
        <v>0</v>
      </c>
      <c r="AE106" s="299">
        <f t="shared" si="12"/>
        <v>0</v>
      </c>
      <c r="AF106" s="299">
        <f t="shared" si="13"/>
        <v>0</v>
      </c>
    </row>
    <row r="107">
      <c r="AB107" s="308">
        <v>48092.0</v>
      </c>
      <c r="AC107" s="299">
        <f t="shared" si="15"/>
        <v>0</v>
      </c>
      <c r="AD107" s="296">
        <f t="shared" si="16"/>
        <v>0</v>
      </c>
      <c r="AE107" s="299">
        <f t="shared" si="12"/>
        <v>0</v>
      </c>
      <c r="AF107" s="299">
        <f t="shared" si="13"/>
        <v>0</v>
      </c>
    </row>
    <row r="108">
      <c r="AB108" s="308">
        <v>48122.0</v>
      </c>
      <c r="AC108" s="299">
        <f t="shared" si="15"/>
        <v>0</v>
      </c>
      <c r="AD108" s="296">
        <f t="shared" si="16"/>
        <v>0</v>
      </c>
      <c r="AE108" s="299">
        <f t="shared" si="12"/>
        <v>0</v>
      </c>
      <c r="AF108" s="299">
        <f t="shared" si="13"/>
        <v>0</v>
      </c>
    </row>
    <row r="109">
      <c r="AB109" s="308">
        <v>48153.0</v>
      </c>
      <c r="AC109" s="299">
        <f t="shared" si="15"/>
        <v>0</v>
      </c>
      <c r="AD109" s="296">
        <f t="shared" si="16"/>
        <v>0</v>
      </c>
      <c r="AE109" s="299">
        <f t="shared" si="12"/>
        <v>0</v>
      </c>
      <c r="AF109" s="299">
        <f t="shared" si="13"/>
        <v>0</v>
      </c>
    </row>
    <row r="110">
      <c r="AB110" s="308">
        <v>48183.0</v>
      </c>
      <c r="AC110" s="299">
        <f t="shared" si="15"/>
        <v>0</v>
      </c>
      <c r="AD110" s="296">
        <f t="shared" si="16"/>
        <v>0</v>
      </c>
      <c r="AE110" s="299">
        <f t="shared" si="12"/>
        <v>0</v>
      </c>
      <c r="AF110" s="299">
        <f t="shared" si="13"/>
        <v>0</v>
      </c>
    </row>
    <row r="111">
      <c r="AB111" s="308">
        <v>48214.0</v>
      </c>
      <c r="AC111" s="299">
        <f t="shared" si="15"/>
        <v>0</v>
      </c>
      <c r="AD111" s="296">
        <f t="shared" si="16"/>
        <v>0</v>
      </c>
      <c r="AE111" s="299">
        <f t="shared" si="12"/>
        <v>0</v>
      </c>
      <c r="AF111" s="299">
        <f t="shared" si="13"/>
        <v>0</v>
      </c>
    </row>
    <row r="112">
      <c r="AB112" s="308">
        <v>48245.0</v>
      </c>
      <c r="AC112" s="299">
        <f t="shared" si="15"/>
        <v>0</v>
      </c>
      <c r="AD112" s="296">
        <f t="shared" si="16"/>
        <v>0</v>
      </c>
      <c r="AE112" s="299">
        <f t="shared" si="12"/>
        <v>0</v>
      </c>
      <c r="AF112" s="299">
        <f t="shared" si="13"/>
        <v>0</v>
      </c>
    </row>
    <row r="113">
      <c r="AB113" s="308">
        <v>48274.0</v>
      </c>
      <c r="AC113" s="299">
        <f t="shared" si="15"/>
        <v>0</v>
      </c>
      <c r="AD113" s="296">
        <f t="shared" si="16"/>
        <v>0</v>
      </c>
      <c r="AE113" s="299">
        <f t="shared" si="12"/>
        <v>0</v>
      </c>
      <c r="AF113" s="299">
        <f t="shared" si="13"/>
        <v>0</v>
      </c>
    </row>
    <row r="114">
      <c r="AB114" s="308">
        <v>48305.0</v>
      </c>
      <c r="AC114" s="299">
        <f t="shared" si="15"/>
        <v>0</v>
      </c>
      <c r="AD114" s="296">
        <f t="shared" si="16"/>
        <v>0</v>
      </c>
      <c r="AE114" s="299">
        <f t="shared" si="12"/>
        <v>0</v>
      </c>
      <c r="AF114" s="299">
        <f t="shared" si="13"/>
        <v>0</v>
      </c>
    </row>
    <row r="115">
      <c r="AB115" s="308">
        <v>48335.0</v>
      </c>
      <c r="AC115" s="299">
        <f t="shared" si="15"/>
        <v>0</v>
      </c>
      <c r="AD115" s="296">
        <f t="shared" si="16"/>
        <v>0</v>
      </c>
      <c r="AE115" s="299">
        <f t="shared" si="12"/>
        <v>0</v>
      </c>
      <c r="AF115" s="299">
        <f t="shared" si="13"/>
        <v>0</v>
      </c>
    </row>
    <row r="116">
      <c r="AB116" s="308">
        <v>48366.0</v>
      </c>
      <c r="AC116" s="299">
        <f t="shared" si="15"/>
        <v>0</v>
      </c>
      <c r="AD116" s="296">
        <f t="shared" si="16"/>
        <v>0</v>
      </c>
      <c r="AE116" s="299">
        <f t="shared" si="12"/>
        <v>0</v>
      </c>
      <c r="AF116" s="299">
        <f t="shared" si="13"/>
        <v>0</v>
      </c>
    </row>
    <row r="117">
      <c r="AB117" s="308">
        <v>48396.0</v>
      </c>
      <c r="AC117" s="299">
        <f t="shared" si="15"/>
        <v>0</v>
      </c>
      <c r="AD117" s="296">
        <f t="shared" si="16"/>
        <v>0</v>
      </c>
      <c r="AE117" s="299">
        <f t="shared" si="12"/>
        <v>0</v>
      </c>
      <c r="AF117" s="299">
        <f t="shared" si="13"/>
        <v>0</v>
      </c>
    </row>
    <row r="118">
      <c r="AB118" s="308">
        <v>48427.0</v>
      </c>
      <c r="AC118" s="299">
        <f t="shared" si="15"/>
        <v>0</v>
      </c>
      <c r="AD118" s="296">
        <f t="shared" si="16"/>
        <v>0</v>
      </c>
      <c r="AE118" s="299">
        <f t="shared" si="12"/>
        <v>0</v>
      </c>
      <c r="AF118" s="299">
        <f t="shared" si="13"/>
        <v>0</v>
      </c>
    </row>
    <row r="119">
      <c r="AB119" s="308">
        <v>48458.0</v>
      </c>
      <c r="AC119" s="299">
        <f t="shared" si="15"/>
        <v>0</v>
      </c>
      <c r="AD119" s="296">
        <f t="shared" si="16"/>
        <v>0</v>
      </c>
      <c r="AE119" s="299">
        <f t="shared" si="12"/>
        <v>0</v>
      </c>
      <c r="AF119" s="299">
        <f t="shared" si="13"/>
        <v>0</v>
      </c>
    </row>
    <row r="120">
      <c r="AB120" s="308">
        <v>48488.0</v>
      </c>
      <c r="AC120" s="299">
        <f t="shared" si="15"/>
        <v>0</v>
      </c>
      <c r="AD120" s="296">
        <f t="shared" si="16"/>
        <v>0</v>
      </c>
      <c r="AE120" s="299">
        <f t="shared" si="12"/>
        <v>0</v>
      </c>
      <c r="AF120" s="299">
        <f t="shared" si="13"/>
        <v>0</v>
      </c>
    </row>
    <row r="121">
      <c r="AB121" s="308">
        <v>48519.0</v>
      </c>
      <c r="AC121" s="299">
        <f t="shared" si="15"/>
        <v>0</v>
      </c>
      <c r="AD121" s="296">
        <f t="shared" si="16"/>
        <v>0</v>
      </c>
      <c r="AE121" s="299">
        <f t="shared" si="12"/>
        <v>0</v>
      </c>
      <c r="AF121" s="299">
        <f t="shared" si="13"/>
        <v>0</v>
      </c>
    </row>
    <row r="122">
      <c r="AB122" s="308">
        <v>48549.0</v>
      </c>
      <c r="AC122" s="299">
        <f t="shared" si="15"/>
        <v>0</v>
      </c>
      <c r="AD122" s="296">
        <f t="shared" si="16"/>
        <v>0</v>
      </c>
      <c r="AE122" s="299">
        <f t="shared" si="12"/>
        <v>0</v>
      </c>
      <c r="AF122" s="299">
        <f t="shared" si="13"/>
        <v>0</v>
      </c>
    </row>
    <row r="123">
      <c r="AB123" s="308">
        <v>48580.0</v>
      </c>
      <c r="AC123" s="299">
        <f t="shared" si="15"/>
        <v>0</v>
      </c>
      <c r="AD123" s="296">
        <f t="shared" si="16"/>
        <v>0</v>
      </c>
      <c r="AE123" s="299">
        <f t="shared" si="12"/>
        <v>0</v>
      </c>
      <c r="AF123" s="299">
        <f t="shared" si="13"/>
        <v>0</v>
      </c>
    </row>
    <row r="124">
      <c r="AB124" s="308">
        <v>48611.0</v>
      </c>
      <c r="AC124" s="299">
        <f t="shared" si="15"/>
        <v>0</v>
      </c>
      <c r="AD124" s="296">
        <f t="shared" si="16"/>
        <v>0</v>
      </c>
      <c r="AE124" s="299">
        <f t="shared" si="12"/>
        <v>0</v>
      </c>
      <c r="AF124" s="299">
        <f t="shared" si="13"/>
        <v>0</v>
      </c>
    </row>
    <row r="125">
      <c r="AB125" s="308">
        <v>48639.0</v>
      </c>
      <c r="AC125" s="299">
        <f t="shared" si="15"/>
        <v>0</v>
      </c>
      <c r="AD125" s="296">
        <f t="shared" si="16"/>
        <v>0</v>
      </c>
      <c r="AE125" s="299">
        <f t="shared" si="12"/>
        <v>0</v>
      </c>
      <c r="AF125" s="299">
        <f t="shared" si="13"/>
        <v>0</v>
      </c>
    </row>
    <row r="126">
      <c r="AB126" s="308">
        <v>48670.0</v>
      </c>
      <c r="AC126" s="299">
        <f t="shared" si="15"/>
        <v>0</v>
      </c>
      <c r="AD126" s="296">
        <f t="shared" si="16"/>
        <v>0</v>
      </c>
      <c r="AE126" s="299">
        <f t="shared" si="12"/>
        <v>0</v>
      </c>
      <c r="AF126" s="299">
        <f t="shared" si="13"/>
        <v>0</v>
      </c>
    </row>
    <row r="127">
      <c r="AB127" s="308">
        <v>48700.0</v>
      </c>
      <c r="AC127" s="299">
        <f t="shared" si="15"/>
        <v>0</v>
      </c>
      <c r="AD127" s="296">
        <f t="shared" si="16"/>
        <v>0</v>
      </c>
      <c r="AE127" s="299">
        <f t="shared" si="12"/>
        <v>0</v>
      </c>
      <c r="AF127" s="299">
        <f t="shared" si="13"/>
        <v>0</v>
      </c>
    </row>
    <row r="128">
      <c r="AB128" s="308">
        <v>48731.0</v>
      </c>
      <c r="AC128" s="299">
        <f t="shared" si="15"/>
        <v>0</v>
      </c>
      <c r="AD128" s="296">
        <f t="shared" si="16"/>
        <v>0</v>
      </c>
      <c r="AE128" s="299">
        <f t="shared" si="12"/>
        <v>0</v>
      </c>
      <c r="AF128" s="299">
        <f t="shared" si="13"/>
        <v>0</v>
      </c>
    </row>
    <row r="129">
      <c r="AB129" s="308">
        <v>48761.0</v>
      </c>
      <c r="AC129" s="299">
        <f t="shared" si="15"/>
        <v>0</v>
      </c>
      <c r="AD129" s="296">
        <f t="shared" si="16"/>
        <v>0</v>
      </c>
      <c r="AE129" s="299">
        <f t="shared" si="12"/>
        <v>0</v>
      </c>
      <c r="AF129" s="299">
        <f t="shared" si="13"/>
        <v>0</v>
      </c>
    </row>
    <row r="130">
      <c r="AB130" s="308">
        <v>48792.0</v>
      </c>
      <c r="AC130" s="299">
        <f t="shared" si="15"/>
        <v>0</v>
      </c>
      <c r="AD130" s="296">
        <f t="shared" si="16"/>
        <v>0</v>
      </c>
      <c r="AE130" s="299">
        <f t="shared" si="12"/>
        <v>0</v>
      </c>
      <c r="AF130" s="299">
        <f t="shared" si="13"/>
        <v>0</v>
      </c>
    </row>
    <row r="131">
      <c r="AB131" s="308">
        <v>48823.0</v>
      </c>
      <c r="AC131" s="299">
        <f t="shared" si="15"/>
        <v>0</v>
      </c>
      <c r="AD131" s="296">
        <f t="shared" si="16"/>
        <v>0</v>
      </c>
      <c r="AE131" s="299">
        <f t="shared" si="12"/>
        <v>0</v>
      </c>
      <c r="AF131" s="299">
        <f t="shared" si="13"/>
        <v>0</v>
      </c>
    </row>
    <row r="132">
      <c r="AB132" s="308">
        <v>48853.0</v>
      </c>
      <c r="AC132" s="299">
        <f t="shared" si="15"/>
        <v>0</v>
      </c>
      <c r="AD132" s="296">
        <f t="shared" si="16"/>
        <v>0</v>
      </c>
      <c r="AE132" s="299">
        <f t="shared" si="12"/>
        <v>0</v>
      </c>
      <c r="AF132" s="299">
        <f t="shared" si="13"/>
        <v>0</v>
      </c>
    </row>
    <row r="133">
      <c r="AB133" s="308">
        <v>48884.0</v>
      </c>
      <c r="AC133" s="299">
        <f t="shared" si="15"/>
        <v>0</v>
      </c>
      <c r="AD133" s="296">
        <f t="shared" si="16"/>
        <v>0</v>
      </c>
      <c r="AE133" s="299">
        <f t="shared" si="12"/>
        <v>0</v>
      </c>
      <c r="AF133" s="299">
        <f t="shared" si="13"/>
        <v>0</v>
      </c>
    </row>
    <row r="134">
      <c r="AB134" s="308">
        <v>48914.0</v>
      </c>
      <c r="AC134" s="299">
        <f t="shared" si="15"/>
        <v>0</v>
      </c>
      <c r="AD134" s="296">
        <f t="shared" si="16"/>
        <v>0</v>
      </c>
      <c r="AE134" s="299">
        <f t="shared" si="12"/>
        <v>0</v>
      </c>
      <c r="AF134" s="299">
        <f t="shared" si="13"/>
        <v>0</v>
      </c>
    </row>
    <row r="135">
      <c r="AB135" s="308">
        <v>48945.0</v>
      </c>
      <c r="AC135" s="299">
        <f t="shared" si="15"/>
        <v>0</v>
      </c>
      <c r="AD135" s="296">
        <f t="shared" si="16"/>
        <v>0</v>
      </c>
      <c r="AE135" s="299">
        <f t="shared" si="12"/>
        <v>0</v>
      </c>
      <c r="AF135" s="299">
        <f t="shared" si="13"/>
        <v>0</v>
      </c>
    </row>
    <row r="136">
      <c r="AB136" s="308">
        <v>48976.0</v>
      </c>
      <c r="AC136" s="299">
        <f t="shared" si="15"/>
        <v>0</v>
      </c>
      <c r="AD136" s="296">
        <f t="shared" si="16"/>
        <v>0</v>
      </c>
      <c r="AE136" s="299">
        <f t="shared" si="12"/>
        <v>0</v>
      </c>
      <c r="AF136" s="299">
        <f t="shared" si="13"/>
        <v>0</v>
      </c>
    </row>
    <row r="137">
      <c r="AB137" s="308">
        <v>49004.0</v>
      </c>
      <c r="AC137" s="299">
        <f t="shared" si="15"/>
        <v>0</v>
      </c>
      <c r="AD137" s="296">
        <f t="shared" si="16"/>
        <v>0</v>
      </c>
      <c r="AE137" s="299">
        <f t="shared" si="12"/>
        <v>0</v>
      </c>
      <c r="AF137" s="299">
        <f t="shared" si="13"/>
        <v>0</v>
      </c>
    </row>
    <row r="138">
      <c r="AB138" s="308">
        <v>49035.0</v>
      </c>
      <c r="AC138" s="299">
        <f t="shared" si="15"/>
        <v>0</v>
      </c>
      <c r="AD138" s="296">
        <f t="shared" si="16"/>
        <v>0</v>
      </c>
      <c r="AE138" s="299">
        <f t="shared" si="12"/>
        <v>0</v>
      </c>
      <c r="AF138" s="299">
        <f t="shared" si="13"/>
        <v>0</v>
      </c>
    </row>
    <row r="139">
      <c r="AB139" s="308">
        <v>49065.0</v>
      </c>
      <c r="AC139" s="299">
        <f t="shared" si="15"/>
        <v>0</v>
      </c>
      <c r="AD139" s="296">
        <f t="shared" si="16"/>
        <v>0</v>
      </c>
      <c r="AE139" s="299">
        <f t="shared" si="12"/>
        <v>0</v>
      </c>
      <c r="AF139" s="299">
        <f t="shared" si="13"/>
        <v>0</v>
      </c>
    </row>
    <row r="140">
      <c r="AB140" s="308">
        <v>49096.0</v>
      </c>
      <c r="AC140" s="299">
        <f t="shared" si="15"/>
        <v>0</v>
      </c>
      <c r="AD140" s="296">
        <f t="shared" si="16"/>
        <v>0</v>
      </c>
      <c r="AE140" s="299">
        <f t="shared" si="12"/>
        <v>0</v>
      </c>
      <c r="AF140" s="299">
        <f t="shared" si="13"/>
        <v>0</v>
      </c>
    </row>
    <row r="141">
      <c r="AB141" s="308">
        <v>49126.0</v>
      </c>
      <c r="AC141" s="299">
        <f t="shared" si="15"/>
        <v>0</v>
      </c>
      <c r="AD141" s="296">
        <f t="shared" si="16"/>
        <v>0</v>
      </c>
      <c r="AE141" s="299">
        <f t="shared" si="12"/>
        <v>0</v>
      </c>
      <c r="AF141" s="299">
        <f t="shared" si="13"/>
        <v>0</v>
      </c>
    </row>
    <row r="142">
      <c r="AB142" s="308">
        <v>49157.0</v>
      </c>
      <c r="AC142" s="299">
        <f t="shared" si="15"/>
        <v>0</v>
      </c>
      <c r="AD142" s="296">
        <f t="shared" si="16"/>
        <v>0</v>
      </c>
      <c r="AE142" s="299">
        <f t="shared" si="12"/>
        <v>0</v>
      </c>
      <c r="AF142" s="299">
        <f t="shared" si="13"/>
        <v>0</v>
      </c>
    </row>
    <row r="143">
      <c r="AB143" s="308">
        <v>49188.0</v>
      </c>
      <c r="AC143" s="299">
        <f t="shared" si="15"/>
        <v>0</v>
      </c>
      <c r="AD143" s="296">
        <f t="shared" si="16"/>
        <v>0</v>
      </c>
      <c r="AE143" s="299">
        <f t="shared" si="12"/>
        <v>0</v>
      </c>
      <c r="AF143" s="299">
        <f t="shared" si="13"/>
        <v>0</v>
      </c>
    </row>
    <row r="144">
      <c r="AB144" s="308">
        <v>49218.0</v>
      </c>
      <c r="AC144" s="299">
        <f t="shared" si="15"/>
        <v>0</v>
      </c>
      <c r="AD144" s="296">
        <f t="shared" si="16"/>
        <v>0</v>
      </c>
      <c r="AE144" s="299">
        <f t="shared" si="12"/>
        <v>0</v>
      </c>
      <c r="AF144" s="299">
        <f t="shared" si="13"/>
        <v>0</v>
      </c>
    </row>
    <row r="145">
      <c r="AB145" s="308">
        <v>49249.0</v>
      </c>
      <c r="AC145" s="299">
        <f t="shared" si="15"/>
        <v>0</v>
      </c>
      <c r="AD145" s="296">
        <f t="shared" si="16"/>
        <v>0</v>
      </c>
      <c r="AE145" s="299">
        <f t="shared" si="12"/>
        <v>0</v>
      </c>
      <c r="AF145" s="299">
        <f t="shared" si="13"/>
        <v>0</v>
      </c>
    </row>
    <row r="146">
      <c r="AB146" s="308">
        <v>49279.0</v>
      </c>
      <c r="AC146" s="299">
        <f t="shared" si="15"/>
        <v>0</v>
      </c>
      <c r="AD146" s="296">
        <f t="shared" si="16"/>
        <v>0</v>
      </c>
      <c r="AE146" s="299">
        <f t="shared" si="12"/>
        <v>0</v>
      </c>
      <c r="AF146" s="299">
        <f t="shared" si="13"/>
        <v>0</v>
      </c>
    </row>
    <row r="147">
      <c r="AB147" s="308">
        <v>49310.0</v>
      </c>
      <c r="AC147" s="299">
        <f t="shared" si="15"/>
        <v>0</v>
      </c>
      <c r="AD147" s="296">
        <f t="shared" si="16"/>
        <v>0</v>
      </c>
      <c r="AE147" s="299">
        <f t="shared" si="12"/>
        <v>0</v>
      </c>
      <c r="AF147" s="299">
        <f t="shared" si="13"/>
        <v>0</v>
      </c>
    </row>
    <row r="148">
      <c r="AB148" s="308">
        <v>49341.0</v>
      </c>
      <c r="AC148" s="299">
        <f t="shared" si="15"/>
        <v>0</v>
      </c>
      <c r="AD148" s="296">
        <f t="shared" si="16"/>
        <v>0</v>
      </c>
      <c r="AE148" s="299">
        <f t="shared" si="12"/>
        <v>0</v>
      </c>
      <c r="AF148" s="299">
        <f t="shared" si="13"/>
        <v>0</v>
      </c>
    </row>
    <row r="149">
      <c r="AB149" s="308">
        <v>49369.0</v>
      </c>
      <c r="AC149" s="299">
        <f t="shared" si="15"/>
        <v>0</v>
      </c>
      <c r="AD149" s="296">
        <f t="shared" si="16"/>
        <v>0</v>
      </c>
      <c r="AE149" s="299">
        <f t="shared" si="12"/>
        <v>0</v>
      </c>
      <c r="AF149" s="299">
        <f t="shared" si="13"/>
        <v>0</v>
      </c>
    </row>
    <row r="150">
      <c r="AB150" s="308">
        <v>49400.0</v>
      </c>
      <c r="AC150" s="299">
        <f t="shared" si="15"/>
        <v>0</v>
      </c>
      <c r="AD150" s="296">
        <f t="shared" si="16"/>
        <v>0</v>
      </c>
      <c r="AE150" s="299">
        <f t="shared" si="12"/>
        <v>0</v>
      </c>
      <c r="AF150" s="299">
        <f t="shared" si="13"/>
        <v>0</v>
      </c>
    </row>
    <row r="151">
      <c r="AB151" s="308">
        <v>49430.0</v>
      </c>
      <c r="AC151" s="299">
        <f t="shared" si="15"/>
        <v>0</v>
      </c>
      <c r="AD151" s="296">
        <f t="shared" si="16"/>
        <v>0</v>
      </c>
      <c r="AE151" s="299">
        <f t="shared" si="12"/>
        <v>0</v>
      </c>
      <c r="AF151" s="299">
        <f t="shared" si="13"/>
        <v>0</v>
      </c>
    </row>
    <row r="152">
      <c r="AB152" s="308">
        <v>49461.0</v>
      </c>
      <c r="AC152" s="299">
        <f t="shared" si="15"/>
        <v>0</v>
      </c>
      <c r="AD152" s="296">
        <f t="shared" si="16"/>
        <v>0</v>
      </c>
      <c r="AE152" s="299">
        <f t="shared" si="12"/>
        <v>0</v>
      </c>
      <c r="AF152" s="299">
        <f t="shared" si="13"/>
        <v>0</v>
      </c>
    </row>
    <row r="153">
      <c r="AB153" s="308">
        <v>49491.0</v>
      </c>
      <c r="AC153" s="299">
        <f t="shared" si="15"/>
        <v>0</v>
      </c>
      <c r="AD153" s="296">
        <f t="shared" si="16"/>
        <v>0</v>
      </c>
      <c r="AE153" s="299">
        <f t="shared" si="12"/>
        <v>0</v>
      </c>
      <c r="AF153" s="299">
        <f t="shared" si="13"/>
        <v>0</v>
      </c>
    </row>
    <row r="154">
      <c r="AB154" s="308">
        <v>49522.0</v>
      </c>
      <c r="AC154" s="299">
        <f t="shared" si="15"/>
        <v>0</v>
      </c>
      <c r="AD154" s="296">
        <f t="shared" si="16"/>
        <v>0</v>
      </c>
      <c r="AE154" s="299">
        <f t="shared" si="12"/>
        <v>0</v>
      </c>
      <c r="AF154" s="299">
        <f t="shared" si="13"/>
        <v>0</v>
      </c>
    </row>
    <row r="155">
      <c r="AB155" s="308">
        <v>49553.0</v>
      </c>
      <c r="AC155" s="299">
        <f t="shared" si="15"/>
        <v>0</v>
      </c>
      <c r="AD155" s="296">
        <f t="shared" si="16"/>
        <v>0</v>
      </c>
      <c r="AE155" s="299">
        <f t="shared" si="12"/>
        <v>0</v>
      </c>
      <c r="AF155" s="299">
        <f t="shared" si="13"/>
        <v>0</v>
      </c>
    </row>
    <row r="156">
      <c r="AB156" s="308">
        <v>49583.0</v>
      </c>
      <c r="AC156" s="299">
        <f t="shared" si="15"/>
        <v>0</v>
      </c>
      <c r="AD156" s="296">
        <f t="shared" si="16"/>
        <v>0</v>
      </c>
      <c r="AE156" s="299">
        <f t="shared" si="12"/>
        <v>0</v>
      </c>
      <c r="AF156" s="299">
        <f t="shared" si="13"/>
        <v>0</v>
      </c>
    </row>
    <row r="157">
      <c r="AB157" s="308">
        <v>49614.0</v>
      </c>
      <c r="AC157" s="299">
        <f t="shared" si="15"/>
        <v>0</v>
      </c>
      <c r="AD157" s="296">
        <f t="shared" si="16"/>
        <v>0</v>
      </c>
      <c r="AE157" s="299">
        <f t="shared" si="12"/>
        <v>0</v>
      </c>
      <c r="AF157" s="299">
        <f t="shared" si="13"/>
        <v>0</v>
      </c>
    </row>
    <row r="158">
      <c r="AB158" s="308">
        <v>49644.0</v>
      </c>
      <c r="AC158" s="299">
        <f t="shared" si="15"/>
        <v>0</v>
      </c>
      <c r="AD158" s="296">
        <f t="shared" si="16"/>
        <v>0</v>
      </c>
      <c r="AE158" s="299">
        <f t="shared" si="12"/>
        <v>0</v>
      </c>
      <c r="AF158" s="299">
        <f t="shared" si="13"/>
        <v>0</v>
      </c>
    </row>
    <row r="159">
      <c r="AB159" s="308">
        <v>49675.0</v>
      </c>
      <c r="AC159" s="299">
        <f t="shared" si="15"/>
        <v>0</v>
      </c>
      <c r="AD159" s="296">
        <f t="shared" si="16"/>
        <v>0</v>
      </c>
      <c r="AE159" s="299">
        <f t="shared" si="12"/>
        <v>0</v>
      </c>
      <c r="AF159" s="299">
        <f t="shared" si="13"/>
        <v>0</v>
      </c>
    </row>
    <row r="160">
      <c r="AB160" s="308">
        <v>49706.0</v>
      </c>
      <c r="AC160" s="299">
        <f t="shared" si="15"/>
        <v>0</v>
      </c>
      <c r="AD160" s="296">
        <f t="shared" si="16"/>
        <v>0</v>
      </c>
      <c r="AE160" s="299">
        <f t="shared" si="12"/>
        <v>0</v>
      </c>
      <c r="AF160" s="299">
        <f t="shared" si="13"/>
        <v>0</v>
      </c>
    </row>
    <row r="161">
      <c r="AB161" s="308">
        <v>49735.0</v>
      </c>
      <c r="AC161" s="299">
        <f t="shared" si="15"/>
        <v>0</v>
      </c>
      <c r="AD161" s="296">
        <f t="shared" si="16"/>
        <v>0</v>
      </c>
      <c r="AE161" s="299">
        <f t="shared" si="12"/>
        <v>0</v>
      </c>
      <c r="AF161" s="299">
        <f t="shared" si="13"/>
        <v>0</v>
      </c>
    </row>
    <row r="162">
      <c r="AB162" s="308">
        <v>49766.0</v>
      </c>
      <c r="AC162" s="299">
        <f t="shared" si="15"/>
        <v>0</v>
      </c>
      <c r="AD162" s="296">
        <f t="shared" si="16"/>
        <v>0</v>
      </c>
      <c r="AE162" s="299">
        <f t="shared" si="12"/>
        <v>0</v>
      </c>
      <c r="AF162" s="299">
        <f t="shared" si="13"/>
        <v>0</v>
      </c>
    </row>
    <row r="163">
      <c r="AB163" s="308">
        <v>49796.0</v>
      </c>
      <c r="AC163" s="299">
        <f t="shared" si="15"/>
        <v>0</v>
      </c>
      <c r="AD163" s="296">
        <f t="shared" si="16"/>
        <v>0</v>
      </c>
      <c r="AE163" s="299">
        <f t="shared" si="12"/>
        <v>0</v>
      </c>
      <c r="AF163" s="299">
        <f t="shared" si="13"/>
        <v>0</v>
      </c>
    </row>
    <row r="164">
      <c r="AB164" s="308">
        <v>49827.0</v>
      </c>
      <c r="AC164" s="299">
        <f t="shared" si="15"/>
        <v>0</v>
      </c>
      <c r="AD164" s="296">
        <f t="shared" si="16"/>
        <v>0</v>
      </c>
      <c r="AE164" s="299">
        <f t="shared" si="12"/>
        <v>0</v>
      </c>
      <c r="AF164" s="299">
        <f t="shared" si="13"/>
        <v>0</v>
      </c>
    </row>
    <row r="165">
      <c r="AB165" s="308">
        <v>49857.0</v>
      </c>
      <c r="AC165" s="299">
        <f t="shared" si="15"/>
        <v>0</v>
      </c>
      <c r="AD165" s="296">
        <f t="shared" si="16"/>
        <v>0</v>
      </c>
      <c r="AE165" s="299">
        <f t="shared" si="12"/>
        <v>0</v>
      </c>
      <c r="AF165" s="299">
        <f t="shared" si="13"/>
        <v>0</v>
      </c>
    </row>
    <row r="166">
      <c r="AB166" s="308">
        <v>49888.0</v>
      </c>
      <c r="AC166" s="299">
        <f t="shared" si="15"/>
        <v>0</v>
      </c>
      <c r="AD166" s="296">
        <f t="shared" si="16"/>
        <v>0</v>
      </c>
      <c r="AE166" s="299">
        <f t="shared" si="12"/>
        <v>0</v>
      </c>
      <c r="AF166" s="299">
        <f t="shared" si="13"/>
        <v>0</v>
      </c>
    </row>
    <row r="167">
      <c r="AB167" s="308">
        <v>49919.0</v>
      </c>
      <c r="AC167" s="299">
        <f t="shared" si="15"/>
        <v>0</v>
      </c>
      <c r="AD167" s="296">
        <f t="shared" si="16"/>
        <v>0</v>
      </c>
      <c r="AE167" s="299">
        <f t="shared" si="12"/>
        <v>0</v>
      </c>
      <c r="AF167" s="299">
        <f t="shared" si="13"/>
        <v>0</v>
      </c>
    </row>
    <row r="168">
      <c r="AB168" s="308">
        <v>49949.0</v>
      </c>
      <c r="AC168" s="299">
        <f t="shared" si="15"/>
        <v>0</v>
      </c>
      <c r="AD168" s="296">
        <f t="shared" si="16"/>
        <v>0</v>
      </c>
      <c r="AE168" s="299">
        <f t="shared" si="12"/>
        <v>0</v>
      </c>
      <c r="AF168" s="299">
        <f t="shared" si="13"/>
        <v>0</v>
      </c>
    </row>
    <row r="169">
      <c r="AB169" s="308">
        <v>49980.0</v>
      </c>
      <c r="AC169" s="299">
        <f t="shared" si="15"/>
        <v>0</v>
      </c>
      <c r="AD169" s="296">
        <f t="shared" si="16"/>
        <v>0</v>
      </c>
      <c r="AE169" s="299">
        <f t="shared" si="12"/>
        <v>0</v>
      </c>
      <c r="AF169" s="299">
        <f t="shared" si="13"/>
        <v>0</v>
      </c>
    </row>
    <row r="170">
      <c r="AB170" s="308">
        <v>50010.0</v>
      </c>
      <c r="AC170" s="299">
        <f t="shared" si="15"/>
        <v>0</v>
      </c>
      <c r="AD170" s="296">
        <f t="shared" si="16"/>
        <v>0</v>
      </c>
      <c r="AE170" s="299">
        <f t="shared" si="12"/>
        <v>0</v>
      </c>
      <c r="AF170" s="299">
        <f t="shared" si="13"/>
        <v>0</v>
      </c>
    </row>
    <row r="171">
      <c r="AB171" s="308">
        <v>50041.0</v>
      </c>
      <c r="AC171" s="299">
        <f t="shared" si="15"/>
        <v>0</v>
      </c>
      <c r="AD171" s="296">
        <f t="shared" si="16"/>
        <v>0</v>
      </c>
      <c r="AE171" s="299">
        <f t="shared" si="12"/>
        <v>0</v>
      </c>
      <c r="AF171" s="299">
        <f t="shared" si="13"/>
        <v>0</v>
      </c>
    </row>
    <row r="172">
      <c r="AB172" s="308">
        <v>50072.0</v>
      </c>
      <c r="AC172" s="299">
        <f t="shared" si="15"/>
        <v>0</v>
      </c>
      <c r="AD172" s="296">
        <f t="shared" si="16"/>
        <v>0</v>
      </c>
      <c r="AE172" s="299">
        <f t="shared" si="12"/>
        <v>0</v>
      </c>
      <c r="AF172" s="299">
        <f t="shared" si="13"/>
        <v>0</v>
      </c>
    </row>
    <row r="173">
      <c r="AB173" s="308">
        <v>50100.0</v>
      </c>
      <c r="AC173" s="299">
        <f t="shared" si="15"/>
        <v>0</v>
      </c>
      <c r="AD173" s="296">
        <f t="shared" si="16"/>
        <v>0</v>
      </c>
      <c r="AE173" s="299">
        <f t="shared" si="12"/>
        <v>0</v>
      </c>
      <c r="AF173" s="299">
        <f t="shared" si="13"/>
        <v>0</v>
      </c>
    </row>
    <row r="174">
      <c r="AB174" s="308">
        <v>50131.0</v>
      </c>
      <c r="AC174" s="299">
        <f t="shared" si="15"/>
        <v>0</v>
      </c>
      <c r="AD174" s="296">
        <f t="shared" si="16"/>
        <v>0</v>
      </c>
      <c r="AE174" s="299">
        <f t="shared" si="12"/>
        <v>0</v>
      </c>
      <c r="AF174" s="299">
        <f t="shared" si="13"/>
        <v>0</v>
      </c>
    </row>
    <row r="175">
      <c r="AB175" s="308">
        <v>50161.0</v>
      </c>
      <c r="AC175" s="299">
        <f t="shared" si="15"/>
        <v>0</v>
      </c>
      <c r="AD175" s="296">
        <f t="shared" si="16"/>
        <v>0</v>
      </c>
      <c r="AE175" s="299">
        <f t="shared" si="12"/>
        <v>0</v>
      </c>
      <c r="AF175" s="299">
        <f t="shared" si="13"/>
        <v>0</v>
      </c>
    </row>
    <row r="176">
      <c r="AB176" s="308">
        <v>50192.0</v>
      </c>
      <c r="AC176" s="299">
        <f t="shared" si="15"/>
        <v>0</v>
      </c>
      <c r="AD176" s="296">
        <f t="shared" si="16"/>
        <v>0</v>
      </c>
      <c r="AE176" s="299">
        <f t="shared" si="12"/>
        <v>0</v>
      </c>
      <c r="AF176" s="299">
        <f t="shared" si="13"/>
        <v>0</v>
      </c>
    </row>
    <row r="177">
      <c r="AB177" s="308">
        <v>50222.0</v>
      </c>
      <c r="AC177" s="299">
        <f t="shared" si="15"/>
        <v>0</v>
      </c>
      <c r="AD177" s="296">
        <f t="shared" si="16"/>
        <v>0</v>
      </c>
      <c r="AE177" s="299">
        <f t="shared" si="12"/>
        <v>0</v>
      </c>
      <c r="AF177" s="299">
        <f t="shared" si="13"/>
        <v>0</v>
      </c>
    </row>
    <row r="178">
      <c r="AB178" s="308">
        <v>50253.0</v>
      </c>
      <c r="AC178" s="299">
        <f t="shared" si="15"/>
        <v>0</v>
      </c>
      <c r="AD178" s="296">
        <f t="shared" si="16"/>
        <v>0</v>
      </c>
      <c r="AE178" s="299">
        <f t="shared" si="12"/>
        <v>0</v>
      </c>
      <c r="AF178" s="299">
        <f t="shared" si="13"/>
        <v>0</v>
      </c>
    </row>
    <row r="179">
      <c r="AB179" s="308">
        <v>50284.0</v>
      </c>
      <c r="AC179" s="299">
        <f t="shared" si="15"/>
        <v>0</v>
      </c>
      <c r="AD179" s="296">
        <f t="shared" si="16"/>
        <v>0</v>
      </c>
      <c r="AE179" s="299">
        <f t="shared" si="12"/>
        <v>0</v>
      </c>
      <c r="AF179" s="299">
        <f t="shared" si="13"/>
        <v>0</v>
      </c>
    </row>
    <row r="180">
      <c r="AB180" s="308">
        <v>50314.0</v>
      </c>
      <c r="AC180" s="299">
        <f t="shared" si="15"/>
        <v>0</v>
      </c>
      <c r="AD180" s="296">
        <f t="shared" si="16"/>
        <v>0</v>
      </c>
      <c r="AE180" s="299">
        <f t="shared" si="12"/>
        <v>0</v>
      </c>
      <c r="AF180" s="299">
        <f t="shared" si="13"/>
        <v>0</v>
      </c>
    </row>
    <row r="181">
      <c r="AB181" s="308">
        <v>50345.0</v>
      </c>
      <c r="AC181" s="299">
        <f t="shared" si="15"/>
        <v>0</v>
      </c>
      <c r="AD181" s="296">
        <f t="shared" si="16"/>
        <v>0</v>
      </c>
      <c r="AE181" s="299">
        <f t="shared" si="12"/>
        <v>0</v>
      </c>
      <c r="AF181" s="299">
        <f t="shared" si="13"/>
        <v>0</v>
      </c>
    </row>
    <row r="182">
      <c r="AB182" s="308">
        <v>50375.0</v>
      </c>
      <c r="AC182" s="299">
        <f t="shared" si="15"/>
        <v>0</v>
      </c>
      <c r="AD182" s="296">
        <f t="shared" si="16"/>
        <v>0</v>
      </c>
      <c r="AE182" s="299">
        <f t="shared" si="12"/>
        <v>0</v>
      </c>
      <c r="AF182" s="299">
        <f t="shared" si="13"/>
        <v>0</v>
      </c>
    </row>
    <row r="183">
      <c r="AB183" s="308">
        <v>50406.0</v>
      </c>
      <c r="AC183" s="299">
        <f t="shared" si="15"/>
        <v>0</v>
      </c>
      <c r="AD183" s="296">
        <f t="shared" si="16"/>
        <v>0</v>
      </c>
      <c r="AE183" s="299">
        <f t="shared" si="12"/>
        <v>0</v>
      </c>
      <c r="AF183" s="299">
        <f t="shared" si="13"/>
        <v>0</v>
      </c>
    </row>
    <row r="184">
      <c r="AB184" s="308">
        <v>50437.0</v>
      </c>
      <c r="AC184" s="299">
        <f t="shared" si="15"/>
        <v>0</v>
      </c>
      <c r="AD184" s="296">
        <f t="shared" si="16"/>
        <v>0</v>
      </c>
      <c r="AE184" s="299">
        <f t="shared" si="12"/>
        <v>0</v>
      </c>
      <c r="AF184" s="299">
        <f t="shared" si="13"/>
        <v>0</v>
      </c>
    </row>
    <row r="185">
      <c r="AB185" s="308">
        <v>50465.0</v>
      </c>
      <c r="AC185" s="299">
        <f t="shared" si="15"/>
        <v>0</v>
      </c>
      <c r="AD185" s="296">
        <f t="shared" si="16"/>
        <v>0</v>
      </c>
      <c r="AE185" s="299">
        <f t="shared" si="12"/>
        <v>0</v>
      </c>
      <c r="AF185" s="299">
        <f t="shared" si="13"/>
        <v>0</v>
      </c>
    </row>
    <row r="186">
      <c r="AB186" s="308">
        <v>50496.0</v>
      </c>
      <c r="AC186" s="299">
        <f t="shared" si="15"/>
        <v>0</v>
      </c>
      <c r="AD186" s="296">
        <f t="shared" si="16"/>
        <v>0</v>
      </c>
      <c r="AE186" s="299">
        <f t="shared" si="12"/>
        <v>0</v>
      </c>
      <c r="AF186" s="299">
        <f t="shared" si="13"/>
        <v>0</v>
      </c>
    </row>
    <row r="187">
      <c r="AB187" s="308">
        <v>50526.0</v>
      </c>
      <c r="AC187" s="299">
        <f t="shared" si="15"/>
        <v>0</v>
      </c>
      <c r="AD187" s="296">
        <f t="shared" si="16"/>
        <v>0</v>
      </c>
      <c r="AE187" s="299">
        <f t="shared" si="12"/>
        <v>0</v>
      </c>
      <c r="AF187" s="299">
        <f t="shared" si="13"/>
        <v>0</v>
      </c>
    </row>
    <row r="188">
      <c r="AB188" s="308">
        <v>50557.0</v>
      </c>
      <c r="AC188" s="299">
        <f t="shared" si="15"/>
        <v>0</v>
      </c>
      <c r="AD188" s="296">
        <f t="shared" si="16"/>
        <v>0</v>
      </c>
      <c r="AE188" s="299">
        <f t="shared" si="12"/>
        <v>0</v>
      </c>
      <c r="AF188" s="299">
        <f t="shared" si="13"/>
        <v>0</v>
      </c>
    </row>
    <row r="189">
      <c r="AB189" s="308">
        <v>50587.0</v>
      </c>
      <c r="AC189" s="299">
        <f t="shared" si="15"/>
        <v>0</v>
      </c>
      <c r="AD189" s="296">
        <f t="shared" si="16"/>
        <v>0</v>
      </c>
      <c r="AE189" s="299">
        <f t="shared" si="12"/>
        <v>0</v>
      </c>
      <c r="AF189" s="299">
        <f t="shared" si="13"/>
        <v>0</v>
      </c>
    </row>
    <row r="190">
      <c r="AB190" s="308">
        <v>50618.0</v>
      </c>
      <c r="AC190" s="299">
        <f t="shared" si="15"/>
        <v>0</v>
      </c>
      <c r="AD190" s="296">
        <f t="shared" si="16"/>
        <v>0</v>
      </c>
      <c r="AE190" s="299">
        <f t="shared" si="12"/>
        <v>0</v>
      </c>
      <c r="AF190" s="299">
        <f t="shared" si="13"/>
        <v>0</v>
      </c>
    </row>
    <row r="191">
      <c r="AB191" s="308">
        <v>50649.0</v>
      </c>
      <c r="AC191" s="299">
        <f t="shared" si="15"/>
        <v>0</v>
      </c>
      <c r="AD191" s="296">
        <f t="shared" si="16"/>
        <v>0</v>
      </c>
      <c r="AE191" s="299">
        <f t="shared" si="12"/>
        <v>0</v>
      </c>
      <c r="AF191" s="299">
        <f t="shared" si="13"/>
        <v>0</v>
      </c>
    </row>
    <row r="192">
      <c r="AB192" s="308">
        <v>50679.0</v>
      </c>
      <c r="AC192" s="299">
        <f t="shared" si="15"/>
        <v>0</v>
      </c>
      <c r="AD192" s="296">
        <f t="shared" si="16"/>
        <v>0</v>
      </c>
      <c r="AE192" s="299">
        <f t="shared" si="12"/>
        <v>0</v>
      </c>
      <c r="AF192" s="299">
        <f t="shared" si="13"/>
        <v>0</v>
      </c>
    </row>
    <row r="193">
      <c r="AB193" s="308">
        <v>50710.0</v>
      </c>
      <c r="AC193" s="299">
        <f t="shared" si="15"/>
        <v>0</v>
      </c>
      <c r="AD193" s="296">
        <f t="shared" si="16"/>
        <v>0</v>
      </c>
      <c r="AE193" s="299">
        <f t="shared" si="12"/>
        <v>0</v>
      </c>
      <c r="AF193" s="299">
        <f t="shared" si="13"/>
        <v>0</v>
      </c>
    </row>
    <row r="194">
      <c r="AB194" s="308">
        <v>50740.0</v>
      </c>
      <c r="AC194" s="299">
        <f t="shared" si="15"/>
        <v>0</v>
      </c>
      <c r="AD194" s="296">
        <f t="shared" si="16"/>
        <v>0</v>
      </c>
      <c r="AE194" s="299">
        <f t="shared" si="12"/>
        <v>0</v>
      </c>
      <c r="AF194" s="299">
        <f t="shared" si="13"/>
        <v>0</v>
      </c>
    </row>
    <row r="195">
      <c r="AB195" s="308">
        <v>50771.0</v>
      </c>
      <c r="AC195" s="299">
        <f t="shared" si="15"/>
        <v>0</v>
      </c>
      <c r="AD195" s="296">
        <f t="shared" si="16"/>
        <v>0</v>
      </c>
      <c r="AE195" s="299">
        <f t="shared" si="12"/>
        <v>0</v>
      </c>
      <c r="AF195" s="299">
        <f t="shared" si="13"/>
        <v>0</v>
      </c>
    </row>
    <row r="196">
      <c r="AB196" s="308">
        <v>50802.0</v>
      </c>
      <c r="AC196" s="299">
        <f t="shared" si="15"/>
        <v>0</v>
      </c>
      <c r="AD196" s="296">
        <f t="shared" si="16"/>
        <v>0</v>
      </c>
      <c r="AE196" s="299">
        <f t="shared" si="12"/>
        <v>0</v>
      </c>
      <c r="AF196" s="299">
        <f t="shared" si="13"/>
        <v>0</v>
      </c>
    </row>
    <row r="197">
      <c r="AB197" s="308">
        <v>50830.0</v>
      </c>
      <c r="AC197" s="299">
        <f t="shared" si="15"/>
        <v>0</v>
      </c>
      <c r="AD197" s="296">
        <f t="shared" si="16"/>
        <v>0</v>
      </c>
      <c r="AE197" s="299">
        <f t="shared" si="12"/>
        <v>0</v>
      </c>
      <c r="AF197" s="299">
        <f t="shared" si="13"/>
        <v>0</v>
      </c>
    </row>
    <row r="198">
      <c r="AB198" s="308">
        <v>50861.0</v>
      </c>
      <c r="AC198" s="299">
        <f t="shared" si="15"/>
        <v>0</v>
      </c>
      <c r="AD198" s="296">
        <f t="shared" si="16"/>
        <v>0</v>
      </c>
      <c r="AE198" s="299">
        <f t="shared" si="12"/>
        <v>0</v>
      </c>
      <c r="AF198" s="299">
        <f t="shared" si="13"/>
        <v>0</v>
      </c>
    </row>
    <row r="199">
      <c r="AB199" s="308">
        <v>50891.0</v>
      </c>
      <c r="AC199" s="299">
        <f t="shared" si="15"/>
        <v>0</v>
      </c>
      <c r="AD199" s="296">
        <f t="shared" si="16"/>
        <v>0</v>
      </c>
      <c r="AE199" s="299">
        <f t="shared" si="12"/>
        <v>0</v>
      </c>
      <c r="AF199" s="299">
        <f t="shared" si="13"/>
        <v>0</v>
      </c>
    </row>
    <row r="200">
      <c r="AB200" s="308">
        <v>50922.0</v>
      </c>
      <c r="AC200" s="299">
        <f t="shared" si="15"/>
        <v>0</v>
      </c>
      <c r="AD200" s="296">
        <f t="shared" si="16"/>
        <v>0</v>
      </c>
      <c r="AE200" s="299">
        <f t="shared" si="12"/>
        <v>0</v>
      </c>
      <c r="AF200" s="299">
        <f t="shared" si="13"/>
        <v>0</v>
      </c>
    </row>
    <row r="201">
      <c r="AB201" s="308">
        <v>50952.0</v>
      </c>
      <c r="AC201" s="299">
        <f t="shared" si="15"/>
        <v>0</v>
      </c>
      <c r="AD201" s="296">
        <f t="shared" si="16"/>
        <v>0</v>
      </c>
      <c r="AE201" s="299">
        <f t="shared" si="12"/>
        <v>0</v>
      </c>
      <c r="AF201" s="299">
        <f t="shared" si="13"/>
        <v>0</v>
      </c>
    </row>
    <row r="202">
      <c r="AB202" s="308">
        <v>50983.0</v>
      </c>
      <c r="AC202" s="299">
        <f t="shared" si="15"/>
        <v>0</v>
      </c>
      <c r="AD202" s="296">
        <f t="shared" si="16"/>
        <v>0</v>
      </c>
      <c r="AE202" s="299">
        <f t="shared" si="12"/>
        <v>0</v>
      </c>
      <c r="AF202" s="299">
        <f t="shared" si="13"/>
        <v>0</v>
      </c>
    </row>
    <row r="203">
      <c r="AB203" s="308">
        <v>51014.0</v>
      </c>
      <c r="AC203" s="299">
        <f t="shared" si="15"/>
        <v>0</v>
      </c>
      <c r="AD203" s="296">
        <f t="shared" si="16"/>
        <v>0</v>
      </c>
      <c r="AE203" s="299">
        <f t="shared" si="12"/>
        <v>0</v>
      </c>
      <c r="AF203" s="299">
        <f t="shared" si="13"/>
        <v>0</v>
      </c>
    </row>
    <row r="204">
      <c r="AB204" s="308">
        <v>51044.0</v>
      </c>
      <c r="AC204" s="299">
        <f t="shared" si="15"/>
        <v>0</v>
      </c>
      <c r="AD204" s="296">
        <f t="shared" si="16"/>
        <v>0</v>
      </c>
      <c r="AE204" s="299">
        <f t="shared" si="12"/>
        <v>0</v>
      </c>
      <c r="AF204" s="299">
        <f t="shared" si="13"/>
        <v>0</v>
      </c>
    </row>
    <row r="205">
      <c r="AB205" s="308">
        <v>51075.0</v>
      </c>
      <c r="AC205" s="299">
        <f t="shared" si="15"/>
        <v>0</v>
      </c>
      <c r="AD205" s="296">
        <f t="shared" si="16"/>
        <v>0</v>
      </c>
      <c r="AE205" s="299">
        <f t="shared" si="12"/>
        <v>0</v>
      </c>
      <c r="AF205" s="299">
        <f t="shared" si="13"/>
        <v>0</v>
      </c>
    </row>
    <row r="206">
      <c r="AB206" s="308">
        <v>51105.0</v>
      </c>
      <c r="AC206" s="299">
        <f t="shared" si="15"/>
        <v>0</v>
      </c>
      <c r="AD206" s="296">
        <f t="shared" si="16"/>
        <v>0</v>
      </c>
      <c r="AE206" s="299">
        <f t="shared" si="12"/>
        <v>0</v>
      </c>
      <c r="AF206" s="299">
        <f t="shared" si="13"/>
        <v>0</v>
      </c>
    </row>
    <row r="207">
      <c r="AB207" s="308">
        <v>51136.0</v>
      </c>
      <c r="AC207" s="299">
        <f t="shared" si="15"/>
        <v>0</v>
      </c>
      <c r="AD207" s="296">
        <f t="shared" si="16"/>
        <v>0</v>
      </c>
      <c r="AE207" s="299">
        <f t="shared" si="12"/>
        <v>0</v>
      </c>
      <c r="AF207" s="299">
        <f t="shared" si="13"/>
        <v>0</v>
      </c>
    </row>
    <row r="208">
      <c r="AB208" s="308">
        <v>51167.0</v>
      </c>
      <c r="AC208" s="299">
        <f t="shared" si="15"/>
        <v>0</v>
      </c>
      <c r="AD208" s="296">
        <f t="shared" si="16"/>
        <v>0</v>
      </c>
      <c r="AE208" s="299">
        <f t="shared" si="12"/>
        <v>0</v>
      </c>
      <c r="AF208" s="299">
        <f t="shared" si="13"/>
        <v>0</v>
      </c>
    </row>
    <row r="209">
      <c r="AB209" s="308">
        <v>51196.0</v>
      </c>
      <c r="AC209" s="299">
        <f t="shared" si="15"/>
        <v>0</v>
      </c>
      <c r="AD209" s="296">
        <f t="shared" si="16"/>
        <v>0</v>
      </c>
      <c r="AE209" s="299">
        <f t="shared" si="12"/>
        <v>0</v>
      </c>
      <c r="AF209" s="299">
        <f t="shared" si="13"/>
        <v>0</v>
      </c>
    </row>
    <row r="210">
      <c r="AB210" s="308">
        <v>51227.0</v>
      </c>
      <c r="AC210" s="299">
        <f t="shared" si="15"/>
        <v>0</v>
      </c>
      <c r="AD210" s="296">
        <f t="shared" si="16"/>
        <v>0</v>
      </c>
      <c r="AE210" s="299">
        <f t="shared" si="12"/>
        <v>0</v>
      </c>
      <c r="AF210" s="299">
        <f t="shared" si="13"/>
        <v>0</v>
      </c>
    </row>
    <row r="211">
      <c r="AB211" s="308">
        <v>51257.0</v>
      </c>
      <c r="AC211" s="299">
        <f t="shared" si="15"/>
        <v>0</v>
      </c>
      <c r="AD211" s="296">
        <f t="shared" si="16"/>
        <v>0</v>
      </c>
      <c r="AE211" s="299">
        <f t="shared" si="12"/>
        <v>0</v>
      </c>
      <c r="AF211" s="299">
        <f t="shared" si="13"/>
        <v>0</v>
      </c>
    </row>
    <row r="212">
      <c r="AB212" s="308">
        <v>51288.0</v>
      </c>
      <c r="AC212" s="299">
        <f t="shared" si="15"/>
        <v>0</v>
      </c>
      <c r="AD212" s="296">
        <f t="shared" si="16"/>
        <v>0</v>
      </c>
      <c r="AE212" s="299">
        <f t="shared" si="12"/>
        <v>0</v>
      </c>
      <c r="AF212" s="299">
        <f t="shared" si="13"/>
        <v>0</v>
      </c>
    </row>
    <row r="213">
      <c r="AB213" s="308">
        <v>51318.0</v>
      </c>
      <c r="AC213" s="299">
        <f t="shared" si="15"/>
        <v>0</v>
      </c>
      <c r="AD213" s="296">
        <f t="shared" si="16"/>
        <v>0</v>
      </c>
      <c r="AE213" s="299">
        <f t="shared" si="12"/>
        <v>0</v>
      </c>
      <c r="AF213" s="299">
        <f t="shared" si="13"/>
        <v>0</v>
      </c>
    </row>
    <row r="214">
      <c r="AB214" s="308">
        <v>51349.0</v>
      </c>
      <c r="AC214" s="299">
        <f t="shared" si="15"/>
        <v>0</v>
      </c>
      <c r="AD214" s="296">
        <f t="shared" si="16"/>
        <v>0</v>
      </c>
      <c r="AE214" s="299">
        <f t="shared" si="12"/>
        <v>0</v>
      </c>
      <c r="AF214" s="299">
        <f t="shared" si="13"/>
        <v>0</v>
      </c>
    </row>
    <row r="215">
      <c r="AB215" s="308">
        <v>51380.0</v>
      </c>
      <c r="AC215" s="299">
        <f t="shared" si="15"/>
        <v>0</v>
      </c>
      <c r="AD215" s="296">
        <f t="shared" si="16"/>
        <v>0</v>
      </c>
      <c r="AE215" s="299">
        <f t="shared" si="12"/>
        <v>0</v>
      </c>
      <c r="AF215" s="299">
        <f t="shared" si="13"/>
        <v>0</v>
      </c>
    </row>
    <row r="216">
      <c r="AB216" s="308">
        <v>51410.0</v>
      </c>
      <c r="AC216" s="299">
        <f t="shared" si="15"/>
        <v>0</v>
      </c>
      <c r="AD216" s="296">
        <f t="shared" si="16"/>
        <v>0</v>
      </c>
      <c r="AE216" s="299">
        <f t="shared" si="12"/>
        <v>0</v>
      </c>
      <c r="AF216" s="299">
        <f t="shared" si="13"/>
        <v>0</v>
      </c>
    </row>
    <row r="217">
      <c r="AB217" s="308">
        <v>51441.0</v>
      </c>
      <c r="AC217" s="299">
        <f t="shared" si="15"/>
        <v>0</v>
      </c>
      <c r="AD217" s="296">
        <f t="shared" si="16"/>
        <v>0</v>
      </c>
      <c r="AE217" s="299">
        <f t="shared" si="12"/>
        <v>0</v>
      </c>
      <c r="AF217" s="299">
        <f t="shared" si="13"/>
        <v>0</v>
      </c>
    </row>
    <row r="218">
      <c r="AB218" s="308">
        <v>51471.0</v>
      </c>
      <c r="AC218" s="299">
        <f t="shared" si="15"/>
        <v>0</v>
      </c>
      <c r="AD218" s="296">
        <f t="shared" si="16"/>
        <v>0</v>
      </c>
      <c r="AE218" s="299">
        <f t="shared" si="12"/>
        <v>0</v>
      </c>
      <c r="AF218" s="299">
        <f t="shared" si="13"/>
        <v>0</v>
      </c>
    </row>
    <row r="219">
      <c r="AB219" s="308">
        <v>51502.0</v>
      </c>
      <c r="AC219" s="299">
        <f t="shared" si="15"/>
        <v>0</v>
      </c>
      <c r="AD219" s="296">
        <f t="shared" si="16"/>
        <v>0</v>
      </c>
      <c r="AE219" s="299">
        <f t="shared" si="12"/>
        <v>0</v>
      </c>
      <c r="AF219" s="299">
        <f t="shared" si="13"/>
        <v>0</v>
      </c>
    </row>
    <row r="220">
      <c r="AB220" s="308">
        <v>51533.0</v>
      </c>
      <c r="AC220" s="299">
        <f t="shared" si="15"/>
        <v>0</v>
      </c>
      <c r="AD220" s="296">
        <f t="shared" si="16"/>
        <v>0</v>
      </c>
      <c r="AE220" s="299">
        <f t="shared" si="12"/>
        <v>0</v>
      </c>
      <c r="AF220" s="299">
        <f t="shared" si="13"/>
        <v>0</v>
      </c>
    </row>
    <row r="221">
      <c r="AB221" s="308">
        <v>51561.0</v>
      </c>
      <c r="AC221" s="299">
        <f t="shared" si="15"/>
        <v>0</v>
      </c>
      <c r="AD221" s="296">
        <f t="shared" si="16"/>
        <v>0</v>
      </c>
      <c r="AE221" s="299">
        <f t="shared" si="12"/>
        <v>0</v>
      </c>
      <c r="AF221" s="299">
        <f t="shared" si="13"/>
        <v>0</v>
      </c>
    </row>
    <row r="222">
      <c r="AB222" s="308">
        <v>51592.0</v>
      </c>
      <c r="AC222" s="299">
        <f t="shared" si="15"/>
        <v>0</v>
      </c>
      <c r="AD222" s="296">
        <f t="shared" si="16"/>
        <v>0</v>
      </c>
      <c r="AE222" s="299">
        <f t="shared" si="12"/>
        <v>0</v>
      </c>
      <c r="AF222" s="299">
        <f t="shared" si="13"/>
        <v>0</v>
      </c>
    </row>
    <row r="223">
      <c r="AB223" s="308">
        <v>51622.0</v>
      </c>
      <c r="AC223" s="299">
        <f t="shared" si="15"/>
        <v>0</v>
      </c>
      <c r="AD223" s="296">
        <f t="shared" si="16"/>
        <v>0</v>
      </c>
      <c r="AE223" s="299">
        <f t="shared" si="12"/>
        <v>0</v>
      </c>
      <c r="AF223" s="299">
        <f t="shared" si="13"/>
        <v>0</v>
      </c>
    </row>
    <row r="224">
      <c r="AB224" s="308">
        <v>51653.0</v>
      </c>
      <c r="AC224" s="299">
        <f t="shared" si="15"/>
        <v>0</v>
      </c>
      <c r="AD224" s="296">
        <f t="shared" si="16"/>
        <v>0</v>
      </c>
      <c r="AE224" s="299">
        <f t="shared" si="12"/>
        <v>0</v>
      </c>
      <c r="AF224" s="299">
        <f t="shared" si="13"/>
        <v>0</v>
      </c>
    </row>
    <row r="225">
      <c r="AB225" s="308">
        <v>51683.0</v>
      </c>
      <c r="AC225" s="299">
        <f t="shared" si="15"/>
        <v>0</v>
      </c>
      <c r="AD225" s="296">
        <f t="shared" si="16"/>
        <v>0</v>
      </c>
      <c r="AE225" s="299">
        <f t="shared" si="12"/>
        <v>0</v>
      </c>
      <c r="AF225" s="299">
        <f t="shared" si="13"/>
        <v>0</v>
      </c>
    </row>
    <row r="226">
      <c r="AB226" s="308">
        <v>51714.0</v>
      </c>
      <c r="AC226" s="299">
        <f t="shared" si="15"/>
        <v>0</v>
      </c>
      <c r="AD226" s="296">
        <f t="shared" si="16"/>
        <v>0</v>
      </c>
      <c r="AE226" s="299">
        <f t="shared" si="12"/>
        <v>0</v>
      </c>
      <c r="AF226" s="299">
        <f t="shared" si="13"/>
        <v>0</v>
      </c>
    </row>
    <row r="227">
      <c r="AB227" s="308">
        <v>51745.0</v>
      </c>
      <c r="AC227" s="299">
        <f t="shared" si="15"/>
        <v>0</v>
      </c>
      <c r="AD227" s="296">
        <f t="shared" si="16"/>
        <v>0</v>
      </c>
      <c r="AE227" s="299">
        <f t="shared" si="12"/>
        <v>0</v>
      </c>
      <c r="AF227" s="299">
        <f t="shared" si="13"/>
        <v>0</v>
      </c>
    </row>
    <row r="228">
      <c r="AB228" s="308">
        <v>51775.0</v>
      </c>
      <c r="AC228" s="299">
        <f t="shared" si="15"/>
        <v>0</v>
      </c>
      <c r="AD228" s="296">
        <f t="shared" si="16"/>
        <v>0</v>
      </c>
      <c r="AE228" s="299">
        <f t="shared" si="12"/>
        <v>0</v>
      </c>
      <c r="AF228" s="299">
        <f t="shared" si="13"/>
        <v>0</v>
      </c>
    </row>
    <row r="229">
      <c r="AB229" s="308">
        <v>51806.0</v>
      </c>
      <c r="AC229" s="299">
        <f t="shared" si="15"/>
        <v>0</v>
      </c>
      <c r="AD229" s="296">
        <f t="shared" si="16"/>
        <v>0</v>
      </c>
      <c r="AE229" s="299">
        <f t="shared" si="12"/>
        <v>0</v>
      </c>
      <c r="AF229" s="299">
        <f t="shared" si="13"/>
        <v>0</v>
      </c>
    </row>
    <row r="230">
      <c r="AB230" s="308">
        <v>51836.0</v>
      </c>
      <c r="AC230" s="299">
        <f t="shared" si="15"/>
        <v>0</v>
      </c>
      <c r="AD230" s="296">
        <f t="shared" si="16"/>
        <v>0</v>
      </c>
      <c r="AE230" s="299">
        <f t="shared" si="12"/>
        <v>0</v>
      </c>
      <c r="AF230" s="299">
        <f t="shared" si="13"/>
        <v>0</v>
      </c>
    </row>
    <row r="231">
      <c r="AB231" s="308">
        <v>51867.0</v>
      </c>
      <c r="AC231" s="299">
        <f t="shared" si="15"/>
        <v>0</v>
      </c>
      <c r="AD231" s="296">
        <f t="shared" si="16"/>
        <v>0</v>
      </c>
      <c r="AE231" s="299">
        <f t="shared" si="12"/>
        <v>0</v>
      </c>
      <c r="AF231" s="299">
        <f t="shared" si="13"/>
        <v>0</v>
      </c>
    </row>
    <row r="232">
      <c r="AB232" s="308">
        <v>51898.0</v>
      </c>
      <c r="AC232" s="299">
        <f t="shared" si="15"/>
        <v>0</v>
      </c>
      <c r="AD232" s="296">
        <f t="shared" si="16"/>
        <v>0</v>
      </c>
      <c r="AE232" s="299">
        <f t="shared" si="12"/>
        <v>0</v>
      </c>
      <c r="AF232" s="299">
        <f t="shared" si="13"/>
        <v>0</v>
      </c>
    </row>
    <row r="233">
      <c r="AB233" s="308">
        <v>51926.0</v>
      </c>
      <c r="AC233" s="299">
        <f t="shared" si="15"/>
        <v>0</v>
      </c>
      <c r="AD233" s="296">
        <f t="shared" si="16"/>
        <v>0</v>
      </c>
      <c r="AE233" s="299">
        <f t="shared" si="12"/>
        <v>0</v>
      </c>
      <c r="AF233" s="299">
        <f t="shared" si="13"/>
        <v>0</v>
      </c>
    </row>
    <row r="234">
      <c r="AB234" s="308">
        <v>51957.0</v>
      </c>
      <c r="AC234" s="299">
        <f t="shared" si="15"/>
        <v>0</v>
      </c>
      <c r="AD234" s="296">
        <f t="shared" si="16"/>
        <v>0</v>
      </c>
      <c r="AE234" s="299">
        <f t="shared" si="12"/>
        <v>0</v>
      </c>
      <c r="AF234" s="299">
        <f t="shared" si="13"/>
        <v>0</v>
      </c>
    </row>
    <row r="235">
      <c r="AB235" s="308">
        <v>51987.0</v>
      </c>
      <c r="AC235" s="299">
        <f t="shared" si="15"/>
        <v>0</v>
      </c>
      <c r="AD235" s="296">
        <f t="shared" si="16"/>
        <v>0</v>
      </c>
      <c r="AE235" s="299">
        <f t="shared" si="12"/>
        <v>0</v>
      </c>
      <c r="AF235" s="299">
        <f t="shared" si="13"/>
        <v>0</v>
      </c>
    </row>
    <row r="236">
      <c r="AB236" s="308">
        <v>52018.0</v>
      </c>
      <c r="AC236" s="299">
        <f t="shared" si="15"/>
        <v>0</v>
      </c>
      <c r="AD236" s="296">
        <f t="shared" si="16"/>
        <v>0</v>
      </c>
      <c r="AE236" s="299">
        <f t="shared" si="12"/>
        <v>0</v>
      </c>
      <c r="AF236" s="299">
        <f t="shared" si="13"/>
        <v>0</v>
      </c>
    </row>
    <row r="237">
      <c r="AB237" s="308">
        <v>52048.0</v>
      </c>
      <c r="AC237" s="299">
        <f t="shared" si="15"/>
        <v>0</v>
      </c>
      <c r="AD237" s="296">
        <f t="shared" si="16"/>
        <v>0</v>
      </c>
      <c r="AE237" s="299">
        <f t="shared" si="12"/>
        <v>0</v>
      </c>
      <c r="AF237" s="299">
        <f t="shared" si="13"/>
        <v>0</v>
      </c>
    </row>
    <row r="238">
      <c r="AB238" s="308">
        <v>52079.0</v>
      </c>
      <c r="AC238" s="299">
        <f t="shared" si="15"/>
        <v>0</v>
      </c>
      <c r="AD238" s="296">
        <f t="shared" si="16"/>
        <v>0</v>
      </c>
      <c r="AE238" s="299">
        <f t="shared" si="12"/>
        <v>0</v>
      </c>
      <c r="AF238" s="299">
        <f t="shared" si="13"/>
        <v>0</v>
      </c>
    </row>
    <row r="239">
      <c r="AB239" s="308">
        <v>52110.0</v>
      </c>
      <c r="AC239" s="299">
        <f t="shared" si="15"/>
        <v>0</v>
      </c>
      <c r="AD239" s="296">
        <f t="shared" si="16"/>
        <v>0</v>
      </c>
      <c r="AE239" s="299">
        <f t="shared" si="12"/>
        <v>0</v>
      </c>
      <c r="AF239" s="299">
        <f t="shared" si="13"/>
        <v>0</v>
      </c>
    </row>
    <row r="240">
      <c r="AB240" s="308">
        <v>52140.0</v>
      </c>
      <c r="AC240" s="299">
        <f t="shared" si="15"/>
        <v>0</v>
      </c>
      <c r="AD240" s="296">
        <f t="shared" si="16"/>
        <v>0</v>
      </c>
      <c r="AE240" s="299">
        <f t="shared" si="12"/>
        <v>0</v>
      </c>
      <c r="AF240" s="299">
        <f t="shared" si="13"/>
        <v>0</v>
      </c>
    </row>
    <row r="241">
      <c r="AB241" s="308">
        <v>52171.0</v>
      </c>
      <c r="AC241" s="299">
        <f t="shared" si="15"/>
        <v>0</v>
      </c>
      <c r="AD241" s="296">
        <f t="shared" si="16"/>
        <v>0</v>
      </c>
      <c r="AE241" s="299">
        <f t="shared" si="12"/>
        <v>0</v>
      </c>
      <c r="AF241" s="299">
        <f t="shared" si="13"/>
        <v>0</v>
      </c>
    </row>
    <row r="242">
      <c r="AB242" s="308">
        <v>52201.0</v>
      </c>
      <c r="AC242" s="299">
        <f t="shared" si="15"/>
        <v>0</v>
      </c>
      <c r="AD242" s="296">
        <f t="shared" si="16"/>
        <v>0</v>
      </c>
      <c r="AE242" s="299">
        <f t="shared" si="12"/>
        <v>0</v>
      </c>
      <c r="AF242" s="299">
        <f t="shared" si="13"/>
        <v>0</v>
      </c>
    </row>
    <row r="243">
      <c r="AB243" s="308">
        <v>52232.0</v>
      </c>
      <c r="AC243" s="299">
        <f t="shared" si="15"/>
        <v>0</v>
      </c>
      <c r="AD243" s="296">
        <f t="shared" si="16"/>
        <v>0</v>
      </c>
      <c r="AE243" s="299">
        <f t="shared" si="12"/>
        <v>0</v>
      </c>
      <c r="AF243" s="299">
        <f t="shared" si="13"/>
        <v>0</v>
      </c>
    </row>
    <row r="244">
      <c r="AB244" s="308">
        <v>52263.0</v>
      </c>
      <c r="AC244" s="299">
        <f t="shared" si="15"/>
        <v>0</v>
      </c>
      <c r="AD244" s="296">
        <f t="shared" si="16"/>
        <v>0</v>
      </c>
      <c r="AE244" s="299">
        <f t="shared" si="12"/>
        <v>0</v>
      </c>
      <c r="AF244" s="299">
        <f t="shared" si="13"/>
        <v>0</v>
      </c>
    </row>
    <row r="245">
      <c r="AB245" s="308">
        <v>52291.0</v>
      </c>
      <c r="AC245" s="299">
        <f t="shared" si="15"/>
        <v>0</v>
      </c>
      <c r="AD245" s="296">
        <f t="shared" si="16"/>
        <v>0</v>
      </c>
      <c r="AE245" s="299">
        <f t="shared" si="12"/>
        <v>0</v>
      </c>
      <c r="AF245" s="299">
        <f t="shared" si="13"/>
        <v>0</v>
      </c>
    </row>
    <row r="246">
      <c r="AB246" s="308">
        <v>52322.0</v>
      </c>
      <c r="AC246" s="299">
        <f t="shared" si="15"/>
        <v>0</v>
      </c>
      <c r="AD246" s="296">
        <f t="shared" si="16"/>
        <v>0</v>
      </c>
      <c r="AE246" s="299">
        <f t="shared" si="12"/>
        <v>0</v>
      </c>
      <c r="AF246" s="299">
        <f t="shared" si="13"/>
        <v>0</v>
      </c>
    </row>
    <row r="247">
      <c r="AB247" s="308">
        <v>52352.0</v>
      </c>
      <c r="AC247" s="299">
        <f t="shared" si="15"/>
        <v>0</v>
      </c>
      <c r="AD247" s="296">
        <f t="shared" si="16"/>
        <v>0</v>
      </c>
      <c r="AE247" s="299">
        <f t="shared" si="12"/>
        <v>0</v>
      </c>
      <c r="AF247" s="299">
        <f t="shared" si="13"/>
        <v>0</v>
      </c>
    </row>
    <row r="248">
      <c r="AB248" s="308">
        <v>52383.0</v>
      </c>
      <c r="AC248" s="299">
        <f t="shared" si="15"/>
        <v>0</v>
      </c>
      <c r="AD248" s="296">
        <f t="shared" si="16"/>
        <v>0</v>
      </c>
      <c r="AE248" s="299">
        <f t="shared" si="12"/>
        <v>0</v>
      </c>
      <c r="AF248" s="299">
        <f t="shared" si="13"/>
        <v>0</v>
      </c>
    </row>
    <row r="249">
      <c r="AB249" s="308">
        <v>52413.0</v>
      </c>
      <c r="AC249" s="299">
        <f t="shared" si="15"/>
        <v>0</v>
      </c>
      <c r="AD249" s="296">
        <f t="shared" si="16"/>
        <v>0</v>
      </c>
      <c r="AE249" s="299">
        <f t="shared" si="12"/>
        <v>0</v>
      </c>
      <c r="AF249" s="299">
        <f t="shared" si="13"/>
        <v>0</v>
      </c>
    </row>
    <row r="250">
      <c r="AB250" s="308">
        <v>52444.0</v>
      </c>
      <c r="AC250" s="299">
        <f t="shared" si="15"/>
        <v>0</v>
      </c>
      <c r="AD250" s="296">
        <f t="shared" si="16"/>
        <v>0</v>
      </c>
      <c r="AE250" s="299">
        <f t="shared" si="12"/>
        <v>0</v>
      </c>
      <c r="AF250" s="299">
        <f t="shared" si="13"/>
        <v>0</v>
      </c>
    </row>
    <row r="251">
      <c r="AB251" s="308">
        <v>52475.0</v>
      </c>
      <c r="AC251" s="299">
        <f t="shared" si="15"/>
        <v>0</v>
      </c>
      <c r="AD251" s="296">
        <f t="shared" si="16"/>
        <v>0</v>
      </c>
      <c r="AE251" s="299">
        <f t="shared" si="12"/>
        <v>0</v>
      </c>
      <c r="AF251" s="299">
        <f t="shared" si="13"/>
        <v>0</v>
      </c>
    </row>
    <row r="252">
      <c r="AB252" s="308">
        <v>52505.0</v>
      </c>
      <c r="AC252" s="299">
        <f t="shared" si="15"/>
        <v>0</v>
      </c>
      <c r="AD252" s="296">
        <f t="shared" si="16"/>
        <v>0</v>
      </c>
      <c r="AE252" s="299">
        <f t="shared" si="12"/>
        <v>0</v>
      </c>
      <c r="AF252" s="299">
        <f t="shared" si="13"/>
        <v>0</v>
      </c>
    </row>
    <row r="253">
      <c r="AB253" s="308">
        <v>52536.0</v>
      </c>
      <c r="AC253" s="299">
        <f t="shared" si="15"/>
        <v>0</v>
      </c>
      <c r="AD253" s="296">
        <f t="shared" si="16"/>
        <v>0</v>
      </c>
      <c r="AE253" s="299">
        <f t="shared" si="12"/>
        <v>0</v>
      </c>
      <c r="AF253" s="299">
        <f t="shared" si="13"/>
        <v>0</v>
      </c>
    </row>
    <row r="254">
      <c r="AB254" s="308">
        <v>52566.0</v>
      </c>
      <c r="AC254" s="299">
        <f t="shared" si="15"/>
        <v>0</v>
      </c>
      <c r="AD254" s="296">
        <f t="shared" si="16"/>
        <v>0</v>
      </c>
      <c r="AE254" s="299">
        <f t="shared" si="12"/>
        <v>0</v>
      </c>
      <c r="AF254" s="299">
        <f t="shared" si="13"/>
        <v>0</v>
      </c>
    </row>
    <row r="255">
      <c r="AB255" s="308">
        <v>52597.0</v>
      </c>
      <c r="AC255" s="299">
        <f t="shared" si="15"/>
        <v>0</v>
      </c>
      <c r="AD255" s="296">
        <f t="shared" si="16"/>
        <v>0</v>
      </c>
      <c r="AE255" s="299">
        <f t="shared" si="12"/>
        <v>0</v>
      </c>
      <c r="AF255" s="299">
        <f t="shared" si="13"/>
        <v>0</v>
      </c>
    </row>
    <row r="256">
      <c r="AB256" s="308">
        <v>52628.0</v>
      </c>
      <c r="AC256" s="299">
        <f t="shared" si="15"/>
        <v>0</v>
      </c>
      <c r="AD256" s="296">
        <f t="shared" si="16"/>
        <v>0</v>
      </c>
      <c r="AE256" s="299">
        <f t="shared" si="12"/>
        <v>0</v>
      </c>
      <c r="AF256" s="299">
        <f t="shared" si="13"/>
        <v>0</v>
      </c>
    </row>
    <row r="257">
      <c r="AB257" s="308">
        <v>52657.0</v>
      </c>
      <c r="AC257" s="299">
        <f t="shared" si="15"/>
        <v>0</v>
      </c>
      <c r="AD257" s="296">
        <f t="shared" si="16"/>
        <v>0</v>
      </c>
      <c r="AE257" s="299">
        <f t="shared" si="12"/>
        <v>0</v>
      </c>
      <c r="AF257" s="299">
        <f t="shared" si="13"/>
        <v>0</v>
      </c>
    </row>
    <row r="258">
      <c r="AB258" s="308">
        <v>52688.0</v>
      </c>
      <c r="AC258" s="299">
        <f t="shared" si="15"/>
        <v>0</v>
      </c>
      <c r="AD258" s="296">
        <f t="shared" si="16"/>
        <v>0</v>
      </c>
      <c r="AE258" s="299">
        <f t="shared" si="12"/>
        <v>0</v>
      </c>
      <c r="AF258" s="299">
        <f t="shared" si="13"/>
        <v>0</v>
      </c>
    </row>
    <row r="259">
      <c r="AB259" s="308">
        <v>52718.0</v>
      </c>
      <c r="AC259" s="299">
        <f t="shared" si="15"/>
        <v>0</v>
      </c>
      <c r="AD259" s="296">
        <f t="shared" si="16"/>
        <v>0</v>
      </c>
      <c r="AE259" s="299">
        <f t="shared" si="12"/>
        <v>0</v>
      </c>
      <c r="AF259" s="299">
        <f t="shared" si="13"/>
        <v>0</v>
      </c>
    </row>
    <row r="260">
      <c r="AB260" s="308">
        <v>52749.0</v>
      </c>
      <c r="AC260" s="299">
        <f t="shared" si="15"/>
        <v>0</v>
      </c>
      <c r="AD260" s="296">
        <f t="shared" si="16"/>
        <v>0</v>
      </c>
      <c r="AE260" s="299">
        <f t="shared" si="12"/>
        <v>0</v>
      </c>
      <c r="AF260" s="299">
        <f t="shared" si="13"/>
        <v>0</v>
      </c>
    </row>
    <row r="261">
      <c r="AB261" s="308">
        <v>52779.0</v>
      </c>
      <c r="AC261" s="299">
        <f t="shared" si="15"/>
        <v>0</v>
      </c>
      <c r="AD261" s="296">
        <f t="shared" si="16"/>
        <v>0</v>
      </c>
      <c r="AE261" s="299">
        <f t="shared" si="12"/>
        <v>0</v>
      </c>
      <c r="AF261" s="299">
        <f t="shared" si="13"/>
        <v>0</v>
      </c>
    </row>
    <row r="262">
      <c r="AB262" s="308">
        <v>52810.0</v>
      </c>
      <c r="AC262" s="299">
        <f t="shared" si="15"/>
        <v>0</v>
      </c>
      <c r="AD262" s="296">
        <f t="shared" si="16"/>
        <v>0</v>
      </c>
      <c r="AE262" s="299">
        <f t="shared" si="12"/>
        <v>0</v>
      </c>
      <c r="AF262" s="299">
        <f t="shared" si="13"/>
        <v>0</v>
      </c>
    </row>
    <row r="263">
      <c r="AB263" s="308">
        <v>52841.0</v>
      </c>
      <c r="AC263" s="299">
        <f t="shared" si="15"/>
        <v>0</v>
      </c>
      <c r="AD263" s="296">
        <f t="shared" si="16"/>
        <v>0</v>
      </c>
      <c r="AE263" s="299">
        <f t="shared" si="12"/>
        <v>0</v>
      </c>
      <c r="AF263" s="299">
        <f t="shared" si="13"/>
        <v>0</v>
      </c>
    </row>
    <row r="264">
      <c r="AB264" s="308">
        <v>52871.0</v>
      </c>
      <c r="AC264" s="299">
        <f t="shared" si="15"/>
        <v>0</v>
      </c>
      <c r="AD264" s="296">
        <f t="shared" si="16"/>
        <v>0</v>
      </c>
      <c r="AE264" s="299">
        <f t="shared" si="12"/>
        <v>0</v>
      </c>
      <c r="AF264" s="299">
        <f t="shared" si="13"/>
        <v>0</v>
      </c>
    </row>
    <row r="265">
      <c r="AB265" s="308">
        <v>52902.0</v>
      </c>
      <c r="AC265" s="299">
        <f t="shared" si="15"/>
        <v>0</v>
      </c>
      <c r="AD265" s="296">
        <f t="shared" si="16"/>
        <v>0</v>
      </c>
      <c r="AE265" s="299">
        <f t="shared" si="12"/>
        <v>0</v>
      </c>
      <c r="AF265" s="299">
        <f t="shared" si="13"/>
        <v>0</v>
      </c>
    </row>
    <row r="266">
      <c r="AB266" s="308">
        <v>52932.0</v>
      </c>
      <c r="AC266" s="299">
        <f t="shared" si="15"/>
        <v>0</v>
      </c>
      <c r="AD266" s="296">
        <f t="shared" si="16"/>
        <v>0</v>
      </c>
      <c r="AE266" s="299">
        <f t="shared" si="12"/>
        <v>0</v>
      </c>
      <c r="AF266" s="299">
        <f t="shared" si="13"/>
        <v>0</v>
      </c>
    </row>
    <row r="267">
      <c r="AB267" s="308">
        <v>52963.0</v>
      </c>
      <c r="AC267" s="299">
        <f t="shared" si="15"/>
        <v>0</v>
      </c>
      <c r="AD267" s="296">
        <f t="shared" si="16"/>
        <v>0</v>
      </c>
      <c r="AE267" s="299">
        <f t="shared" si="12"/>
        <v>0</v>
      </c>
      <c r="AF267" s="299">
        <f t="shared" si="13"/>
        <v>0</v>
      </c>
    </row>
    <row r="268">
      <c r="AB268" s="308">
        <v>52994.0</v>
      </c>
      <c r="AC268" s="299">
        <f t="shared" si="15"/>
        <v>0</v>
      </c>
      <c r="AD268" s="296">
        <f t="shared" si="16"/>
        <v>0</v>
      </c>
      <c r="AE268" s="299">
        <f t="shared" si="12"/>
        <v>0</v>
      </c>
      <c r="AF268" s="299">
        <f t="shared" si="13"/>
        <v>0</v>
      </c>
    </row>
    <row r="269">
      <c r="AB269" s="308">
        <v>53022.0</v>
      </c>
      <c r="AC269" s="299">
        <f t="shared" si="15"/>
        <v>0</v>
      </c>
      <c r="AD269" s="296">
        <f t="shared" si="16"/>
        <v>0</v>
      </c>
      <c r="AE269" s="299">
        <f t="shared" si="12"/>
        <v>0</v>
      </c>
      <c r="AF269" s="299">
        <f t="shared" si="13"/>
        <v>0</v>
      </c>
    </row>
    <row r="270">
      <c r="AB270" s="308">
        <v>53053.0</v>
      </c>
      <c r="AC270" s="299">
        <f t="shared" si="15"/>
        <v>0</v>
      </c>
      <c r="AD270" s="296">
        <f t="shared" si="16"/>
        <v>0</v>
      </c>
      <c r="AE270" s="299">
        <f t="shared" si="12"/>
        <v>0</v>
      </c>
      <c r="AF270" s="299">
        <f t="shared" si="13"/>
        <v>0</v>
      </c>
    </row>
    <row r="271">
      <c r="AB271" s="308">
        <v>53083.0</v>
      </c>
      <c r="AC271" s="299">
        <f t="shared" si="15"/>
        <v>0</v>
      </c>
      <c r="AD271" s="296">
        <f t="shared" si="16"/>
        <v>0</v>
      </c>
      <c r="AE271" s="299">
        <f t="shared" si="12"/>
        <v>0</v>
      </c>
      <c r="AF271" s="299">
        <f t="shared" si="13"/>
        <v>0</v>
      </c>
    </row>
    <row r="272">
      <c r="AB272" s="308">
        <v>53114.0</v>
      </c>
      <c r="AC272" s="299">
        <f t="shared" si="15"/>
        <v>0</v>
      </c>
      <c r="AD272" s="296">
        <f t="shared" si="16"/>
        <v>0</v>
      </c>
      <c r="AE272" s="299">
        <f t="shared" si="12"/>
        <v>0</v>
      </c>
      <c r="AF272" s="299">
        <f t="shared" si="13"/>
        <v>0</v>
      </c>
    </row>
    <row r="273">
      <c r="AB273" s="308">
        <v>53144.0</v>
      </c>
      <c r="AC273" s="299">
        <f t="shared" si="15"/>
        <v>0</v>
      </c>
      <c r="AD273" s="296">
        <f t="shared" si="16"/>
        <v>0</v>
      </c>
      <c r="AE273" s="299">
        <f t="shared" si="12"/>
        <v>0</v>
      </c>
      <c r="AF273" s="299">
        <f t="shared" si="13"/>
        <v>0</v>
      </c>
    </row>
    <row r="274">
      <c r="AB274" s="308">
        <v>53175.0</v>
      </c>
      <c r="AC274" s="299">
        <f t="shared" si="15"/>
        <v>0</v>
      </c>
      <c r="AD274" s="296">
        <f t="shared" si="16"/>
        <v>0</v>
      </c>
      <c r="AE274" s="299">
        <f t="shared" si="12"/>
        <v>0</v>
      </c>
      <c r="AF274" s="299">
        <f t="shared" si="13"/>
        <v>0</v>
      </c>
    </row>
    <row r="275">
      <c r="AB275" s="308">
        <v>53206.0</v>
      </c>
      <c r="AC275" s="299">
        <f t="shared" si="15"/>
        <v>0</v>
      </c>
      <c r="AD275" s="296">
        <f t="shared" si="16"/>
        <v>0</v>
      </c>
      <c r="AE275" s="299">
        <f t="shared" si="12"/>
        <v>0</v>
      </c>
      <c r="AF275" s="299">
        <f t="shared" si="13"/>
        <v>0</v>
      </c>
    </row>
    <row r="276">
      <c r="AB276" s="308">
        <v>53236.0</v>
      </c>
      <c r="AC276" s="299">
        <f t="shared" si="15"/>
        <v>0</v>
      </c>
      <c r="AD276" s="296">
        <f t="shared" si="16"/>
        <v>0</v>
      </c>
      <c r="AE276" s="299">
        <f t="shared" si="12"/>
        <v>0</v>
      </c>
      <c r="AF276" s="299">
        <f t="shared" si="13"/>
        <v>0</v>
      </c>
    </row>
    <row r="277">
      <c r="AB277" s="308">
        <v>53267.0</v>
      </c>
      <c r="AC277" s="299">
        <f t="shared" si="15"/>
        <v>0</v>
      </c>
      <c r="AD277" s="296">
        <f t="shared" si="16"/>
        <v>0</v>
      </c>
      <c r="AE277" s="299">
        <f t="shared" si="12"/>
        <v>0</v>
      </c>
      <c r="AF277" s="299">
        <f t="shared" si="13"/>
        <v>0</v>
      </c>
    </row>
    <row r="278">
      <c r="AB278" s="308">
        <v>53297.0</v>
      </c>
      <c r="AC278" s="299">
        <f t="shared" si="15"/>
        <v>0</v>
      </c>
      <c r="AD278" s="296">
        <f t="shared" si="16"/>
        <v>0</v>
      </c>
      <c r="AE278" s="299">
        <f t="shared" si="12"/>
        <v>0</v>
      </c>
      <c r="AF278" s="299">
        <f t="shared" si="13"/>
        <v>0</v>
      </c>
    </row>
    <row r="279">
      <c r="AB279" s="308">
        <v>53328.0</v>
      </c>
      <c r="AC279" s="299">
        <f t="shared" si="15"/>
        <v>0</v>
      </c>
      <c r="AD279" s="296">
        <f t="shared" si="16"/>
        <v>0</v>
      </c>
      <c r="AE279" s="299">
        <f t="shared" si="12"/>
        <v>0</v>
      </c>
      <c r="AF279" s="299">
        <f t="shared" si="13"/>
        <v>0</v>
      </c>
    </row>
    <row r="280">
      <c r="AB280" s="308">
        <v>53359.0</v>
      </c>
      <c r="AC280" s="299">
        <f t="shared" si="15"/>
        <v>0</v>
      </c>
      <c r="AD280" s="296">
        <f t="shared" si="16"/>
        <v>0</v>
      </c>
      <c r="AE280" s="299">
        <f t="shared" si="12"/>
        <v>0</v>
      </c>
      <c r="AF280" s="299">
        <f t="shared" si="13"/>
        <v>0</v>
      </c>
    </row>
    <row r="281">
      <c r="AB281" s="308">
        <v>53387.0</v>
      </c>
      <c r="AC281" s="299">
        <f t="shared" si="15"/>
        <v>0</v>
      </c>
      <c r="AD281" s="296">
        <f t="shared" si="16"/>
        <v>0</v>
      </c>
      <c r="AE281" s="299">
        <f t="shared" si="12"/>
        <v>0</v>
      </c>
      <c r="AF281" s="299">
        <f t="shared" si="13"/>
        <v>0</v>
      </c>
    </row>
    <row r="282">
      <c r="AB282" s="308">
        <v>53418.0</v>
      </c>
      <c r="AC282" s="299">
        <f t="shared" si="15"/>
        <v>0</v>
      </c>
      <c r="AD282" s="296">
        <f t="shared" si="16"/>
        <v>0</v>
      </c>
      <c r="AE282" s="299">
        <f t="shared" si="12"/>
        <v>0</v>
      </c>
      <c r="AF282" s="299">
        <f t="shared" si="13"/>
        <v>0</v>
      </c>
    </row>
    <row r="283">
      <c r="AB283" s="308">
        <v>53448.0</v>
      </c>
      <c r="AC283" s="299">
        <f t="shared" si="15"/>
        <v>0</v>
      </c>
      <c r="AD283" s="296">
        <f t="shared" si="16"/>
        <v>0</v>
      </c>
      <c r="AE283" s="299">
        <f t="shared" si="12"/>
        <v>0</v>
      </c>
      <c r="AF283" s="299">
        <f t="shared" si="13"/>
        <v>0</v>
      </c>
    </row>
    <row r="284">
      <c r="AB284" s="308">
        <v>53479.0</v>
      </c>
      <c r="AC284" s="299">
        <f t="shared" si="15"/>
        <v>0</v>
      </c>
      <c r="AD284" s="296">
        <f t="shared" si="16"/>
        <v>0</v>
      </c>
      <c r="AE284" s="299">
        <f t="shared" si="12"/>
        <v>0</v>
      </c>
      <c r="AF284" s="299">
        <f t="shared" si="13"/>
        <v>0</v>
      </c>
    </row>
    <row r="285">
      <c r="AB285" s="308">
        <v>53509.0</v>
      </c>
      <c r="AC285" s="299">
        <f t="shared" si="15"/>
        <v>0</v>
      </c>
      <c r="AD285" s="296">
        <f t="shared" si="16"/>
        <v>0</v>
      </c>
      <c r="AE285" s="299">
        <f t="shared" si="12"/>
        <v>0</v>
      </c>
      <c r="AF285" s="299">
        <f t="shared" si="13"/>
        <v>0</v>
      </c>
    </row>
    <row r="286">
      <c r="AB286" s="308">
        <v>53540.0</v>
      </c>
      <c r="AC286" s="299">
        <f t="shared" si="15"/>
        <v>0</v>
      </c>
      <c r="AD286" s="296">
        <f t="shared" si="16"/>
        <v>0</v>
      </c>
      <c r="AE286" s="299">
        <f t="shared" si="12"/>
        <v>0</v>
      </c>
      <c r="AF286" s="299">
        <f t="shared" si="13"/>
        <v>0</v>
      </c>
    </row>
    <row r="287">
      <c r="AB287" s="308">
        <v>53571.0</v>
      </c>
      <c r="AC287" s="299">
        <f t="shared" si="15"/>
        <v>0</v>
      </c>
      <c r="AD287" s="296">
        <f t="shared" si="16"/>
        <v>0</v>
      </c>
      <c r="AE287" s="299">
        <f t="shared" si="12"/>
        <v>0</v>
      </c>
      <c r="AF287" s="299">
        <f t="shared" si="13"/>
        <v>0</v>
      </c>
    </row>
    <row r="288">
      <c r="AB288" s="308">
        <v>53601.0</v>
      </c>
      <c r="AC288" s="299">
        <f t="shared" si="15"/>
        <v>0</v>
      </c>
      <c r="AD288" s="296">
        <f t="shared" si="16"/>
        <v>0</v>
      </c>
      <c r="AE288" s="299">
        <f t="shared" si="12"/>
        <v>0</v>
      </c>
      <c r="AF288" s="299">
        <f t="shared" si="13"/>
        <v>0</v>
      </c>
    </row>
    <row r="289">
      <c r="AB289" s="308">
        <v>53632.0</v>
      </c>
      <c r="AC289" s="299">
        <f t="shared" si="15"/>
        <v>0</v>
      </c>
      <c r="AD289" s="296">
        <f t="shared" si="16"/>
        <v>0</v>
      </c>
      <c r="AE289" s="299">
        <f t="shared" si="12"/>
        <v>0</v>
      </c>
      <c r="AF289" s="299">
        <f t="shared" si="13"/>
        <v>0</v>
      </c>
    </row>
    <row r="290">
      <c r="AB290" s="308">
        <v>53662.0</v>
      </c>
      <c r="AC290" s="299">
        <f t="shared" si="15"/>
        <v>0</v>
      </c>
      <c r="AD290" s="296">
        <f t="shared" si="16"/>
        <v>0</v>
      </c>
      <c r="AE290" s="299">
        <f t="shared" si="12"/>
        <v>0</v>
      </c>
      <c r="AF290" s="299">
        <f t="shared" si="13"/>
        <v>0</v>
      </c>
    </row>
    <row r="291">
      <c r="AB291" s="308">
        <v>53693.0</v>
      </c>
      <c r="AC291" s="299">
        <f t="shared" si="15"/>
        <v>0</v>
      </c>
      <c r="AD291" s="296">
        <f t="shared" si="16"/>
        <v>0</v>
      </c>
      <c r="AE291" s="299">
        <f t="shared" si="12"/>
        <v>0</v>
      </c>
      <c r="AF291" s="299">
        <f t="shared" si="13"/>
        <v>0</v>
      </c>
    </row>
    <row r="292">
      <c r="AB292" s="308">
        <v>53724.0</v>
      </c>
      <c r="AC292" s="299">
        <f t="shared" si="15"/>
        <v>0</v>
      </c>
      <c r="AD292" s="296">
        <f t="shared" si="16"/>
        <v>0</v>
      </c>
      <c r="AE292" s="299">
        <f t="shared" si="12"/>
        <v>0</v>
      </c>
      <c r="AF292" s="299">
        <f t="shared" si="13"/>
        <v>0</v>
      </c>
    </row>
    <row r="293">
      <c r="AB293" s="308">
        <v>53752.0</v>
      </c>
      <c r="AC293" s="299">
        <f t="shared" si="15"/>
        <v>0</v>
      </c>
      <c r="AD293" s="296">
        <f t="shared" si="16"/>
        <v>0</v>
      </c>
      <c r="AE293" s="299">
        <f t="shared" si="12"/>
        <v>0</v>
      </c>
      <c r="AF293" s="299">
        <f t="shared" si="13"/>
        <v>0</v>
      </c>
    </row>
    <row r="294">
      <c r="AB294" s="308">
        <v>53783.0</v>
      </c>
      <c r="AC294" s="299">
        <f t="shared" si="15"/>
        <v>0</v>
      </c>
      <c r="AD294" s="296">
        <f t="shared" si="16"/>
        <v>0</v>
      </c>
      <c r="AE294" s="299">
        <f t="shared" si="12"/>
        <v>0</v>
      </c>
      <c r="AF294" s="299">
        <f t="shared" si="13"/>
        <v>0</v>
      </c>
    </row>
    <row r="295">
      <c r="AB295" s="308">
        <v>53813.0</v>
      </c>
      <c r="AC295" s="299">
        <f t="shared" si="15"/>
        <v>0</v>
      </c>
      <c r="AD295" s="296">
        <f t="shared" si="16"/>
        <v>0</v>
      </c>
      <c r="AE295" s="299">
        <f t="shared" si="12"/>
        <v>0</v>
      </c>
      <c r="AF295" s="299">
        <f t="shared" si="13"/>
        <v>0</v>
      </c>
    </row>
    <row r="296">
      <c r="AB296" s="308">
        <v>53844.0</v>
      </c>
      <c r="AC296" s="299">
        <f t="shared" si="15"/>
        <v>0</v>
      </c>
      <c r="AD296" s="296">
        <f t="shared" si="16"/>
        <v>0</v>
      </c>
      <c r="AE296" s="299">
        <f t="shared" si="12"/>
        <v>0</v>
      </c>
      <c r="AF296" s="299">
        <f t="shared" si="13"/>
        <v>0</v>
      </c>
    </row>
    <row r="297">
      <c r="AB297" s="308">
        <v>53874.0</v>
      </c>
      <c r="AC297" s="299">
        <f t="shared" si="15"/>
        <v>0</v>
      </c>
      <c r="AD297" s="296">
        <f t="shared" si="16"/>
        <v>0</v>
      </c>
      <c r="AE297" s="299">
        <f t="shared" si="12"/>
        <v>0</v>
      </c>
      <c r="AF297" s="299">
        <f t="shared" si="13"/>
        <v>0</v>
      </c>
    </row>
    <row r="298">
      <c r="AB298" s="308">
        <v>53905.0</v>
      </c>
      <c r="AC298" s="299">
        <f t="shared" si="15"/>
        <v>0</v>
      </c>
      <c r="AD298" s="296">
        <f t="shared" si="16"/>
        <v>0</v>
      </c>
      <c r="AE298" s="299">
        <f t="shared" si="12"/>
        <v>0</v>
      </c>
      <c r="AF298" s="299">
        <f t="shared" si="13"/>
        <v>0</v>
      </c>
    </row>
    <row r="299">
      <c r="AB299" s="308">
        <v>53936.0</v>
      </c>
      <c r="AC299" s="299">
        <f t="shared" si="15"/>
        <v>0</v>
      </c>
      <c r="AD299" s="296">
        <f t="shared" si="16"/>
        <v>0</v>
      </c>
      <c r="AE299" s="299">
        <f t="shared" si="12"/>
        <v>0</v>
      </c>
      <c r="AF299" s="299">
        <f t="shared" si="13"/>
        <v>0</v>
      </c>
    </row>
    <row r="300">
      <c r="AB300" s="308">
        <v>53966.0</v>
      </c>
      <c r="AC300" s="299">
        <f t="shared" si="15"/>
        <v>0</v>
      </c>
      <c r="AD300" s="296">
        <f t="shared" si="16"/>
        <v>0</v>
      </c>
      <c r="AE300" s="299">
        <f t="shared" si="12"/>
        <v>0</v>
      </c>
      <c r="AF300" s="299">
        <f t="shared" si="13"/>
        <v>0</v>
      </c>
    </row>
    <row r="301">
      <c r="AB301" s="308">
        <v>53997.0</v>
      </c>
      <c r="AC301" s="299">
        <f t="shared" si="15"/>
        <v>0</v>
      </c>
      <c r="AD301" s="296">
        <f t="shared" si="16"/>
        <v>0</v>
      </c>
      <c r="AE301" s="299">
        <f t="shared" si="12"/>
        <v>0</v>
      </c>
      <c r="AF301" s="299">
        <f t="shared" si="13"/>
        <v>0</v>
      </c>
    </row>
    <row r="302">
      <c r="AB302" s="308">
        <v>54027.0</v>
      </c>
      <c r="AC302" s="299">
        <f t="shared" si="15"/>
        <v>0</v>
      </c>
      <c r="AD302" s="296">
        <f t="shared" si="16"/>
        <v>0</v>
      </c>
      <c r="AE302" s="299">
        <f t="shared" si="12"/>
        <v>0</v>
      </c>
      <c r="AF302" s="299">
        <f t="shared" si="13"/>
        <v>0</v>
      </c>
    </row>
    <row r="303">
      <c r="AB303" s="308">
        <v>54058.0</v>
      </c>
      <c r="AC303" s="299">
        <f t="shared" si="15"/>
        <v>0</v>
      </c>
      <c r="AD303" s="296">
        <f t="shared" si="16"/>
        <v>0</v>
      </c>
      <c r="AE303" s="299">
        <f t="shared" si="12"/>
        <v>0</v>
      </c>
      <c r="AF303" s="299">
        <f t="shared" si="13"/>
        <v>0</v>
      </c>
    </row>
    <row r="304">
      <c r="AB304" s="308">
        <v>54089.0</v>
      </c>
      <c r="AC304" s="299">
        <f t="shared" si="15"/>
        <v>0</v>
      </c>
      <c r="AD304" s="296">
        <f t="shared" si="16"/>
        <v>0</v>
      </c>
      <c r="AE304" s="299">
        <f t="shared" si="12"/>
        <v>0</v>
      </c>
      <c r="AF304" s="299">
        <f t="shared" si="13"/>
        <v>0</v>
      </c>
    </row>
    <row r="305">
      <c r="AB305" s="308">
        <v>54118.0</v>
      </c>
      <c r="AC305" s="299">
        <f t="shared" si="15"/>
        <v>0</v>
      </c>
      <c r="AD305" s="296">
        <f t="shared" si="16"/>
        <v>0</v>
      </c>
      <c r="AE305" s="299">
        <f t="shared" si="12"/>
        <v>0</v>
      </c>
      <c r="AF305" s="299">
        <f t="shared" si="13"/>
        <v>0</v>
      </c>
    </row>
    <row r="306">
      <c r="AB306" s="308">
        <v>54149.0</v>
      </c>
      <c r="AC306" s="299">
        <f t="shared" si="15"/>
        <v>0</v>
      </c>
      <c r="AD306" s="296">
        <f t="shared" si="16"/>
        <v>0</v>
      </c>
      <c r="AE306" s="299">
        <f t="shared" si="12"/>
        <v>0</v>
      </c>
      <c r="AF306" s="299">
        <f t="shared" si="13"/>
        <v>0</v>
      </c>
    </row>
    <row r="307">
      <c r="AB307" s="308">
        <v>54179.0</v>
      </c>
      <c r="AC307" s="299">
        <f t="shared" si="15"/>
        <v>0</v>
      </c>
      <c r="AD307" s="296">
        <f t="shared" si="16"/>
        <v>0</v>
      </c>
      <c r="AE307" s="299">
        <f t="shared" si="12"/>
        <v>0</v>
      </c>
      <c r="AF307" s="299">
        <f t="shared" si="13"/>
        <v>0</v>
      </c>
    </row>
    <row r="308">
      <c r="AB308" s="308">
        <v>54210.0</v>
      </c>
      <c r="AC308" s="299">
        <f t="shared" si="15"/>
        <v>0</v>
      </c>
      <c r="AD308" s="296">
        <f t="shared" si="16"/>
        <v>0</v>
      </c>
      <c r="AE308" s="299">
        <f t="shared" si="12"/>
        <v>0</v>
      </c>
      <c r="AF308" s="299">
        <f t="shared" si="13"/>
        <v>0</v>
      </c>
    </row>
    <row r="309">
      <c r="AB309" s="308">
        <v>54240.0</v>
      </c>
      <c r="AC309" s="299">
        <f t="shared" si="15"/>
        <v>0</v>
      </c>
      <c r="AD309" s="296">
        <f t="shared" si="16"/>
        <v>0</v>
      </c>
      <c r="AE309" s="299">
        <f t="shared" si="12"/>
        <v>0</v>
      </c>
      <c r="AF309" s="299">
        <f t="shared" si="13"/>
        <v>0</v>
      </c>
    </row>
    <row r="310">
      <c r="AB310" s="308">
        <v>54271.0</v>
      </c>
      <c r="AC310" s="299">
        <f t="shared" si="15"/>
        <v>0</v>
      </c>
      <c r="AD310" s="296">
        <f t="shared" si="16"/>
        <v>0</v>
      </c>
      <c r="AE310" s="299">
        <f t="shared" si="12"/>
        <v>0</v>
      </c>
      <c r="AF310" s="299">
        <f t="shared" si="13"/>
        <v>0</v>
      </c>
    </row>
    <row r="311">
      <c r="AB311" s="308">
        <v>54302.0</v>
      </c>
      <c r="AC311" s="299">
        <f t="shared" si="15"/>
        <v>0</v>
      </c>
      <c r="AD311" s="296">
        <f t="shared" si="16"/>
        <v>0</v>
      </c>
      <c r="AE311" s="299">
        <f t="shared" si="12"/>
        <v>0</v>
      </c>
      <c r="AF311" s="299">
        <f t="shared" si="13"/>
        <v>0</v>
      </c>
    </row>
    <row r="312">
      <c r="AB312" s="308">
        <v>54332.0</v>
      </c>
      <c r="AC312" s="299">
        <f t="shared" si="15"/>
        <v>0</v>
      </c>
      <c r="AD312" s="296">
        <f t="shared" si="16"/>
        <v>0</v>
      </c>
      <c r="AE312" s="299">
        <f t="shared" si="12"/>
        <v>0</v>
      </c>
      <c r="AF312" s="299">
        <f t="shared" si="13"/>
        <v>0</v>
      </c>
    </row>
    <row r="313">
      <c r="AB313" s="308">
        <v>54363.0</v>
      </c>
      <c r="AC313" s="299">
        <f t="shared" si="15"/>
        <v>0</v>
      </c>
      <c r="AD313" s="296">
        <f t="shared" si="16"/>
        <v>0</v>
      </c>
      <c r="AE313" s="299">
        <f t="shared" si="12"/>
        <v>0</v>
      </c>
      <c r="AF313" s="299">
        <f t="shared" si="13"/>
        <v>0</v>
      </c>
    </row>
    <row r="314">
      <c r="AB314" s="308">
        <v>54393.0</v>
      </c>
      <c r="AC314" s="299">
        <f t="shared" si="15"/>
        <v>0</v>
      </c>
      <c r="AD314" s="296">
        <f t="shared" si="16"/>
        <v>0</v>
      </c>
      <c r="AE314" s="299">
        <f t="shared" si="12"/>
        <v>0</v>
      </c>
      <c r="AF314" s="299">
        <f t="shared" si="13"/>
        <v>0</v>
      </c>
    </row>
    <row r="315">
      <c r="AB315" s="308">
        <v>54424.0</v>
      </c>
      <c r="AC315" s="299">
        <f t="shared" si="15"/>
        <v>0</v>
      </c>
      <c r="AD315" s="296">
        <f t="shared" si="16"/>
        <v>0</v>
      </c>
      <c r="AE315" s="299">
        <f t="shared" si="12"/>
        <v>0</v>
      </c>
      <c r="AF315" s="299">
        <f t="shared" si="13"/>
        <v>0</v>
      </c>
    </row>
    <row r="316">
      <c r="AB316" s="308">
        <v>54455.0</v>
      </c>
      <c r="AC316" s="299">
        <f t="shared" si="15"/>
        <v>0</v>
      </c>
      <c r="AD316" s="296">
        <f t="shared" si="16"/>
        <v>0</v>
      </c>
      <c r="AE316" s="299">
        <f t="shared" si="12"/>
        <v>0</v>
      </c>
      <c r="AF316" s="299">
        <f t="shared" si="13"/>
        <v>0</v>
      </c>
    </row>
    <row r="317">
      <c r="AB317" s="308">
        <v>54483.0</v>
      </c>
      <c r="AC317" s="299">
        <f t="shared" si="15"/>
        <v>0</v>
      </c>
      <c r="AD317" s="296">
        <f t="shared" si="16"/>
        <v>0</v>
      </c>
      <c r="AE317" s="299">
        <f t="shared" si="12"/>
        <v>0</v>
      </c>
      <c r="AF317" s="299">
        <f t="shared" si="13"/>
        <v>0</v>
      </c>
    </row>
    <row r="318">
      <c r="AB318" s="308">
        <v>54514.0</v>
      </c>
      <c r="AC318" s="299">
        <f t="shared" si="15"/>
        <v>0</v>
      </c>
      <c r="AD318" s="296">
        <f t="shared" si="16"/>
        <v>0</v>
      </c>
      <c r="AE318" s="299">
        <f t="shared" si="12"/>
        <v>0</v>
      </c>
      <c r="AF318" s="299">
        <f t="shared" si="13"/>
        <v>0</v>
      </c>
    </row>
    <row r="319">
      <c r="AB319" s="308">
        <v>54544.0</v>
      </c>
      <c r="AC319" s="299">
        <f t="shared" si="15"/>
        <v>0</v>
      </c>
      <c r="AD319" s="296">
        <f t="shared" si="16"/>
        <v>0</v>
      </c>
      <c r="AE319" s="299">
        <f t="shared" si="12"/>
        <v>0</v>
      </c>
      <c r="AF319" s="299">
        <f t="shared" si="13"/>
        <v>0</v>
      </c>
    </row>
    <row r="320">
      <c r="AB320" s="308">
        <v>54575.0</v>
      </c>
      <c r="AC320" s="299">
        <f t="shared" si="15"/>
        <v>0</v>
      </c>
      <c r="AD320" s="296">
        <f t="shared" si="16"/>
        <v>0</v>
      </c>
      <c r="AE320" s="299">
        <f t="shared" si="12"/>
        <v>0</v>
      </c>
      <c r="AF320" s="299">
        <f t="shared" si="13"/>
        <v>0</v>
      </c>
    </row>
    <row r="321">
      <c r="AB321" s="308">
        <v>54605.0</v>
      </c>
      <c r="AC321" s="299">
        <f t="shared" si="15"/>
        <v>0</v>
      </c>
      <c r="AD321" s="296">
        <f t="shared" si="16"/>
        <v>0</v>
      </c>
      <c r="AE321" s="299">
        <f t="shared" si="12"/>
        <v>0</v>
      </c>
      <c r="AF321" s="299">
        <f t="shared" si="13"/>
        <v>0</v>
      </c>
    </row>
    <row r="322">
      <c r="AB322" s="308">
        <v>54636.0</v>
      </c>
      <c r="AC322" s="299">
        <f t="shared" si="15"/>
        <v>0</v>
      </c>
      <c r="AD322" s="296">
        <f t="shared" si="16"/>
        <v>0</v>
      </c>
      <c r="AE322" s="299">
        <f t="shared" si="12"/>
        <v>0</v>
      </c>
      <c r="AF322" s="299">
        <f t="shared" si="13"/>
        <v>0</v>
      </c>
    </row>
    <row r="323">
      <c r="AB323" s="308">
        <v>54667.0</v>
      </c>
      <c r="AC323" s="299">
        <f t="shared" si="15"/>
        <v>0</v>
      </c>
      <c r="AD323" s="296">
        <f t="shared" si="16"/>
        <v>0</v>
      </c>
      <c r="AE323" s="299">
        <f t="shared" si="12"/>
        <v>0</v>
      </c>
      <c r="AF323" s="299">
        <f t="shared" si="13"/>
        <v>0</v>
      </c>
    </row>
    <row r="324">
      <c r="AB324" s="308">
        <v>54697.0</v>
      </c>
      <c r="AC324" s="299">
        <f t="shared" si="15"/>
        <v>0</v>
      </c>
      <c r="AD324" s="296">
        <f t="shared" si="16"/>
        <v>0</v>
      </c>
      <c r="AE324" s="299">
        <f t="shared" si="12"/>
        <v>0</v>
      </c>
      <c r="AF324" s="299">
        <f t="shared" si="13"/>
        <v>0</v>
      </c>
    </row>
    <row r="325">
      <c r="AB325" s="308">
        <v>54728.0</v>
      </c>
      <c r="AC325" s="299">
        <f t="shared" si="15"/>
        <v>0</v>
      </c>
      <c r="AD325" s="296">
        <f t="shared" si="16"/>
        <v>0</v>
      </c>
      <c r="AE325" s="299">
        <f t="shared" si="12"/>
        <v>0</v>
      </c>
      <c r="AF325" s="299">
        <f t="shared" si="13"/>
        <v>0</v>
      </c>
    </row>
    <row r="326">
      <c r="AB326" s="308">
        <v>54758.0</v>
      </c>
      <c r="AC326" s="299">
        <f t="shared" si="15"/>
        <v>0</v>
      </c>
      <c r="AD326" s="296">
        <f t="shared" si="16"/>
        <v>0</v>
      </c>
      <c r="AE326" s="299">
        <f t="shared" si="12"/>
        <v>0</v>
      </c>
      <c r="AF326" s="299">
        <f t="shared" si="13"/>
        <v>0</v>
      </c>
    </row>
    <row r="327">
      <c r="AB327" s="308">
        <v>54789.0</v>
      </c>
      <c r="AC327" s="299">
        <f t="shared" si="15"/>
        <v>0</v>
      </c>
      <c r="AD327" s="296">
        <f t="shared" si="16"/>
        <v>0</v>
      </c>
      <c r="AE327" s="299">
        <f t="shared" si="12"/>
        <v>0</v>
      </c>
      <c r="AF327" s="299">
        <f t="shared" si="13"/>
        <v>0</v>
      </c>
    </row>
    <row r="328">
      <c r="AB328" s="308">
        <v>54820.0</v>
      </c>
      <c r="AC328" s="299">
        <f t="shared" si="15"/>
        <v>0</v>
      </c>
      <c r="AD328" s="296">
        <f t="shared" si="16"/>
        <v>0</v>
      </c>
      <c r="AE328" s="299">
        <f t="shared" si="12"/>
        <v>0</v>
      </c>
      <c r="AF328" s="299">
        <f t="shared" si="13"/>
        <v>0</v>
      </c>
    </row>
    <row r="329">
      <c r="AB329" s="308">
        <v>54848.0</v>
      </c>
      <c r="AC329" s="299">
        <f t="shared" si="15"/>
        <v>0</v>
      </c>
      <c r="AD329" s="296">
        <f t="shared" si="16"/>
        <v>0</v>
      </c>
      <c r="AE329" s="299">
        <f t="shared" si="12"/>
        <v>0</v>
      </c>
      <c r="AF329" s="299">
        <f t="shared" si="13"/>
        <v>0</v>
      </c>
    </row>
    <row r="330">
      <c r="AB330" s="308">
        <v>54879.0</v>
      </c>
      <c r="AC330" s="299">
        <f t="shared" si="15"/>
        <v>0</v>
      </c>
      <c r="AD330" s="296">
        <f t="shared" si="16"/>
        <v>0</v>
      </c>
      <c r="AE330" s="299">
        <f t="shared" si="12"/>
        <v>0</v>
      </c>
      <c r="AF330" s="299">
        <f t="shared" si="13"/>
        <v>0</v>
      </c>
    </row>
    <row r="331">
      <c r="AB331" s="308">
        <v>54909.0</v>
      </c>
      <c r="AC331" s="299">
        <f t="shared" si="15"/>
        <v>0</v>
      </c>
      <c r="AD331" s="296">
        <f t="shared" si="16"/>
        <v>0</v>
      </c>
      <c r="AE331" s="299">
        <f t="shared" si="12"/>
        <v>0</v>
      </c>
      <c r="AF331" s="299">
        <f t="shared" si="13"/>
        <v>0</v>
      </c>
    </row>
    <row r="332">
      <c r="AB332" s="308">
        <v>54940.0</v>
      </c>
      <c r="AC332" s="299">
        <f t="shared" si="15"/>
        <v>0</v>
      </c>
      <c r="AD332" s="296">
        <f t="shared" si="16"/>
        <v>0</v>
      </c>
      <c r="AE332" s="299">
        <f t="shared" si="12"/>
        <v>0</v>
      </c>
      <c r="AF332" s="299">
        <f t="shared" si="13"/>
        <v>0</v>
      </c>
    </row>
    <row r="333">
      <c r="AB333" s="308">
        <v>54970.0</v>
      </c>
      <c r="AC333" s="299">
        <f t="shared" si="15"/>
        <v>0</v>
      </c>
      <c r="AD333" s="296">
        <f t="shared" si="16"/>
        <v>0</v>
      </c>
      <c r="AE333" s="299">
        <f t="shared" si="12"/>
        <v>0</v>
      </c>
      <c r="AF333" s="299">
        <f t="shared" si="13"/>
        <v>0</v>
      </c>
    </row>
    <row r="334">
      <c r="AB334" s="308">
        <v>55001.0</v>
      </c>
      <c r="AC334" s="299">
        <f t="shared" si="15"/>
        <v>0</v>
      </c>
      <c r="AD334" s="296">
        <f t="shared" si="16"/>
        <v>0</v>
      </c>
      <c r="AE334" s="299">
        <f t="shared" si="12"/>
        <v>0</v>
      </c>
      <c r="AF334" s="299">
        <f t="shared" si="13"/>
        <v>0</v>
      </c>
    </row>
    <row r="335">
      <c r="AB335" s="308">
        <v>55032.0</v>
      </c>
      <c r="AC335" s="299">
        <f t="shared" si="15"/>
        <v>0</v>
      </c>
      <c r="AD335" s="296">
        <f t="shared" si="16"/>
        <v>0</v>
      </c>
      <c r="AE335" s="299">
        <f t="shared" si="12"/>
        <v>0</v>
      </c>
      <c r="AF335" s="299">
        <f t="shared" si="13"/>
        <v>0</v>
      </c>
    </row>
    <row r="336">
      <c r="AB336" s="308">
        <v>55062.0</v>
      </c>
      <c r="AC336" s="299">
        <f t="shared" si="15"/>
        <v>0</v>
      </c>
      <c r="AD336" s="296">
        <f t="shared" si="16"/>
        <v>0</v>
      </c>
      <c r="AE336" s="299">
        <f t="shared" si="12"/>
        <v>0</v>
      </c>
      <c r="AF336" s="299">
        <f t="shared" si="13"/>
        <v>0</v>
      </c>
    </row>
    <row r="337">
      <c r="AB337" s="308">
        <v>55093.0</v>
      </c>
      <c r="AC337" s="299">
        <f t="shared" si="15"/>
        <v>0</v>
      </c>
      <c r="AD337" s="296">
        <f t="shared" si="16"/>
        <v>0</v>
      </c>
      <c r="AE337" s="299">
        <f t="shared" si="12"/>
        <v>0</v>
      </c>
      <c r="AF337" s="299">
        <f t="shared" si="13"/>
        <v>0</v>
      </c>
    </row>
    <row r="338">
      <c r="AB338" s="308">
        <v>55123.0</v>
      </c>
      <c r="AC338" s="299">
        <f t="shared" si="15"/>
        <v>0</v>
      </c>
      <c r="AD338" s="296">
        <f t="shared" si="16"/>
        <v>0</v>
      </c>
      <c r="AE338" s="299">
        <f t="shared" si="12"/>
        <v>0</v>
      </c>
      <c r="AF338" s="299">
        <f t="shared" si="13"/>
        <v>0</v>
      </c>
    </row>
    <row r="339">
      <c r="AB339" s="308">
        <v>55154.0</v>
      </c>
      <c r="AC339" s="299">
        <f t="shared" si="15"/>
        <v>0</v>
      </c>
      <c r="AD339" s="296">
        <f t="shared" si="16"/>
        <v>0</v>
      </c>
      <c r="AE339" s="299">
        <f t="shared" si="12"/>
        <v>0</v>
      </c>
      <c r="AF339" s="299">
        <f t="shared" si="13"/>
        <v>0</v>
      </c>
    </row>
    <row r="340">
      <c r="AB340" s="308">
        <v>55185.0</v>
      </c>
      <c r="AC340" s="299">
        <f t="shared" si="15"/>
        <v>0</v>
      </c>
      <c r="AD340" s="296">
        <f t="shared" si="16"/>
        <v>0</v>
      </c>
      <c r="AE340" s="299">
        <f t="shared" si="12"/>
        <v>0</v>
      </c>
      <c r="AF340" s="299">
        <f t="shared" si="13"/>
        <v>0</v>
      </c>
    </row>
    <row r="341">
      <c r="AB341" s="308">
        <v>55213.0</v>
      </c>
      <c r="AC341" s="299">
        <f t="shared" si="15"/>
        <v>0</v>
      </c>
      <c r="AD341" s="296">
        <f t="shared" si="16"/>
        <v>0</v>
      </c>
      <c r="AE341" s="299">
        <f t="shared" si="12"/>
        <v>0</v>
      </c>
      <c r="AF341" s="299">
        <f t="shared" si="13"/>
        <v>0</v>
      </c>
    </row>
    <row r="342">
      <c r="AB342" s="308">
        <v>55244.0</v>
      </c>
      <c r="AC342" s="299">
        <f t="shared" si="15"/>
        <v>0</v>
      </c>
      <c r="AD342" s="296">
        <f t="shared" si="16"/>
        <v>0</v>
      </c>
      <c r="AE342" s="299">
        <f t="shared" si="12"/>
        <v>0</v>
      </c>
      <c r="AF342" s="299">
        <f t="shared" si="13"/>
        <v>0</v>
      </c>
    </row>
    <row r="343">
      <c r="AB343" s="308">
        <v>55274.0</v>
      </c>
      <c r="AC343" s="299">
        <f t="shared" si="15"/>
        <v>0</v>
      </c>
      <c r="AD343" s="296">
        <f t="shared" si="16"/>
        <v>0</v>
      </c>
      <c r="AE343" s="299">
        <f t="shared" si="12"/>
        <v>0</v>
      </c>
      <c r="AF343" s="299">
        <f t="shared" si="13"/>
        <v>0</v>
      </c>
    </row>
    <row r="344">
      <c r="AB344" s="308">
        <v>55305.0</v>
      </c>
      <c r="AC344" s="299">
        <f t="shared" si="15"/>
        <v>0</v>
      </c>
      <c r="AD344" s="296">
        <f t="shared" si="16"/>
        <v>0</v>
      </c>
      <c r="AE344" s="299">
        <f t="shared" si="12"/>
        <v>0</v>
      </c>
      <c r="AF344" s="299">
        <f t="shared" si="13"/>
        <v>0</v>
      </c>
    </row>
    <row r="345">
      <c r="AB345" s="308">
        <v>55335.0</v>
      </c>
      <c r="AC345" s="299">
        <f t="shared" si="15"/>
        <v>0</v>
      </c>
      <c r="AD345" s="296">
        <f t="shared" si="16"/>
        <v>0</v>
      </c>
      <c r="AE345" s="299">
        <f t="shared" si="12"/>
        <v>0</v>
      </c>
      <c r="AF345" s="299">
        <f t="shared" si="13"/>
        <v>0</v>
      </c>
    </row>
    <row r="346">
      <c r="AB346" s="308">
        <v>55366.0</v>
      </c>
      <c r="AC346" s="299">
        <f t="shared" si="15"/>
        <v>0</v>
      </c>
      <c r="AD346" s="296">
        <f t="shared" si="16"/>
        <v>0</v>
      </c>
      <c r="AE346" s="299">
        <f t="shared" si="12"/>
        <v>0</v>
      </c>
      <c r="AF346" s="299">
        <f t="shared" si="13"/>
        <v>0</v>
      </c>
    </row>
    <row r="347">
      <c r="AB347" s="308">
        <v>55397.0</v>
      </c>
      <c r="AC347" s="299">
        <f t="shared" si="15"/>
        <v>0</v>
      </c>
      <c r="AD347" s="296">
        <f t="shared" si="16"/>
        <v>0</v>
      </c>
      <c r="AE347" s="299">
        <f t="shared" si="12"/>
        <v>0</v>
      </c>
      <c r="AF347" s="299">
        <f t="shared" si="13"/>
        <v>0</v>
      </c>
    </row>
    <row r="348">
      <c r="AB348" s="308">
        <v>55427.0</v>
      </c>
      <c r="AC348" s="299">
        <f t="shared" si="15"/>
        <v>0</v>
      </c>
      <c r="AD348" s="296">
        <f t="shared" si="16"/>
        <v>0</v>
      </c>
      <c r="AE348" s="299">
        <f t="shared" si="12"/>
        <v>0</v>
      </c>
      <c r="AF348" s="299">
        <f t="shared" si="13"/>
        <v>0</v>
      </c>
    </row>
    <row r="349">
      <c r="AB349" s="308">
        <v>55458.0</v>
      </c>
      <c r="AC349" s="299">
        <f t="shared" si="15"/>
        <v>0</v>
      </c>
      <c r="AD349" s="296">
        <f t="shared" si="16"/>
        <v>0</v>
      </c>
      <c r="AE349" s="299">
        <f t="shared" si="12"/>
        <v>0</v>
      </c>
      <c r="AF349" s="299">
        <f t="shared" si="13"/>
        <v>0</v>
      </c>
    </row>
    <row r="350">
      <c r="AB350" s="308">
        <v>55488.0</v>
      </c>
      <c r="AC350" s="299">
        <f t="shared" si="15"/>
        <v>0</v>
      </c>
      <c r="AD350" s="296">
        <f t="shared" si="16"/>
        <v>0</v>
      </c>
      <c r="AE350" s="299">
        <f t="shared" si="12"/>
        <v>0</v>
      </c>
      <c r="AF350" s="299">
        <f t="shared" si="13"/>
        <v>0</v>
      </c>
    </row>
    <row r="351">
      <c r="AB351" s="308">
        <v>55519.0</v>
      </c>
      <c r="AC351" s="299">
        <f t="shared" si="15"/>
        <v>0</v>
      </c>
      <c r="AD351" s="296">
        <f t="shared" si="16"/>
        <v>0</v>
      </c>
      <c r="AE351" s="299">
        <f t="shared" si="12"/>
        <v>0</v>
      </c>
      <c r="AF351" s="299">
        <f t="shared" si="13"/>
        <v>0</v>
      </c>
    </row>
    <row r="352">
      <c r="AB352" s="308">
        <v>55550.0</v>
      </c>
      <c r="AC352" s="299">
        <f t="shared" si="15"/>
        <v>0</v>
      </c>
      <c r="AD352" s="296">
        <f t="shared" si="16"/>
        <v>0</v>
      </c>
      <c r="AE352" s="299">
        <f t="shared" si="12"/>
        <v>0</v>
      </c>
      <c r="AF352" s="299">
        <f t="shared" si="13"/>
        <v>0</v>
      </c>
    </row>
    <row r="353">
      <c r="AB353" s="308">
        <v>55579.0</v>
      </c>
      <c r="AC353" s="299">
        <f t="shared" si="15"/>
        <v>0</v>
      </c>
      <c r="AD353" s="296">
        <f t="shared" si="16"/>
        <v>0</v>
      </c>
      <c r="AE353" s="299">
        <f t="shared" si="12"/>
        <v>0</v>
      </c>
      <c r="AF353" s="299">
        <f t="shared" si="13"/>
        <v>0</v>
      </c>
    </row>
    <row r="354">
      <c r="AB354" s="308">
        <v>55610.0</v>
      </c>
      <c r="AC354" s="299">
        <f t="shared" si="15"/>
        <v>0</v>
      </c>
      <c r="AD354" s="296">
        <f t="shared" si="16"/>
        <v>0</v>
      </c>
      <c r="AE354" s="299">
        <f t="shared" si="12"/>
        <v>0</v>
      </c>
      <c r="AF354" s="299">
        <f t="shared" si="13"/>
        <v>0</v>
      </c>
    </row>
    <row r="355">
      <c r="AB355" s="308">
        <v>55640.0</v>
      </c>
      <c r="AC355" s="299">
        <f t="shared" si="15"/>
        <v>0</v>
      </c>
      <c r="AD355" s="296">
        <f t="shared" si="16"/>
        <v>0</v>
      </c>
      <c r="AE355" s="299">
        <f t="shared" si="12"/>
        <v>0</v>
      </c>
      <c r="AF355" s="299">
        <f t="shared" si="13"/>
        <v>0</v>
      </c>
    </row>
    <row r="356">
      <c r="AB356" s="308">
        <v>55671.0</v>
      </c>
      <c r="AC356" s="299">
        <f t="shared" si="15"/>
        <v>0</v>
      </c>
      <c r="AD356" s="296">
        <f t="shared" si="16"/>
        <v>0</v>
      </c>
      <c r="AE356" s="299">
        <f t="shared" si="12"/>
        <v>0</v>
      </c>
      <c r="AF356" s="299">
        <f t="shared" si="13"/>
        <v>0</v>
      </c>
    </row>
    <row r="357">
      <c r="AB357" s="308">
        <v>55701.0</v>
      </c>
      <c r="AC357" s="299">
        <f t="shared" si="15"/>
        <v>0</v>
      </c>
      <c r="AD357" s="296">
        <f t="shared" si="16"/>
        <v>0</v>
      </c>
      <c r="AE357" s="299">
        <f t="shared" si="12"/>
        <v>0</v>
      </c>
      <c r="AF357" s="299">
        <f t="shared" si="13"/>
        <v>0</v>
      </c>
    </row>
    <row r="358">
      <c r="AB358" s="308">
        <v>55732.0</v>
      </c>
      <c r="AC358" s="299">
        <f t="shared" si="15"/>
        <v>0</v>
      </c>
      <c r="AD358" s="296">
        <f t="shared" si="16"/>
        <v>0</v>
      </c>
      <c r="AE358" s="299">
        <f t="shared" si="12"/>
        <v>0</v>
      </c>
      <c r="AF358" s="299">
        <f t="shared" si="13"/>
        <v>0</v>
      </c>
    </row>
    <row r="359">
      <c r="AB359" s="308">
        <v>55763.0</v>
      </c>
      <c r="AC359" s="299">
        <f t="shared" si="15"/>
        <v>0</v>
      </c>
      <c r="AD359" s="296">
        <f t="shared" si="16"/>
        <v>0</v>
      </c>
      <c r="AE359" s="299">
        <f t="shared" si="12"/>
        <v>0</v>
      </c>
      <c r="AF359" s="299">
        <f t="shared" si="13"/>
        <v>0</v>
      </c>
    </row>
    <row r="360">
      <c r="AB360" s="308">
        <v>55793.0</v>
      </c>
      <c r="AC360" s="299">
        <f t="shared" si="15"/>
        <v>0</v>
      </c>
      <c r="AD360" s="296">
        <f t="shared" si="16"/>
        <v>0</v>
      </c>
      <c r="AE360" s="299">
        <f t="shared" si="12"/>
        <v>0</v>
      </c>
      <c r="AF360" s="299">
        <f t="shared" si="13"/>
        <v>0</v>
      </c>
    </row>
    <row r="361">
      <c r="AB361" s="308">
        <v>55824.0</v>
      </c>
      <c r="AC361" s="299">
        <f t="shared" si="15"/>
        <v>0</v>
      </c>
      <c r="AD361" s="296">
        <f t="shared" si="16"/>
        <v>0</v>
      </c>
      <c r="AE361" s="299">
        <f t="shared" si="12"/>
        <v>0</v>
      </c>
      <c r="AF361" s="299">
        <f t="shared" si="13"/>
        <v>0</v>
      </c>
    </row>
    <row r="362">
      <c r="AB362" s="308">
        <v>55854.0</v>
      </c>
      <c r="AC362" s="299">
        <f t="shared" si="15"/>
        <v>0</v>
      </c>
      <c r="AD362" s="296">
        <f t="shared" si="16"/>
        <v>0</v>
      </c>
      <c r="AE362" s="299">
        <f t="shared" si="12"/>
        <v>0</v>
      </c>
      <c r="AF362" s="299">
        <f t="shared" si="13"/>
        <v>0</v>
      </c>
    </row>
    <row r="363">
      <c r="AB363" s="308">
        <v>55885.0</v>
      </c>
      <c r="AC363" s="299">
        <f t="shared" si="15"/>
        <v>0</v>
      </c>
      <c r="AD363" s="296">
        <f t="shared" si="16"/>
        <v>0</v>
      </c>
      <c r="AE363" s="299">
        <f t="shared" si="12"/>
        <v>0</v>
      </c>
      <c r="AF363" s="299">
        <f t="shared" si="13"/>
        <v>0</v>
      </c>
    </row>
    <row r="364">
      <c r="AB364" s="308">
        <v>55916.0</v>
      </c>
      <c r="AC364" s="299">
        <f t="shared" si="15"/>
        <v>0</v>
      </c>
      <c r="AD364" s="296">
        <f t="shared" si="16"/>
        <v>0</v>
      </c>
      <c r="AE364" s="299">
        <f t="shared" si="12"/>
        <v>0</v>
      </c>
      <c r="AF364" s="299">
        <f t="shared" si="13"/>
        <v>0</v>
      </c>
    </row>
    <row r="365">
      <c r="AB365" s="308">
        <v>55944.0</v>
      </c>
      <c r="AC365" s="299">
        <f t="shared" si="15"/>
        <v>0</v>
      </c>
      <c r="AD365" s="296">
        <f t="shared" si="16"/>
        <v>0</v>
      </c>
      <c r="AE365" s="299">
        <f t="shared" si="12"/>
        <v>0</v>
      </c>
      <c r="AF365" s="299">
        <f t="shared" si="13"/>
        <v>0</v>
      </c>
    </row>
    <row r="366">
      <c r="AB366" s="308">
        <v>55975.0</v>
      </c>
      <c r="AC366" s="299">
        <f t="shared" si="15"/>
        <v>0</v>
      </c>
      <c r="AD366" s="296">
        <f t="shared" si="16"/>
        <v>0</v>
      </c>
      <c r="AE366" s="299">
        <f t="shared" si="12"/>
        <v>0</v>
      </c>
      <c r="AF366" s="299">
        <f t="shared" si="13"/>
        <v>0</v>
      </c>
    </row>
    <row r="367">
      <c r="AB367" s="308">
        <v>56005.0</v>
      </c>
      <c r="AC367" s="299">
        <f t="shared" si="15"/>
        <v>0</v>
      </c>
      <c r="AD367" s="296">
        <f t="shared" si="16"/>
        <v>0</v>
      </c>
      <c r="AE367" s="299">
        <f t="shared" si="12"/>
        <v>0</v>
      </c>
      <c r="AF367" s="299">
        <f t="shared" si="13"/>
        <v>0</v>
      </c>
    </row>
    <row r="368">
      <c r="AB368" s="308">
        <v>56036.0</v>
      </c>
      <c r="AC368" s="299">
        <f t="shared" si="15"/>
        <v>0</v>
      </c>
      <c r="AD368" s="296">
        <f t="shared" si="16"/>
        <v>0</v>
      </c>
      <c r="AE368" s="299">
        <f t="shared" si="12"/>
        <v>0</v>
      </c>
      <c r="AF368" s="299">
        <f t="shared" si="13"/>
        <v>0</v>
      </c>
    </row>
    <row r="369">
      <c r="AB369" s="308">
        <v>56066.0</v>
      </c>
      <c r="AC369" s="299">
        <f t="shared" si="15"/>
        <v>0</v>
      </c>
      <c r="AD369" s="296">
        <f t="shared" si="16"/>
        <v>0</v>
      </c>
      <c r="AE369" s="299">
        <f t="shared" si="12"/>
        <v>0</v>
      </c>
      <c r="AF369" s="299">
        <f t="shared" si="13"/>
        <v>0</v>
      </c>
    </row>
    <row r="370">
      <c r="AB370" s="308">
        <v>56097.0</v>
      </c>
      <c r="AC370" s="299">
        <f t="shared" si="15"/>
        <v>0</v>
      </c>
      <c r="AD370" s="296">
        <f t="shared" si="16"/>
        <v>0</v>
      </c>
      <c r="AE370" s="299">
        <f t="shared" si="12"/>
        <v>0</v>
      </c>
      <c r="AF370" s="299">
        <f t="shared" si="13"/>
        <v>0</v>
      </c>
    </row>
    <row r="371">
      <c r="AB371" s="308">
        <v>56128.0</v>
      </c>
      <c r="AC371" s="299">
        <f t="shared" si="15"/>
        <v>0</v>
      </c>
      <c r="AD371" s="296">
        <f t="shared" si="16"/>
        <v>0</v>
      </c>
      <c r="AE371" s="299">
        <f t="shared" si="12"/>
        <v>0</v>
      </c>
      <c r="AF371" s="299">
        <f t="shared" si="13"/>
        <v>0</v>
      </c>
    </row>
    <row r="372">
      <c r="AB372" s="308">
        <v>56158.0</v>
      </c>
      <c r="AC372" s="299">
        <f t="shared" si="15"/>
        <v>0</v>
      </c>
      <c r="AD372" s="296">
        <f t="shared" si="16"/>
        <v>0</v>
      </c>
      <c r="AE372" s="299">
        <f t="shared" si="12"/>
        <v>0</v>
      </c>
      <c r="AF372" s="299">
        <f t="shared" si="13"/>
        <v>0</v>
      </c>
    </row>
    <row r="373">
      <c r="AB373" s="308">
        <v>56189.0</v>
      </c>
      <c r="AC373" s="299">
        <f t="shared" si="15"/>
        <v>0</v>
      </c>
      <c r="AD373" s="296">
        <f t="shared" si="16"/>
        <v>0</v>
      </c>
      <c r="AE373" s="299">
        <f t="shared" si="12"/>
        <v>0</v>
      </c>
      <c r="AF373" s="299">
        <f t="shared" si="13"/>
        <v>0</v>
      </c>
    </row>
    <row r="374">
      <c r="AB374" s="308">
        <v>56219.0</v>
      </c>
      <c r="AC374" s="299">
        <f t="shared" si="15"/>
        <v>0</v>
      </c>
      <c r="AD374" s="296">
        <f t="shared" si="16"/>
        <v>0</v>
      </c>
      <c r="AE374" s="299">
        <f t="shared" si="12"/>
        <v>0</v>
      </c>
      <c r="AF374" s="299">
        <f t="shared" si="13"/>
        <v>0</v>
      </c>
    </row>
    <row r="375">
      <c r="AB375" s="308">
        <v>56250.0</v>
      </c>
      <c r="AC375" s="299">
        <f t="shared" si="15"/>
        <v>0</v>
      </c>
      <c r="AD375" s="296">
        <f t="shared" si="16"/>
        <v>0</v>
      </c>
      <c r="AE375" s="299">
        <f t="shared" si="12"/>
        <v>0</v>
      </c>
      <c r="AF375" s="299">
        <f t="shared" si="13"/>
        <v>0</v>
      </c>
    </row>
    <row r="376">
      <c r="AB376" s="308">
        <v>56281.0</v>
      </c>
      <c r="AC376" s="299">
        <f t="shared" si="15"/>
        <v>0</v>
      </c>
      <c r="AD376" s="296">
        <f t="shared" si="16"/>
        <v>0</v>
      </c>
      <c r="AE376" s="299">
        <f t="shared" si="12"/>
        <v>0</v>
      </c>
      <c r="AF376" s="299">
        <f t="shared" si="13"/>
        <v>0</v>
      </c>
    </row>
    <row r="377">
      <c r="AB377" s="308">
        <v>56309.0</v>
      </c>
      <c r="AC377" s="299">
        <f t="shared" si="15"/>
        <v>0</v>
      </c>
      <c r="AD377" s="296">
        <f t="shared" si="16"/>
        <v>0</v>
      </c>
      <c r="AE377" s="299">
        <f t="shared" si="12"/>
        <v>0</v>
      </c>
      <c r="AF377" s="299">
        <f t="shared" si="13"/>
        <v>0</v>
      </c>
    </row>
    <row r="378">
      <c r="AB378" s="308">
        <v>56340.0</v>
      </c>
      <c r="AC378" s="299">
        <f t="shared" si="15"/>
        <v>0</v>
      </c>
      <c r="AD378" s="296">
        <f t="shared" si="16"/>
        <v>0</v>
      </c>
      <c r="AE378" s="299">
        <f t="shared" si="12"/>
        <v>0</v>
      </c>
      <c r="AF378" s="299">
        <f t="shared" si="13"/>
        <v>0</v>
      </c>
    </row>
    <row r="379">
      <c r="AB379" s="308">
        <v>56370.0</v>
      </c>
      <c r="AC379" s="299">
        <f t="shared" si="15"/>
        <v>0</v>
      </c>
      <c r="AD379" s="296">
        <f t="shared" si="16"/>
        <v>0</v>
      </c>
      <c r="AE379" s="299">
        <f t="shared" si="12"/>
        <v>0</v>
      </c>
      <c r="AF379" s="299">
        <f t="shared" si="13"/>
        <v>0</v>
      </c>
    </row>
    <row r="380">
      <c r="AB380" s="308">
        <v>56401.0</v>
      </c>
      <c r="AC380" s="299">
        <f t="shared" si="15"/>
        <v>0</v>
      </c>
      <c r="AD380" s="296">
        <f t="shared" si="16"/>
        <v>0</v>
      </c>
      <c r="AE380" s="299">
        <f t="shared" si="12"/>
        <v>0</v>
      </c>
      <c r="AF380" s="299">
        <f t="shared" si="13"/>
        <v>0</v>
      </c>
    </row>
    <row r="381">
      <c r="AB381" s="308">
        <v>56431.0</v>
      </c>
      <c r="AC381" s="299">
        <f t="shared" si="15"/>
        <v>0</v>
      </c>
      <c r="AD381" s="296">
        <f t="shared" si="16"/>
        <v>0</v>
      </c>
      <c r="AE381" s="299">
        <f t="shared" si="12"/>
        <v>0</v>
      </c>
      <c r="AF381" s="299">
        <f t="shared" si="13"/>
        <v>0</v>
      </c>
    </row>
    <row r="382">
      <c r="AB382" s="308">
        <v>56462.0</v>
      </c>
      <c r="AC382" s="299">
        <f t="shared" si="15"/>
        <v>0</v>
      </c>
      <c r="AD382" s="296">
        <f t="shared" si="16"/>
        <v>0</v>
      </c>
      <c r="AE382" s="299">
        <f t="shared" si="12"/>
        <v>0</v>
      </c>
      <c r="AF382" s="299">
        <f t="shared" si="13"/>
        <v>0</v>
      </c>
    </row>
    <row r="383">
      <c r="AB383" s="308">
        <v>56493.0</v>
      </c>
      <c r="AC383" s="299">
        <f t="shared" si="15"/>
        <v>0</v>
      </c>
      <c r="AD383" s="296">
        <f t="shared" si="16"/>
        <v>0</v>
      </c>
      <c r="AE383" s="299">
        <f t="shared" si="12"/>
        <v>0</v>
      </c>
      <c r="AF383" s="299">
        <f t="shared" si="13"/>
        <v>0</v>
      </c>
    </row>
    <row r="384">
      <c r="AB384" s="308">
        <v>56523.0</v>
      </c>
      <c r="AC384" s="299">
        <f t="shared" si="15"/>
        <v>0</v>
      </c>
      <c r="AD384" s="296">
        <f t="shared" si="16"/>
        <v>0</v>
      </c>
      <c r="AE384" s="299">
        <f t="shared" si="12"/>
        <v>0</v>
      </c>
      <c r="AF384" s="299">
        <f t="shared" si="13"/>
        <v>0</v>
      </c>
    </row>
    <row r="385">
      <c r="AB385" s="308">
        <v>56554.0</v>
      </c>
      <c r="AC385" s="299">
        <f t="shared" si="15"/>
        <v>0</v>
      </c>
      <c r="AD385" s="296">
        <f t="shared" si="16"/>
        <v>0</v>
      </c>
      <c r="AE385" s="299">
        <f t="shared" si="12"/>
        <v>0</v>
      </c>
      <c r="AF385" s="299">
        <f t="shared" si="13"/>
        <v>0</v>
      </c>
    </row>
    <row r="386">
      <c r="AB386" s="308">
        <v>56584.0</v>
      </c>
      <c r="AC386" s="299">
        <f t="shared" si="15"/>
        <v>0</v>
      </c>
      <c r="AD386" s="296">
        <f t="shared" si="16"/>
        <v>0</v>
      </c>
      <c r="AE386" s="299">
        <f t="shared" si="12"/>
        <v>0</v>
      </c>
      <c r="AF386" s="299">
        <f t="shared" si="13"/>
        <v>0</v>
      </c>
    </row>
    <row r="387">
      <c r="AB387" s="308">
        <v>56615.0</v>
      </c>
      <c r="AC387" s="299">
        <f t="shared" si="15"/>
        <v>0</v>
      </c>
      <c r="AD387" s="296">
        <f t="shared" si="16"/>
        <v>0</v>
      </c>
      <c r="AE387" s="299">
        <f t="shared" si="12"/>
        <v>0</v>
      </c>
      <c r="AF387" s="299">
        <f t="shared" si="13"/>
        <v>0</v>
      </c>
    </row>
    <row r="388">
      <c r="AB388" s="308">
        <v>56646.0</v>
      </c>
      <c r="AC388" s="299">
        <f t="shared" si="15"/>
        <v>0</v>
      </c>
      <c r="AD388" s="296">
        <f t="shared" si="16"/>
        <v>0</v>
      </c>
      <c r="AE388" s="299">
        <f t="shared" si="12"/>
        <v>0</v>
      </c>
      <c r="AF388" s="299">
        <f t="shared" si="13"/>
        <v>0</v>
      </c>
    </row>
    <row r="389">
      <c r="AB389" s="308">
        <v>56674.0</v>
      </c>
      <c r="AC389" s="299">
        <f t="shared" si="15"/>
        <v>0</v>
      </c>
      <c r="AD389" s="296">
        <f t="shared" si="16"/>
        <v>0</v>
      </c>
      <c r="AE389" s="299">
        <f t="shared" si="12"/>
        <v>0</v>
      </c>
      <c r="AF389" s="299">
        <f t="shared" si="13"/>
        <v>0</v>
      </c>
    </row>
    <row r="390">
      <c r="AB390" s="308">
        <v>56705.0</v>
      </c>
      <c r="AC390" s="299">
        <f t="shared" si="15"/>
        <v>0</v>
      </c>
      <c r="AD390" s="296">
        <f t="shared" si="16"/>
        <v>0</v>
      </c>
      <c r="AE390" s="299">
        <f t="shared" si="12"/>
        <v>0</v>
      </c>
      <c r="AF390" s="299">
        <f t="shared" si="13"/>
        <v>0</v>
      </c>
    </row>
    <row r="391">
      <c r="AB391" s="308">
        <v>56735.0</v>
      </c>
      <c r="AC391" s="299">
        <f t="shared" si="15"/>
        <v>0</v>
      </c>
      <c r="AD391" s="296">
        <f t="shared" si="16"/>
        <v>0</v>
      </c>
      <c r="AE391" s="299">
        <f t="shared" si="12"/>
        <v>0</v>
      </c>
      <c r="AF391" s="299">
        <f t="shared" si="13"/>
        <v>0</v>
      </c>
    </row>
    <row r="392">
      <c r="AB392" s="308">
        <v>56766.0</v>
      </c>
      <c r="AC392" s="299">
        <f t="shared" si="15"/>
        <v>0</v>
      </c>
      <c r="AD392" s="296">
        <f t="shared" si="16"/>
        <v>0</v>
      </c>
      <c r="AE392" s="299">
        <f t="shared" si="12"/>
        <v>0</v>
      </c>
      <c r="AF392" s="299">
        <f t="shared" si="13"/>
        <v>0</v>
      </c>
    </row>
    <row r="393">
      <c r="AB393" s="308">
        <v>56796.0</v>
      </c>
      <c r="AC393" s="299">
        <f t="shared" si="15"/>
        <v>0</v>
      </c>
      <c r="AD393" s="296">
        <f t="shared" si="16"/>
        <v>0</v>
      </c>
      <c r="AE393" s="299">
        <f t="shared" si="12"/>
        <v>0</v>
      </c>
      <c r="AF393" s="299">
        <f t="shared" si="13"/>
        <v>0</v>
      </c>
    </row>
    <row r="394">
      <c r="AB394" s="308">
        <v>56827.0</v>
      </c>
      <c r="AC394" s="299">
        <f t="shared" si="15"/>
        <v>0</v>
      </c>
      <c r="AD394" s="296">
        <f t="shared" si="16"/>
        <v>0</v>
      </c>
      <c r="AE394" s="299">
        <f t="shared" si="12"/>
        <v>0</v>
      </c>
      <c r="AF394" s="299">
        <f t="shared" si="13"/>
        <v>0</v>
      </c>
    </row>
    <row r="395">
      <c r="AB395" s="308">
        <v>56858.0</v>
      </c>
      <c r="AC395" s="299">
        <f t="shared" si="15"/>
        <v>0</v>
      </c>
      <c r="AD395" s="296">
        <f t="shared" si="16"/>
        <v>0</v>
      </c>
      <c r="AE395" s="299">
        <f t="shared" si="12"/>
        <v>0</v>
      </c>
      <c r="AF395" s="299">
        <f t="shared" si="13"/>
        <v>0</v>
      </c>
    </row>
    <row r="396">
      <c r="AB396" s="308">
        <v>56888.0</v>
      </c>
      <c r="AC396" s="299">
        <f t="shared" si="15"/>
        <v>0</v>
      </c>
      <c r="AD396" s="296">
        <f t="shared" si="16"/>
        <v>0</v>
      </c>
      <c r="AE396" s="299">
        <f t="shared" si="12"/>
        <v>0</v>
      </c>
      <c r="AF396" s="299">
        <f t="shared" si="13"/>
        <v>0</v>
      </c>
    </row>
    <row r="397">
      <c r="AB397" s="308">
        <v>56919.0</v>
      </c>
      <c r="AC397" s="299">
        <f t="shared" si="15"/>
        <v>0</v>
      </c>
      <c r="AD397" s="296">
        <f t="shared" si="16"/>
        <v>0</v>
      </c>
      <c r="AE397" s="299">
        <f t="shared" si="12"/>
        <v>0</v>
      </c>
      <c r="AF397" s="299">
        <f t="shared" si="13"/>
        <v>0</v>
      </c>
    </row>
    <row r="398">
      <c r="AB398" s="308">
        <v>56949.0</v>
      </c>
      <c r="AC398" s="299">
        <f t="shared" si="15"/>
        <v>0</v>
      </c>
      <c r="AD398" s="296">
        <f t="shared" si="16"/>
        <v>0</v>
      </c>
      <c r="AE398" s="299">
        <f t="shared" si="12"/>
        <v>0</v>
      </c>
      <c r="AF398" s="299">
        <f t="shared" si="13"/>
        <v>0</v>
      </c>
    </row>
    <row r="399">
      <c r="AB399" s="308">
        <v>56980.0</v>
      </c>
      <c r="AC399" s="299">
        <f t="shared" si="15"/>
        <v>0</v>
      </c>
      <c r="AD399" s="296">
        <f t="shared" si="16"/>
        <v>0</v>
      </c>
      <c r="AE399" s="299">
        <f t="shared" si="12"/>
        <v>0</v>
      </c>
      <c r="AF399" s="299">
        <f t="shared" si="13"/>
        <v>0</v>
      </c>
    </row>
    <row r="400">
      <c r="AB400" s="308">
        <v>57011.0</v>
      </c>
      <c r="AC400" s="299">
        <f t="shared" si="15"/>
        <v>0</v>
      </c>
      <c r="AD400" s="296">
        <f t="shared" si="16"/>
        <v>0</v>
      </c>
      <c r="AE400" s="299">
        <f t="shared" si="12"/>
        <v>0</v>
      </c>
      <c r="AF400" s="299">
        <f t="shared" si="13"/>
        <v>0</v>
      </c>
    </row>
    <row r="401">
      <c r="AB401" s="308">
        <v>57040.0</v>
      </c>
      <c r="AC401" s="299">
        <f t="shared" si="15"/>
        <v>0</v>
      </c>
      <c r="AD401" s="296">
        <f t="shared" si="16"/>
        <v>0</v>
      </c>
      <c r="AE401" s="299">
        <f t="shared" si="12"/>
        <v>0</v>
      </c>
      <c r="AF401" s="299">
        <f t="shared" si="13"/>
        <v>0</v>
      </c>
    </row>
    <row r="402">
      <c r="AB402" s="308">
        <v>57071.0</v>
      </c>
      <c r="AC402" s="299">
        <f t="shared" si="15"/>
        <v>0</v>
      </c>
      <c r="AD402" s="296">
        <f t="shared" si="16"/>
        <v>0</v>
      </c>
      <c r="AE402" s="299">
        <f t="shared" si="12"/>
        <v>0</v>
      </c>
      <c r="AF402" s="299">
        <f t="shared" si="13"/>
        <v>0</v>
      </c>
    </row>
    <row r="403">
      <c r="AB403" s="308">
        <v>57101.0</v>
      </c>
      <c r="AC403" s="299">
        <f t="shared" si="15"/>
        <v>0</v>
      </c>
      <c r="AD403" s="296">
        <f t="shared" si="16"/>
        <v>0</v>
      </c>
      <c r="AE403" s="299">
        <f t="shared" si="12"/>
        <v>0</v>
      </c>
      <c r="AF403" s="299">
        <f t="shared" si="13"/>
        <v>0</v>
      </c>
    </row>
    <row r="404">
      <c r="AB404" s="308">
        <v>57132.0</v>
      </c>
      <c r="AC404" s="299">
        <f t="shared" si="15"/>
        <v>0</v>
      </c>
      <c r="AD404" s="296">
        <f t="shared" si="16"/>
        <v>0</v>
      </c>
      <c r="AE404" s="299">
        <f t="shared" si="12"/>
        <v>0</v>
      </c>
      <c r="AF404" s="299">
        <f t="shared" si="13"/>
        <v>0</v>
      </c>
    </row>
    <row r="405">
      <c r="AB405" s="308">
        <v>57162.0</v>
      </c>
      <c r="AC405" s="299">
        <f t="shared" si="15"/>
        <v>0</v>
      </c>
      <c r="AD405" s="296">
        <f t="shared" si="16"/>
        <v>0</v>
      </c>
      <c r="AE405" s="299">
        <f t="shared" si="12"/>
        <v>0</v>
      </c>
      <c r="AF405" s="299">
        <f t="shared" si="13"/>
        <v>0</v>
      </c>
    </row>
    <row r="406">
      <c r="AB406" s="308">
        <v>57193.0</v>
      </c>
      <c r="AC406" s="299">
        <f t="shared" si="15"/>
        <v>0</v>
      </c>
      <c r="AD406" s="296">
        <f t="shared" si="16"/>
        <v>0</v>
      </c>
      <c r="AE406" s="299">
        <f t="shared" si="12"/>
        <v>0</v>
      </c>
      <c r="AF406" s="299">
        <f t="shared" si="13"/>
        <v>0</v>
      </c>
    </row>
    <row r="407">
      <c r="AB407" s="308">
        <v>57224.0</v>
      </c>
      <c r="AC407" s="299">
        <f t="shared" si="15"/>
        <v>0</v>
      </c>
      <c r="AD407" s="296">
        <f t="shared" si="16"/>
        <v>0</v>
      </c>
      <c r="AE407" s="299">
        <f t="shared" si="12"/>
        <v>0</v>
      </c>
      <c r="AF407" s="299">
        <f t="shared" si="13"/>
        <v>0</v>
      </c>
    </row>
    <row r="408">
      <c r="AB408" s="308">
        <v>57254.0</v>
      </c>
      <c r="AC408" s="299">
        <f t="shared" si="15"/>
        <v>0</v>
      </c>
      <c r="AD408" s="296">
        <f t="shared" si="16"/>
        <v>0</v>
      </c>
      <c r="AE408" s="299">
        <f t="shared" si="12"/>
        <v>0</v>
      </c>
      <c r="AF408" s="299">
        <f t="shared" si="13"/>
        <v>0</v>
      </c>
    </row>
    <row r="409">
      <c r="AB409" s="308">
        <v>57285.0</v>
      </c>
      <c r="AC409" s="299">
        <f t="shared" si="15"/>
        <v>0</v>
      </c>
      <c r="AD409" s="296">
        <f t="shared" si="16"/>
        <v>0</v>
      </c>
      <c r="AE409" s="299">
        <f t="shared" si="12"/>
        <v>0</v>
      </c>
      <c r="AF409" s="299">
        <f t="shared" si="13"/>
        <v>0</v>
      </c>
    </row>
    <row r="410">
      <c r="AB410" s="308">
        <v>57315.0</v>
      </c>
      <c r="AC410" s="299">
        <f t="shared" si="15"/>
        <v>0</v>
      </c>
      <c r="AD410" s="296">
        <f t="shared" si="16"/>
        <v>0</v>
      </c>
      <c r="AE410" s="299">
        <f t="shared" si="12"/>
        <v>0</v>
      </c>
      <c r="AF410" s="299">
        <f t="shared" si="13"/>
        <v>0</v>
      </c>
    </row>
    <row r="411">
      <c r="AB411" s="308">
        <v>57346.0</v>
      </c>
      <c r="AC411" s="299">
        <f t="shared" si="15"/>
        <v>0</v>
      </c>
      <c r="AD411" s="296">
        <f t="shared" si="16"/>
        <v>0</v>
      </c>
      <c r="AE411" s="299">
        <f t="shared" si="12"/>
        <v>0</v>
      </c>
      <c r="AF411" s="299">
        <f t="shared" si="13"/>
        <v>0</v>
      </c>
    </row>
    <row r="412">
      <c r="AB412" s="308">
        <v>57377.0</v>
      </c>
      <c r="AC412" s="299">
        <f t="shared" si="15"/>
        <v>0</v>
      </c>
      <c r="AD412" s="296">
        <f t="shared" si="16"/>
        <v>0</v>
      </c>
      <c r="AE412" s="299">
        <f t="shared" si="12"/>
        <v>0</v>
      </c>
      <c r="AF412" s="299">
        <f t="shared" si="13"/>
        <v>0</v>
      </c>
    </row>
    <row r="413">
      <c r="AB413" s="308">
        <v>57405.0</v>
      </c>
      <c r="AC413" s="299">
        <f t="shared" si="15"/>
        <v>0</v>
      </c>
      <c r="AD413" s="296">
        <f t="shared" si="16"/>
        <v>0</v>
      </c>
      <c r="AE413" s="299">
        <f t="shared" si="12"/>
        <v>0</v>
      </c>
      <c r="AF413" s="299">
        <f t="shared" si="13"/>
        <v>0</v>
      </c>
    </row>
    <row r="414">
      <c r="AB414" s="308">
        <v>57436.0</v>
      </c>
      <c r="AC414" s="299">
        <f t="shared" si="15"/>
        <v>0</v>
      </c>
      <c r="AD414" s="296">
        <f t="shared" si="16"/>
        <v>0</v>
      </c>
      <c r="AE414" s="299">
        <f t="shared" si="12"/>
        <v>0</v>
      </c>
      <c r="AF414" s="299">
        <f t="shared" si="13"/>
        <v>0</v>
      </c>
    </row>
    <row r="415">
      <c r="AB415" s="308">
        <v>57466.0</v>
      </c>
      <c r="AC415" s="299">
        <f t="shared" si="15"/>
        <v>0</v>
      </c>
      <c r="AD415" s="296">
        <f t="shared" si="16"/>
        <v>0</v>
      </c>
      <c r="AE415" s="299">
        <f t="shared" si="12"/>
        <v>0</v>
      </c>
      <c r="AF415" s="299">
        <f t="shared" si="13"/>
        <v>0</v>
      </c>
    </row>
    <row r="416">
      <c r="AB416" s="308">
        <v>57497.0</v>
      </c>
      <c r="AC416" s="299">
        <f t="shared" si="15"/>
        <v>0</v>
      </c>
      <c r="AD416" s="296">
        <f t="shared" si="16"/>
        <v>0</v>
      </c>
      <c r="AE416" s="299">
        <f t="shared" si="12"/>
        <v>0</v>
      </c>
      <c r="AF416" s="299">
        <f t="shared" si="13"/>
        <v>0</v>
      </c>
    </row>
    <row r="417">
      <c r="AB417" s="308">
        <v>57527.0</v>
      </c>
      <c r="AC417" s="299">
        <f t="shared" si="15"/>
        <v>0</v>
      </c>
      <c r="AD417" s="296">
        <f t="shared" si="16"/>
        <v>0</v>
      </c>
      <c r="AE417" s="299">
        <f t="shared" si="12"/>
        <v>0</v>
      </c>
      <c r="AF417" s="299">
        <f t="shared" si="13"/>
        <v>0</v>
      </c>
    </row>
    <row r="418">
      <c r="AB418" s="308">
        <v>57558.0</v>
      </c>
      <c r="AC418" s="299">
        <f t="shared" si="15"/>
        <v>0</v>
      </c>
      <c r="AD418" s="296">
        <f t="shared" si="16"/>
        <v>0</v>
      </c>
      <c r="AE418" s="299">
        <f t="shared" si="12"/>
        <v>0</v>
      </c>
      <c r="AF418" s="299">
        <f t="shared" si="13"/>
        <v>0</v>
      </c>
    </row>
    <row r="419">
      <c r="AB419" s="308">
        <v>57589.0</v>
      </c>
      <c r="AC419" s="299">
        <f t="shared" si="15"/>
        <v>0</v>
      </c>
      <c r="AD419" s="296">
        <f t="shared" si="16"/>
        <v>0</v>
      </c>
      <c r="AE419" s="299">
        <f t="shared" si="12"/>
        <v>0</v>
      </c>
      <c r="AF419" s="299">
        <f t="shared" si="13"/>
        <v>0</v>
      </c>
    </row>
    <row r="420">
      <c r="AB420" s="308">
        <v>57619.0</v>
      </c>
      <c r="AC420" s="299">
        <f t="shared" si="15"/>
        <v>0</v>
      </c>
      <c r="AD420" s="296">
        <f t="shared" si="16"/>
        <v>0</v>
      </c>
      <c r="AE420" s="299">
        <f t="shared" si="12"/>
        <v>0</v>
      </c>
      <c r="AF420" s="299">
        <f t="shared" si="13"/>
        <v>0</v>
      </c>
    </row>
    <row r="421">
      <c r="AB421" s="308">
        <v>57650.0</v>
      </c>
      <c r="AC421" s="299">
        <f t="shared" si="15"/>
        <v>0</v>
      </c>
      <c r="AD421" s="296">
        <f t="shared" si="16"/>
        <v>0</v>
      </c>
      <c r="AE421" s="299">
        <f t="shared" si="12"/>
        <v>0</v>
      </c>
      <c r="AF421" s="299">
        <f t="shared" si="13"/>
        <v>0</v>
      </c>
    </row>
    <row r="422">
      <c r="AB422" s="308">
        <v>57680.0</v>
      </c>
      <c r="AC422" s="299">
        <f t="shared" si="15"/>
        <v>0</v>
      </c>
      <c r="AD422" s="296">
        <f t="shared" si="16"/>
        <v>0</v>
      </c>
      <c r="AE422" s="299">
        <f t="shared" si="12"/>
        <v>0</v>
      </c>
      <c r="AF422" s="299">
        <f t="shared" si="13"/>
        <v>0</v>
      </c>
    </row>
    <row r="423">
      <c r="AB423" s="308">
        <v>57711.0</v>
      </c>
      <c r="AC423" s="299">
        <f t="shared" si="15"/>
        <v>0</v>
      </c>
      <c r="AD423" s="296">
        <f t="shared" si="16"/>
        <v>0</v>
      </c>
      <c r="AE423" s="299">
        <f t="shared" si="12"/>
        <v>0</v>
      </c>
      <c r="AF423" s="299">
        <f t="shared" si="13"/>
        <v>0</v>
      </c>
    </row>
    <row r="424">
      <c r="AB424" s="308">
        <v>57742.0</v>
      </c>
      <c r="AC424" s="299">
        <f t="shared" si="15"/>
        <v>0</v>
      </c>
      <c r="AD424" s="296">
        <f t="shared" si="16"/>
        <v>0</v>
      </c>
      <c r="AE424" s="299">
        <f t="shared" si="12"/>
        <v>0</v>
      </c>
      <c r="AF424" s="299">
        <f t="shared" si="13"/>
        <v>0</v>
      </c>
    </row>
    <row r="425">
      <c r="AB425" s="308">
        <v>57770.0</v>
      </c>
      <c r="AC425" s="299">
        <f t="shared" si="15"/>
        <v>0</v>
      </c>
      <c r="AD425" s="296">
        <f t="shared" si="16"/>
        <v>0</v>
      </c>
      <c r="AE425" s="299">
        <f t="shared" si="12"/>
        <v>0</v>
      </c>
      <c r="AF425" s="299">
        <f t="shared" si="13"/>
        <v>0</v>
      </c>
    </row>
    <row r="426">
      <c r="AB426" s="308">
        <v>57801.0</v>
      </c>
      <c r="AC426" s="299">
        <f t="shared" si="15"/>
        <v>0</v>
      </c>
      <c r="AD426" s="296">
        <f t="shared" si="16"/>
        <v>0</v>
      </c>
      <c r="AE426" s="299">
        <f t="shared" si="12"/>
        <v>0</v>
      </c>
      <c r="AF426" s="299">
        <f t="shared" si="13"/>
        <v>0</v>
      </c>
    </row>
    <row r="427">
      <c r="AB427" s="308">
        <v>57831.0</v>
      </c>
      <c r="AC427" s="299">
        <f t="shared" si="15"/>
        <v>0</v>
      </c>
      <c r="AD427" s="296">
        <f t="shared" si="16"/>
        <v>0</v>
      </c>
      <c r="AE427" s="299">
        <f t="shared" si="12"/>
        <v>0</v>
      </c>
      <c r="AF427" s="299">
        <f t="shared" si="13"/>
        <v>0</v>
      </c>
    </row>
    <row r="428">
      <c r="AB428" s="308">
        <v>57862.0</v>
      </c>
      <c r="AC428" s="299">
        <f t="shared" si="15"/>
        <v>0</v>
      </c>
      <c r="AD428" s="296">
        <f t="shared" si="16"/>
        <v>0</v>
      </c>
      <c r="AE428" s="299">
        <f t="shared" si="12"/>
        <v>0</v>
      </c>
      <c r="AF428" s="299">
        <f t="shared" si="13"/>
        <v>0</v>
      </c>
    </row>
    <row r="429">
      <c r="AB429" s="308">
        <v>57892.0</v>
      </c>
      <c r="AC429" s="299">
        <f t="shared" si="15"/>
        <v>0</v>
      </c>
      <c r="AD429" s="296">
        <f t="shared" si="16"/>
        <v>0</v>
      </c>
      <c r="AE429" s="299">
        <f t="shared" si="12"/>
        <v>0</v>
      </c>
      <c r="AF429" s="299">
        <f t="shared" si="13"/>
        <v>0</v>
      </c>
    </row>
    <row r="430">
      <c r="AB430" s="308">
        <v>57923.0</v>
      </c>
      <c r="AC430" s="299">
        <f t="shared" si="15"/>
        <v>0</v>
      </c>
      <c r="AD430" s="296">
        <f t="shared" si="16"/>
        <v>0</v>
      </c>
      <c r="AE430" s="299">
        <f t="shared" si="12"/>
        <v>0</v>
      </c>
      <c r="AF430" s="299">
        <f t="shared" si="13"/>
        <v>0</v>
      </c>
    </row>
    <row r="431">
      <c r="AB431" s="308">
        <v>57954.0</v>
      </c>
      <c r="AC431" s="299">
        <f t="shared" si="15"/>
        <v>0</v>
      </c>
      <c r="AD431" s="296">
        <f t="shared" si="16"/>
        <v>0</v>
      </c>
      <c r="AE431" s="299">
        <f t="shared" si="12"/>
        <v>0</v>
      </c>
      <c r="AF431" s="299">
        <f t="shared" si="13"/>
        <v>0</v>
      </c>
    </row>
    <row r="432">
      <c r="AB432" s="308">
        <v>57984.0</v>
      </c>
      <c r="AC432" s="299">
        <f t="shared" si="15"/>
        <v>0</v>
      </c>
      <c r="AD432" s="296">
        <f t="shared" si="16"/>
        <v>0</v>
      </c>
      <c r="AE432" s="299">
        <f t="shared" si="12"/>
        <v>0</v>
      </c>
      <c r="AF432" s="299">
        <f t="shared" si="13"/>
        <v>0</v>
      </c>
    </row>
    <row r="433">
      <c r="AB433" s="308">
        <v>58015.0</v>
      </c>
      <c r="AC433" s="299">
        <f t="shared" si="15"/>
        <v>0</v>
      </c>
      <c r="AD433" s="296">
        <f t="shared" si="16"/>
        <v>0</v>
      </c>
      <c r="AE433" s="299">
        <f t="shared" si="12"/>
        <v>0</v>
      </c>
      <c r="AF433" s="299">
        <f t="shared" si="13"/>
        <v>0</v>
      </c>
    </row>
    <row r="434">
      <c r="AB434" s="308">
        <v>58045.0</v>
      </c>
      <c r="AC434" s="299">
        <f t="shared" si="15"/>
        <v>0</v>
      </c>
      <c r="AD434" s="296">
        <f t="shared" si="16"/>
        <v>0</v>
      </c>
      <c r="AE434" s="299">
        <f t="shared" si="12"/>
        <v>0</v>
      </c>
      <c r="AF434" s="299">
        <f t="shared" si="13"/>
        <v>0</v>
      </c>
    </row>
    <row r="435">
      <c r="AB435" s="308">
        <v>58076.0</v>
      </c>
      <c r="AC435" s="299">
        <f t="shared" si="15"/>
        <v>0</v>
      </c>
      <c r="AD435" s="296">
        <f t="shared" si="16"/>
        <v>0</v>
      </c>
      <c r="AE435" s="299">
        <f t="shared" si="12"/>
        <v>0</v>
      </c>
      <c r="AF435" s="299">
        <f t="shared" si="13"/>
        <v>0</v>
      </c>
    </row>
    <row r="436">
      <c r="AB436" s="308">
        <v>58107.0</v>
      </c>
      <c r="AC436" s="299">
        <f t="shared" si="15"/>
        <v>0</v>
      </c>
      <c r="AD436" s="296">
        <f t="shared" si="16"/>
        <v>0</v>
      </c>
      <c r="AE436" s="299">
        <f t="shared" si="12"/>
        <v>0</v>
      </c>
      <c r="AF436" s="299">
        <f t="shared" si="13"/>
        <v>0</v>
      </c>
    </row>
    <row r="437">
      <c r="AB437" s="308">
        <v>58135.0</v>
      </c>
      <c r="AC437" s="299">
        <f t="shared" si="15"/>
        <v>0</v>
      </c>
      <c r="AD437" s="296">
        <f t="shared" si="16"/>
        <v>0</v>
      </c>
      <c r="AE437" s="299">
        <f t="shared" si="12"/>
        <v>0</v>
      </c>
      <c r="AF437" s="299">
        <f t="shared" si="13"/>
        <v>0</v>
      </c>
    </row>
    <row r="438">
      <c r="AB438" s="308">
        <v>58166.0</v>
      </c>
      <c r="AC438" s="299">
        <f t="shared" si="15"/>
        <v>0</v>
      </c>
      <c r="AD438" s="296">
        <f t="shared" si="16"/>
        <v>0</v>
      </c>
      <c r="AE438" s="299">
        <f t="shared" si="12"/>
        <v>0</v>
      </c>
      <c r="AF438" s="299">
        <f t="shared" si="13"/>
        <v>0</v>
      </c>
    </row>
    <row r="439">
      <c r="AB439" s="308">
        <v>58196.0</v>
      </c>
      <c r="AC439" s="299">
        <f t="shared" si="15"/>
        <v>0</v>
      </c>
      <c r="AD439" s="296">
        <f t="shared" si="16"/>
        <v>0</v>
      </c>
      <c r="AE439" s="299">
        <f t="shared" si="12"/>
        <v>0</v>
      </c>
      <c r="AF439" s="299">
        <f t="shared" si="13"/>
        <v>0</v>
      </c>
    </row>
    <row r="440">
      <c r="AB440" s="308">
        <v>58227.0</v>
      </c>
      <c r="AC440" s="299">
        <f t="shared" si="15"/>
        <v>0</v>
      </c>
      <c r="AD440" s="296">
        <f t="shared" si="16"/>
        <v>0</v>
      </c>
      <c r="AE440" s="299">
        <f t="shared" si="12"/>
        <v>0</v>
      </c>
      <c r="AF440" s="299">
        <f t="shared" si="13"/>
        <v>0</v>
      </c>
    </row>
    <row r="441">
      <c r="AB441" s="308">
        <v>58257.0</v>
      </c>
      <c r="AC441" s="299">
        <f t="shared" si="15"/>
        <v>0</v>
      </c>
      <c r="AD441" s="296">
        <f t="shared" si="16"/>
        <v>0</v>
      </c>
      <c r="AE441" s="299">
        <f t="shared" si="12"/>
        <v>0</v>
      </c>
      <c r="AF441" s="299">
        <f t="shared" si="13"/>
        <v>0</v>
      </c>
    </row>
    <row r="442">
      <c r="AB442" s="308">
        <v>58288.0</v>
      </c>
      <c r="AC442" s="299">
        <f t="shared" si="15"/>
        <v>0</v>
      </c>
      <c r="AD442" s="296">
        <f t="shared" si="16"/>
        <v>0</v>
      </c>
      <c r="AE442" s="299">
        <f t="shared" si="12"/>
        <v>0</v>
      </c>
      <c r="AF442" s="299">
        <f t="shared" si="13"/>
        <v>0</v>
      </c>
    </row>
    <row r="443">
      <c r="AB443" s="308">
        <v>58319.0</v>
      </c>
      <c r="AC443" s="299">
        <f t="shared" si="15"/>
        <v>0</v>
      </c>
      <c r="AD443" s="296">
        <f t="shared" si="16"/>
        <v>0</v>
      </c>
      <c r="AE443" s="299">
        <f t="shared" si="12"/>
        <v>0</v>
      </c>
      <c r="AF443" s="299">
        <f t="shared" si="13"/>
        <v>0</v>
      </c>
    </row>
    <row r="444">
      <c r="AB444" s="308">
        <v>58349.0</v>
      </c>
      <c r="AC444" s="299">
        <f t="shared" si="15"/>
        <v>0</v>
      </c>
      <c r="AD444" s="296">
        <f t="shared" si="16"/>
        <v>0</v>
      </c>
      <c r="AE444" s="299">
        <f t="shared" si="12"/>
        <v>0</v>
      </c>
      <c r="AF444" s="299">
        <f t="shared" si="13"/>
        <v>0</v>
      </c>
    </row>
    <row r="445">
      <c r="AB445" s="308">
        <v>58380.0</v>
      </c>
      <c r="AC445" s="299">
        <f t="shared" si="15"/>
        <v>0</v>
      </c>
      <c r="AD445" s="296">
        <f t="shared" si="16"/>
        <v>0</v>
      </c>
      <c r="AE445" s="299">
        <f t="shared" si="12"/>
        <v>0</v>
      </c>
      <c r="AF445" s="299">
        <f t="shared" si="13"/>
        <v>0</v>
      </c>
    </row>
    <row r="446">
      <c r="AB446" s="308">
        <v>58410.0</v>
      </c>
      <c r="AC446" s="299">
        <f t="shared" si="15"/>
        <v>0</v>
      </c>
      <c r="AD446" s="296">
        <f t="shared" si="16"/>
        <v>0</v>
      </c>
      <c r="AE446" s="299">
        <f t="shared" si="12"/>
        <v>0</v>
      </c>
      <c r="AF446" s="299">
        <f t="shared" si="13"/>
        <v>0</v>
      </c>
    </row>
    <row r="447">
      <c r="AB447" s="308">
        <v>58441.0</v>
      </c>
      <c r="AC447" s="299">
        <f t="shared" si="15"/>
        <v>0</v>
      </c>
      <c r="AD447" s="296">
        <f t="shared" si="16"/>
        <v>0</v>
      </c>
      <c r="AE447" s="299">
        <f t="shared" si="12"/>
        <v>0</v>
      </c>
      <c r="AF447" s="299">
        <f t="shared" si="13"/>
        <v>0</v>
      </c>
    </row>
    <row r="448">
      <c r="AB448" s="308">
        <v>58472.0</v>
      </c>
      <c r="AC448" s="299">
        <f t="shared" si="15"/>
        <v>0</v>
      </c>
      <c r="AD448" s="296">
        <f t="shared" si="16"/>
        <v>0</v>
      </c>
      <c r="AE448" s="299">
        <f t="shared" si="12"/>
        <v>0</v>
      </c>
      <c r="AF448" s="299">
        <f t="shared" si="13"/>
        <v>0</v>
      </c>
    </row>
    <row r="449">
      <c r="AB449" s="308">
        <v>58501.0</v>
      </c>
      <c r="AC449" s="299">
        <f t="shared" si="15"/>
        <v>0</v>
      </c>
      <c r="AD449" s="296">
        <f t="shared" si="16"/>
        <v>0</v>
      </c>
      <c r="AE449" s="299">
        <f t="shared" si="12"/>
        <v>0</v>
      </c>
      <c r="AF449" s="299">
        <f t="shared" si="13"/>
        <v>0</v>
      </c>
    </row>
    <row r="450">
      <c r="AB450" s="308">
        <v>58532.0</v>
      </c>
      <c r="AC450" s="299">
        <f t="shared" si="15"/>
        <v>0</v>
      </c>
      <c r="AD450" s="296">
        <f t="shared" si="16"/>
        <v>0</v>
      </c>
      <c r="AE450" s="299">
        <f t="shared" si="12"/>
        <v>0</v>
      </c>
      <c r="AF450" s="299">
        <f t="shared" si="13"/>
        <v>0</v>
      </c>
    </row>
    <row r="451">
      <c r="AB451" s="308">
        <v>58562.0</v>
      </c>
      <c r="AC451" s="299">
        <f t="shared" si="15"/>
        <v>0</v>
      </c>
      <c r="AD451" s="296">
        <f t="shared" si="16"/>
        <v>0</v>
      </c>
      <c r="AE451" s="299">
        <f t="shared" si="12"/>
        <v>0</v>
      </c>
      <c r="AF451" s="299">
        <f t="shared" si="13"/>
        <v>0</v>
      </c>
    </row>
    <row r="452">
      <c r="AB452" s="308">
        <v>58593.0</v>
      </c>
      <c r="AC452" s="299">
        <f t="shared" si="15"/>
        <v>0</v>
      </c>
      <c r="AD452" s="296">
        <f t="shared" si="16"/>
        <v>0</v>
      </c>
      <c r="AE452" s="299">
        <f t="shared" si="12"/>
        <v>0</v>
      </c>
      <c r="AF452" s="299">
        <f t="shared" si="13"/>
        <v>0</v>
      </c>
    </row>
    <row r="453">
      <c r="AB453" s="308">
        <v>58623.0</v>
      </c>
      <c r="AC453" s="299">
        <f t="shared" si="15"/>
        <v>0</v>
      </c>
      <c r="AD453" s="296">
        <f t="shared" si="16"/>
        <v>0</v>
      </c>
      <c r="AE453" s="299">
        <f t="shared" si="12"/>
        <v>0</v>
      </c>
      <c r="AF453" s="299">
        <f t="shared" si="13"/>
        <v>0</v>
      </c>
    </row>
    <row r="454">
      <c r="AB454" s="308">
        <v>58654.0</v>
      </c>
      <c r="AC454" s="299">
        <f t="shared" si="15"/>
        <v>0</v>
      </c>
      <c r="AD454" s="296">
        <f t="shared" si="16"/>
        <v>0</v>
      </c>
      <c r="AE454" s="299">
        <f t="shared" si="12"/>
        <v>0</v>
      </c>
      <c r="AF454" s="299">
        <f t="shared" si="13"/>
        <v>0</v>
      </c>
    </row>
    <row r="455">
      <c r="AB455" s="308">
        <v>58685.0</v>
      </c>
      <c r="AC455" s="299">
        <f t="shared" si="15"/>
        <v>0</v>
      </c>
      <c r="AD455" s="296">
        <f t="shared" si="16"/>
        <v>0</v>
      </c>
      <c r="AE455" s="299">
        <f t="shared" si="12"/>
        <v>0</v>
      </c>
      <c r="AF455" s="299">
        <f t="shared" si="13"/>
        <v>0</v>
      </c>
    </row>
    <row r="456">
      <c r="AB456" s="308">
        <v>58715.0</v>
      </c>
      <c r="AC456" s="299">
        <f t="shared" si="15"/>
        <v>0</v>
      </c>
      <c r="AD456" s="296">
        <f t="shared" si="16"/>
        <v>0</v>
      </c>
      <c r="AE456" s="299">
        <f t="shared" si="12"/>
        <v>0</v>
      </c>
      <c r="AF456" s="299">
        <f t="shared" si="13"/>
        <v>0</v>
      </c>
    </row>
    <row r="457">
      <c r="AB457" s="308">
        <v>58746.0</v>
      </c>
      <c r="AC457" s="299">
        <f t="shared" si="15"/>
        <v>0</v>
      </c>
      <c r="AD457" s="296">
        <f t="shared" si="16"/>
        <v>0</v>
      </c>
      <c r="AE457" s="299">
        <f t="shared" si="12"/>
        <v>0</v>
      </c>
      <c r="AF457" s="299">
        <f t="shared" si="13"/>
        <v>0</v>
      </c>
    </row>
    <row r="458">
      <c r="AB458" s="308">
        <v>58776.0</v>
      </c>
      <c r="AC458" s="299">
        <f t="shared" si="15"/>
        <v>0</v>
      </c>
      <c r="AD458" s="296">
        <f t="shared" si="16"/>
        <v>0</v>
      </c>
      <c r="AE458" s="299">
        <f t="shared" si="12"/>
        <v>0</v>
      </c>
      <c r="AF458" s="299">
        <f t="shared" si="13"/>
        <v>0</v>
      </c>
    </row>
    <row r="459">
      <c r="AB459" s="308">
        <v>58807.0</v>
      </c>
      <c r="AC459" s="299">
        <f t="shared" si="15"/>
        <v>0</v>
      </c>
      <c r="AD459" s="296">
        <f t="shared" si="16"/>
        <v>0</v>
      </c>
      <c r="AE459" s="299">
        <f t="shared" si="12"/>
        <v>0</v>
      </c>
      <c r="AF459" s="299">
        <f t="shared" si="13"/>
        <v>0</v>
      </c>
    </row>
    <row r="460">
      <c r="AB460" s="308">
        <v>58838.0</v>
      </c>
      <c r="AC460" s="299">
        <f t="shared" si="15"/>
        <v>0</v>
      </c>
      <c r="AD460" s="296">
        <f t="shared" si="16"/>
        <v>0</v>
      </c>
      <c r="AE460" s="299">
        <f t="shared" si="12"/>
        <v>0</v>
      </c>
      <c r="AF460" s="299">
        <f t="shared" si="13"/>
        <v>0</v>
      </c>
    </row>
    <row r="461">
      <c r="AB461" s="308">
        <v>58866.0</v>
      </c>
      <c r="AC461" s="299">
        <f t="shared" si="15"/>
        <v>0</v>
      </c>
      <c r="AD461" s="296">
        <f t="shared" si="16"/>
        <v>0</v>
      </c>
      <c r="AE461" s="299">
        <f t="shared" si="12"/>
        <v>0</v>
      </c>
      <c r="AF461" s="299">
        <f t="shared" si="13"/>
        <v>0</v>
      </c>
    </row>
    <row r="462">
      <c r="AB462" s="308">
        <v>58897.0</v>
      </c>
      <c r="AC462" s="299">
        <f t="shared" si="15"/>
        <v>0</v>
      </c>
      <c r="AD462" s="296">
        <f t="shared" si="16"/>
        <v>0</v>
      </c>
      <c r="AE462" s="299">
        <f t="shared" si="12"/>
        <v>0</v>
      </c>
      <c r="AF462" s="299">
        <f t="shared" si="13"/>
        <v>0</v>
      </c>
    </row>
    <row r="463">
      <c r="AB463" s="308">
        <v>58927.0</v>
      </c>
      <c r="AC463" s="299">
        <f t="shared" si="15"/>
        <v>0</v>
      </c>
      <c r="AD463" s="296">
        <f t="shared" si="16"/>
        <v>0</v>
      </c>
      <c r="AE463" s="299">
        <f t="shared" si="12"/>
        <v>0</v>
      </c>
      <c r="AF463" s="299">
        <f t="shared" si="13"/>
        <v>0</v>
      </c>
    </row>
    <row r="464">
      <c r="AB464" s="308">
        <v>58958.0</v>
      </c>
      <c r="AC464" s="299">
        <f t="shared" si="15"/>
        <v>0</v>
      </c>
      <c r="AD464" s="296">
        <f t="shared" si="16"/>
        <v>0</v>
      </c>
      <c r="AE464" s="299">
        <f t="shared" si="12"/>
        <v>0</v>
      </c>
      <c r="AF464" s="299">
        <f t="shared" si="13"/>
        <v>0</v>
      </c>
    </row>
    <row r="465">
      <c r="AB465" s="308">
        <v>58988.0</v>
      </c>
      <c r="AC465" s="299">
        <f t="shared" si="15"/>
        <v>0</v>
      </c>
      <c r="AD465" s="296">
        <f t="shared" si="16"/>
        <v>0</v>
      </c>
      <c r="AE465" s="299">
        <f t="shared" si="12"/>
        <v>0</v>
      </c>
      <c r="AF465" s="299">
        <f t="shared" si="13"/>
        <v>0</v>
      </c>
    </row>
    <row r="466">
      <c r="AB466" s="308">
        <v>59019.0</v>
      </c>
      <c r="AC466" s="299">
        <f t="shared" si="15"/>
        <v>0</v>
      </c>
      <c r="AD466" s="296">
        <f t="shared" si="16"/>
        <v>0</v>
      </c>
      <c r="AE466" s="299">
        <f t="shared" si="12"/>
        <v>0</v>
      </c>
      <c r="AF466" s="299">
        <f t="shared" si="13"/>
        <v>0</v>
      </c>
    </row>
    <row r="467">
      <c r="AB467" s="308">
        <v>59050.0</v>
      </c>
      <c r="AC467" s="299">
        <f t="shared" si="15"/>
        <v>0</v>
      </c>
      <c r="AD467" s="296">
        <f t="shared" si="16"/>
        <v>0</v>
      </c>
      <c r="AE467" s="299">
        <f t="shared" si="12"/>
        <v>0</v>
      </c>
      <c r="AF467" s="299">
        <f t="shared" si="13"/>
        <v>0</v>
      </c>
    </row>
    <row r="468">
      <c r="AB468" s="308">
        <v>59080.0</v>
      </c>
      <c r="AC468" s="299">
        <f t="shared" si="15"/>
        <v>0</v>
      </c>
      <c r="AD468" s="296">
        <f t="shared" si="16"/>
        <v>0</v>
      </c>
      <c r="AE468" s="299">
        <f t="shared" si="12"/>
        <v>0</v>
      </c>
      <c r="AF468" s="299">
        <f t="shared" si="13"/>
        <v>0</v>
      </c>
    </row>
    <row r="469">
      <c r="AB469" s="308">
        <v>59111.0</v>
      </c>
      <c r="AC469" s="299">
        <f t="shared" si="15"/>
        <v>0</v>
      </c>
      <c r="AD469" s="296">
        <f t="shared" si="16"/>
        <v>0</v>
      </c>
      <c r="AE469" s="299">
        <f t="shared" si="12"/>
        <v>0</v>
      </c>
      <c r="AF469" s="299">
        <f t="shared" si="13"/>
        <v>0</v>
      </c>
    </row>
    <row r="470">
      <c r="AB470" s="308">
        <v>59141.0</v>
      </c>
      <c r="AC470" s="299">
        <f t="shared" si="15"/>
        <v>0</v>
      </c>
      <c r="AD470" s="296">
        <f t="shared" si="16"/>
        <v>0</v>
      </c>
      <c r="AE470" s="299">
        <f t="shared" si="12"/>
        <v>0</v>
      </c>
      <c r="AF470" s="299">
        <f t="shared" si="13"/>
        <v>0</v>
      </c>
    </row>
    <row r="471">
      <c r="AB471" s="308">
        <v>59172.0</v>
      </c>
      <c r="AC471" s="299">
        <f t="shared" si="15"/>
        <v>0</v>
      </c>
      <c r="AD471" s="296">
        <f t="shared" si="16"/>
        <v>0</v>
      </c>
      <c r="AE471" s="299">
        <f t="shared" si="12"/>
        <v>0</v>
      </c>
      <c r="AF471" s="299">
        <f t="shared" si="13"/>
        <v>0</v>
      </c>
    </row>
    <row r="472">
      <c r="AB472" s="308">
        <v>59203.0</v>
      </c>
      <c r="AC472" s="299">
        <f t="shared" si="15"/>
        <v>0</v>
      </c>
      <c r="AD472" s="296">
        <f t="shared" si="16"/>
        <v>0</v>
      </c>
      <c r="AE472" s="299">
        <f t="shared" si="12"/>
        <v>0</v>
      </c>
      <c r="AF472" s="299">
        <f t="shared" si="13"/>
        <v>0</v>
      </c>
    </row>
    <row r="473">
      <c r="AB473" s="308">
        <v>59231.0</v>
      </c>
      <c r="AC473" s="299">
        <f t="shared" si="15"/>
        <v>0</v>
      </c>
      <c r="AD473" s="296">
        <f t="shared" si="16"/>
        <v>0</v>
      </c>
      <c r="AE473" s="299">
        <f t="shared" si="12"/>
        <v>0</v>
      </c>
      <c r="AF473" s="299">
        <f t="shared" si="13"/>
        <v>0</v>
      </c>
    </row>
    <row r="474">
      <c r="AB474" s="308">
        <v>59262.0</v>
      </c>
      <c r="AC474" s="299">
        <f t="shared" si="15"/>
        <v>0</v>
      </c>
      <c r="AD474" s="296">
        <f t="shared" si="16"/>
        <v>0</v>
      </c>
      <c r="AE474" s="299">
        <f t="shared" si="12"/>
        <v>0</v>
      </c>
      <c r="AF474" s="299">
        <f t="shared" si="13"/>
        <v>0</v>
      </c>
    </row>
    <row r="475">
      <c r="AB475" s="308">
        <v>59292.0</v>
      </c>
      <c r="AC475" s="299">
        <f t="shared" si="15"/>
        <v>0</v>
      </c>
      <c r="AD475" s="296">
        <f t="shared" si="16"/>
        <v>0</v>
      </c>
      <c r="AE475" s="299">
        <f t="shared" si="12"/>
        <v>0</v>
      </c>
      <c r="AF475" s="299">
        <f t="shared" si="13"/>
        <v>0</v>
      </c>
    </row>
    <row r="476">
      <c r="AB476" s="308">
        <v>59323.0</v>
      </c>
      <c r="AC476" s="299">
        <f t="shared" si="15"/>
        <v>0</v>
      </c>
      <c r="AD476" s="296">
        <f t="shared" si="16"/>
        <v>0</v>
      </c>
      <c r="AE476" s="299">
        <f t="shared" si="12"/>
        <v>0</v>
      </c>
      <c r="AF476" s="299">
        <f t="shared" si="13"/>
        <v>0</v>
      </c>
    </row>
    <row r="477">
      <c r="AB477" s="308">
        <v>59353.0</v>
      </c>
      <c r="AC477" s="299">
        <f t="shared" si="15"/>
        <v>0</v>
      </c>
      <c r="AD477" s="296">
        <f t="shared" si="16"/>
        <v>0</v>
      </c>
      <c r="AE477" s="299">
        <f t="shared" si="12"/>
        <v>0</v>
      </c>
      <c r="AF477" s="299">
        <f t="shared" si="13"/>
        <v>0</v>
      </c>
    </row>
    <row r="478">
      <c r="AB478" s="308">
        <v>59384.0</v>
      </c>
      <c r="AC478" s="299">
        <f t="shared" si="15"/>
        <v>0</v>
      </c>
      <c r="AD478" s="296">
        <f t="shared" si="16"/>
        <v>0</v>
      </c>
      <c r="AE478" s="299">
        <f t="shared" si="12"/>
        <v>0</v>
      </c>
      <c r="AF478" s="299">
        <f t="shared" si="13"/>
        <v>0</v>
      </c>
    </row>
    <row r="479">
      <c r="AB479" s="308">
        <v>59415.0</v>
      </c>
      <c r="AC479" s="299">
        <f t="shared" si="15"/>
        <v>0</v>
      </c>
      <c r="AD479" s="296">
        <f t="shared" si="16"/>
        <v>0</v>
      </c>
      <c r="AE479" s="299">
        <f t="shared" si="12"/>
        <v>0</v>
      </c>
      <c r="AF479" s="299">
        <f t="shared" si="13"/>
        <v>0</v>
      </c>
    </row>
    <row r="480">
      <c r="AB480" s="308">
        <v>59445.0</v>
      </c>
      <c r="AC480" s="299">
        <f t="shared" si="15"/>
        <v>0</v>
      </c>
      <c r="AD480" s="296">
        <f t="shared" si="16"/>
        <v>0</v>
      </c>
      <c r="AE480" s="299">
        <f t="shared" si="12"/>
        <v>0</v>
      </c>
      <c r="AF480" s="299">
        <f t="shared" si="13"/>
        <v>0</v>
      </c>
    </row>
    <row r="481">
      <c r="AB481" s="308">
        <v>59476.0</v>
      </c>
      <c r="AC481" s="299">
        <f t="shared" si="15"/>
        <v>0</v>
      </c>
      <c r="AD481" s="296">
        <f t="shared" si="16"/>
        <v>0</v>
      </c>
      <c r="AE481" s="299">
        <f t="shared" si="12"/>
        <v>0</v>
      </c>
      <c r="AF481" s="299">
        <f t="shared" si="13"/>
        <v>0</v>
      </c>
    </row>
    <row r="482">
      <c r="AB482" s="308">
        <v>59506.0</v>
      </c>
      <c r="AC482" s="299">
        <f t="shared" si="15"/>
        <v>0</v>
      </c>
      <c r="AD482" s="296">
        <f t="shared" si="16"/>
        <v>0</v>
      </c>
      <c r="AE482" s="299">
        <f t="shared" si="12"/>
        <v>0</v>
      </c>
      <c r="AF482" s="299">
        <f t="shared" si="13"/>
        <v>0</v>
      </c>
    </row>
    <row r="483">
      <c r="AB483" s="308">
        <v>59537.0</v>
      </c>
      <c r="AC483" s="299">
        <f t="shared" si="15"/>
        <v>0</v>
      </c>
      <c r="AD483" s="296">
        <f t="shared" si="16"/>
        <v>0</v>
      </c>
      <c r="AE483" s="299">
        <f t="shared" si="12"/>
        <v>0</v>
      </c>
      <c r="AF483" s="299">
        <f t="shared" si="13"/>
        <v>0</v>
      </c>
    </row>
    <row r="484">
      <c r="AB484" s="308">
        <v>59568.0</v>
      </c>
      <c r="AC484" s="299">
        <f t="shared" si="15"/>
        <v>0</v>
      </c>
      <c r="AD484" s="296">
        <f t="shared" si="16"/>
        <v>0</v>
      </c>
      <c r="AE484" s="299">
        <f t="shared" si="12"/>
        <v>0</v>
      </c>
      <c r="AF484" s="299">
        <f t="shared" si="13"/>
        <v>0</v>
      </c>
    </row>
    <row r="485">
      <c r="AB485" s="308">
        <v>59596.0</v>
      </c>
      <c r="AC485" s="299">
        <f t="shared" si="15"/>
        <v>0</v>
      </c>
      <c r="AD485" s="296">
        <f t="shared" si="16"/>
        <v>0</v>
      </c>
      <c r="AE485" s="299">
        <f t="shared" si="12"/>
        <v>0</v>
      </c>
      <c r="AF485" s="299">
        <f t="shared" si="13"/>
        <v>0</v>
      </c>
    </row>
    <row r="486">
      <c r="AB486" s="308">
        <v>59627.0</v>
      </c>
      <c r="AC486" s="299">
        <f t="shared" si="15"/>
        <v>0</v>
      </c>
      <c r="AD486" s="296">
        <f t="shared" si="16"/>
        <v>0</v>
      </c>
      <c r="AE486" s="299">
        <f t="shared" si="12"/>
        <v>0</v>
      </c>
      <c r="AF486" s="299">
        <f t="shared" si="13"/>
        <v>0</v>
      </c>
    </row>
    <row r="487">
      <c r="AB487" s="308">
        <v>59657.0</v>
      </c>
      <c r="AC487" s="299">
        <f t="shared" si="15"/>
        <v>0</v>
      </c>
      <c r="AD487" s="296">
        <f t="shared" si="16"/>
        <v>0</v>
      </c>
      <c r="AE487" s="299">
        <f t="shared" si="12"/>
        <v>0</v>
      </c>
      <c r="AF487" s="299">
        <f t="shared" si="13"/>
        <v>0</v>
      </c>
    </row>
    <row r="488">
      <c r="AB488" s="308">
        <v>59688.0</v>
      </c>
      <c r="AC488" s="299">
        <f t="shared" si="15"/>
        <v>0</v>
      </c>
      <c r="AD488" s="296">
        <f t="shared" si="16"/>
        <v>0</v>
      </c>
      <c r="AE488" s="299">
        <f t="shared" si="12"/>
        <v>0</v>
      </c>
      <c r="AF488" s="299">
        <f t="shared" si="13"/>
        <v>0</v>
      </c>
    </row>
    <row r="489">
      <c r="AB489" s="308">
        <v>59718.0</v>
      </c>
      <c r="AC489" s="299">
        <f t="shared" si="15"/>
        <v>0</v>
      </c>
      <c r="AD489" s="296">
        <f t="shared" si="16"/>
        <v>0</v>
      </c>
      <c r="AE489" s="299">
        <f t="shared" si="12"/>
        <v>0</v>
      </c>
      <c r="AF489" s="299">
        <f t="shared" si="13"/>
        <v>0</v>
      </c>
    </row>
    <row r="490">
      <c r="AB490" s="308">
        <v>59749.0</v>
      </c>
      <c r="AC490" s="299">
        <f t="shared" si="15"/>
        <v>0</v>
      </c>
      <c r="AD490" s="296">
        <f t="shared" si="16"/>
        <v>0</v>
      </c>
      <c r="AE490" s="299">
        <f t="shared" si="12"/>
        <v>0</v>
      </c>
      <c r="AF490" s="299">
        <f t="shared" si="13"/>
        <v>0</v>
      </c>
    </row>
    <row r="491">
      <c r="AB491" s="308">
        <v>59780.0</v>
      </c>
      <c r="AC491" s="299">
        <f t="shared" si="15"/>
        <v>0</v>
      </c>
      <c r="AD491" s="296">
        <f t="shared" si="16"/>
        <v>0</v>
      </c>
      <c r="AE491" s="299">
        <f t="shared" si="12"/>
        <v>0</v>
      </c>
      <c r="AF491" s="299">
        <f t="shared" si="13"/>
        <v>0</v>
      </c>
    </row>
    <row r="492">
      <c r="AB492" s="308">
        <v>59810.0</v>
      </c>
      <c r="AC492" s="299">
        <f t="shared" si="15"/>
        <v>0</v>
      </c>
      <c r="AD492" s="296">
        <f t="shared" si="16"/>
        <v>0</v>
      </c>
      <c r="AE492" s="299">
        <f t="shared" si="12"/>
        <v>0</v>
      </c>
      <c r="AF492" s="299">
        <f t="shared" si="13"/>
        <v>0</v>
      </c>
    </row>
    <row r="493">
      <c r="AB493" s="308">
        <v>59841.0</v>
      </c>
      <c r="AC493" s="299">
        <f t="shared" si="15"/>
        <v>0</v>
      </c>
      <c r="AD493" s="296">
        <f t="shared" si="16"/>
        <v>0</v>
      </c>
      <c r="AE493" s="299">
        <f t="shared" si="12"/>
        <v>0</v>
      </c>
      <c r="AF493" s="299">
        <f t="shared" si="13"/>
        <v>0</v>
      </c>
    </row>
    <row r="494">
      <c r="AB494" s="308">
        <v>59871.0</v>
      </c>
      <c r="AC494" s="299">
        <f t="shared" si="15"/>
        <v>0</v>
      </c>
      <c r="AD494" s="296">
        <f t="shared" si="16"/>
        <v>0</v>
      </c>
      <c r="AE494" s="299">
        <f t="shared" si="12"/>
        <v>0</v>
      </c>
      <c r="AF494" s="299">
        <f t="shared" si="13"/>
        <v>0</v>
      </c>
    </row>
    <row r="495">
      <c r="AB495" s="308">
        <v>59902.0</v>
      </c>
      <c r="AC495" s="299">
        <f t="shared" si="15"/>
        <v>0</v>
      </c>
      <c r="AD495" s="296">
        <f t="shared" si="16"/>
        <v>0</v>
      </c>
      <c r="AE495" s="299">
        <f t="shared" si="12"/>
        <v>0</v>
      </c>
      <c r="AF495" s="299">
        <f t="shared" si="13"/>
        <v>0</v>
      </c>
    </row>
    <row r="496">
      <c r="AB496" s="308">
        <v>59933.0</v>
      </c>
      <c r="AC496" s="299">
        <f t="shared" si="15"/>
        <v>0</v>
      </c>
      <c r="AD496" s="296">
        <f t="shared" si="16"/>
        <v>0</v>
      </c>
      <c r="AE496" s="299">
        <f t="shared" si="12"/>
        <v>0</v>
      </c>
      <c r="AF496" s="299">
        <f t="shared" si="13"/>
        <v>0</v>
      </c>
    </row>
    <row r="497">
      <c r="AB497" s="308">
        <v>59962.0</v>
      </c>
      <c r="AC497" s="299">
        <f t="shared" si="15"/>
        <v>0</v>
      </c>
      <c r="AD497" s="296">
        <f t="shared" si="16"/>
        <v>0</v>
      </c>
      <c r="AE497" s="299">
        <f t="shared" si="12"/>
        <v>0</v>
      </c>
      <c r="AF497" s="299">
        <f t="shared" si="13"/>
        <v>0</v>
      </c>
    </row>
    <row r="498">
      <c r="AB498" s="308">
        <v>59993.0</v>
      </c>
      <c r="AC498" s="299">
        <f t="shared" si="15"/>
        <v>0</v>
      </c>
      <c r="AD498" s="296">
        <f t="shared" si="16"/>
        <v>0</v>
      </c>
      <c r="AE498" s="299">
        <f t="shared" si="12"/>
        <v>0</v>
      </c>
      <c r="AF498" s="299">
        <f t="shared" si="13"/>
        <v>0</v>
      </c>
    </row>
    <row r="499">
      <c r="AB499" s="308">
        <v>60023.0</v>
      </c>
      <c r="AC499" s="299">
        <f t="shared" si="15"/>
        <v>0</v>
      </c>
      <c r="AD499" s="296">
        <f t="shared" si="16"/>
        <v>0</v>
      </c>
      <c r="AE499" s="299">
        <f t="shared" si="12"/>
        <v>0</v>
      </c>
      <c r="AF499" s="299">
        <f t="shared" si="13"/>
        <v>0</v>
      </c>
    </row>
    <row r="500">
      <c r="AB500" s="308">
        <v>60054.0</v>
      </c>
      <c r="AC500" s="299">
        <f t="shared" si="15"/>
        <v>0</v>
      </c>
      <c r="AD500" s="296">
        <f t="shared" si="16"/>
        <v>0</v>
      </c>
      <c r="AE500" s="299">
        <f t="shared" si="12"/>
        <v>0</v>
      </c>
      <c r="AF500" s="299">
        <f t="shared" si="13"/>
        <v>0</v>
      </c>
    </row>
    <row r="501">
      <c r="AB501" s="308">
        <v>60084.0</v>
      </c>
      <c r="AC501" s="299">
        <f t="shared" si="15"/>
        <v>0</v>
      </c>
      <c r="AD501" s="296">
        <f t="shared" si="16"/>
        <v>0</v>
      </c>
      <c r="AE501" s="299">
        <f t="shared" si="12"/>
        <v>0</v>
      </c>
      <c r="AF501" s="299">
        <f t="shared" si="13"/>
        <v>0</v>
      </c>
    </row>
    <row r="502">
      <c r="AB502" s="308">
        <v>60115.0</v>
      </c>
      <c r="AC502" s="299">
        <f t="shared" si="15"/>
        <v>0</v>
      </c>
      <c r="AD502" s="296">
        <f t="shared" si="16"/>
        <v>0</v>
      </c>
      <c r="AE502" s="299">
        <f t="shared" si="12"/>
        <v>0</v>
      </c>
      <c r="AF502" s="299">
        <f t="shared" si="13"/>
        <v>0</v>
      </c>
    </row>
    <row r="503">
      <c r="AB503" s="308">
        <v>60146.0</v>
      </c>
      <c r="AC503" s="299">
        <f t="shared" si="15"/>
        <v>0</v>
      </c>
      <c r="AD503" s="296">
        <f t="shared" si="16"/>
        <v>0</v>
      </c>
      <c r="AE503" s="299">
        <f t="shared" si="12"/>
        <v>0</v>
      </c>
      <c r="AF503" s="299">
        <f t="shared" si="13"/>
        <v>0</v>
      </c>
    </row>
    <row r="504">
      <c r="AB504" s="308">
        <v>60176.0</v>
      </c>
      <c r="AC504" s="299">
        <f t="shared" si="15"/>
        <v>0</v>
      </c>
      <c r="AD504" s="296">
        <f t="shared" si="16"/>
        <v>0</v>
      </c>
      <c r="AE504" s="299">
        <f t="shared" si="12"/>
        <v>0</v>
      </c>
      <c r="AF504" s="299">
        <f t="shared" si="13"/>
        <v>0</v>
      </c>
    </row>
    <row r="505">
      <c r="AB505" s="308">
        <v>60207.0</v>
      </c>
      <c r="AC505" s="299">
        <f t="shared" si="15"/>
        <v>0</v>
      </c>
      <c r="AD505" s="296">
        <f t="shared" si="16"/>
        <v>0</v>
      </c>
      <c r="AE505" s="299">
        <f t="shared" si="12"/>
        <v>0</v>
      </c>
      <c r="AF505" s="299">
        <f t="shared" si="13"/>
        <v>0</v>
      </c>
    </row>
    <row r="506">
      <c r="AB506" s="308">
        <v>60237.0</v>
      </c>
      <c r="AC506" s="299">
        <f t="shared" si="15"/>
        <v>0</v>
      </c>
      <c r="AD506" s="296">
        <f t="shared" si="16"/>
        <v>0</v>
      </c>
      <c r="AE506" s="299">
        <f t="shared" si="12"/>
        <v>0</v>
      </c>
      <c r="AF506" s="299">
        <f t="shared" si="13"/>
        <v>0</v>
      </c>
    </row>
    <row r="507">
      <c r="AB507" s="308">
        <v>60268.0</v>
      </c>
      <c r="AC507" s="299">
        <f t="shared" si="15"/>
        <v>0</v>
      </c>
      <c r="AD507" s="296">
        <f t="shared" si="16"/>
        <v>0</v>
      </c>
      <c r="AE507" s="299">
        <f t="shared" si="12"/>
        <v>0</v>
      </c>
      <c r="AF507" s="299">
        <f t="shared" si="13"/>
        <v>0</v>
      </c>
    </row>
    <row r="508">
      <c r="AB508" s="308">
        <v>60299.0</v>
      </c>
      <c r="AC508" s="299">
        <f t="shared" si="15"/>
        <v>0</v>
      </c>
      <c r="AD508" s="296">
        <f t="shared" si="16"/>
        <v>0</v>
      </c>
      <c r="AE508" s="299">
        <f t="shared" si="12"/>
        <v>0</v>
      </c>
      <c r="AF508" s="299">
        <f t="shared" si="13"/>
        <v>0</v>
      </c>
    </row>
    <row r="509">
      <c r="AB509" s="308">
        <v>60327.0</v>
      </c>
      <c r="AC509" s="299">
        <f t="shared" si="15"/>
        <v>0</v>
      </c>
      <c r="AD509" s="296">
        <f t="shared" si="16"/>
        <v>0</v>
      </c>
      <c r="AE509" s="299">
        <f t="shared" si="12"/>
        <v>0</v>
      </c>
      <c r="AF509" s="299">
        <f t="shared" si="13"/>
        <v>0</v>
      </c>
    </row>
    <row r="510">
      <c r="AB510" s="308">
        <v>60358.0</v>
      </c>
      <c r="AC510" s="299">
        <f t="shared" si="15"/>
        <v>0</v>
      </c>
      <c r="AD510" s="296">
        <f t="shared" si="16"/>
        <v>0</v>
      </c>
      <c r="AE510" s="299">
        <f t="shared" si="12"/>
        <v>0</v>
      </c>
      <c r="AF510" s="299">
        <f t="shared" si="13"/>
        <v>0</v>
      </c>
    </row>
    <row r="511">
      <c r="AB511" s="308">
        <v>60388.0</v>
      </c>
      <c r="AC511" s="299">
        <f t="shared" si="15"/>
        <v>0</v>
      </c>
      <c r="AD511" s="296">
        <f t="shared" si="16"/>
        <v>0</v>
      </c>
      <c r="AE511" s="299">
        <f t="shared" si="12"/>
        <v>0</v>
      </c>
      <c r="AF511" s="299">
        <f t="shared" si="13"/>
        <v>0</v>
      </c>
    </row>
    <row r="512">
      <c r="AB512" s="308">
        <v>60419.0</v>
      </c>
      <c r="AC512" s="299">
        <f t="shared" si="15"/>
        <v>0</v>
      </c>
      <c r="AD512" s="296">
        <f t="shared" si="16"/>
        <v>0</v>
      </c>
      <c r="AE512" s="299">
        <f t="shared" si="12"/>
        <v>0</v>
      </c>
      <c r="AF512" s="299">
        <f t="shared" si="13"/>
        <v>0</v>
      </c>
    </row>
    <row r="513">
      <c r="AB513" s="308">
        <v>60449.0</v>
      </c>
      <c r="AC513" s="299">
        <f t="shared" si="15"/>
        <v>0</v>
      </c>
      <c r="AD513" s="296">
        <f t="shared" si="16"/>
        <v>0</v>
      </c>
      <c r="AE513" s="299">
        <f t="shared" si="12"/>
        <v>0</v>
      </c>
      <c r="AF513" s="299">
        <f t="shared" si="13"/>
        <v>0</v>
      </c>
    </row>
    <row r="514">
      <c r="AB514" s="308">
        <v>60480.0</v>
      </c>
      <c r="AC514" s="299">
        <f t="shared" si="15"/>
        <v>0</v>
      </c>
      <c r="AD514" s="296">
        <f t="shared" si="16"/>
        <v>0</v>
      </c>
      <c r="AE514" s="299">
        <f t="shared" si="12"/>
        <v>0</v>
      </c>
      <c r="AF514" s="299">
        <f t="shared" si="13"/>
        <v>0</v>
      </c>
    </row>
    <row r="515">
      <c r="AB515" s="308">
        <v>60511.0</v>
      </c>
      <c r="AC515" s="299">
        <f t="shared" si="15"/>
        <v>0</v>
      </c>
      <c r="AD515" s="296">
        <f t="shared" si="16"/>
        <v>0</v>
      </c>
      <c r="AE515" s="299">
        <f t="shared" si="12"/>
        <v>0</v>
      </c>
      <c r="AF515" s="299">
        <f t="shared" si="13"/>
        <v>0</v>
      </c>
    </row>
    <row r="516">
      <c r="AB516" s="308">
        <v>60541.0</v>
      </c>
      <c r="AC516" s="299">
        <f t="shared" si="15"/>
        <v>0</v>
      </c>
      <c r="AD516" s="296">
        <f t="shared" si="16"/>
        <v>0</v>
      </c>
      <c r="AE516" s="299">
        <f t="shared" si="12"/>
        <v>0</v>
      </c>
      <c r="AF516" s="299">
        <f t="shared" si="13"/>
        <v>0</v>
      </c>
    </row>
    <row r="517">
      <c r="AB517" s="308">
        <v>60572.0</v>
      </c>
      <c r="AC517" s="299">
        <f t="shared" si="15"/>
        <v>0</v>
      </c>
      <c r="AD517" s="296">
        <f t="shared" si="16"/>
        <v>0</v>
      </c>
      <c r="AE517" s="299">
        <f t="shared" si="12"/>
        <v>0</v>
      </c>
      <c r="AF517" s="299">
        <f t="shared" si="13"/>
        <v>0</v>
      </c>
    </row>
    <row r="518">
      <c r="AB518" s="308">
        <v>60602.0</v>
      </c>
      <c r="AC518" s="299">
        <f t="shared" si="15"/>
        <v>0</v>
      </c>
      <c r="AD518" s="296">
        <f t="shared" si="16"/>
        <v>0</v>
      </c>
      <c r="AE518" s="299">
        <f t="shared" si="12"/>
        <v>0</v>
      </c>
      <c r="AF518" s="299">
        <f t="shared" si="13"/>
        <v>0</v>
      </c>
    </row>
    <row r="519">
      <c r="AB519" s="308">
        <v>60633.0</v>
      </c>
      <c r="AC519" s="299">
        <f t="shared" si="15"/>
        <v>0</v>
      </c>
      <c r="AD519" s="296">
        <f t="shared" si="16"/>
        <v>0</v>
      </c>
      <c r="AE519" s="299">
        <f t="shared" si="12"/>
        <v>0</v>
      </c>
      <c r="AF519" s="299">
        <f t="shared" si="13"/>
        <v>0</v>
      </c>
    </row>
    <row r="520">
      <c r="AB520" s="308">
        <v>60664.0</v>
      </c>
      <c r="AC520" s="299">
        <f t="shared" si="15"/>
        <v>0</v>
      </c>
      <c r="AD520" s="296">
        <f t="shared" si="16"/>
        <v>0</v>
      </c>
      <c r="AE520" s="299">
        <f t="shared" si="12"/>
        <v>0</v>
      </c>
      <c r="AF520" s="299">
        <f t="shared" si="13"/>
        <v>0</v>
      </c>
    </row>
    <row r="521">
      <c r="AB521" s="308">
        <v>60692.0</v>
      </c>
      <c r="AC521" s="299">
        <f t="shared" si="15"/>
        <v>0</v>
      </c>
      <c r="AD521" s="296">
        <f t="shared" si="16"/>
        <v>0</v>
      </c>
      <c r="AE521" s="299">
        <f t="shared" si="12"/>
        <v>0</v>
      </c>
      <c r="AF521" s="299">
        <f t="shared" si="13"/>
        <v>0</v>
      </c>
    </row>
    <row r="522">
      <c r="AB522" s="308">
        <v>60723.0</v>
      </c>
      <c r="AC522" s="299">
        <f t="shared" si="15"/>
        <v>0</v>
      </c>
      <c r="AD522" s="296">
        <f t="shared" si="16"/>
        <v>0</v>
      </c>
      <c r="AE522" s="299">
        <f t="shared" si="12"/>
        <v>0</v>
      </c>
      <c r="AF522" s="299">
        <f t="shared" si="13"/>
        <v>0</v>
      </c>
    </row>
    <row r="523">
      <c r="AB523" s="308">
        <v>60753.0</v>
      </c>
      <c r="AC523" s="299">
        <f t="shared" si="15"/>
        <v>0</v>
      </c>
      <c r="AD523" s="296">
        <f t="shared" si="16"/>
        <v>0</v>
      </c>
      <c r="AE523" s="299">
        <f t="shared" si="12"/>
        <v>0</v>
      </c>
      <c r="AF523" s="299">
        <f t="shared" si="13"/>
        <v>0</v>
      </c>
    </row>
    <row r="524">
      <c r="AB524" s="308">
        <v>60784.0</v>
      </c>
      <c r="AC524" s="299">
        <f t="shared" si="15"/>
        <v>0</v>
      </c>
      <c r="AD524" s="296">
        <f t="shared" si="16"/>
        <v>0</v>
      </c>
      <c r="AE524" s="299">
        <f t="shared" si="12"/>
        <v>0</v>
      </c>
      <c r="AF524" s="299">
        <f t="shared" si="13"/>
        <v>0</v>
      </c>
    </row>
    <row r="525">
      <c r="AB525" s="308">
        <v>60814.0</v>
      </c>
      <c r="AC525" s="299">
        <f t="shared" si="15"/>
        <v>0</v>
      </c>
      <c r="AD525" s="296">
        <f t="shared" si="16"/>
        <v>0</v>
      </c>
      <c r="AE525" s="299">
        <f t="shared" si="12"/>
        <v>0</v>
      </c>
      <c r="AF525" s="299">
        <f t="shared" si="13"/>
        <v>0</v>
      </c>
    </row>
    <row r="526">
      <c r="AB526" s="308">
        <v>60845.0</v>
      </c>
      <c r="AC526" s="299">
        <f t="shared" si="15"/>
        <v>0</v>
      </c>
      <c r="AD526" s="296">
        <f t="shared" si="16"/>
        <v>0</v>
      </c>
      <c r="AE526" s="299">
        <f t="shared" si="12"/>
        <v>0</v>
      </c>
      <c r="AF526" s="299">
        <f t="shared" si="13"/>
        <v>0</v>
      </c>
    </row>
    <row r="527">
      <c r="AB527" s="308">
        <v>60876.0</v>
      </c>
      <c r="AC527" s="299">
        <f t="shared" si="15"/>
        <v>0</v>
      </c>
      <c r="AD527" s="296">
        <f t="shared" si="16"/>
        <v>0</v>
      </c>
      <c r="AE527" s="299">
        <f t="shared" si="12"/>
        <v>0</v>
      </c>
      <c r="AF527" s="299">
        <f t="shared" si="13"/>
        <v>0</v>
      </c>
    </row>
    <row r="528">
      <c r="AB528" s="308">
        <v>60906.0</v>
      </c>
      <c r="AC528" s="299">
        <f t="shared" si="15"/>
        <v>0</v>
      </c>
      <c r="AD528" s="296">
        <f t="shared" si="16"/>
        <v>0</v>
      </c>
      <c r="AE528" s="299">
        <f t="shared" si="12"/>
        <v>0</v>
      </c>
      <c r="AF528" s="299">
        <f t="shared" si="13"/>
        <v>0</v>
      </c>
    </row>
    <row r="529">
      <c r="AB529" s="308">
        <v>60937.0</v>
      </c>
      <c r="AC529" s="299">
        <f t="shared" si="15"/>
        <v>0</v>
      </c>
      <c r="AD529" s="296">
        <f t="shared" si="16"/>
        <v>0</v>
      </c>
      <c r="AE529" s="299">
        <f t="shared" si="12"/>
        <v>0</v>
      </c>
      <c r="AF529" s="299">
        <f t="shared" si="13"/>
        <v>0</v>
      </c>
    </row>
    <row r="530">
      <c r="AB530" s="308">
        <v>60967.0</v>
      </c>
      <c r="AC530" s="299">
        <f t="shared" si="15"/>
        <v>0</v>
      </c>
      <c r="AD530" s="296">
        <f t="shared" si="16"/>
        <v>0</v>
      </c>
      <c r="AE530" s="299">
        <f t="shared" si="12"/>
        <v>0</v>
      </c>
      <c r="AF530" s="299">
        <f t="shared" si="13"/>
        <v>0</v>
      </c>
    </row>
    <row r="531">
      <c r="AB531" s="308">
        <v>60998.0</v>
      </c>
      <c r="AC531" s="299">
        <f t="shared" si="15"/>
        <v>0</v>
      </c>
      <c r="AD531" s="296">
        <f t="shared" si="16"/>
        <v>0</v>
      </c>
      <c r="AE531" s="299">
        <f t="shared" si="12"/>
        <v>0</v>
      </c>
      <c r="AF531" s="299">
        <f t="shared" si="13"/>
        <v>0</v>
      </c>
    </row>
    <row r="532">
      <c r="AB532" s="308">
        <v>61029.0</v>
      </c>
      <c r="AC532" s="299">
        <f t="shared" si="15"/>
        <v>0</v>
      </c>
      <c r="AD532" s="296">
        <f t="shared" si="16"/>
        <v>0</v>
      </c>
      <c r="AE532" s="299">
        <f t="shared" si="12"/>
        <v>0</v>
      </c>
      <c r="AF532" s="299">
        <f t="shared" si="13"/>
        <v>0</v>
      </c>
    </row>
    <row r="533">
      <c r="AB533" s="308">
        <v>61057.0</v>
      </c>
      <c r="AC533" s="299">
        <f t="shared" si="15"/>
        <v>0</v>
      </c>
      <c r="AD533" s="296">
        <f t="shared" si="16"/>
        <v>0</v>
      </c>
      <c r="AE533" s="299">
        <f t="shared" si="12"/>
        <v>0</v>
      </c>
      <c r="AF533" s="299">
        <f t="shared" si="13"/>
        <v>0</v>
      </c>
    </row>
    <row r="534">
      <c r="AB534" s="308">
        <v>61088.0</v>
      </c>
      <c r="AC534" s="299">
        <f t="shared" si="15"/>
        <v>0</v>
      </c>
      <c r="AD534" s="296">
        <f t="shared" si="16"/>
        <v>0</v>
      </c>
      <c r="AE534" s="299">
        <f t="shared" si="12"/>
        <v>0</v>
      </c>
      <c r="AF534" s="299">
        <f t="shared" si="13"/>
        <v>0</v>
      </c>
    </row>
    <row r="535">
      <c r="AB535" s="308">
        <v>61118.0</v>
      </c>
      <c r="AC535" s="299">
        <f t="shared" si="15"/>
        <v>0</v>
      </c>
      <c r="AD535" s="296">
        <f t="shared" si="16"/>
        <v>0</v>
      </c>
      <c r="AE535" s="299">
        <f t="shared" si="12"/>
        <v>0</v>
      </c>
      <c r="AF535" s="299">
        <f t="shared" si="13"/>
        <v>0</v>
      </c>
    </row>
    <row r="536">
      <c r="AB536" s="308">
        <v>61149.0</v>
      </c>
      <c r="AC536" s="299">
        <f t="shared" si="15"/>
        <v>0</v>
      </c>
      <c r="AD536" s="296">
        <f t="shared" si="16"/>
        <v>0</v>
      </c>
      <c r="AE536" s="299">
        <f t="shared" si="12"/>
        <v>0</v>
      </c>
      <c r="AF536" s="299">
        <f t="shared" si="13"/>
        <v>0</v>
      </c>
    </row>
    <row r="537">
      <c r="AB537" s="308">
        <v>61179.0</v>
      </c>
      <c r="AC537" s="299">
        <f t="shared" si="15"/>
        <v>0</v>
      </c>
      <c r="AD537" s="296">
        <f t="shared" si="16"/>
        <v>0</v>
      </c>
      <c r="AE537" s="299">
        <f t="shared" si="12"/>
        <v>0</v>
      </c>
      <c r="AF537" s="299">
        <f t="shared" si="13"/>
        <v>0</v>
      </c>
    </row>
    <row r="538">
      <c r="AB538" s="308">
        <v>61210.0</v>
      </c>
      <c r="AC538" s="299">
        <f t="shared" si="15"/>
        <v>0</v>
      </c>
      <c r="AD538" s="296">
        <f t="shared" si="16"/>
        <v>0</v>
      </c>
      <c r="AE538" s="299">
        <f t="shared" si="12"/>
        <v>0</v>
      </c>
      <c r="AF538" s="299">
        <f t="shared" si="13"/>
        <v>0</v>
      </c>
    </row>
    <row r="539">
      <c r="AB539" s="308">
        <v>61241.0</v>
      </c>
      <c r="AC539" s="299">
        <f t="shared" si="15"/>
        <v>0</v>
      </c>
      <c r="AD539" s="296">
        <f t="shared" si="16"/>
        <v>0</v>
      </c>
      <c r="AE539" s="299">
        <f t="shared" si="12"/>
        <v>0</v>
      </c>
      <c r="AF539" s="299">
        <f t="shared" si="13"/>
        <v>0</v>
      </c>
    </row>
    <row r="540">
      <c r="AB540" s="308">
        <v>61271.0</v>
      </c>
      <c r="AC540" s="299">
        <f t="shared" si="15"/>
        <v>0</v>
      </c>
      <c r="AD540" s="296">
        <f t="shared" si="16"/>
        <v>0</v>
      </c>
      <c r="AE540" s="299">
        <f t="shared" si="12"/>
        <v>0</v>
      </c>
      <c r="AF540" s="299">
        <f t="shared" si="13"/>
        <v>0</v>
      </c>
    </row>
    <row r="541">
      <c r="AB541" s="308">
        <v>61302.0</v>
      </c>
      <c r="AC541" s="299">
        <f t="shared" si="15"/>
        <v>0</v>
      </c>
      <c r="AD541" s="296">
        <f t="shared" si="16"/>
        <v>0</v>
      </c>
      <c r="AE541" s="299">
        <f t="shared" si="12"/>
        <v>0</v>
      </c>
      <c r="AF541" s="299">
        <f t="shared" si="13"/>
        <v>0</v>
      </c>
    </row>
    <row r="542">
      <c r="AB542" s="308">
        <v>61332.0</v>
      </c>
      <c r="AC542" s="299">
        <f t="shared" si="15"/>
        <v>0</v>
      </c>
      <c r="AD542" s="296">
        <f t="shared" si="16"/>
        <v>0</v>
      </c>
      <c r="AE542" s="299">
        <f t="shared" si="12"/>
        <v>0</v>
      </c>
      <c r="AF542" s="299">
        <f t="shared" si="13"/>
        <v>0</v>
      </c>
    </row>
    <row r="543">
      <c r="AB543" s="308">
        <v>61363.0</v>
      </c>
      <c r="AC543" s="299">
        <f t="shared" si="15"/>
        <v>0</v>
      </c>
      <c r="AD543" s="296">
        <f t="shared" si="16"/>
        <v>0</v>
      </c>
      <c r="AE543" s="299">
        <f t="shared" si="12"/>
        <v>0</v>
      </c>
      <c r="AF543" s="299">
        <f t="shared" si="13"/>
        <v>0</v>
      </c>
    </row>
    <row r="544">
      <c r="AB544" s="308">
        <v>61394.0</v>
      </c>
      <c r="AC544" s="299">
        <f t="shared" si="15"/>
        <v>0</v>
      </c>
      <c r="AD544" s="296">
        <f t="shared" si="16"/>
        <v>0</v>
      </c>
      <c r="AE544" s="299">
        <f t="shared" si="12"/>
        <v>0</v>
      </c>
      <c r="AF544" s="299">
        <f t="shared" si="13"/>
        <v>0</v>
      </c>
    </row>
    <row r="545">
      <c r="AB545" s="308">
        <v>61423.0</v>
      </c>
      <c r="AC545" s="299">
        <f t="shared" si="15"/>
        <v>0</v>
      </c>
      <c r="AD545" s="296">
        <f t="shared" si="16"/>
        <v>0</v>
      </c>
      <c r="AE545" s="299">
        <f t="shared" si="12"/>
        <v>0</v>
      </c>
      <c r="AF545" s="299">
        <f t="shared" si="13"/>
        <v>0</v>
      </c>
    </row>
    <row r="546">
      <c r="AB546" s="308">
        <v>61454.0</v>
      </c>
      <c r="AC546" s="299">
        <f t="shared" si="15"/>
        <v>0</v>
      </c>
      <c r="AD546" s="296">
        <f t="shared" si="16"/>
        <v>0</v>
      </c>
      <c r="AE546" s="299">
        <f t="shared" si="12"/>
        <v>0</v>
      </c>
      <c r="AF546" s="299">
        <f t="shared" si="13"/>
        <v>0</v>
      </c>
    </row>
    <row r="547">
      <c r="AB547" s="308">
        <v>61484.0</v>
      </c>
      <c r="AC547" s="299">
        <f t="shared" si="15"/>
        <v>0</v>
      </c>
      <c r="AD547" s="296">
        <f t="shared" si="16"/>
        <v>0</v>
      </c>
      <c r="AE547" s="299">
        <f t="shared" si="12"/>
        <v>0</v>
      </c>
      <c r="AF547" s="299">
        <f t="shared" si="13"/>
        <v>0</v>
      </c>
    </row>
    <row r="548">
      <c r="AB548" s="308">
        <v>61515.0</v>
      </c>
      <c r="AC548" s="299">
        <f t="shared" si="15"/>
        <v>0</v>
      </c>
      <c r="AD548" s="296">
        <f t="shared" si="16"/>
        <v>0</v>
      </c>
      <c r="AE548" s="299">
        <f t="shared" si="12"/>
        <v>0</v>
      </c>
      <c r="AF548" s="299">
        <f t="shared" si="13"/>
        <v>0</v>
      </c>
    </row>
    <row r="549">
      <c r="AB549" s="308">
        <v>61545.0</v>
      </c>
      <c r="AC549" s="299">
        <f t="shared" si="15"/>
        <v>0</v>
      </c>
      <c r="AD549" s="296">
        <f t="shared" si="16"/>
        <v>0</v>
      </c>
      <c r="AE549" s="299">
        <f t="shared" si="12"/>
        <v>0</v>
      </c>
      <c r="AF549" s="299">
        <f t="shared" si="13"/>
        <v>0</v>
      </c>
    </row>
    <row r="550">
      <c r="AB550" s="308">
        <v>61576.0</v>
      </c>
      <c r="AC550" s="299">
        <f t="shared" si="15"/>
        <v>0</v>
      </c>
      <c r="AD550" s="296">
        <f t="shared" si="16"/>
        <v>0</v>
      </c>
      <c r="AE550" s="299">
        <f t="shared" si="12"/>
        <v>0</v>
      </c>
      <c r="AF550" s="299">
        <f t="shared" si="13"/>
        <v>0</v>
      </c>
    </row>
    <row r="551">
      <c r="AB551" s="308">
        <v>61607.0</v>
      </c>
      <c r="AC551" s="299">
        <f t="shared" si="15"/>
        <v>0</v>
      </c>
      <c r="AD551" s="296">
        <f t="shared" si="16"/>
        <v>0</v>
      </c>
      <c r="AE551" s="299">
        <f t="shared" si="12"/>
        <v>0</v>
      </c>
      <c r="AF551" s="299">
        <f t="shared" si="13"/>
        <v>0</v>
      </c>
    </row>
    <row r="552">
      <c r="AB552" s="308">
        <v>61637.0</v>
      </c>
      <c r="AC552" s="299">
        <f t="shared" si="15"/>
        <v>0</v>
      </c>
      <c r="AD552" s="296">
        <f t="shared" si="16"/>
        <v>0</v>
      </c>
      <c r="AE552" s="299">
        <f t="shared" si="12"/>
        <v>0</v>
      </c>
      <c r="AF552" s="299">
        <f t="shared" si="13"/>
        <v>0</v>
      </c>
    </row>
    <row r="553">
      <c r="AB553" s="308">
        <v>61668.0</v>
      </c>
      <c r="AC553" s="299">
        <f t="shared" si="15"/>
        <v>0</v>
      </c>
      <c r="AD553" s="296">
        <f t="shared" si="16"/>
        <v>0</v>
      </c>
      <c r="AE553" s="299">
        <f t="shared" si="12"/>
        <v>0</v>
      </c>
      <c r="AF553" s="299">
        <f t="shared" si="13"/>
        <v>0</v>
      </c>
    </row>
    <row r="554">
      <c r="AB554" s="308">
        <v>61698.0</v>
      </c>
      <c r="AC554" s="299">
        <f t="shared" si="15"/>
        <v>0</v>
      </c>
      <c r="AD554" s="296">
        <f t="shared" si="16"/>
        <v>0</v>
      </c>
      <c r="AE554" s="299">
        <f t="shared" si="12"/>
        <v>0</v>
      </c>
      <c r="AF554" s="299">
        <f t="shared" si="13"/>
        <v>0</v>
      </c>
    </row>
    <row r="555">
      <c r="AB555" s="308">
        <v>61729.0</v>
      </c>
      <c r="AC555" s="299">
        <f t="shared" si="15"/>
        <v>0</v>
      </c>
      <c r="AD555" s="296">
        <f t="shared" si="16"/>
        <v>0</v>
      </c>
      <c r="AE555" s="299">
        <f t="shared" si="12"/>
        <v>0</v>
      </c>
      <c r="AF555" s="299">
        <f t="shared" si="13"/>
        <v>0</v>
      </c>
    </row>
    <row r="556">
      <c r="AB556" s="308">
        <v>61760.0</v>
      </c>
      <c r="AC556" s="299">
        <f t="shared" si="15"/>
        <v>0</v>
      </c>
      <c r="AD556" s="296">
        <f t="shared" si="16"/>
        <v>0</v>
      </c>
      <c r="AE556" s="299">
        <f t="shared" si="12"/>
        <v>0</v>
      </c>
      <c r="AF556" s="299">
        <f t="shared" si="13"/>
        <v>0</v>
      </c>
    </row>
    <row r="557">
      <c r="AB557" s="308">
        <v>61788.0</v>
      </c>
      <c r="AC557" s="299">
        <f t="shared" si="15"/>
        <v>0</v>
      </c>
      <c r="AD557" s="296">
        <f t="shared" si="16"/>
        <v>0</v>
      </c>
      <c r="AE557" s="299">
        <f t="shared" si="12"/>
        <v>0</v>
      </c>
      <c r="AF557" s="299">
        <f t="shared" si="13"/>
        <v>0</v>
      </c>
    </row>
    <row r="558">
      <c r="AB558" s="308">
        <v>61819.0</v>
      </c>
      <c r="AC558" s="299">
        <f t="shared" si="15"/>
        <v>0</v>
      </c>
      <c r="AD558" s="296">
        <f t="shared" si="16"/>
        <v>0</v>
      </c>
      <c r="AE558" s="299">
        <f t="shared" si="12"/>
        <v>0</v>
      </c>
      <c r="AF558" s="299">
        <f t="shared" si="13"/>
        <v>0</v>
      </c>
    </row>
    <row r="559">
      <c r="AB559" s="308">
        <v>61849.0</v>
      </c>
      <c r="AC559" s="299">
        <f t="shared" si="15"/>
        <v>0</v>
      </c>
      <c r="AD559" s="296">
        <f t="shared" si="16"/>
        <v>0</v>
      </c>
      <c r="AE559" s="299">
        <f t="shared" si="12"/>
        <v>0</v>
      </c>
      <c r="AF559" s="299">
        <f t="shared" si="13"/>
        <v>0</v>
      </c>
    </row>
    <row r="560">
      <c r="AB560" s="308">
        <v>61880.0</v>
      </c>
      <c r="AC560" s="299">
        <f t="shared" si="15"/>
        <v>0</v>
      </c>
      <c r="AD560" s="296">
        <f t="shared" si="16"/>
        <v>0</v>
      </c>
      <c r="AE560" s="299">
        <f t="shared" si="12"/>
        <v>0</v>
      </c>
      <c r="AF560" s="299">
        <f t="shared" si="13"/>
        <v>0</v>
      </c>
    </row>
    <row r="561">
      <c r="AB561" s="308">
        <v>61910.0</v>
      </c>
      <c r="AC561" s="299">
        <f t="shared" si="15"/>
        <v>0</v>
      </c>
      <c r="AD561" s="296">
        <f t="shared" si="16"/>
        <v>0</v>
      </c>
      <c r="AE561" s="299">
        <f t="shared" si="12"/>
        <v>0</v>
      </c>
      <c r="AF561" s="299">
        <f t="shared" si="13"/>
        <v>0</v>
      </c>
    </row>
    <row r="562">
      <c r="AB562" s="308">
        <v>61941.0</v>
      </c>
      <c r="AC562" s="299">
        <f t="shared" si="15"/>
        <v>0</v>
      </c>
      <c r="AD562" s="296">
        <f t="shared" si="16"/>
        <v>0</v>
      </c>
      <c r="AE562" s="299">
        <f t="shared" si="12"/>
        <v>0</v>
      </c>
      <c r="AF562" s="299">
        <f t="shared" si="13"/>
        <v>0</v>
      </c>
    </row>
    <row r="563">
      <c r="AB563" s="308">
        <v>61972.0</v>
      </c>
      <c r="AC563" s="299">
        <f t="shared" si="15"/>
        <v>0</v>
      </c>
      <c r="AD563" s="296">
        <f t="shared" si="16"/>
        <v>0</v>
      </c>
      <c r="AE563" s="299">
        <f t="shared" si="12"/>
        <v>0</v>
      </c>
      <c r="AF563" s="299">
        <f t="shared" si="13"/>
        <v>0</v>
      </c>
    </row>
    <row r="564">
      <c r="AB564" s="308">
        <v>62002.0</v>
      </c>
      <c r="AC564" s="299">
        <f t="shared" si="15"/>
        <v>0</v>
      </c>
      <c r="AD564" s="296">
        <f t="shared" si="16"/>
        <v>0</v>
      </c>
      <c r="AE564" s="299">
        <f t="shared" si="12"/>
        <v>0</v>
      </c>
      <c r="AF564" s="299">
        <f t="shared" si="13"/>
        <v>0</v>
      </c>
    </row>
    <row r="565">
      <c r="AB565" s="308">
        <v>62033.0</v>
      </c>
      <c r="AC565" s="299">
        <f t="shared" si="15"/>
        <v>0</v>
      </c>
      <c r="AD565" s="296">
        <f t="shared" si="16"/>
        <v>0</v>
      </c>
      <c r="AE565" s="299">
        <f t="shared" si="12"/>
        <v>0</v>
      </c>
      <c r="AF565" s="299">
        <f t="shared" si="13"/>
        <v>0</v>
      </c>
    </row>
    <row r="566">
      <c r="AB566" s="308">
        <v>62063.0</v>
      </c>
      <c r="AC566" s="299">
        <f t="shared" si="15"/>
        <v>0</v>
      </c>
      <c r="AD566" s="296">
        <f t="shared" si="16"/>
        <v>0</v>
      </c>
      <c r="AE566" s="299">
        <f t="shared" si="12"/>
        <v>0</v>
      </c>
      <c r="AF566" s="299">
        <f t="shared" si="13"/>
        <v>0</v>
      </c>
    </row>
    <row r="567">
      <c r="AB567" s="308">
        <v>62094.0</v>
      </c>
      <c r="AC567" s="299">
        <f t="shared" si="15"/>
        <v>0</v>
      </c>
      <c r="AD567" s="296">
        <f t="shared" si="16"/>
        <v>0</v>
      </c>
      <c r="AE567" s="299">
        <f t="shared" si="12"/>
        <v>0</v>
      </c>
      <c r="AF567" s="299">
        <f t="shared" si="13"/>
        <v>0</v>
      </c>
    </row>
    <row r="568">
      <c r="AB568" s="308">
        <v>62125.0</v>
      </c>
      <c r="AC568" s="299">
        <f t="shared" si="15"/>
        <v>0</v>
      </c>
      <c r="AD568" s="296">
        <f t="shared" si="16"/>
        <v>0</v>
      </c>
      <c r="AE568" s="299">
        <f t="shared" si="12"/>
        <v>0</v>
      </c>
      <c r="AF568" s="299">
        <f t="shared" si="13"/>
        <v>0</v>
      </c>
    </row>
    <row r="569">
      <c r="AB569" s="308">
        <v>62153.0</v>
      </c>
      <c r="AC569" s="299">
        <f t="shared" si="15"/>
        <v>0</v>
      </c>
      <c r="AD569" s="296">
        <f t="shared" si="16"/>
        <v>0</v>
      </c>
      <c r="AE569" s="299">
        <f t="shared" si="12"/>
        <v>0</v>
      </c>
      <c r="AF569" s="299">
        <f t="shared" si="13"/>
        <v>0</v>
      </c>
    </row>
    <row r="570">
      <c r="AB570" s="308">
        <v>62184.0</v>
      </c>
      <c r="AC570" s="299">
        <f t="shared" si="15"/>
        <v>0</v>
      </c>
      <c r="AD570" s="296">
        <f t="shared" si="16"/>
        <v>0</v>
      </c>
      <c r="AE570" s="299">
        <f t="shared" si="12"/>
        <v>0</v>
      </c>
      <c r="AF570" s="299">
        <f t="shared" si="13"/>
        <v>0</v>
      </c>
    </row>
    <row r="571">
      <c r="AB571" s="308">
        <v>62214.0</v>
      </c>
      <c r="AC571" s="299">
        <f t="shared" si="15"/>
        <v>0</v>
      </c>
      <c r="AD571" s="296">
        <f t="shared" si="16"/>
        <v>0</v>
      </c>
      <c r="AE571" s="299">
        <f t="shared" si="12"/>
        <v>0</v>
      </c>
      <c r="AF571" s="299">
        <f t="shared" si="13"/>
        <v>0</v>
      </c>
    </row>
    <row r="572">
      <c r="AB572" s="308">
        <v>62245.0</v>
      </c>
      <c r="AC572" s="299">
        <f t="shared" si="15"/>
        <v>0</v>
      </c>
      <c r="AD572" s="296">
        <f t="shared" si="16"/>
        <v>0</v>
      </c>
      <c r="AE572" s="299">
        <f t="shared" si="12"/>
        <v>0</v>
      </c>
      <c r="AF572" s="299">
        <f t="shared" si="13"/>
        <v>0</v>
      </c>
    </row>
    <row r="573">
      <c r="AB573" s="308">
        <v>62275.0</v>
      </c>
      <c r="AC573" s="299">
        <f t="shared" si="15"/>
        <v>0</v>
      </c>
      <c r="AD573" s="296">
        <f t="shared" si="16"/>
        <v>0</v>
      </c>
      <c r="AE573" s="299">
        <f t="shared" si="12"/>
        <v>0</v>
      </c>
      <c r="AF573" s="299">
        <f t="shared" si="13"/>
        <v>0</v>
      </c>
    </row>
    <row r="574">
      <c r="AB574" s="308">
        <v>62306.0</v>
      </c>
      <c r="AC574" s="299">
        <f t="shared" si="15"/>
        <v>0</v>
      </c>
      <c r="AD574" s="296">
        <f t="shared" si="16"/>
        <v>0</v>
      </c>
      <c r="AE574" s="299">
        <f t="shared" si="12"/>
        <v>0</v>
      </c>
      <c r="AF574" s="299">
        <f t="shared" si="13"/>
        <v>0</v>
      </c>
    </row>
    <row r="575">
      <c r="AB575" s="308">
        <v>62337.0</v>
      </c>
      <c r="AC575" s="299">
        <f t="shared" si="15"/>
        <v>0</v>
      </c>
      <c r="AD575" s="296">
        <f t="shared" si="16"/>
        <v>0</v>
      </c>
      <c r="AE575" s="299">
        <f t="shared" si="12"/>
        <v>0</v>
      </c>
      <c r="AF575" s="299">
        <f t="shared" si="13"/>
        <v>0</v>
      </c>
    </row>
    <row r="576">
      <c r="AB576" s="308">
        <v>62367.0</v>
      </c>
      <c r="AC576" s="299">
        <f t="shared" si="15"/>
        <v>0</v>
      </c>
      <c r="AD576" s="296">
        <f t="shared" si="16"/>
        <v>0</v>
      </c>
      <c r="AE576" s="299">
        <f t="shared" si="12"/>
        <v>0</v>
      </c>
      <c r="AF576" s="299">
        <f t="shared" si="13"/>
        <v>0</v>
      </c>
    </row>
    <row r="577">
      <c r="AB577" s="308">
        <v>62398.0</v>
      </c>
      <c r="AC577" s="299">
        <f t="shared" si="15"/>
        <v>0</v>
      </c>
      <c r="AD577" s="296">
        <f t="shared" si="16"/>
        <v>0</v>
      </c>
      <c r="AE577" s="299">
        <f t="shared" si="12"/>
        <v>0</v>
      </c>
      <c r="AF577" s="299">
        <f t="shared" si="13"/>
        <v>0</v>
      </c>
    </row>
    <row r="578">
      <c r="AB578" s="308">
        <v>62428.0</v>
      </c>
      <c r="AC578" s="299">
        <f t="shared" si="15"/>
        <v>0</v>
      </c>
      <c r="AD578" s="296">
        <f t="shared" si="16"/>
        <v>0</v>
      </c>
      <c r="AE578" s="299">
        <f t="shared" si="12"/>
        <v>0</v>
      </c>
      <c r="AF578" s="299">
        <f t="shared" si="13"/>
        <v>0</v>
      </c>
    </row>
    <row r="579">
      <c r="AB579" s="308">
        <v>62459.0</v>
      </c>
      <c r="AC579" s="299">
        <f t="shared" si="15"/>
        <v>0</v>
      </c>
      <c r="AD579" s="296">
        <f t="shared" si="16"/>
        <v>0</v>
      </c>
      <c r="AE579" s="299">
        <f t="shared" si="12"/>
        <v>0</v>
      </c>
      <c r="AF579" s="299">
        <f t="shared" si="13"/>
        <v>0</v>
      </c>
    </row>
    <row r="580">
      <c r="AB580" s="308">
        <v>62490.0</v>
      </c>
      <c r="AC580" s="299">
        <f t="shared" si="15"/>
        <v>0</v>
      </c>
      <c r="AD580" s="296">
        <f t="shared" si="16"/>
        <v>0</v>
      </c>
      <c r="AE580" s="299">
        <f t="shared" si="12"/>
        <v>0</v>
      </c>
      <c r="AF580" s="299">
        <f t="shared" si="13"/>
        <v>0</v>
      </c>
    </row>
    <row r="581">
      <c r="AB581" s="308">
        <v>62518.0</v>
      </c>
      <c r="AC581" s="299">
        <f t="shared" si="15"/>
        <v>0</v>
      </c>
      <c r="AD581" s="296">
        <f t="shared" si="16"/>
        <v>0</v>
      </c>
      <c r="AE581" s="299">
        <f t="shared" si="12"/>
        <v>0</v>
      </c>
      <c r="AF581" s="299">
        <f t="shared" si="13"/>
        <v>0</v>
      </c>
    </row>
    <row r="582">
      <c r="AB582" s="308">
        <v>62549.0</v>
      </c>
      <c r="AC582" s="299">
        <f t="shared" si="15"/>
        <v>0</v>
      </c>
      <c r="AD582" s="296">
        <f t="shared" si="16"/>
        <v>0</v>
      </c>
      <c r="AE582" s="299">
        <f t="shared" si="12"/>
        <v>0</v>
      </c>
      <c r="AF582" s="299">
        <f t="shared" si="13"/>
        <v>0</v>
      </c>
    </row>
    <row r="583">
      <c r="AB583" s="308">
        <v>62579.0</v>
      </c>
      <c r="AC583" s="299">
        <f t="shared" si="15"/>
        <v>0</v>
      </c>
      <c r="AD583" s="296">
        <f t="shared" si="16"/>
        <v>0</v>
      </c>
      <c r="AE583" s="299">
        <f t="shared" si="12"/>
        <v>0</v>
      </c>
      <c r="AF583" s="299">
        <f t="shared" si="13"/>
        <v>0</v>
      </c>
    </row>
    <row r="584">
      <c r="AB584" s="308">
        <v>62610.0</v>
      </c>
      <c r="AC584" s="299">
        <f t="shared" si="15"/>
        <v>0</v>
      </c>
      <c r="AD584" s="296">
        <f t="shared" si="16"/>
        <v>0</v>
      </c>
      <c r="AE584" s="299">
        <f t="shared" si="12"/>
        <v>0</v>
      </c>
      <c r="AF584" s="299">
        <f t="shared" si="13"/>
        <v>0</v>
      </c>
    </row>
    <row r="585">
      <c r="AB585" s="308">
        <v>62640.0</v>
      </c>
      <c r="AC585" s="299">
        <f t="shared" si="15"/>
        <v>0</v>
      </c>
      <c r="AD585" s="296">
        <f t="shared" si="16"/>
        <v>0</v>
      </c>
      <c r="AE585" s="299">
        <f t="shared" si="12"/>
        <v>0</v>
      </c>
      <c r="AF585" s="299">
        <f t="shared" si="13"/>
        <v>0</v>
      </c>
    </row>
    <row r="586">
      <c r="AB586" s="308">
        <v>62671.0</v>
      </c>
      <c r="AC586" s="299">
        <f t="shared" si="15"/>
        <v>0</v>
      </c>
      <c r="AD586" s="296">
        <f t="shared" si="16"/>
        <v>0</v>
      </c>
      <c r="AE586" s="299">
        <f t="shared" si="12"/>
        <v>0</v>
      </c>
      <c r="AF586" s="299">
        <f t="shared" si="13"/>
        <v>0</v>
      </c>
    </row>
    <row r="587">
      <c r="AB587" s="308">
        <v>62702.0</v>
      </c>
      <c r="AC587" s="299">
        <f t="shared" si="15"/>
        <v>0</v>
      </c>
      <c r="AD587" s="296">
        <f t="shared" si="16"/>
        <v>0</v>
      </c>
      <c r="AE587" s="299">
        <f t="shared" si="12"/>
        <v>0</v>
      </c>
      <c r="AF587" s="299">
        <f t="shared" si="13"/>
        <v>0</v>
      </c>
    </row>
    <row r="588">
      <c r="AB588" s="308">
        <v>62732.0</v>
      </c>
      <c r="AC588" s="299">
        <f t="shared" si="15"/>
        <v>0</v>
      </c>
      <c r="AD588" s="296">
        <f t="shared" si="16"/>
        <v>0</v>
      </c>
      <c r="AE588" s="299">
        <f t="shared" si="12"/>
        <v>0</v>
      </c>
      <c r="AF588" s="299">
        <f t="shared" si="13"/>
        <v>0</v>
      </c>
    </row>
    <row r="589">
      <c r="AB589" s="308">
        <v>62763.0</v>
      </c>
      <c r="AC589" s="299">
        <f t="shared" si="15"/>
        <v>0</v>
      </c>
      <c r="AD589" s="296">
        <f t="shared" si="16"/>
        <v>0</v>
      </c>
      <c r="AE589" s="299">
        <f t="shared" si="12"/>
        <v>0</v>
      </c>
      <c r="AF589" s="299">
        <f t="shared" si="13"/>
        <v>0</v>
      </c>
    </row>
    <row r="590">
      <c r="AB590" s="308">
        <v>62793.0</v>
      </c>
      <c r="AC590" s="299">
        <f t="shared" si="15"/>
        <v>0</v>
      </c>
      <c r="AD590" s="296">
        <f t="shared" si="16"/>
        <v>0</v>
      </c>
      <c r="AE590" s="299">
        <f t="shared" si="12"/>
        <v>0</v>
      </c>
      <c r="AF590" s="299">
        <f t="shared" si="13"/>
        <v>0</v>
      </c>
    </row>
    <row r="591">
      <c r="AB591" s="308">
        <v>62824.0</v>
      </c>
      <c r="AC591" s="299">
        <f t="shared" si="15"/>
        <v>0</v>
      </c>
      <c r="AD591" s="296">
        <f t="shared" si="16"/>
        <v>0</v>
      </c>
      <c r="AE591" s="299">
        <f t="shared" si="12"/>
        <v>0</v>
      </c>
      <c r="AF591" s="299">
        <f t="shared" si="13"/>
        <v>0</v>
      </c>
    </row>
    <row r="592">
      <c r="AB592" s="308">
        <v>62855.0</v>
      </c>
      <c r="AC592" s="299">
        <f t="shared" si="15"/>
        <v>0</v>
      </c>
      <c r="AD592" s="296">
        <f t="shared" si="16"/>
        <v>0</v>
      </c>
      <c r="AE592" s="299">
        <f t="shared" si="12"/>
        <v>0</v>
      </c>
      <c r="AF592" s="299">
        <f t="shared" si="13"/>
        <v>0</v>
      </c>
    </row>
    <row r="593">
      <c r="AB593" s="308">
        <v>62884.0</v>
      </c>
      <c r="AC593" s="299">
        <f t="shared" si="15"/>
        <v>0</v>
      </c>
      <c r="AD593" s="296">
        <f t="shared" si="16"/>
        <v>0</v>
      </c>
      <c r="AE593" s="299">
        <f t="shared" si="12"/>
        <v>0</v>
      </c>
      <c r="AF593" s="299">
        <f t="shared" si="13"/>
        <v>0</v>
      </c>
    </row>
    <row r="594">
      <c r="AB594" s="308">
        <v>62915.0</v>
      </c>
      <c r="AC594" s="299">
        <f t="shared" si="15"/>
        <v>0</v>
      </c>
      <c r="AD594" s="296">
        <f t="shared" si="16"/>
        <v>0</v>
      </c>
      <c r="AE594" s="299">
        <f t="shared" si="12"/>
        <v>0</v>
      </c>
      <c r="AF594" s="299">
        <f t="shared" si="13"/>
        <v>0</v>
      </c>
    </row>
    <row r="595">
      <c r="AB595" s="308">
        <v>62945.0</v>
      </c>
      <c r="AC595" s="299">
        <f t="shared" si="15"/>
        <v>0</v>
      </c>
      <c r="AD595" s="296">
        <f t="shared" si="16"/>
        <v>0</v>
      </c>
      <c r="AE595" s="299">
        <f t="shared" si="12"/>
        <v>0</v>
      </c>
      <c r="AF595" s="299">
        <f t="shared" si="13"/>
        <v>0</v>
      </c>
    </row>
    <row r="596">
      <c r="AB596" s="308">
        <v>62976.0</v>
      </c>
      <c r="AC596" s="299">
        <f t="shared" si="15"/>
        <v>0</v>
      </c>
      <c r="AD596" s="296">
        <f t="shared" si="16"/>
        <v>0</v>
      </c>
      <c r="AE596" s="299">
        <f t="shared" si="12"/>
        <v>0</v>
      </c>
      <c r="AF596" s="299">
        <f t="shared" si="13"/>
        <v>0</v>
      </c>
    </row>
    <row r="597">
      <c r="AB597" s="308">
        <v>63006.0</v>
      </c>
      <c r="AC597" s="299">
        <f t="shared" si="15"/>
        <v>0</v>
      </c>
      <c r="AD597" s="296">
        <f t="shared" si="16"/>
        <v>0</v>
      </c>
      <c r="AE597" s="299">
        <f t="shared" si="12"/>
        <v>0</v>
      </c>
      <c r="AF597" s="299">
        <f t="shared" si="13"/>
        <v>0</v>
      </c>
    </row>
    <row r="598">
      <c r="AB598" s="308">
        <v>63037.0</v>
      </c>
      <c r="AC598" s="299">
        <f t="shared" si="15"/>
        <v>0</v>
      </c>
      <c r="AD598" s="296">
        <f t="shared" si="16"/>
        <v>0</v>
      </c>
      <c r="AE598" s="299">
        <f t="shared" si="12"/>
        <v>0</v>
      </c>
      <c r="AF598" s="299">
        <f t="shared" si="13"/>
        <v>0</v>
      </c>
    </row>
    <row r="599">
      <c r="AB599" s="308">
        <v>63068.0</v>
      </c>
      <c r="AC599" s="299">
        <f t="shared" si="15"/>
        <v>0</v>
      </c>
      <c r="AD599" s="296">
        <f t="shared" si="16"/>
        <v>0</v>
      </c>
      <c r="AE599" s="299">
        <f t="shared" si="12"/>
        <v>0</v>
      </c>
      <c r="AF599" s="299">
        <f t="shared" si="13"/>
        <v>0</v>
      </c>
    </row>
    <row r="600">
      <c r="AB600" s="308">
        <v>63098.0</v>
      </c>
      <c r="AC600" s="299">
        <f t="shared" si="15"/>
        <v>0</v>
      </c>
      <c r="AD600" s="296">
        <f t="shared" si="16"/>
        <v>0</v>
      </c>
      <c r="AE600" s="299">
        <f t="shared" si="12"/>
        <v>0</v>
      </c>
      <c r="AF600" s="299">
        <f t="shared" si="13"/>
        <v>0</v>
      </c>
    </row>
    <row r="601">
      <c r="AB601" s="308">
        <v>63129.0</v>
      </c>
      <c r="AC601" s="299">
        <f t="shared" si="15"/>
        <v>0</v>
      </c>
      <c r="AD601" s="296">
        <f t="shared" si="16"/>
        <v>0</v>
      </c>
      <c r="AE601" s="299">
        <f t="shared" si="12"/>
        <v>0</v>
      </c>
      <c r="AF601" s="299">
        <f t="shared" si="13"/>
        <v>0</v>
      </c>
    </row>
    <row r="602">
      <c r="AB602" s="308">
        <v>63159.0</v>
      </c>
      <c r="AC602" s="299">
        <f t="shared" si="15"/>
        <v>0</v>
      </c>
      <c r="AD602" s="296">
        <f t="shared" si="16"/>
        <v>0</v>
      </c>
      <c r="AE602" s="299">
        <f t="shared" si="12"/>
        <v>0</v>
      </c>
      <c r="AF602" s="299">
        <f t="shared" si="13"/>
        <v>0</v>
      </c>
    </row>
    <row r="603">
      <c r="AB603" s="308">
        <v>63190.0</v>
      </c>
      <c r="AC603" s="299">
        <f t="shared" si="15"/>
        <v>0</v>
      </c>
      <c r="AD603" s="296">
        <f t="shared" si="16"/>
        <v>0</v>
      </c>
      <c r="AE603" s="299">
        <f t="shared" si="12"/>
        <v>0</v>
      </c>
      <c r="AF603" s="299">
        <f t="shared" si="13"/>
        <v>0</v>
      </c>
    </row>
    <row r="604">
      <c r="AB604" s="308">
        <v>63221.0</v>
      </c>
      <c r="AC604" s="299">
        <f t="shared" si="15"/>
        <v>0</v>
      </c>
      <c r="AD604" s="296">
        <f t="shared" si="16"/>
        <v>0</v>
      </c>
      <c r="AE604" s="299">
        <f t="shared" si="12"/>
        <v>0</v>
      </c>
      <c r="AF604" s="299">
        <f t="shared" si="13"/>
        <v>0</v>
      </c>
    </row>
    <row r="605">
      <c r="AB605" s="308">
        <v>63249.0</v>
      </c>
      <c r="AC605" s="299">
        <f t="shared" si="15"/>
        <v>0</v>
      </c>
      <c r="AD605" s="296">
        <f t="shared" si="16"/>
        <v>0</v>
      </c>
      <c r="AE605" s="299">
        <f t="shared" si="12"/>
        <v>0</v>
      </c>
      <c r="AF605" s="299">
        <f t="shared" si="13"/>
        <v>0</v>
      </c>
    </row>
    <row r="606">
      <c r="AB606" s="308">
        <v>63280.0</v>
      </c>
      <c r="AC606" s="299">
        <f t="shared" si="15"/>
        <v>0</v>
      </c>
      <c r="AD606" s="296">
        <f t="shared" si="16"/>
        <v>0</v>
      </c>
      <c r="AE606" s="299">
        <f t="shared" si="12"/>
        <v>0</v>
      </c>
      <c r="AF606" s="299">
        <f t="shared" si="13"/>
        <v>0</v>
      </c>
    </row>
    <row r="607">
      <c r="AB607" s="308">
        <v>63310.0</v>
      </c>
      <c r="AC607" s="299">
        <f t="shared" si="15"/>
        <v>0</v>
      </c>
      <c r="AD607" s="296">
        <f t="shared" si="16"/>
        <v>0</v>
      </c>
      <c r="AE607" s="299">
        <f t="shared" si="12"/>
        <v>0</v>
      </c>
      <c r="AF607" s="299">
        <f t="shared" si="13"/>
        <v>0</v>
      </c>
    </row>
    <row r="608">
      <c r="AB608" s="308">
        <v>63341.0</v>
      </c>
      <c r="AC608" s="299">
        <f t="shared" si="15"/>
        <v>0</v>
      </c>
      <c r="AD608" s="296">
        <f t="shared" si="16"/>
        <v>0</v>
      </c>
      <c r="AE608" s="299">
        <f t="shared" si="12"/>
        <v>0</v>
      </c>
      <c r="AF608" s="299">
        <f t="shared" si="13"/>
        <v>0</v>
      </c>
    </row>
    <row r="609">
      <c r="AB609" s="308">
        <v>63371.0</v>
      </c>
      <c r="AC609" s="299">
        <f t="shared" si="15"/>
        <v>0</v>
      </c>
      <c r="AD609" s="296">
        <f t="shared" si="16"/>
        <v>0</v>
      </c>
      <c r="AE609" s="299">
        <f t="shared" si="12"/>
        <v>0</v>
      </c>
      <c r="AF609" s="299">
        <f t="shared" si="13"/>
        <v>0</v>
      </c>
    </row>
    <row r="610">
      <c r="AB610" s="308">
        <v>63402.0</v>
      </c>
      <c r="AC610" s="299">
        <f t="shared" si="15"/>
        <v>0</v>
      </c>
      <c r="AD610" s="296">
        <f t="shared" si="16"/>
        <v>0</v>
      </c>
      <c r="AE610" s="299">
        <f t="shared" si="12"/>
        <v>0</v>
      </c>
      <c r="AF610" s="299">
        <f t="shared" si="13"/>
        <v>0</v>
      </c>
    </row>
    <row r="611">
      <c r="AB611" s="308">
        <v>63433.0</v>
      </c>
      <c r="AC611" s="299">
        <f t="shared" si="15"/>
        <v>0</v>
      </c>
      <c r="AD611" s="296">
        <f t="shared" si="16"/>
        <v>0</v>
      </c>
      <c r="AE611" s="299">
        <f t="shared" si="12"/>
        <v>0</v>
      </c>
      <c r="AF611" s="299">
        <f t="shared" si="13"/>
        <v>0</v>
      </c>
    </row>
    <row r="612">
      <c r="AB612" s="308">
        <v>63463.0</v>
      </c>
      <c r="AC612" s="299">
        <f t="shared" si="15"/>
        <v>0</v>
      </c>
      <c r="AD612" s="296">
        <f t="shared" si="16"/>
        <v>0</v>
      </c>
      <c r="AE612" s="299">
        <f t="shared" si="12"/>
        <v>0</v>
      </c>
      <c r="AF612" s="299">
        <f t="shared" si="13"/>
        <v>0</v>
      </c>
    </row>
    <row r="613">
      <c r="AB613" s="308">
        <v>63494.0</v>
      </c>
      <c r="AC613" s="299">
        <f t="shared" si="15"/>
        <v>0</v>
      </c>
      <c r="AD613" s="296">
        <f t="shared" si="16"/>
        <v>0</v>
      </c>
      <c r="AE613" s="299">
        <f t="shared" si="12"/>
        <v>0</v>
      </c>
      <c r="AF613" s="299">
        <f t="shared" si="13"/>
        <v>0</v>
      </c>
    </row>
    <row r="614">
      <c r="AB614" s="308">
        <v>63524.0</v>
      </c>
      <c r="AC614" s="299">
        <f t="shared" si="15"/>
        <v>0</v>
      </c>
      <c r="AD614" s="296">
        <f t="shared" si="16"/>
        <v>0</v>
      </c>
      <c r="AE614" s="299">
        <f t="shared" si="12"/>
        <v>0</v>
      </c>
      <c r="AF614" s="299">
        <f t="shared" si="13"/>
        <v>0</v>
      </c>
    </row>
    <row r="615">
      <c r="AB615" s="308">
        <v>63555.0</v>
      </c>
      <c r="AC615" s="299">
        <f t="shared" si="15"/>
        <v>0</v>
      </c>
      <c r="AD615" s="296">
        <f t="shared" si="16"/>
        <v>0</v>
      </c>
      <c r="AE615" s="299">
        <f t="shared" si="12"/>
        <v>0</v>
      </c>
      <c r="AF615" s="299">
        <f t="shared" si="13"/>
        <v>0</v>
      </c>
    </row>
    <row r="616">
      <c r="AB616" s="308">
        <v>63586.0</v>
      </c>
      <c r="AC616" s="299">
        <f t="shared" si="15"/>
        <v>0</v>
      </c>
      <c r="AD616" s="296">
        <f t="shared" si="16"/>
        <v>0</v>
      </c>
      <c r="AE616" s="299">
        <f t="shared" si="12"/>
        <v>0</v>
      </c>
      <c r="AF616" s="299">
        <f t="shared" si="13"/>
        <v>0</v>
      </c>
    </row>
    <row r="617">
      <c r="AB617" s="308">
        <v>63614.0</v>
      </c>
      <c r="AC617" s="299">
        <f t="shared" si="15"/>
        <v>0</v>
      </c>
      <c r="AD617" s="296">
        <f t="shared" si="16"/>
        <v>0</v>
      </c>
      <c r="AE617" s="299">
        <f t="shared" si="12"/>
        <v>0</v>
      </c>
      <c r="AF617" s="299">
        <f t="shared" si="13"/>
        <v>0</v>
      </c>
    </row>
    <row r="618">
      <c r="AB618" s="308">
        <v>63645.0</v>
      </c>
      <c r="AC618" s="299">
        <f t="shared" si="15"/>
        <v>0</v>
      </c>
      <c r="AD618" s="296">
        <f t="shared" si="16"/>
        <v>0</v>
      </c>
      <c r="AE618" s="299">
        <f t="shared" si="12"/>
        <v>0</v>
      </c>
      <c r="AF618" s="299">
        <f t="shared" si="13"/>
        <v>0</v>
      </c>
    </row>
    <row r="619">
      <c r="AB619" s="308">
        <v>63675.0</v>
      </c>
      <c r="AC619" s="299">
        <f t="shared" si="15"/>
        <v>0</v>
      </c>
      <c r="AD619" s="296">
        <f t="shared" si="16"/>
        <v>0</v>
      </c>
      <c r="AE619" s="299">
        <f t="shared" si="12"/>
        <v>0</v>
      </c>
      <c r="AF619" s="299">
        <f t="shared" si="13"/>
        <v>0</v>
      </c>
    </row>
    <row r="620">
      <c r="AB620" s="308">
        <v>63706.0</v>
      </c>
      <c r="AC620" s="299">
        <f t="shared" si="15"/>
        <v>0</v>
      </c>
      <c r="AD620" s="296">
        <f t="shared" si="16"/>
        <v>0</v>
      </c>
      <c r="AE620" s="299">
        <f t="shared" si="12"/>
        <v>0</v>
      </c>
      <c r="AF620" s="299">
        <f t="shared" si="13"/>
        <v>0</v>
      </c>
    </row>
    <row r="621">
      <c r="AB621" s="308">
        <v>63736.0</v>
      </c>
      <c r="AC621" s="299">
        <f t="shared" si="15"/>
        <v>0</v>
      </c>
      <c r="AD621" s="296">
        <f t="shared" si="16"/>
        <v>0</v>
      </c>
      <c r="AE621" s="299">
        <f t="shared" si="12"/>
        <v>0</v>
      </c>
      <c r="AF621" s="299">
        <f t="shared" si="13"/>
        <v>0</v>
      </c>
    </row>
    <row r="622">
      <c r="AB622" s="308">
        <v>63767.0</v>
      </c>
      <c r="AC622" s="299">
        <f t="shared" si="15"/>
        <v>0</v>
      </c>
      <c r="AD622" s="296">
        <f t="shared" si="16"/>
        <v>0</v>
      </c>
      <c r="AE622" s="299">
        <f t="shared" si="12"/>
        <v>0</v>
      </c>
      <c r="AF622" s="299">
        <f t="shared" si="13"/>
        <v>0</v>
      </c>
    </row>
    <row r="623">
      <c r="AB623" s="308">
        <v>63798.0</v>
      </c>
      <c r="AC623" s="299">
        <f t="shared" si="15"/>
        <v>0</v>
      </c>
      <c r="AD623" s="296">
        <f t="shared" si="16"/>
        <v>0</v>
      </c>
      <c r="AE623" s="299">
        <f t="shared" si="12"/>
        <v>0</v>
      </c>
      <c r="AF623" s="299">
        <f t="shared" si="13"/>
        <v>0</v>
      </c>
    </row>
    <row r="624">
      <c r="AB624" s="308">
        <v>63828.0</v>
      </c>
      <c r="AC624" s="299">
        <f t="shared" si="15"/>
        <v>0</v>
      </c>
      <c r="AD624" s="296">
        <f t="shared" si="16"/>
        <v>0</v>
      </c>
      <c r="AE624" s="299">
        <f t="shared" si="12"/>
        <v>0</v>
      </c>
      <c r="AF624" s="299">
        <f t="shared" si="13"/>
        <v>0</v>
      </c>
    </row>
    <row r="625">
      <c r="AB625" s="308">
        <v>63859.0</v>
      </c>
      <c r="AC625" s="299">
        <f t="shared" si="15"/>
        <v>0</v>
      </c>
      <c r="AD625" s="296">
        <f t="shared" si="16"/>
        <v>0</v>
      </c>
      <c r="AE625" s="299">
        <f t="shared" si="12"/>
        <v>0</v>
      </c>
      <c r="AF625" s="299">
        <f t="shared" si="13"/>
        <v>0</v>
      </c>
    </row>
    <row r="626">
      <c r="AB626" s="308">
        <v>63889.0</v>
      </c>
      <c r="AC626" s="299">
        <f t="shared" si="15"/>
        <v>0</v>
      </c>
      <c r="AD626" s="296">
        <f t="shared" si="16"/>
        <v>0</v>
      </c>
      <c r="AE626" s="299">
        <f t="shared" si="12"/>
        <v>0</v>
      </c>
      <c r="AF626" s="299">
        <f t="shared" si="13"/>
        <v>0</v>
      </c>
    </row>
    <row r="627">
      <c r="AB627" s="308">
        <v>63920.0</v>
      </c>
      <c r="AC627" s="299">
        <f t="shared" si="15"/>
        <v>0</v>
      </c>
      <c r="AD627" s="296">
        <f t="shared" si="16"/>
        <v>0</v>
      </c>
      <c r="AE627" s="299">
        <f t="shared" si="12"/>
        <v>0</v>
      </c>
      <c r="AF627" s="299">
        <f t="shared" si="13"/>
        <v>0</v>
      </c>
    </row>
    <row r="628">
      <c r="AB628" s="308">
        <v>63951.0</v>
      </c>
      <c r="AC628" s="299">
        <f t="shared" si="15"/>
        <v>0</v>
      </c>
      <c r="AD628" s="296">
        <f t="shared" si="16"/>
        <v>0</v>
      </c>
      <c r="AE628" s="299">
        <f t="shared" si="12"/>
        <v>0</v>
      </c>
      <c r="AF628" s="299">
        <f t="shared" si="13"/>
        <v>0</v>
      </c>
    </row>
    <row r="629">
      <c r="AB629" s="308">
        <v>63979.0</v>
      </c>
      <c r="AC629" s="299">
        <f t="shared" si="15"/>
        <v>0</v>
      </c>
      <c r="AD629" s="296">
        <f t="shared" si="16"/>
        <v>0</v>
      </c>
      <c r="AE629" s="299">
        <f t="shared" si="12"/>
        <v>0</v>
      </c>
      <c r="AF629" s="299">
        <f t="shared" si="13"/>
        <v>0</v>
      </c>
    </row>
    <row r="630">
      <c r="AB630" s="308">
        <v>64010.0</v>
      </c>
      <c r="AC630" s="299">
        <f t="shared" si="15"/>
        <v>0</v>
      </c>
      <c r="AD630" s="296">
        <f t="shared" si="16"/>
        <v>0</v>
      </c>
      <c r="AE630" s="299">
        <f t="shared" si="12"/>
        <v>0</v>
      </c>
      <c r="AF630" s="299">
        <f t="shared" si="13"/>
        <v>0</v>
      </c>
    </row>
    <row r="631">
      <c r="AB631" s="308">
        <v>64040.0</v>
      </c>
      <c r="AC631" s="299">
        <f t="shared" si="15"/>
        <v>0</v>
      </c>
      <c r="AD631" s="296">
        <f t="shared" si="16"/>
        <v>0</v>
      </c>
      <c r="AE631" s="299">
        <f t="shared" si="12"/>
        <v>0</v>
      </c>
      <c r="AF631" s="299">
        <f t="shared" si="13"/>
        <v>0</v>
      </c>
    </row>
    <row r="632">
      <c r="AB632" s="308">
        <v>64071.0</v>
      </c>
      <c r="AC632" s="299">
        <f t="shared" si="15"/>
        <v>0</v>
      </c>
      <c r="AD632" s="296">
        <f t="shared" si="16"/>
        <v>0</v>
      </c>
      <c r="AE632" s="299">
        <f t="shared" si="12"/>
        <v>0</v>
      </c>
      <c r="AF632" s="299">
        <f t="shared" si="13"/>
        <v>0</v>
      </c>
    </row>
    <row r="633">
      <c r="AB633" s="308">
        <v>64101.0</v>
      </c>
      <c r="AC633" s="299">
        <f t="shared" si="15"/>
        <v>0</v>
      </c>
      <c r="AD633" s="296">
        <f t="shared" si="16"/>
        <v>0</v>
      </c>
      <c r="AE633" s="299">
        <f t="shared" si="12"/>
        <v>0</v>
      </c>
      <c r="AF633" s="299">
        <f t="shared" si="13"/>
        <v>0</v>
      </c>
    </row>
    <row r="634">
      <c r="AB634" s="308">
        <v>64132.0</v>
      </c>
      <c r="AC634" s="299">
        <f t="shared" si="15"/>
        <v>0</v>
      </c>
      <c r="AD634" s="296">
        <f t="shared" si="16"/>
        <v>0</v>
      </c>
      <c r="AE634" s="299">
        <f t="shared" si="12"/>
        <v>0</v>
      </c>
      <c r="AF634" s="299">
        <f t="shared" si="13"/>
        <v>0</v>
      </c>
    </row>
    <row r="635">
      <c r="AB635" s="308">
        <v>64163.0</v>
      </c>
      <c r="AC635" s="299">
        <f t="shared" si="15"/>
        <v>0</v>
      </c>
      <c r="AD635" s="296">
        <f t="shared" si="16"/>
        <v>0</v>
      </c>
      <c r="AE635" s="299">
        <f t="shared" si="12"/>
        <v>0</v>
      </c>
      <c r="AF635" s="299">
        <f t="shared" si="13"/>
        <v>0</v>
      </c>
    </row>
    <row r="636">
      <c r="AB636" s="308">
        <v>64193.0</v>
      </c>
      <c r="AC636" s="299">
        <f t="shared" si="15"/>
        <v>0</v>
      </c>
      <c r="AD636" s="296">
        <f t="shared" si="16"/>
        <v>0</v>
      </c>
      <c r="AE636" s="299">
        <f t="shared" si="12"/>
        <v>0</v>
      </c>
      <c r="AF636" s="299">
        <f t="shared" si="13"/>
        <v>0</v>
      </c>
    </row>
    <row r="637">
      <c r="AB637" s="308">
        <v>64224.0</v>
      </c>
      <c r="AC637" s="299">
        <f t="shared" si="15"/>
        <v>0</v>
      </c>
      <c r="AD637" s="296">
        <f t="shared" si="16"/>
        <v>0</v>
      </c>
      <c r="AE637" s="299">
        <f t="shared" si="12"/>
        <v>0</v>
      </c>
      <c r="AF637" s="299">
        <f t="shared" si="13"/>
        <v>0</v>
      </c>
    </row>
    <row r="638">
      <c r="AB638" s="308">
        <v>64254.0</v>
      </c>
      <c r="AC638" s="299">
        <f t="shared" si="15"/>
        <v>0</v>
      </c>
      <c r="AD638" s="296">
        <f t="shared" si="16"/>
        <v>0</v>
      </c>
      <c r="AE638" s="299">
        <f t="shared" si="12"/>
        <v>0</v>
      </c>
      <c r="AF638" s="299">
        <f t="shared" si="13"/>
        <v>0</v>
      </c>
    </row>
    <row r="639">
      <c r="AB639" s="308">
        <v>64285.0</v>
      </c>
      <c r="AC639" s="299">
        <f t="shared" si="15"/>
        <v>0</v>
      </c>
      <c r="AD639" s="296">
        <f t="shared" si="16"/>
        <v>0</v>
      </c>
      <c r="AE639" s="299">
        <f t="shared" si="12"/>
        <v>0</v>
      </c>
      <c r="AF639" s="299">
        <f t="shared" si="13"/>
        <v>0</v>
      </c>
    </row>
    <row r="640">
      <c r="AB640" s="308">
        <v>64316.0</v>
      </c>
      <c r="AC640" s="299">
        <f t="shared" si="15"/>
        <v>0</v>
      </c>
      <c r="AD640" s="296">
        <f t="shared" si="16"/>
        <v>0</v>
      </c>
      <c r="AE640" s="299">
        <f t="shared" si="12"/>
        <v>0</v>
      </c>
      <c r="AF640" s="299">
        <f t="shared" si="13"/>
        <v>0</v>
      </c>
    </row>
    <row r="641">
      <c r="AB641" s="308">
        <v>64345.0</v>
      </c>
      <c r="AC641" s="299">
        <f t="shared" si="15"/>
        <v>0</v>
      </c>
      <c r="AD641" s="296">
        <f t="shared" si="16"/>
        <v>0</v>
      </c>
      <c r="AE641" s="299">
        <f t="shared" si="12"/>
        <v>0</v>
      </c>
      <c r="AF641" s="299">
        <f t="shared" si="13"/>
        <v>0</v>
      </c>
    </row>
    <row r="642">
      <c r="AB642" s="308">
        <v>64376.0</v>
      </c>
      <c r="AC642" s="299">
        <f t="shared" si="15"/>
        <v>0</v>
      </c>
      <c r="AD642" s="296">
        <f t="shared" si="16"/>
        <v>0</v>
      </c>
      <c r="AE642" s="299">
        <f t="shared" si="12"/>
        <v>0</v>
      </c>
      <c r="AF642" s="299">
        <f t="shared" si="13"/>
        <v>0</v>
      </c>
    </row>
    <row r="643">
      <c r="AB643" s="308">
        <v>64406.0</v>
      </c>
      <c r="AC643" s="299">
        <f t="shared" si="15"/>
        <v>0</v>
      </c>
      <c r="AD643" s="296">
        <f t="shared" si="16"/>
        <v>0</v>
      </c>
      <c r="AE643" s="299">
        <f t="shared" si="12"/>
        <v>0</v>
      </c>
      <c r="AF643" s="299">
        <f t="shared" si="13"/>
        <v>0</v>
      </c>
    </row>
    <row r="644">
      <c r="AB644" s="308">
        <v>64437.0</v>
      </c>
      <c r="AC644" s="299">
        <f t="shared" si="15"/>
        <v>0</v>
      </c>
      <c r="AD644" s="296">
        <f t="shared" si="16"/>
        <v>0</v>
      </c>
      <c r="AE644" s="299">
        <f t="shared" si="12"/>
        <v>0</v>
      </c>
      <c r="AF644" s="299">
        <f t="shared" si="13"/>
        <v>0</v>
      </c>
    </row>
    <row r="645">
      <c r="AB645" s="308">
        <v>64467.0</v>
      </c>
      <c r="AC645" s="299">
        <f t="shared" si="15"/>
        <v>0</v>
      </c>
      <c r="AD645" s="296">
        <f t="shared" si="16"/>
        <v>0</v>
      </c>
      <c r="AE645" s="299">
        <f t="shared" si="12"/>
        <v>0</v>
      </c>
      <c r="AF645" s="299">
        <f t="shared" si="13"/>
        <v>0</v>
      </c>
    </row>
    <row r="646">
      <c r="AB646" s="308">
        <v>64498.0</v>
      </c>
      <c r="AC646" s="299">
        <f t="shared" si="15"/>
        <v>0</v>
      </c>
      <c r="AD646" s="296">
        <f t="shared" si="16"/>
        <v>0</v>
      </c>
      <c r="AE646" s="299">
        <f t="shared" si="12"/>
        <v>0</v>
      </c>
      <c r="AF646" s="299">
        <f t="shared" si="13"/>
        <v>0</v>
      </c>
    </row>
    <row r="647">
      <c r="AB647" s="308">
        <v>64529.0</v>
      </c>
      <c r="AC647" s="299">
        <f t="shared" si="15"/>
        <v>0</v>
      </c>
      <c r="AD647" s="296">
        <f t="shared" si="16"/>
        <v>0</v>
      </c>
      <c r="AE647" s="299">
        <f t="shared" si="12"/>
        <v>0</v>
      </c>
      <c r="AF647" s="299">
        <f t="shared" si="13"/>
        <v>0</v>
      </c>
    </row>
    <row r="648">
      <c r="AB648" s="308">
        <v>64559.0</v>
      </c>
      <c r="AC648" s="299">
        <f t="shared" si="15"/>
        <v>0</v>
      </c>
      <c r="AD648" s="296">
        <f t="shared" si="16"/>
        <v>0</v>
      </c>
      <c r="AE648" s="299">
        <f t="shared" si="12"/>
        <v>0</v>
      </c>
      <c r="AF648" s="299">
        <f t="shared" si="13"/>
        <v>0</v>
      </c>
    </row>
    <row r="649">
      <c r="AB649" s="308">
        <v>64590.0</v>
      </c>
      <c r="AC649" s="299">
        <f t="shared" si="15"/>
        <v>0</v>
      </c>
      <c r="AD649" s="296">
        <f t="shared" si="16"/>
        <v>0</v>
      </c>
      <c r="AE649" s="299">
        <f t="shared" si="12"/>
        <v>0</v>
      </c>
      <c r="AF649" s="299">
        <f t="shared" si="13"/>
        <v>0</v>
      </c>
    </row>
    <row r="650">
      <c r="AB650" s="308">
        <v>64620.0</v>
      </c>
      <c r="AC650" s="299">
        <f t="shared" si="15"/>
        <v>0</v>
      </c>
      <c r="AD650" s="296">
        <f t="shared" si="16"/>
        <v>0</v>
      </c>
      <c r="AE650" s="299">
        <f t="shared" si="12"/>
        <v>0</v>
      </c>
      <c r="AF650" s="299">
        <f t="shared" si="13"/>
        <v>0</v>
      </c>
    </row>
    <row r="651">
      <c r="AB651" s="308">
        <v>64651.0</v>
      </c>
      <c r="AC651" s="299">
        <f t="shared" si="15"/>
        <v>0</v>
      </c>
      <c r="AD651" s="296">
        <f t="shared" si="16"/>
        <v>0</v>
      </c>
      <c r="AE651" s="299">
        <f t="shared" si="12"/>
        <v>0</v>
      </c>
      <c r="AF651" s="299">
        <f t="shared" si="13"/>
        <v>0</v>
      </c>
    </row>
    <row r="652">
      <c r="AB652" s="308">
        <v>64682.0</v>
      </c>
      <c r="AC652" s="299">
        <f t="shared" si="15"/>
        <v>0</v>
      </c>
      <c r="AD652" s="296">
        <f t="shared" si="16"/>
        <v>0</v>
      </c>
      <c r="AE652" s="299">
        <f t="shared" si="12"/>
        <v>0</v>
      </c>
      <c r="AF652" s="299">
        <f t="shared" si="13"/>
        <v>0</v>
      </c>
    </row>
    <row r="653">
      <c r="AB653" s="308">
        <v>64710.0</v>
      </c>
      <c r="AC653" s="299">
        <f t="shared" si="15"/>
        <v>0</v>
      </c>
      <c r="AD653" s="296">
        <f t="shared" si="16"/>
        <v>0</v>
      </c>
      <c r="AE653" s="299">
        <f t="shared" si="12"/>
        <v>0</v>
      </c>
      <c r="AF653" s="299">
        <f t="shared" si="13"/>
        <v>0</v>
      </c>
    </row>
    <row r="654">
      <c r="AB654" s="308">
        <v>64741.0</v>
      </c>
      <c r="AC654" s="299">
        <f t="shared" si="15"/>
        <v>0</v>
      </c>
      <c r="AD654" s="296">
        <f t="shared" si="16"/>
        <v>0</v>
      </c>
      <c r="AE654" s="299">
        <f t="shared" si="12"/>
        <v>0</v>
      </c>
      <c r="AF654" s="299">
        <f t="shared" si="13"/>
        <v>0</v>
      </c>
    </row>
    <row r="655">
      <c r="AB655" s="308">
        <v>64771.0</v>
      </c>
      <c r="AC655" s="299">
        <f t="shared" si="15"/>
        <v>0</v>
      </c>
      <c r="AD655" s="296">
        <f t="shared" si="16"/>
        <v>0</v>
      </c>
      <c r="AE655" s="299">
        <f t="shared" si="12"/>
        <v>0</v>
      </c>
      <c r="AF655" s="299">
        <f t="shared" si="13"/>
        <v>0</v>
      </c>
    </row>
    <row r="656">
      <c r="AB656" s="308">
        <v>64802.0</v>
      </c>
      <c r="AC656" s="299">
        <f t="shared" si="15"/>
        <v>0</v>
      </c>
      <c r="AD656" s="296">
        <f t="shared" si="16"/>
        <v>0</v>
      </c>
      <c r="AE656" s="299">
        <f t="shared" si="12"/>
        <v>0</v>
      </c>
      <c r="AF656" s="299">
        <f t="shared" si="13"/>
        <v>0</v>
      </c>
    </row>
    <row r="657">
      <c r="AB657" s="308">
        <v>64832.0</v>
      </c>
      <c r="AC657" s="299">
        <f t="shared" si="15"/>
        <v>0</v>
      </c>
      <c r="AD657" s="296">
        <f t="shared" si="16"/>
        <v>0</v>
      </c>
      <c r="AE657" s="299">
        <f t="shared" si="12"/>
        <v>0</v>
      </c>
      <c r="AF657" s="299">
        <f t="shared" si="13"/>
        <v>0</v>
      </c>
    </row>
    <row r="658">
      <c r="AB658" s="308">
        <v>64863.0</v>
      </c>
      <c r="AC658" s="299">
        <f t="shared" si="15"/>
        <v>0</v>
      </c>
      <c r="AD658" s="296">
        <f t="shared" si="16"/>
        <v>0</v>
      </c>
      <c r="AE658" s="299">
        <f t="shared" si="12"/>
        <v>0</v>
      </c>
      <c r="AF658" s="299">
        <f t="shared" si="13"/>
        <v>0</v>
      </c>
    </row>
    <row r="659">
      <c r="AB659" s="308">
        <v>64894.0</v>
      </c>
      <c r="AC659" s="299">
        <f t="shared" si="15"/>
        <v>0</v>
      </c>
      <c r="AD659" s="296">
        <f t="shared" si="16"/>
        <v>0</v>
      </c>
      <c r="AE659" s="299">
        <f t="shared" si="12"/>
        <v>0</v>
      </c>
      <c r="AF659" s="299">
        <f t="shared" si="13"/>
        <v>0</v>
      </c>
    </row>
    <row r="660">
      <c r="AB660" s="308">
        <v>64924.0</v>
      </c>
      <c r="AC660" s="299">
        <f t="shared" si="15"/>
        <v>0</v>
      </c>
      <c r="AD660" s="296">
        <f t="shared" si="16"/>
        <v>0</v>
      </c>
      <c r="AE660" s="299">
        <f t="shared" si="12"/>
        <v>0</v>
      </c>
      <c r="AF660" s="299">
        <f t="shared" si="13"/>
        <v>0</v>
      </c>
    </row>
    <row r="661">
      <c r="AB661" s="308">
        <v>64955.0</v>
      </c>
      <c r="AC661" s="299">
        <f t="shared" si="15"/>
        <v>0</v>
      </c>
      <c r="AD661" s="296">
        <f t="shared" si="16"/>
        <v>0</v>
      </c>
      <c r="AE661" s="299">
        <f t="shared" si="12"/>
        <v>0</v>
      </c>
      <c r="AF661" s="299">
        <f t="shared" si="13"/>
        <v>0</v>
      </c>
    </row>
    <row r="662">
      <c r="AB662" s="308">
        <v>64985.0</v>
      </c>
      <c r="AC662" s="299">
        <f t="shared" si="15"/>
        <v>0</v>
      </c>
      <c r="AD662" s="296">
        <f t="shared" si="16"/>
        <v>0</v>
      </c>
      <c r="AE662" s="299">
        <f t="shared" si="12"/>
        <v>0</v>
      </c>
      <c r="AF662" s="299">
        <f t="shared" si="13"/>
        <v>0</v>
      </c>
    </row>
    <row r="663">
      <c r="AB663" s="308">
        <v>65016.0</v>
      </c>
      <c r="AC663" s="299">
        <f t="shared" si="15"/>
        <v>0</v>
      </c>
      <c r="AD663" s="296">
        <f t="shared" si="16"/>
        <v>0</v>
      </c>
      <c r="AE663" s="299">
        <f t="shared" si="12"/>
        <v>0</v>
      </c>
      <c r="AF663" s="299">
        <f t="shared" si="13"/>
        <v>0</v>
      </c>
    </row>
    <row r="664">
      <c r="AB664" s="308">
        <v>65047.0</v>
      </c>
      <c r="AC664" s="299">
        <f t="shared" si="15"/>
        <v>0</v>
      </c>
      <c r="AD664" s="296">
        <f t="shared" si="16"/>
        <v>0</v>
      </c>
      <c r="AE664" s="299">
        <f t="shared" si="12"/>
        <v>0</v>
      </c>
      <c r="AF664" s="299">
        <f t="shared" si="13"/>
        <v>0</v>
      </c>
    </row>
    <row r="665">
      <c r="AB665" s="308">
        <v>65075.0</v>
      </c>
      <c r="AC665" s="299">
        <f t="shared" si="15"/>
        <v>0</v>
      </c>
      <c r="AD665" s="296">
        <f t="shared" si="16"/>
        <v>0</v>
      </c>
      <c r="AE665" s="299">
        <f t="shared" si="12"/>
        <v>0</v>
      </c>
      <c r="AF665" s="299">
        <f t="shared" si="13"/>
        <v>0</v>
      </c>
    </row>
    <row r="666">
      <c r="AB666" s="308">
        <v>65106.0</v>
      </c>
      <c r="AC666" s="299">
        <f t="shared" si="15"/>
        <v>0</v>
      </c>
      <c r="AD666" s="296">
        <f t="shared" si="16"/>
        <v>0</v>
      </c>
      <c r="AE666" s="299">
        <f t="shared" si="12"/>
        <v>0</v>
      </c>
      <c r="AF666" s="299">
        <f t="shared" si="13"/>
        <v>0</v>
      </c>
    </row>
    <row r="667">
      <c r="AB667" s="308">
        <v>65136.0</v>
      </c>
      <c r="AC667" s="299">
        <f t="shared" si="15"/>
        <v>0</v>
      </c>
      <c r="AD667" s="296">
        <f t="shared" si="16"/>
        <v>0</v>
      </c>
      <c r="AE667" s="299">
        <f t="shared" si="12"/>
        <v>0</v>
      </c>
      <c r="AF667" s="299">
        <f t="shared" si="13"/>
        <v>0</v>
      </c>
    </row>
    <row r="668">
      <c r="AB668" s="308">
        <v>65167.0</v>
      </c>
      <c r="AC668" s="299">
        <f t="shared" si="15"/>
        <v>0</v>
      </c>
      <c r="AD668" s="296">
        <f t="shared" si="16"/>
        <v>0</v>
      </c>
      <c r="AE668" s="299">
        <f t="shared" si="12"/>
        <v>0</v>
      </c>
      <c r="AF668" s="299">
        <f t="shared" si="13"/>
        <v>0</v>
      </c>
    </row>
    <row r="669">
      <c r="AB669" s="308">
        <v>65197.0</v>
      </c>
      <c r="AC669" s="299">
        <f t="shared" si="15"/>
        <v>0</v>
      </c>
      <c r="AD669" s="296">
        <f t="shared" si="16"/>
        <v>0</v>
      </c>
      <c r="AE669" s="299">
        <f t="shared" si="12"/>
        <v>0</v>
      </c>
      <c r="AF669" s="299">
        <f t="shared" si="13"/>
        <v>0</v>
      </c>
    </row>
    <row r="670">
      <c r="AB670" s="308">
        <v>65228.0</v>
      </c>
      <c r="AC670" s="299">
        <f t="shared" si="15"/>
        <v>0</v>
      </c>
      <c r="AD670" s="296">
        <f t="shared" si="16"/>
        <v>0</v>
      </c>
      <c r="AE670" s="299">
        <f t="shared" si="12"/>
        <v>0</v>
      </c>
      <c r="AF670" s="299">
        <f t="shared" si="13"/>
        <v>0</v>
      </c>
    </row>
    <row r="671">
      <c r="AB671" s="308">
        <v>65259.0</v>
      </c>
      <c r="AC671" s="299">
        <f t="shared" si="15"/>
        <v>0</v>
      </c>
      <c r="AD671" s="296">
        <f t="shared" si="16"/>
        <v>0</v>
      </c>
      <c r="AE671" s="299">
        <f t="shared" si="12"/>
        <v>0</v>
      </c>
      <c r="AF671" s="299">
        <f t="shared" si="13"/>
        <v>0</v>
      </c>
    </row>
    <row r="672">
      <c r="AB672" s="308">
        <v>65289.0</v>
      </c>
      <c r="AC672" s="299">
        <f t="shared" si="15"/>
        <v>0</v>
      </c>
      <c r="AD672" s="296">
        <f t="shared" si="16"/>
        <v>0</v>
      </c>
      <c r="AE672" s="299">
        <f t="shared" si="12"/>
        <v>0</v>
      </c>
      <c r="AF672" s="299">
        <f t="shared" si="13"/>
        <v>0</v>
      </c>
    </row>
    <row r="673">
      <c r="AB673" s="308">
        <v>65320.0</v>
      </c>
      <c r="AC673" s="299">
        <f t="shared" si="15"/>
        <v>0</v>
      </c>
      <c r="AD673" s="296">
        <f t="shared" si="16"/>
        <v>0</v>
      </c>
      <c r="AE673" s="299">
        <f t="shared" si="12"/>
        <v>0</v>
      </c>
      <c r="AF673" s="299">
        <f t="shared" si="13"/>
        <v>0</v>
      </c>
    </row>
    <row r="674">
      <c r="AB674" s="308">
        <v>65350.0</v>
      </c>
      <c r="AC674" s="299">
        <f t="shared" si="15"/>
        <v>0</v>
      </c>
      <c r="AD674" s="296">
        <f t="shared" si="16"/>
        <v>0</v>
      </c>
      <c r="AE674" s="299">
        <f t="shared" si="12"/>
        <v>0</v>
      </c>
      <c r="AF674" s="299">
        <f t="shared" si="13"/>
        <v>0</v>
      </c>
    </row>
    <row r="675">
      <c r="AB675" s="308">
        <v>65381.0</v>
      </c>
      <c r="AC675" s="299">
        <f t="shared" si="15"/>
        <v>0</v>
      </c>
      <c r="AD675" s="296">
        <f t="shared" si="16"/>
        <v>0</v>
      </c>
      <c r="AE675" s="299">
        <f t="shared" si="12"/>
        <v>0</v>
      </c>
      <c r="AF675" s="299">
        <f t="shared" si="13"/>
        <v>0</v>
      </c>
    </row>
    <row r="676">
      <c r="AB676" s="308">
        <v>65412.0</v>
      </c>
      <c r="AC676" s="299">
        <f t="shared" si="15"/>
        <v>0</v>
      </c>
      <c r="AD676" s="296">
        <f t="shared" si="16"/>
        <v>0</v>
      </c>
      <c r="AE676" s="299">
        <f t="shared" si="12"/>
        <v>0</v>
      </c>
      <c r="AF676" s="299">
        <f t="shared" si="13"/>
        <v>0</v>
      </c>
    </row>
    <row r="677">
      <c r="AB677" s="308">
        <v>65440.0</v>
      </c>
      <c r="AC677" s="299">
        <f t="shared" si="15"/>
        <v>0</v>
      </c>
      <c r="AD677" s="296">
        <f t="shared" si="16"/>
        <v>0</v>
      </c>
      <c r="AE677" s="299">
        <f t="shared" si="12"/>
        <v>0</v>
      </c>
      <c r="AF677" s="299">
        <f t="shared" si="13"/>
        <v>0</v>
      </c>
    </row>
    <row r="678">
      <c r="AB678" s="308">
        <v>65471.0</v>
      </c>
      <c r="AC678" s="299">
        <f t="shared" si="15"/>
        <v>0</v>
      </c>
      <c r="AD678" s="296">
        <f t="shared" si="16"/>
        <v>0</v>
      </c>
      <c r="AE678" s="299">
        <f t="shared" si="12"/>
        <v>0</v>
      </c>
      <c r="AF678" s="299">
        <f t="shared" si="13"/>
        <v>0</v>
      </c>
    </row>
    <row r="679">
      <c r="AB679" s="308">
        <v>65501.0</v>
      </c>
      <c r="AC679" s="299">
        <f t="shared" si="15"/>
        <v>0</v>
      </c>
      <c r="AD679" s="296">
        <f t="shared" si="16"/>
        <v>0</v>
      </c>
      <c r="AE679" s="299">
        <f t="shared" si="12"/>
        <v>0</v>
      </c>
      <c r="AF679" s="299">
        <f t="shared" si="13"/>
        <v>0</v>
      </c>
    </row>
    <row r="680">
      <c r="AB680" s="308">
        <v>65532.0</v>
      </c>
      <c r="AC680" s="299">
        <f t="shared" si="15"/>
        <v>0</v>
      </c>
      <c r="AD680" s="296">
        <f t="shared" si="16"/>
        <v>0</v>
      </c>
      <c r="AE680" s="299">
        <f t="shared" si="12"/>
        <v>0</v>
      </c>
      <c r="AF680" s="299">
        <f t="shared" si="13"/>
        <v>0</v>
      </c>
    </row>
    <row r="681">
      <c r="AB681" s="308">
        <v>65562.0</v>
      </c>
      <c r="AC681" s="299">
        <f t="shared" si="15"/>
        <v>0</v>
      </c>
      <c r="AD681" s="296">
        <f t="shared" si="16"/>
        <v>0</v>
      </c>
      <c r="AE681" s="299">
        <f t="shared" si="12"/>
        <v>0</v>
      </c>
      <c r="AF681" s="299">
        <f t="shared" si="13"/>
        <v>0</v>
      </c>
    </row>
    <row r="682">
      <c r="AB682" s="308">
        <v>65593.0</v>
      </c>
      <c r="AC682" s="299">
        <f t="shared" si="15"/>
        <v>0</v>
      </c>
      <c r="AD682" s="296">
        <f t="shared" si="16"/>
        <v>0</v>
      </c>
      <c r="AE682" s="299">
        <f t="shared" si="12"/>
        <v>0</v>
      </c>
      <c r="AF682" s="299">
        <f t="shared" si="13"/>
        <v>0</v>
      </c>
    </row>
    <row r="683">
      <c r="AB683" s="308">
        <v>65624.0</v>
      </c>
      <c r="AC683" s="299">
        <f t="shared" si="15"/>
        <v>0</v>
      </c>
      <c r="AD683" s="296">
        <f t="shared" si="16"/>
        <v>0</v>
      </c>
      <c r="AE683" s="299">
        <f t="shared" si="12"/>
        <v>0</v>
      </c>
      <c r="AF683" s="299">
        <f t="shared" si="13"/>
        <v>0</v>
      </c>
    </row>
    <row r="684">
      <c r="AB684" s="308">
        <v>65654.0</v>
      </c>
      <c r="AC684" s="299">
        <f t="shared" si="15"/>
        <v>0</v>
      </c>
      <c r="AD684" s="296">
        <f t="shared" si="16"/>
        <v>0</v>
      </c>
      <c r="AE684" s="299">
        <f t="shared" si="12"/>
        <v>0</v>
      </c>
      <c r="AF684" s="299">
        <f t="shared" si="13"/>
        <v>0</v>
      </c>
    </row>
    <row r="685">
      <c r="AB685" s="308">
        <v>65685.0</v>
      </c>
      <c r="AC685" s="299">
        <f t="shared" si="15"/>
        <v>0</v>
      </c>
      <c r="AD685" s="296">
        <f t="shared" si="16"/>
        <v>0</v>
      </c>
      <c r="AE685" s="299">
        <f t="shared" si="12"/>
        <v>0</v>
      </c>
      <c r="AF685" s="299">
        <f t="shared" si="13"/>
        <v>0</v>
      </c>
    </row>
    <row r="686">
      <c r="AB686" s="308">
        <v>65715.0</v>
      </c>
      <c r="AC686" s="299">
        <f t="shared" si="15"/>
        <v>0</v>
      </c>
      <c r="AD686" s="296">
        <f t="shared" si="16"/>
        <v>0</v>
      </c>
      <c r="AE686" s="299">
        <f t="shared" si="12"/>
        <v>0</v>
      </c>
      <c r="AF686" s="299">
        <f t="shared" si="13"/>
        <v>0</v>
      </c>
    </row>
    <row r="687">
      <c r="AB687" s="308">
        <v>65746.0</v>
      </c>
      <c r="AC687" s="299">
        <f t="shared" si="15"/>
        <v>0</v>
      </c>
      <c r="AD687" s="296">
        <f t="shared" si="16"/>
        <v>0</v>
      </c>
      <c r="AE687" s="299">
        <f t="shared" si="12"/>
        <v>0</v>
      </c>
      <c r="AF687" s="299">
        <f t="shared" si="13"/>
        <v>0</v>
      </c>
    </row>
    <row r="688">
      <c r="AB688" s="308">
        <v>65777.0</v>
      </c>
      <c r="AC688" s="299">
        <f t="shared" si="15"/>
        <v>0</v>
      </c>
      <c r="AD688" s="296">
        <f t="shared" si="16"/>
        <v>0</v>
      </c>
      <c r="AE688" s="299">
        <f t="shared" si="12"/>
        <v>0</v>
      </c>
      <c r="AF688" s="299">
        <f t="shared" si="13"/>
        <v>0</v>
      </c>
    </row>
    <row r="689">
      <c r="AB689" s="308">
        <v>65806.0</v>
      </c>
      <c r="AC689" s="299">
        <f t="shared" si="15"/>
        <v>0</v>
      </c>
      <c r="AD689" s="296">
        <f t="shared" si="16"/>
        <v>0</v>
      </c>
      <c r="AE689" s="299">
        <f t="shared" si="12"/>
        <v>0</v>
      </c>
      <c r="AF689" s="299">
        <f t="shared" si="13"/>
        <v>0</v>
      </c>
    </row>
    <row r="690">
      <c r="AB690" s="308">
        <v>65837.0</v>
      </c>
      <c r="AC690" s="299">
        <f t="shared" si="15"/>
        <v>0</v>
      </c>
      <c r="AD690" s="296">
        <f t="shared" si="16"/>
        <v>0</v>
      </c>
      <c r="AE690" s="299">
        <f t="shared" si="12"/>
        <v>0</v>
      </c>
      <c r="AF690" s="299">
        <f t="shared" si="13"/>
        <v>0</v>
      </c>
    </row>
    <row r="691">
      <c r="AB691" s="308">
        <v>65867.0</v>
      </c>
      <c r="AC691" s="299">
        <f t="shared" si="15"/>
        <v>0</v>
      </c>
      <c r="AD691" s="296">
        <f t="shared" si="16"/>
        <v>0</v>
      </c>
      <c r="AE691" s="299">
        <f t="shared" si="12"/>
        <v>0</v>
      </c>
      <c r="AF691" s="299">
        <f t="shared" si="13"/>
        <v>0</v>
      </c>
    </row>
    <row r="692">
      <c r="AB692" s="308">
        <v>65898.0</v>
      </c>
      <c r="AC692" s="299">
        <f t="shared" si="15"/>
        <v>0</v>
      </c>
      <c r="AD692" s="296">
        <f t="shared" si="16"/>
        <v>0</v>
      </c>
      <c r="AE692" s="299">
        <f t="shared" si="12"/>
        <v>0</v>
      </c>
      <c r="AF692" s="299">
        <f t="shared" si="13"/>
        <v>0</v>
      </c>
    </row>
    <row r="693">
      <c r="AB693" s="308">
        <v>65928.0</v>
      </c>
      <c r="AC693" s="299">
        <f t="shared" si="15"/>
        <v>0</v>
      </c>
      <c r="AD693" s="296">
        <f t="shared" si="16"/>
        <v>0</v>
      </c>
      <c r="AE693" s="299">
        <f t="shared" si="12"/>
        <v>0</v>
      </c>
      <c r="AF693" s="299">
        <f t="shared" si="13"/>
        <v>0</v>
      </c>
    </row>
    <row r="694">
      <c r="AB694" s="308">
        <v>65959.0</v>
      </c>
      <c r="AC694" s="299">
        <f t="shared" si="15"/>
        <v>0</v>
      </c>
      <c r="AD694" s="296">
        <f t="shared" si="16"/>
        <v>0</v>
      </c>
      <c r="AE694" s="299">
        <f t="shared" si="12"/>
        <v>0</v>
      </c>
      <c r="AF694" s="299">
        <f t="shared" si="13"/>
        <v>0</v>
      </c>
    </row>
    <row r="695">
      <c r="AB695" s="308">
        <v>65990.0</v>
      </c>
      <c r="AC695" s="299">
        <f t="shared" si="15"/>
        <v>0</v>
      </c>
      <c r="AD695" s="296">
        <f t="shared" si="16"/>
        <v>0</v>
      </c>
      <c r="AE695" s="299">
        <f t="shared" si="12"/>
        <v>0</v>
      </c>
      <c r="AF695" s="299">
        <f t="shared" si="13"/>
        <v>0</v>
      </c>
    </row>
    <row r="696">
      <c r="AB696" s="308">
        <v>66020.0</v>
      </c>
      <c r="AC696" s="299">
        <f t="shared" si="15"/>
        <v>0</v>
      </c>
      <c r="AD696" s="296">
        <f t="shared" si="16"/>
        <v>0</v>
      </c>
      <c r="AE696" s="299">
        <f t="shared" si="12"/>
        <v>0</v>
      </c>
      <c r="AF696" s="299">
        <f t="shared" si="13"/>
        <v>0</v>
      </c>
    </row>
    <row r="697">
      <c r="AB697" s="308">
        <v>66051.0</v>
      </c>
      <c r="AC697" s="299">
        <f t="shared" si="15"/>
        <v>0</v>
      </c>
      <c r="AD697" s="296">
        <f t="shared" si="16"/>
        <v>0</v>
      </c>
      <c r="AE697" s="299">
        <f t="shared" si="12"/>
        <v>0</v>
      </c>
      <c r="AF697" s="299">
        <f t="shared" si="13"/>
        <v>0</v>
      </c>
    </row>
    <row r="698">
      <c r="AB698" s="308">
        <v>66081.0</v>
      </c>
      <c r="AC698" s="299">
        <f t="shared" si="15"/>
        <v>0</v>
      </c>
      <c r="AD698" s="296">
        <f t="shared" si="16"/>
        <v>0</v>
      </c>
      <c r="AE698" s="299">
        <f t="shared" si="12"/>
        <v>0</v>
      </c>
      <c r="AF698" s="299">
        <f t="shared" si="13"/>
        <v>0</v>
      </c>
    </row>
    <row r="699">
      <c r="AB699" s="308">
        <v>66112.0</v>
      </c>
      <c r="AC699" s="299">
        <f t="shared" si="15"/>
        <v>0</v>
      </c>
      <c r="AD699" s="296">
        <f t="shared" si="16"/>
        <v>0</v>
      </c>
      <c r="AE699" s="299">
        <f t="shared" si="12"/>
        <v>0</v>
      </c>
      <c r="AF699" s="299">
        <f t="shared" si="13"/>
        <v>0</v>
      </c>
    </row>
    <row r="700">
      <c r="AB700" s="308">
        <v>66143.0</v>
      </c>
      <c r="AC700" s="299">
        <f t="shared" si="15"/>
        <v>0</v>
      </c>
      <c r="AD700" s="296">
        <f t="shared" si="16"/>
        <v>0</v>
      </c>
      <c r="AE700" s="299">
        <f t="shared" si="12"/>
        <v>0</v>
      </c>
      <c r="AF700" s="299">
        <f t="shared" si="13"/>
        <v>0</v>
      </c>
    </row>
    <row r="701">
      <c r="AB701" s="308">
        <v>66171.0</v>
      </c>
      <c r="AC701" s="299">
        <f t="shared" si="15"/>
        <v>0</v>
      </c>
      <c r="AD701" s="296">
        <f t="shared" si="16"/>
        <v>0</v>
      </c>
      <c r="AE701" s="299">
        <f t="shared" si="12"/>
        <v>0</v>
      </c>
      <c r="AF701" s="299">
        <f t="shared" si="13"/>
        <v>0</v>
      </c>
    </row>
    <row r="702">
      <c r="AB702" s="308">
        <v>66202.0</v>
      </c>
      <c r="AC702" s="299">
        <f t="shared" si="15"/>
        <v>0</v>
      </c>
      <c r="AD702" s="296">
        <f t="shared" si="16"/>
        <v>0</v>
      </c>
      <c r="AE702" s="299">
        <f t="shared" si="12"/>
        <v>0</v>
      </c>
      <c r="AF702" s="299">
        <f t="shared" si="13"/>
        <v>0</v>
      </c>
    </row>
    <row r="703">
      <c r="AB703" s="308">
        <v>66232.0</v>
      </c>
      <c r="AC703" s="299">
        <f t="shared" si="15"/>
        <v>0</v>
      </c>
      <c r="AD703" s="296">
        <f t="shared" si="16"/>
        <v>0</v>
      </c>
      <c r="AE703" s="299">
        <f t="shared" si="12"/>
        <v>0</v>
      </c>
      <c r="AF703" s="299">
        <f t="shared" si="13"/>
        <v>0</v>
      </c>
    </row>
    <row r="704">
      <c r="AB704" s="308">
        <v>66263.0</v>
      </c>
      <c r="AC704" s="299">
        <f t="shared" si="15"/>
        <v>0</v>
      </c>
      <c r="AD704" s="296">
        <f t="shared" si="16"/>
        <v>0</v>
      </c>
      <c r="AE704" s="299">
        <f t="shared" si="12"/>
        <v>0</v>
      </c>
      <c r="AF704" s="299">
        <f t="shared" si="13"/>
        <v>0</v>
      </c>
    </row>
    <row r="705">
      <c r="AB705" s="308">
        <v>66293.0</v>
      </c>
      <c r="AC705" s="299">
        <f t="shared" si="15"/>
        <v>0</v>
      </c>
      <c r="AD705" s="296">
        <f t="shared" si="16"/>
        <v>0</v>
      </c>
      <c r="AE705" s="299">
        <f t="shared" si="12"/>
        <v>0</v>
      </c>
      <c r="AF705" s="299">
        <f t="shared" si="13"/>
        <v>0</v>
      </c>
    </row>
    <row r="706">
      <c r="AB706" s="308">
        <v>66324.0</v>
      </c>
      <c r="AC706" s="299">
        <f t="shared" si="15"/>
        <v>0</v>
      </c>
      <c r="AD706" s="296">
        <f t="shared" si="16"/>
        <v>0</v>
      </c>
      <c r="AE706" s="299">
        <f t="shared" si="12"/>
        <v>0</v>
      </c>
      <c r="AF706" s="299">
        <f t="shared" si="13"/>
        <v>0</v>
      </c>
    </row>
    <row r="707">
      <c r="AB707" s="308">
        <v>66355.0</v>
      </c>
      <c r="AC707" s="299">
        <f t="shared" si="15"/>
        <v>0</v>
      </c>
      <c r="AD707" s="296">
        <f t="shared" si="16"/>
        <v>0</v>
      </c>
      <c r="AE707" s="299">
        <f t="shared" si="12"/>
        <v>0</v>
      </c>
      <c r="AF707" s="299">
        <f t="shared" si="13"/>
        <v>0</v>
      </c>
    </row>
    <row r="708">
      <c r="AB708" s="308">
        <v>66385.0</v>
      </c>
      <c r="AC708" s="299">
        <f t="shared" si="15"/>
        <v>0</v>
      </c>
      <c r="AD708" s="296">
        <f t="shared" si="16"/>
        <v>0</v>
      </c>
      <c r="AE708" s="299">
        <f t="shared" si="12"/>
        <v>0</v>
      </c>
      <c r="AF708" s="299">
        <f t="shared" si="13"/>
        <v>0</v>
      </c>
    </row>
    <row r="709">
      <c r="AB709" s="308">
        <v>66416.0</v>
      </c>
      <c r="AC709" s="299">
        <f t="shared" si="15"/>
        <v>0</v>
      </c>
      <c r="AD709" s="296">
        <f t="shared" si="16"/>
        <v>0</v>
      </c>
      <c r="AE709" s="299">
        <f t="shared" si="12"/>
        <v>0</v>
      </c>
      <c r="AF709" s="299">
        <f t="shared" si="13"/>
        <v>0</v>
      </c>
    </row>
    <row r="710">
      <c r="AB710" s="308">
        <v>66446.0</v>
      </c>
      <c r="AC710" s="299">
        <f t="shared" si="15"/>
        <v>0</v>
      </c>
      <c r="AD710" s="296">
        <f t="shared" si="16"/>
        <v>0</v>
      </c>
      <c r="AE710" s="299">
        <f t="shared" si="12"/>
        <v>0</v>
      </c>
      <c r="AF710" s="299">
        <f t="shared" si="13"/>
        <v>0</v>
      </c>
    </row>
    <row r="711">
      <c r="AB711" s="308">
        <v>66477.0</v>
      </c>
      <c r="AC711" s="299">
        <f t="shared" si="15"/>
        <v>0</v>
      </c>
      <c r="AD711" s="296">
        <f t="shared" si="16"/>
        <v>0</v>
      </c>
      <c r="AE711" s="299">
        <f t="shared" si="12"/>
        <v>0</v>
      </c>
      <c r="AF711" s="299">
        <f t="shared" si="13"/>
        <v>0</v>
      </c>
    </row>
    <row r="712">
      <c r="AB712" s="308">
        <v>66508.0</v>
      </c>
      <c r="AC712" s="299">
        <f t="shared" si="15"/>
        <v>0</v>
      </c>
      <c r="AD712" s="296">
        <f t="shared" si="16"/>
        <v>0</v>
      </c>
      <c r="AE712" s="299">
        <f t="shared" si="12"/>
        <v>0</v>
      </c>
      <c r="AF712" s="299">
        <f t="shared" si="13"/>
        <v>0</v>
      </c>
    </row>
    <row r="713">
      <c r="AB713" s="308">
        <v>66536.0</v>
      </c>
      <c r="AC713" s="299">
        <f t="shared" si="15"/>
        <v>0</v>
      </c>
      <c r="AD713" s="296">
        <f t="shared" si="16"/>
        <v>0</v>
      </c>
      <c r="AE713" s="299">
        <f t="shared" si="12"/>
        <v>0</v>
      </c>
      <c r="AF713" s="299">
        <f t="shared" si="13"/>
        <v>0</v>
      </c>
    </row>
    <row r="714">
      <c r="AB714" s="308">
        <v>66567.0</v>
      </c>
      <c r="AC714" s="299">
        <f t="shared" si="15"/>
        <v>0</v>
      </c>
      <c r="AD714" s="296">
        <f t="shared" si="16"/>
        <v>0</v>
      </c>
      <c r="AE714" s="299">
        <f t="shared" si="12"/>
        <v>0</v>
      </c>
      <c r="AF714" s="299">
        <f t="shared" si="13"/>
        <v>0</v>
      </c>
    </row>
    <row r="715">
      <c r="AB715" s="308">
        <v>66597.0</v>
      </c>
      <c r="AC715" s="299">
        <f t="shared" si="15"/>
        <v>0</v>
      </c>
      <c r="AD715" s="296">
        <f t="shared" si="16"/>
        <v>0</v>
      </c>
      <c r="AE715" s="299">
        <f t="shared" si="12"/>
        <v>0</v>
      </c>
      <c r="AF715" s="299">
        <f t="shared" si="13"/>
        <v>0</v>
      </c>
    </row>
    <row r="716">
      <c r="AB716" s="308">
        <v>66628.0</v>
      </c>
      <c r="AC716" s="299">
        <f t="shared" si="15"/>
        <v>0</v>
      </c>
      <c r="AD716" s="296">
        <f t="shared" si="16"/>
        <v>0</v>
      </c>
      <c r="AE716" s="299">
        <f t="shared" si="12"/>
        <v>0</v>
      </c>
      <c r="AF716" s="299">
        <f t="shared" si="13"/>
        <v>0</v>
      </c>
    </row>
    <row r="717">
      <c r="AB717" s="308">
        <v>66658.0</v>
      </c>
      <c r="AC717" s="299">
        <f t="shared" si="15"/>
        <v>0</v>
      </c>
      <c r="AD717" s="296">
        <f t="shared" si="16"/>
        <v>0</v>
      </c>
      <c r="AE717" s="299">
        <f t="shared" si="12"/>
        <v>0</v>
      </c>
      <c r="AF717" s="299">
        <f t="shared" si="13"/>
        <v>0</v>
      </c>
    </row>
    <row r="718">
      <c r="AB718" s="308">
        <v>66689.0</v>
      </c>
      <c r="AC718" s="299">
        <f t="shared" si="15"/>
        <v>0</v>
      </c>
      <c r="AD718" s="296">
        <f t="shared" si="16"/>
        <v>0</v>
      </c>
      <c r="AE718" s="299">
        <f t="shared" si="12"/>
        <v>0</v>
      </c>
      <c r="AF718" s="299">
        <f t="shared" si="13"/>
        <v>0</v>
      </c>
    </row>
    <row r="719">
      <c r="AB719" s="308">
        <v>66720.0</v>
      </c>
      <c r="AC719" s="299">
        <f t="shared" si="15"/>
        <v>0</v>
      </c>
      <c r="AD719" s="296">
        <f t="shared" si="16"/>
        <v>0</v>
      </c>
      <c r="AE719" s="299">
        <f t="shared" si="12"/>
        <v>0</v>
      </c>
      <c r="AF719" s="299">
        <f t="shared" si="13"/>
        <v>0</v>
      </c>
    </row>
    <row r="720">
      <c r="AB720" s="308">
        <v>66750.0</v>
      </c>
      <c r="AC720" s="299">
        <f t="shared" si="15"/>
        <v>0</v>
      </c>
      <c r="AD720" s="296">
        <f t="shared" si="16"/>
        <v>0</v>
      </c>
      <c r="AE720" s="299">
        <f t="shared" si="12"/>
        <v>0</v>
      </c>
      <c r="AF720" s="299">
        <f t="shared" si="13"/>
        <v>0</v>
      </c>
    </row>
    <row r="721">
      <c r="AB721" s="308">
        <v>66781.0</v>
      </c>
      <c r="AC721" s="299">
        <f t="shared" si="15"/>
        <v>0</v>
      </c>
      <c r="AD721" s="296">
        <f t="shared" si="16"/>
        <v>0</v>
      </c>
      <c r="AE721" s="299">
        <f t="shared" si="12"/>
        <v>0</v>
      </c>
      <c r="AF721" s="299">
        <f t="shared" si="13"/>
        <v>0</v>
      </c>
    </row>
    <row r="722">
      <c r="AB722" s="308">
        <v>66811.0</v>
      </c>
      <c r="AC722" s="299">
        <f t="shared" si="15"/>
        <v>0</v>
      </c>
      <c r="AD722" s="296">
        <f t="shared" si="16"/>
        <v>0</v>
      </c>
      <c r="AE722" s="299">
        <f t="shared" si="12"/>
        <v>0</v>
      </c>
      <c r="AF722" s="299">
        <f t="shared" si="13"/>
        <v>0</v>
      </c>
    </row>
    <row r="723">
      <c r="AB723" s="308">
        <v>66842.0</v>
      </c>
      <c r="AC723" s="299">
        <f t="shared" si="15"/>
        <v>0</v>
      </c>
      <c r="AD723" s="296">
        <f t="shared" si="16"/>
        <v>0</v>
      </c>
      <c r="AE723" s="299">
        <f t="shared" si="12"/>
        <v>0</v>
      </c>
      <c r="AF723" s="299">
        <f t="shared" si="13"/>
        <v>0</v>
      </c>
    </row>
    <row r="724">
      <c r="AB724" s="308">
        <v>66873.0</v>
      </c>
      <c r="AC724" s="299">
        <f t="shared" si="15"/>
        <v>0</v>
      </c>
      <c r="AD724" s="296">
        <f t="shared" si="16"/>
        <v>0</v>
      </c>
      <c r="AE724" s="299">
        <f t="shared" si="12"/>
        <v>0</v>
      </c>
      <c r="AF724" s="299">
        <f t="shared" si="13"/>
        <v>0</v>
      </c>
    </row>
    <row r="725">
      <c r="AB725" s="308">
        <v>66901.0</v>
      </c>
      <c r="AC725" s="299">
        <f t="shared" si="15"/>
        <v>0</v>
      </c>
      <c r="AD725" s="296">
        <f t="shared" si="16"/>
        <v>0</v>
      </c>
      <c r="AE725" s="299">
        <f t="shared" si="12"/>
        <v>0</v>
      </c>
      <c r="AF725" s="299">
        <f t="shared" si="13"/>
        <v>0</v>
      </c>
    </row>
    <row r="726">
      <c r="AB726" s="308">
        <v>66932.0</v>
      </c>
      <c r="AC726" s="299">
        <f t="shared" si="15"/>
        <v>0</v>
      </c>
      <c r="AD726" s="296">
        <f t="shared" si="16"/>
        <v>0</v>
      </c>
      <c r="AE726" s="299">
        <f t="shared" si="12"/>
        <v>0</v>
      </c>
      <c r="AF726" s="299">
        <f t="shared" si="13"/>
        <v>0</v>
      </c>
    </row>
    <row r="727">
      <c r="AB727" s="308">
        <v>66962.0</v>
      </c>
      <c r="AC727" s="299">
        <f t="shared" si="15"/>
        <v>0</v>
      </c>
      <c r="AD727" s="296">
        <f t="shared" si="16"/>
        <v>0</v>
      </c>
      <c r="AE727" s="299">
        <f t="shared" si="12"/>
        <v>0</v>
      </c>
      <c r="AF727" s="299">
        <f t="shared" si="13"/>
        <v>0</v>
      </c>
    </row>
    <row r="728">
      <c r="AB728" s="308">
        <v>66993.0</v>
      </c>
      <c r="AC728" s="299">
        <f t="shared" si="15"/>
        <v>0</v>
      </c>
      <c r="AD728" s="296">
        <f t="shared" si="16"/>
        <v>0</v>
      </c>
      <c r="AE728" s="299">
        <f t="shared" si="12"/>
        <v>0</v>
      </c>
      <c r="AF728" s="299">
        <f t="shared" si="13"/>
        <v>0</v>
      </c>
    </row>
    <row r="729">
      <c r="AB729" s="308">
        <v>67023.0</v>
      </c>
      <c r="AC729" s="299">
        <f t="shared" si="15"/>
        <v>0</v>
      </c>
      <c r="AD729" s="296">
        <f t="shared" si="16"/>
        <v>0</v>
      </c>
      <c r="AE729" s="299">
        <f t="shared" si="12"/>
        <v>0</v>
      </c>
      <c r="AF729" s="299">
        <f t="shared" si="13"/>
        <v>0</v>
      </c>
    </row>
    <row r="730">
      <c r="AB730" s="308">
        <v>67054.0</v>
      </c>
      <c r="AC730" s="299">
        <f t="shared" si="15"/>
        <v>0</v>
      </c>
      <c r="AD730" s="296">
        <f t="shared" si="16"/>
        <v>0</v>
      </c>
      <c r="AE730" s="299">
        <f t="shared" si="12"/>
        <v>0</v>
      </c>
      <c r="AF730" s="299">
        <f t="shared" si="13"/>
        <v>0</v>
      </c>
    </row>
    <row r="731">
      <c r="AB731" s="308">
        <v>67085.0</v>
      </c>
      <c r="AC731" s="299">
        <f t="shared" si="15"/>
        <v>0</v>
      </c>
      <c r="AD731" s="296">
        <f t="shared" si="16"/>
        <v>0</v>
      </c>
      <c r="AE731" s="299">
        <f t="shared" si="12"/>
        <v>0</v>
      </c>
      <c r="AF731" s="299">
        <f t="shared" si="13"/>
        <v>0</v>
      </c>
    </row>
    <row r="732">
      <c r="AB732" s="308">
        <v>67115.0</v>
      </c>
      <c r="AC732" s="299">
        <f t="shared" si="15"/>
        <v>0</v>
      </c>
      <c r="AD732" s="296">
        <f t="shared" si="16"/>
        <v>0</v>
      </c>
      <c r="AE732" s="299">
        <f t="shared" si="12"/>
        <v>0</v>
      </c>
      <c r="AF732" s="299">
        <f t="shared" si="13"/>
        <v>0</v>
      </c>
    </row>
    <row r="733">
      <c r="AB733" s="308">
        <v>67146.0</v>
      </c>
      <c r="AC733" s="299">
        <f t="shared" si="15"/>
        <v>0</v>
      </c>
      <c r="AD733" s="296">
        <f t="shared" si="16"/>
        <v>0</v>
      </c>
      <c r="AE733" s="299">
        <f t="shared" si="12"/>
        <v>0</v>
      </c>
      <c r="AF733" s="299">
        <f t="shared" si="13"/>
        <v>0</v>
      </c>
    </row>
    <row r="734">
      <c r="AB734" s="308">
        <v>67176.0</v>
      </c>
      <c r="AC734" s="299">
        <f t="shared" si="15"/>
        <v>0</v>
      </c>
      <c r="AD734" s="296">
        <f t="shared" si="16"/>
        <v>0</v>
      </c>
      <c r="AE734" s="299">
        <f t="shared" si="12"/>
        <v>0</v>
      </c>
      <c r="AF734" s="299">
        <f t="shared" si="13"/>
        <v>0</v>
      </c>
    </row>
    <row r="735">
      <c r="AB735" s="308">
        <v>67207.0</v>
      </c>
      <c r="AC735" s="299">
        <f t="shared" si="15"/>
        <v>0</v>
      </c>
      <c r="AD735" s="296">
        <f t="shared" si="16"/>
        <v>0</v>
      </c>
      <c r="AE735" s="299">
        <f t="shared" si="12"/>
        <v>0</v>
      </c>
      <c r="AF735" s="299">
        <f t="shared" si="13"/>
        <v>0</v>
      </c>
    </row>
    <row r="736">
      <c r="AB736" s="308">
        <v>67238.0</v>
      </c>
      <c r="AC736" s="299">
        <f t="shared" si="15"/>
        <v>0</v>
      </c>
      <c r="AD736" s="296">
        <f t="shared" si="16"/>
        <v>0</v>
      </c>
      <c r="AE736" s="299">
        <f t="shared" si="12"/>
        <v>0</v>
      </c>
      <c r="AF736" s="299">
        <f t="shared" si="13"/>
        <v>0</v>
      </c>
    </row>
    <row r="737">
      <c r="AB737" s="308">
        <v>67267.0</v>
      </c>
      <c r="AC737" s="299">
        <f t="shared" si="15"/>
        <v>0</v>
      </c>
      <c r="AD737" s="296">
        <f t="shared" si="16"/>
        <v>0</v>
      </c>
      <c r="AE737" s="299">
        <f t="shared" si="12"/>
        <v>0</v>
      </c>
      <c r="AF737" s="299">
        <f t="shared" si="13"/>
        <v>0</v>
      </c>
    </row>
    <row r="738">
      <c r="AB738" s="308">
        <v>67298.0</v>
      </c>
      <c r="AC738" s="299">
        <f t="shared" si="15"/>
        <v>0</v>
      </c>
      <c r="AD738" s="296">
        <f t="shared" si="16"/>
        <v>0</v>
      </c>
      <c r="AE738" s="299">
        <f t="shared" si="12"/>
        <v>0</v>
      </c>
      <c r="AF738" s="299">
        <f t="shared" si="13"/>
        <v>0</v>
      </c>
    </row>
    <row r="739">
      <c r="AB739" s="308">
        <v>67328.0</v>
      </c>
      <c r="AC739" s="299">
        <f t="shared" si="15"/>
        <v>0</v>
      </c>
      <c r="AD739" s="296">
        <f t="shared" si="16"/>
        <v>0</v>
      </c>
      <c r="AE739" s="299">
        <f t="shared" si="12"/>
        <v>0</v>
      </c>
      <c r="AF739" s="299">
        <f t="shared" si="13"/>
        <v>0</v>
      </c>
    </row>
    <row r="740">
      <c r="AB740" s="308">
        <v>67359.0</v>
      </c>
      <c r="AC740" s="299">
        <f t="shared" si="15"/>
        <v>0</v>
      </c>
      <c r="AD740" s="296">
        <f t="shared" si="16"/>
        <v>0</v>
      </c>
      <c r="AE740" s="299">
        <f t="shared" si="12"/>
        <v>0</v>
      </c>
      <c r="AF740" s="299">
        <f t="shared" si="13"/>
        <v>0</v>
      </c>
    </row>
    <row r="741">
      <c r="AB741" s="308">
        <v>67389.0</v>
      </c>
      <c r="AC741" s="299">
        <f t="shared" si="15"/>
        <v>0</v>
      </c>
      <c r="AD741" s="296">
        <f t="shared" si="16"/>
        <v>0</v>
      </c>
      <c r="AE741" s="299">
        <f t="shared" si="12"/>
        <v>0</v>
      </c>
      <c r="AF741" s="299">
        <f t="shared" si="13"/>
        <v>0</v>
      </c>
    </row>
    <row r="742">
      <c r="AB742" s="308">
        <v>67420.0</v>
      </c>
      <c r="AC742" s="299">
        <f t="shared" si="15"/>
        <v>0</v>
      </c>
      <c r="AD742" s="296">
        <f t="shared" si="16"/>
        <v>0</v>
      </c>
      <c r="AE742" s="299">
        <f t="shared" si="12"/>
        <v>0</v>
      </c>
      <c r="AF742" s="299">
        <f t="shared" si="13"/>
        <v>0</v>
      </c>
    </row>
    <row r="743">
      <c r="AB743" s="308">
        <v>67451.0</v>
      </c>
      <c r="AC743" s="299">
        <f t="shared" si="15"/>
        <v>0</v>
      </c>
      <c r="AD743" s="296">
        <f t="shared" si="16"/>
        <v>0</v>
      </c>
      <c r="AE743" s="299">
        <f t="shared" si="12"/>
        <v>0</v>
      </c>
      <c r="AF743" s="299">
        <f t="shared" si="13"/>
        <v>0</v>
      </c>
    </row>
    <row r="744">
      <c r="AB744" s="308">
        <v>67481.0</v>
      </c>
      <c r="AC744" s="299">
        <f t="shared" si="15"/>
        <v>0</v>
      </c>
      <c r="AD744" s="296">
        <f t="shared" si="16"/>
        <v>0</v>
      </c>
      <c r="AE744" s="299">
        <f t="shared" si="12"/>
        <v>0</v>
      </c>
      <c r="AF744" s="299">
        <f t="shared" si="13"/>
        <v>0</v>
      </c>
    </row>
    <row r="745">
      <c r="AB745" s="308">
        <v>67512.0</v>
      </c>
      <c r="AC745" s="299">
        <f t="shared" si="15"/>
        <v>0</v>
      </c>
      <c r="AD745" s="296">
        <f t="shared" si="16"/>
        <v>0</v>
      </c>
      <c r="AE745" s="299">
        <f t="shared" si="12"/>
        <v>0</v>
      </c>
      <c r="AF745" s="299">
        <f t="shared" si="13"/>
        <v>0</v>
      </c>
    </row>
    <row r="746">
      <c r="AB746" s="308">
        <v>67542.0</v>
      </c>
      <c r="AC746" s="299">
        <f t="shared" si="15"/>
        <v>0</v>
      </c>
      <c r="AD746" s="296">
        <f t="shared" si="16"/>
        <v>0</v>
      </c>
      <c r="AE746" s="299">
        <f t="shared" si="12"/>
        <v>0</v>
      </c>
      <c r="AF746" s="299">
        <f t="shared" si="13"/>
        <v>0</v>
      </c>
    </row>
    <row r="747">
      <c r="AB747" s="308">
        <v>67573.0</v>
      </c>
      <c r="AC747" s="299">
        <f t="shared" si="15"/>
        <v>0</v>
      </c>
      <c r="AD747" s="296">
        <f t="shared" si="16"/>
        <v>0</v>
      </c>
      <c r="AE747" s="299">
        <f t="shared" si="12"/>
        <v>0</v>
      </c>
      <c r="AF747" s="299">
        <f t="shared" si="13"/>
        <v>0</v>
      </c>
    </row>
    <row r="748">
      <c r="AB748" s="308">
        <v>67604.0</v>
      </c>
      <c r="AC748" s="299">
        <f t="shared" si="15"/>
        <v>0</v>
      </c>
      <c r="AD748" s="296">
        <f t="shared" si="16"/>
        <v>0</v>
      </c>
      <c r="AE748" s="299">
        <f t="shared" si="12"/>
        <v>0</v>
      </c>
      <c r="AF748" s="299">
        <f t="shared" si="13"/>
        <v>0</v>
      </c>
    </row>
    <row r="749">
      <c r="AB749" s="308">
        <v>67632.0</v>
      </c>
      <c r="AC749" s="299">
        <f t="shared" si="15"/>
        <v>0</v>
      </c>
      <c r="AD749" s="296">
        <f t="shared" si="16"/>
        <v>0</v>
      </c>
      <c r="AE749" s="299">
        <f t="shared" si="12"/>
        <v>0</v>
      </c>
      <c r="AF749" s="299">
        <f t="shared" si="13"/>
        <v>0</v>
      </c>
    </row>
    <row r="750">
      <c r="AB750" s="308">
        <v>67663.0</v>
      </c>
      <c r="AC750" s="299">
        <f t="shared" si="15"/>
        <v>0</v>
      </c>
      <c r="AD750" s="296">
        <f t="shared" si="16"/>
        <v>0</v>
      </c>
      <c r="AE750" s="299">
        <f t="shared" si="12"/>
        <v>0</v>
      </c>
      <c r="AF750" s="299">
        <f t="shared" si="13"/>
        <v>0</v>
      </c>
    </row>
    <row r="751">
      <c r="AB751" s="308">
        <v>67693.0</v>
      </c>
      <c r="AC751" s="299">
        <f t="shared" si="15"/>
        <v>0</v>
      </c>
      <c r="AD751" s="296">
        <f t="shared" si="16"/>
        <v>0</v>
      </c>
      <c r="AE751" s="299">
        <f t="shared" si="12"/>
        <v>0</v>
      </c>
      <c r="AF751" s="299">
        <f t="shared" si="13"/>
        <v>0</v>
      </c>
    </row>
    <row r="752">
      <c r="AB752" s="308">
        <v>67724.0</v>
      </c>
      <c r="AC752" s="299">
        <f t="shared" si="15"/>
        <v>0</v>
      </c>
      <c r="AD752" s="296">
        <f t="shared" si="16"/>
        <v>0</v>
      </c>
      <c r="AE752" s="299">
        <f t="shared" si="12"/>
        <v>0</v>
      </c>
      <c r="AF752" s="299">
        <f t="shared" si="13"/>
        <v>0</v>
      </c>
    </row>
    <row r="753">
      <c r="AB753" s="308">
        <v>67754.0</v>
      </c>
      <c r="AC753" s="299">
        <f t="shared" si="15"/>
        <v>0</v>
      </c>
      <c r="AD753" s="296">
        <f t="shared" si="16"/>
        <v>0</v>
      </c>
      <c r="AE753" s="299">
        <f t="shared" si="12"/>
        <v>0</v>
      </c>
      <c r="AF753" s="299">
        <f t="shared" si="13"/>
        <v>0</v>
      </c>
    </row>
    <row r="754">
      <c r="AB754" s="308">
        <v>67785.0</v>
      </c>
      <c r="AC754" s="299">
        <f t="shared" si="15"/>
        <v>0</v>
      </c>
      <c r="AD754" s="296">
        <f t="shared" si="16"/>
        <v>0</v>
      </c>
      <c r="AE754" s="299">
        <f t="shared" si="12"/>
        <v>0</v>
      </c>
      <c r="AF754" s="299">
        <f t="shared" si="13"/>
        <v>0</v>
      </c>
    </row>
    <row r="755">
      <c r="AB755" s="308">
        <v>67816.0</v>
      </c>
      <c r="AC755" s="299">
        <f t="shared" si="15"/>
        <v>0</v>
      </c>
      <c r="AD755" s="296">
        <f t="shared" si="16"/>
        <v>0</v>
      </c>
      <c r="AE755" s="299">
        <f t="shared" si="12"/>
        <v>0</v>
      </c>
      <c r="AF755" s="299">
        <f t="shared" si="13"/>
        <v>0</v>
      </c>
    </row>
    <row r="756">
      <c r="AB756" s="308">
        <v>67846.0</v>
      </c>
      <c r="AC756" s="299">
        <f t="shared" si="15"/>
        <v>0</v>
      </c>
      <c r="AD756" s="296">
        <f t="shared" si="16"/>
        <v>0</v>
      </c>
      <c r="AE756" s="299">
        <f t="shared" si="12"/>
        <v>0</v>
      </c>
      <c r="AF756" s="299">
        <f t="shared" si="13"/>
        <v>0</v>
      </c>
    </row>
    <row r="757">
      <c r="AB757" s="308">
        <v>67877.0</v>
      </c>
      <c r="AC757" s="299">
        <f t="shared" si="15"/>
        <v>0</v>
      </c>
      <c r="AD757" s="296">
        <f t="shared" si="16"/>
        <v>0</v>
      </c>
      <c r="AE757" s="299">
        <f t="shared" si="12"/>
        <v>0</v>
      </c>
      <c r="AF757" s="299">
        <f t="shared" si="13"/>
        <v>0</v>
      </c>
    </row>
    <row r="758">
      <c r="AB758" s="308">
        <v>67907.0</v>
      </c>
      <c r="AC758" s="299">
        <f t="shared" si="15"/>
        <v>0</v>
      </c>
      <c r="AD758" s="296">
        <f t="shared" si="16"/>
        <v>0</v>
      </c>
      <c r="AE758" s="299">
        <f t="shared" si="12"/>
        <v>0</v>
      </c>
      <c r="AF758" s="299">
        <f t="shared" si="13"/>
        <v>0</v>
      </c>
    </row>
    <row r="759">
      <c r="AB759" s="308">
        <v>67938.0</v>
      </c>
      <c r="AC759" s="299">
        <f t="shared" si="15"/>
        <v>0</v>
      </c>
      <c r="AD759" s="296">
        <f t="shared" si="16"/>
        <v>0</v>
      </c>
      <c r="AE759" s="299">
        <f t="shared" si="12"/>
        <v>0</v>
      </c>
      <c r="AF759" s="299">
        <f t="shared" si="13"/>
        <v>0</v>
      </c>
    </row>
    <row r="760">
      <c r="AB760" s="308">
        <v>67969.0</v>
      </c>
      <c r="AC760" s="299">
        <f t="shared" si="15"/>
        <v>0</v>
      </c>
      <c r="AD760" s="296">
        <f t="shared" si="16"/>
        <v>0</v>
      </c>
      <c r="AE760" s="299">
        <f t="shared" si="12"/>
        <v>0</v>
      </c>
      <c r="AF760" s="299">
        <f t="shared" si="13"/>
        <v>0</v>
      </c>
    </row>
    <row r="761">
      <c r="AB761" s="308">
        <v>67997.0</v>
      </c>
      <c r="AC761" s="299">
        <f t="shared" si="15"/>
        <v>0</v>
      </c>
      <c r="AD761" s="296">
        <f t="shared" si="16"/>
        <v>0</v>
      </c>
      <c r="AE761" s="299">
        <f t="shared" si="12"/>
        <v>0</v>
      </c>
      <c r="AF761" s="299">
        <f t="shared" si="13"/>
        <v>0</v>
      </c>
    </row>
    <row r="762">
      <c r="AB762" s="308">
        <v>68028.0</v>
      </c>
      <c r="AC762" s="299">
        <f t="shared" si="15"/>
        <v>0</v>
      </c>
      <c r="AD762" s="296">
        <f t="shared" si="16"/>
        <v>0</v>
      </c>
      <c r="AE762" s="299">
        <f t="shared" si="12"/>
        <v>0</v>
      </c>
      <c r="AF762" s="299">
        <f t="shared" si="13"/>
        <v>0</v>
      </c>
    </row>
    <row r="763">
      <c r="AB763" s="308">
        <v>68058.0</v>
      </c>
      <c r="AC763" s="299">
        <f t="shared" si="15"/>
        <v>0</v>
      </c>
      <c r="AD763" s="296">
        <f t="shared" si="16"/>
        <v>0</v>
      </c>
      <c r="AE763" s="299">
        <f t="shared" si="12"/>
        <v>0</v>
      </c>
      <c r="AF763" s="299">
        <f t="shared" si="13"/>
        <v>0</v>
      </c>
    </row>
    <row r="764">
      <c r="AB764" s="308">
        <v>68089.0</v>
      </c>
      <c r="AC764" s="299">
        <f t="shared" si="15"/>
        <v>0</v>
      </c>
      <c r="AD764" s="296">
        <f t="shared" si="16"/>
        <v>0</v>
      </c>
      <c r="AE764" s="299">
        <f t="shared" si="12"/>
        <v>0</v>
      </c>
      <c r="AF764" s="299">
        <f t="shared" si="13"/>
        <v>0</v>
      </c>
    </row>
    <row r="765">
      <c r="AB765" s="308">
        <v>68119.0</v>
      </c>
      <c r="AC765" s="299">
        <f t="shared" si="15"/>
        <v>0</v>
      </c>
      <c r="AD765" s="296">
        <f t="shared" si="16"/>
        <v>0</v>
      </c>
      <c r="AE765" s="299">
        <f t="shared" si="12"/>
        <v>0</v>
      </c>
      <c r="AF765" s="299">
        <f t="shared" si="13"/>
        <v>0</v>
      </c>
    </row>
    <row r="766">
      <c r="AB766" s="308">
        <v>68150.0</v>
      </c>
      <c r="AC766" s="299">
        <f t="shared" si="15"/>
        <v>0</v>
      </c>
      <c r="AD766" s="296">
        <f t="shared" si="16"/>
        <v>0</v>
      </c>
      <c r="AE766" s="299">
        <f t="shared" si="12"/>
        <v>0</v>
      </c>
      <c r="AF766" s="299">
        <f t="shared" si="13"/>
        <v>0</v>
      </c>
    </row>
    <row r="767">
      <c r="AB767" s="308">
        <v>68181.0</v>
      </c>
      <c r="AC767" s="299">
        <f t="shared" si="15"/>
        <v>0</v>
      </c>
      <c r="AD767" s="296">
        <f t="shared" si="16"/>
        <v>0</v>
      </c>
      <c r="AE767" s="299">
        <f t="shared" si="12"/>
        <v>0</v>
      </c>
      <c r="AF767" s="299">
        <f t="shared" si="13"/>
        <v>0</v>
      </c>
    </row>
    <row r="768">
      <c r="AB768" s="308">
        <v>68211.0</v>
      </c>
      <c r="AC768" s="299">
        <f t="shared" si="15"/>
        <v>0</v>
      </c>
      <c r="AD768" s="296">
        <f t="shared" si="16"/>
        <v>0</v>
      </c>
      <c r="AE768" s="299">
        <f t="shared" si="12"/>
        <v>0</v>
      </c>
      <c r="AF768" s="299">
        <f t="shared" si="13"/>
        <v>0</v>
      </c>
    </row>
    <row r="769">
      <c r="AB769" s="308">
        <v>68242.0</v>
      </c>
      <c r="AC769" s="299">
        <f t="shared" si="15"/>
        <v>0</v>
      </c>
      <c r="AD769" s="296">
        <f t="shared" si="16"/>
        <v>0</v>
      </c>
      <c r="AE769" s="299">
        <f t="shared" si="12"/>
        <v>0</v>
      </c>
      <c r="AF769" s="299">
        <f t="shared" si="13"/>
        <v>0</v>
      </c>
    </row>
    <row r="770">
      <c r="AB770" s="308">
        <v>68272.0</v>
      </c>
      <c r="AC770" s="299">
        <f t="shared" si="15"/>
        <v>0</v>
      </c>
      <c r="AD770" s="296">
        <f t="shared" si="16"/>
        <v>0</v>
      </c>
      <c r="AE770" s="299">
        <f t="shared" si="12"/>
        <v>0</v>
      </c>
      <c r="AF770" s="299">
        <f t="shared" si="13"/>
        <v>0</v>
      </c>
    </row>
    <row r="771">
      <c r="AB771" s="308">
        <v>68303.0</v>
      </c>
      <c r="AC771" s="299">
        <f t="shared" si="15"/>
        <v>0</v>
      </c>
      <c r="AD771" s="296">
        <f t="shared" si="16"/>
        <v>0</v>
      </c>
      <c r="AE771" s="299">
        <f t="shared" si="12"/>
        <v>0</v>
      </c>
      <c r="AF771" s="299">
        <f t="shared" si="13"/>
        <v>0</v>
      </c>
    </row>
    <row r="772">
      <c r="AB772" s="308">
        <v>68334.0</v>
      </c>
      <c r="AC772" s="299">
        <f t="shared" si="15"/>
        <v>0</v>
      </c>
      <c r="AD772" s="296">
        <f t="shared" si="16"/>
        <v>0</v>
      </c>
      <c r="AE772" s="299">
        <f t="shared" si="12"/>
        <v>0</v>
      </c>
      <c r="AF772" s="299">
        <f t="shared" si="13"/>
        <v>0</v>
      </c>
    </row>
    <row r="773">
      <c r="AB773" s="308">
        <v>68362.0</v>
      </c>
      <c r="AC773" s="299">
        <f t="shared" si="15"/>
        <v>0</v>
      </c>
      <c r="AD773" s="296">
        <f t="shared" si="16"/>
        <v>0</v>
      </c>
      <c r="AE773" s="299">
        <f t="shared" si="12"/>
        <v>0</v>
      </c>
      <c r="AF773" s="299">
        <f t="shared" si="13"/>
        <v>0</v>
      </c>
    </row>
    <row r="774">
      <c r="AB774" s="308">
        <v>68393.0</v>
      </c>
      <c r="AC774" s="299">
        <f t="shared" si="15"/>
        <v>0</v>
      </c>
      <c r="AD774" s="296">
        <f t="shared" si="16"/>
        <v>0</v>
      </c>
      <c r="AE774" s="299">
        <f t="shared" si="12"/>
        <v>0</v>
      </c>
      <c r="AF774" s="299">
        <f t="shared" si="13"/>
        <v>0</v>
      </c>
    </row>
    <row r="775">
      <c r="AB775" s="308">
        <v>68423.0</v>
      </c>
      <c r="AC775" s="299">
        <f t="shared" si="15"/>
        <v>0</v>
      </c>
      <c r="AD775" s="296">
        <f t="shared" si="16"/>
        <v>0</v>
      </c>
      <c r="AE775" s="299">
        <f t="shared" si="12"/>
        <v>0</v>
      </c>
      <c r="AF775" s="299">
        <f t="shared" si="13"/>
        <v>0</v>
      </c>
    </row>
    <row r="776">
      <c r="AB776" s="308">
        <v>68454.0</v>
      </c>
      <c r="AC776" s="299">
        <f t="shared" si="15"/>
        <v>0</v>
      </c>
      <c r="AD776" s="296">
        <f t="shared" si="16"/>
        <v>0</v>
      </c>
      <c r="AE776" s="299">
        <f t="shared" si="12"/>
        <v>0</v>
      </c>
      <c r="AF776" s="299">
        <f t="shared" si="13"/>
        <v>0</v>
      </c>
    </row>
    <row r="777">
      <c r="AB777" s="308">
        <v>68484.0</v>
      </c>
      <c r="AC777" s="299">
        <f t="shared" si="15"/>
        <v>0</v>
      </c>
      <c r="AD777" s="296">
        <f t="shared" si="16"/>
        <v>0</v>
      </c>
      <c r="AE777" s="299">
        <f t="shared" si="12"/>
        <v>0</v>
      </c>
      <c r="AF777" s="299">
        <f t="shared" si="13"/>
        <v>0</v>
      </c>
    </row>
    <row r="778">
      <c r="AB778" s="308">
        <v>68515.0</v>
      </c>
      <c r="AC778" s="299">
        <f t="shared" si="15"/>
        <v>0</v>
      </c>
      <c r="AD778" s="296">
        <f t="shared" si="16"/>
        <v>0</v>
      </c>
      <c r="AE778" s="299">
        <f t="shared" si="12"/>
        <v>0</v>
      </c>
      <c r="AF778" s="299">
        <f t="shared" si="13"/>
        <v>0</v>
      </c>
    </row>
    <row r="779">
      <c r="AB779" s="308">
        <v>68546.0</v>
      </c>
      <c r="AC779" s="299">
        <f t="shared" si="15"/>
        <v>0</v>
      </c>
      <c r="AD779" s="296">
        <f t="shared" si="16"/>
        <v>0</v>
      </c>
      <c r="AE779" s="299">
        <f t="shared" si="12"/>
        <v>0</v>
      </c>
      <c r="AF779" s="299">
        <f t="shared" si="13"/>
        <v>0</v>
      </c>
    </row>
    <row r="780">
      <c r="AB780" s="308">
        <v>68576.0</v>
      </c>
      <c r="AC780" s="299">
        <f t="shared" si="15"/>
        <v>0</v>
      </c>
      <c r="AD780" s="296">
        <f t="shared" si="16"/>
        <v>0</v>
      </c>
      <c r="AE780" s="299">
        <f t="shared" si="12"/>
        <v>0</v>
      </c>
      <c r="AF780" s="299">
        <f t="shared" si="13"/>
        <v>0</v>
      </c>
    </row>
    <row r="781">
      <c r="AB781" s="308">
        <v>68607.0</v>
      </c>
      <c r="AC781" s="299">
        <f t="shared" si="15"/>
        <v>0</v>
      </c>
      <c r="AD781" s="296">
        <f t="shared" si="16"/>
        <v>0</v>
      </c>
      <c r="AE781" s="299">
        <f t="shared" si="12"/>
        <v>0</v>
      </c>
      <c r="AF781" s="299">
        <f t="shared" si="13"/>
        <v>0</v>
      </c>
    </row>
    <row r="782">
      <c r="AB782" s="308">
        <v>68637.0</v>
      </c>
      <c r="AC782" s="299">
        <f t="shared" si="15"/>
        <v>0</v>
      </c>
      <c r="AD782" s="296">
        <f t="shared" si="16"/>
        <v>0</v>
      </c>
      <c r="AE782" s="299">
        <f t="shared" si="12"/>
        <v>0</v>
      </c>
      <c r="AF782" s="299">
        <f t="shared" si="13"/>
        <v>0</v>
      </c>
    </row>
    <row r="783">
      <c r="AB783" s="308">
        <v>68668.0</v>
      </c>
      <c r="AC783" s="299">
        <f t="shared" si="15"/>
        <v>0</v>
      </c>
      <c r="AD783" s="296">
        <f t="shared" si="16"/>
        <v>0</v>
      </c>
      <c r="AE783" s="299">
        <f t="shared" si="12"/>
        <v>0</v>
      </c>
      <c r="AF783" s="299">
        <f t="shared" si="13"/>
        <v>0</v>
      </c>
    </row>
    <row r="784">
      <c r="AB784" s="308">
        <v>68699.0</v>
      </c>
      <c r="AC784" s="299">
        <f t="shared" si="15"/>
        <v>0</v>
      </c>
      <c r="AD784" s="296">
        <f t="shared" si="16"/>
        <v>0</v>
      </c>
      <c r="AE784" s="299">
        <f t="shared" si="12"/>
        <v>0</v>
      </c>
      <c r="AF784" s="299">
        <f t="shared" si="13"/>
        <v>0</v>
      </c>
    </row>
    <row r="785">
      <c r="AB785" s="308">
        <v>68728.0</v>
      </c>
      <c r="AC785" s="299">
        <f t="shared" si="15"/>
        <v>0</v>
      </c>
      <c r="AD785" s="296">
        <f t="shared" si="16"/>
        <v>0</v>
      </c>
      <c r="AE785" s="299">
        <f t="shared" si="12"/>
        <v>0</v>
      </c>
      <c r="AF785" s="299">
        <f t="shared" si="13"/>
        <v>0</v>
      </c>
    </row>
    <row r="786">
      <c r="AB786" s="308">
        <v>68759.0</v>
      </c>
      <c r="AC786" s="299">
        <f t="shared" si="15"/>
        <v>0</v>
      </c>
      <c r="AD786" s="296">
        <f t="shared" si="16"/>
        <v>0</v>
      </c>
      <c r="AE786" s="299">
        <f t="shared" si="12"/>
        <v>0</v>
      </c>
      <c r="AF786" s="299">
        <f t="shared" si="13"/>
        <v>0</v>
      </c>
    </row>
    <row r="787">
      <c r="AB787" s="308">
        <v>68789.0</v>
      </c>
      <c r="AC787" s="299">
        <f t="shared" si="15"/>
        <v>0</v>
      </c>
      <c r="AD787" s="296">
        <f t="shared" si="16"/>
        <v>0</v>
      </c>
      <c r="AE787" s="299">
        <f t="shared" si="12"/>
        <v>0</v>
      </c>
      <c r="AF787" s="299">
        <f t="shared" si="13"/>
        <v>0</v>
      </c>
    </row>
    <row r="788">
      <c r="AB788" s="308">
        <v>68820.0</v>
      </c>
      <c r="AC788" s="299">
        <f t="shared" si="15"/>
        <v>0</v>
      </c>
      <c r="AD788" s="296">
        <f t="shared" si="16"/>
        <v>0</v>
      </c>
      <c r="AE788" s="299">
        <f t="shared" si="12"/>
        <v>0</v>
      </c>
      <c r="AF788" s="299">
        <f t="shared" si="13"/>
        <v>0</v>
      </c>
    </row>
    <row r="789">
      <c r="AB789" s="308">
        <v>68850.0</v>
      </c>
      <c r="AC789" s="299">
        <f t="shared" si="15"/>
        <v>0</v>
      </c>
      <c r="AD789" s="296">
        <f t="shared" si="16"/>
        <v>0</v>
      </c>
      <c r="AE789" s="299">
        <f t="shared" si="12"/>
        <v>0</v>
      </c>
      <c r="AF789" s="299">
        <f t="shared" si="13"/>
        <v>0</v>
      </c>
    </row>
    <row r="790">
      <c r="AB790" s="308">
        <v>68881.0</v>
      </c>
      <c r="AC790" s="299">
        <f t="shared" si="15"/>
        <v>0</v>
      </c>
      <c r="AD790" s="296">
        <f t="shared" si="16"/>
        <v>0</v>
      </c>
      <c r="AE790" s="299">
        <f t="shared" si="12"/>
        <v>0</v>
      </c>
      <c r="AF790" s="299">
        <f t="shared" si="13"/>
        <v>0</v>
      </c>
    </row>
    <row r="791">
      <c r="AB791" s="308">
        <v>68912.0</v>
      </c>
      <c r="AC791" s="299">
        <f t="shared" si="15"/>
        <v>0</v>
      </c>
      <c r="AD791" s="296">
        <f t="shared" si="16"/>
        <v>0</v>
      </c>
      <c r="AE791" s="299">
        <f t="shared" si="12"/>
        <v>0</v>
      </c>
      <c r="AF791" s="299">
        <f t="shared" si="13"/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3.38"/>
    <col customWidth="1" min="3" max="3" width="10.38"/>
    <col customWidth="1" min="4" max="4" width="10.25"/>
    <col customWidth="1" min="5" max="5" width="13.38"/>
    <col customWidth="1" min="6" max="6" width="12.38"/>
    <col customWidth="1" min="7" max="7" width="12.88"/>
    <col customWidth="1" min="9" max="9" width="5.5"/>
    <col customWidth="1" min="10" max="10" width="13.25"/>
    <col customWidth="1" min="11" max="11" width="7.5"/>
    <col customWidth="1" min="12" max="12" width="6.88"/>
    <col customWidth="1" min="13" max="13" width="9.75"/>
    <col customWidth="1" min="14" max="15" width="7.5"/>
    <col customWidth="1" min="16" max="16" width="4.38"/>
    <col customWidth="1" min="17" max="17" width="6.5"/>
    <col customWidth="1" min="18" max="18" width="8.0"/>
    <col customWidth="1" min="20" max="20" width="11.88"/>
    <col customWidth="1" min="21" max="21" width="6.5"/>
  </cols>
  <sheetData>
    <row r="1">
      <c r="A1" s="6"/>
    </row>
    <row r="2">
      <c r="A2" s="6">
        <v>2099750.0</v>
      </c>
      <c r="B2" s="6" t="s">
        <v>433</v>
      </c>
      <c r="F2" s="2">
        <f t="shared" ref="F2:G2" si="1">sum(F5:F10)</f>
        <v>307425</v>
      </c>
      <c r="G2" s="2">
        <f t="shared" si="1"/>
        <v>1717325</v>
      </c>
    </row>
    <row r="3">
      <c r="A3" s="309" t="s">
        <v>434</v>
      </c>
      <c r="B3" s="305" t="s">
        <v>435</v>
      </c>
      <c r="C3" s="305" t="s">
        <v>436</v>
      </c>
      <c r="D3" s="305" t="s">
        <v>437</v>
      </c>
      <c r="E3" s="305" t="s">
        <v>435</v>
      </c>
      <c r="F3" s="305" t="s">
        <v>438</v>
      </c>
      <c r="G3" s="305" t="s">
        <v>439</v>
      </c>
      <c r="K3" s="6" t="s">
        <v>440</v>
      </c>
      <c r="L3" s="6" t="s">
        <v>441</v>
      </c>
    </row>
    <row r="4">
      <c r="A4" s="309" t="s">
        <v>442</v>
      </c>
      <c r="B4" s="310">
        <v>0.0</v>
      </c>
      <c r="C4" s="305">
        <v>0.0</v>
      </c>
      <c r="D4" s="305">
        <v>75000.0</v>
      </c>
      <c r="E4" s="305">
        <v>0.0</v>
      </c>
      <c r="F4" s="305">
        <v>0.0</v>
      </c>
      <c r="G4" s="305">
        <v>75000.0</v>
      </c>
      <c r="K4" s="6"/>
      <c r="L4" s="6"/>
    </row>
    <row r="5">
      <c r="A5" s="6" t="s">
        <v>443</v>
      </c>
      <c r="B5" s="311">
        <v>0.0</v>
      </c>
      <c r="C5" s="6">
        <v>0.0</v>
      </c>
      <c r="D5" s="6">
        <v>300000.0</v>
      </c>
      <c r="E5" s="6">
        <v>0.0</v>
      </c>
      <c r="F5" s="6">
        <v>0.0</v>
      </c>
      <c r="G5" s="6">
        <v>300000.0</v>
      </c>
      <c r="I5" s="6" t="s">
        <v>444</v>
      </c>
      <c r="J5" s="6" t="s">
        <v>151</v>
      </c>
      <c r="K5" s="2">
        <f>A2</f>
        <v>2099750</v>
      </c>
      <c r="L5" s="2">
        <f>floor(K5/12,1)</f>
        <v>174979</v>
      </c>
    </row>
    <row r="6">
      <c r="A6" s="6" t="s">
        <v>445</v>
      </c>
      <c r="B6" s="311">
        <v>0.05</v>
      </c>
      <c r="C6" s="6">
        <v>300001.0</v>
      </c>
      <c r="D6" s="6">
        <v>600000.0</v>
      </c>
      <c r="E6" s="6">
        <f t="shared" ref="E6:E10" si="2">D6-C6+1</f>
        <v>300000</v>
      </c>
      <c r="F6" s="2">
        <f t="shared" ref="F6:F10" si="3">E6*B6</f>
        <v>15000</v>
      </c>
      <c r="G6" s="2">
        <f t="shared" ref="G6:G10" si="4">E6-F6</f>
        <v>285000</v>
      </c>
      <c r="I6" s="6" t="s">
        <v>446</v>
      </c>
      <c r="J6" s="6" t="s">
        <v>447</v>
      </c>
      <c r="K6" s="2">
        <f>FLOOR(F2,1)</f>
        <v>307425</v>
      </c>
      <c r="L6" s="2">
        <f>FLOOR(K6/12,1)</f>
        <v>25618</v>
      </c>
    </row>
    <row r="7">
      <c r="A7" s="6" t="s">
        <v>448</v>
      </c>
      <c r="B7" s="311">
        <v>0.1</v>
      </c>
      <c r="C7" s="6">
        <v>600001.0</v>
      </c>
      <c r="D7" s="6">
        <v>900000.0</v>
      </c>
      <c r="E7" s="6">
        <f t="shared" si="2"/>
        <v>300000</v>
      </c>
      <c r="F7" s="2">
        <f t="shared" si="3"/>
        <v>30000</v>
      </c>
      <c r="G7" s="2">
        <f t="shared" si="4"/>
        <v>270000</v>
      </c>
      <c r="I7" s="6" t="s">
        <v>446</v>
      </c>
      <c r="J7" s="6" t="s">
        <v>449</v>
      </c>
      <c r="K7" s="2">
        <f t="shared" ref="K7:K8" si="5">L7*12</f>
        <v>43200</v>
      </c>
      <c r="L7" s="6">
        <v>3600.0</v>
      </c>
    </row>
    <row r="8">
      <c r="A8" s="6" t="s">
        <v>450</v>
      </c>
      <c r="B8" s="311">
        <v>0.15</v>
      </c>
      <c r="C8" s="6">
        <v>900001.0</v>
      </c>
      <c r="D8" s="6">
        <v>1200000.0</v>
      </c>
      <c r="E8" s="6">
        <f t="shared" si="2"/>
        <v>300000</v>
      </c>
      <c r="F8" s="2">
        <f t="shared" si="3"/>
        <v>45000</v>
      </c>
      <c r="G8" s="2">
        <f t="shared" si="4"/>
        <v>255000</v>
      </c>
      <c r="I8" s="6" t="s">
        <v>446</v>
      </c>
      <c r="J8" s="6" t="s">
        <v>451</v>
      </c>
      <c r="K8" s="2">
        <f t="shared" si="5"/>
        <v>2400</v>
      </c>
      <c r="L8" s="6">
        <v>200.0</v>
      </c>
    </row>
    <row r="9">
      <c r="A9" s="6" t="s">
        <v>452</v>
      </c>
      <c r="B9" s="311">
        <v>0.2</v>
      </c>
      <c r="C9" s="6">
        <v>1200001.0</v>
      </c>
      <c r="D9" s="6">
        <v>1500000.0</v>
      </c>
      <c r="E9" s="6">
        <f t="shared" si="2"/>
        <v>300000</v>
      </c>
      <c r="F9" s="2">
        <f t="shared" si="3"/>
        <v>60000</v>
      </c>
      <c r="G9" s="2">
        <f t="shared" si="4"/>
        <v>240000</v>
      </c>
      <c r="J9" s="6" t="s">
        <v>453</v>
      </c>
      <c r="K9" s="2">
        <f t="shared" ref="K9:L9" si="6">K5-sum(K6:K8)</f>
        <v>1746725</v>
      </c>
      <c r="L9" s="304">
        <f t="shared" si="6"/>
        <v>145561</v>
      </c>
    </row>
    <row r="10">
      <c r="A10" s="6" t="s">
        <v>454</v>
      </c>
      <c r="B10" s="311">
        <v>0.3</v>
      </c>
      <c r="C10" s="6">
        <v>1500001.0</v>
      </c>
      <c r="D10" s="6">
        <f>A2-75000</f>
        <v>2024750</v>
      </c>
      <c r="E10" s="6">
        <f t="shared" si="2"/>
        <v>524750</v>
      </c>
      <c r="F10" s="2">
        <f t="shared" si="3"/>
        <v>157425</v>
      </c>
      <c r="G10" s="2">
        <f t="shared" si="4"/>
        <v>367325</v>
      </c>
    </row>
    <row r="12">
      <c r="A12" s="6">
        <v>2099750.0</v>
      </c>
      <c r="B12" s="6" t="s">
        <v>455</v>
      </c>
      <c r="F12" s="2">
        <f>sum(F16:F21)</f>
        <v>206187.5</v>
      </c>
      <c r="G12" s="2">
        <f>sum(G15:G21)</f>
        <v>1818562.5</v>
      </c>
    </row>
    <row r="13">
      <c r="A13" s="309" t="s">
        <v>434</v>
      </c>
      <c r="B13" s="309" t="s">
        <v>456</v>
      </c>
      <c r="C13" s="305" t="s">
        <v>436</v>
      </c>
      <c r="D13" s="305" t="s">
        <v>437</v>
      </c>
      <c r="E13" s="305" t="s">
        <v>435</v>
      </c>
      <c r="F13" s="305" t="s">
        <v>438</v>
      </c>
      <c r="G13" s="305" t="s">
        <v>439</v>
      </c>
      <c r="K13" s="6" t="s">
        <v>440</v>
      </c>
      <c r="L13" s="6" t="s">
        <v>441</v>
      </c>
    </row>
    <row r="14">
      <c r="A14" s="309" t="s">
        <v>442</v>
      </c>
      <c r="B14" s="310">
        <v>0.0</v>
      </c>
      <c r="C14" s="305">
        <v>0.0</v>
      </c>
      <c r="D14" s="305">
        <v>75000.0</v>
      </c>
      <c r="E14" s="305">
        <v>0.0</v>
      </c>
      <c r="F14" s="305">
        <v>0.0</v>
      </c>
      <c r="G14" s="305">
        <v>75000.0</v>
      </c>
      <c r="K14" s="6"/>
      <c r="L14" s="6"/>
    </row>
    <row r="15">
      <c r="A15" s="6" t="s">
        <v>457</v>
      </c>
      <c r="B15" s="311">
        <v>0.0</v>
      </c>
      <c r="C15" s="6">
        <v>0.0</v>
      </c>
      <c r="D15" s="6">
        <v>400000.0</v>
      </c>
      <c r="E15" s="6">
        <v>0.0</v>
      </c>
      <c r="F15" s="6">
        <v>0.0</v>
      </c>
      <c r="G15" s="6">
        <v>400000.0</v>
      </c>
      <c r="I15" s="6" t="s">
        <v>444</v>
      </c>
      <c r="J15" s="6" t="s">
        <v>151</v>
      </c>
      <c r="K15" s="2">
        <f>A12</f>
        <v>2099750</v>
      </c>
      <c r="L15" s="2">
        <f>floor(K15/12,1)</f>
        <v>174979</v>
      </c>
    </row>
    <row r="16">
      <c r="A16" s="6" t="s">
        <v>458</v>
      </c>
      <c r="B16" s="311">
        <v>0.05</v>
      </c>
      <c r="C16" s="6">
        <v>400001.0</v>
      </c>
      <c r="D16" s="6">
        <v>800000.0</v>
      </c>
      <c r="E16" s="6">
        <f t="shared" ref="E16:E20" si="7">D16-C16+1</f>
        <v>400000</v>
      </c>
      <c r="F16" s="2">
        <f t="shared" ref="F16:F21" si="8">E16*B16</f>
        <v>20000</v>
      </c>
      <c r="G16" s="2">
        <f t="shared" ref="G16:G21" si="9">E16-F16</f>
        <v>380000</v>
      </c>
      <c r="I16" s="6" t="s">
        <v>446</v>
      </c>
      <c r="J16" s="6" t="s">
        <v>447</v>
      </c>
      <c r="K16" s="2">
        <f>FLOOR(F12,1)</f>
        <v>206187</v>
      </c>
      <c r="L16" s="2">
        <f>FLOOR(K16/12,1)</f>
        <v>17182</v>
      </c>
    </row>
    <row r="17">
      <c r="A17" s="6" t="s">
        <v>459</v>
      </c>
      <c r="B17" s="311">
        <v>0.1</v>
      </c>
      <c r="C17" s="6">
        <v>800001.0</v>
      </c>
      <c r="D17" s="6">
        <v>1200000.0</v>
      </c>
      <c r="E17" s="6">
        <f t="shared" si="7"/>
        <v>400000</v>
      </c>
      <c r="F17" s="2">
        <f t="shared" si="8"/>
        <v>40000</v>
      </c>
      <c r="G17" s="2">
        <f t="shared" si="9"/>
        <v>360000</v>
      </c>
      <c r="I17" s="6" t="s">
        <v>446</v>
      </c>
      <c r="J17" s="6" t="s">
        <v>449</v>
      </c>
      <c r="K17" s="2">
        <f t="shared" ref="K17:K18" si="10">L17*12</f>
        <v>43200</v>
      </c>
      <c r="L17" s="6">
        <v>3600.0</v>
      </c>
    </row>
    <row r="18">
      <c r="A18" s="6" t="s">
        <v>460</v>
      </c>
      <c r="B18" s="311">
        <v>0.15</v>
      </c>
      <c r="C18" s="6">
        <v>1200001.0</v>
      </c>
      <c r="D18" s="6">
        <v>1600000.0</v>
      </c>
      <c r="E18" s="6">
        <f t="shared" si="7"/>
        <v>400000</v>
      </c>
      <c r="F18" s="2">
        <f t="shared" si="8"/>
        <v>60000</v>
      </c>
      <c r="G18" s="2">
        <f t="shared" si="9"/>
        <v>340000</v>
      </c>
      <c r="I18" s="6" t="s">
        <v>446</v>
      </c>
      <c r="J18" s="6" t="s">
        <v>451</v>
      </c>
      <c r="K18" s="2">
        <f t="shared" si="10"/>
        <v>2400</v>
      </c>
      <c r="L18" s="6">
        <v>200.0</v>
      </c>
    </row>
    <row r="19">
      <c r="A19" s="6" t="s">
        <v>461</v>
      </c>
      <c r="B19" s="311">
        <v>0.2</v>
      </c>
      <c r="C19" s="6">
        <v>1600001.0</v>
      </c>
      <c r="D19" s="6">
        <v>2000000.0</v>
      </c>
      <c r="E19" s="6">
        <f t="shared" si="7"/>
        <v>400000</v>
      </c>
      <c r="F19" s="2">
        <f t="shared" si="8"/>
        <v>80000</v>
      </c>
      <c r="G19" s="2">
        <f t="shared" si="9"/>
        <v>320000</v>
      </c>
      <c r="J19" s="6" t="s">
        <v>453</v>
      </c>
      <c r="K19" s="2">
        <f t="shared" ref="K19:L19" si="11">K15-sum(K16:K18)</f>
        <v>1847963</v>
      </c>
      <c r="L19" s="304">
        <f t="shared" si="11"/>
        <v>153997</v>
      </c>
    </row>
    <row r="20">
      <c r="A20" s="6" t="s">
        <v>462</v>
      </c>
      <c r="B20" s="311">
        <v>0.25</v>
      </c>
      <c r="C20" s="6">
        <v>2000001.0</v>
      </c>
      <c r="D20" s="6">
        <f>A12-75000</f>
        <v>2024750</v>
      </c>
      <c r="E20" s="6">
        <f t="shared" si="7"/>
        <v>24750</v>
      </c>
      <c r="F20" s="2">
        <f t="shared" si="8"/>
        <v>6187.5</v>
      </c>
      <c r="G20" s="2">
        <f t="shared" si="9"/>
        <v>18562.5</v>
      </c>
    </row>
    <row r="21">
      <c r="A21" s="6" t="s">
        <v>463</v>
      </c>
      <c r="B21" s="311">
        <v>0.3</v>
      </c>
      <c r="C21" s="6">
        <v>2400001.0</v>
      </c>
      <c r="F21" s="2">
        <f t="shared" si="8"/>
        <v>0</v>
      </c>
      <c r="G21" s="2">
        <f t="shared" si="9"/>
        <v>0</v>
      </c>
    </row>
    <row r="23">
      <c r="A23" s="311">
        <v>0.1</v>
      </c>
      <c r="B23" s="6" t="s">
        <v>464</v>
      </c>
    </row>
    <row r="24">
      <c r="A24" s="6">
        <f>A12+(A23*A12)</f>
        <v>2309725</v>
      </c>
      <c r="B24" s="6" t="s">
        <v>455</v>
      </c>
      <c r="F24" s="2">
        <f>sum(F28:F33)</f>
        <v>258681.25</v>
      </c>
      <c r="G24" s="2">
        <f>sum(G27:G33)</f>
        <v>1976043.75</v>
      </c>
    </row>
    <row r="25">
      <c r="A25" s="309" t="s">
        <v>434</v>
      </c>
      <c r="B25" s="309" t="s">
        <v>456</v>
      </c>
      <c r="C25" s="305" t="s">
        <v>436</v>
      </c>
      <c r="D25" s="305" t="s">
        <v>437</v>
      </c>
      <c r="E25" s="305" t="s">
        <v>435</v>
      </c>
      <c r="F25" s="305" t="s">
        <v>438</v>
      </c>
      <c r="G25" s="305" t="s">
        <v>439</v>
      </c>
      <c r="K25" s="6" t="s">
        <v>440</v>
      </c>
      <c r="L25" s="6" t="s">
        <v>441</v>
      </c>
    </row>
    <row r="26">
      <c r="A26" s="309" t="s">
        <v>442</v>
      </c>
      <c r="B26" s="310">
        <v>0.0</v>
      </c>
      <c r="C26" s="305">
        <v>0.0</v>
      </c>
      <c r="D26" s="305">
        <v>75000.0</v>
      </c>
      <c r="E26" s="305">
        <v>0.0</v>
      </c>
      <c r="F26" s="305">
        <v>0.0</v>
      </c>
      <c r="G26" s="305">
        <v>75000.0</v>
      </c>
      <c r="I26" s="6"/>
      <c r="J26" s="6"/>
    </row>
    <row r="27">
      <c r="A27" s="6" t="s">
        <v>457</v>
      </c>
      <c r="B27" s="311">
        <v>0.0</v>
      </c>
      <c r="C27" s="6">
        <v>0.0</v>
      </c>
      <c r="D27" s="6">
        <v>400000.0</v>
      </c>
      <c r="E27" s="6">
        <v>0.0</v>
      </c>
      <c r="F27" s="6">
        <v>0.0</v>
      </c>
      <c r="G27" s="6">
        <v>400000.0</v>
      </c>
      <c r="I27" s="6" t="s">
        <v>444</v>
      </c>
      <c r="J27" s="6" t="s">
        <v>151</v>
      </c>
      <c r="K27" s="2">
        <f>A24</f>
        <v>2309725</v>
      </c>
      <c r="L27" s="2">
        <f>floor(K27/12,1)</f>
        <v>192477</v>
      </c>
    </row>
    <row r="28">
      <c r="A28" s="6" t="s">
        <v>458</v>
      </c>
      <c r="B28" s="311">
        <v>0.05</v>
      </c>
      <c r="C28" s="6">
        <v>400001.0</v>
      </c>
      <c r="D28" s="6">
        <v>800000.0</v>
      </c>
      <c r="E28" s="6">
        <f t="shared" ref="E28:E32" si="12">D28-C28+1</f>
        <v>400000</v>
      </c>
      <c r="F28" s="2">
        <f t="shared" ref="F28:F33" si="13">E28*B28</f>
        <v>20000</v>
      </c>
      <c r="G28" s="2">
        <f t="shared" ref="G28:G33" si="14">E28-F28</f>
        <v>380000</v>
      </c>
      <c r="I28" s="6" t="s">
        <v>446</v>
      </c>
      <c r="J28" s="6" t="s">
        <v>447</v>
      </c>
      <c r="K28" s="2">
        <f>FLOOR(F24,1)</f>
        <v>258681</v>
      </c>
      <c r="L28" s="2">
        <f>FLOOR(K28/12,1)</f>
        <v>21556</v>
      </c>
    </row>
    <row r="29">
      <c r="A29" s="6" t="s">
        <v>459</v>
      </c>
      <c r="B29" s="311">
        <v>0.1</v>
      </c>
      <c r="C29" s="6">
        <v>800001.0</v>
      </c>
      <c r="D29" s="6">
        <v>1200000.0</v>
      </c>
      <c r="E29" s="6">
        <f t="shared" si="12"/>
        <v>400000</v>
      </c>
      <c r="F29" s="2">
        <f t="shared" si="13"/>
        <v>40000</v>
      </c>
      <c r="G29" s="2">
        <f t="shared" si="14"/>
        <v>360000</v>
      </c>
      <c r="I29" s="6" t="s">
        <v>446</v>
      </c>
      <c r="J29" s="6" t="s">
        <v>449</v>
      </c>
      <c r="K29" s="2">
        <f t="shared" ref="K29:K30" si="15">L29*12</f>
        <v>43200</v>
      </c>
      <c r="L29" s="6">
        <v>3600.0</v>
      </c>
    </row>
    <row r="30">
      <c r="A30" s="6" t="s">
        <v>460</v>
      </c>
      <c r="B30" s="311">
        <v>0.15</v>
      </c>
      <c r="C30" s="6">
        <v>1200001.0</v>
      </c>
      <c r="D30" s="6">
        <v>1600000.0</v>
      </c>
      <c r="E30" s="6">
        <f t="shared" si="12"/>
        <v>400000</v>
      </c>
      <c r="F30" s="2">
        <f t="shared" si="13"/>
        <v>60000</v>
      </c>
      <c r="G30" s="2">
        <f t="shared" si="14"/>
        <v>340000</v>
      </c>
      <c r="I30" s="6" t="s">
        <v>446</v>
      </c>
      <c r="J30" s="6" t="s">
        <v>451</v>
      </c>
      <c r="K30" s="2">
        <f t="shared" si="15"/>
        <v>2400</v>
      </c>
      <c r="L30" s="6">
        <v>200.0</v>
      </c>
    </row>
    <row r="31">
      <c r="A31" s="6" t="s">
        <v>461</v>
      </c>
      <c r="B31" s="311">
        <v>0.2</v>
      </c>
      <c r="C31" s="6">
        <v>1600001.0</v>
      </c>
      <c r="D31" s="6">
        <v>2000000.0</v>
      </c>
      <c r="E31" s="6">
        <f t="shared" si="12"/>
        <v>400000</v>
      </c>
      <c r="F31" s="2">
        <f t="shared" si="13"/>
        <v>80000</v>
      </c>
      <c r="G31" s="2">
        <f t="shared" si="14"/>
        <v>320000</v>
      </c>
      <c r="J31" s="6" t="s">
        <v>453</v>
      </c>
      <c r="K31" s="2">
        <f t="shared" ref="K31:L31" si="16">K27-sum(K28:K30)</f>
        <v>2005444</v>
      </c>
      <c r="L31" s="304">
        <f t="shared" si="16"/>
        <v>167121</v>
      </c>
    </row>
    <row r="32">
      <c r="A32" s="6" t="s">
        <v>462</v>
      </c>
      <c r="B32" s="311">
        <v>0.25</v>
      </c>
      <c r="C32" s="6">
        <v>2000001.0</v>
      </c>
      <c r="D32" s="6">
        <f>A24-75000</f>
        <v>2234725</v>
      </c>
      <c r="E32" s="6">
        <f t="shared" si="12"/>
        <v>234725</v>
      </c>
      <c r="F32" s="2">
        <f t="shared" si="13"/>
        <v>58681.25</v>
      </c>
      <c r="G32" s="2">
        <f t="shared" si="14"/>
        <v>176043.75</v>
      </c>
    </row>
    <row r="33">
      <c r="A33" s="6" t="s">
        <v>463</v>
      </c>
      <c r="B33" s="311">
        <v>0.3</v>
      </c>
      <c r="C33" s="6">
        <v>2400001.0</v>
      </c>
      <c r="F33" s="2">
        <f t="shared" si="13"/>
        <v>0</v>
      </c>
      <c r="G33" s="2">
        <f t="shared" si="14"/>
        <v>0</v>
      </c>
    </row>
    <row r="35">
      <c r="A35" s="6">
        <v>2300000.0</v>
      </c>
      <c r="B35" s="6" t="s">
        <v>433</v>
      </c>
      <c r="F35" s="2">
        <f t="shared" ref="F35:G35" si="17">sum(F38:F43)</f>
        <v>375000</v>
      </c>
      <c r="G35" s="2">
        <f t="shared" si="17"/>
        <v>1875000</v>
      </c>
    </row>
    <row r="36">
      <c r="A36" s="309" t="s">
        <v>434</v>
      </c>
      <c r="B36" s="305" t="s">
        <v>435</v>
      </c>
      <c r="C36" s="305" t="s">
        <v>436</v>
      </c>
      <c r="D36" s="305" t="s">
        <v>437</v>
      </c>
      <c r="E36" s="305" t="s">
        <v>435</v>
      </c>
      <c r="F36" s="305" t="s">
        <v>438</v>
      </c>
      <c r="G36" s="305" t="s">
        <v>439</v>
      </c>
      <c r="K36" s="6" t="s">
        <v>440</v>
      </c>
      <c r="L36" s="6" t="s">
        <v>441</v>
      </c>
    </row>
    <row r="37">
      <c r="A37" s="309" t="s">
        <v>442</v>
      </c>
      <c r="B37" s="310">
        <v>0.0</v>
      </c>
      <c r="C37" s="305">
        <v>0.0</v>
      </c>
      <c r="D37" s="305">
        <v>50000.0</v>
      </c>
      <c r="E37" s="305">
        <v>0.0</v>
      </c>
      <c r="F37" s="305">
        <v>0.0</v>
      </c>
      <c r="G37" s="305">
        <f>D37</f>
        <v>50000</v>
      </c>
      <c r="K37" s="6"/>
      <c r="L37" s="6"/>
    </row>
    <row r="38">
      <c r="A38" s="6" t="s">
        <v>443</v>
      </c>
      <c r="B38" s="311">
        <v>0.0</v>
      </c>
      <c r="C38" s="6">
        <v>0.0</v>
      </c>
      <c r="D38" s="6">
        <v>300000.0</v>
      </c>
      <c r="E38" s="6">
        <v>0.0</v>
      </c>
      <c r="F38" s="6">
        <v>0.0</v>
      </c>
      <c r="G38" s="6">
        <v>300000.0</v>
      </c>
      <c r="I38" s="6" t="s">
        <v>444</v>
      </c>
      <c r="J38" s="6" t="s">
        <v>151</v>
      </c>
      <c r="K38" s="2">
        <f>A35</f>
        <v>2300000</v>
      </c>
      <c r="L38" s="2">
        <f>floor(K38/12,1)</f>
        <v>191666</v>
      </c>
    </row>
    <row r="39">
      <c r="A39" s="6" t="s">
        <v>445</v>
      </c>
      <c r="B39" s="311">
        <v>0.05</v>
      </c>
      <c r="C39" s="6">
        <v>300001.0</v>
      </c>
      <c r="D39" s="6">
        <v>600000.0</v>
      </c>
      <c r="E39" s="6">
        <f t="shared" ref="E39:E43" si="18">D39-C39+1</f>
        <v>300000</v>
      </c>
      <c r="F39" s="2">
        <f t="shared" ref="F39:F43" si="19">E39*B39</f>
        <v>15000</v>
      </c>
      <c r="G39" s="2">
        <f t="shared" ref="G39:G43" si="20">E39-F39</f>
        <v>285000</v>
      </c>
      <c r="I39" s="6" t="s">
        <v>446</v>
      </c>
      <c r="J39" s="6" t="s">
        <v>447</v>
      </c>
      <c r="K39" s="2">
        <f>FLOOR(F35,1)</f>
        <v>375000</v>
      </c>
      <c r="L39" s="2">
        <f>FLOOR(K39/12,1)</f>
        <v>31250</v>
      </c>
    </row>
    <row r="40">
      <c r="A40" s="6" t="s">
        <v>448</v>
      </c>
      <c r="B40" s="311">
        <v>0.1</v>
      </c>
      <c r="C40" s="6">
        <v>600001.0</v>
      </c>
      <c r="D40" s="6">
        <v>900000.0</v>
      </c>
      <c r="E40" s="6">
        <f t="shared" si="18"/>
        <v>300000</v>
      </c>
      <c r="F40" s="2">
        <f t="shared" si="19"/>
        <v>30000</v>
      </c>
      <c r="G40" s="2">
        <f t="shared" si="20"/>
        <v>270000</v>
      </c>
      <c r="I40" s="6" t="s">
        <v>446</v>
      </c>
      <c r="J40" s="6" t="s">
        <v>449</v>
      </c>
      <c r="K40" s="2">
        <f t="shared" ref="K40:K41" si="21">L40*12</f>
        <v>43200</v>
      </c>
      <c r="L40" s="6">
        <v>3600.0</v>
      </c>
    </row>
    <row r="41">
      <c r="A41" s="6" t="s">
        <v>450</v>
      </c>
      <c r="B41" s="311">
        <v>0.15</v>
      </c>
      <c r="C41" s="6">
        <v>900001.0</v>
      </c>
      <c r="D41" s="6">
        <v>1200000.0</v>
      </c>
      <c r="E41" s="6">
        <f t="shared" si="18"/>
        <v>300000</v>
      </c>
      <c r="F41" s="2">
        <f t="shared" si="19"/>
        <v>45000</v>
      </c>
      <c r="G41" s="2">
        <f t="shared" si="20"/>
        <v>255000</v>
      </c>
      <c r="I41" s="6" t="s">
        <v>446</v>
      </c>
      <c r="J41" s="6" t="s">
        <v>451</v>
      </c>
      <c r="K41" s="2">
        <f t="shared" si="21"/>
        <v>2400</v>
      </c>
      <c r="L41" s="6">
        <v>200.0</v>
      </c>
    </row>
    <row r="42">
      <c r="A42" s="6" t="s">
        <v>452</v>
      </c>
      <c r="B42" s="311">
        <v>0.2</v>
      </c>
      <c r="C42" s="6">
        <v>1200001.0</v>
      </c>
      <c r="D42" s="6">
        <v>1500000.0</v>
      </c>
      <c r="E42" s="6">
        <f t="shared" si="18"/>
        <v>300000</v>
      </c>
      <c r="F42" s="2">
        <f t="shared" si="19"/>
        <v>60000</v>
      </c>
      <c r="G42" s="2">
        <f t="shared" si="20"/>
        <v>240000</v>
      </c>
      <c r="J42" s="6" t="s">
        <v>453</v>
      </c>
      <c r="K42" s="2">
        <f t="shared" ref="K42:L42" si="22">K38-sum(K39:K41)</f>
        <v>1879400</v>
      </c>
      <c r="L42" s="304">
        <f t="shared" si="22"/>
        <v>156616</v>
      </c>
      <c r="N42" s="6">
        <v>159742.0</v>
      </c>
    </row>
    <row r="43">
      <c r="A43" s="6" t="s">
        <v>454</v>
      </c>
      <c r="B43" s="311">
        <v>0.3</v>
      </c>
      <c r="C43" s="6">
        <v>1500001.0</v>
      </c>
      <c r="D43" s="6">
        <f>A35-D37</f>
        <v>2250000</v>
      </c>
      <c r="E43" s="6">
        <f t="shared" si="18"/>
        <v>750000</v>
      </c>
      <c r="F43" s="2">
        <f t="shared" si="19"/>
        <v>225000</v>
      </c>
      <c r="G43" s="2">
        <f t="shared" si="20"/>
        <v>525000</v>
      </c>
    </row>
    <row r="45">
      <c r="A45" s="6">
        <v>2300000.0</v>
      </c>
      <c r="B45" s="6" t="s">
        <v>455</v>
      </c>
      <c r="F45" s="2">
        <f>sum(F49:F54)</f>
        <v>256250</v>
      </c>
      <c r="G45" s="2">
        <f>sum(G48:G54)</f>
        <v>1968750</v>
      </c>
    </row>
    <row r="46">
      <c r="A46" s="309" t="s">
        <v>434</v>
      </c>
      <c r="B46" s="309" t="s">
        <v>456</v>
      </c>
      <c r="C46" s="305" t="s">
        <v>436</v>
      </c>
      <c r="D46" s="305" t="s">
        <v>437</v>
      </c>
      <c r="E46" s="305" t="s">
        <v>435</v>
      </c>
      <c r="F46" s="305" t="s">
        <v>438</v>
      </c>
      <c r="G46" s="305" t="s">
        <v>439</v>
      </c>
      <c r="K46" s="6" t="s">
        <v>440</v>
      </c>
      <c r="L46" s="6" t="s">
        <v>441</v>
      </c>
    </row>
    <row r="47">
      <c r="A47" s="309" t="s">
        <v>442</v>
      </c>
      <c r="B47" s="310">
        <v>0.0</v>
      </c>
      <c r="C47" s="305">
        <v>0.0</v>
      </c>
      <c r="D47" s="305">
        <v>75000.0</v>
      </c>
      <c r="E47" s="305">
        <v>0.0</v>
      </c>
      <c r="F47" s="305">
        <v>0.0</v>
      </c>
      <c r="G47" s="305">
        <f>D47</f>
        <v>75000</v>
      </c>
      <c r="I47" s="6"/>
      <c r="J47" s="6"/>
    </row>
    <row r="48">
      <c r="A48" s="6" t="s">
        <v>457</v>
      </c>
      <c r="B48" s="311">
        <v>0.0</v>
      </c>
      <c r="C48" s="6">
        <v>0.0</v>
      </c>
      <c r="D48" s="6">
        <v>400000.0</v>
      </c>
      <c r="E48" s="6">
        <v>0.0</v>
      </c>
      <c r="F48" s="6">
        <v>0.0</v>
      </c>
      <c r="G48" s="6">
        <v>400000.0</v>
      </c>
      <c r="I48" s="6" t="s">
        <v>444</v>
      </c>
      <c r="J48" s="6" t="s">
        <v>151</v>
      </c>
      <c r="K48" s="2">
        <f>A45</f>
        <v>2300000</v>
      </c>
      <c r="L48" s="2">
        <f>floor(K48/12,1)</f>
        <v>191666</v>
      </c>
    </row>
    <row r="49">
      <c r="A49" s="6" t="s">
        <v>458</v>
      </c>
      <c r="B49" s="311">
        <v>0.05</v>
      </c>
      <c r="C49" s="6">
        <v>400001.0</v>
      </c>
      <c r="D49" s="6">
        <v>800000.0</v>
      </c>
      <c r="E49" s="6">
        <f t="shared" ref="E49:E53" si="23">D49-C49+1</f>
        <v>400000</v>
      </c>
      <c r="F49" s="2">
        <f t="shared" ref="F49:F54" si="24">E49*B49</f>
        <v>20000</v>
      </c>
      <c r="G49" s="2">
        <f t="shared" ref="G49:G54" si="25">E49-F49</f>
        <v>380000</v>
      </c>
      <c r="I49" s="6" t="s">
        <v>446</v>
      </c>
      <c r="J49" s="6" t="s">
        <v>447</v>
      </c>
      <c r="K49" s="2">
        <f>FLOOR(F45,1)</f>
        <v>256250</v>
      </c>
      <c r="L49" s="2">
        <f>FLOOR(K49/12,1)</f>
        <v>21354</v>
      </c>
    </row>
    <row r="50">
      <c r="A50" s="6" t="s">
        <v>459</v>
      </c>
      <c r="B50" s="311">
        <v>0.1</v>
      </c>
      <c r="C50" s="6">
        <v>800001.0</v>
      </c>
      <c r="D50" s="6">
        <v>1200000.0</v>
      </c>
      <c r="E50" s="6">
        <f t="shared" si="23"/>
        <v>400000</v>
      </c>
      <c r="F50" s="2">
        <f t="shared" si="24"/>
        <v>40000</v>
      </c>
      <c r="G50" s="2">
        <f t="shared" si="25"/>
        <v>360000</v>
      </c>
      <c r="I50" s="6" t="s">
        <v>446</v>
      </c>
      <c r="J50" s="6" t="s">
        <v>449</v>
      </c>
      <c r="K50" s="2">
        <f t="shared" ref="K50:K51" si="26">L50*12</f>
        <v>43200</v>
      </c>
      <c r="L50" s="6">
        <v>3600.0</v>
      </c>
    </row>
    <row r="51">
      <c r="A51" s="6" t="s">
        <v>460</v>
      </c>
      <c r="B51" s="311">
        <v>0.15</v>
      </c>
      <c r="C51" s="6">
        <v>1200001.0</v>
      </c>
      <c r="D51" s="6">
        <v>1600000.0</v>
      </c>
      <c r="E51" s="6">
        <f t="shared" si="23"/>
        <v>400000</v>
      </c>
      <c r="F51" s="2">
        <f t="shared" si="24"/>
        <v>60000</v>
      </c>
      <c r="G51" s="2">
        <f t="shared" si="25"/>
        <v>340000</v>
      </c>
      <c r="I51" s="6" t="s">
        <v>446</v>
      </c>
      <c r="J51" s="6" t="s">
        <v>451</v>
      </c>
      <c r="K51" s="2">
        <f t="shared" si="26"/>
        <v>2400</v>
      </c>
      <c r="L51" s="6">
        <v>200.0</v>
      </c>
    </row>
    <row r="52">
      <c r="A52" s="6" t="s">
        <v>461</v>
      </c>
      <c r="B52" s="311">
        <v>0.2</v>
      </c>
      <c r="C52" s="6">
        <v>1600001.0</v>
      </c>
      <c r="D52" s="6">
        <v>2000000.0</v>
      </c>
      <c r="E52" s="6">
        <f t="shared" si="23"/>
        <v>400000</v>
      </c>
      <c r="F52" s="2">
        <f t="shared" si="24"/>
        <v>80000</v>
      </c>
      <c r="G52" s="2">
        <f t="shared" si="25"/>
        <v>320000</v>
      </c>
      <c r="J52" s="6" t="s">
        <v>453</v>
      </c>
      <c r="K52" s="2">
        <f t="shared" ref="K52:L52" si="27">K48-sum(K49:K51)</f>
        <v>1998150</v>
      </c>
      <c r="L52" s="304">
        <f t="shared" si="27"/>
        <v>166512</v>
      </c>
    </row>
    <row r="53">
      <c r="A53" s="6" t="s">
        <v>462</v>
      </c>
      <c r="B53" s="311">
        <v>0.25</v>
      </c>
      <c r="C53" s="6">
        <v>2000001.0</v>
      </c>
      <c r="D53" s="6">
        <f>A45-D47</f>
        <v>2225000</v>
      </c>
      <c r="E53" s="6">
        <f t="shared" si="23"/>
        <v>225000</v>
      </c>
      <c r="F53" s="2">
        <f t="shared" si="24"/>
        <v>56250</v>
      </c>
      <c r="G53" s="2">
        <f t="shared" si="25"/>
        <v>168750</v>
      </c>
    </row>
    <row r="54">
      <c r="A54" s="6" t="s">
        <v>463</v>
      </c>
      <c r="B54" s="311">
        <v>0.3</v>
      </c>
      <c r="C54" s="6">
        <v>2400001.0</v>
      </c>
      <c r="F54" s="2">
        <f t="shared" si="24"/>
        <v>0</v>
      </c>
      <c r="G54" s="2">
        <f t="shared" si="25"/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25"/>
    <col customWidth="1" min="3" max="3" width="55.25"/>
    <col customWidth="1" min="4" max="4" width="11.75"/>
    <col customWidth="1" min="5" max="5" width="2.88"/>
    <col customWidth="1" min="6" max="6" width="19.63"/>
    <col customWidth="1" min="7" max="7" width="10.75"/>
    <col customWidth="1" min="8" max="8" width="18.75"/>
    <col customWidth="1" min="9" max="9" width="23.13"/>
    <col customWidth="1" min="10" max="10" width="15.38"/>
    <col customWidth="1" min="11" max="11" width="10.13"/>
    <col customWidth="1" min="12" max="12" width="12.63"/>
    <col customWidth="1" min="13" max="13" width="5.88"/>
    <col customWidth="1" min="14" max="14" width="4.75"/>
    <col customWidth="1" min="15" max="15" width="8.88"/>
    <col customWidth="1" min="16" max="16" width="12.63"/>
    <col customWidth="1" min="17" max="17" width="30.13"/>
    <col customWidth="1" min="18" max="18" width="10.75"/>
    <col customWidth="1" min="19" max="19" width="12.63"/>
    <col customWidth="1" min="20" max="20" width="22.13"/>
    <col customWidth="1" min="21" max="21" width="10.75"/>
    <col customWidth="1" min="22" max="23" width="12.63"/>
    <col customWidth="1" min="24" max="24" width="10.5"/>
    <col customWidth="1" min="25" max="25" width="18.75"/>
    <col customWidth="1" min="26" max="26" width="13.38"/>
    <col customWidth="1" min="27" max="27" width="13.0"/>
    <col customWidth="1" min="28" max="28" width="11.88"/>
    <col customWidth="1" min="29" max="31" width="12.63"/>
    <col customWidth="1" min="32" max="32" width="4.5"/>
    <col customWidth="1" min="33" max="33" width="8.88"/>
    <col customWidth="1" min="34" max="34" width="10.5"/>
    <col customWidth="1" min="35" max="37" width="12.63"/>
    <col customWidth="1" min="38" max="38" width="32.0"/>
    <col customWidth="1" min="39" max="39" width="5.63"/>
    <col customWidth="1" min="40" max="42" width="12.63"/>
    <col customWidth="1" min="43" max="43" width="13.25"/>
    <col customWidth="1" min="44" max="44" width="8.0"/>
    <col customWidth="1" min="45" max="45" width="12.63"/>
    <col customWidth="1" min="46" max="46" width="20.0"/>
    <col customWidth="1" min="47" max="47" width="13.13"/>
    <col customWidth="1" min="48" max="48" width="6.63"/>
    <col customWidth="1" min="49" max="52" width="12.63"/>
  </cols>
  <sheetData>
    <row r="1">
      <c r="AT1" s="312"/>
    </row>
    <row r="2">
      <c r="B2" s="305" t="s">
        <v>84</v>
      </c>
      <c r="AT2" s="313" t="s">
        <v>465</v>
      </c>
      <c r="AU2" s="2">
        <f t="shared" ref="AU2:AV2" si="1">AU3-AU4</f>
        <v>2718.5</v>
      </c>
      <c r="AV2" s="2">
        <f t="shared" si="1"/>
        <v>-2718.5</v>
      </c>
    </row>
    <row r="3">
      <c r="C3" s="6" t="s">
        <v>466</v>
      </c>
      <c r="F3" s="6" t="s">
        <v>467</v>
      </c>
      <c r="G3" s="6">
        <v>2099750.0</v>
      </c>
      <c r="AT3" s="313" t="s">
        <v>468</v>
      </c>
      <c r="AU3" s="2">
        <f>AT4/2</f>
        <v>2806.5</v>
      </c>
      <c r="AV3" s="2">
        <f>AT4/2</f>
        <v>2806.5</v>
      </c>
    </row>
    <row r="4">
      <c r="C4" s="6" t="s">
        <v>469</v>
      </c>
      <c r="F4" s="6" t="s">
        <v>441</v>
      </c>
      <c r="G4" s="2">
        <f>G3/12</f>
        <v>174979.1667</v>
      </c>
      <c r="J4" s="6" t="s">
        <v>470</v>
      </c>
      <c r="K4" s="6">
        <v>12000.0</v>
      </c>
      <c r="AT4" s="312">
        <f>sum(AU7:AV11)</f>
        <v>5613</v>
      </c>
      <c r="AU4" s="2">
        <f t="shared" ref="AU4:AV4" si="2">sum(AU7:AU11)</f>
        <v>88</v>
      </c>
      <c r="AV4" s="2">
        <f t="shared" si="2"/>
        <v>5525</v>
      </c>
    </row>
    <row r="5">
      <c r="C5" s="6" t="s">
        <v>471</v>
      </c>
      <c r="F5" s="6" t="s">
        <v>22</v>
      </c>
      <c r="G5" s="2">
        <f>G3/365</f>
        <v>5752.739726</v>
      </c>
      <c r="J5" s="6" t="s">
        <v>275</v>
      </c>
      <c r="K5" s="206">
        <v>45221.0</v>
      </c>
      <c r="P5" s="314"/>
      <c r="Q5" s="315"/>
      <c r="R5" s="315"/>
      <c r="S5" s="315"/>
      <c r="T5" s="315"/>
      <c r="U5" s="315"/>
      <c r="V5" s="316"/>
      <c r="AE5" s="314"/>
      <c r="AF5" s="315"/>
      <c r="AG5" s="315"/>
      <c r="AH5" s="315"/>
      <c r="AI5" s="316"/>
      <c r="AQ5" s="6" t="s">
        <v>472</v>
      </c>
      <c r="AR5" s="2">
        <f>sum(AR7:AR999)</f>
        <v>86575.62</v>
      </c>
      <c r="AS5" s="6"/>
      <c r="AT5" s="313" t="s">
        <v>301</v>
      </c>
      <c r="AU5" s="6" t="s">
        <v>126</v>
      </c>
      <c r="AV5" s="6" t="s">
        <v>125</v>
      </c>
      <c r="AW5" s="6"/>
      <c r="AX5" s="6"/>
      <c r="AY5" s="6"/>
    </row>
    <row r="6">
      <c r="C6" s="6" t="s">
        <v>473</v>
      </c>
      <c r="F6" s="6" t="s">
        <v>474</v>
      </c>
      <c r="G6" s="6">
        <v>8.0</v>
      </c>
      <c r="J6" s="6" t="s">
        <v>251</v>
      </c>
      <c r="K6" s="206">
        <f>today()</f>
        <v>45969</v>
      </c>
      <c r="P6" s="317"/>
      <c r="Q6" s="318" t="s">
        <v>475</v>
      </c>
      <c r="R6" s="319">
        <f>'Jaycee (Freelancing)'!N2</f>
        <v>288100</v>
      </c>
      <c r="S6" s="319"/>
      <c r="T6" s="318" t="s">
        <v>476</v>
      </c>
      <c r="U6" s="318">
        <v>45000.0</v>
      </c>
      <c r="V6" s="320"/>
      <c r="X6" s="314"/>
      <c r="Y6" s="315"/>
      <c r="Z6" s="315"/>
      <c r="AA6" s="315"/>
      <c r="AB6" s="315"/>
      <c r="AC6" s="316"/>
      <c r="AE6" s="317"/>
      <c r="AF6" s="319"/>
      <c r="AG6" s="319">
        <f>sum(AG7:AG12)</f>
        <v>528863.81</v>
      </c>
      <c r="AH6" s="319"/>
      <c r="AI6" s="320"/>
      <c r="AK6" s="314"/>
      <c r="AL6" s="315"/>
      <c r="AM6" s="315"/>
      <c r="AN6" s="316"/>
      <c r="AT6" s="312"/>
    </row>
    <row r="7">
      <c r="F7" s="6" t="s">
        <v>477</v>
      </c>
      <c r="G7" s="2">
        <f>G5/G6</f>
        <v>719.0924658</v>
      </c>
      <c r="J7" s="6" t="s">
        <v>478</v>
      </c>
      <c r="K7" s="2">
        <f>datedif(K5,K6,"m")</f>
        <v>24</v>
      </c>
      <c r="P7" s="317"/>
      <c r="Q7" s="318" t="s">
        <v>275</v>
      </c>
      <c r="R7" s="321">
        <f>'Jaycee (Freelancing)'!D5</f>
        <v>45398</v>
      </c>
      <c r="S7" s="319"/>
      <c r="T7" s="318" t="s">
        <v>479</v>
      </c>
      <c r="U7" s="319">
        <f>365/12</f>
        <v>30.41666667</v>
      </c>
      <c r="V7" s="320"/>
      <c r="X7" s="317"/>
      <c r="Y7" s="319">
        <f>sum(Z7:AB7)</f>
        <v>208266</v>
      </c>
      <c r="Z7" s="319">
        <f t="shared" ref="Z7:AB7" si="3">sum(Z9:Z11)</f>
        <v>101390</v>
      </c>
      <c r="AA7" s="319">
        <f t="shared" si="3"/>
        <v>35281</v>
      </c>
      <c r="AB7" s="319">
        <f t="shared" si="3"/>
        <v>71595</v>
      </c>
      <c r="AC7" s="320"/>
      <c r="AE7" s="317"/>
      <c r="AF7" s="318" t="s">
        <v>344</v>
      </c>
      <c r="AG7" s="318">
        <v>107367.0</v>
      </c>
      <c r="AH7" s="322">
        <v>45548.0</v>
      </c>
      <c r="AI7" s="320"/>
      <c r="AK7" s="317"/>
      <c r="AL7" s="318" t="s">
        <v>480</v>
      </c>
      <c r="AM7" s="318">
        <v>7.0</v>
      </c>
      <c r="AN7" s="320"/>
      <c r="AQ7" s="6" t="s">
        <v>74</v>
      </c>
      <c r="AR7" s="2">
        <f>492+502+505+2204+3220+2772</f>
        <v>9695</v>
      </c>
      <c r="AS7" s="6"/>
      <c r="AT7" s="313" t="s">
        <v>481</v>
      </c>
      <c r="AU7" s="6">
        <v>88.0</v>
      </c>
    </row>
    <row r="8">
      <c r="B8" s="305" t="s">
        <v>482</v>
      </c>
      <c r="C8" s="6" t="s">
        <v>483</v>
      </c>
      <c r="J8" s="6" t="s">
        <v>484</v>
      </c>
      <c r="K8" s="2">
        <f>floor(K4/K7,1)</f>
        <v>500</v>
      </c>
      <c r="P8" s="317"/>
      <c r="Q8" s="318" t="s">
        <v>251</v>
      </c>
      <c r="R8" s="323">
        <f>today()</f>
        <v>45969</v>
      </c>
      <c r="S8" s="319"/>
      <c r="T8" s="318" t="s">
        <v>485</v>
      </c>
      <c r="U8" s="319">
        <f>U6/U7</f>
        <v>1479.452055</v>
      </c>
      <c r="V8" s="320"/>
      <c r="X8" s="317"/>
      <c r="Y8" s="318" t="s">
        <v>486</v>
      </c>
      <c r="Z8" s="318" t="s">
        <v>487</v>
      </c>
      <c r="AA8" s="318" t="s">
        <v>488</v>
      </c>
      <c r="AB8" s="318" t="s">
        <v>489</v>
      </c>
      <c r="AC8" s="320"/>
      <c r="AE8" s="317"/>
      <c r="AF8" s="318" t="s">
        <v>150</v>
      </c>
      <c r="AG8" s="318">
        <v>217137.11</v>
      </c>
      <c r="AH8" s="322">
        <v>45548.0</v>
      </c>
      <c r="AI8" s="320"/>
      <c r="AK8" s="317"/>
      <c r="AL8" s="318" t="s">
        <v>490</v>
      </c>
      <c r="AM8" s="318">
        <v>9.0</v>
      </c>
      <c r="AN8" s="320"/>
      <c r="AQ8" s="6" t="s">
        <v>491</v>
      </c>
      <c r="AR8" s="6">
        <v>1471.62</v>
      </c>
      <c r="AS8" s="6"/>
      <c r="AT8" s="313" t="s">
        <v>492</v>
      </c>
      <c r="AV8" s="6">
        <v>300.0</v>
      </c>
      <c r="AW8" s="6"/>
      <c r="AX8" s="6"/>
      <c r="AY8" s="6"/>
    </row>
    <row r="9">
      <c r="C9" s="6" t="s">
        <v>493</v>
      </c>
      <c r="F9" s="324" t="s">
        <v>494</v>
      </c>
      <c r="G9" s="325">
        <v>45000.0</v>
      </c>
      <c r="J9" s="6" t="s">
        <v>495</v>
      </c>
      <c r="K9" s="2">
        <f>K6-K5</f>
        <v>748</v>
      </c>
      <c r="P9" s="317"/>
      <c r="Q9" s="318" t="s">
        <v>496</v>
      </c>
      <c r="R9" s="326">
        <f>'Jaycee (Freelancing)'!I7</f>
        <v>10565</v>
      </c>
      <c r="S9" s="319"/>
      <c r="T9" s="318" t="s">
        <v>497</v>
      </c>
      <c r="U9" s="318">
        <v>90.0</v>
      </c>
      <c r="V9" s="320"/>
      <c r="X9" s="317"/>
      <c r="Y9" s="318" t="s">
        <v>498</v>
      </c>
      <c r="Z9" s="318">
        <v>1518.0</v>
      </c>
      <c r="AA9" s="318">
        <v>4766.0</v>
      </c>
      <c r="AB9" s="318">
        <v>7845.0</v>
      </c>
      <c r="AC9" s="320"/>
      <c r="AE9" s="317"/>
      <c r="AF9" s="318" t="s">
        <v>499</v>
      </c>
      <c r="AG9" s="318">
        <v>54000.0</v>
      </c>
      <c r="AH9" s="322">
        <v>45548.0</v>
      </c>
      <c r="AI9" s="320"/>
      <c r="AK9" s="317"/>
      <c r="AL9" s="318" t="s">
        <v>500</v>
      </c>
      <c r="AM9" s="319">
        <f>AM8*100</f>
        <v>900</v>
      </c>
      <c r="AN9" s="320"/>
      <c r="AQ9" s="6" t="s">
        <v>345</v>
      </c>
      <c r="AR9" s="6">
        <v>1500.0</v>
      </c>
      <c r="AS9" s="6"/>
      <c r="AT9" s="313" t="s">
        <v>501</v>
      </c>
      <c r="AV9" s="6">
        <v>215.0</v>
      </c>
      <c r="AW9" s="6"/>
      <c r="AX9" s="6"/>
      <c r="AY9" s="6"/>
    </row>
    <row r="10">
      <c r="C10" s="6" t="s">
        <v>502</v>
      </c>
      <c r="F10" s="324" t="s">
        <v>503</v>
      </c>
      <c r="G10" s="325">
        <f>G9*12</f>
        <v>540000</v>
      </c>
      <c r="J10" s="6" t="s">
        <v>504</v>
      </c>
      <c r="K10" s="2">
        <f>floor(K4/K9,1)</f>
        <v>16</v>
      </c>
      <c r="M10" s="6" t="s">
        <v>505</v>
      </c>
      <c r="N10" s="6">
        <v>1015.0</v>
      </c>
      <c r="P10" s="317"/>
      <c r="Q10" s="318" t="s">
        <v>506</v>
      </c>
      <c r="R10" s="319">
        <f>NETWORKDAYS(R7,R8)</f>
        <v>409</v>
      </c>
      <c r="S10" s="319"/>
      <c r="T10" s="318" t="s">
        <v>507</v>
      </c>
      <c r="U10" s="319">
        <f>8*60/90</f>
        <v>5.333333333</v>
      </c>
      <c r="V10" s="320"/>
      <c r="X10" s="317"/>
      <c r="Y10" s="318" t="s">
        <v>508</v>
      </c>
      <c r="Z10" s="318">
        <v>72872.0</v>
      </c>
      <c r="AA10" s="318">
        <v>22265.0</v>
      </c>
      <c r="AB10" s="318">
        <v>45000.0</v>
      </c>
      <c r="AC10" s="320"/>
      <c r="AE10" s="317"/>
      <c r="AF10" s="318" t="s">
        <v>491</v>
      </c>
      <c r="AG10" s="318">
        <v>1471.7</v>
      </c>
      <c r="AH10" s="322">
        <v>45548.0</v>
      </c>
      <c r="AI10" s="320"/>
      <c r="AK10" s="317"/>
      <c r="AL10" s="318" t="s">
        <v>509</v>
      </c>
      <c r="AM10" s="318">
        <v>3.0</v>
      </c>
      <c r="AN10" s="320"/>
      <c r="AQ10" s="6" t="s">
        <v>510</v>
      </c>
      <c r="AR10" s="6">
        <v>15909.0</v>
      </c>
      <c r="AS10" s="6"/>
      <c r="AT10" s="313" t="s">
        <v>511</v>
      </c>
      <c r="AV10" s="6">
        <v>5000.0</v>
      </c>
      <c r="AW10" s="6"/>
      <c r="AX10" s="6"/>
      <c r="AY10" s="6"/>
    </row>
    <row r="11">
      <c r="C11" s="6" t="s">
        <v>512</v>
      </c>
      <c r="D11" s="6" t="s">
        <v>513</v>
      </c>
      <c r="F11" s="6" t="s">
        <v>514</v>
      </c>
      <c r="G11" s="2">
        <f>G10/365</f>
        <v>1479.452055</v>
      </c>
      <c r="M11" s="6" t="s">
        <v>505</v>
      </c>
      <c r="N11" s="6">
        <v>570.0</v>
      </c>
      <c r="P11" s="317"/>
      <c r="Q11" s="318" t="s">
        <v>515</v>
      </c>
      <c r="R11" s="319">
        <f>R9/R10</f>
        <v>25.83129584</v>
      </c>
      <c r="S11" s="319"/>
      <c r="T11" s="318" t="s">
        <v>516</v>
      </c>
      <c r="U11" s="319">
        <f>U10*U8</f>
        <v>7890.410959</v>
      </c>
      <c r="V11" s="320"/>
      <c r="X11" s="317"/>
      <c r="Y11" s="318" t="s">
        <v>517</v>
      </c>
      <c r="Z11" s="318">
        <v>27000.0</v>
      </c>
      <c r="AA11" s="318">
        <v>8250.0</v>
      </c>
      <c r="AB11" s="318">
        <v>18750.0</v>
      </c>
      <c r="AC11" s="320"/>
      <c r="AE11" s="317"/>
      <c r="AF11" s="318" t="s">
        <v>345</v>
      </c>
      <c r="AG11" s="318">
        <v>1500.0</v>
      </c>
      <c r="AH11" s="322">
        <v>45548.0</v>
      </c>
      <c r="AI11" s="320"/>
      <c r="AK11" s="317"/>
      <c r="AL11" s="318" t="s">
        <v>518</v>
      </c>
      <c r="AM11" s="319">
        <f>AM10*AM9</f>
        <v>2700</v>
      </c>
      <c r="AN11" s="320"/>
      <c r="AQ11" s="6" t="s">
        <v>84</v>
      </c>
      <c r="AR11" s="6">
        <v>58000.0</v>
      </c>
      <c r="AS11" s="6"/>
      <c r="AT11" s="313" t="s">
        <v>519</v>
      </c>
      <c r="AV11" s="6">
        <v>10.0</v>
      </c>
      <c r="AW11" s="6"/>
      <c r="AX11" s="6"/>
      <c r="AY11" s="6"/>
    </row>
    <row r="12">
      <c r="C12" s="6" t="s">
        <v>520</v>
      </c>
      <c r="D12" s="6">
        <v>115200.0</v>
      </c>
      <c r="F12" s="6" t="s">
        <v>474</v>
      </c>
      <c r="G12" s="6">
        <v>2.0</v>
      </c>
      <c r="M12" s="6" t="s">
        <v>505</v>
      </c>
      <c r="N12" s="6">
        <v>1010.0</v>
      </c>
      <c r="P12" s="317"/>
      <c r="Q12" s="318" t="s">
        <v>521</v>
      </c>
      <c r="R12" s="327">
        <v>45580.0</v>
      </c>
      <c r="S12" s="319"/>
      <c r="T12" s="319"/>
      <c r="U12" s="319"/>
      <c r="V12" s="320"/>
      <c r="X12" s="328"/>
      <c r="Y12" s="329"/>
      <c r="Z12" s="329"/>
      <c r="AA12" s="329"/>
      <c r="AB12" s="329"/>
      <c r="AC12" s="330"/>
      <c r="AE12" s="317"/>
      <c r="AF12" s="318" t="s">
        <v>449</v>
      </c>
      <c r="AG12" s="318">
        <v>147388.0</v>
      </c>
      <c r="AH12" s="322">
        <v>45548.0</v>
      </c>
      <c r="AI12" s="320"/>
      <c r="AK12" s="317"/>
      <c r="AL12" s="318" t="s">
        <v>522</v>
      </c>
      <c r="AM12" s="318">
        <v>6.0</v>
      </c>
      <c r="AN12" s="320"/>
      <c r="AT12" s="312"/>
    </row>
    <row r="13">
      <c r="C13" s="6" t="s">
        <v>523</v>
      </c>
      <c r="D13" s="6">
        <v>100000.0</v>
      </c>
      <c r="F13" s="6" t="s">
        <v>477</v>
      </c>
      <c r="G13" s="2">
        <f>G11/G12</f>
        <v>739.7260274</v>
      </c>
      <c r="M13" s="6" t="s">
        <v>505</v>
      </c>
      <c r="N13" s="6">
        <v>750.0</v>
      </c>
      <c r="P13" s="317"/>
      <c r="Q13" s="318" t="s">
        <v>524</v>
      </c>
      <c r="R13" s="319">
        <f>NETWORKDAYS(R7,R12)</f>
        <v>131</v>
      </c>
      <c r="S13" s="319"/>
      <c r="T13" s="319"/>
      <c r="U13" s="319"/>
      <c r="V13" s="320"/>
      <c r="AE13" s="328"/>
      <c r="AF13" s="329"/>
      <c r="AG13" s="329"/>
      <c r="AH13" s="329"/>
      <c r="AI13" s="330"/>
      <c r="AK13" s="317"/>
      <c r="AL13" s="318" t="s">
        <v>525</v>
      </c>
      <c r="AM13" s="319">
        <f>AM11*AM12</f>
        <v>16200</v>
      </c>
      <c r="AN13" s="320"/>
      <c r="AT13" s="312"/>
    </row>
    <row r="14">
      <c r="C14" s="6" t="s">
        <v>526</v>
      </c>
      <c r="D14" s="6">
        <v>92655.0</v>
      </c>
      <c r="N14" s="6">
        <v>690.0</v>
      </c>
      <c r="P14" s="317"/>
      <c r="Q14" s="318" t="s">
        <v>527</v>
      </c>
      <c r="R14" s="319">
        <f>(R13*R11)</f>
        <v>3383.899756</v>
      </c>
      <c r="S14" s="319"/>
      <c r="T14" s="319"/>
      <c r="U14" s="319"/>
      <c r="V14" s="320"/>
      <c r="X14" s="331">
        <v>45547.0</v>
      </c>
      <c r="Y14" s="315"/>
      <c r="Z14" s="315"/>
      <c r="AA14" s="315"/>
      <c r="AB14" s="315"/>
      <c r="AC14" s="316"/>
      <c r="AK14" s="317"/>
      <c r="AL14" s="318" t="s">
        <v>528</v>
      </c>
      <c r="AM14" s="319">
        <f>AM13*AM12</f>
        <v>97200</v>
      </c>
      <c r="AN14" s="320"/>
      <c r="AT14" s="312"/>
    </row>
    <row r="15">
      <c r="C15" s="6" t="s">
        <v>529</v>
      </c>
      <c r="D15" s="6">
        <v>0.0</v>
      </c>
      <c r="F15" s="6" t="s">
        <v>530</v>
      </c>
      <c r="G15" s="2">
        <f>G7</f>
        <v>719.0924658</v>
      </c>
      <c r="P15" s="317"/>
      <c r="Q15" s="318" t="s">
        <v>531</v>
      </c>
      <c r="R15" s="319">
        <f>(R14/60)</f>
        <v>56.39832926</v>
      </c>
      <c r="S15" s="319"/>
      <c r="T15" s="319"/>
      <c r="U15" s="319"/>
      <c r="V15" s="320"/>
      <c r="X15" s="317"/>
      <c r="Y15" s="319">
        <f>sum(Z15:AB15)</f>
        <v>220233</v>
      </c>
      <c r="Z15" s="319">
        <f t="shared" ref="Z15:AB15" si="4">sum(Z17:Z19)</f>
        <v>109327</v>
      </c>
      <c r="AA15" s="319">
        <f t="shared" si="4"/>
        <v>38061</v>
      </c>
      <c r="AB15" s="319">
        <f t="shared" si="4"/>
        <v>72845</v>
      </c>
      <c r="AC15" s="320"/>
      <c r="AK15" s="317"/>
      <c r="AL15" s="319"/>
      <c r="AM15" s="319"/>
      <c r="AN15" s="320"/>
      <c r="AT15" s="312"/>
    </row>
    <row r="16">
      <c r="C16" s="6" t="s">
        <v>532</v>
      </c>
      <c r="D16" s="6">
        <v>129621.0</v>
      </c>
      <c r="F16" s="6" t="s">
        <v>533</v>
      </c>
      <c r="G16" s="2">
        <f>G13</f>
        <v>739.7260274</v>
      </c>
      <c r="P16" s="317"/>
      <c r="Q16" s="318" t="s">
        <v>534</v>
      </c>
      <c r="R16" s="319">
        <f>R15/8</f>
        <v>7.049791157</v>
      </c>
      <c r="S16" s="319"/>
      <c r="T16" s="319"/>
      <c r="U16" s="319"/>
      <c r="V16" s="320"/>
      <c r="X16" s="317"/>
      <c r="Y16" s="318" t="s">
        <v>486</v>
      </c>
      <c r="Z16" s="318" t="s">
        <v>487</v>
      </c>
      <c r="AA16" s="318" t="s">
        <v>488</v>
      </c>
      <c r="AB16" s="318" t="s">
        <v>489</v>
      </c>
      <c r="AC16" s="320"/>
      <c r="AK16" s="317"/>
      <c r="AL16" s="319"/>
      <c r="AM16" s="319">
        <f>AM14/12</f>
        <v>8100</v>
      </c>
      <c r="AN16" s="320"/>
      <c r="AT16" s="312"/>
    </row>
    <row r="17">
      <c r="C17" s="6" t="s">
        <v>535</v>
      </c>
      <c r="D17" s="6">
        <v>0.0</v>
      </c>
      <c r="F17" s="6" t="s">
        <v>536</v>
      </c>
      <c r="G17" s="6">
        <v>8.0</v>
      </c>
      <c r="P17" s="317"/>
      <c r="Q17" s="318" t="s">
        <v>537</v>
      </c>
      <c r="R17" s="319">
        <f>R6/R16</f>
        <v>40866.45882</v>
      </c>
      <c r="S17" s="319"/>
      <c r="T17" s="319"/>
      <c r="U17" s="319"/>
      <c r="V17" s="320"/>
      <c r="X17" s="317"/>
      <c r="Y17" s="318" t="s">
        <v>498</v>
      </c>
      <c r="Z17" s="318">
        <v>1643.0</v>
      </c>
      <c r="AA17" s="318">
        <v>5159.0</v>
      </c>
      <c r="AB17" s="318">
        <v>7845.0</v>
      </c>
      <c r="AC17" s="320"/>
      <c r="AK17" s="317"/>
      <c r="AL17" s="318" t="s">
        <v>538</v>
      </c>
      <c r="AM17" s="319">
        <f>AM16/12</f>
        <v>675</v>
      </c>
      <c r="AN17" s="320"/>
      <c r="AT17" s="312"/>
    </row>
    <row r="18">
      <c r="C18" s="6" t="s">
        <v>301</v>
      </c>
      <c r="D18" s="2">
        <f>sum(D12:D17)</f>
        <v>437476</v>
      </c>
      <c r="F18" s="6" t="s">
        <v>539</v>
      </c>
      <c r="G18" s="6">
        <v>2.0</v>
      </c>
      <c r="P18" s="317"/>
      <c r="Q18" s="319"/>
      <c r="R18" s="319"/>
      <c r="S18" s="319"/>
      <c r="T18" s="319"/>
      <c r="U18" s="319"/>
      <c r="V18" s="320"/>
      <c r="X18" s="317"/>
      <c r="Y18" s="318" t="s">
        <v>508</v>
      </c>
      <c r="Z18" s="318">
        <v>78884.0</v>
      </c>
      <c r="AA18" s="318">
        <v>24102.0</v>
      </c>
      <c r="AB18" s="318">
        <v>45000.0</v>
      </c>
      <c r="AC18" s="320"/>
      <c r="AK18" s="328"/>
      <c r="AL18" s="329"/>
      <c r="AM18" s="329"/>
      <c r="AN18" s="330"/>
      <c r="AT18" s="312"/>
    </row>
    <row r="19">
      <c r="F19" s="6" t="s">
        <v>540</v>
      </c>
      <c r="G19" s="2">
        <f t="shared" ref="G19:G20" si="5">G17*G15</f>
        <v>5752.739726</v>
      </c>
      <c r="P19" s="317"/>
      <c r="Q19" s="318" t="s">
        <v>541</v>
      </c>
      <c r="R19" s="318">
        <v>2099750.0</v>
      </c>
      <c r="S19" s="319"/>
      <c r="T19" s="318" t="s">
        <v>541</v>
      </c>
      <c r="U19" s="318">
        <v>2099750.0</v>
      </c>
      <c r="V19" s="320"/>
      <c r="X19" s="317"/>
      <c r="Y19" s="318" t="s">
        <v>517</v>
      </c>
      <c r="Z19" s="318">
        <v>28800.0</v>
      </c>
      <c r="AA19" s="318">
        <v>8800.0</v>
      </c>
      <c r="AB19" s="318">
        <v>20000.0</v>
      </c>
      <c r="AC19" s="320"/>
      <c r="AT19" s="312"/>
    </row>
    <row r="20">
      <c r="F20" s="6" t="s">
        <v>514</v>
      </c>
      <c r="G20" s="2">
        <f t="shared" si="5"/>
        <v>1479.452055</v>
      </c>
      <c r="P20" s="317"/>
      <c r="Q20" s="318" t="s">
        <v>542</v>
      </c>
      <c r="R20" s="319">
        <f>R19/12</f>
        <v>174979.1667</v>
      </c>
      <c r="S20" s="319"/>
      <c r="T20" s="318" t="s">
        <v>542</v>
      </c>
      <c r="U20" s="319">
        <f>U19/12</f>
        <v>174979.1667</v>
      </c>
      <c r="V20" s="320"/>
      <c r="X20" s="328"/>
      <c r="Y20" s="329"/>
      <c r="Z20" s="329"/>
      <c r="AA20" s="329"/>
      <c r="AB20" s="329"/>
      <c r="AC20" s="330"/>
      <c r="AT20" s="312"/>
    </row>
    <row r="21">
      <c r="B21" s="296" t="s">
        <v>543</v>
      </c>
      <c r="C21" s="190"/>
      <c r="F21" s="6" t="s">
        <v>544</v>
      </c>
      <c r="G21" s="2">
        <f>sum(G19:G20)</f>
        <v>7232.191781</v>
      </c>
      <c r="P21" s="317"/>
      <c r="Q21" s="318" t="s">
        <v>479</v>
      </c>
      <c r="R21" s="319">
        <f>NETWORKDAYS(date(2024,3,1),date(2025,2,28))/12</f>
        <v>21.75</v>
      </c>
      <c r="S21" s="319"/>
      <c r="T21" s="318" t="s">
        <v>479</v>
      </c>
      <c r="U21" s="319">
        <f>365/12</f>
        <v>30.41666667</v>
      </c>
      <c r="V21" s="320"/>
      <c r="AT21" s="312"/>
    </row>
    <row r="22">
      <c r="B22" s="191"/>
      <c r="C22" s="296" t="s">
        <v>545</v>
      </c>
      <c r="F22" s="6" t="s">
        <v>440</v>
      </c>
      <c r="G22" s="2">
        <f>G21*365</f>
        <v>2639750</v>
      </c>
      <c r="J22" s="2">
        <f>sum(J24:J27)</f>
        <v>2944785</v>
      </c>
      <c r="P22" s="317"/>
      <c r="Q22" s="318" t="s">
        <v>537</v>
      </c>
      <c r="R22" s="319">
        <f>R20/R21</f>
        <v>8045.019157</v>
      </c>
      <c r="S22" s="319"/>
      <c r="T22" s="318" t="s">
        <v>537</v>
      </c>
      <c r="U22" s="319">
        <f>U20/U21</f>
        <v>5752.739726</v>
      </c>
      <c r="V22" s="320"/>
      <c r="AT22" s="312"/>
    </row>
    <row r="23">
      <c r="B23" s="191"/>
      <c r="C23" s="296" t="s">
        <v>546</v>
      </c>
      <c r="J23" s="6" t="s">
        <v>151</v>
      </c>
      <c r="P23" s="317"/>
      <c r="Q23" s="319"/>
      <c r="R23" s="319"/>
      <c r="S23" s="319"/>
      <c r="T23" s="319"/>
      <c r="U23" s="319"/>
      <c r="V23" s="320"/>
      <c r="AT23" s="312"/>
    </row>
    <row r="24">
      <c r="B24" s="191"/>
      <c r="C24" s="296" t="s">
        <v>547</v>
      </c>
      <c r="I24" s="6" t="s">
        <v>548</v>
      </c>
      <c r="J24" s="6">
        <v>2099750.0</v>
      </c>
      <c r="P24" s="328"/>
      <c r="Q24" s="329"/>
      <c r="R24" s="329"/>
      <c r="S24" s="329"/>
      <c r="T24" s="329"/>
      <c r="U24" s="329"/>
      <c r="V24" s="330"/>
      <c r="AT24" s="312"/>
    </row>
    <row r="25">
      <c r="B25" s="191"/>
      <c r="C25" s="296" t="s">
        <v>549</v>
      </c>
      <c r="I25" s="6" t="s">
        <v>550</v>
      </c>
      <c r="J25" s="2">
        <f>floor(365/7*3*850,1)</f>
        <v>132964</v>
      </c>
      <c r="AT25" s="312"/>
    </row>
    <row r="26">
      <c r="B26" s="191"/>
      <c r="C26" s="296" t="s">
        <v>551</v>
      </c>
      <c r="I26" s="6" t="s">
        <v>552</v>
      </c>
      <c r="J26" s="2">
        <f>floor(365/7*3*1100,1)</f>
        <v>172071</v>
      </c>
      <c r="AT26" s="312"/>
    </row>
    <row r="27">
      <c r="B27" s="191"/>
      <c r="C27" s="296" t="s">
        <v>553</v>
      </c>
      <c r="I27" s="6" t="s">
        <v>554</v>
      </c>
      <c r="J27" s="2">
        <f>45000*12</f>
        <v>540000</v>
      </c>
      <c r="AT27" s="312"/>
    </row>
    <row r="28">
      <c r="B28" s="191"/>
      <c r="C28" s="296" t="s">
        <v>555</v>
      </c>
      <c r="AT28" s="312"/>
    </row>
    <row r="29">
      <c r="B29" s="191"/>
      <c r="C29" s="194"/>
      <c r="I29" s="6" t="s">
        <v>556</v>
      </c>
      <c r="J29" s="2">
        <f>J22/12</f>
        <v>245398.75</v>
      </c>
      <c r="Q29" s="206"/>
      <c r="AT29" s="312"/>
    </row>
    <row r="30">
      <c r="B30" s="296" t="s">
        <v>557</v>
      </c>
      <c r="C30" s="194"/>
      <c r="I30" s="6" t="s">
        <v>558</v>
      </c>
      <c r="J30" s="6">
        <v>193812.0</v>
      </c>
      <c r="O30" s="6" t="s">
        <v>559</v>
      </c>
      <c r="AT30" s="312"/>
    </row>
    <row r="31">
      <c r="B31" s="191"/>
      <c r="C31" s="296" t="s">
        <v>560</v>
      </c>
      <c r="E31" s="6">
        <v>30.0</v>
      </c>
      <c r="F31" s="6" t="s">
        <v>561</v>
      </c>
      <c r="I31" s="6" t="s">
        <v>562</v>
      </c>
      <c r="J31" s="2">
        <f>J29-J30</f>
        <v>51586.75</v>
      </c>
      <c r="O31" s="6">
        <v>2737.69</v>
      </c>
      <c r="AT31" s="312"/>
    </row>
    <row r="32">
      <c r="B32" s="191"/>
      <c r="C32" s="296" t="s">
        <v>563</v>
      </c>
      <c r="E32" s="6">
        <v>30.0</v>
      </c>
      <c r="F32" s="6" t="s">
        <v>561</v>
      </c>
      <c r="I32" s="6" t="s">
        <v>564</v>
      </c>
      <c r="J32" s="2">
        <f>J24/12-144518</f>
        <v>30461.16667</v>
      </c>
      <c r="O32" s="6">
        <v>2215.47</v>
      </c>
      <c r="AT32" s="312"/>
    </row>
    <row r="33">
      <c r="B33" s="196"/>
      <c r="C33" s="296" t="s">
        <v>565</v>
      </c>
      <c r="E33" s="6">
        <v>15.0</v>
      </c>
      <c r="F33" s="6" t="s">
        <v>566</v>
      </c>
      <c r="I33" s="6" t="s">
        <v>567</v>
      </c>
      <c r="J33" s="2">
        <f>J31-J32</f>
        <v>21125.58333</v>
      </c>
      <c r="O33" s="6">
        <v>3211.47</v>
      </c>
      <c r="AT33" s="312"/>
    </row>
    <row r="34">
      <c r="I34" s="6" t="s">
        <v>568</v>
      </c>
      <c r="J34" s="2">
        <f>J33*12</f>
        <v>253507</v>
      </c>
      <c r="O34" s="6">
        <v>504.52</v>
      </c>
      <c r="AT34" s="312"/>
    </row>
    <row r="35">
      <c r="I35" s="6" t="s">
        <v>569</v>
      </c>
      <c r="J35" s="2">
        <f>J36-J34</f>
        <v>591528</v>
      </c>
      <c r="O35" s="6">
        <v>500.29</v>
      </c>
      <c r="AT35" s="312"/>
    </row>
    <row r="36">
      <c r="I36" s="6" t="s">
        <v>570</v>
      </c>
      <c r="J36" s="2">
        <f>sum(J25:J27)</f>
        <v>845035</v>
      </c>
      <c r="O36" s="6">
        <v>496.04</v>
      </c>
      <c r="AT36" s="312"/>
    </row>
    <row r="37">
      <c r="I37" s="6" t="s">
        <v>571</v>
      </c>
      <c r="J37" s="2">
        <f>J35/12</f>
        <v>49294</v>
      </c>
      <c r="O37" s="2">
        <f>sum(O31:O36)</f>
        <v>9665.48</v>
      </c>
      <c r="AT37" s="312"/>
    </row>
    <row r="38">
      <c r="O38" s="2">
        <f>O37-O37*3%</f>
        <v>9375.5156</v>
      </c>
      <c r="AT38" s="312"/>
    </row>
    <row r="39">
      <c r="AT39" s="312"/>
    </row>
    <row r="40">
      <c r="AT40" s="312"/>
    </row>
    <row r="41">
      <c r="B41" s="2">
        <f>sum(B43:B49)</f>
        <v>186000</v>
      </c>
      <c r="AT41" s="312"/>
    </row>
    <row r="42">
      <c r="AT42" s="312"/>
    </row>
    <row r="43">
      <c r="B43" s="332">
        <v>154000.0</v>
      </c>
      <c r="C43" s="256" t="s">
        <v>572</v>
      </c>
      <c r="AT43" s="312"/>
    </row>
    <row r="44">
      <c r="B44" s="300">
        <v>21000.0</v>
      </c>
      <c r="C44" s="192" t="s">
        <v>573</v>
      </c>
      <c r="AT44" s="312"/>
    </row>
    <row r="45">
      <c r="B45" s="300">
        <v>11000.0</v>
      </c>
      <c r="C45" s="192" t="s">
        <v>543</v>
      </c>
      <c r="AT45" s="312"/>
    </row>
    <row r="46">
      <c r="B46" s="301"/>
      <c r="C46" s="192" t="s">
        <v>327</v>
      </c>
      <c r="AT46" s="312"/>
    </row>
    <row r="47">
      <c r="B47" s="301"/>
      <c r="C47" s="192" t="s">
        <v>574</v>
      </c>
      <c r="AT47" s="312"/>
    </row>
    <row r="48">
      <c r="B48" s="301"/>
      <c r="C48" s="194"/>
      <c r="AT48" s="312"/>
    </row>
    <row r="49">
      <c r="B49" s="303"/>
      <c r="C49" s="197"/>
      <c r="AT49" s="312"/>
    </row>
    <row r="50">
      <c r="AT50" s="312"/>
    </row>
    <row r="51">
      <c r="AT51" s="312"/>
    </row>
    <row r="52">
      <c r="AT52" s="312"/>
    </row>
    <row r="53">
      <c r="AT53" s="312"/>
    </row>
    <row r="54">
      <c r="AT54" s="312"/>
    </row>
    <row r="55">
      <c r="AT55" s="312"/>
    </row>
    <row r="56">
      <c r="AT56" s="312"/>
    </row>
    <row r="57">
      <c r="AT57" s="312"/>
    </row>
    <row r="58">
      <c r="AT58" s="312"/>
    </row>
    <row r="59">
      <c r="AT59" s="312"/>
    </row>
    <row r="60">
      <c r="AT60" s="312"/>
    </row>
    <row r="61">
      <c r="AT61" s="312"/>
    </row>
    <row r="62">
      <c r="AT62" s="312"/>
    </row>
    <row r="63">
      <c r="AT63" s="312"/>
    </row>
    <row r="64">
      <c r="AT64" s="312"/>
    </row>
    <row r="65">
      <c r="AT65" s="312"/>
    </row>
    <row r="66">
      <c r="AT66" s="312"/>
    </row>
    <row r="67">
      <c r="AT67" s="312"/>
    </row>
    <row r="68">
      <c r="AT68" s="312"/>
    </row>
    <row r="69">
      <c r="AT69" s="312"/>
    </row>
    <row r="70">
      <c r="AT70" s="312"/>
    </row>
    <row r="71">
      <c r="AT71" s="312"/>
    </row>
    <row r="72">
      <c r="AT72" s="312"/>
    </row>
    <row r="73">
      <c r="AT73" s="312"/>
    </row>
    <row r="74">
      <c r="AT74" s="312"/>
    </row>
    <row r="75">
      <c r="AT75" s="312"/>
    </row>
    <row r="76">
      <c r="AT76" s="312"/>
    </row>
    <row r="77">
      <c r="AT77" s="312"/>
    </row>
    <row r="78">
      <c r="AT78" s="312"/>
    </row>
    <row r="79">
      <c r="AT79" s="312"/>
    </row>
    <row r="80">
      <c r="AT80" s="312"/>
    </row>
    <row r="81">
      <c r="AT81" s="312"/>
    </row>
    <row r="82">
      <c r="AT82" s="312"/>
    </row>
    <row r="83">
      <c r="AT83" s="312"/>
    </row>
    <row r="84">
      <c r="AT84" s="312"/>
    </row>
    <row r="85">
      <c r="AT85" s="312"/>
    </row>
    <row r="86">
      <c r="AT86" s="312"/>
    </row>
    <row r="87">
      <c r="AT87" s="312"/>
    </row>
    <row r="88">
      <c r="AT88" s="312"/>
    </row>
    <row r="89">
      <c r="AT89" s="312"/>
    </row>
    <row r="90">
      <c r="AT90" s="312"/>
    </row>
    <row r="91">
      <c r="AT91" s="312"/>
    </row>
    <row r="92">
      <c r="AT92" s="312"/>
    </row>
    <row r="93">
      <c r="AT93" s="312"/>
    </row>
    <row r="94">
      <c r="AT94" s="312"/>
    </row>
    <row r="95">
      <c r="AT95" s="312"/>
    </row>
    <row r="96">
      <c r="AT96" s="312"/>
    </row>
    <row r="97">
      <c r="AT97" s="312"/>
    </row>
    <row r="98">
      <c r="AT98" s="312"/>
    </row>
    <row r="99">
      <c r="AT99" s="312"/>
    </row>
    <row r="100">
      <c r="AT100" s="312"/>
    </row>
    <row r="101">
      <c r="AT101" s="312"/>
    </row>
    <row r="102">
      <c r="AT102" s="312"/>
    </row>
    <row r="103">
      <c r="AT103" s="312"/>
    </row>
    <row r="104">
      <c r="AT104" s="312"/>
    </row>
    <row r="105">
      <c r="AT105" s="312"/>
    </row>
    <row r="106">
      <c r="AT106" s="312"/>
    </row>
    <row r="107">
      <c r="AT107" s="312"/>
    </row>
    <row r="108">
      <c r="AT108" s="312"/>
    </row>
    <row r="109">
      <c r="AT109" s="312"/>
    </row>
    <row r="110">
      <c r="AT110" s="312"/>
    </row>
    <row r="111">
      <c r="AT111" s="312"/>
    </row>
    <row r="112">
      <c r="AT112" s="312"/>
    </row>
    <row r="113">
      <c r="AT113" s="312"/>
    </row>
    <row r="114">
      <c r="AT114" s="312"/>
    </row>
    <row r="115">
      <c r="AT115" s="312"/>
    </row>
    <row r="116">
      <c r="AT116" s="312"/>
    </row>
    <row r="117">
      <c r="AT117" s="312"/>
    </row>
    <row r="118">
      <c r="AT118" s="312"/>
    </row>
    <row r="119">
      <c r="AT119" s="312"/>
    </row>
    <row r="120">
      <c r="AT120" s="312"/>
    </row>
    <row r="121">
      <c r="AT121" s="312"/>
    </row>
    <row r="122">
      <c r="AT122" s="312"/>
    </row>
    <row r="123">
      <c r="AT123" s="312"/>
    </row>
    <row r="124">
      <c r="AT124" s="312"/>
    </row>
    <row r="125">
      <c r="AT125" s="312"/>
    </row>
    <row r="126">
      <c r="AT126" s="312"/>
    </row>
    <row r="127">
      <c r="AT127" s="312"/>
    </row>
    <row r="128">
      <c r="AT128" s="312"/>
    </row>
    <row r="129">
      <c r="AT129" s="312"/>
    </row>
    <row r="130">
      <c r="AT130" s="312"/>
    </row>
    <row r="131">
      <c r="AT131" s="312"/>
    </row>
    <row r="132">
      <c r="AT132" s="312"/>
    </row>
    <row r="133">
      <c r="AT133" s="312"/>
    </row>
    <row r="134">
      <c r="AT134" s="312"/>
    </row>
    <row r="135">
      <c r="AT135" s="312"/>
    </row>
    <row r="136">
      <c r="AT136" s="312"/>
    </row>
    <row r="137">
      <c r="AT137" s="312"/>
    </row>
    <row r="138">
      <c r="AT138" s="312"/>
    </row>
    <row r="139">
      <c r="AT139" s="312"/>
    </row>
    <row r="140">
      <c r="AT140" s="312"/>
    </row>
    <row r="141">
      <c r="AT141" s="312"/>
    </row>
    <row r="142">
      <c r="AT142" s="312"/>
    </row>
    <row r="143">
      <c r="AT143" s="312"/>
    </row>
    <row r="144">
      <c r="AT144" s="312"/>
    </row>
    <row r="145">
      <c r="AT145" s="312"/>
    </row>
    <row r="146">
      <c r="AT146" s="312"/>
    </row>
    <row r="147">
      <c r="AT147" s="312"/>
    </row>
    <row r="148">
      <c r="AT148" s="312"/>
    </row>
    <row r="149">
      <c r="AT149" s="312"/>
    </row>
    <row r="150">
      <c r="AT150" s="312"/>
    </row>
    <row r="151">
      <c r="AT151" s="312"/>
    </row>
    <row r="152">
      <c r="AT152" s="312"/>
    </row>
    <row r="153">
      <c r="AT153" s="312"/>
    </row>
    <row r="154">
      <c r="AT154" s="312"/>
    </row>
    <row r="155">
      <c r="AT155" s="312"/>
    </row>
    <row r="156">
      <c r="AT156" s="312"/>
    </row>
    <row r="157">
      <c r="AT157" s="312"/>
    </row>
    <row r="158">
      <c r="AT158" s="312"/>
    </row>
    <row r="159">
      <c r="AT159" s="312"/>
    </row>
    <row r="160">
      <c r="AT160" s="312"/>
    </row>
    <row r="161">
      <c r="AT161" s="312"/>
    </row>
    <row r="162">
      <c r="AT162" s="312"/>
    </row>
    <row r="163">
      <c r="AT163" s="312"/>
    </row>
    <row r="164">
      <c r="AT164" s="312"/>
    </row>
    <row r="165">
      <c r="AT165" s="312"/>
    </row>
    <row r="166">
      <c r="AT166" s="312"/>
    </row>
    <row r="167">
      <c r="AT167" s="312"/>
    </row>
    <row r="168">
      <c r="AT168" s="312"/>
    </row>
    <row r="169">
      <c r="AT169" s="312"/>
    </row>
    <row r="170">
      <c r="AT170" s="312"/>
    </row>
    <row r="171">
      <c r="AT171" s="312"/>
    </row>
    <row r="172">
      <c r="AT172" s="312"/>
    </row>
    <row r="173">
      <c r="AT173" s="312"/>
    </row>
    <row r="174">
      <c r="AT174" s="312"/>
    </row>
    <row r="175">
      <c r="AT175" s="312"/>
    </row>
    <row r="176">
      <c r="AT176" s="312"/>
    </row>
    <row r="177">
      <c r="AT177" s="312"/>
    </row>
    <row r="178">
      <c r="AT178" s="312"/>
    </row>
    <row r="179">
      <c r="AT179" s="312"/>
    </row>
    <row r="180">
      <c r="AT180" s="312"/>
    </row>
    <row r="181">
      <c r="AT181" s="312"/>
    </row>
    <row r="182">
      <c r="AT182" s="312"/>
    </row>
    <row r="183">
      <c r="AT183" s="312"/>
    </row>
    <row r="184">
      <c r="AT184" s="312"/>
    </row>
    <row r="185">
      <c r="AT185" s="312"/>
    </row>
    <row r="186">
      <c r="AT186" s="312"/>
    </row>
    <row r="187">
      <c r="AT187" s="312"/>
    </row>
    <row r="188">
      <c r="AT188" s="312"/>
    </row>
    <row r="189">
      <c r="AT189" s="312"/>
    </row>
    <row r="190">
      <c r="AT190" s="312"/>
    </row>
    <row r="191">
      <c r="AT191" s="312"/>
    </row>
    <row r="192">
      <c r="AT192" s="312"/>
    </row>
    <row r="193">
      <c r="AT193" s="312"/>
    </row>
    <row r="194">
      <c r="AT194" s="312"/>
    </row>
    <row r="195">
      <c r="AT195" s="312"/>
    </row>
    <row r="196">
      <c r="AT196" s="312"/>
    </row>
    <row r="197">
      <c r="AT197" s="312"/>
    </row>
    <row r="198">
      <c r="AT198" s="312"/>
    </row>
    <row r="199">
      <c r="AT199" s="312"/>
    </row>
    <row r="200">
      <c r="AT200" s="312"/>
    </row>
    <row r="201">
      <c r="AT201" s="312"/>
    </row>
    <row r="202">
      <c r="AT202" s="312"/>
    </row>
    <row r="203">
      <c r="AT203" s="312"/>
    </row>
    <row r="204">
      <c r="AT204" s="312"/>
    </row>
    <row r="205">
      <c r="AT205" s="312"/>
    </row>
    <row r="206">
      <c r="AT206" s="312"/>
    </row>
    <row r="207">
      <c r="AT207" s="312"/>
    </row>
    <row r="208">
      <c r="AT208" s="312"/>
    </row>
    <row r="209">
      <c r="AT209" s="312"/>
    </row>
    <row r="210">
      <c r="AT210" s="312"/>
    </row>
    <row r="211">
      <c r="AT211" s="312"/>
    </row>
    <row r="212">
      <c r="AT212" s="312"/>
    </row>
    <row r="213">
      <c r="AT213" s="312"/>
    </row>
    <row r="214">
      <c r="AT214" s="312"/>
    </row>
    <row r="215">
      <c r="AT215" s="312"/>
    </row>
    <row r="216">
      <c r="AT216" s="312"/>
    </row>
    <row r="217">
      <c r="AT217" s="312"/>
    </row>
    <row r="218">
      <c r="AT218" s="312"/>
    </row>
    <row r="219">
      <c r="AT219" s="312"/>
    </row>
    <row r="220">
      <c r="AT220" s="312"/>
    </row>
    <row r="221">
      <c r="AT221" s="312"/>
    </row>
    <row r="222">
      <c r="AT222" s="312"/>
    </row>
    <row r="223">
      <c r="AT223" s="312"/>
    </row>
    <row r="224">
      <c r="AT224" s="312"/>
    </row>
    <row r="225">
      <c r="AT225" s="312"/>
    </row>
    <row r="226">
      <c r="AT226" s="312"/>
    </row>
    <row r="227">
      <c r="AT227" s="312"/>
    </row>
    <row r="228">
      <c r="AT228" s="312"/>
    </row>
    <row r="229">
      <c r="AT229" s="312"/>
    </row>
    <row r="230">
      <c r="AT230" s="312"/>
    </row>
    <row r="231">
      <c r="AT231" s="312"/>
    </row>
    <row r="232">
      <c r="AT232" s="312"/>
    </row>
    <row r="233">
      <c r="AT233" s="312"/>
    </row>
    <row r="234">
      <c r="AT234" s="312"/>
    </row>
    <row r="235">
      <c r="AT235" s="312"/>
    </row>
    <row r="236">
      <c r="AT236" s="312"/>
    </row>
    <row r="237">
      <c r="AT237" s="312"/>
    </row>
    <row r="238">
      <c r="AT238" s="312"/>
    </row>
    <row r="239">
      <c r="AT239" s="312"/>
    </row>
    <row r="240">
      <c r="AT240" s="312"/>
    </row>
    <row r="241">
      <c r="AT241" s="312"/>
    </row>
    <row r="242">
      <c r="AT242" s="312"/>
    </row>
    <row r="243">
      <c r="AT243" s="312"/>
    </row>
    <row r="244">
      <c r="AT244" s="312"/>
    </row>
    <row r="245">
      <c r="AT245" s="312"/>
    </row>
    <row r="246">
      <c r="AT246" s="312"/>
    </row>
    <row r="247">
      <c r="AT247" s="312"/>
    </row>
    <row r="248">
      <c r="AT248" s="312"/>
    </row>
    <row r="249">
      <c r="AT249" s="312"/>
    </row>
    <row r="250">
      <c r="AT250" s="312"/>
    </row>
    <row r="251">
      <c r="AT251" s="312"/>
    </row>
    <row r="252">
      <c r="AT252" s="312"/>
    </row>
    <row r="253">
      <c r="AT253" s="312"/>
    </row>
    <row r="254">
      <c r="AT254" s="312"/>
    </row>
    <row r="255">
      <c r="AT255" s="312"/>
    </row>
    <row r="256">
      <c r="AT256" s="312"/>
    </row>
    <row r="257">
      <c r="AT257" s="312"/>
    </row>
    <row r="258">
      <c r="AT258" s="312"/>
    </row>
    <row r="259">
      <c r="AT259" s="312"/>
    </row>
    <row r="260">
      <c r="AT260" s="312"/>
    </row>
    <row r="261">
      <c r="AT261" s="312"/>
    </row>
    <row r="262">
      <c r="AT262" s="312"/>
    </row>
    <row r="263">
      <c r="AT263" s="312"/>
    </row>
    <row r="264">
      <c r="AT264" s="312"/>
    </row>
    <row r="265">
      <c r="AT265" s="312"/>
    </row>
    <row r="266">
      <c r="AT266" s="312"/>
    </row>
    <row r="267">
      <c r="AT267" s="312"/>
    </row>
    <row r="268">
      <c r="AT268" s="312"/>
    </row>
    <row r="269">
      <c r="AT269" s="312"/>
    </row>
    <row r="270">
      <c r="AT270" s="312"/>
    </row>
    <row r="271">
      <c r="AT271" s="312"/>
    </row>
    <row r="272">
      <c r="AT272" s="312"/>
    </row>
    <row r="273">
      <c r="AT273" s="312"/>
    </row>
    <row r="274">
      <c r="AT274" s="312"/>
    </row>
    <row r="275">
      <c r="AT275" s="312"/>
    </row>
    <row r="276">
      <c r="AT276" s="312"/>
    </row>
    <row r="277">
      <c r="AT277" s="312"/>
    </row>
    <row r="278">
      <c r="AT278" s="312"/>
    </row>
    <row r="279">
      <c r="AT279" s="312"/>
    </row>
    <row r="280">
      <c r="AT280" s="312"/>
    </row>
    <row r="281">
      <c r="AT281" s="312"/>
    </row>
    <row r="282">
      <c r="AT282" s="312"/>
    </row>
    <row r="283">
      <c r="AT283" s="312"/>
    </row>
    <row r="284">
      <c r="AT284" s="312"/>
    </row>
    <row r="285">
      <c r="AT285" s="312"/>
    </row>
    <row r="286">
      <c r="AT286" s="312"/>
    </row>
    <row r="287">
      <c r="AT287" s="312"/>
    </row>
    <row r="288">
      <c r="AT288" s="312"/>
    </row>
    <row r="289">
      <c r="AT289" s="312"/>
    </row>
    <row r="290">
      <c r="AT290" s="312"/>
    </row>
    <row r="291">
      <c r="AT291" s="312"/>
    </row>
    <row r="292">
      <c r="AT292" s="312"/>
    </row>
    <row r="293">
      <c r="AT293" s="312"/>
    </row>
    <row r="294">
      <c r="AT294" s="312"/>
    </row>
    <row r="295">
      <c r="AT295" s="312"/>
    </row>
    <row r="296">
      <c r="AT296" s="312"/>
    </row>
    <row r="297">
      <c r="AT297" s="312"/>
    </row>
    <row r="298">
      <c r="AT298" s="312"/>
    </row>
    <row r="299">
      <c r="AT299" s="312"/>
    </row>
    <row r="300">
      <c r="AT300" s="312"/>
    </row>
    <row r="301">
      <c r="AT301" s="312"/>
    </row>
    <row r="302">
      <c r="AT302" s="312"/>
    </row>
    <row r="303">
      <c r="AT303" s="312"/>
    </row>
    <row r="304">
      <c r="AT304" s="312"/>
    </row>
    <row r="305">
      <c r="AT305" s="312"/>
    </row>
    <row r="306">
      <c r="AT306" s="312"/>
    </row>
    <row r="307">
      <c r="AT307" s="312"/>
    </row>
    <row r="308">
      <c r="AT308" s="312"/>
    </row>
    <row r="309">
      <c r="AT309" s="312"/>
    </row>
    <row r="310">
      <c r="AT310" s="312"/>
    </row>
    <row r="311">
      <c r="AT311" s="312"/>
    </row>
    <row r="312">
      <c r="AT312" s="312"/>
    </row>
    <row r="313">
      <c r="AT313" s="312"/>
    </row>
    <row r="314">
      <c r="AT314" s="312"/>
    </row>
    <row r="315">
      <c r="AT315" s="312"/>
    </row>
    <row r="316">
      <c r="AT316" s="312"/>
    </row>
    <row r="317">
      <c r="AT317" s="312"/>
    </row>
    <row r="318">
      <c r="AT318" s="312"/>
    </row>
    <row r="319">
      <c r="AT319" s="312"/>
    </row>
    <row r="320">
      <c r="AT320" s="312"/>
    </row>
    <row r="321">
      <c r="AT321" s="312"/>
    </row>
    <row r="322">
      <c r="AT322" s="312"/>
    </row>
    <row r="323">
      <c r="AT323" s="312"/>
    </row>
    <row r="324">
      <c r="AT324" s="312"/>
    </row>
    <row r="325">
      <c r="AT325" s="312"/>
    </row>
    <row r="326">
      <c r="AT326" s="312"/>
    </row>
    <row r="327">
      <c r="AT327" s="312"/>
    </row>
    <row r="328">
      <c r="AT328" s="312"/>
    </row>
    <row r="329">
      <c r="AT329" s="312"/>
    </row>
    <row r="330">
      <c r="AT330" s="312"/>
    </row>
    <row r="331">
      <c r="AT331" s="312"/>
    </row>
    <row r="332">
      <c r="AT332" s="312"/>
    </row>
    <row r="333">
      <c r="AT333" s="312"/>
    </row>
    <row r="334">
      <c r="AT334" s="312"/>
    </row>
    <row r="335">
      <c r="AT335" s="312"/>
    </row>
    <row r="336">
      <c r="AT336" s="312"/>
    </row>
    <row r="337">
      <c r="AT337" s="312"/>
    </row>
    <row r="338">
      <c r="AT338" s="312"/>
    </row>
    <row r="339">
      <c r="AT339" s="312"/>
    </row>
    <row r="340">
      <c r="AT340" s="312"/>
    </row>
    <row r="341">
      <c r="AT341" s="312"/>
    </row>
    <row r="342">
      <c r="AT342" s="312"/>
    </row>
    <row r="343">
      <c r="AT343" s="312"/>
    </row>
    <row r="344">
      <c r="AT344" s="312"/>
    </row>
    <row r="345">
      <c r="AT345" s="312"/>
    </row>
    <row r="346">
      <c r="AT346" s="312"/>
    </row>
    <row r="347">
      <c r="AT347" s="312"/>
    </row>
    <row r="348">
      <c r="AT348" s="312"/>
    </row>
    <row r="349">
      <c r="AT349" s="312"/>
    </row>
    <row r="350">
      <c r="AT350" s="312"/>
    </row>
    <row r="351">
      <c r="AT351" s="312"/>
    </row>
    <row r="352">
      <c r="AT352" s="312"/>
    </row>
    <row r="353">
      <c r="AT353" s="312"/>
    </row>
    <row r="354">
      <c r="AT354" s="312"/>
    </row>
    <row r="355">
      <c r="AT355" s="312"/>
    </row>
    <row r="356">
      <c r="AT356" s="312"/>
    </row>
    <row r="357">
      <c r="AT357" s="312"/>
    </row>
    <row r="358">
      <c r="AT358" s="312"/>
    </row>
    <row r="359">
      <c r="AT359" s="312"/>
    </row>
    <row r="360">
      <c r="AT360" s="312"/>
    </row>
    <row r="361">
      <c r="AT361" s="312"/>
    </row>
    <row r="362">
      <c r="AT362" s="312"/>
    </row>
    <row r="363">
      <c r="AT363" s="312"/>
    </row>
    <row r="364">
      <c r="AT364" s="312"/>
    </row>
    <row r="365">
      <c r="AT365" s="312"/>
    </row>
    <row r="366">
      <c r="AT366" s="312"/>
    </row>
    <row r="367">
      <c r="AT367" s="312"/>
    </row>
    <row r="368">
      <c r="AT368" s="312"/>
    </row>
    <row r="369">
      <c r="AT369" s="312"/>
    </row>
    <row r="370">
      <c r="AT370" s="312"/>
    </row>
    <row r="371">
      <c r="AT371" s="312"/>
    </row>
    <row r="372">
      <c r="AT372" s="312"/>
    </row>
    <row r="373">
      <c r="AT373" s="312"/>
    </row>
    <row r="374">
      <c r="AT374" s="312"/>
    </row>
    <row r="375">
      <c r="AT375" s="312"/>
    </row>
    <row r="376">
      <c r="AT376" s="312"/>
    </row>
    <row r="377">
      <c r="AT377" s="312"/>
    </row>
    <row r="378">
      <c r="AT378" s="312"/>
    </row>
    <row r="379">
      <c r="AT379" s="312"/>
    </row>
    <row r="380">
      <c r="AT380" s="312"/>
    </row>
    <row r="381">
      <c r="AT381" s="312"/>
    </row>
    <row r="382">
      <c r="AT382" s="312"/>
    </row>
    <row r="383">
      <c r="AT383" s="312"/>
    </row>
    <row r="384">
      <c r="AT384" s="312"/>
    </row>
    <row r="385">
      <c r="AT385" s="312"/>
    </row>
    <row r="386">
      <c r="AT386" s="312"/>
    </row>
    <row r="387">
      <c r="AT387" s="312"/>
    </row>
    <row r="388">
      <c r="AT388" s="312"/>
    </row>
    <row r="389">
      <c r="AT389" s="312"/>
    </row>
    <row r="390">
      <c r="AT390" s="312"/>
    </row>
    <row r="391">
      <c r="AT391" s="312"/>
    </row>
    <row r="392">
      <c r="AT392" s="312"/>
    </row>
    <row r="393">
      <c r="AT393" s="312"/>
    </row>
    <row r="394">
      <c r="AT394" s="312"/>
    </row>
    <row r="395">
      <c r="AT395" s="312"/>
    </row>
    <row r="396">
      <c r="AT396" s="312"/>
    </row>
    <row r="397">
      <c r="AT397" s="312"/>
    </row>
    <row r="398">
      <c r="AT398" s="312"/>
    </row>
    <row r="399">
      <c r="AT399" s="312"/>
    </row>
    <row r="400">
      <c r="AT400" s="312"/>
    </row>
    <row r="401">
      <c r="AT401" s="312"/>
    </row>
    <row r="402">
      <c r="AT402" s="312"/>
    </row>
    <row r="403">
      <c r="AT403" s="312"/>
    </row>
    <row r="404">
      <c r="AT404" s="312"/>
    </row>
    <row r="405">
      <c r="AT405" s="312"/>
    </row>
    <row r="406">
      <c r="AT406" s="312"/>
    </row>
    <row r="407">
      <c r="AT407" s="312"/>
    </row>
    <row r="408">
      <c r="AT408" s="312"/>
    </row>
    <row r="409">
      <c r="AT409" s="312"/>
    </row>
    <row r="410">
      <c r="AT410" s="312"/>
    </row>
    <row r="411">
      <c r="AT411" s="312"/>
    </row>
    <row r="412">
      <c r="AT412" s="312"/>
    </row>
    <row r="413">
      <c r="AT413" s="312"/>
    </row>
    <row r="414">
      <c r="AT414" s="312"/>
    </row>
    <row r="415">
      <c r="AT415" s="312"/>
    </row>
    <row r="416">
      <c r="AT416" s="312"/>
    </row>
    <row r="417">
      <c r="AT417" s="312"/>
    </row>
    <row r="418">
      <c r="AT418" s="312"/>
    </row>
    <row r="419">
      <c r="AT419" s="312"/>
    </row>
    <row r="420">
      <c r="AT420" s="312"/>
    </row>
    <row r="421">
      <c r="AT421" s="312"/>
    </row>
    <row r="422">
      <c r="AT422" s="312"/>
    </row>
    <row r="423">
      <c r="AT423" s="312"/>
    </row>
    <row r="424">
      <c r="AT424" s="312"/>
    </row>
    <row r="425">
      <c r="AT425" s="312"/>
    </row>
    <row r="426">
      <c r="AT426" s="312"/>
    </row>
    <row r="427">
      <c r="AT427" s="312"/>
    </row>
    <row r="428">
      <c r="AT428" s="312"/>
    </row>
    <row r="429">
      <c r="AT429" s="312"/>
    </row>
    <row r="430">
      <c r="AT430" s="312"/>
    </row>
    <row r="431">
      <c r="AT431" s="312"/>
    </row>
    <row r="432">
      <c r="AT432" s="312"/>
    </row>
    <row r="433">
      <c r="AT433" s="312"/>
    </row>
    <row r="434">
      <c r="AT434" s="312"/>
    </row>
    <row r="435">
      <c r="AT435" s="312"/>
    </row>
    <row r="436">
      <c r="AT436" s="312"/>
    </row>
    <row r="437">
      <c r="AT437" s="312"/>
    </row>
    <row r="438">
      <c r="AT438" s="312"/>
    </row>
    <row r="439">
      <c r="AT439" s="312"/>
    </row>
    <row r="440">
      <c r="AT440" s="312"/>
    </row>
    <row r="441">
      <c r="AT441" s="312"/>
    </row>
    <row r="442">
      <c r="AT442" s="312"/>
    </row>
    <row r="443">
      <c r="AT443" s="312"/>
    </row>
    <row r="444">
      <c r="AT444" s="312"/>
    </row>
    <row r="445">
      <c r="AT445" s="312"/>
    </row>
    <row r="446">
      <c r="AT446" s="312"/>
    </row>
    <row r="447">
      <c r="AT447" s="312"/>
    </row>
    <row r="448">
      <c r="AT448" s="312"/>
    </row>
    <row r="449">
      <c r="AT449" s="312"/>
    </row>
    <row r="450">
      <c r="AT450" s="312"/>
    </row>
    <row r="451">
      <c r="AT451" s="312"/>
    </row>
    <row r="452">
      <c r="AT452" s="312"/>
    </row>
    <row r="453">
      <c r="AT453" s="312"/>
    </row>
    <row r="454">
      <c r="AT454" s="312"/>
    </row>
    <row r="455">
      <c r="AT455" s="312"/>
    </row>
    <row r="456">
      <c r="AT456" s="312"/>
    </row>
    <row r="457">
      <c r="AT457" s="312"/>
    </row>
    <row r="458">
      <c r="AT458" s="312"/>
    </row>
    <row r="459">
      <c r="AT459" s="312"/>
    </row>
    <row r="460">
      <c r="AT460" s="312"/>
    </row>
    <row r="461">
      <c r="AT461" s="312"/>
    </row>
    <row r="462">
      <c r="AT462" s="312"/>
    </row>
    <row r="463">
      <c r="AT463" s="312"/>
    </row>
    <row r="464">
      <c r="AT464" s="312"/>
    </row>
    <row r="465">
      <c r="AT465" s="312"/>
    </row>
    <row r="466">
      <c r="AT466" s="312"/>
    </row>
    <row r="467">
      <c r="AT467" s="312"/>
    </row>
    <row r="468">
      <c r="AT468" s="312"/>
    </row>
    <row r="469">
      <c r="AT469" s="312"/>
    </row>
    <row r="470">
      <c r="AT470" s="312"/>
    </row>
    <row r="471">
      <c r="AT471" s="312"/>
    </row>
    <row r="472">
      <c r="AT472" s="312"/>
    </row>
    <row r="473">
      <c r="AT473" s="312"/>
    </row>
    <row r="474">
      <c r="AT474" s="312"/>
    </row>
    <row r="475">
      <c r="AT475" s="312"/>
    </row>
    <row r="476">
      <c r="AT476" s="312"/>
    </row>
    <row r="477">
      <c r="AT477" s="312"/>
    </row>
    <row r="478">
      <c r="AT478" s="312"/>
    </row>
    <row r="479">
      <c r="AT479" s="312"/>
    </row>
    <row r="480">
      <c r="AT480" s="312"/>
    </row>
    <row r="481">
      <c r="AT481" s="312"/>
    </row>
    <row r="482">
      <c r="AT482" s="312"/>
    </row>
    <row r="483">
      <c r="AT483" s="312"/>
    </row>
    <row r="484">
      <c r="AT484" s="312"/>
    </row>
    <row r="485">
      <c r="AT485" s="312"/>
    </row>
    <row r="486">
      <c r="AT486" s="312"/>
    </row>
    <row r="487">
      <c r="AT487" s="312"/>
    </row>
    <row r="488">
      <c r="AT488" s="312"/>
    </row>
    <row r="489">
      <c r="AT489" s="312"/>
    </row>
    <row r="490">
      <c r="AT490" s="312"/>
    </row>
    <row r="491">
      <c r="AT491" s="312"/>
    </row>
    <row r="492">
      <c r="AT492" s="312"/>
    </row>
    <row r="493">
      <c r="AT493" s="312"/>
    </row>
    <row r="494">
      <c r="AT494" s="312"/>
    </row>
    <row r="495">
      <c r="AT495" s="312"/>
    </row>
    <row r="496">
      <c r="AT496" s="312"/>
    </row>
    <row r="497">
      <c r="AT497" s="312"/>
    </row>
    <row r="498">
      <c r="AT498" s="312"/>
    </row>
    <row r="499">
      <c r="AT499" s="312"/>
    </row>
    <row r="500">
      <c r="AT500" s="312"/>
    </row>
    <row r="501">
      <c r="AT501" s="312"/>
    </row>
    <row r="502">
      <c r="AT502" s="312"/>
    </row>
    <row r="503">
      <c r="AT503" s="312"/>
    </row>
    <row r="504">
      <c r="AT504" s="312"/>
    </row>
    <row r="505">
      <c r="AT505" s="312"/>
    </row>
    <row r="506">
      <c r="AT506" s="312"/>
    </row>
    <row r="507">
      <c r="AT507" s="312"/>
    </row>
    <row r="508">
      <c r="AT508" s="312"/>
    </row>
    <row r="509">
      <c r="AT509" s="312"/>
    </row>
    <row r="510">
      <c r="AT510" s="312"/>
    </row>
    <row r="511">
      <c r="AT511" s="312"/>
    </row>
    <row r="512">
      <c r="AT512" s="312"/>
    </row>
    <row r="513">
      <c r="AT513" s="312"/>
    </row>
    <row r="514">
      <c r="AT514" s="312"/>
    </row>
    <row r="515">
      <c r="AT515" s="312"/>
    </row>
    <row r="516">
      <c r="AT516" s="312"/>
    </row>
    <row r="517">
      <c r="AT517" s="312"/>
    </row>
    <row r="518">
      <c r="AT518" s="312"/>
    </row>
    <row r="519">
      <c r="AT519" s="312"/>
    </row>
    <row r="520">
      <c r="AT520" s="312"/>
    </row>
    <row r="521">
      <c r="AT521" s="312"/>
    </row>
    <row r="522">
      <c r="AT522" s="312"/>
    </row>
    <row r="523">
      <c r="AT523" s="312"/>
    </row>
    <row r="524">
      <c r="AT524" s="312"/>
    </row>
    <row r="525">
      <c r="AT525" s="312"/>
    </row>
    <row r="526">
      <c r="AT526" s="312"/>
    </row>
    <row r="527">
      <c r="AT527" s="312"/>
    </row>
    <row r="528">
      <c r="AT528" s="312"/>
    </row>
    <row r="529">
      <c r="AT529" s="312"/>
    </row>
    <row r="530">
      <c r="AT530" s="312"/>
    </row>
    <row r="531">
      <c r="AT531" s="312"/>
    </row>
    <row r="532">
      <c r="AT532" s="312"/>
    </row>
    <row r="533">
      <c r="AT533" s="312"/>
    </row>
    <row r="534">
      <c r="AT534" s="312"/>
    </row>
    <row r="535">
      <c r="AT535" s="312"/>
    </row>
    <row r="536">
      <c r="AT536" s="312"/>
    </row>
    <row r="537">
      <c r="AT537" s="312"/>
    </row>
    <row r="538">
      <c r="AT538" s="312"/>
    </row>
    <row r="539">
      <c r="AT539" s="312"/>
    </row>
    <row r="540">
      <c r="AT540" s="312"/>
    </row>
    <row r="541">
      <c r="AT541" s="312"/>
    </row>
    <row r="542">
      <c r="AT542" s="312"/>
    </row>
    <row r="543">
      <c r="AT543" s="312"/>
    </row>
    <row r="544">
      <c r="AT544" s="312"/>
    </row>
    <row r="545">
      <c r="AT545" s="312"/>
    </row>
    <row r="546">
      <c r="AT546" s="312"/>
    </row>
    <row r="547">
      <c r="AT547" s="312"/>
    </row>
    <row r="548">
      <c r="AT548" s="312"/>
    </row>
    <row r="549">
      <c r="AT549" s="312"/>
    </row>
    <row r="550">
      <c r="AT550" s="312"/>
    </row>
    <row r="551">
      <c r="AT551" s="312"/>
    </row>
    <row r="552">
      <c r="AT552" s="312"/>
    </row>
    <row r="553">
      <c r="AT553" s="312"/>
    </row>
    <row r="554">
      <c r="AT554" s="312"/>
    </row>
    <row r="555">
      <c r="AT555" s="312"/>
    </row>
    <row r="556">
      <c r="AT556" s="312"/>
    </row>
    <row r="557">
      <c r="AT557" s="312"/>
    </row>
    <row r="558">
      <c r="AT558" s="312"/>
    </row>
    <row r="559">
      <c r="AT559" s="312"/>
    </row>
    <row r="560">
      <c r="AT560" s="312"/>
    </row>
    <row r="561">
      <c r="AT561" s="312"/>
    </row>
    <row r="562">
      <c r="AT562" s="312"/>
    </row>
    <row r="563">
      <c r="AT563" s="312"/>
    </row>
    <row r="564">
      <c r="AT564" s="312"/>
    </row>
    <row r="565">
      <c r="AT565" s="312"/>
    </row>
    <row r="566">
      <c r="AT566" s="312"/>
    </row>
    <row r="567">
      <c r="AT567" s="312"/>
    </row>
    <row r="568">
      <c r="AT568" s="312"/>
    </row>
    <row r="569">
      <c r="AT569" s="312"/>
    </row>
    <row r="570">
      <c r="AT570" s="312"/>
    </row>
    <row r="571">
      <c r="AT571" s="312"/>
    </row>
    <row r="572">
      <c r="AT572" s="312"/>
    </row>
    <row r="573">
      <c r="AT573" s="312"/>
    </row>
    <row r="574">
      <c r="AT574" s="312"/>
    </row>
    <row r="575">
      <c r="AT575" s="312"/>
    </row>
    <row r="576">
      <c r="AT576" s="312"/>
    </row>
    <row r="577">
      <c r="AT577" s="312"/>
    </row>
    <row r="578">
      <c r="AT578" s="312"/>
    </row>
    <row r="579">
      <c r="AT579" s="312"/>
    </row>
    <row r="580">
      <c r="AT580" s="312"/>
    </row>
    <row r="581">
      <c r="AT581" s="312"/>
    </row>
    <row r="582">
      <c r="AT582" s="312"/>
    </row>
    <row r="583">
      <c r="AT583" s="312"/>
    </row>
    <row r="584">
      <c r="AT584" s="312"/>
    </row>
    <row r="585">
      <c r="AT585" s="312"/>
    </row>
    <row r="586">
      <c r="AT586" s="312"/>
    </row>
    <row r="587">
      <c r="AT587" s="312"/>
    </row>
    <row r="588">
      <c r="AT588" s="312"/>
    </row>
    <row r="589">
      <c r="AT589" s="312"/>
    </row>
    <row r="590">
      <c r="AT590" s="312"/>
    </row>
    <row r="591">
      <c r="AT591" s="312"/>
    </row>
    <row r="592">
      <c r="AT592" s="312"/>
    </row>
    <row r="593">
      <c r="AT593" s="312"/>
    </row>
    <row r="594">
      <c r="AT594" s="312"/>
    </row>
    <row r="595">
      <c r="AT595" s="312"/>
    </row>
    <row r="596">
      <c r="AT596" s="312"/>
    </row>
    <row r="597">
      <c r="AT597" s="312"/>
    </row>
    <row r="598">
      <c r="AT598" s="312"/>
    </row>
    <row r="599">
      <c r="AT599" s="312"/>
    </row>
    <row r="600">
      <c r="AT600" s="312"/>
    </row>
    <row r="601">
      <c r="AT601" s="312"/>
    </row>
    <row r="602">
      <c r="AT602" s="312"/>
    </row>
    <row r="603">
      <c r="AT603" s="312"/>
    </row>
    <row r="604">
      <c r="AT604" s="312"/>
    </row>
    <row r="605">
      <c r="AT605" s="312"/>
    </row>
    <row r="606">
      <c r="AT606" s="312"/>
    </row>
    <row r="607">
      <c r="AT607" s="312"/>
    </row>
    <row r="608">
      <c r="AT608" s="312"/>
    </row>
    <row r="609">
      <c r="AT609" s="312"/>
    </row>
    <row r="610">
      <c r="AT610" s="312"/>
    </row>
    <row r="611">
      <c r="AT611" s="312"/>
    </row>
    <row r="612">
      <c r="AT612" s="312"/>
    </row>
    <row r="613">
      <c r="AT613" s="312"/>
    </row>
    <row r="614">
      <c r="AT614" s="312"/>
    </row>
    <row r="615">
      <c r="AT615" s="312"/>
    </row>
    <row r="616">
      <c r="AT616" s="312"/>
    </row>
    <row r="617">
      <c r="AT617" s="312"/>
    </row>
    <row r="618">
      <c r="AT618" s="312"/>
    </row>
    <row r="619">
      <c r="AT619" s="312"/>
    </row>
    <row r="620">
      <c r="AT620" s="312"/>
    </row>
    <row r="621">
      <c r="AT621" s="312"/>
    </row>
    <row r="622">
      <c r="AT622" s="312"/>
    </row>
    <row r="623">
      <c r="AT623" s="312"/>
    </row>
    <row r="624">
      <c r="AT624" s="312"/>
    </row>
    <row r="625">
      <c r="AT625" s="312"/>
    </row>
    <row r="626">
      <c r="AT626" s="312"/>
    </row>
    <row r="627">
      <c r="AT627" s="312"/>
    </row>
    <row r="628">
      <c r="AT628" s="312"/>
    </row>
    <row r="629">
      <c r="AT629" s="312"/>
    </row>
    <row r="630">
      <c r="AT630" s="312"/>
    </row>
    <row r="631">
      <c r="AT631" s="312"/>
    </row>
    <row r="632">
      <c r="AT632" s="312"/>
    </row>
    <row r="633">
      <c r="AT633" s="312"/>
    </row>
    <row r="634">
      <c r="AT634" s="312"/>
    </row>
    <row r="635">
      <c r="AT635" s="312"/>
    </row>
    <row r="636">
      <c r="AT636" s="312"/>
    </row>
    <row r="637">
      <c r="AT637" s="312"/>
    </row>
    <row r="638">
      <c r="AT638" s="312"/>
    </row>
    <row r="639">
      <c r="AT639" s="312"/>
    </row>
    <row r="640">
      <c r="AT640" s="312"/>
    </row>
    <row r="641">
      <c r="AT641" s="312"/>
    </row>
    <row r="642">
      <c r="AT642" s="312"/>
    </row>
    <row r="643">
      <c r="AT643" s="312"/>
    </row>
    <row r="644">
      <c r="AT644" s="312"/>
    </row>
    <row r="645">
      <c r="AT645" s="312"/>
    </row>
    <row r="646">
      <c r="AT646" s="312"/>
    </row>
    <row r="647">
      <c r="AT647" s="312"/>
    </row>
    <row r="648">
      <c r="AT648" s="312"/>
    </row>
    <row r="649">
      <c r="AT649" s="312"/>
    </row>
    <row r="650">
      <c r="AT650" s="312"/>
    </row>
    <row r="651">
      <c r="AT651" s="312"/>
    </row>
    <row r="652">
      <c r="AT652" s="312"/>
    </row>
    <row r="653">
      <c r="AT653" s="312"/>
    </row>
    <row r="654">
      <c r="AT654" s="312"/>
    </row>
    <row r="655">
      <c r="AT655" s="312"/>
    </row>
    <row r="656">
      <c r="AT656" s="312"/>
    </row>
    <row r="657">
      <c r="AT657" s="312"/>
    </row>
    <row r="658">
      <c r="AT658" s="312"/>
    </row>
    <row r="659">
      <c r="AT659" s="312"/>
    </row>
    <row r="660">
      <c r="AT660" s="312"/>
    </row>
    <row r="661">
      <c r="AT661" s="312"/>
    </row>
    <row r="662">
      <c r="AT662" s="312"/>
    </row>
    <row r="663">
      <c r="AT663" s="312"/>
    </row>
    <row r="664">
      <c r="AT664" s="312"/>
    </row>
    <row r="665">
      <c r="AT665" s="312"/>
    </row>
    <row r="666">
      <c r="AT666" s="312"/>
    </row>
    <row r="667">
      <c r="AT667" s="312"/>
    </row>
    <row r="668">
      <c r="AT668" s="312"/>
    </row>
    <row r="669">
      <c r="AT669" s="312"/>
    </row>
    <row r="670">
      <c r="AT670" s="312"/>
    </row>
    <row r="671">
      <c r="AT671" s="312"/>
    </row>
    <row r="672">
      <c r="AT672" s="312"/>
    </row>
    <row r="673">
      <c r="AT673" s="312"/>
    </row>
    <row r="674">
      <c r="AT674" s="312"/>
    </row>
    <row r="675">
      <c r="AT675" s="312"/>
    </row>
    <row r="676">
      <c r="AT676" s="312"/>
    </row>
    <row r="677">
      <c r="AT677" s="312"/>
    </row>
    <row r="678">
      <c r="AT678" s="312"/>
    </row>
    <row r="679">
      <c r="AT679" s="312"/>
    </row>
    <row r="680">
      <c r="AT680" s="312"/>
    </row>
    <row r="681">
      <c r="AT681" s="312"/>
    </row>
    <row r="682">
      <c r="AT682" s="312"/>
    </row>
    <row r="683">
      <c r="AT683" s="312"/>
    </row>
    <row r="684">
      <c r="AT684" s="312"/>
    </row>
    <row r="685">
      <c r="AT685" s="312"/>
    </row>
    <row r="686">
      <c r="AT686" s="312"/>
    </row>
    <row r="687">
      <c r="AT687" s="312"/>
    </row>
    <row r="688">
      <c r="AT688" s="312"/>
    </row>
    <row r="689">
      <c r="AT689" s="312"/>
    </row>
    <row r="690">
      <c r="AT690" s="312"/>
    </row>
    <row r="691">
      <c r="AT691" s="312"/>
    </row>
    <row r="692">
      <c r="AT692" s="312"/>
    </row>
    <row r="693">
      <c r="AT693" s="312"/>
    </row>
    <row r="694">
      <c r="AT694" s="312"/>
    </row>
    <row r="695">
      <c r="AT695" s="312"/>
    </row>
    <row r="696">
      <c r="AT696" s="312"/>
    </row>
    <row r="697">
      <c r="AT697" s="312"/>
    </row>
    <row r="698">
      <c r="AT698" s="312"/>
    </row>
    <row r="699">
      <c r="AT699" s="312"/>
    </row>
    <row r="700">
      <c r="AT700" s="312"/>
    </row>
    <row r="701">
      <c r="AT701" s="312"/>
    </row>
    <row r="702">
      <c r="AT702" s="312"/>
    </row>
    <row r="703">
      <c r="AT703" s="312"/>
    </row>
    <row r="704">
      <c r="AT704" s="312"/>
    </row>
    <row r="705">
      <c r="AT705" s="312"/>
    </row>
    <row r="706">
      <c r="AT706" s="312"/>
    </row>
    <row r="707">
      <c r="AT707" s="312"/>
    </row>
    <row r="708">
      <c r="AT708" s="312"/>
    </row>
    <row r="709">
      <c r="AT709" s="312"/>
    </row>
    <row r="710">
      <c r="AT710" s="312"/>
    </row>
    <row r="711">
      <c r="AT711" s="312"/>
    </row>
    <row r="712">
      <c r="AT712" s="312"/>
    </row>
    <row r="713">
      <c r="AT713" s="312"/>
    </row>
    <row r="714">
      <c r="AT714" s="312"/>
    </row>
    <row r="715">
      <c r="AT715" s="312"/>
    </row>
    <row r="716">
      <c r="AT716" s="312"/>
    </row>
    <row r="717">
      <c r="AT717" s="312"/>
    </row>
    <row r="718">
      <c r="AT718" s="312"/>
    </row>
    <row r="719">
      <c r="AT719" s="312"/>
    </row>
    <row r="720">
      <c r="AT720" s="312"/>
    </row>
    <row r="721">
      <c r="AT721" s="312"/>
    </row>
    <row r="722">
      <c r="AT722" s="312"/>
    </row>
    <row r="723">
      <c r="AT723" s="312"/>
    </row>
    <row r="724">
      <c r="AT724" s="312"/>
    </row>
    <row r="725">
      <c r="AT725" s="312"/>
    </row>
    <row r="726">
      <c r="AT726" s="312"/>
    </row>
    <row r="727">
      <c r="AT727" s="312"/>
    </row>
    <row r="728">
      <c r="AT728" s="312"/>
    </row>
    <row r="729">
      <c r="AT729" s="312"/>
    </row>
    <row r="730">
      <c r="AT730" s="312"/>
    </row>
    <row r="731">
      <c r="AT731" s="312"/>
    </row>
    <row r="732">
      <c r="AT732" s="312"/>
    </row>
    <row r="733">
      <c r="AT733" s="312"/>
    </row>
    <row r="734">
      <c r="AT734" s="312"/>
    </row>
    <row r="735">
      <c r="AT735" s="312"/>
    </row>
    <row r="736">
      <c r="AT736" s="312"/>
    </row>
    <row r="737">
      <c r="AT737" s="312"/>
    </row>
    <row r="738">
      <c r="AT738" s="312"/>
    </row>
    <row r="739">
      <c r="AT739" s="312"/>
    </row>
    <row r="740">
      <c r="AT740" s="312"/>
    </row>
    <row r="741">
      <c r="AT741" s="312"/>
    </row>
    <row r="742">
      <c r="AT742" s="312"/>
    </row>
    <row r="743">
      <c r="AT743" s="312"/>
    </row>
    <row r="744">
      <c r="AT744" s="312"/>
    </row>
    <row r="745">
      <c r="AT745" s="312"/>
    </row>
    <row r="746">
      <c r="AT746" s="312"/>
    </row>
    <row r="747">
      <c r="AT747" s="312"/>
    </row>
    <row r="748">
      <c r="AT748" s="312"/>
    </row>
    <row r="749">
      <c r="AT749" s="312"/>
    </row>
    <row r="750">
      <c r="AT750" s="312"/>
    </row>
    <row r="751">
      <c r="AT751" s="312"/>
    </row>
    <row r="752">
      <c r="AT752" s="312"/>
    </row>
    <row r="753">
      <c r="AT753" s="312"/>
    </row>
    <row r="754">
      <c r="AT754" s="312"/>
    </row>
    <row r="755">
      <c r="AT755" s="312"/>
    </row>
    <row r="756">
      <c r="AT756" s="312"/>
    </row>
    <row r="757">
      <c r="AT757" s="312"/>
    </row>
    <row r="758">
      <c r="AT758" s="312"/>
    </row>
    <row r="759">
      <c r="AT759" s="312"/>
    </row>
    <row r="760">
      <c r="AT760" s="312"/>
    </row>
    <row r="761">
      <c r="AT761" s="312"/>
    </row>
    <row r="762">
      <c r="AT762" s="312"/>
    </row>
    <row r="763">
      <c r="AT763" s="312"/>
    </row>
    <row r="764">
      <c r="AT764" s="312"/>
    </row>
    <row r="765">
      <c r="AT765" s="312"/>
    </row>
    <row r="766">
      <c r="AT766" s="312"/>
    </row>
    <row r="767">
      <c r="AT767" s="312"/>
    </row>
    <row r="768">
      <c r="AT768" s="312"/>
    </row>
    <row r="769">
      <c r="AT769" s="312"/>
    </row>
    <row r="770">
      <c r="AT770" s="312"/>
    </row>
    <row r="771">
      <c r="AT771" s="312"/>
    </row>
    <row r="772">
      <c r="AT772" s="312"/>
    </row>
    <row r="773">
      <c r="AT773" s="312"/>
    </row>
    <row r="774">
      <c r="AT774" s="312"/>
    </row>
    <row r="775">
      <c r="AT775" s="312"/>
    </row>
    <row r="776">
      <c r="AT776" s="312"/>
    </row>
    <row r="777">
      <c r="AT777" s="312"/>
    </row>
    <row r="778">
      <c r="AT778" s="312"/>
    </row>
    <row r="779">
      <c r="AT779" s="312"/>
    </row>
    <row r="780">
      <c r="AT780" s="312"/>
    </row>
    <row r="781">
      <c r="AT781" s="312"/>
    </row>
    <row r="782">
      <c r="AT782" s="312"/>
    </row>
    <row r="783">
      <c r="AT783" s="312"/>
    </row>
    <row r="784">
      <c r="AT784" s="312"/>
    </row>
    <row r="785">
      <c r="AT785" s="312"/>
    </row>
    <row r="786">
      <c r="AT786" s="312"/>
    </row>
    <row r="787">
      <c r="AT787" s="312"/>
    </row>
    <row r="788">
      <c r="AT788" s="312"/>
    </row>
    <row r="789">
      <c r="AT789" s="312"/>
    </row>
    <row r="790">
      <c r="AT790" s="312"/>
    </row>
    <row r="791">
      <c r="AT791" s="312"/>
    </row>
    <row r="792">
      <c r="AT792" s="312"/>
    </row>
    <row r="793">
      <c r="AT793" s="312"/>
    </row>
    <row r="794">
      <c r="AT794" s="312"/>
    </row>
    <row r="795">
      <c r="AT795" s="312"/>
    </row>
    <row r="796">
      <c r="AT796" s="312"/>
    </row>
    <row r="797">
      <c r="AT797" s="312"/>
    </row>
    <row r="798">
      <c r="AT798" s="312"/>
    </row>
    <row r="799">
      <c r="AT799" s="312"/>
    </row>
    <row r="800">
      <c r="AT800" s="312"/>
    </row>
    <row r="801">
      <c r="AT801" s="312"/>
    </row>
    <row r="802">
      <c r="AT802" s="312"/>
    </row>
    <row r="803">
      <c r="AT803" s="312"/>
    </row>
    <row r="804">
      <c r="AT804" s="312"/>
    </row>
    <row r="805">
      <c r="AT805" s="312"/>
    </row>
    <row r="806">
      <c r="AT806" s="312"/>
    </row>
    <row r="807">
      <c r="AT807" s="312"/>
    </row>
    <row r="808">
      <c r="AT808" s="312"/>
    </row>
    <row r="809">
      <c r="AT809" s="312"/>
    </row>
    <row r="810">
      <c r="AT810" s="312"/>
    </row>
    <row r="811">
      <c r="AT811" s="312"/>
    </row>
    <row r="812">
      <c r="AT812" s="312"/>
    </row>
    <row r="813">
      <c r="AT813" s="312"/>
    </row>
    <row r="814">
      <c r="AT814" s="312"/>
    </row>
    <row r="815">
      <c r="AT815" s="312"/>
    </row>
    <row r="816">
      <c r="AT816" s="312"/>
    </row>
    <row r="817">
      <c r="AT817" s="312"/>
    </row>
    <row r="818">
      <c r="AT818" s="312"/>
    </row>
    <row r="819">
      <c r="AT819" s="312"/>
    </row>
    <row r="820">
      <c r="AT820" s="312"/>
    </row>
    <row r="821">
      <c r="AT821" s="312"/>
    </row>
    <row r="822">
      <c r="AT822" s="312"/>
    </row>
    <row r="823">
      <c r="AT823" s="312"/>
    </row>
    <row r="824">
      <c r="AT824" s="312"/>
    </row>
    <row r="825">
      <c r="AT825" s="312"/>
    </row>
    <row r="826">
      <c r="AT826" s="312"/>
    </row>
    <row r="827">
      <c r="AT827" s="312"/>
    </row>
    <row r="828">
      <c r="AT828" s="312"/>
    </row>
    <row r="829">
      <c r="AT829" s="312"/>
    </row>
    <row r="830">
      <c r="AT830" s="312"/>
    </row>
    <row r="831">
      <c r="AT831" s="312"/>
    </row>
    <row r="832">
      <c r="AT832" s="312"/>
    </row>
    <row r="833">
      <c r="AT833" s="312"/>
    </row>
    <row r="834">
      <c r="AT834" s="312"/>
    </row>
    <row r="835">
      <c r="AT835" s="312"/>
    </row>
    <row r="836">
      <c r="AT836" s="312"/>
    </row>
    <row r="837">
      <c r="AT837" s="312"/>
    </row>
    <row r="838">
      <c r="AT838" s="312"/>
    </row>
    <row r="839">
      <c r="AT839" s="312"/>
    </row>
    <row r="840">
      <c r="AT840" s="312"/>
    </row>
    <row r="841">
      <c r="AT841" s="312"/>
    </row>
    <row r="842">
      <c r="AT842" s="312"/>
    </row>
    <row r="843">
      <c r="AT843" s="312"/>
    </row>
    <row r="844">
      <c r="AT844" s="312"/>
    </row>
    <row r="845">
      <c r="AT845" s="312"/>
    </row>
    <row r="846">
      <c r="AT846" s="312"/>
    </row>
    <row r="847">
      <c r="AT847" s="312"/>
    </row>
    <row r="848">
      <c r="AT848" s="312"/>
    </row>
    <row r="849">
      <c r="AT849" s="312"/>
    </row>
    <row r="850">
      <c r="AT850" s="312"/>
    </row>
    <row r="851">
      <c r="AT851" s="312"/>
    </row>
    <row r="852">
      <c r="AT852" s="312"/>
    </row>
    <row r="853">
      <c r="AT853" s="312"/>
    </row>
    <row r="854">
      <c r="AT854" s="312"/>
    </row>
    <row r="855">
      <c r="AT855" s="312"/>
    </row>
    <row r="856">
      <c r="AT856" s="312"/>
    </row>
    <row r="857">
      <c r="AT857" s="312"/>
    </row>
    <row r="858">
      <c r="AT858" s="312"/>
    </row>
    <row r="859">
      <c r="AT859" s="312"/>
    </row>
    <row r="860">
      <c r="AT860" s="312"/>
    </row>
    <row r="861">
      <c r="AT861" s="312"/>
    </row>
    <row r="862">
      <c r="AT862" s="312"/>
    </row>
    <row r="863">
      <c r="AT863" s="312"/>
    </row>
    <row r="864">
      <c r="AT864" s="312"/>
    </row>
    <row r="865">
      <c r="AT865" s="312"/>
    </row>
    <row r="866">
      <c r="AT866" s="312"/>
    </row>
    <row r="867">
      <c r="AT867" s="312"/>
    </row>
    <row r="868">
      <c r="AT868" s="312"/>
    </row>
    <row r="869">
      <c r="AT869" s="312"/>
    </row>
    <row r="870">
      <c r="AT870" s="312"/>
    </row>
    <row r="871">
      <c r="AT871" s="312"/>
    </row>
    <row r="872">
      <c r="AT872" s="312"/>
    </row>
    <row r="873">
      <c r="AT873" s="312"/>
    </row>
    <row r="874">
      <c r="AT874" s="312"/>
    </row>
    <row r="875">
      <c r="AT875" s="312"/>
    </row>
    <row r="876">
      <c r="AT876" s="312"/>
    </row>
    <row r="877">
      <c r="AT877" s="312"/>
    </row>
    <row r="878">
      <c r="AT878" s="312"/>
    </row>
    <row r="879">
      <c r="AT879" s="312"/>
    </row>
    <row r="880">
      <c r="AT880" s="312"/>
    </row>
    <row r="881">
      <c r="AT881" s="312"/>
    </row>
    <row r="882">
      <c r="AT882" s="312"/>
    </row>
    <row r="883">
      <c r="AT883" s="312"/>
    </row>
    <row r="884">
      <c r="AT884" s="312"/>
    </row>
    <row r="885">
      <c r="AT885" s="312"/>
    </row>
    <row r="886">
      <c r="AT886" s="312"/>
    </row>
    <row r="887">
      <c r="AT887" s="312"/>
    </row>
    <row r="888">
      <c r="AT888" s="312"/>
    </row>
    <row r="889">
      <c r="AT889" s="312"/>
    </row>
    <row r="890">
      <c r="AT890" s="312"/>
    </row>
    <row r="891">
      <c r="AT891" s="312"/>
    </row>
    <row r="892">
      <c r="AT892" s="312"/>
    </row>
    <row r="893">
      <c r="AT893" s="312"/>
    </row>
    <row r="894">
      <c r="AT894" s="312"/>
    </row>
    <row r="895">
      <c r="AT895" s="312"/>
    </row>
    <row r="896">
      <c r="AT896" s="312"/>
    </row>
    <row r="897">
      <c r="AT897" s="312"/>
    </row>
    <row r="898">
      <c r="AT898" s="312"/>
    </row>
    <row r="899">
      <c r="AT899" s="312"/>
    </row>
    <row r="900">
      <c r="AT900" s="312"/>
    </row>
    <row r="901">
      <c r="AT901" s="312"/>
    </row>
    <row r="902">
      <c r="AT902" s="312"/>
    </row>
    <row r="903">
      <c r="AT903" s="312"/>
    </row>
    <row r="904">
      <c r="AT904" s="312"/>
    </row>
    <row r="905">
      <c r="AT905" s="312"/>
    </row>
    <row r="906">
      <c r="AT906" s="312"/>
    </row>
    <row r="907">
      <c r="AT907" s="312"/>
    </row>
    <row r="908">
      <c r="AT908" s="312"/>
    </row>
    <row r="909">
      <c r="AT909" s="312"/>
    </row>
    <row r="910">
      <c r="AT910" s="312"/>
    </row>
    <row r="911">
      <c r="AT911" s="312"/>
    </row>
    <row r="912">
      <c r="AT912" s="312"/>
    </row>
    <row r="913">
      <c r="AT913" s="312"/>
    </row>
    <row r="914">
      <c r="AT914" s="312"/>
    </row>
    <row r="915">
      <c r="AT915" s="312"/>
    </row>
    <row r="916">
      <c r="AT916" s="312"/>
    </row>
    <row r="917">
      <c r="AT917" s="312"/>
    </row>
    <row r="918">
      <c r="AT918" s="312"/>
    </row>
    <row r="919">
      <c r="AT919" s="312"/>
    </row>
    <row r="920">
      <c r="AT920" s="312"/>
    </row>
    <row r="921">
      <c r="AT921" s="312"/>
    </row>
    <row r="922">
      <c r="AT922" s="312"/>
    </row>
    <row r="923">
      <c r="AT923" s="312"/>
    </row>
    <row r="924">
      <c r="AT924" s="312"/>
    </row>
    <row r="925">
      <c r="AT925" s="312"/>
    </row>
    <row r="926">
      <c r="AT926" s="312"/>
    </row>
    <row r="927">
      <c r="AT927" s="312"/>
    </row>
    <row r="928">
      <c r="AT928" s="312"/>
    </row>
    <row r="929">
      <c r="AT929" s="312"/>
    </row>
    <row r="930">
      <c r="AT930" s="312"/>
    </row>
    <row r="931">
      <c r="AT931" s="312"/>
    </row>
    <row r="932">
      <c r="AT932" s="312"/>
    </row>
    <row r="933">
      <c r="AT933" s="312"/>
    </row>
    <row r="934">
      <c r="AT934" s="312"/>
    </row>
    <row r="935">
      <c r="AT935" s="312"/>
    </row>
    <row r="936">
      <c r="AT936" s="312"/>
    </row>
    <row r="937">
      <c r="AT937" s="312"/>
    </row>
    <row r="938">
      <c r="AT938" s="312"/>
    </row>
    <row r="939">
      <c r="AT939" s="312"/>
    </row>
    <row r="940">
      <c r="AT940" s="312"/>
    </row>
    <row r="941">
      <c r="AT941" s="312"/>
    </row>
    <row r="942">
      <c r="AT942" s="312"/>
    </row>
    <row r="943">
      <c r="AT943" s="312"/>
    </row>
    <row r="944">
      <c r="AT944" s="312"/>
    </row>
    <row r="945">
      <c r="AT945" s="312"/>
    </row>
    <row r="946">
      <c r="AT946" s="312"/>
    </row>
    <row r="947">
      <c r="AT947" s="312"/>
    </row>
    <row r="948">
      <c r="AT948" s="312"/>
    </row>
    <row r="949">
      <c r="AT949" s="312"/>
    </row>
    <row r="950">
      <c r="AT950" s="312"/>
    </row>
    <row r="951">
      <c r="AT951" s="312"/>
    </row>
    <row r="952">
      <c r="AT952" s="312"/>
    </row>
    <row r="953">
      <c r="AT953" s="312"/>
    </row>
    <row r="954">
      <c r="AT954" s="312"/>
    </row>
    <row r="955">
      <c r="AT955" s="312"/>
    </row>
    <row r="956">
      <c r="AT956" s="312"/>
    </row>
    <row r="957">
      <c r="AT957" s="312"/>
    </row>
    <row r="958">
      <c r="AT958" s="312"/>
    </row>
    <row r="959">
      <c r="AT959" s="312"/>
    </row>
    <row r="960">
      <c r="AT960" s="312"/>
    </row>
    <row r="961">
      <c r="AT961" s="312"/>
    </row>
    <row r="962">
      <c r="AT962" s="312"/>
    </row>
    <row r="963">
      <c r="AT963" s="312"/>
    </row>
    <row r="964">
      <c r="AT964" s="312"/>
    </row>
    <row r="965">
      <c r="AT965" s="312"/>
    </row>
    <row r="966">
      <c r="AT966" s="312"/>
    </row>
    <row r="967">
      <c r="AT967" s="312"/>
    </row>
    <row r="968">
      <c r="AT968" s="312"/>
    </row>
    <row r="969">
      <c r="AT969" s="312"/>
    </row>
    <row r="970">
      <c r="AT970" s="312"/>
    </row>
    <row r="971">
      <c r="AT971" s="312"/>
    </row>
    <row r="972">
      <c r="AT972" s="312"/>
    </row>
    <row r="973">
      <c r="AT973" s="312"/>
    </row>
    <row r="974">
      <c r="AT974" s="312"/>
    </row>
    <row r="975">
      <c r="AT975" s="312"/>
    </row>
    <row r="976">
      <c r="AT976" s="312"/>
    </row>
    <row r="977">
      <c r="AT977" s="312"/>
    </row>
    <row r="978">
      <c r="AT978" s="312"/>
    </row>
    <row r="979">
      <c r="AT979" s="312"/>
    </row>
    <row r="980">
      <c r="AT980" s="312"/>
    </row>
    <row r="981">
      <c r="AT981" s="312"/>
    </row>
    <row r="982">
      <c r="AT982" s="312"/>
    </row>
    <row r="983">
      <c r="AT983" s="312"/>
    </row>
    <row r="984">
      <c r="AT984" s="312"/>
    </row>
    <row r="985">
      <c r="AT985" s="312"/>
    </row>
    <row r="986">
      <c r="AT986" s="312"/>
    </row>
    <row r="987">
      <c r="AT987" s="312"/>
    </row>
    <row r="988">
      <c r="AT988" s="312"/>
    </row>
    <row r="989">
      <c r="AT989" s="312"/>
    </row>
    <row r="990">
      <c r="AT990" s="312"/>
    </row>
    <row r="991">
      <c r="AT991" s="312"/>
    </row>
    <row r="992">
      <c r="AT992" s="312"/>
    </row>
    <row r="993">
      <c r="AT993" s="312"/>
    </row>
    <row r="994">
      <c r="AT994" s="312"/>
    </row>
    <row r="995">
      <c r="AT995" s="312"/>
    </row>
    <row r="996">
      <c r="AT996" s="312"/>
    </row>
    <row r="997">
      <c r="AT997" s="312"/>
    </row>
    <row r="998">
      <c r="AT998" s="312"/>
    </row>
    <row r="999">
      <c r="AT999" s="312"/>
    </row>
  </sheetData>
  <conditionalFormatting sqref="Y8:AB11 Y16:AB19">
    <cfRule type="cellIs" dxfId="19" priority="1" operator="equal">
      <formula>DATE(year(today()),month(today()),1)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6.5"/>
    <col customWidth="1" min="2" max="2" width="13.5"/>
    <col customWidth="1" min="3" max="3" width="15.75"/>
    <col customWidth="1" min="4" max="4" width="10.63"/>
    <col customWidth="1" min="5" max="5" width="9.75"/>
    <col customWidth="1" min="6" max="6" width="14.63"/>
    <col customWidth="1" min="7" max="7" width="14.25"/>
    <col customWidth="1" min="8" max="8" width="13.63"/>
    <col customWidth="1" min="9" max="9" width="13.25"/>
    <col customWidth="1" min="10" max="10" width="13.5"/>
    <col customWidth="1" min="11" max="11" width="51.38"/>
    <col customWidth="1" min="12" max="12" width="13.38"/>
    <col customWidth="1" min="13" max="13" width="10.63"/>
    <col customWidth="1" min="14" max="14" width="9.25"/>
    <col customWidth="1" min="15" max="15" width="5.38"/>
    <col customWidth="1" min="16" max="16" width="13.13"/>
    <col customWidth="1" min="17" max="17" width="10.5"/>
    <col customWidth="1" min="18" max="18" width="10.63"/>
    <col customWidth="1" min="19" max="19" width="4.75"/>
    <col customWidth="1" min="23" max="23" width="14.0"/>
    <col customWidth="1" min="24" max="24" width="10.75"/>
    <col customWidth="1" min="27" max="30" width="16.5"/>
  </cols>
  <sheetData>
    <row r="1">
      <c r="A1" s="312"/>
      <c r="J1" s="6" t="s">
        <v>575</v>
      </c>
      <c r="K1" s="312"/>
      <c r="L1" s="312"/>
      <c r="N1" s="313" t="s">
        <v>576</v>
      </c>
      <c r="P1" s="312"/>
      <c r="AA1" s="312"/>
      <c r="AB1" s="333"/>
      <c r="AC1" s="334"/>
      <c r="AD1" s="313"/>
    </row>
    <row r="2">
      <c r="A2" s="312"/>
      <c r="B2" s="335" t="str">
        <f>$R$7</f>
        <v/>
      </c>
      <c r="C2" s="336" t="str">
        <f>$R$4</f>
        <v/>
      </c>
      <c r="D2" s="337"/>
      <c r="E2" s="337"/>
      <c r="F2" s="337"/>
      <c r="G2" s="337"/>
      <c r="H2" s="338"/>
      <c r="J2" s="339">
        <f>sum(J9:J947)</f>
        <v>241825</v>
      </c>
      <c r="N2" s="312">
        <f>sum(N9:N947)</f>
        <v>288100</v>
      </c>
      <c r="P2" s="312"/>
      <c r="Q2" s="312"/>
      <c r="R2" s="312"/>
      <c r="S2" s="312"/>
      <c r="T2" s="312"/>
      <c r="U2" s="312"/>
      <c r="V2" s="340"/>
      <c r="W2" s="334"/>
      <c r="X2" s="340"/>
      <c r="AA2" s="312"/>
      <c r="AB2" s="333"/>
      <c r="AC2" s="334"/>
      <c r="AD2" s="313"/>
    </row>
    <row r="3">
      <c r="A3" s="312"/>
      <c r="B3" s="341" t="s">
        <v>577</v>
      </c>
      <c r="C3" s="342">
        <v>45398.0</v>
      </c>
      <c r="D3" s="333"/>
      <c r="E3" s="333"/>
      <c r="F3" s="333"/>
      <c r="G3" s="312"/>
      <c r="H3" s="312"/>
      <c r="I3" s="312"/>
      <c r="J3" s="312"/>
      <c r="K3" s="312"/>
      <c r="L3" s="312"/>
      <c r="P3" s="312"/>
      <c r="Q3" s="313"/>
      <c r="R3" s="334"/>
      <c r="S3" s="6"/>
      <c r="T3" s="304"/>
      <c r="AA3" s="312"/>
      <c r="AB3" s="333"/>
      <c r="AC3" s="334"/>
      <c r="AD3" s="313"/>
    </row>
    <row r="4">
      <c r="A4" s="312"/>
      <c r="B4" s="343" t="s">
        <v>578</v>
      </c>
      <c r="C4" s="343" t="s">
        <v>579</v>
      </c>
      <c r="D4" s="343" t="s">
        <v>275</v>
      </c>
      <c r="E4" s="343" t="s">
        <v>580</v>
      </c>
      <c r="F4" s="343" t="s">
        <v>181</v>
      </c>
      <c r="G4" s="343" t="s">
        <v>581</v>
      </c>
      <c r="H4" s="343" t="s">
        <v>582</v>
      </c>
      <c r="I4" s="343" t="s">
        <v>583</v>
      </c>
      <c r="J4" s="343" t="s">
        <v>584</v>
      </c>
      <c r="K4" s="313"/>
      <c r="L4" s="313"/>
      <c r="M4" s="312"/>
      <c r="N4" s="343" t="s">
        <v>584</v>
      </c>
      <c r="O4" s="312"/>
      <c r="P4" s="312"/>
      <c r="Q4" s="313"/>
      <c r="R4" s="334"/>
      <c r="S4" s="313"/>
      <c r="T4" s="340"/>
      <c r="V4" s="334"/>
      <c r="W4" s="334"/>
      <c r="X4" s="334"/>
      <c r="AA4" s="313"/>
      <c r="AB4" s="312"/>
      <c r="AC4" s="312"/>
      <c r="AD4" s="312"/>
    </row>
    <row r="5">
      <c r="A5" s="312"/>
      <c r="B5" s="344" t="s">
        <v>317</v>
      </c>
      <c r="C5" s="344">
        <f>sum(N9:N947)</f>
        <v>288100</v>
      </c>
      <c r="D5" s="342">
        <v>45398.0</v>
      </c>
      <c r="E5" s="342"/>
      <c r="F5" s="342">
        <f>today()</f>
        <v>45969</v>
      </c>
      <c r="G5" s="345">
        <f>I7</f>
        <v>10565</v>
      </c>
      <c r="H5" s="346">
        <f>J2</f>
        <v>241825</v>
      </c>
      <c r="I5" s="344">
        <f>NETWORKDAYS(D5,F5)</f>
        <v>409</v>
      </c>
      <c r="J5" s="346">
        <f>ceiling(H5/I5,1)</f>
        <v>592</v>
      </c>
      <c r="K5" s="312"/>
      <c r="L5" s="312"/>
      <c r="M5" s="312"/>
      <c r="N5" s="346">
        <f>floor(N2/I5,1)</f>
        <v>704</v>
      </c>
      <c r="O5" s="312"/>
      <c r="P5" s="312"/>
      <c r="Q5" s="6"/>
      <c r="R5" s="304"/>
      <c r="S5" s="313"/>
      <c r="T5" s="340"/>
      <c r="W5" s="347"/>
      <c r="X5" s="312"/>
      <c r="AA5" s="312"/>
      <c r="AB5" s="312"/>
      <c r="AC5" s="312"/>
      <c r="AD5" s="312"/>
    </row>
    <row r="6">
      <c r="A6" s="312"/>
      <c r="B6" s="348"/>
      <c r="C6" s="312"/>
      <c r="D6" s="313"/>
      <c r="E6" s="313"/>
      <c r="F6" s="313"/>
      <c r="G6" s="313"/>
      <c r="H6" s="313"/>
      <c r="I6" s="312"/>
      <c r="J6" s="349"/>
      <c r="K6" s="312"/>
      <c r="L6" s="312"/>
      <c r="M6" s="312"/>
      <c r="N6" s="312"/>
      <c r="O6" s="312"/>
      <c r="P6" s="312"/>
      <c r="Q6" s="6"/>
      <c r="R6" s="305"/>
      <c r="S6" s="313"/>
      <c r="T6" s="312"/>
      <c r="V6" s="334"/>
      <c r="W6" s="334"/>
      <c r="X6" s="334"/>
      <c r="AA6" s="312"/>
      <c r="AB6" s="312"/>
      <c r="AC6" s="312"/>
      <c r="AD6" s="312"/>
    </row>
    <row r="7">
      <c r="A7" s="312"/>
      <c r="B7" s="348"/>
      <c r="C7" s="350">
        <f>I7/I5</f>
        <v>25.83129584</v>
      </c>
      <c r="D7" s="313"/>
      <c r="E7" s="313"/>
      <c r="F7" s="313"/>
      <c r="G7" s="313"/>
      <c r="H7" s="313"/>
      <c r="I7" s="351">
        <f>sum(I9:I947)</f>
        <v>10565</v>
      </c>
      <c r="J7" s="349"/>
      <c r="K7" s="312"/>
      <c r="L7" s="312"/>
      <c r="M7" s="312"/>
      <c r="N7" s="312"/>
      <c r="O7" s="312"/>
      <c r="P7" s="312"/>
      <c r="Q7" s="6"/>
      <c r="R7" s="305"/>
      <c r="S7" s="313"/>
      <c r="T7" s="312"/>
      <c r="V7" s="334"/>
      <c r="W7" s="334"/>
      <c r="X7" s="334"/>
      <c r="AA7" s="312"/>
      <c r="AB7" s="312"/>
      <c r="AC7" s="312"/>
      <c r="AD7" s="312"/>
    </row>
    <row r="8">
      <c r="A8" s="352"/>
      <c r="B8" s="353" t="s">
        <v>585</v>
      </c>
      <c r="C8" s="353" t="s">
        <v>586</v>
      </c>
      <c r="D8" s="353" t="s">
        <v>129</v>
      </c>
      <c r="E8" s="353"/>
      <c r="F8" s="353" t="s">
        <v>587</v>
      </c>
      <c r="G8" s="353" t="s">
        <v>588</v>
      </c>
      <c r="H8" s="353" t="s">
        <v>589</v>
      </c>
      <c r="I8" s="353" t="s">
        <v>590</v>
      </c>
      <c r="J8" s="353" t="s">
        <v>591</v>
      </c>
      <c r="K8" s="353" t="s">
        <v>592</v>
      </c>
      <c r="L8" s="312"/>
      <c r="M8" s="354" t="s">
        <v>129</v>
      </c>
      <c r="N8" s="343" t="s">
        <v>593</v>
      </c>
      <c r="O8" s="354" t="s">
        <v>594</v>
      </c>
      <c r="P8" s="312"/>
      <c r="Q8" s="6"/>
      <c r="R8" s="304"/>
      <c r="S8" s="312"/>
      <c r="T8" s="312"/>
      <c r="W8" s="312"/>
      <c r="X8" s="312"/>
      <c r="AA8" s="312"/>
      <c r="AB8" s="312"/>
      <c r="AC8" s="312"/>
      <c r="AD8" s="312"/>
    </row>
    <row r="9">
      <c r="A9" s="312"/>
      <c r="B9" s="344">
        <f t="shared" ref="B9:B947" si="1">floor(45000/NETWORKDAYS(DATE(year(D9),MONTH(D9),1),EOMONTH(DATE(year(D9),MONTH(D9),1),0)),1)</f>
        <v>2045</v>
      </c>
      <c r="C9" s="344">
        <v>90.0</v>
      </c>
      <c r="D9" s="355">
        <v>45398.0</v>
      </c>
      <c r="E9" s="344" t="str">
        <f t="shared" ref="E9:E947" si="2">text(WEEKDAY(D9),"dddd")</f>
        <v>Tuesday</v>
      </c>
      <c r="F9" s="344" t="s">
        <v>554</v>
      </c>
      <c r="G9" s="356">
        <v>0.3125</v>
      </c>
      <c r="H9" s="356">
        <v>0.3958333333333333</v>
      </c>
      <c r="I9" s="357">
        <f t="shared" ref="I9:I947" si="3">(H9-G9)*1440</f>
        <v>120</v>
      </c>
      <c r="J9" s="346">
        <f t="shared" ref="J9:J947" si="4">FLOOR(B9*I9/C9,1)</f>
        <v>2726</v>
      </c>
      <c r="K9" s="312"/>
      <c r="L9" s="312"/>
      <c r="M9" s="358">
        <v>45398.0</v>
      </c>
      <c r="N9" s="343">
        <v>100.0</v>
      </c>
      <c r="O9" s="359" t="s">
        <v>595</v>
      </c>
      <c r="P9" s="312"/>
      <c r="R9" s="360">
        <f t="array" ref="R9:R98">UNIQUE(D9:D947)</f>
        <v>45398</v>
      </c>
      <c r="S9" s="2">
        <f t="shared" ref="S9:S947" si="5">sumifs(J:J,D:D,R9)</f>
        <v>4340</v>
      </c>
      <c r="AA9" s="312"/>
      <c r="AB9" s="312"/>
      <c r="AC9" s="312"/>
      <c r="AD9" s="312"/>
    </row>
    <row r="10">
      <c r="A10" s="312"/>
      <c r="B10" s="344">
        <f t="shared" si="1"/>
        <v>2045</v>
      </c>
      <c r="C10" s="344">
        <v>90.0</v>
      </c>
      <c r="D10" s="355">
        <v>45398.0</v>
      </c>
      <c r="E10" s="344" t="str">
        <f t="shared" si="2"/>
        <v>Tuesday</v>
      </c>
      <c r="F10" s="344" t="s">
        <v>554</v>
      </c>
      <c r="G10" s="356">
        <v>0.8958333333333334</v>
      </c>
      <c r="H10" s="356">
        <v>0.9270833333333334</v>
      </c>
      <c r="I10" s="357">
        <f t="shared" si="3"/>
        <v>45</v>
      </c>
      <c r="J10" s="346">
        <f t="shared" si="4"/>
        <v>1022</v>
      </c>
      <c r="K10" s="312"/>
      <c r="L10" s="312"/>
      <c r="M10" s="358">
        <v>45399.0</v>
      </c>
      <c r="N10" s="343">
        <v>45000.0</v>
      </c>
      <c r="O10" s="359" t="s">
        <v>595</v>
      </c>
      <c r="P10" s="312"/>
      <c r="R10" s="360">
        <v>45399.0</v>
      </c>
      <c r="S10" s="2">
        <f t="shared" si="5"/>
        <v>4566</v>
      </c>
      <c r="AA10" s="312"/>
      <c r="AB10" s="312"/>
      <c r="AC10" s="312"/>
      <c r="AD10" s="312"/>
    </row>
    <row r="11">
      <c r="A11" s="312"/>
      <c r="B11" s="344">
        <f t="shared" si="1"/>
        <v>2045</v>
      </c>
      <c r="C11" s="344">
        <v>90.0</v>
      </c>
      <c r="D11" s="361">
        <v>45399.0</v>
      </c>
      <c r="E11" s="344" t="str">
        <f t="shared" si="2"/>
        <v>Wednesday</v>
      </c>
      <c r="F11" s="344" t="s">
        <v>554</v>
      </c>
      <c r="G11" s="356">
        <v>0.3020833333333333</v>
      </c>
      <c r="H11" s="356">
        <v>0.3888888888888889</v>
      </c>
      <c r="I11" s="357">
        <f t="shared" si="3"/>
        <v>125</v>
      </c>
      <c r="J11" s="346">
        <f t="shared" si="4"/>
        <v>2840</v>
      </c>
      <c r="K11" s="312"/>
      <c r="L11" s="312"/>
      <c r="M11" s="358">
        <v>45401.0</v>
      </c>
      <c r="N11" s="343">
        <v>6000.0</v>
      </c>
      <c r="O11" s="359" t="s">
        <v>595</v>
      </c>
      <c r="P11" s="312"/>
      <c r="R11" s="360">
        <v>45400.0</v>
      </c>
      <c r="S11" s="2">
        <f t="shared" si="5"/>
        <v>3681</v>
      </c>
      <c r="AA11" s="312"/>
      <c r="AB11" s="312"/>
      <c r="AC11" s="312"/>
      <c r="AD11" s="312"/>
    </row>
    <row r="12">
      <c r="A12" s="312"/>
      <c r="B12" s="344">
        <f t="shared" si="1"/>
        <v>2045</v>
      </c>
      <c r="C12" s="344">
        <v>90.0</v>
      </c>
      <c r="D12" s="361">
        <v>45399.0</v>
      </c>
      <c r="E12" s="344" t="str">
        <f t="shared" si="2"/>
        <v>Wednesday</v>
      </c>
      <c r="F12" s="344" t="s">
        <v>554</v>
      </c>
      <c r="G12" s="356">
        <v>0.8465277777777778</v>
      </c>
      <c r="H12" s="356">
        <v>0.8993055555555556</v>
      </c>
      <c r="I12" s="357">
        <f t="shared" si="3"/>
        <v>76</v>
      </c>
      <c r="J12" s="346">
        <f t="shared" si="4"/>
        <v>1726</v>
      </c>
      <c r="K12" s="312"/>
      <c r="L12" s="312"/>
      <c r="M12" s="358">
        <v>45412.0</v>
      </c>
      <c r="N12" s="343">
        <v>7000.0</v>
      </c>
      <c r="O12" s="359" t="s">
        <v>595</v>
      </c>
      <c r="P12" s="312"/>
      <c r="R12" s="360">
        <v>45401.0</v>
      </c>
      <c r="S12" s="2">
        <f t="shared" si="5"/>
        <v>5907</v>
      </c>
      <c r="AA12" s="312"/>
      <c r="AB12" s="312"/>
      <c r="AC12" s="312"/>
      <c r="AD12" s="312"/>
    </row>
    <row r="13">
      <c r="A13" s="312"/>
      <c r="B13" s="344">
        <f t="shared" si="1"/>
        <v>2045</v>
      </c>
      <c r="C13" s="344">
        <v>90.0</v>
      </c>
      <c r="D13" s="355">
        <v>45400.0</v>
      </c>
      <c r="E13" s="344" t="str">
        <f t="shared" si="2"/>
        <v>Thursday</v>
      </c>
      <c r="F13" s="344" t="s">
        <v>554</v>
      </c>
      <c r="G13" s="356">
        <v>0.3125</v>
      </c>
      <c r="H13" s="356">
        <v>0.425</v>
      </c>
      <c r="I13" s="357">
        <f t="shared" si="3"/>
        <v>162</v>
      </c>
      <c r="J13" s="346">
        <f t="shared" si="4"/>
        <v>3681</v>
      </c>
      <c r="K13" s="312"/>
      <c r="L13" s="312"/>
      <c r="M13" s="358">
        <v>45430.0</v>
      </c>
      <c r="N13" s="343">
        <v>45000.0</v>
      </c>
      <c r="O13" s="359" t="s">
        <v>595</v>
      </c>
      <c r="P13" s="312"/>
      <c r="R13" s="360">
        <v>45404.0</v>
      </c>
      <c r="S13" s="2">
        <f t="shared" si="5"/>
        <v>2772</v>
      </c>
      <c r="AA13" s="312"/>
      <c r="AB13" s="312"/>
      <c r="AC13" s="312"/>
      <c r="AD13" s="312"/>
    </row>
    <row r="14">
      <c r="A14" s="312"/>
      <c r="B14" s="344">
        <f t="shared" si="1"/>
        <v>2045</v>
      </c>
      <c r="C14" s="344">
        <v>90.0</v>
      </c>
      <c r="D14" s="355">
        <v>45401.0</v>
      </c>
      <c r="E14" s="344" t="str">
        <f t="shared" si="2"/>
        <v>Friday</v>
      </c>
      <c r="F14" s="344" t="s">
        <v>554</v>
      </c>
      <c r="G14" s="356">
        <v>0.3333333333333333</v>
      </c>
      <c r="H14" s="356">
        <v>0.4513888888888889</v>
      </c>
      <c r="I14" s="357">
        <f t="shared" si="3"/>
        <v>170</v>
      </c>
      <c r="J14" s="346">
        <f t="shared" si="4"/>
        <v>3862</v>
      </c>
      <c r="K14" s="312"/>
      <c r="L14" s="312"/>
      <c r="M14" s="358">
        <v>45460.0</v>
      </c>
      <c r="N14" s="343">
        <v>50000.0</v>
      </c>
      <c r="O14" s="359" t="s">
        <v>595</v>
      </c>
      <c r="P14" s="312"/>
      <c r="R14" s="360">
        <v>45405.0</v>
      </c>
      <c r="S14" s="2">
        <f t="shared" si="5"/>
        <v>5861</v>
      </c>
      <c r="AA14" s="312"/>
      <c r="AB14" s="312"/>
      <c r="AC14" s="312"/>
      <c r="AD14" s="312"/>
    </row>
    <row r="15">
      <c r="A15" s="312"/>
      <c r="B15" s="344">
        <f t="shared" si="1"/>
        <v>2045</v>
      </c>
      <c r="C15" s="344">
        <v>90.0</v>
      </c>
      <c r="D15" s="355">
        <v>45401.0</v>
      </c>
      <c r="E15" s="344" t="str">
        <f t="shared" si="2"/>
        <v>Friday</v>
      </c>
      <c r="F15" s="344" t="s">
        <v>554</v>
      </c>
      <c r="G15" s="356">
        <v>0.8333333333333334</v>
      </c>
      <c r="H15" s="356">
        <v>0.8958333333333334</v>
      </c>
      <c r="I15" s="357">
        <f t="shared" si="3"/>
        <v>90</v>
      </c>
      <c r="J15" s="346">
        <f t="shared" si="4"/>
        <v>2045</v>
      </c>
      <c r="K15" s="312"/>
      <c r="L15" s="312"/>
      <c r="M15" s="358">
        <v>45490.0</v>
      </c>
      <c r="N15" s="343">
        <v>45000.0</v>
      </c>
      <c r="O15" s="359" t="s">
        <v>595</v>
      </c>
      <c r="P15" s="312"/>
      <c r="R15" s="360">
        <v>45406.0</v>
      </c>
      <c r="S15" s="2">
        <f t="shared" si="5"/>
        <v>5907</v>
      </c>
      <c r="AA15" s="312"/>
      <c r="AB15" s="312"/>
      <c r="AC15" s="312"/>
      <c r="AD15" s="312"/>
    </row>
    <row r="16">
      <c r="A16" s="312"/>
      <c r="B16" s="344">
        <f t="shared" si="1"/>
        <v>2045</v>
      </c>
      <c r="C16" s="344">
        <v>90.0</v>
      </c>
      <c r="D16" s="361">
        <v>45404.0</v>
      </c>
      <c r="E16" s="344" t="str">
        <f t="shared" si="2"/>
        <v>Monday</v>
      </c>
      <c r="F16" s="344" t="s">
        <v>554</v>
      </c>
      <c r="G16" s="356">
        <v>0.3347222222222222</v>
      </c>
      <c r="H16" s="356">
        <v>0.41944444444444445</v>
      </c>
      <c r="I16" s="357">
        <f t="shared" si="3"/>
        <v>122</v>
      </c>
      <c r="J16" s="346">
        <f t="shared" si="4"/>
        <v>2772</v>
      </c>
      <c r="K16" s="312"/>
      <c r="L16" s="312"/>
      <c r="M16" s="358">
        <v>45521.0</v>
      </c>
      <c r="N16" s="343">
        <v>45000.0</v>
      </c>
      <c r="O16" s="359" t="s">
        <v>595</v>
      </c>
      <c r="P16" s="312"/>
      <c r="R16" s="360">
        <v>45407.0</v>
      </c>
      <c r="S16" s="2">
        <f t="shared" si="5"/>
        <v>4203</v>
      </c>
      <c r="W16" s="6" t="s">
        <v>441</v>
      </c>
      <c r="X16" s="6">
        <v>45000.0</v>
      </c>
      <c r="AA16" s="312"/>
      <c r="AB16" s="312"/>
      <c r="AC16" s="312"/>
      <c r="AD16" s="312"/>
    </row>
    <row r="17">
      <c r="A17" s="312"/>
      <c r="B17" s="344">
        <f t="shared" si="1"/>
        <v>2045</v>
      </c>
      <c r="C17" s="344">
        <v>90.0</v>
      </c>
      <c r="D17" s="361">
        <v>45405.0</v>
      </c>
      <c r="E17" s="344" t="str">
        <f t="shared" si="2"/>
        <v>Tuesday</v>
      </c>
      <c r="F17" s="344" t="s">
        <v>554</v>
      </c>
      <c r="G17" s="356">
        <v>0.28194444444444444</v>
      </c>
      <c r="H17" s="356">
        <v>0.4305555555555556</v>
      </c>
      <c r="I17" s="357">
        <f t="shared" si="3"/>
        <v>214</v>
      </c>
      <c r="J17" s="346">
        <f t="shared" si="4"/>
        <v>4862</v>
      </c>
      <c r="K17" s="312"/>
      <c r="L17" s="312"/>
      <c r="M17" s="358">
        <v>45545.0</v>
      </c>
      <c r="N17" s="343">
        <v>45000.0</v>
      </c>
      <c r="O17" s="359" t="s">
        <v>595</v>
      </c>
      <c r="P17" s="312"/>
      <c r="R17" s="360">
        <v>45411.0</v>
      </c>
      <c r="S17" s="2">
        <f t="shared" si="5"/>
        <v>1863</v>
      </c>
      <c r="W17" s="6" t="s">
        <v>576</v>
      </c>
      <c r="X17" s="2">
        <f>N2</f>
        <v>288100</v>
      </c>
      <c r="AA17" s="312"/>
      <c r="AB17" s="312"/>
      <c r="AC17" s="312"/>
      <c r="AD17" s="312"/>
    </row>
    <row r="18">
      <c r="A18" s="312"/>
      <c r="B18" s="344">
        <f t="shared" si="1"/>
        <v>2045</v>
      </c>
      <c r="C18" s="344">
        <v>90.0</v>
      </c>
      <c r="D18" s="361">
        <v>45405.0</v>
      </c>
      <c r="E18" s="344" t="str">
        <f t="shared" si="2"/>
        <v>Tuesday</v>
      </c>
      <c r="F18" s="344" t="s">
        <v>554</v>
      </c>
      <c r="G18" s="356">
        <v>0.8548611111111111</v>
      </c>
      <c r="H18" s="356">
        <v>0.8854166666666666</v>
      </c>
      <c r="I18" s="357">
        <f t="shared" si="3"/>
        <v>44</v>
      </c>
      <c r="J18" s="346">
        <f t="shared" si="4"/>
        <v>999</v>
      </c>
      <c r="K18" s="312"/>
      <c r="L18" s="312"/>
      <c r="M18" s="312"/>
      <c r="N18" s="362"/>
      <c r="O18" s="312"/>
      <c r="P18" s="312"/>
      <c r="R18" s="360">
        <v>45412.0</v>
      </c>
      <c r="S18" s="2">
        <f t="shared" si="5"/>
        <v>1431</v>
      </c>
      <c r="W18" s="6" t="s">
        <v>275</v>
      </c>
      <c r="X18" s="206">
        <v>45383.0</v>
      </c>
      <c r="AA18" s="312"/>
      <c r="AB18" s="312"/>
      <c r="AC18" s="312"/>
      <c r="AD18" s="312"/>
    </row>
    <row r="19">
      <c r="A19" s="312"/>
      <c r="B19" s="344">
        <f t="shared" si="1"/>
        <v>2045</v>
      </c>
      <c r="C19" s="344">
        <v>90.0</v>
      </c>
      <c r="D19" s="361">
        <v>45406.0</v>
      </c>
      <c r="E19" s="344" t="str">
        <f t="shared" si="2"/>
        <v>Wednesday</v>
      </c>
      <c r="F19" s="344" t="s">
        <v>554</v>
      </c>
      <c r="G19" s="356">
        <v>0.425</v>
      </c>
      <c r="H19" s="356">
        <v>0.5090277777777777</v>
      </c>
      <c r="I19" s="357">
        <f t="shared" si="3"/>
        <v>121</v>
      </c>
      <c r="J19" s="346">
        <f t="shared" si="4"/>
        <v>2749</v>
      </c>
      <c r="K19" s="312"/>
      <c r="L19" s="312"/>
      <c r="M19" s="312"/>
      <c r="N19" s="362"/>
      <c r="O19" s="312"/>
      <c r="P19" s="312"/>
      <c r="R19" s="360">
        <v>45413.0</v>
      </c>
      <c r="S19" s="2">
        <f t="shared" si="5"/>
        <v>630</v>
      </c>
      <c r="W19" s="6" t="s">
        <v>181</v>
      </c>
      <c r="X19" s="206">
        <v>45747.0</v>
      </c>
      <c r="AA19" s="312"/>
      <c r="AB19" s="312"/>
      <c r="AC19" s="312"/>
      <c r="AD19" s="312"/>
    </row>
    <row r="20">
      <c r="A20" s="312"/>
      <c r="B20" s="344">
        <f t="shared" si="1"/>
        <v>2045</v>
      </c>
      <c r="C20" s="344">
        <v>90.0</v>
      </c>
      <c r="D20" s="361">
        <v>45406.0</v>
      </c>
      <c r="E20" s="344" t="str">
        <f t="shared" si="2"/>
        <v>Wednesday</v>
      </c>
      <c r="F20" s="344" t="s">
        <v>554</v>
      </c>
      <c r="G20" s="356">
        <v>0.7993055555555556</v>
      </c>
      <c r="H20" s="356">
        <v>0.8958333333333334</v>
      </c>
      <c r="I20" s="357">
        <f t="shared" si="3"/>
        <v>139</v>
      </c>
      <c r="J20" s="346">
        <f t="shared" si="4"/>
        <v>3158</v>
      </c>
      <c r="K20" s="312"/>
      <c r="L20" s="312"/>
      <c r="M20" s="312"/>
      <c r="N20" s="362"/>
      <c r="O20" s="312"/>
      <c r="P20" s="312"/>
      <c r="R20" s="360">
        <v>45425.0</v>
      </c>
      <c r="S20" s="2">
        <f t="shared" si="5"/>
        <v>1956</v>
      </c>
      <c r="W20" s="6" t="s">
        <v>596</v>
      </c>
      <c r="X20" s="1">
        <f>NETWORKDAYS(X18,X19)</f>
        <v>261</v>
      </c>
      <c r="AA20" s="312"/>
      <c r="AB20" s="312"/>
      <c r="AC20" s="312"/>
      <c r="AD20" s="312"/>
    </row>
    <row r="21">
      <c r="A21" s="312"/>
      <c r="B21" s="344">
        <f t="shared" si="1"/>
        <v>2045</v>
      </c>
      <c r="C21" s="344">
        <v>90.0</v>
      </c>
      <c r="D21" s="361">
        <v>45407.0</v>
      </c>
      <c r="E21" s="344" t="str">
        <f t="shared" si="2"/>
        <v>Thursday</v>
      </c>
      <c r="F21" s="344" t="s">
        <v>554</v>
      </c>
      <c r="G21" s="356">
        <v>0.3333333333333333</v>
      </c>
      <c r="H21" s="356">
        <v>0.3472222222222222</v>
      </c>
      <c r="I21" s="357">
        <f t="shared" si="3"/>
        <v>20</v>
      </c>
      <c r="J21" s="346">
        <f t="shared" si="4"/>
        <v>454</v>
      </c>
      <c r="K21" s="312"/>
      <c r="L21" s="312"/>
      <c r="M21" s="312"/>
      <c r="N21" s="362"/>
      <c r="O21" s="312"/>
      <c r="P21" s="312"/>
      <c r="R21" s="360">
        <v>45426.0</v>
      </c>
      <c r="S21" s="2">
        <f t="shared" si="5"/>
        <v>1086</v>
      </c>
      <c r="W21" s="6" t="s">
        <v>160</v>
      </c>
      <c r="X21" s="2">
        <f>X17/X20</f>
        <v>1103.831418</v>
      </c>
      <c r="AA21" s="312"/>
      <c r="AB21" s="312"/>
      <c r="AC21" s="312"/>
      <c r="AD21" s="312"/>
    </row>
    <row r="22">
      <c r="A22" s="312"/>
      <c r="B22" s="344">
        <f t="shared" si="1"/>
        <v>2045</v>
      </c>
      <c r="C22" s="344">
        <v>90.0</v>
      </c>
      <c r="D22" s="361">
        <v>45407.0</v>
      </c>
      <c r="E22" s="344" t="str">
        <f t="shared" si="2"/>
        <v>Thursday</v>
      </c>
      <c r="F22" s="344" t="s">
        <v>554</v>
      </c>
      <c r="G22" s="356">
        <v>0.8125</v>
      </c>
      <c r="H22" s="356">
        <v>0.9270833333333334</v>
      </c>
      <c r="I22" s="357">
        <f t="shared" si="3"/>
        <v>165</v>
      </c>
      <c r="J22" s="346">
        <f t="shared" si="4"/>
        <v>3749</v>
      </c>
      <c r="K22" s="312"/>
      <c r="L22" s="312"/>
      <c r="M22" s="312"/>
      <c r="N22" s="362"/>
      <c r="O22" s="312"/>
      <c r="P22" s="312"/>
      <c r="R22" s="360">
        <v>45428.0</v>
      </c>
      <c r="S22" s="2">
        <f t="shared" si="5"/>
        <v>1977</v>
      </c>
      <c r="W22" s="6" t="s">
        <v>597</v>
      </c>
      <c r="X22" s="2">
        <f>X17*30%</f>
        <v>86430</v>
      </c>
      <c r="AA22" s="312"/>
      <c r="AB22" s="312"/>
      <c r="AC22" s="312"/>
      <c r="AD22" s="312"/>
    </row>
    <row r="23">
      <c r="A23" s="312"/>
      <c r="B23" s="344">
        <f t="shared" si="1"/>
        <v>2045</v>
      </c>
      <c r="C23" s="344">
        <v>90.0</v>
      </c>
      <c r="D23" s="361">
        <v>45411.0</v>
      </c>
      <c r="E23" s="344" t="str">
        <f t="shared" si="2"/>
        <v>Monday</v>
      </c>
      <c r="F23" s="344" t="s">
        <v>554</v>
      </c>
      <c r="G23" s="356">
        <v>0.3388888888888889</v>
      </c>
      <c r="H23" s="356">
        <v>0.3958333333333333</v>
      </c>
      <c r="I23" s="357">
        <f t="shared" si="3"/>
        <v>82</v>
      </c>
      <c r="J23" s="346">
        <f t="shared" si="4"/>
        <v>1863</v>
      </c>
      <c r="K23" s="312"/>
      <c r="L23" s="312"/>
      <c r="M23" s="312"/>
      <c r="N23" s="362"/>
      <c r="O23" s="312"/>
      <c r="P23" s="312"/>
      <c r="R23" s="363">
        <v>45429.0</v>
      </c>
      <c r="S23" s="2">
        <f t="shared" si="5"/>
        <v>2455</v>
      </c>
      <c r="AA23" s="312"/>
      <c r="AB23" s="312"/>
      <c r="AC23" s="312"/>
      <c r="AD23" s="312"/>
    </row>
    <row r="24">
      <c r="A24" s="312"/>
      <c r="B24" s="344">
        <f t="shared" si="1"/>
        <v>2045</v>
      </c>
      <c r="C24" s="344">
        <v>90.0</v>
      </c>
      <c r="D24" s="361">
        <v>45412.0</v>
      </c>
      <c r="E24" s="344" t="str">
        <f t="shared" si="2"/>
        <v>Tuesday</v>
      </c>
      <c r="F24" s="344" t="s">
        <v>554</v>
      </c>
      <c r="G24" s="356">
        <v>0.8472222222222222</v>
      </c>
      <c r="H24" s="356">
        <v>0.8909722222222223</v>
      </c>
      <c r="I24" s="357">
        <f t="shared" si="3"/>
        <v>63</v>
      </c>
      <c r="J24" s="346">
        <f t="shared" si="4"/>
        <v>1431</v>
      </c>
      <c r="K24" s="312"/>
      <c r="L24" s="312"/>
      <c r="M24" s="312"/>
      <c r="N24" s="362"/>
      <c r="O24" s="312"/>
      <c r="P24" s="312"/>
      <c r="R24" s="360">
        <v>45432.0</v>
      </c>
      <c r="S24" s="2">
        <f t="shared" si="5"/>
        <v>3259</v>
      </c>
      <c r="AA24" s="312"/>
      <c r="AB24" s="312"/>
      <c r="AC24" s="312"/>
      <c r="AD24" s="312"/>
    </row>
    <row r="25">
      <c r="A25" s="312"/>
      <c r="B25" s="344">
        <f t="shared" si="1"/>
        <v>1956</v>
      </c>
      <c r="C25" s="344">
        <v>90.0</v>
      </c>
      <c r="D25" s="361">
        <v>45413.0</v>
      </c>
      <c r="E25" s="344" t="str">
        <f t="shared" si="2"/>
        <v>Wednesday</v>
      </c>
      <c r="F25" s="344" t="s">
        <v>554</v>
      </c>
      <c r="G25" s="356">
        <v>0.33125</v>
      </c>
      <c r="H25" s="356">
        <v>0.35138888888888886</v>
      </c>
      <c r="I25" s="357">
        <f t="shared" si="3"/>
        <v>29</v>
      </c>
      <c r="J25" s="346">
        <f t="shared" si="4"/>
        <v>630</v>
      </c>
      <c r="K25" s="312"/>
      <c r="L25" s="312"/>
      <c r="M25" s="312"/>
      <c r="N25" s="362"/>
      <c r="O25" s="312"/>
      <c r="P25" s="312"/>
      <c r="R25" s="360">
        <v>45434.0</v>
      </c>
      <c r="S25" s="2">
        <f t="shared" si="5"/>
        <v>1825</v>
      </c>
      <c r="W25" s="6">
        <v>90.0</v>
      </c>
      <c r="X25" s="2">
        <f>X21/W25</f>
        <v>12.26479353</v>
      </c>
      <c r="AA25" s="312"/>
      <c r="AB25" s="312"/>
      <c r="AC25" s="312"/>
      <c r="AD25" s="312"/>
    </row>
    <row r="26">
      <c r="A26" s="312"/>
      <c r="B26" s="344">
        <f t="shared" si="1"/>
        <v>1956</v>
      </c>
      <c r="C26" s="344">
        <v>90.0</v>
      </c>
      <c r="D26" s="361">
        <v>45425.0</v>
      </c>
      <c r="E26" s="344" t="str">
        <f t="shared" si="2"/>
        <v>Monday</v>
      </c>
      <c r="F26" s="344" t="s">
        <v>554</v>
      </c>
      <c r="G26" s="356">
        <v>0.8576388888888888</v>
      </c>
      <c r="H26" s="356">
        <v>0.9201388888888888</v>
      </c>
      <c r="I26" s="357">
        <f t="shared" si="3"/>
        <v>90</v>
      </c>
      <c r="J26" s="346">
        <f t="shared" si="4"/>
        <v>1956</v>
      </c>
      <c r="K26" s="312"/>
      <c r="L26" s="312"/>
      <c r="M26" s="312"/>
      <c r="N26" s="362"/>
      <c r="O26" s="312"/>
      <c r="P26" s="312"/>
      <c r="R26" s="360">
        <v>45435.0</v>
      </c>
      <c r="S26" s="2">
        <f t="shared" si="5"/>
        <v>1456</v>
      </c>
      <c r="W26" s="6">
        <v>60.0</v>
      </c>
      <c r="X26" s="2">
        <f>X25*W26</f>
        <v>735.8876117</v>
      </c>
      <c r="AA26" s="312"/>
      <c r="AB26" s="312"/>
      <c r="AC26" s="312"/>
      <c r="AD26" s="312"/>
    </row>
    <row r="27">
      <c r="A27" s="312"/>
      <c r="B27" s="344">
        <f t="shared" si="1"/>
        <v>1956</v>
      </c>
      <c r="C27" s="344">
        <v>90.0</v>
      </c>
      <c r="D27" s="361">
        <v>45426.0</v>
      </c>
      <c r="E27" s="344" t="str">
        <f t="shared" si="2"/>
        <v>Tuesday</v>
      </c>
      <c r="F27" s="344" t="s">
        <v>554</v>
      </c>
      <c r="G27" s="356">
        <v>0.3541666666666667</v>
      </c>
      <c r="H27" s="356">
        <v>0.3888888888888889</v>
      </c>
      <c r="I27" s="357">
        <f t="shared" si="3"/>
        <v>50</v>
      </c>
      <c r="J27" s="346">
        <f t="shared" si="4"/>
        <v>1086</v>
      </c>
      <c r="K27" s="312"/>
      <c r="L27" s="312"/>
      <c r="M27" s="312"/>
      <c r="N27" s="362"/>
      <c r="O27" s="312"/>
      <c r="P27" s="312"/>
      <c r="R27" s="360">
        <v>45436.0</v>
      </c>
      <c r="S27" s="2">
        <f t="shared" si="5"/>
        <v>1760</v>
      </c>
      <c r="W27" s="6" t="s">
        <v>598</v>
      </c>
      <c r="X27" s="2">
        <f>X26*X20</f>
        <v>192066.6667</v>
      </c>
      <c r="AA27" s="312"/>
      <c r="AB27" s="312"/>
      <c r="AC27" s="312"/>
      <c r="AD27" s="312"/>
    </row>
    <row r="28">
      <c r="A28" s="312"/>
      <c r="B28" s="344">
        <f t="shared" si="1"/>
        <v>1956</v>
      </c>
      <c r="C28" s="344">
        <v>90.0</v>
      </c>
      <c r="D28" s="361">
        <v>45428.0</v>
      </c>
      <c r="E28" s="344" t="str">
        <f t="shared" si="2"/>
        <v>Thursday</v>
      </c>
      <c r="F28" s="344" t="s">
        <v>554</v>
      </c>
      <c r="G28" s="356">
        <v>0.8618055555555556</v>
      </c>
      <c r="H28" s="356">
        <v>0.925</v>
      </c>
      <c r="I28" s="357">
        <f t="shared" si="3"/>
        <v>91</v>
      </c>
      <c r="J28" s="346">
        <f t="shared" si="4"/>
        <v>1977</v>
      </c>
      <c r="K28" s="312"/>
      <c r="L28" s="312"/>
      <c r="M28" s="312"/>
      <c r="N28" s="362"/>
      <c r="O28" s="312"/>
      <c r="P28" s="312"/>
      <c r="R28" s="360">
        <v>45441.0</v>
      </c>
      <c r="S28" s="2">
        <f t="shared" si="5"/>
        <v>3586</v>
      </c>
      <c r="W28" s="6" t="s">
        <v>599</v>
      </c>
      <c r="X28" s="2">
        <f>X27/12</f>
        <v>16005.55556</v>
      </c>
      <c r="AA28" s="312"/>
      <c r="AB28" s="312"/>
      <c r="AC28" s="312"/>
      <c r="AD28" s="312"/>
    </row>
    <row r="29">
      <c r="A29" s="312"/>
      <c r="B29" s="344">
        <f t="shared" si="1"/>
        <v>1956</v>
      </c>
      <c r="C29" s="344">
        <v>90.0</v>
      </c>
      <c r="D29" s="364">
        <v>45429.0</v>
      </c>
      <c r="E29" s="344" t="str">
        <f t="shared" si="2"/>
        <v>Friday</v>
      </c>
      <c r="F29" s="344" t="s">
        <v>554</v>
      </c>
      <c r="G29" s="356">
        <v>0.34305555555555556</v>
      </c>
      <c r="H29" s="356">
        <v>0.39444444444444443</v>
      </c>
      <c r="I29" s="357">
        <f t="shared" si="3"/>
        <v>74</v>
      </c>
      <c r="J29" s="346">
        <f t="shared" si="4"/>
        <v>1608</v>
      </c>
      <c r="K29" s="312"/>
      <c r="L29" s="312"/>
      <c r="M29" s="312"/>
      <c r="N29" s="362"/>
      <c r="O29" s="312"/>
      <c r="P29" s="312"/>
      <c r="R29" s="360">
        <v>45442.0</v>
      </c>
      <c r="S29" s="2">
        <f t="shared" si="5"/>
        <v>3346</v>
      </c>
      <c r="AA29" s="312"/>
      <c r="AB29" s="312"/>
      <c r="AC29" s="312"/>
      <c r="AD29" s="312"/>
    </row>
    <row r="30">
      <c r="A30" s="312"/>
      <c r="B30" s="344">
        <f t="shared" si="1"/>
        <v>1956</v>
      </c>
      <c r="C30" s="344">
        <v>90.0</v>
      </c>
      <c r="D30" s="364">
        <v>45429.0</v>
      </c>
      <c r="E30" s="344" t="str">
        <f t="shared" si="2"/>
        <v>Friday</v>
      </c>
      <c r="F30" s="344" t="s">
        <v>554</v>
      </c>
      <c r="G30" s="356">
        <v>0.8548611111111111</v>
      </c>
      <c r="H30" s="356">
        <v>0.8819444444444444</v>
      </c>
      <c r="I30" s="357">
        <f t="shared" si="3"/>
        <v>39</v>
      </c>
      <c r="J30" s="346">
        <f t="shared" si="4"/>
        <v>847</v>
      </c>
      <c r="K30" s="312"/>
      <c r="L30" s="312"/>
      <c r="M30" s="312"/>
      <c r="N30" s="362"/>
      <c r="O30" s="312"/>
      <c r="P30" s="312"/>
      <c r="R30" s="360">
        <v>45443.0</v>
      </c>
      <c r="S30" s="2">
        <f t="shared" si="5"/>
        <v>3846</v>
      </c>
      <c r="W30" s="6">
        <v>120.0</v>
      </c>
      <c r="X30" s="2">
        <f>X21/W30</f>
        <v>9.198595147</v>
      </c>
      <c r="AA30" s="312"/>
      <c r="AB30" s="312"/>
      <c r="AC30" s="312"/>
      <c r="AD30" s="312"/>
    </row>
    <row r="31">
      <c r="A31" s="312"/>
      <c r="B31" s="344">
        <f t="shared" si="1"/>
        <v>1956</v>
      </c>
      <c r="C31" s="344">
        <v>90.0</v>
      </c>
      <c r="D31" s="365">
        <v>45432.0</v>
      </c>
      <c r="E31" s="344" t="str">
        <f t="shared" si="2"/>
        <v>Monday</v>
      </c>
      <c r="F31" s="344" t="s">
        <v>554</v>
      </c>
      <c r="G31" s="366">
        <v>0.7708333333333334</v>
      </c>
      <c r="H31" s="366">
        <v>0.7916666666666666</v>
      </c>
      <c r="I31" s="357">
        <f t="shared" si="3"/>
        <v>30</v>
      </c>
      <c r="J31" s="346">
        <f t="shared" si="4"/>
        <v>651</v>
      </c>
      <c r="K31" s="312"/>
      <c r="L31" s="312"/>
      <c r="M31" s="312"/>
      <c r="N31" s="362"/>
      <c r="O31" s="312"/>
      <c r="P31" s="312"/>
      <c r="R31" s="360">
        <v>45447.0</v>
      </c>
      <c r="S31" s="2">
        <f t="shared" si="5"/>
        <v>1425</v>
      </c>
      <c r="W31" s="6">
        <v>90.0</v>
      </c>
      <c r="X31" s="2">
        <f>X30*W31</f>
        <v>827.8735632</v>
      </c>
      <c r="AA31" s="312"/>
      <c r="AB31" s="312"/>
      <c r="AC31" s="312"/>
      <c r="AD31" s="312"/>
    </row>
    <row r="32">
      <c r="A32" s="312"/>
      <c r="B32" s="344">
        <f t="shared" si="1"/>
        <v>1956</v>
      </c>
      <c r="C32" s="344">
        <v>90.0</v>
      </c>
      <c r="D32" s="365">
        <v>45432.0</v>
      </c>
      <c r="E32" s="344" t="str">
        <f t="shared" si="2"/>
        <v>Monday</v>
      </c>
      <c r="F32" s="344" t="s">
        <v>554</v>
      </c>
      <c r="G32" s="367">
        <v>0.8597222222222223</v>
      </c>
      <c r="H32" s="367">
        <v>0.9430555555555555</v>
      </c>
      <c r="I32" s="357">
        <f t="shared" si="3"/>
        <v>120</v>
      </c>
      <c r="J32" s="346">
        <f t="shared" si="4"/>
        <v>2608</v>
      </c>
      <c r="K32" s="312"/>
      <c r="L32" s="312"/>
      <c r="M32" s="312"/>
      <c r="N32" s="362"/>
      <c r="O32" s="312"/>
      <c r="P32" s="312"/>
      <c r="R32" s="360">
        <v>45448.0</v>
      </c>
      <c r="S32" s="2">
        <f t="shared" si="5"/>
        <v>4500</v>
      </c>
      <c r="W32" s="6" t="s">
        <v>598</v>
      </c>
      <c r="X32" s="2">
        <f>X31*X20</f>
        <v>216075</v>
      </c>
      <c r="AA32" s="312"/>
      <c r="AB32" s="312"/>
      <c r="AC32" s="312"/>
      <c r="AD32" s="312"/>
    </row>
    <row r="33">
      <c r="A33" s="312"/>
      <c r="B33" s="344">
        <f t="shared" si="1"/>
        <v>1956</v>
      </c>
      <c r="C33" s="344">
        <v>90.0</v>
      </c>
      <c r="D33" s="368">
        <v>45434.0</v>
      </c>
      <c r="E33" s="344" t="str">
        <f t="shared" si="2"/>
        <v>Wednesday</v>
      </c>
      <c r="F33" s="344" t="s">
        <v>554</v>
      </c>
      <c r="G33" s="367">
        <v>0.34305555555555556</v>
      </c>
      <c r="H33" s="367">
        <v>0.4013888888888889</v>
      </c>
      <c r="I33" s="357">
        <f t="shared" si="3"/>
        <v>84</v>
      </c>
      <c r="J33" s="346">
        <f t="shared" si="4"/>
        <v>1825</v>
      </c>
      <c r="K33" s="312"/>
      <c r="L33" s="312"/>
      <c r="M33" s="312"/>
      <c r="N33" s="362"/>
      <c r="O33" s="312"/>
      <c r="P33" s="312"/>
      <c r="R33" s="360">
        <v>45449.0</v>
      </c>
      <c r="S33" s="2">
        <f t="shared" si="5"/>
        <v>74</v>
      </c>
      <c r="W33" s="6" t="s">
        <v>599</v>
      </c>
      <c r="X33" s="2">
        <f>X32/12</f>
        <v>18006.25</v>
      </c>
      <c r="AA33" s="312"/>
      <c r="AB33" s="312"/>
      <c r="AC33" s="312"/>
      <c r="AD33" s="312"/>
    </row>
    <row r="34">
      <c r="A34" s="312"/>
      <c r="B34" s="344">
        <f t="shared" si="1"/>
        <v>1956</v>
      </c>
      <c r="C34" s="344">
        <v>90.0</v>
      </c>
      <c r="D34" s="365">
        <v>45435.0</v>
      </c>
      <c r="E34" s="344" t="str">
        <f t="shared" si="2"/>
        <v>Thursday</v>
      </c>
      <c r="F34" s="344" t="s">
        <v>554</v>
      </c>
      <c r="G34" s="366">
        <v>0.8541666666666666</v>
      </c>
      <c r="H34" s="366">
        <v>0.9006944444444445</v>
      </c>
      <c r="I34" s="357">
        <f t="shared" si="3"/>
        <v>67</v>
      </c>
      <c r="J34" s="346">
        <f t="shared" si="4"/>
        <v>1456</v>
      </c>
      <c r="K34" s="312"/>
      <c r="L34" s="312"/>
      <c r="M34" s="312"/>
      <c r="N34" s="362"/>
      <c r="O34" s="312"/>
      <c r="P34" s="312"/>
      <c r="R34" s="360">
        <v>45450.0</v>
      </c>
      <c r="S34" s="2">
        <f t="shared" si="5"/>
        <v>2450</v>
      </c>
      <c r="AA34" s="312"/>
      <c r="AB34" s="312"/>
      <c r="AC34" s="312"/>
      <c r="AD34" s="312"/>
    </row>
    <row r="35">
      <c r="A35" s="312"/>
      <c r="B35" s="344">
        <f t="shared" si="1"/>
        <v>1956</v>
      </c>
      <c r="C35" s="344">
        <v>90.0</v>
      </c>
      <c r="D35" s="368">
        <v>45436.0</v>
      </c>
      <c r="E35" s="344" t="str">
        <f t="shared" si="2"/>
        <v>Friday</v>
      </c>
      <c r="F35" s="344" t="s">
        <v>554</v>
      </c>
      <c r="G35" s="367">
        <v>0.30972222222222223</v>
      </c>
      <c r="H35" s="367">
        <v>0.3659722222222222</v>
      </c>
      <c r="I35" s="357">
        <f t="shared" si="3"/>
        <v>81</v>
      </c>
      <c r="J35" s="346">
        <f t="shared" si="4"/>
        <v>1760</v>
      </c>
      <c r="K35" s="312"/>
      <c r="L35" s="312"/>
      <c r="M35" s="312"/>
      <c r="N35" s="362"/>
      <c r="O35" s="312"/>
      <c r="P35" s="312"/>
      <c r="R35" s="360">
        <v>45453.0</v>
      </c>
      <c r="S35" s="2">
        <f t="shared" si="5"/>
        <v>3075</v>
      </c>
      <c r="AA35" s="312"/>
      <c r="AB35" s="312"/>
      <c r="AC35" s="312"/>
      <c r="AD35" s="312"/>
    </row>
    <row r="36">
      <c r="A36" s="312"/>
      <c r="B36" s="344">
        <f t="shared" si="1"/>
        <v>1956</v>
      </c>
      <c r="C36" s="344">
        <v>90.0</v>
      </c>
      <c r="D36" s="368">
        <v>45441.0</v>
      </c>
      <c r="E36" s="344" t="str">
        <f t="shared" si="2"/>
        <v>Wednesday</v>
      </c>
      <c r="F36" s="344" t="s">
        <v>554</v>
      </c>
      <c r="G36" s="367">
        <v>0.2916666666666667</v>
      </c>
      <c r="H36" s="367">
        <v>0.40625</v>
      </c>
      <c r="I36" s="357">
        <f t="shared" si="3"/>
        <v>165</v>
      </c>
      <c r="J36" s="346">
        <f t="shared" si="4"/>
        <v>3586</v>
      </c>
      <c r="K36" s="312"/>
      <c r="L36" s="312"/>
      <c r="M36" s="312"/>
      <c r="N36" s="362"/>
      <c r="O36" s="312"/>
      <c r="P36" s="312"/>
      <c r="R36" s="360">
        <v>45454.0</v>
      </c>
      <c r="S36" s="2">
        <f t="shared" si="5"/>
        <v>6525</v>
      </c>
      <c r="AA36" s="312"/>
      <c r="AB36" s="312"/>
      <c r="AC36" s="312"/>
      <c r="AD36" s="312"/>
    </row>
    <row r="37">
      <c r="A37" s="312"/>
      <c r="B37" s="344">
        <f t="shared" si="1"/>
        <v>1956</v>
      </c>
      <c r="C37" s="344">
        <v>90.0</v>
      </c>
      <c r="D37" s="368">
        <v>45442.0</v>
      </c>
      <c r="E37" s="344" t="str">
        <f t="shared" si="2"/>
        <v>Thursday</v>
      </c>
      <c r="F37" s="344" t="s">
        <v>554</v>
      </c>
      <c r="G37" s="367">
        <v>0.3375</v>
      </c>
      <c r="H37" s="367">
        <v>0.4444444444444444</v>
      </c>
      <c r="I37" s="357">
        <f t="shared" si="3"/>
        <v>154</v>
      </c>
      <c r="J37" s="346">
        <f t="shared" si="4"/>
        <v>3346</v>
      </c>
      <c r="K37" s="312"/>
      <c r="L37" s="312"/>
      <c r="M37" s="313"/>
      <c r="N37" s="362"/>
      <c r="O37" s="312"/>
      <c r="P37" s="312"/>
      <c r="R37" s="360">
        <v>45455.0</v>
      </c>
      <c r="S37" s="2">
        <f t="shared" si="5"/>
        <v>3300</v>
      </c>
      <c r="AA37" s="312"/>
      <c r="AB37" s="313"/>
      <c r="AC37" s="312"/>
      <c r="AD37" s="312"/>
    </row>
    <row r="38">
      <c r="A38" s="312"/>
      <c r="B38" s="344">
        <f t="shared" si="1"/>
        <v>1956</v>
      </c>
      <c r="C38" s="344">
        <v>90.0</v>
      </c>
      <c r="D38" s="368">
        <v>45443.0</v>
      </c>
      <c r="E38" s="344" t="str">
        <f t="shared" si="2"/>
        <v>Friday</v>
      </c>
      <c r="F38" s="344" t="s">
        <v>554</v>
      </c>
      <c r="G38" s="367">
        <v>0.2673611111111111</v>
      </c>
      <c r="H38" s="367">
        <v>0.3902777777777778</v>
      </c>
      <c r="I38" s="357">
        <f t="shared" si="3"/>
        <v>177</v>
      </c>
      <c r="J38" s="346">
        <f t="shared" si="4"/>
        <v>3846</v>
      </c>
      <c r="K38" s="312"/>
      <c r="L38" s="312"/>
      <c r="M38" s="312"/>
      <c r="N38" s="362"/>
      <c r="O38" s="312"/>
      <c r="P38" s="312"/>
      <c r="R38" s="360">
        <v>45456.0</v>
      </c>
      <c r="S38" s="2">
        <f t="shared" si="5"/>
        <v>1700</v>
      </c>
      <c r="AA38" s="312"/>
      <c r="AB38" s="312"/>
      <c r="AC38" s="312"/>
      <c r="AD38" s="312"/>
    </row>
    <row r="39">
      <c r="A39" s="312"/>
      <c r="B39" s="344">
        <f t="shared" si="1"/>
        <v>2250</v>
      </c>
      <c r="C39" s="344">
        <v>90.0</v>
      </c>
      <c r="D39" s="368">
        <v>45447.0</v>
      </c>
      <c r="E39" s="344" t="str">
        <f t="shared" si="2"/>
        <v>Tuesday</v>
      </c>
      <c r="F39" s="344" t="s">
        <v>554</v>
      </c>
      <c r="G39" s="367">
        <v>0.35555555555555557</v>
      </c>
      <c r="H39" s="367">
        <v>0.3951388888888889</v>
      </c>
      <c r="I39" s="357">
        <f t="shared" si="3"/>
        <v>57</v>
      </c>
      <c r="J39" s="346">
        <f t="shared" si="4"/>
        <v>1425</v>
      </c>
      <c r="K39" s="312"/>
      <c r="L39" s="312"/>
      <c r="M39" s="312"/>
      <c r="N39" s="362"/>
      <c r="O39" s="312"/>
      <c r="P39" s="312"/>
      <c r="R39" s="360">
        <v>45457.0</v>
      </c>
      <c r="S39" s="2">
        <f t="shared" si="5"/>
        <v>3200</v>
      </c>
      <c r="AA39" s="312"/>
      <c r="AB39" s="312"/>
      <c r="AC39" s="312"/>
      <c r="AD39" s="312"/>
    </row>
    <row r="40">
      <c r="A40" s="312"/>
      <c r="B40" s="344">
        <f t="shared" si="1"/>
        <v>2250</v>
      </c>
      <c r="C40" s="344">
        <v>90.0</v>
      </c>
      <c r="D40" s="368">
        <v>45448.0</v>
      </c>
      <c r="E40" s="344" t="str">
        <f t="shared" si="2"/>
        <v>Wednesday</v>
      </c>
      <c r="F40" s="344" t="s">
        <v>554</v>
      </c>
      <c r="G40" s="367">
        <v>0.3020833333333333</v>
      </c>
      <c r="H40" s="367">
        <v>0.3958333333333333</v>
      </c>
      <c r="I40" s="357">
        <f t="shared" si="3"/>
        <v>135</v>
      </c>
      <c r="J40" s="346">
        <f t="shared" si="4"/>
        <v>3375</v>
      </c>
      <c r="K40" s="312"/>
      <c r="L40" s="312"/>
      <c r="M40" s="312"/>
      <c r="N40" s="362"/>
      <c r="O40" s="312"/>
      <c r="P40" s="312"/>
      <c r="R40" s="360">
        <v>45461.0</v>
      </c>
      <c r="S40" s="2">
        <f t="shared" si="5"/>
        <v>4500</v>
      </c>
      <c r="AA40" s="312"/>
      <c r="AB40" s="312"/>
      <c r="AC40" s="312"/>
      <c r="AD40" s="312"/>
    </row>
    <row r="41">
      <c r="A41" s="312"/>
      <c r="B41" s="344">
        <f t="shared" si="1"/>
        <v>2250</v>
      </c>
      <c r="C41" s="344">
        <v>90.0</v>
      </c>
      <c r="D41" s="368">
        <v>45448.0</v>
      </c>
      <c r="E41" s="344" t="str">
        <f t="shared" si="2"/>
        <v>Wednesday</v>
      </c>
      <c r="F41" s="344" t="s">
        <v>554</v>
      </c>
      <c r="G41" s="367">
        <v>0.8645833333333334</v>
      </c>
      <c r="H41" s="367">
        <v>0.8958333333333334</v>
      </c>
      <c r="I41" s="357">
        <f t="shared" si="3"/>
        <v>45</v>
      </c>
      <c r="J41" s="346">
        <f t="shared" si="4"/>
        <v>1125</v>
      </c>
      <c r="K41" s="312"/>
      <c r="L41" s="312"/>
      <c r="M41" s="312"/>
      <c r="N41" s="362"/>
      <c r="O41" s="312"/>
      <c r="P41" s="312"/>
      <c r="R41" s="360">
        <v>45462.0</v>
      </c>
      <c r="S41" s="2">
        <f t="shared" si="5"/>
        <v>1750</v>
      </c>
      <c r="AA41" s="312"/>
      <c r="AB41" s="312"/>
      <c r="AC41" s="312"/>
      <c r="AD41" s="312"/>
    </row>
    <row r="42">
      <c r="A42" s="312"/>
      <c r="B42" s="344">
        <f t="shared" si="1"/>
        <v>2250</v>
      </c>
      <c r="C42" s="344">
        <v>90.0</v>
      </c>
      <c r="D42" s="368">
        <v>45449.0</v>
      </c>
      <c r="E42" s="344" t="str">
        <f t="shared" si="2"/>
        <v>Thursday</v>
      </c>
      <c r="F42" s="344" t="s">
        <v>554</v>
      </c>
      <c r="G42" s="367">
        <v>0.34930555555555554</v>
      </c>
      <c r="H42" s="367">
        <v>0.35138888888888886</v>
      </c>
      <c r="I42" s="357">
        <f t="shared" si="3"/>
        <v>3</v>
      </c>
      <c r="J42" s="346">
        <f t="shared" si="4"/>
        <v>74</v>
      </c>
      <c r="K42" s="312"/>
      <c r="L42" s="312"/>
      <c r="M42" s="312"/>
      <c r="N42" s="362"/>
      <c r="O42" s="312"/>
      <c r="P42" s="312"/>
      <c r="R42" s="360">
        <v>45463.0</v>
      </c>
      <c r="S42" s="2">
        <f t="shared" si="5"/>
        <v>274</v>
      </c>
      <c r="AA42" s="312"/>
      <c r="AB42" s="312"/>
      <c r="AC42" s="312"/>
      <c r="AD42" s="312"/>
    </row>
    <row r="43">
      <c r="A43" s="312"/>
      <c r="B43" s="344">
        <f t="shared" si="1"/>
        <v>2250</v>
      </c>
      <c r="C43" s="344">
        <v>90.0</v>
      </c>
      <c r="D43" s="368">
        <v>45450.0</v>
      </c>
      <c r="E43" s="344" t="str">
        <f t="shared" si="2"/>
        <v>Friday</v>
      </c>
      <c r="F43" s="344" t="s">
        <v>554</v>
      </c>
      <c r="G43" s="367">
        <v>0.8625</v>
      </c>
      <c r="H43" s="367">
        <v>0.9305555555555556</v>
      </c>
      <c r="I43" s="357">
        <f t="shared" si="3"/>
        <v>98</v>
      </c>
      <c r="J43" s="346">
        <f t="shared" si="4"/>
        <v>2450</v>
      </c>
      <c r="K43" s="312"/>
      <c r="L43" s="312"/>
      <c r="M43" s="312"/>
      <c r="N43" s="362"/>
      <c r="O43" s="312"/>
      <c r="P43" s="312"/>
      <c r="R43" s="360">
        <v>45467.0</v>
      </c>
      <c r="S43" s="2">
        <f t="shared" si="5"/>
        <v>4050</v>
      </c>
      <c r="AA43" s="312"/>
      <c r="AB43" s="312"/>
      <c r="AC43" s="312"/>
      <c r="AD43" s="312"/>
    </row>
    <row r="44">
      <c r="A44" s="312"/>
      <c r="B44" s="344">
        <f t="shared" si="1"/>
        <v>2250</v>
      </c>
      <c r="C44" s="344">
        <v>90.0</v>
      </c>
      <c r="D44" s="368">
        <v>45453.0</v>
      </c>
      <c r="E44" s="344" t="str">
        <f t="shared" si="2"/>
        <v>Monday</v>
      </c>
      <c r="F44" s="344" t="s">
        <v>554</v>
      </c>
      <c r="G44" s="367">
        <v>0.8416666666666667</v>
      </c>
      <c r="H44" s="367">
        <v>0.9270833333333334</v>
      </c>
      <c r="I44" s="357">
        <f t="shared" si="3"/>
        <v>123</v>
      </c>
      <c r="J44" s="346">
        <f t="shared" si="4"/>
        <v>3075</v>
      </c>
      <c r="K44" s="312"/>
      <c r="L44" s="312"/>
      <c r="M44" s="312"/>
      <c r="N44" s="362"/>
      <c r="O44" s="312"/>
      <c r="P44" s="312"/>
      <c r="R44" s="360">
        <v>45468.0</v>
      </c>
      <c r="S44" s="2">
        <f t="shared" si="5"/>
        <v>775</v>
      </c>
      <c r="AA44" s="312"/>
      <c r="AB44" s="312"/>
      <c r="AC44" s="312"/>
      <c r="AD44" s="312"/>
    </row>
    <row r="45">
      <c r="A45" s="312"/>
      <c r="B45" s="344">
        <f t="shared" si="1"/>
        <v>2250</v>
      </c>
      <c r="C45" s="344">
        <v>90.0</v>
      </c>
      <c r="D45" s="368">
        <v>45454.0</v>
      </c>
      <c r="E45" s="344" t="str">
        <f t="shared" si="2"/>
        <v>Tuesday</v>
      </c>
      <c r="F45" s="344" t="s">
        <v>554</v>
      </c>
      <c r="G45" s="367">
        <v>0.35138888888888886</v>
      </c>
      <c r="H45" s="367">
        <v>0.4444444444444444</v>
      </c>
      <c r="I45" s="357">
        <f t="shared" si="3"/>
        <v>134</v>
      </c>
      <c r="J45" s="346">
        <f t="shared" si="4"/>
        <v>3350</v>
      </c>
      <c r="K45" s="312"/>
      <c r="L45" s="312"/>
      <c r="M45" s="312"/>
      <c r="N45" s="362"/>
      <c r="O45" s="312"/>
      <c r="P45" s="312"/>
      <c r="R45" s="360">
        <v>45469.0</v>
      </c>
      <c r="S45" s="2">
        <f t="shared" si="5"/>
        <v>1900</v>
      </c>
      <c r="AA45" s="312"/>
      <c r="AB45" s="312"/>
      <c r="AC45" s="312"/>
      <c r="AD45" s="312"/>
    </row>
    <row r="46">
      <c r="A46" s="312"/>
      <c r="B46" s="344">
        <f t="shared" si="1"/>
        <v>2250</v>
      </c>
      <c r="C46" s="344">
        <v>90.0</v>
      </c>
      <c r="D46" s="368">
        <v>45454.0</v>
      </c>
      <c r="E46" s="344" t="str">
        <f t="shared" si="2"/>
        <v>Tuesday</v>
      </c>
      <c r="F46" s="344" t="s">
        <v>554</v>
      </c>
      <c r="G46" s="367">
        <v>0.8576388888888888</v>
      </c>
      <c r="H46" s="367">
        <v>0.9458333333333333</v>
      </c>
      <c r="I46" s="357">
        <f t="shared" si="3"/>
        <v>127</v>
      </c>
      <c r="J46" s="346">
        <f t="shared" si="4"/>
        <v>3175</v>
      </c>
      <c r="K46" s="312"/>
      <c r="L46" s="312"/>
      <c r="M46" s="312"/>
      <c r="N46" s="362"/>
      <c r="O46" s="312"/>
      <c r="P46" s="312"/>
      <c r="R46" s="360">
        <v>45470.0</v>
      </c>
      <c r="S46" s="2">
        <f t="shared" si="5"/>
        <v>2000</v>
      </c>
      <c r="AA46" s="312"/>
      <c r="AB46" s="312"/>
      <c r="AC46" s="312"/>
      <c r="AD46" s="312"/>
    </row>
    <row r="47">
      <c r="A47" s="312"/>
      <c r="B47" s="344">
        <f t="shared" si="1"/>
        <v>2250</v>
      </c>
      <c r="C47" s="344">
        <v>90.0</v>
      </c>
      <c r="D47" s="368">
        <v>45455.0</v>
      </c>
      <c r="E47" s="344" t="str">
        <f t="shared" si="2"/>
        <v>Wednesday</v>
      </c>
      <c r="F47" s="344" t="s">
        <v>554</v>
      </c>
      <c r="G47" s="367">
        <v>0.6895833333333333</v>
      </c>
      <c r="H47" s="367">
        <v>0.78125</v>
      </c>
      <c r="I47" s="357">
        <f t="shared" si="3"/>
        <v>132</v>
      </c>
      <c r="J47" s="346">
        <f t="shared" si="4"/>
        <v>3300</v>
      </c>
      <c r="K47" s="312"/>
      <c r="L47" s="312"/>
      <c r="M47" s="312"/>
      <c r="N47" s="362"/>
      <c r="O47" s="312"/>
      <c r="P47" s="312"/>
      <c r="R47" s="360">
        <v>45471.0</v>
      </c>
      <c r="S47" s="2">
        <f t="shared" si="5"/>
        <v>2250</v>
      </c>
      <c r="AA47" s="312"/>
      <c r="AB47" s="312"/>
      <c r="AC47" s="312"/>
      <c r="AD47" s="312"/>
    </row>
    <row r="48">
      <c r="A48" s="312"/>
      <c r="B48" s="344">
        <f t="shared" si="1"/>
        <v>2250</v>
      </c>
      <c r="C48" s="344">
        <v>90.0</v>
      </c>
      <c r="D48" s="368">
        <v>45456.0</v>
      </c>
      <c r="E48" s="344" t="str">
        <f t="shared" si="2"/>
        <v>Thursday</v>
      </c>
      <c r="F48" s="344" t="s">
        <v>554</v>
      </c>
      <c r="G48" s="367">
        <v>0.3229166666666667</v>
      </c>
      <c r="H48" s="367">
        <v>0.3701388888888889</v>
      </c>
      <c r="I48" s="357">
        <f t="shared" si="3"/>
        <v>68</v>
      </c>
      <c r="J48" s="346">
        <f t="shared" si="4"/>
        <v>1700</v>
      </c>
      <c r="K48" s="312"/>
      <c r="L48" s="312"/>
      <c r="M48" s="312"/>
      <c r="N48" s="362"/>
      <c r="O48" s="312"/>
      <c r="P48" s="312"/>
      <c r="R48" s="360">
        <v>45474.0</v>
      </c>
      <c r="S48" s="2">
        <f t="shared" si="5"/>
        <v>5324</v>
      </c>
      <c r="AA48" s="312"/>
      <c r="AB48" s="312"/>
      <c r="AC48" s="312"/>
      <c r="AD48" s="312"/>
    </row>
    <row r="49">
      <c r="A49" s="312"/>
      <c r="B49" s="344">
        <f t="shared" si="1"/>
        <v>2250</v>
      </c>
      <c r="C49" s="344">
        <v>90.0</v>
      </c>
      <c r="D49" s="368">
        <v>45457.0</v>
      </c>
      <c r="E49" s="344" t="str">
        <f t="shared" si="2"/>
        <v>Friday</v>
      </c>
      <c r="F49" s="344" t="s">
        <v>554</v>
      </c>
      <c r="G49" s="367">
        <v>0.8520833333333333</v>
      </c>
      <c r="H49" s="367">
        <v>0.9409722222222222</v>
      </c>
      <c r="I49" s="357">
        <f t="shared" si="3"/>
        <v>128</v>
      </c>
      <c r="J49" s="346">
        <f t="shared" si="4"/>
        <v>3200</v>
      </c>
      <c r="K49" s="312"/>
      <c r="L49" s="312"/>
      <c r="M49" s="312"/>
      <c r="N49" s="362"/>
      <c r="O49" s="312"/>
      <c r="P49" s="312"/>
      <c r="R49" s="360">
        <v>45475.0</v>
      </c>
      <c r="S49" s="2">
        <f t="shared" si="5"/>
        <v>1390</v>
      </c>
      <c r="AA49" s="312"/>
      <c r="AB49" s="312"/>
      <c r="AC49" s="312"/>
      <c r="AD49" s="312"/>
    </row>
    <row r="50">
      <c r="A50" s="312"/>
      <c r="B50" s="344">
        <f t="shared" si="1"/>
        <v>2250</v>
      </c>
      <c r="C50" s="344">
        <v>90.0</v>
      </c>
      <c r="D50" s="368">
        <v>45461.0</v>
      </c>
      <c r="E50" s="344" t="str">
        <f t="shared" si="2"/>
        <v>Tuesday</v>
      </c>
      <c r="F50" s="344" t="s">
        <v>554</v>
      </c>
      <c r="G50" s="367">
        <v>0.3229166666666667</v>
      </c>
      <c r="H50" s="367">
        <v>0.4479166666666667</v>
      </c>
      <c r="I50" s="357">
        <f t="shared" si="3"/>
        <v>180</v>
      </c>
      <c r="J50" s="346">
        <f t="shared" si="4"/>
        <v>4500</v>
      </c>
      <c r="K50" s="312"/>
      <c r="L50" s="312"/>
      <c r="M50" s="312"/>
      <c r="N50" s="362"/>
      <c r="O50" s="312"/>
      <c r="P50" s="312"/>
      <c r="R50" s="360">
        <v>45476.0</v>
      </c>
      <c r="S50" s="2">
        <f t="shared" si="5"/>
        <v>2390</v>
      </c>
      <c r="AA50" s="312"/>
      <c r="AB50" s="312"/>
      <c r="AC50" s="312"/>
      <c r="AD50" s="312"/>
    </row>
    <row r="51">
      <c r="A51" s="312"/>
      <c r="B51" s="344">
        <f t="shared" si="1"/>
        <v>2250</v>
      </c>
      <c r="C51" s="344">
        <v>90.0</v>
      </c>
      <c r="D51" s="368">
        <v>45462.0</v>
      </c>
      <c r="E51" s="344" t="str">
        <f t="shared" si="2"/>
        <v>Wednesday</v>
      </c>
      <c r="F51" s="344" t="s">
        <v>554</v>
      </c>
      <c r="G51" s="367">
        <v>0.3472222222222222</v>
      </c>
      <c r="H51" s="367">
        <v>0.3958333333333333</v>
      </c>
      <c r="I51" s="357">
        <f t="shared" si="3"/>
        <v>70</v>
      </c>
      <c r="J51" s="346">
        <f t="shared" si="4"/>
        <v>1750</v>
      </c>
      <c r="K51" s="312"/>
      <c r="L51" s="312"/>
      <c r="M51" s="312"/>
      <c r="N51" s="362"/>
      <c r="O51" s="312"/>
      <c r="P51" s="312"/>
      <c r="R51" s="360">
        <v>45478.0</v>
      </c>
      <c r="S51" s="2">
        <f t="shared" si="5"/>
        <v>1716</v>
      </c>
      <c r="AA51" s="312"/>
      <c r="AB51" s="312"/>
      <c r="AC51" s="312"/>
      <c r="AD51" s="312"/>
    </row>
    <row r="52">
      <c r="A52" s="312"/>
      <c r="B52" s="344">
        <f t="shared" si="1"/>
        <v>2250</v>
      </c>
      <c r="C52" s="344">
        <v>90.0</v>
      </c>
      <c r="D52" s="368">
        <v>45463.0</v>
      </c>
      <c r="E52" s="344" t="str">
        <f t="shared" si="2"/>
        <v>Thursday</v>
      </c>
      <c r="F52" s="344" t="s">
        <v>554</v>
      </c>
      <c r="G52" s="367">
        <v>0.3423611111111111</v>
      </c>
      <c r="H52" s="367">
        <v>0.35</v>
      </c>
      <c r="I52" s="357">
        <f t="shared" si="3"/>
        <v>11</v>
      </c>
      <c r="J52" s="346">
        <f t="shared" si="4"/>
        <v>274</v>
      </c>
      <c r="K52" s="312"/>
      <c r="L52" s="312"/>
      <c r="M52" s="312"/>
      <c r="N52" s="362"/>
      <c r="O52" s="312"/>
      <c r="P52" s="312"/>
      <c r="R52" s="360">
        <v>45482.0</v>
      </c>
      <c r="S52" s="2">
        <f t="shared" si="5"/>
        <v>3107</v>
      </c>
      <c r="AA52" s="312"/>
      <c r="AB52" s="312"/>
      <c r="AC52" s="312"/>
      <c r="AD52" s="312"/>
    </row>
    <row r="53">
      <c r="A53" s="312"/>
      <c r="B53" s="344">
        <f t="shared" si="1"/>
        <v>2250</v>
      </c>
      <c r="C53" s="344">
        <v>90.0</v>
      </c>
      <c r="D53" s="368">
        <v>45467.0</v>
      </c>
      <c r="E53" s="344" t="str">
        <f t="shared" si="2"/>
        <v>Monday</v>
      </c>
      <c r="F53" s="344" t="s">
        <v>554</v>
      </c>
      <c r="G53" s="367">
        <v>0.30416666666666664</v>
      </c>
      <c r="H53" s="367">
        <v>0.4166666666666667</v>
      </c>
      <c r="I53" s="357">
        <f t="shared" si="3"/>
        <v>162</v>
      </c>
      <c r="J53" s="346">
        <f t="shared" si="4"/>
        <v>4050</v>
      </c>
      <c r="K53" s="312"/>
      <c r="L53" s="312"/>
      <c r="M53" s="312"/>
      <c r="N53" s="362"/>
      <c r="O53" s="312"/>
      <c r="P53" s="312"/>
      <c r="R53" s="360">
        <v>45483.0</v>
      </c>
      <c r="S53" s="2">
        <f t="shared" si="5"/>
        <v>4345</v>
      </c>
      <c r="AA53" s="312"/>
      <c r="AB53" s="312"/>
      <c r="AC53" s="312"/>
      <c r="AD53" s="312"/>
    </row>
    <row r="54">
      <c r="A54" s="312"/>
      <c r="B54" s="344">
        <f t="shared" si="1"/>
        <v>2250</v>
      </c>
      <c r="C54" s="344">
        <v>90.0</v>
      </c>
      <c r="D54" s="368">
        <v>45468.0</v>
      </c>
      <c r="E54" s="344" t="str">
        <f t="shared" si="2"/>
        <v>Tuesday</v>
      </c>
      <c r="F54" s="344" t="s">
        <v>554</v>
      </c>
      <c r="G54" s="367">
        <v>0.3472222222222222</v>
      </c>
      <c r="H54" s="367">
        <v>0.36875</v>
      </c>
      <c r="I54" s="357">
        <f t="shared" si="3"/>
        <v>31</v>
      </c>
      <c r="J54" s="346">
        <f t="shared" si="4"/>
        <v>775</v>
      </c>
      <c r="K54" s="312"/>
      <c r="L54" s="312"/>
      <c r="M54" s="312"/>
      <c r="N54" s="362"/>
      <c r="O54" s="312"/>
      <c r="P54" s="312"/>
      <c r="R54" s="360">
        <v>45484.0</v>
      </c>
      <c r="S54" s="2">
        <f t="shared" si="5"/>
        <v>2694</v>
      </c>
      <c r="AA54" s="312"/>
      <c r="AB54" s="312"/>
      <c r="AC54" s="312"/>
      <c r="AD54" s="312"/>
    </row>
    <row r="55">
      <c r="A55" s="312"/>
      <c r="B55" s="344">
        <f t="shared" si="1"/>
        <v>2250</v>
      </c>
      <c r="C55" s="344">
        <v>90.0</v>
      </c>
      <c r="D55" s="368">
        <v>45469.0</v>
      </c>
      <c r="E55" s="344" t="str">
        <f t="shared" si="2"/>
        <v>Wednesday</v>
      </c>
      <c r="F55" s="344" t="s">
        <v>554</v>
      </c>
      <c r="G55" s="367">
        <v>0.3333333333333333</v>
      </c>
      <c r="H55" s="367">
        <v>0.3861111111111111</v>
      </c>
      <c r="I55" s="357">
        <f t="shared" si="3"/>
        <v>76</v>
      </c>
      <c r="J55" s="346">
        <f t="shared" si="4"/>
        <v>1900</v>
      </c>
      <c r="K55" s="312"/>
      <c r="L55" s="312"/>
      <c r="M55" s="312"/>
      <c r="N55" s="362"/>
      <c r="O55" s="312"/>
      <c r="P55" s="312"/>
      <c r="R55" s="360">
        <v>45488.0</v>
      </c>
      <c r="S55" s="2">
        <f t="shared" si="5"/>
        <v>4432</v>
      </c>
      <c r="AA55" s="312"/>
      <c r="AB55" s="312"/>
      <c r="AC55" s="312"/>
      <c r="AD55" s="312"/>
    </row>
    <row r="56">
      <c r="A56" s="312"/>
      <c r="B56" s="344">
        <f t="shared" si="1"/>
        <v>2250</v>
      </c>
      <c r="C56" s="344">
        <v>90.0</v>
      </c>
      <c r="D56" s="368">
        <v>45470.0</v>
      </c>
      <c r="E56" s="344" t="str">
        <f t="shared" si="2"/>
        <v>Thursday</v>
      </c>
      <c r="F56" s="344" t="s">
        <v>554</v>
      </c>
      <c r="G56" s="367">
        <v>0.3333333333333333</v>
      </c>
      <c r="H56" s="367">
        <v>0.3888888888888889</v>
      </c>
      <c r="I56" s="357">
        <f t="shared" si="3"/>
        <v>80</v>
      </c>
      <c r="J56" s="346">
        <f t="shared" si="4"/>
        <v>2000</v>
      </c>
      <c r="K56" s="312"/>
      <c r="L56" s="312"/>
      <c r="M56" s="312"/>
      <c r="N56" s="362"/>
      <c r="O56" s="312"/>
      <c r="P56" s="312"/>
      <c r="R56" s="360">
        <v>45489.0</v>
      </c>
      <c r="S56" s="2">
        <f t="shared" si="5"/>
        <v>1130</v>
      </c>
      <c r="AA56" s="312"/>
      <c r="AB56" s="312"/>
      <c r="AC56" s="312"/>
      <c r="AD56" s="312"/>
    </row>
    <row r="57">
      <c r="A57" s="312"/>
      <c r="B57" s="344">
        <f t="shared" si="1"/>
        <v>2250</v>
      </c>
      <c r="C57" s="344">
        <v>90.0</v>
      </c>
      <c r="D57" s="368">
        <v>45471.0</v>
      </c>
      <c r="E57" s="344" t="str">
        <f t="shared" si="2"/>
        <v>Friday</v>
      </c>
      <c r="F57" s="344" t="s">
        <v>554</v>
      </c>
      <c r="G57" s="367">
        <v>0.34375</v>
      </c>
      <c r="H57" s="367">
        <v>0.40625</v>
      </c>
      <c r="I57" s="357">
        <f t="shared" si="3"/>
        <v>90</v>
      </c>
      <c r="J57" s="346">
        <f t="shared" si="4"/>
        <v>2250</v>
      </c>
      <c r="K57" s="312"/>
      <c r="L57" s="312"/>
      <c r="M57" s="312"/>
      <c r="N57" s="362"/>
      <c r="O57" s="312"/>
      <c r="P57" s="312"/>
      <c r="R57" s="360">
        <v>45490.0</v>
      </c>
      <c r="S57" s="2">
        <f t="shared" si="5"/>
        <v>738</v>
      </c>
      <c r="AA57" s="312"/>
      <c r="AB57" s="312"/>
      <c r="AC57" s="312"/>
      <c r="AD57" s="312"/>
    </row>
    <row r="58">
      <c r="A58" s="312"/>
      <c r="B58" s="344">
        <f t="shared" si="1"/>
        <v>1956</v>
      </c>
      <c r="C58" s="344">
        <v>90.0</v>
      </c>
      <c r="D58" s="368">
        <v>45474.0</v>
      </c>
      <c r="E58" s="344" t="str">
        <f t="shared" si="2"/>
        <v>Monday</v>
      </c>
      <c r="F58" s="344" t="s">
        <v>554</v>
      </c>
      <c r="G58" s="367">
        <v>0.3472222222222222</v>
      </c>
      <c r="H58" s="367">
        <v>0.4340277777777778</v>
      </c>
      <c r="I58" s="357">
        <f t="shared" si="3"/>
        <v>125</v>
      </c>
      <c r="J58" s="346">
        <f t="shared" si="4"/>
        <v>2716</v>
      </c>
      <c r="K58" s="312"/>
      <c r="L58" s="312"/>
      <c r="M58" s="312"/>
      <c r="N58" s="362"/>
      <c r="O58" s="312"/>
      <c r="P58" s="312"/>
      <c r="R58" s="360">
        <v>45491.0</v>
      </c>
      <c r="S58" s="2">
        <f t="shared" si="5"/>
        <v>4346</v>
      </c>
      <c r="AA58" s="312"/>
      <c r="AB58" s="312"/>
      <c r="AC58" s="312"/>
      <c r="AD58" s="312"/>
    </row>
    <row r="59">
      <c r="A59" s="312"/>
      <c r="B59" s="344">
        <f t="shared" si="1"/>
        <v>1956</v>
      </c>
      <c r="C59" s="344">
        <v>90.0</v>
      </c>
      <c r="D59" s="368">
        <v>45474.0</v>
      </c>
      <c r="E59" s="344" t="str">
        <f t="shared" si="2"/>
        <v>Monday</v>
      </c>
      <c r="F59" s="344" t="s">
        <v>554</v>
      </c>
      <c r="G59" s="367">
        <v>0.8541666666666666</v>
      </c>
      <c r="H59" s="367">
        <v>0.9375</v>
      </c>
      <c r="I59" s="357">
        <f t="shared" si="3"/>
        <v>120</v>
      </c>
      <c r="J59" s="346">
        <f t="shared" si="4"/>
        <v>2608</v>
      </c>
      <c r="K59" s="312"/>
      <c r="L59" s="312"/>
      <c r="M59" s="312"/>
      <c r="N59" s="362"/>
      <c r="O59" s="312"/>
      <c r="P59" s="312"/>
      <c r="R59" s="360">
        <v>45495.0</v>
      </c>
      <c r="S59" s="2">
        <f t="shared" si="5"/>
        <v>434</v>
      </c>
      <c r="AA59" s="312"/>
      <c r="AB59" s="312"/>
      <c r="AC59" s="312"/>
      <c r="AD59" s="312"/>
    </row>
    <row r="60">
      <c r="A60" s="312"/>
      <c r="B60" s="344">
        <f t="shared" si="1"/>
        <v>1956</v>
      </c>
      <c r="C60" s="344">
        <v>90.0</v>
      </c>
      <c r="D60" s="368">
        <v>45475.0</v>
      </c>
      <c r="E60" s="344" t="str">
        <f t="shared" si="2"/>
        <v>Tuesday</v>
      </c>
      <c r="F60" s="344" t="s">
        <v>554</v>
      </c>
      <c r="G60" s="367">
        <v>0.8611111111111112</v>
      </c>
      <c r="H60" s="367">
        <v>0.9055555555555556</v>
      </c>
      <c r="I60" s="357">
        <f t="shared" si="3"/>
        <v>64</v>
      </c>
      <c r="J60" s="346">
        <f t="shared" si="4"/>
        <v>1390</v>
      </c>
      <c r="K60" s="312"/>
      <c r="L60" s="312"/>
      <c r="M60" s="312"/>
      <c r="N60" s="362"/>
      <c r="O60" s="312"/>
      <c r="P60" s="312"/>
      <c r="R60" s="360">
        <v>45496.0</v>
      </c>
      <c r="S60" s="2">
        <f t="shared" si="5"/>
        <v>1977</v>
      </c>
      <c r="AA60" s="312"/>
      <c r="AB60" s="312"/>
      <c r="AC60" s="312"/>
      <c r="AD60" s="312"/>
    </row>
    <row r="61">
      <c r="A61" s="312"/>
      <c r="B61" s="344">
        <f t="shared" si="1"/>
        <v>1956</v>
      </c>
      <c r="C61" s="344">
        <v>90.0</v>
      </c>
      <c r="D61" s="368">
        <v>45476.0</v>
      </c>
      <c r="E61" s="344" t="str">
        <f t="shared" si="2"/>
        <v>Wednesday</v>
      </c>
      <c r="F61" s="344" t="s">
        <v>554</v>
      </c>
      <c r="G61" s="367">
        <v>0.3638888888888889</v>
      </c>
      <c r="H61" s="367">
        <v>0.4326388888888889</v>
      </c>
      <c r="I61" s="357">
        <f t="shared" si="3"/>
        <v>99</v>
      </c>
      <c r="J61" s="346">
        <f t="shared" si="4"/>
        <v>2151</v>
      </c>
      <c r="K61" s="312"/>
      <c r="L61" s="312"/>
      <c r="M61" s="312"/>
      <c r="N61" s="362"/>
      <c r="O61" s="312"/>
      <c r="P61" s="312"/>
      <c r="R61" s="360">
        <v>45497.0</v>
      </c>
      <c r="S61" s="2">
        <f t="shared" si="5"/>
        <v>2042</v>
      </c>
      <c r="AA61" s="312"/>
      <c r="AB61" s="312"/>
      <c r="AC61" s="312"/>
      <c r="AD61" s="312"/>
    </row>
    <row r="62">
      <c r="A62" s="312"/>
      <c r="B62" s="344">
        <f t="shared" si="1"/>
        <v>1956</v>
      </c>
      <c r="C62" s="344">
        <v>90.0</v>
      </c>
      <c r="D62" s="368">
        <v>45476.0</v>
      </c>
      <c r="E62" s="344" t="str">
        <f t="shared" si="2"/>
        <v>Wednesday</v>
      </c>
      <c r="F62" s="344" t="s">
        <v>554</v>
      </c>
      <c r="G62" s="367">
        <v>0.8222222222222222</v>
      </c>
      <c r="H62" s="367">
        <v>0.8298611111111112</v>
      </c>
      <c r="I62" s="357">
        <f t="shared" si="3"/>
        <v>11</v>
      </c>
      <c r="J62" s="346">
        <f t="shared" si="4"/>
        <v>239</v>
      </c>
      <c r="K62" s="312"/>
      <c r="L62" s="312"/>
      <c r="M62" s="312"/>
      <c r="N62" s="362"/>
      <c r="O62" s="312"/>
      <c r="P62" s="312"/>
      <c r="R62" s="360">
        <v>45498.0</v>
      </c>
      <c r="S62" s="2">
        <f t="shared" si="5"/>
        <v>1412</v>
      </c>
      <c r="AA62" s="312"/>
      <c r="AB62" s="312"/>
      <c r="AC62" s="312"/>
      <c r="AD62" s="312"/>
    </row>
    <row r="63">
      <c r="A63" s="312"/>
      <c r="B63" s="344">
        <f t="shared" si="1"/>
        <v>1956</v>
      </c>
      <c r="C63" s="344">
        <v>90.0</v>
      </c>
      <c r="D63" s="368">
        <v>45478.0</v>
      </c>
      <c r="E63" s="344" t="str">
        <f t="shared" si="2"/>
        <v>Friday</v>
      </c>
      <c r="F63" s="344" t="s">
        <v>554</v>
      </c>
      <c r="G63" s="367">
        <v>0.86875</v>
      </c>
      <c r="H63" s="367">
        <v>0.9236111111111112</v>
      </c>
      <c r="I63" s="357">
        <f t="shared" si="3"/>
        <v>79</v>
      </c>
      <c r="J63" s="346">
        <f t="shared" si="4"/>
        <v>1716</v>
      </c>
      <c r="K63" s="312"/>
      <c r="L63" s="312"/>
      <c r="M63" s="312"/>
      <c r="N63" s="362"/>
      <c r="O63" s="312"/>
      <c r="P63" s="312"/>
      <c r="R63" s="360">
        <v>46229.0</v>
      </c>
      <c r="S63" s="2">
        <f t="shared" si="5"/>
        <v>586</v>
      </c>
      <c r="AA63" s="312"/>
      <c r="AB63" s="312"/>
      <c r="AC63" s="312"/>
      <c r="AD63" s="312"/>
    </row>
    <row r="64">
      <c r="A64" s="312"/>
      <c r="B64" s="344">
        <f t="shared" si="1"/>
        <v>1956</v>
      </c>
      <c r="C64" s="344">
        <v>90.0</v>
      </c>
      <c r="D64" s="368">
        <v>45482.0</v>
      </c>
      <c r="E64" s="344" t="str">
        <f t="shared" si="2"/>
        <v>Tuesday</v>
      </c>
      <c r="F64" s="344" t="s">
        <v>554</v>
      </c>
      <c r="G64" s="367">
        <v>0.33125</v>
      </c>
      <c r="H64" s="367">
        <v>0.4305555555555556</v>
      </c>
      <c r="I64" s="357">
        <f t="shared" si="3"/>
        <v>143</v>
      </c>
      <c r="J64" s="346">
        <f t="shared" si="4"/>
        <v>3107</v>
      </c>
      <c r="K64" s="312"/>
      <c r="L64" s="312"/>
      <c r="M64" s="312"/>
      <c r="N64" s="362"/>
      <c r="O64" s="312"/>
      <c r="P64" s="312"/>
      <c r="R64" s="360">
        <v>45502.0</v>
      </c>
      <c r="S64" s="2">
        <f t="shared" si="5"/>
        <v>1738</v>
      </c>
      <c r="AA64" s="312"/>
      <c r="AB64" s="312"/>
      <c r="AC64" s="312"/>
      <c r="AD64" s="312"/>
    </row>
    <row r="65">
      <c r="A65" s="312"/>
      <c r="B65" s="344">
        <f t="shared" si="1"/>
        <v>1956</v>
      </c>
      <c r="C65" s="344">
        <v>90.0</v>
      </c>
      <c r="D65" s="368">
        <v>45483.0</v>
      </c>
      <c r="E65" s="344" t="str">
        <f t="shared" si="2"/>
        <v>Wednesday</v>
      </c>
      <c r="F65" s="344" t="s">
        <v>554</v>
      </c>
      <c r="G65" s="367">
        <v>0.3423611111111111</v>
      </c>
      <c r="H65" s="367">
        <v>0.4263888888888889</v>
      </c>
      <c r="I65" s="357">
        <f t="shared" si="3"/>
        <v>121</v>
      </c>
      <c r="J65" s="346">
        <f t="shared" si="4"/>
        <v>2629</v>
      </c>
      <c r="K65" s="312"/>
      <c r="L65" s="312"/>
      <c r="M65" s="312"/>
      <c r="N65" s="362"/>
      <c r="O65" s="312"/>
      <c r="P65" s="312"/>
      <c r="R65" s="360">
        <v>45503.0</v>
      </c>
      <c r="S65" s="2">
        <f t="shared" si="5"/>
        <v>1608</v>
      </c>
      <c r="AA65" s="312"/>
      <c r="AB65" s="312"/>
      <c r="AC65" s="312"/>
      <c r="AD65" s="312"/>
    </row>
    <row r="66">
      <c r="A66" s="312"/>
      <c r="B66" s="344">
        <f t="shared" si="1"/>
        <v>1956</v>
      </c>
      <c r="C66" s="344">
        <v>90.0</v>
      </c>
      <c r="D66" s="368">
        <v>45483.0</v>
      </c>
      <c r="E66" s="344" t="str">
        <f t="shared" si="2"/>
        <v>Wednesday</v>
      </c>
      <c r="F66" s="344" t="s">
        <v>554</v>
      </c>
      <c r="G66" s="367">
        <v>0.8430555555555556</v>
      </c>
      <c r="H66" s="367">
        <v>0.8979166666666667</v>
      </c>
      <c r="I66" s="357">
        <f t="shared" si="3"/>
        <v>79</v>
      </c>
      <c r="J66" s="346">
        <f t="shared" si="4"/>
        <v>1716</v>
      </c>
      <c r="K66" s="312"/>
      <c r="L66" s="312"/>
      <c r="M66" s="312"/>
      <c r="N66" s="362"/>
      <c r="O66" s="312"/>
      <c r="P66" s="312"/>
      <c r="R66" s="360">
        <v>45504.0</v>
      </c>
      <c r="S66" s="2">
        <f t="shared" si="5"/>
        <v>2564</v>
      </c>
      <c r="AA66" s="312"/>
      <c r="AB66" s="312"/>
      <c r="AC66" s="312"/>
      <c r="AD66" s="312"/>
    </row>
    <row r="67">
      <c r="A67" s="312"/>
      <c r="B67" s="344">
        <f t="shared" si="1"/>
        <v>1956</v>
      </c>
      <c r="C67" s="344">
        <v>90.0</v>
      </c>
      <c r="D67" s="368">
        <v>45484.0</v>
      </c>
      <c r="E67" s="344" t="str">
        <f t="shared" si="2"/>
        <v>Thursday</v>
      </c>
      <c r="F67" s="344" t="s">
        <v>554</v>
      </c>
      <c r="G67" s="367">
        <v>0.33055555555555555</v>
      </c>
      <c r="H67" s="367">
        <v>0.4166666666666667</v>
      </c>
      <c r="I67" s="357">
        <f t="shared" si="3"/>
        <v>124</v>
      </c>
      <c r="J67" s="346">
        <f t="shared" si="4"/>
        <v>2694</v>
      </c>
      <c r="K67" s="312"/>
      <c r="L67" s="312"/>
      <c r="M67" s="312"/>
      <c r="N67" s="362"/>
      <c r="O67" s="312"/>
      <c r="P67" s="312"/>
      <c r="R67" s="360">
        <v>45505.0</v>
      </c>
      <c r="S67" s="2">
        <f t="shared" si="5"/>
        <v>2204</v>
      </c>
      <c r="AA67" s="312"/>
      <c r="AB67" s="312"/>
      <c r="AC67" s="312"/>
      <c r="AD67" s="312"/>
    </row>
    <row r="68">
      <c r="A68" s="312"/>
      <c r="B68" s="344">
        <f t="shared" si="1"/>
        <v>1956</v>
      </c>
      <c r="C68" s="344">
        <v>90.0</v>
      </c>
      <c r="D68" s="368">
        <v>45488.0</v>
      </c>
      <c r="E68" s="344" t="str">
        <f t="shared" si="2"/>
        <v>Monday</v>
      </c>
      <c r="F68" s="344" t="s">
        <v>554</v>
      </c>
      <c r="G68" s="367">
        <v>0.3215277777777778</v>
      </c>
      <c r="H68" s="367">
        <v>0.3875</v>
      </c>
      <c r="I68" s="357">
        <f t="shared" si="3"/>
        <v>95</v>
      </c>
      <c r="J68" s="346">
        <f t="shared" si="4"/>
        <v>2064</v>
      </c>
      <c r="K68" s="312"/>
      <c r="L68" s="312"/>
      <c r="M68" s="312"/>
      <c r="N68" s="362"/>
      <c r="O68" s="312"/>
      <c r="P68" s="312"/>
      <c r="R68" s="360">
        <v>45506.0</v>
      </c>
      <c r="S68" s="2">
        <f t="shared" si="5"/>
        <v>2567</v>
      </c>
      <c r="AA68" s="312"/>
      <c r="AB68" s="312"/>
      <c r="AC68" s="312"/>
      <c r="AD68" s="312"/>
    </row>
    <row r="69">
      <c r="A69" s="312"/>
      <c r="B69" s="344">
        <f t="shared" si="1"/>
        <v>1956</v>
      </c>
      <c r="C69" s="344">
        <v>90.0</v>
      </c>
      <c r="D69" s="368">
        <v>45488.0</v>
      </c>
      <c r="E69" s="344" t="str">
        <f t="shared" si="2"/>
        <v>Monday</v>
      </c>
      <c r="F69" s="344" t="s">
        <v>554</v>
      </c>
      <c r="G69" s="367">
        <v>0.8493055555555555</v>
      </c>
      <c r="H69" s="367">
        <v>0.875</v>
      </c>
      <c r="I69" s="357">
        <f t="shared" si="3"/>
        <v>37</v>
      </c>
      <c r="J69" s="346">
        <f t="shared" si="4"/>
        <v>804</v>
      </c>
      <c r="K69" s="312"/>
      <c r="L69" s="312"/>
      <c r="M69" s="312"/>
      <c r="N69" s="362"/>
      <c r="O69" s="312"/>
      <c r="P69" s="312"/>
      <c r="R69" s="360">
        <v>45509.0</v>
      </c>
      <c r="S69" s="2">
        <f t="shared" si="5"/>
        <v>4362</v>
      </c>
      <c r="AA69" s="312"/>
      <c r="AB69" s="312"/>
      <c r="AC69" s="312"/>
      <c r="AD69" s="312"/>
    </row>
    <row r="70">
      <c r="A70" s="312"/>
      <c r="B70" s="344">
        <f t="shared" si="1"/>
        <v>1956</v>
      </c>
      <c r="C70" s="344">
        <v>90.0</v>
      </c>
      <c r="D70" s="368">
        <v>45488.0</v>
      </c>
      <c r="E70" s="344" t="str">
        <f t="shared" si="2"/>
        <v>Monday</v>
      </c>
      <c r="F70" s="344" t="s">
        <v>600</v>
      </c>
      <c r="G70" s="367">
        <v>0.9152777777777777</v>
      </c>
      <c r="H70" s="367">
        <v>0.9652777777777778</v>
      </c>
      <c r="I70" s="357">
        <f t="shared" si="3"/>
        <v>72</v>
      </c>
      <c r="J70" s="346">
        <f t="shared" si="4"/>
        <v>1564</v>
      </c>
      <c r="K70" s="312"/>
      <c r="L70" s="312"/>
      <c r="M70" s="312"/>
      <c r="N70" s="362"/>
      <c r="O70" s="312"/>
      <c r="P70" s="312"/>
      <c r="R70" s="360">
        <v>45510.0</v>
      </c>
      <c r="S70" s="2">
        <f t="shared" si="5"/>
        <v>3181</v>
      </c>
      <c r="AA70" s="312"/>
      <c r="AB70" s="312"/>
      <c r="AC70" s="312"/>
      <c r="AD70" s="312"/>
    </row>
    <row r="71">
      <c r="A71" s="312"/>
      <c r="B71" s="344">
        <f t="shared" si="1"/>
        <v>1956</v>
      </c>
      <c r="C71" s="344">
        <v>90.0</v>
      </c>
      <c r="D71" s="368">
        <v>45489.0</v>
      </c>
      <c r="E71" s="344" t="str">
        <f t="shared" si="2"/>
        <v>Tuesday</v>
      </c>
      <c r="F71" s="344" t="s">
        <v>600</v>
      </c>
      <c r="G71" s="367">
        <v>0.33541666666666664</v>
      </c>
      <c r="H71" s="367">
        <v>0.3715277777777778</v>
      </c>
      <c r="I71" s="357">
        <f t="shared" si="3"/>
        <v>52</v>
      </c>
      <c r="J71" s="346">
        <f t="shared" si="4"/>
        <v>1130</v>
      </c>
      <c r="K71" s="312"/>
      <c r="L71" s="312"/>
      <c r="M71" s="312"/>
      <c r="N71" s="362"/>
      <c r="O71" s="312"/>
      <c r="P71" s="312"/>
      <c r="R71" s="360">
        <v>45511.0</v>
      </c>
      <c r="S71" s="2">
        <f t="shared" si="5"/>
        <v>2726</v>
      </c>
      <c r="AA71" s="312"/>
      <c r="AB71" s="312"/>
      <c r="AC71" s="312"/>
      <c r="AD71" s="312"/>
    </row>
    <row r="72">
      <c r="A72" s="312"/>
      <c r="B72" s="344">
        <f t="shared" si="1"/>
        <v>1956</v>
      </c>
      <c r="C72" s="344">
        <v>90.0</v>
      </c>
      <c r="D72" s="368">
        <v>45490.0</v>
      </c>
      <c r="E72" s="344" t="str">
        <f t="shared" si="2"/>
        <v>Wednesday</v>
      </c>
      <c r="F72" s="344" t="s">
        <v>554</v>
      </c>
      <c r="G72" s="367">
        <v>0.8604166666666667</v>
      </c>
      <c r="H72" s="367">
        <v>0.8840277777777777</v>
      </c>
      <c r="I72" s="357">
        <f t="shared" si="3"/>
        <v>34</v>
      </c>
      <c r="J72" s="346">
        <f t="shared" si="4"/>
        <v>738</v>
      </c>
      <c r="K72" s="312"/>
      <c r="L72" s="312"/>
      <c r="M72" s="312"/>
      <c r="N72" s="362"/>
      <c r="O72" s="312"/>
      <c r="P72" s="312"/>
      <c r="R72" s="360">
        <v>45512.0</v>
      </c>
      <c r="S72" s="2">
        <f t="shared" si="5"/>
        <v>2385</v>
      </c>
      <c r="AA72" s="312"/>
      <c r="AB72" s="312"/>
      <c r="AC72" s="312"/>
      <c r="AD72" s="312"/>
    </row>
    <row r="73">
      <c r="A73" s="312"/>
      <c r="B73" s="344">
        <f t="shared" si="1"/>
        <v>1956</v>
      </c>
      <c r="C73" s="344">
        <v>90.0</v>
      </c>
      <c r="D73" s="368">
        <v>45491.0</v>
      </c>
      <c r="E73" s="344" t="str">
        <f t="shared" si="2"/>
        <v>Thursday</v>
      </c>
      <c r="F73" s="344" t="s">
        <v>554</v>
      </c>
      <c r="G73" s="367">
        <v>0.33541666666666664</v>
      </c>
      <c r="H73" s="367">
        <v>0.42083333333333334</v>
      </c>
      <c r="I73" s="357">
        <f t="shared" si="3"/>
        <v>123</v>
      </c>
      <c r="J73" s="346">
        <f t="shared" si="4"/>
        <v>2673</v>
      </c>
      <c r="K73" s="312"/>
      <c r="L73" s="312"/>
      <c r="M73" s="312"/>
      <c r="N73" s="362"/>
      <c r="O73" s="312"/>
      <c r="P73" s="312"/>
      <c r="R73" s="360">
        <v>45513.0</v>
      </c>
      <c r="S73" s="2">
        <f t="shared" si="5"/>
        <v>4135</v>
      </c>
      <c r="AA73" s="312"/>
      <c r="AB73" s="312"/>
      <c r="AC73" s="312"/>
      <c r="AD73" s="312"/>
    </row>
    <row r="74">
      <c r="A74" s="312"/>
      <c r="B74" s="344">
        <f t="shared" si="1"/>
        <v>1956</v>
      </c>
      <c r="C74" s="344">
        <v>90.0</v>
      </c>
      <c r="D74" s="368">
        <v>45491.0</v>
      </c>
      <c r="E74" s="344" t="str">
        <f t="shared" si="2"/>
        <v>Thursday</v>
      </c>
      <c r="F74" s="344" t="s">
        <v>554</v>
      </c>
      <c r="G74" s="367">
        <v>0.8701388888888889</v>
      </c>
      <c r="H74" s="367">
        <v>0.9236111111111112</v>
      </c>
      <c r="I74" s="357">
        <f t="shared" si="3"/>
        <v>77</v>
      </c>
      <c r="J74" s="346">
        <f t="shared" si="4"/>
        <v>1673</v>
      </c>
      <c r="K74" s="312"/>
      <c r="L74" s="312"/>
      <c r="M74" s="312"/>
      <c r="N74" s="362"/>
      <c r="O74" s="312"/>
      <c r="P74" s="312"/>
      <c r="R74" s="360">
        <v>45517.0</v>
      </c>
      <c r="S74" s="2">
        <f t="shared" si="5"/>
        <v>3408</v>
      </c>
      <c r="AA74" s="312"/>
      <c r="AB74" s="312"/>
      <c r="AC74" s="312"/>
      <c r="AD74" s="312"/>
    </row>
    <row r="75">
      <c r="A75" s="312"/>
      <c r="B75" s="344">
        <f t="shared" si="1"/>
        <v>1956</v>
      </c>
      <c r="C75" s="344">
        <v>90.0</v>
      </c>
      <c r="D75" s="368">
        <v>45495.0</v>
      </c>
      <c r="E75" s="344" t="str">
        <f t="shared" si="2"/>
        <v>Monday</v>
      </c>
      <c r="F75" s="344" t="s">
        <v>554</v>
      </c>
      <c r="G75" s="367">
        <v>0.35833333333333334</v>
      </c>
      <c r="H75" s="367">
        <v>0.37222222222222223</v>
      </c>
      <c r="I75" s="357">
        <f t="shared" si="3"/>
        <v>20</v>
      </c>
      <c r="J75" s="346">
        <f t="shared" si="4"/>
        <v>434</v>
      </c>
      <c r="K75" s="312"/>
      <c r="L75" s="312"/>
      <c r="M75" s="312"/>
      <c r="N75" s="362"/>
      <c r="O75" s="312"/>
      <c r="P75" s="312"/>
      <c r="R75" s="360">
        <v>45518.0</v>
      </c>
      <c r="S75" s="2">
        <f t="shared" si="5"/>
        <v>3226</v>
      </c>
      <c r="AA75" s="312"/>
      <c r="AB75" s="312"/>
      <c r="AC75" s="312"/>
      <c r="AD75" s="312"/>
    </row>
    <row r="76">
      <c r="A76" s="312"/>
      <c r="B76" s="344">
        <f t="shared" si="1"/>
        <v>1956</v>
      </c>
      <c r="C76" s="344">
        <v>90.0</v>
      </c>
      <c r="D76" s="368">
        <v>45496.0</v>
      </c>
      <c r="E76" s="344" t="str">
        <f t="shared" si="2"/>
        <v>Tuesday</v>
      </c>
      <c r="F76" s="344" t="s">
        <v>554</v>
      </c>
      <c r="G76" s="367">
        <v>0.33402777777777776</v>
      </c>
      <c r="H76" s="367">
        <v>0.3972222222222222</v>
      </c>
      <c r="I76" s="357">
        <f t="shared" si="3"/>
        <v>91</v>
      </c>
      <c r="J76" s="346">
        <f t="shared" si="4"/>
        <v>1977</v>
      </c>
      <c r="K76" s="312"/>
      <c r="L76" s="312"/>
      <c r="M76" s="312"/>
      <c r="N76" s="362"/>
      <c r="O76" s="312"/>
      <c r="P76" s="312"/>
      <c r="R76" s="360">
        <v>45519.0</v>
      </c>
      <c r="S76" s="2">
        <f t="shared" si="5"/>
        <v>3726</v>
      </c>
      <c r="AA76" s="312"/>
      <c r="AB76" s="312"/>
      <c r="AC76" s="312"/>
      <c r="AD76" s="312"/>
    </row>
    <row r="77">
      <c r="A77" s="312"/>
      <c r="B77" s="344">
        <f t="shared" si="1"/>
        <v>1956</v>
      </c>
      <c r="C77" s="344">
        <v>90.0</v>
      </c>
      <c r="D77" s="368">
        <v>45497.0</v>
      </c>
      <c r="E77" s="344" t="str">
        <f t="shared" si="2"/>
        <v>Wednesday</v>
      </c>
      <c r="F77" s="344" t="s">
        <v>554</v>
      </c>
      <c r="G77" s="367">
        <v>0.34305555555555556</v>
      </c>
      <c r="H77" s="367">
        <v>0.4083333333333333</v>
      </c>
      <c r="I77" s="357">
        <f t="shared" si="3"/>
        <v>94</v>
      </c>
      <c r="J77" s="346">
        <f t="shared" si="4"/>
        <v>2042</v>
      </c>
      <c r="K77" s="312"/>
      <c r="L77" s="312"/>
      <c r="M77" s="312"/>
      <c r="N77" s="362"/>
      <c r="O77" s="312"/>
      <c r="P77" s="312"/>
      <c r="R77" s="360">
        <v>45520.0</v>
      </c>
      <c r="S77" s="2">
        <f t="shared" si="5"/>
        <v>3612</v>
      </c>
      <c r="AA77" s="312"/>
      <c r="AB77" s="312"/>
      <c r="AC77" s="312"/>
      <c r="AD77" s="312"/>
    </row>
    <row r="78">
      <c r="A78" s="312"/>
      <c r="B78" s="344">
        <f t="shared" si="1"/>
        <v>1956</v>
      </c>
      <c r="C78" s="344">
        <v>90.0</v>
      </c>
      <c r="D78" s="368">
        <v>45498.0</v>
      </c>
      <c r="E78" s="344" t="str">
        <f t="shared" si="2"/>
        <v>Thursday</v>
      </c>
      <c r="F78" s="344" t="s">
        <v>554</v>
      </c>
      <c r="G78" s="367">
        <v>0.8625</v>
      </c>
      <c r="H78" s="367">
        <v>0.9076388888888889</v>
      </c>
      <c r="I78" s="357">
        <f t="shared" si="3"/>
        <v>65</v>
      </c>
      <c r="J78" s="346">
        <f t="shared" si="4"/>
        <v>1412</v>
      </c>
      <c r="K78" s="312"/>
      <c r="L78" s="312"/>
      <c r="M78" s="312"/>
      <c r="N78" s="362"/>
      <c r="O78" s="312"/>
      <c r="P78" s="312"/>
      <c r="R78" s="360">
        <v>45523.0</v>
      </c>
      <c r="S78" s="2">
        <f t="shared" si="5"/>
        <v>4248</v>
      </c>
      <c r="AA78" s="312"/>
      <c r="AB78" s="312"/>
      <c r="AC78" s="312"/>
      <c r="AD78" s="312"/>
    </row>
    <row r="79">
      <c r="A79" s="312"/>
      <c r="B79" s="344">
        <f t="shared" si="1"/>
        <v>1956</v>
      </c>
      <c r="C79" s="344">
        <v>90.0</v>
      </c>
      <c r="D79" s="368">
        <v>46229.0</v>
      </c>
      <c r="E79" s="344" t="str">
        <f t="shared" si="2"/>
        <v>Sunday</v>
      </c>
      <c r="F79" s="344" t="s">
        <v>554</v>
      </c>
      <c r="G79" s="367">
        <v>0.8701388888888889</v>
      </c>
      <c r="H79" s="367">
        <v>0.8888888888888888</v>
      </c>
      <c r="I79" s="357">
        <f t="shared" si="3"/>
        <v>27</v>
      </c>
      <c r="J79" s="346">
        <f t="shared" si="4"/>
        <v>586</v>
      </c>
      <c r="K79" s="312"/>
      <c r="L79" s="312"/>
      <c r="M79" s="312"/>
      <c r="N79" s="362"/>
      <c r="O79" s="312"/>
      <c r="P79" s="312"/>
      <c r="R79" s="360">
        <v>45524.0</v>
      </c>
      <c r="S79" s="2">
        <f t="shared" si="5"/>
        <v>3089</v>
      </c>
      <c r="AA79" s="312"/>
      <c r="AB79" s="312"/>
      <c r="AC79" s="312"/>
      <c r="AD79" s="312"/>
    </row>
    <row r="80">
      <c r="A80" s="312"/>
      <c r="B80" s="344">
        <f t="shared" si="1"/>
        <v>1956</v>
      </c>
      <c r="C80" s="344">
        <v>90.0</v>
      </c>
      <c r="D80" s="368">
        <v>45502.0</v>
      </c>
      <c r="E80" s="344" t="str">
        <f t="shared" si="2"/>
        <v>Monday</v>
      </c>
      <c r="F80" s="344" t="s">
        <v>554</v>
      </c>
      <c r="G80" s="367">
        <v>0.3798611111111111</v>
      </c>
      <c r="H80" s="367">
        <v>0.4354166666666667</v>
      </c>
      <c r="I80" s="357">
        <f t="shared" si="3"/>
        <v>80</v>
      </c>
      <c r="J80" s="346">
        <f t="shared" si="4"/>
        <v>1738</v>
      </c>
      <c r="K80" s="312"/>
      <c r="L80" s="312"/>
      <c r="M80" s="312"/>
      <c r="N80" s="362"/>
      <c r="O80" s="312"/>
      <c r="P80" s="312"/>
      <c r="R80" s="360">
        <v>45527.0</v>
      </c>
      <c r="S80" s="2">
        <f t="shared" si="5"/>
        <v>2181</v>
      </c>
      <c r="AA80" s="312"/>
      <c r="AB80" s="312"/>
      <c r="AC80" s="312"/>
      <c r="AD80" s="312"/>
    </row>
    <row r="81">
      <c r="A81" s="312"/>
      <c r="B81" s="344">
        <f t="shared" si="1"/>
        <v>1956</v>
      </c>
      <c r="C81" s="344">
        <v>90.0</v>
      </c>
      <c r="D81" s="368">
        <v>45503.0</v>
      </c>
      <c r="E81" s="344" t="str">
        <f t="shared" si="2"/>
        <v>Tuesday</v>
      </c>
      <c r="F81" s="344" t="s">
        <v>554</v>
      </c>
      <c r="G81" s="367">
        <v>0.34375</v>
      </c>
      <c r="H81" s="367">
        <v>0.3951388888888889</v>
      </c>
      <c r="I81" s="357">
        <f t="shared" si="3"/>
        <v>74</v>
      </c>
      <c r="J81" s="346">
        <f t="shared" si="4"/>
        <v>1608</v>
      </c>
      <c r="K81" s="312"/>
      <c r="L81" s="312"/>
      <c r="M81" s="312"/>
      <c r="N81" s="362"/>
      <c r="O81" s="312"/>
      <c r="P81" s="312"/>
      <c r="R81" s="360">
        <v>45531.0</v>
      </c>
      <c r="S81" s="2">
        <f t="shared" si="5"/>
        <v>681</v>
      </c>
      <c r="AA81" s="312"/>
      <c r="AB81" s="312"/>
      <c r="AC81" s="312"/>
      <c r="AD81" s="312"/>
    </row>
    <row r="82">
      <c r="A82" s="312"/>
      <c r="B82" s="344">
        <f t="shared" si="1"/>
        <v>1956</v>
      </c>
      <c r="C82" s="344">
        <v>90.0</v>
      </c>
      <c r="D82" s="368">
        <v>45504.0</v>
      </c>
      <c r="E82" s="344" t="str">
        <f t="shared" si="2"/>
        <v>Wednesday</v>
      </c>
      <c r="F82" s="344" t="s">
        <v>554</v>
      </c>
      <c r="G82" s="367">
        <v>0.29444444444444445</v>
      </c>
      <c r="H82" s="367">
        <v>0.3763888888888889</v>
      </c>
      <c r="I82" s="357">
        <f t="shared" si="3"/>
        <v>118</v>
      </c>
      <c r="J82" s="346">
        <f t="shared" si="4"/>
        <v>2564</v>
      </c>
      <c r="K82" s="312"/>
      <c r="L82" s="312"/>
      <c r="M82" s="312"/>
      <c r="N82" s="362"/>
      <c r="O82" s="312"/>
      <c r="P82" s="312"/>
      <c r="R82" s="360">
        <v>45533.0</v>
      </c>
      <c r="S82" s="2">
        <f t="shared" si="5"/>
        <v>2272</v>
      </c>
      <c r="AA82" s="312"/>
      <c r="AB82" s="312"/>
      <c r="AC82" s="312"/>
      <c r="AD82" s="312"/>
    </row>
    <row r="83">
      <c r="A83" s="312"/>
      <c r="B83" s="344">
        <f t="shared" si="1"/>
        <v>2045</v>
      </c>
      <c r="C83" s="344">
        <v>90.0</v>
      </c>
      <c r="D83" s="368">
        <v>45505.0</v>
      </c>
      <c r="E83" s="344" t="str">
        <f t="shared" si="2"/>
        <v>Thursday</v>
      </c>
      <c r="F83" s="344" t="s">
        <v>554</v>
      </c>
      <c r="G83" s="367">
        <v>0.29583333333333334</v>
      </c>
      <c r="H83" s="367">
        <v>0.36319444444444443</v>
      </c>
      <c r="I83" s="357">
        <f t="shared" si="3"/>
        <v>97</v>
      </c>
      <c r="J83" s="346">
        <f t="shared" si="4"/>
        <v>2204</v>
      </c>
      <c r="K83" s="312"/>
      <c r="L83" s="312"/>
      <c r="M83" s="312"/>
      <c r="N83" s="362"/>
      <c r="O83" s="312"/>
      <c r="P83" s="312"/>
      <c r="R83" s="360">
        <v>45537.0</v>
      </c>
      <c r="S83" s="2">
        <f t="shared" si="5"/>
        <v>1594</v>
      </c>
      <c r="AA83" s="312"/>
      <c r="AB83" s="312"/>
      <c r="AC83" s="312"/>
      <c r="AD83" s="312"/>
    </row>
    <row r="84">
      <c r="A84" s="312"/>
      <c r="B84" s="344">
        <f t="shared" si="1"/>
        <v>2045</v>
      </c>
      <c r="C84" s="344">
        <v>90.0</v>
      </c>
      <c r="D84" s="368">
        <v>45506.0</v>
      </c>
      <c r="E84" s="344" t="str">
        <f t="shared" si="2"/>
        <v>Friday</v>
      </c>
      <c r="F84" s="344" t="s">
        <v>554</v>
      </c>
      <c r="G84" s="367">
        <v>0.33402777777777776</v>
      </c>
      <c r="H84" s="367">
        <v>0.4125</v>
      </c>
      <c r="I84" s="357">
        <f t="shared" si="3"/>
        <v>113</v>
      </c>
      <c r="J84" s="346">
        <f t="shared" si="4"/>
        <v>2567</v>
      </c>
      <c r="K84" s="312"/>
      <c r="L84" s="312"/>
      <c r="M84" s="312"/>
      <c r="N84" s="362"/>
      <c r="O84" s="312"/>
      <c r="P84" s="312"/>
      <c r="R84" s="360">
        <v>45541.0</v>
      </c>
      <c r="S84" s="2">
        <f t="shared" si="5"/>
        <v>3617</v>
      </c>
      <c r="AA84" s="312"/>
      <c r="AB84" s="312"/>
      <c r="AC84" s="312"/>
      <c r="AD84" s="312"/>
    </row>
    <row r="85">
      <c r="A85" s="312"/>
      <c r="B85" s="344">
        <f t="shared" si="1"/>
        <v>2045</v>
      </c>
      <c r="C85" s="344">
        <v>90.0</v>
      </c>
      <c r="D85" s="368">
        <v>45509.0</v>
      </c>
      <c r="E85" s="344" t="str">
        <f t="shared" si="2"/>
        <v>Monday</v>
      </c>
      <c r="F85" s="344" t="s">
        <v>554</v>
      </c>
      <c r="G85" s="367">
        <v>0.36319444444444443</v>
      </c>
      <c r="H85" s="367">
        <v>0.4673611111111111</v>
      </c>
      <c r="I85" s="357">
        <f t="shared" si="3"/>
        <v>150</v>
      </c>
      <c r="J85" s="346">
        <f t="shared" si="4"/>
        <v>3408</v>
      </c>
      <c r="K85" s="312"/>
      <c r="L85" s="312"/>
      <c r="M85" s="312"/>
      <c r="N85" s="362"/>
      <c r="O85" s="312"/>
      <c r="P85" s="312"/>
      <c r="R85" s="360">
        <v>45544.0</v>
      </c>
      <c r="S85" s="2">
        <f t="shared" si="5"/>
        <v>4545</v>
      </c>
      <c r="AA85" s="312"/>
      <c r="AB85" s="312"/>
      <c r="AC85" s="312"/>
      <c r="AD85" s="312"/>
    </row>
    <row r="86">
      <c r="A86" s="312"/>
      <c r="B86" s="344">
        <f t="shared" si="1"/>
        <v>2045</v>
      </c>
      <c r="C86" s="344">
        <v>90.0</v>
      </c>
      <c r="D86" s="368">
        <v>45509.0</v>
      </c>
      <c r="E86" s="344" t="str">
        <f t="shared" si="2"/>
        <v>Monday</v>
      </c>
      <c r="F86" s="344" t="s">
        <v>554</v>
      </c>
      <c r="G86" s="367">
        <v>0.8111111111111111</v>
      </c>
      <c r="H86" s="367">
        <v>0.8402777777777778</v>
      </c>
      <c r="I86" s="357">
        <f t="shared" si="3"/>
        <v>42</v>
      </c>
      <c r="J86" s="346">
        <f t="shared" si="4"/>
        <v>954</v>
      </c>
      <c r="K86" s="312"/>
      <c r="L86" s="312"/>
      <c r="M86" s="312"/>
      <c r="N86" s="362"/>
      <c r="O86" s="312"/>
      <c r="P86" s="312"/>
      <c r="R86" s="360">
        <v>45545.0</v>
      </c>
      <c r="S86" s="2">
        <f t="shared" si="5"/>
        <v>2737</v>
      </c>
      <c r="AA86" s="312"/>
      <c r="AB86" s="312"/>
      <c r="AC86" s="312"/>
      <c r="AD86" s="312"/>
    </row>
    <row r="87">
      <c r="A87" s="312"/>
      <c r="B87" s="344">
        <f t="shared" si="1"/>
        <v>2045</v>
      </c>
      <c r="C87" s="344">
        <v>90.0</v>
      </c>
      <c r="D87" s="368">
        <v>45510.0</v>
      </c>
      <c r="E87" s="344" t="str">
        <f t="shared" si="2"/>
        <v>Tuesday</v>
      </c>
      <c r="F87" s="344" t="s">
        <v>554</v>
      </c>
      <c r="G87" s="367">
        <v>0.2916666666666667</v>
      </c>
      <c r="H87" s="367">
        <v>0.3888888888888889</v>
      </c>
      <c r="I87" s="357">
        <f t="shared" si="3"/>
        <v>140</v>
      </c>
      <c r="J87" s="346">
        <f t="shared" si="4"/>
        <v>3181</v>
      </c>
      <c r="K87" s="312"/>
      <c r="L87" s="312"/>
      <c r="M87" s="312"/>
      <c r="N87" s="362"/>
      <c r="O87" s="312"/>
      <c r="P87" s="312"/>
      <c r="R87" s="360">
        <v>45546.0</v>
      </c>
      <c r="S87" s="2">
        <f t="shared" si="5"/>
        <v>2475</v>
      </c>
      <c r="AA87" s="312"/>
      <c r="AB87" s="312"/>
      <c r="AC87" s="312"/>
      <c r="AD87" s="312"/>
    </row>
    <row r="88">
      <c r="A88" s="312"/>
      <c r="B88" s="344">
        <f t="shared" si="1"/>
        <v>2045</v>
      </c>
      <c r="C88" s="344">
        <v>90.0</v>
      </c>
      <c r="D88" s="368">
        <v>45511.0</v>
      </c>
      <c r="E88" s="344" t="str">
        <f t="shared" si="2"/>
        <v>Wednesday</v>
      </c>
      <c r="F88" s="344" t="s">
        <v>600</v>
      </c>
      <c r="G88" s="367">
        <v>0.2916666666666667</v>
      </c>
      <c r="H88" s="367">
        <v>0.32083333333333336</v>
      </c>
      <c r="I88" s="357">
        <f t="shared" si="3"/>
        <v>42</v>
      </c>
      <c r="J88" s="346">
        <f t="shared" si="4"/>
        <v>954</v>
      </c>
      <c r="K88" s="312"/>
      <c r="L88" s="312"/>
      <c r="M88" s="312"/>
      <c r="N88" s="362"/>
      <c r="O88" s="312"/>
      <c r="P88" s="312"/>
      <c r="R88" s="360">
        <v>45547.0</v>
      </c>
      <c r="S88" s="2">
        <f t="shared" si="5"/>
        <v>3426</v>
      </c>
      <c r="AA88" s="312"/>
      <c r="AB88" s="312"/>
      <c r="AC88" s="312"/>
      <c r="AD88" s="312"/>
    </row>
    <row r="89">
      <c r="A89" s="312"/>
      <c r="B89" s="344">
        <f t="shared" si="1"/>
        <v>2045</v>
      </c>
      <c r="C89" s="344">
        <v>90.0</v>
      </c>
      <c r="D89" s="368">
        <v>45511.0</v>
      </c>
      <c r="E89" s="344" t="str">
        <f t="shared" si="2"/>
        <v>Wednesday</v>
      </c>
      <c r="F89" s="344" t="s">
        <v>554</v>
      </c>
      <c r="G89" s="367">
        <v>0.3215277777777778</v>
      </c>
      <c r="H89" s="367">
        <v>0.37569444444444444</v>
      </c>
      <c r="I89" s="357">
        <f t="shared" si="3"/>
        <v>78</v>
      </c>
      <c r="J89" s="346">
        <f t="shared" si="4"/>
        <v>1772</v>
      </c>
      <c r="K89" s="312"/>
      <c r="L89" s="312"/>
      <c r="M89" s="312"/>
      <c r="N89" s="362"/>
      <c r="O89" s="312"/>
      <c r="P89" s="312"/>
      <c r="R89" s="360">
        <v>45554.0</v>
      </c>
      <c r="S89" s="2">
        <f t="shared" si="5"/>
        <v>2998</v>
      </c>
      <c r="AA89" s="312"/>
      <c r="AB89" s="312"/>
      <c r="AC89" s="312"/>
      <c r="AD89" s="312"/>
    </row>
    <row r="90">
      <c r="A90" s="312"/>
      <c r="B90" s="344">
        <f t="shared" si="1"/>
        <v>2045</v>
      </c>
      <c r="C90" s="344">
        <v>90.0</v>
      </c>
      <c r="D90" s="368">
        <v>45512.0</v>
      </c>
      <c r="E90" s="344" t="str">
        <f t="shared" si="2"/>
        <v>Thursday</v>
      </c>
      <c r="F90" s="344" t="s">
        <v>554</v>
      </c>
      <c r="G90" s="367">
        <v>0.29444444444444445</v>
      </c>
      <c r="H90" s="367">
        <v>0.36736111111111114</v>
      </c>
      <c r="I90" s="357">
        <f t="shared" si="3"/>
        <v>105</v>
      </c>
      <c r="J90" s="346">
        <f t="shared" si="4"/>
        <v>2385</v>
      </c>
      <c r="K90" s="312"/>
      <c r="L90" s="312"/>
      <c r="M90" s="312"/>
      <c r="N90" s="362"/>
      <c r="O90" s="312"/>
      <c r="P90" s="312"/>
      <c r="R90" s="360">
        <v>45555.0</v>
      </c>
      <c r="S90" s="2">
        <f t="shared" si="5"/>
        <v>2189</v>
      </c>
      <c r="AA90" s="312"/>
      <c r="AB90" s="312"/>
      <c r="AC90" s="312"/>
      <c r="AD90" s="312"/>
    </row>
    <row r="91">
      <c r="A91" s="312"/>
      <c r="B91" s="344">
        <f t="shared" si="1"/>
        <v>2045</v>
      </c>
      <c r="C91" s="344">
        <v>90.0</v>
      </c>
      <c r="D91" s="368">
        <v>45513.0</v>
      </c>
      <c r="E91" s="344" t="str">
        <f t="shared" si="2"/>
        <v>Friday</v>
      </c>
      <c r="F91" s="344" t="s">
        <v>554</v>
      </c>
      <c r="G91" s="367">
        <v>0.29444444444444445</v>
      </c>
      <c r="H91" s="367">
        <v>0.3958333333333333</v>
      </c>
      <c r="I91" s="357">
        <f t="shared" si="3"/>
        <v>146</v>
      </c>
      <c r="J91" s="346">
        <f t="shared" si="4"/>
        <v>3317</v>
      </c>
      <c r="K91" s="312"/>
      <c r="L91" s="312"/>
      <c r="M91" s="312"/>
      <c r="N91" s="362"/>
      <c r="O91" s="312"/>
      <c r="P91" s="312"/>
      <c r="R91" s="360">
        <v>45558.0</v>
      </c>
      <c r="S91" s="2">
        <f t="shared" si="5"/>
        <v>1166</v>
      </c>
      <c r="AA91" s="312"/>
      <c r="AB91" s="312"/>
      <c r="AC91" s="312"/>
      <c r="AD91" s="312"/>
    </row>
    <row r="92">
      <c r="A92" s="312"/>
      <c r="B92" s="344">
        <f t="shared" si="1"/>
        <v>2045</v>
      </c>
      <c r="C92" s="344">
        <v>90.0</v>
      </c>
      <c r="D92" s="368">
        <v>45513.0</v>
      </c>
      <c r="E92" s="344" t="str">
        <f t="shared" si="2"/>
        <v>Friday</v>
      </c>
      <c r="F92" s="344" t="s">
        <v>554</v>
      </c>
      <c r="G92" s="367">
        <v>0.8576388888888888</v>
      </c>
      <c r="H92" s="367">
        <v>0.8826388888888889</v>
      </c>
      <c r="I92" s="357">
        <f t="shared" si="3"/>
        <v>36</v>
      </c>
      <c r="J92" s="346">
        <f t="shared" si="4"/>
        <v>818</v>
      </c>
      <c r="K92" s="312"/>
      <c r="L92" s="312"/>
      <c r="M92" s="312"/>
      <c r="N92" s="362"/>
      <c r="O92" s="312"/>
      <c r="P92" s="312"/>
      <c r="R92" s="360">
        <v>45559.0</v>
      </c>
      <c r="S92" s="2">
        <f t="shared" si="5"/>
        <v>1404</v>
      </c>
      <c r="AA92" s="312"/>
      <c r="AB92" s="312"/>
      <c r="AC92" s="312"/>
      <c r="AD92" s="312"/>
    </row>
    <row r="93">
      <c r="A93" s="312"/>
      <c r="B93" s="344">
        <f t="shared" si="1"/>
        <v>2045</v>
      </c>
      <c r="C93" s="344">
        <v>90.0</v>
      </c>
      <c r="D93" s="368">
        <v>45517.0</v>
      </c>
      <c r="E93" s="344" t="str">
        <f t="shared" si="2"/>
        <v>Tuesday</v>
      </c>
      <c r="F93" s="344" t="s">
        <v>554</v>
      </c>
      <c r="G93" s="367">
        <v>0.29305555555555557</v>
      </c>
      <c r="H93" s="367">
        <v>0.3972222222222222</v>
      </c>
      <c r="I93" s="357">
        <f t="shared" si="3"/>
        <v>150</v>
      </c>
      <c r="J93" s="346">
        <f t="shared" si="4"/>
        <v>3408</v>
      </c>
      <c r="K93" s="312"/>
      <c r="L93" s="312"/>
      <c r="M93" s="312"/>
      <c r="N93" s="362"/>
      <c r="O93" s="312"/>
      <c r="P93" s="312"/>
      <c r="R93" s="360">
        <v>45561.0</v>
      </c>
      <c r="S93" s="2">
        <f t="shared" si="5"/>
        <v>1594</v>
      </c>
      <c r="AA93" s="312"/>
      <c r="AB93" s="312"/>
      <c r="AC93" s="312"/>
      <c r="AD93" s="312"/>
    </row>
    <row r="94">
      <c r="A94" s="312"/>
      <c r="B94" s="344">
        <f t="shared" si="1"/>
        <v>2045</v>
      </c>
      <c r="C94" s="344">
        <v>90.0</v>
      </c>
      <c r="D94" s="368">
        <v>45518.0</v>
      </c>
      <c r="E94" s="344" t="str">
        <f t="shared" si="2"/>
        <v>Wednesday</v>
      </c>
      <c r="F94" s="344" t="s">
        <v>554</v>
      </c>
      <c r="G94" s="367">
        <v>0.29305555555555557</v>
      </c>
      <c r="H94" s="367">
        <v>0.39166666666666666</v>
      </c>
      <c r="I94" s="357">
        <f t="shared" si="3"/>
        <v>142</v>
      </c>
      <c r="J94" s="346">
        <f t="shared" si="4"/>
        <v>3226</v>
      </c>
      <c r="K94" s="312"/>
      <c r="L94" s="312"/>
      <c r="M94" s="312"/>
      <c r="N94" s="362"/>
      <c r="O94" s="312"/>
      <c r="P94" s="312"/>
      <c r="R94" s="360">
        <v>45562.0</v>
      </c>
      <c r="S94" s="2">
        <f t="shared" si="5"/>
        <v>1904</v>
      </c>
      <c r="AA94" s="312"/>
      <c r="AB94" s="312"/>
      <c r="AC94" s="312"/>
      <c r="AD94" s="312"/>
    </row>
    <row r="95">
      <c r="A95" s="312"/>
      <c r="B95" s="344">
        <f t="shared" si="1"/>
        <v>2045</v>
      </c>
      <c r="C95" s="344">
        <v>90.0</v>
      </c>
      <c r="D95" s="368">
        <v>45519.0</v>
      </c>
      <c r="E95" s="344" t="str">
        <f t="shared" si="2"/>
        <v>Thursday</v>
      </c>
      <c r="F95" s="344" t="s">
        <v>554</v>
      </c>
      <c r="G95" s="367">
        <v>0.29375</v>
      </c>
      <c r="H95" s="367">
        <v>0.4076388888888889</v>
      </c>
      <c r="I95" s="357">
        <f t="shared" si="3"/>
        <v>164</v>
      </c>
      <c r="J95" s="346">
        <f t="shared" si="4"/>
        <v>3726</v>
      </c>
      <c r="K95" s="312"/>
      <c r="L95" s="312"/>
      <c r="M95" s="312"/>
      <c r="N95" s="362"/>
      <c r="O95" s="312"/>
      <c r="P95" s="312"/>
      <c r="R95" s="360">
        <v>45565.0</v>
      </c>
      <c r="S95" s="2">
        <f t="shared" si="5"/>
        <v>1618</v>
      </c>
      <c r="AA95" s="312"/>
      <c r="AB95" s="312"/>
      <c r="AC95" s="312"/>
      <c r="AD95" s="312"/>
    </row>
    <row r="96">
      <c r="A96" s="312"/>
      <c r="B96" s="344">
        <f t="shared" si="1"/>
        <v>2045</v>
      </c>
      <c r="C96" s="344">
        <v>90.0</v>
      </c>
      <c r="D96" s="368">
        <v>45520.0</v>
      </c>
      <c r="E96" s="344" t="str">
        <f t="shared" si="2"/>
        <v>Friday</v>
      </c>
      <c r="F96" s="344" t="s">
        <v>554</v>
      </c>
      <c r="G96" s="367">
        <v>0.30069444444444443</v>
      </c>
      <c r="H96" s="367">
        <v>0.4111111111111111</v>
      </c>
      <c r="I96" s="357">
        <f t="shared" si="3"/>
        <v>159</v>
      </c>
      <c r="J96" s="346">
        <f t="shared" si="4"/>
        <v>3612</v>
      </c>
      <c r="K96" s="312"/>
      <c r="L96" s="312"/>
      <c r="M96" s="312"/>
      <c r="N96" s="362"/>
      <c r="O96" s="312"/>
      <c r="P96" s="312"/>
      <c r="R96" s="360">
        <v>45566.0</v>
      </c>
      <c r="S96" s="2">
        <f t="shared" si="5"/>
        <v>3477</v>
      </c>
      <c r="AA96" s="312"/>
      <c r="AB96" s="312"/>
      <c r="AC96" s="312"/>
      <c r="AD96" s="312"/>
    </row>
    <row r="97">
      <c r="A97" s="312"/>
      <c r="B97" s="344">
        <f t="shared" si="1"/>
        <v>2045</v>
      </c>
      <c r="C97" s="344">
        <v>90.0</v>
      </c>
      <c r="D97" s="368">
        <v>45523.0</v>
      </c>
      <c r="E97" s="344" t="str">
        <f t="shared" si="2"/>
        <v>Monday</v>
      </c>
      <c r="F97" s="344" t="s">
        <v>554</v>
      </c>
      <c r="G97" s="367">
        <v>0.7513888888888889</v>
      </c>
      <c r="H97" s="367">
        <v>0.8381944444444445</v>
      </c>
      <c r="I97" s="357">
        <f t="shared" si="3"/>
        <v>125</v>
      </c>
      <c r="J97" s="346">
        <f t="shared" si="4"/>
        <v>2840</v>
      </c>
      <c r="K97" s="312"/>
      <c r="L97" s="312"/>
      <c r="M97" s="312"/>
      <c r="N97" s="362"/>
      <c r="O97" s="312"/>
      <c r="P97" s="312"/>
      <c r="R97" s="360">
        <v>45567.0</v>
      </c>
      <c r="S97" s="2">
        <f t="shared" si="5"/>
        <v>4236</v>
      </c>
      <c r="AA97" s="312"/>
      <c r="AB97" s="312"/>
      <c r="AC97" s="312"/>
      <c r="AD97" s="312"/>
    </row>
    <row r="98">
      <c r="A98" s="312"/>
      <c r="B98" s="344">
        <f t="shared" si="1"/>
        <v>2045</v>
      </c>
      <c r="C98" s="344">
        <v>90.0</v>
      </c>
      <c r="D98" s="368">
        <v>45523.0</v>
      </c>
      <c r="E98" s="344" t="str">
        <f t="shared" si="2"/>
        <v>Monday</v>
      </c>
      <c r="F98" s="344" t="s">
        <v>554</v>
      </c>
      <c r="G98" s="367">
        <v>0.9131944444444444</v>
      </c>
      <c r="H98" s="367">
        <v>0.95625</v>
      </c>
      <c r="I98" s="357">
        <f t="shared" si="3"/>
        <v>62</v>
      </c>
      <c r="J98" s="346">
        <f t="shared" si="4"/>
        <v>1408</v>
      </c>
      <c r="K98" s="312"/>
      <c r="L98" s="312"/>
      <c r="M98" s="312"/>
      <c r="N98" s="362"/>
      <c r="O98" s="312"/>
      <c r="P98" s="312"/>
      <c r="R98" s="360"/>
      <c r="S98" s="2">
        <f t="shared" si="5"/>
        <v>0</v>
      </c>
      <c r="AA98" s="312"/>
      <c r="AB98" s="312"/>
      <c r="AC98" s="312"/>
      <c r="AD98" s="312"/>
    </row>
    <row r="99">
      <c r="A99" s="312"/>
      <c r="B99" s="344">
        <f t="shared" si="1"/>
        <v>2045</v>
      </c>
      <c r="C99" s="344">
        <v>90.0</v>
      </c>
      <c r="D99" s="368">
        <v>45524.0</v>
      </c>
      <c r="E99" s="344" t="str">
        <f t="shared" si="2"/>
        <v>Tuesday</v>
      </c>
      <c r="F99" s="344" t="s">
        <v>554</v>
      </c>
      <c r="G99" s="367">
        <v>0.7555555555555555</v>
      </c>
      <c r="H99" s="367">
        <v>0.8111111111111111</v>
      </c>
      <c r="I99" s="357">
        <f t="shared" si="3"/>
        <v>80</v>
      </c>
      <c r="J99" s="346">
        <f t="shared" si="4"/>
        <v>1817</v>
      </c>
      <c r="K99" s="312"/>
      <c r="L99" s="312"/>
      <c r="M99" s="312"/>
      <c r="N99" s="362"/>
      <c r="O99" s="312"/>
      <c r="P99" s="312"/>
      <c r="S99" s="2">
        <f t="shared" si="5"/>
        <v>0</v>
      </c>
      <c r="AA99" s="312"/>
      <c r="AB99" s="312"/>
      <c r="AC99" s="312"/>
      <c r="AD99" s="312"/>
    </row>
    <row r="100">
      <c r="A100" s="312"/>
      <c r="B100" s="344">
        <f t="shared" si="1"/>
        <v>2045</v>
      </c>
      <c r="C100" s="344">
        <v>90.0</v>
      </c>
      <c r="D100" s="368">
        <v>45524.0</v>
      </c>
      <c r="E100" s="344" t="str">
        <f t="shared" si="2"/>
        <v>Tuesday</v>
      </c>
      <c r="F100" s="344" t="s">
        <v>554</v>
      </c>
      <c r="G100" s="367">
        <v>0.8527777777777777</v>
      </c>
      <c r="H100" s="367">
        <v>0.8916666666666667</v>
      </c>
      <c r="I100" s="357">
        <f t="shared" si="3"/>
        <v>56</v>
      </c>
      <c r="J100" s="346">
        <f t="shared" si="4"/>
        <v>1272</v>
      </c>
      <c r="K100" s="312"/>
      <c r="L100" s="312"/>
      <c r="M100" s="312"/>
      <c r="N100" s="362"/>
      <c r="O100" s="312"/>
      <c r="P100" s="312"/>
      <c r="S100" s="2">
        <f t="shared" si="5"/>
        <v>0</v>
      </c>
      <c r="AA100" s="312"/>
      <c r="AB100" s="312"/>
      <c r="AC100" s="312"/>
      <c r="AD100" s="312"/>
    </row>
    <row r="101">
      <c r="A101" s="312"/>
      <c r="B101" s="344">
        <f t="shared" si="1"/>
        <v>2045</v>
      </c>
      <c r="C101" s="344">
        <v>90.0</v>
      </c>
      <c r="D101" s="368">
        <v>45527.0</v>
      </c>
      <c r="E101" s="344" t="str">
        <f t="shared" si="2"/>
        <v>Friday</v>
      </c>
      <c r="F101" s="344" t="s">
        <v>554</v>
      </c>
      <c r="G101" s="367">
        <v>0.3013888888888889</v>
      </c>
      <c r="H101" s="367">
        <v>0.3680555555555556</v>
      </c>
      <c r="I101" s="357">
        <f t="shared" si="3"/>
        <v>96</v>
      </c>
      <c r="J101" s="346">
        <f t="shared" si="4"/>
        <v>2181</v>
      </c>
      <c r="K101" s="312"/>
      <c r="L101" s="312"/>
      <c r="M101" s="312"/>
      <c r="N101" s="362"/>
      <c r="O101" s="312"/>
      <c r="P101" s="312"/>
      <c r="S101" s="2">
        <f t="shared" si="5"/>
        <v>0</v>
      </c>
      <c r="AA101" s="312"/>
      <c r="AB101" s="312"/>
      <c r="AC101" s="312"/>
      <c r="AD101" s="312"/>
    </row>
    <row r="102">
      <c r="A102" s="312"/>
      <c r="B102" s="344">
        <f t="shared" si="1"/>
        <v>2045</v>
      </c>
      <c r="C102" s="344">
        <v>90.0</v>
      </c>
      <c r="D102" s="368">
        <v>45531.0</v>
      </c>
      <c r="E102" s="344" t="str">
        <f t="shared" si="2"/>
        <v>Tuesday</v>
      </c>
      <c r="F102" s="344" t="s">
        <v>554</v>
      </c>
      <c r="G102" s="367">
        <v>0.375</v>
      </c>
      <c r="H102" s="367">
        <v>0.3958333333333333</v>
      </c>
      <c r="I102" s="357">
        <f t="shared" si="3"/>
        <v>30</v>
      </c>
      <c r="J102" s="346">
        <f t="shared" si="4"/>
        <v>681</v>
      </c>
      <c r="K102" s="313" t="s">
        <v>601</v>
      </c>
      <c r="L102" s="313"/>
      <c r="M102" s="312"/>
      <c r="N102" s="362"/>
      <c r="O102" s="312"/>
      <c r="P102" s="312"/>
      <c r="S102" s="2">
        <f t="shared" si="5"/>
        <v>0</v>
      </c>
      <c r="AA102" s="312"/>
      <c r="AB102" s="312"/>
      <c r="AC102" s="312"/>
      <c r="AD102" s="312"/>
    </row>
    <row r="103">
      <c r="A103" s="312"/>
      <c r="B103" s="344">
        <f t="shared" si="1"/>
        <v>2045</v>
      </c>
      <c r="C103" s="344">
        <v>90.0</v>
      </c>
      <c r="D103" s="368">
        <v>45533.0</v>
      </c>
      <c r="E103" s="344" t="str">
        <f t="shared" si="2"/>
        <v>Thursday</v>
      </c>
      <c r="F103" s="344" t="s">
        <v>554</v>
      </c>
      <c r="G103" s="367">
        <v>0.29375</v>
      </c>
      <c r="H103" s="367">
        <v>0.36319444444444443</v>
      </c>
      <c r="I103" s="357">
        <f t="shared" si="3"/>
        <v>100</v>
      </c>
      <c r="J103" s="346">
        <f t="shared" si="4"/>
        <v>2272</v>
      </c>
      <c r="K103" s="313" t="s">
        <v>602</v>
      </c>
      <c r="L103" s="313"/>
      <c r="M103" s="312"/>
      <c r="N103" s="362"/>
      <c r="O103" s="312"/>
      <c r="P103" s="312"/>
      <c r="S103" s="2">
        <f t="shared" si="5"/>
        <v>0</v>
      </c>
      <c r="AA103" s="312"/>
      <c r="AB103" s="312"/>
      <c r="AC103" s="312"/>
      <c r="AD103" s="312"/>
    </row>
    <row r="104">
      <c r="A104" s="312"/>
      <c r="B104" s="344">
        <f t="shared" si="1"/>
        <v>2142</v>
      </c>
      <c r="C104" s="344">
        <v>90.0</v>
      </c>
      <c r="D104" s="368">
        <v>45537.0</v>
      </c>
      <c r="E104" s="344" t="str">
        <f t="shared" si="2"/>
        <v>Monday</v>
      </c>
      <c r="F104" s="344" t="s">
        <v>554</v>
      </c>
      <c r="G104" s="367">
        <v>0.3298611111111111</v>
      </c>
      <c r="H104" s="367">
        <v>0.3763888888888889</v>
      </c>
      <c r="I104" s="357">
        <f t="shared" si="3"/>
        <v>67</v>
      </c>
      <c r="J104" s="346">
        <f t="shared" si="4"/>
        <v>1594</v>
      </c>
      <c r="K104" s="312"/>
      <c r="L104" s="312"/>
      <c r="M104" s="312"/>
      <c r="N104" s="362"/>
      <c r="O104" s="312"/>
      <c r="P104" s="312"/>
      <c r="S104" s="2">
        <f t="shared" si="5"/>
        <v>0</v>
      </c>
      <c r="AA104" s="312"/>
      <c r="AB104" s="312"/>
      <c r="AC104" s="312"/>
      <c r="AD104" s="312"/>
    </row>
    <row r="105">
      <c r="A105" s="312"/>
      <c r="B105" s="344">
        <f t="shared" si="1"/>
        <v>2142</v>
      </c>
      <c r="C105" s="344">
        <v>90.0</v>
      </c>
      <c r="D105" s="368">
        <v>45541.0</v>
      </c>
      <c r="E105" s="344" t="str">
        <f t="shared" si="2"/>
        <v>Friday</v>
      </c>
      <c r="F105" s="344" t="s">
        <v>554</v>
      </c>
      <c r="G105" s="367">
        <v>0.29444444444444445</v>
      </c>
      <c r="H105" s="367">
        <v>0.4</v>
      </c>
      <c r="I105" s="357">
        <f t="shared" si="3"/>
        <v>152</v>
      </c>
      <c r="J105" s="346">
        <f t="shared" si="4"/>
        <v>3617</v>
      </c>
      <c r="K105" s="312"/>
      <c r="L105" s="312"/>
      <c r="M105" s="312"/>
      <c r="N105" s="362"/>
      <c r="O105" s="312"/>
      <c r="P105" s="312"/>
      <c r="S105" s="2">
        <f t="shared" si="5"/>
        <v>0</v>
      </c>
      <c r="AA105" s="312"/>
      <c r="AB105" s="312"/>
      <c r="AC105" s="312"/>
      <c r="AD105" s="312"/>
    </row>
    <row r="106">
      <c r="A106" s="312"/>
      <c r="B106" s="344">
        <f t="shared" si="1"/>
        <v>2142</v>
      </c>
      <c r="C106" s="344">
        <v>90.0</v>
      </c>
      <c r="D106" s="368">
        <v>45544.0</v>
      </c>
      <c r="E106" s="344" t="str">
        <f t="shared" si="2"/>
        <v>Monday</v>
      </c>
      <c r="F106" s="344" t="s">
        <v>554</v>
      </c>
      <c r="G106" s="367">
        <v>0.2902777777777778</v>
      </c>
      <c r="H106" s="367">
        <v>0.36736111111111114</v>
      </c>
      <c r="I106" s="357">
        <f t="shared" si="3"/>
        <v>111</v>
      </c>
      <c r="J106" s="346">
        <f t="shared" si="4"/>
        <v>2641</v>
      </c>
      <c r="K106" s="312"/>
      <c r="L106" s="312"/>
      <c r="M106" s="312"/>
      <c r="N106" s="362"/>
      <c r="O106" s="312"/>
      <c r="P106" s="312"/>
      <c r="S106" s="2">
        <f t="shared" si="5"/>
        <v>0</v>
      </c>
      <c r="AA106" s="312"/>
      <c r="AB106" s="312"/>
      <c r="AC106" s="312"/>
      <c r="AD106" s="312"/>
    </row>
    <row r="107">
      <c r="A107" s="312"/>
      <c r="B107" s="344">
        <f t="shared" si="1"/>
        <v>2142</v>
      </c>
      <c r="C107" s="344">
        <v>90.0</v>
      </c>
      <c r="D107" s="368">
        <v>45544.0</v>
      </c>
      <c r="E107" s="344" t="str">
        <f t="shared" si="2"/>
        <v>Monday</v>
      </c>
      <c r="F107" s="344" t="s">
        <v>554</v>
      </c>
      <c r="G107" s="367">
        <v>0.9270833333333334</v>
      </c>
      <c r="H107" s="367">
        <v>0.9826388888888888</v>
      </c>
      <c r="I107" s="357">
        <f t="shared" si="3"/>
        <v>80</v>
      </c>
      <c r="J107" s="346">
        <f t="shared" si="4"/>
        <v>1904</v>
      </c>
      <c r="K107" s="312"/>
      <c r="L107" s="312"/>
      <c r="M107" s="312"/>
      <c r="N107" s="362"/>
      <c r="O107" s="312"/>
      <c r="P107" s="312"/>
      <c r="S107" s="2">
        <f t="shared" si="5"/>
        <v>0</v>
      </c>
      <c r="AA107" s="312"/>
      <c r="AB107" s="312"/>
      <c r="AC107" s="312"/>
      <c r="AD107" s="312"/>
    </row>
    <row r="108">
      <c r="A108" s="312"/>
      <c r="B108" s="344">
        <f t="shared" si="1"/>
        <v>2142</v>
      </c>
      <c r="C108" s="344">
        <v>90.0</v>
      </c>
      <c r="D108" s="368">
        <v>45545.0</v>
      </c>
      <c r="E108" s="344" t="str">
        <f t="shared" si="2"/>
        <v>Tuesday</v>
      </c>
      <c r="F108" s="344" t="s">
        <v>554</v>
      </c>
      <c r="G108" s="367">
        <v>0.3416666666666667</v>
      </c>
      <c r="H108" s="367">
        <v>0.4215277777777778</v>
      </c>
      <c r="I108" s="357">
        <f t="shared" si="3"/>
        <v>115</v>
      </c>
      <c r="J108" s="346">
        <f t="shared" si="4"/>
        <v>2737</v>
      </c>
      <c r="K108" s="313" t="s">
        <v>603</v>
      </c>
      <c r="L108" s="312"/>
      <c r="M108" s="312"/>
      <c r="N108" s="362"/>
      <c r="O108" s="312"/>
      <c r="P108" s="312"/>
      <c r="S108" s="2">
        <f t="shared" si="5"/>
        <v>0</v>
      </c>
      <c r="AA108" s="312"/>
      <c r="AB108" s="312"/>
      <c r="AC108" s="312"/>
      <c r="AD108" s="312"/>
    </row>
    <row r="109">
      <c r="A109" s="312"/>
      <c r="B109" s="344">
        <f t="shared" si="1"/>
        <v>2142</v>
      </c>
      <c r="C109" s="344">
        <v>90.0</v>
      </c>
      <c r="D109" s="368">
        <v>45546.0</v>
      </c>
      <c r="E109" s="344" t="str">
        <f t="shared" si="2"/>
        <v>Wednesday</v>
      </c>
      <c r="F109" s="344" t="s">
        <v>554</v>
      </c>
      <c r="G109" s="367">
        <v>0.3236111111111111</v>
      </c>
      <c r="H109" s="367">
        <v>0.3958333333333333</v>
      </c>
      <c r="I109" s="357">
        <f t="shared" si="3"/>
        <v>104</v>
      </c>
      <c r="J109" s="346">
        <f t="shared" si="4"/>
        <v>2475</v>
      </c>
      <c r="K109" s="313" t="s">
        <v>604</v>
      </c>
      <c r="L109" s="312"/>
      <c r="M109" s="312"/>
      <c r="N109" s="362"/>
      <c r="O109" s="312"/>
      <c r="P109" s="312"/>
      <c r="S109" s="2">
        <f t="shared" si="5"/>
        <v>0</v>
      </c>
      <c r="AA109" s="312"/>
      <c r="AB109" s="312"/>
      <c r="AC109" s="312"/>
      <c r="AD109" s="312"/>
    </row>
    <row r="110">
      <c r="A110" s="312"/>
      <c r="B110" s="344">
        <f t="shared" si="1"/>
        <v>2142</v>
      </c>
      <c r="C110" s="344">
        <v>90.0</v>
      </c>
      <c r="D110" s="368">
        <v>45547.0</v>
      </c>
      <c r="E110" s="344" t="str">
        <f t="shared" si="2"/>
        <v>Thursday</v>
      </c>
      <c r="F110" s="344" t="s">
        <v>554</v>
      </c>
      <c r="G110" s="367">
        <v>0.29930555555555555</v>
      </c>
      <c r="H110" s="367">
        <v>0.3638888888888889</v>
      </c>
      <c r="I110" s="357">
        <f t="shared" si="3"/>
        <v>93</v>
      </c>
      <c r="J110" s="346">
        <f t="shared" si="4"/>
        <v>2213</v>
      </c>
      <c r="K110" s="313" t="s">
        <v>605</v>
      </c>
      <c r="L110" s="312"/>
      <c r="M110" s="312"/>
      <c r="N110" s="362"/>
      <c r="O110" s="312"/>
      <c r="P110" s="312"/>
      <c r="S110" s="2">
        <f t="shared" si="5"/>
        <v>0</v>
      </c>
      <c r="AA110" s="312"/>
      <c r="AB110" s="312"/>
      <c r="AC110" s="312"/>
      <c r="AD110" s="312"/>
    </row>
    <row r="111">
      <c r="A111" s="312"/>
      <c r="B111" s="344">
        <f t="shared" si="1"/>
        <v>2142</v>
      </c>
      <c r="C111" s="344">
        <v>90.0</v>
      </c>
      <c r="D111" s="368">
        <v>45547.0</v>
      </c>
      <c r="E111" s="344" t="str">
        <f t="shared" si="2"/>
        <v>Thursday</v>
      </c>
      <c r="F111" s="344" t="s">
        <v>554</v>
      </c>
      <c r="G111" s="367">
        <v>0.9159722222222222</v>
      </c>
      <c r="H111" s="367">
        <v>0.9513888888888888</v>
      </c>
      <c r="I111" s="357">
        <f t="shared" si="3"/>
        <v>51</v>
      </c>
      <c r="J111" s="346">
        <f t="shared" si="4"/>
        <v>1213</v>
      </c>
      <c r="K111" s="313" t="s">
        <v>606</v>
      </c>
      <c r="L111" s="312"/>
      <c r="M111" s="312"/>
      <c r="N111" s="362"/>
      <c r="O111" s="312"/>
      <c r="P111" s="312"/>
      <c r="S111" s="2">
        <f t="shared" si="5"/>
        <v>0</v>
      </c>
      <c r="AA111" s="312"/>
      <c r="AB111" s="312"/>
      <c r="AC111" s="312"/>
      <c r="AD111" s="312"/>
    </row>
    <row r="112">
      <c r="A112" s="312"/>
      <c r="B112" s="344">
        <f t="shared" si="1"/>
        <v>2142</v>
      </c>
      <c r="C112" s="344">
        <v>90.0</v>
      </c>
      <c r="D112" s="368">
        <v>45554.0</v>
      </c>
      <c r="E112" s="344" t="str">
        <f t="shared" si="2"/>
        <v>Thursday</v>
      </c>
      <c r="F112" s="344" t="s">
        <v>554</v>
      </c>
      <c r="G112" s="367">
        <v>0.29583333333333334</v>
      </c>
      <c r="H112" s="367">
        <v>0.38333333333333336</v>
      </c>
      <c r="I112" s="357">
        <f t="shared" si="3"/>
        <v>126</v>
      </c>
      <c r="J112" s="346">
        <f t="shared" si="4"/>
        <v>2998</v>
      </c>
      <c r="K112" s="313" t="s">
        <v>607</v>
      </c>
      <c r="L112" s="312"/>
      <c r="M112" s="312"/>
      <c r="N112" s="362"/>
      <c r="O112" s="312"/>
      <c r="P112" s="312"/>
      <c r="S112" s="2">
        <f t="shared" si="5"/>
        <v>0</v>
      </c>
      <c r="AA112" s="312"/>
      <c r="AB112" s="312"/>
      <c r="AC112" s="312"/>
      <c r="AD112" s="312"/>
    </row>
    <row r="113">
      <c r="A113" s="312"/>
      <c r="B113" s="344">
        <f t="shared" si="1"/>
        <v>2142</v>
      </c>
      <c r="C113" s="344">
        <v>90.0</v>
      </c>
      <c r="D113" s="368">
        <v>45555.0</v>
      </c>
      <c r="E113" s="344" t="str">
        <f t="shared" si="2"/>
        <v>Friday</v>
      </c>
      <c r="F113" s="344" t="s">
        <v>554</v>
      </c>
      <c r="G113" s="367">
        <v>0.3590277777777778</v>
      </c>
      <c r="H113" s="367">
        <v>0.4</v>
      </c>
      <c r="I113" s="357">
        <f t="shared" si="3"/>
        <v>59</v>
      </c>
      <c r="J113" s="346">
        <f t="shared" si="4"/>
        <v>1404</v>
      </c>
      <c r="K113" s="313" t="s">
        <v>608</v>
      </c>
      <c r="L113" s="312"/>
      <c r="M113" s="312"/>
      <c r="N113" s="362"/>
      <c r="O113" s="312"/>
      <c r="P113" s="312"/>
      <c r="S113" s="2">
        <f t="shared" si="5"/>
        <v>0</v>
      </c>
      <c r="AA113" s="312"/>
      <c r="AB113" s="312"/>
      <c r="AC113" s="312"/>
      <c r="AD113" s="312"/>
    </row>
    <row r="114">
      <c r="A114" s="312"/>
      <c r="B114" s="344">
        <f t="shared" si="1"/>
        <v>2142</v>
      </c>
      <c r="C114" s="344">
        <v>90.0</v>
      </c>
      <c r="D114" s="368">
        <v>45555.0</v>
      </c>
      <c r="E114" s="344" t="str">
        <f t="shared" si="2"/>
        <v>Friday</v>
      </c>
      <c r="F114" s="344" t="s">
        <v>554</v>
      </c>
      <c r="G114" s="367">
        <v>0.8326388888888889</v>
      </c>
      <c r="H114" s="367">
        <v>0.8555555555555555</v>
      </c>
      <c r="I114" s="357">
        <f t="shared" si="3"/>
        <v>33</v>
      </c>
      <c r="J114" s="346">
        <f t="shared" si="4"/>
        <v>785</v>
      </c>
      <c r="K114" s="313" t="s">
        <v>609</v>
      </c>
      <c r="L114" s="312"/>
      <c r="M114" s="312"/>
      <c r="N114" s="362"/>
      <c r="O114" s="312"/>
      <c r="P114" s="312"/>
      <c r="S114" s="2">
        <f t="shared" si="5"/>
        <v>0</v>
      </c>
      <c r="AA114" s="312"/>
      <c r="AB114" s="312"/>
      <c r="AC114" s="312"/>
      <c r="AD114" s="312"/>
    </row>
    <row r="115">
      <c r="A115" s="312"/>
      <c r="B115" s="344">
        <f t="shared" si="1"/>
        <v>2142</v>
      </c>
      <c r="C115" s="344">
        <v>90.0</v>
      </c>
      <c r="D115" s="368">
        <v>45558.0</v>
      </c>
      <c r="E115" s="344" t="str">
        <f t="shared" si="2"/>
        <v>Monday</v>
      </c>
      <c r="F115" s="344" t="s">
        <v>554</v>
      </c>
      <c r="G115" s="367">
        <v>0.9013888888888889</v>
      </c>
      <c r="H115" s="367">
        <v>0.9354166666666667</v>
      </c>
      <c r="I115" s="357">
        <f t="shared" si="3"/>
        <v>49</v>
      </c>
      <c r="J115" s="346">
        <f t="shared" si="4"/>
        <v>1166</v>
      </c>
      <c r="K115" s="313" t="s">
        <v>610</v>
      </c>
      <c r="L115" s="312"/>
      <c r="M115" s="312"/>
      <c r="N115" s="362"/>
      <c r="O115" s="312"/>
      <c r="P115" s="312"/>
      <c r="S115" s="2">
        <f t="shared" si="5"/>
        <v>0</v>
      </c>
      <c r="AA115" s="312"/>
      <c r="AB115" s="312"/>
      <c r="AC115" s="312"/>
      <c r="AD115" s="312"/>
    </row>
    <row r="116">
      <c r="A116" s="312"/>
      <c r="B116" s="344">
        <f t="shared" si="1"/>
        <v>2142</v>
      </c>
      <c r="C116" s="344">
        <v>90.0</v>
      </c>
      <c r="D116" s="368">
        <v>45559.0</v>
      </c>
      <c r="E116" s="344" t="str">
        <f t="shared" si="2"/>
        <v>Tuesday</v>
      </c>
      <c r="F116" s="344" t="s">
        <v>554</v>
      </c>
      <c r="G116" s="367">
        <v>0.29444444444444445</v>
      </c>
      <c r="H116" s="367">
        <v>0.33541666666666664</v>
      </c>
      <c r="I116" s="357">
        <f t="shared" si="3"/>
        <v>59</v>
      </c>
      <c r="J116" s="346">
        <f t="shared" si="4"/>
        <v>1404</v>
      </c>
      <c r="K116" s="312"/>
      <c r="L116" s="312"/>
      <c r="M116" s="312"/>
      <c r="N116" s="362"/>
      <c r="O116" s="312"/>
      <c r="P116" s="312"/>
      <c r="S116" s="2">
        <f t="shared" si="5"/>
        <v>0</v>
      </c>
      <c r="AA116" s="312"/>
      <c r="AB116" s="312"/>
      <c r="AC116" s="312"/>
      <c r="AD116" s="312"/>
    </row>
    <row r="117">
      <c r="A117" s="312"/>
      <c r="B117" s="344">
        <f t="shared" si="1"/>
        <v>2142</v>
      </c>
      <c r="C117" s="344">
        <v>90.0</v>
      </c>
      <c r="D117" s="368">
        <v>45561.0</v>
      </c>
      <c r="E117" s="344" t="str">
        <f t="shared" si="2"/>
        <v>Thursday</v>
      </c>
      <c r="F117" s="344" t="s">
        <v>554</v>
      </c>
      <c r="G117" s="367">
        <v>0.2972222222222222</v>
      </c>
      <c r="H117" s="367">
        <v>0.34375</v>
      </c>
      <c r="I117" s="357">
        <f t="shared" si="3"/>
        <v>67</v>
      </c>
      <c r="J117" s="346">
        <f t="shared" si="4"/>
        <v>1594</v>
      </c>
      <c r="K117" s="312"/>
      <c r="L117" s="312"/>
      <c r="M117" s="312"/>
      <c r="N117" s="362"/>
      <c r="O117" s="312"/>
      <c r="P117" s="312"/>
      <c r="S117" s="2">
        <f t="shared" si="5"/>
        <v>0</v>
      </c>
      <c r="AA117" s="312"/>
      <c r="AB117" s="312"/>
      <c r="AC117" s="312"/>
      <c r="AD117" s="312"/>
    </row>
    <row r="118">
      <c r="A118" s="312"/>
      <c r="B118" s="344">
        <f t="shared" si="1"/>
        <v>2142</v>
      </c>
      <c r="C118" s="344">
        <v>90.0</v>
      </c>
      <c r="D118" s="368">
        <v>45562.0</v>
      </c>
      <c r="E118" s="344" t="str">
        <f t="shared" si="2"/>
        <v>Friday</v>
      </c>
      <c r="F118" s="344" t="s">
        <v>554</v>
      </c>
      <c r="G118" s="367">
        <v>0.2916666666666667</v>
      </c>
      <c r="H118" s="367">
        <v>0.3472222222222222</v>
      </c>
      <c r="I118" s="357">
        <f t="shared" si="3"/>
        <v>80</v>
      </c>
      <c r="J118" s="346">
        <f t="shared" si="4"/>
        <v>1904</v>
      </c>
      <c r="K118" s="313" t="s">
        <v>611</v>
      </c>
      <c r="L118" s="312"/>
      <c r="M118" s="312"/>
      <c r="N118" s="362"/>
      <c r="O118" s="312"/>
      <c r="P118" s="312"/>
      <c r="S118" s="2">
        <f t="shared" si="5"/>
        <v>0</v>
      </c>
      <c r="AA118" s="312"/>
      <c r="AB118" s="312"/>
      <c r="AC118" s="312"/>
      <c r="AD118" s="312"/>
    </row>
    <row r="119">
      <c r="A119" s="312"/>
      <c r="B119" s="344">
        <f t="shared" si="1"/>
        <v>2142</v>
      </c>
      <c r="C119" s="344">
        <v>90.0</v>
      </c>
      <c r="D119" s="368">
        <v>45565.0</v>
      </c>
      <c r="E119" s="344" t="str">
        <f t="shared" si="2"/>
        <v>Monday</v>
      </c>
      <c r="F119" s="344" t="s">
        <v>554</v>
      </c>
      <c r="G119" s="367">
        <v>0.31319444444444444</v>
      </c>
      <c r="H119" s="367">
        <v>0.36041666666666666</v>
      </c>
      <c r="I119" s="357">
        <f t="shared" si="3"/>
        <v>68</v>
      </c>
      <c r="J119" s="346">
        <f t="shared" si="4"/>
        <v>1618</v>
      </c>
      <c r="K119" s="313" t="s">
        <v>612</v>
      </c>
      <c r="L119" s="312"/>
      <c r="M119" s="312"/>
      <c r="N119" s="362"/>
      <c r="O119" s="312"/>
      <c r="P119" s="312"/>
      <c r="S119" s="2">
        <f t="shared" si="5"/>
        <v>0</v>
      </c>
      <c r="AA119" s="312"/>
      <c r="AB119" s="312"/>
      <c r="AC119" s="312"/>
      <c r="AD119" s="312"/>
    </row>
    <row r="120">
      <c r="A120" s="312"/>
      <c r="B120" s="344">
        <f t="shared" si="1"/>
        <v>1956</v>
      </c>
      <c r="C120" s="344">
        <v>90.0</v>
      </c>
      <c r="D120" s="368">
        <v>45566.0</v>
      </c>
      <c r="E120" s="344" t="str">
        <f t="shared" si="2"/>
        <v>Tuesday</v>
      </c>
      <c r="F120" s="344" t="s">
        <v>554</v>
      </c>
      <c r="G120" s="367">
        <v>0.3194444444444444</v>
      </c>
      <c r="H120" s="367">
        <v>0.4048611111111111</v>
      </c>
      <c r="I120" s="357">
        <f t="shared" si="3"/>
        <v>123</v>
      </c>
      <c r="J120" s="346">
        <f t="shared" si="4"/>
        <v>2673</v>
      </c>
      <c r="K120" s="313" t="s">
        <v>613</v>
      </c>
      <c r="L120" s="312"/>
      <c r="M120" s="312"/>
      <c r="N120" s="362"/>
      <c r="O120" s="312"/>
      <c r="P120" s="312"/>
      <c r="S120" s="2">
        <f t="shared" si="5"/>
        <v>0</v>
      </c>
      <c r="AA120" s="312"/>
      <c r="AB120" s="312"/>
      <c r="AC120" s="312"/>
      <c r="AD120" s="312"/>
    </row>
    <row r="121">
      <c r="A121" s="312"/>
      <c r="B121" s="344">
        <f t="shared" si="1"/>
        <v>1956</v>
      </c>
      <c r="C121" s="344">
        <v>90.0</v>
      </c>
      <c r="D121" s="368">
        <v>45566.0</v>
      </c>
      <c r="E121" s="344" t="str">
        <f t="shared" si="2"/>
        <v>Tuesday</v>
      </c>
      <c r="F121" s="344" t="s">
        <v>554</v>
      </c>
      <c r="G121" s="367">
        <v>0.9243055555555556</v>
      </c>
      <c r="H121" s="367">
        <v>0.95</v>
      </c>
      <c r="I121" s="357">
        <f t="shared" si="3"/>
        <v>37</v>
      </c>
      <c r="J121" s="346">
        <f t="shared" si="4"/>
        <v>804</v>
      </c>
      <c r="K121" s="313"/>
      <c r="L121" s="312"/>
      <c r="M121" s="312"/>
      <c r="N121" s="362"/>
      <c r="O121" s="312"/>
      <c r="P121" s="312"/>
      <c r="S121" s="2">
        <f t="shared" si="5"/>
        <v>0</v>
      </c>
      <c r="AA121" s="312"/>
      <c r="AB121" s="312"/>
      <c r="AC121" s="312"/>
      <c r="AD121" s="312"/>
    </row>
    <row r="122">
      <c r="A122" s="312"/>
      <c r="B122" s="344">
        <f t="shared" si="1"/>
        <v>1956</v>
      </c>
      <c r="C122" s="344">
        <v>90.0</v>
      </c>
      <c r="D122" s="368">
        <v>45567.0</v>
      </c>
      <c r="E122" s="344" t="str">
        <f t="shared" si="2"/>
        <v>Wednesday</v>
      </c>
      <c r="F122" s="344" t="s">
        <v>554</v>
      </c>
      <c r="G122" s="367">
        <v>0.3402777777777778</v>
      </c>
      <c r="H122" s="367">
        <v>0.39791666666666664</v>
      </c>
      <c r="I122" s="357">
        <f t="shared" si="3"/>
        <v>83</v>
      </c>
      <c r="J122" s="346">
        <f t="shared" si="4"/>
        <v>1803</v>
      </c>
      <c r="K122" s="313" t="s">
        <v>614</v>
      </c>
      <c r="L122" s="312"/>
      <c r="M122" s="312"/>
      <c r="N122" s="362"/>
      <c r="O122" s="312"/>
      <c r="P122" s="312"/>
      <c r="S122" s="2">
        <f t="shared" si="5"/>
        <v>0</v>
      </c>
      <c r="AA122" s="312"/>
      <c r="AB122" s="312"/>
      <c r="AC122" s="312"/>
      <c r="AD122" s="312"/>
    </row>
    <row r="123">
      <c r="A123" s="312"/>
      <c r="B123" s="344">
        <f t="shared" si="1"/>
        <v>1956</v>
      </c>
      <c r="C123" s="344">
        <v>90.0</v>
      </c>
      <c r="D123" s="368">
        <v>45567.0</v>
      </c>
      <c r="E123" s="344" t="str">
        <f t="shared" si="2"/>
        <v>Wednesday</v>
      </c>
      <c r="F123" s="344" t="s">
        <v>554</v>
      </c>
      <c r="G123" s="367">
        <v>0.7715277777777778</v>
      </c>
      <c r="H123" s="367">
        <v>0.8333333333333334</v>
      </c>
      <c r="I123" s="357">
        <f t="shared" si="3"/>
        <v>89</v>
      </c>
      <c r="J123" s="346">
        <f t="shared" si="4"/>
        <v>1934</v>
      </c>
      <c r="K123" s="313" t="s">
        <v>615</v>
      </c>
      <c r="L123" s="312"/>
      <c r="M123" s="312"/>
      <c r="N123" s="362"/>
      <c r="O123" s="312"/>
      <c r="P123" s="312"/>
      <c r="S123" s="2">
        <f t="shared" si="5"/>
        <v>0</v>
      </c>
      <c r="AA123" s="312"/>
      <c r="AB123" s="312"/>
      <c r="AC123" s="312"/>
      <c r="AD123" s="312"/>
    </row>
    <row r="124">
      <c r="A124" s="312"/>
      <c r="B124" s="344">
        <f t="shared" si="1"/>
        <v>1956</v>
      </c>
      <c r="C124" s="344">
        <v>90.0</v>
      </c>
      <c r="D124" s="368">
        <v>45567.0</v>
      </c>
      <c r="E124" s="344" t="str">
        <f t="shared" si="2"/>
        <v>Wednesday</v>
      </c>
      <c r="F124" s="344" t="s">
        <v>554</v>
      </c>
      <c r="G124" s="367">
        <v>0.84375</v>
      </c>
      <c r="H124" s="367">
        <v>0.8597222222222223</v>
      </c>
      <c r="I124" s="357">
        <f t="shared" si="3"/>
        <v>23</v>
      </c>
      <c r="J124" s="346">
        <f t="shared" si="4"/>
        <v>499</v>
      </c>
      <c r="K124" s="313" t="s">
        <v>616</v>
      </c>
      <c r="L124" s="312"/>
      <c r="M124" s="312"/>
      <c r="N124" s="362"/>
      <c r="O124" s="312"/>
      <c r="P124" s="312"/>
      <c r="S124" s="2">
        <f t="shared" si="5"/>
        <v>0</v>
      </c>
      <c r="AA124" s="312"/>
      <c r="AB124" s="312"/>
      <c r="AC124" s="312"/>
      <c r="AD124" s="312"/>
    </row>
    <row r="125">
      <c r="A125" s="312"/>
      <c r="B125" s="344">
        <f t="shared" si="1"/>
        <v>2045</v>
      </c>
      <c r="C125" s="344">
        <v>90.0</v>
      </c>
      <c r="D125" s="369"/>
      <c r="E125" s="344" t="str">
        <f t="shared" si="2"/>
        <v>Saturday</v>
      </c>
      <c r="F125" s="344" t="s">
        <v>554</v>
      </c>
      <c r="G125" s="370"/>
      <c r="H125" s="370"/>
      <c r="I125" s="357">
        <f t="shared" si="3"/>
        <v>0</v>
      </c>
      <c r="J125" s="346">
        <f t="shared" si="4"/>
        <v>0</v>
      </c>
      <c r="K125" s="312"/>
      <c r="L125" s="312"/>
      <c r="M125" s="312"/>
      <c r="N125" s="362"/>
      <c r="O125" s="312"/>
      <c r="P125" s="312"/>
      <c r="S125" s="2">
        <f t="shared" si="5"/>
        <v>0</v>
      </c>
      <c r="AA125" s="312"/>
      <c r="AB125" s="312"/>
      <c r="AC125" s="312"/>
      <c r="AD125" s="312"/>
    </row>
    <row r="126">
      <c r="A126" s="312"/>
      <c r="B126" s="344">
        <f t="shared" si="1"/>
        <v>2045</v>
      </c>
      <c r="C126" s="344">
        <v>90.0</v>
      </c>
      <c r="D126" s="369"/>
      <c r="E126" s="344" t="str">
        <f t="shared" si="2"/>
        <v>Saturday</v>
      </c>
      <c r="F126" s="344" t="s">
        <v>554</v>
      </c>
      <c r="G126" s="370"/>
      <c r="H126" s="370"/>
      <c r="I126" s="357">
        <f t="shared" si="3"/>
        <v>0</v>
      </c>
      <c r="J126" s="346">
        <f t="shared" si="4"/>
        <v>0</v>
      </c>
      <c r="K126" s="312"/>
      <c r="L126" s="312"/>
      <c r="M126" s="312"/>
      <c r="N126" s="362"/>
      <c r="O126" s="312"/>
      <c r="P126" s="312"/>
      <c r="S126" s="2">
        <f t="shared" si="5"/>
        <v>0</v>
      </c>
      <c r="AA126" s="312"/>
      <c r="AB126" s="312"/>
      <c r="AC126" s="312"/>
      <c r="AD126" s="312"/>
    </row>
    <row r="127">
      <c r="A127" s="312"/>
      <c r="B127" s="344">
        <f t="shared" si="1"/>
        <v>2045</v>
      </c>
      <c r="C127" s="344">
        <v>90.0</v>
      </c>
      <c r="D127" s="369"/>
      <c r="E127" s="344" t="str">
        <f t="shared" si="2"/>
        <v>Saturday</v>
      </c>
      <c r="F127" s="344" t="s">
        <v>554</v>
      </c>
      <c r="G127" s="370"/>
      <c r="H127" s="370"/>
      <c r="I127" s="357">
        <f t="shared" si="3"/>
        <v>0</v>
      </c>
      <c r="J127" s="346">
        <f t="shared" si="4"/>
        <v>0</v>
      </c>
      <c r="K127" s="312"/>
      <c r="L127" s="312"/>
      <c r="M127" s="312"/>
      <c r="N127" s="362"/>
      <c r="O127" s="312"/>
      <c r="P127" s="312"/>
      <c r="S127" s="2">
        <f t="shared" si="5"/>
        <v>0</v>
      </c>
      <c r="AA127" s="312"/>
      <c r="AB127" s="312"/>
      <c r="AC127" s="312"/>
      <c r="AD127" s="312"/>
    </row>
    <row r="128">
      <c r="A128" s="312"/>
      <c r="B128" s="344">
        <f t="shared" si="1"/>
        <v>2045</v>
      </c>
      <c r="C128" s="344">
        <v>90.0</v>
      </c>
      <c r="D128" s="369"/>
      <c r="E128" s="344" t="str">
        <f t="shared" si="2"/>
        <v>Saturday</v>
      </c>
      <c r="F128" s="344" t="s">
        <v>554</v>
      </c>
      <c r="G128" s="370"/>
      <c r="H128" s="370"/>
      <c r="I128" s="357">
        <f t="shared" si="3"/>
        <v>0</v>
      </c>
      <c r="J128" s="346">
        <f t="shared" si="4"/>
        <v>0</v>
      </c>
      <c r="K128" s="312"/>
      <c r="L128" s="312"/>
      <c r="M128" s="312"/>
      <c r="N128" s="362"/>
      <c r="O128" s="312"/>
      <c r="P128" s="312"/>
      <c r="S128" s="2">
        <f t="shared" si="5"/>
        <v>0</v>
      </c>
      <c r="AA128" s="312"/>
      <c r="AB128" s="312"/>
      <c r="AC128" s="312"/>
      <c r="AD128" s="312"/>
    </row>
    <row r="129">
      <c r="A129" s="312"/>
      <c r="B129" s="344">
        <f t="shared" si="1"/>
        <v>2045</v>
      </c>
      <c r="C129" s="344">
        <v>90.0</v>
      </c>
      <c r="D129" s="369"/>
      <c r="E129" s="344" t="str">
        <f t="shared" si="2"/>
        <v>Saturday</v>
      </c>
      <c r="F129" s="344" t="s">
        <v>554</v>
      </c>
      <c r="G129" s="370"/>
      <c r="H129" s="370"/>
      <c r="I129" s="357">
        <f t="shared" si="3"/>
        <v>0</v>
      </c>
      <c r="J129" s="346">
        <f t="shared" si="4"/>
        <v>0</v>
      </c>
      <c r="K129" s="312"/>
      <c r="L129" s="312"/>
      <c r="M129" s="312"/>
      <c r="N129" s="362"/>
      <c r="O129" s="312"/>
      <c r="P129" s="312"/>
      <c r="S129" s="2">
        <f t="shared" si="5"/>
        <v>0</v>
      </c>
      <c r="AA129" s="312"/>
      <c r="AB129" s="312"/>
      <c r="AC129" s="312"/>
      <c r="AD129" s="312"/>
    </row>
    <row r="130">
      <c r="A130" s="312"/>
      <c r="B130" s="344">
        <f t="shared" si="1"/>
        <v>2045</v>
      </c>
      <c r="C130" s="344">
        <v>90.0</v>
      </c>
      <c r="D130" s="369"/>
      <c r="E130" s="344" t="str">
        <f t="shared" si="2"/>
        <v>Saturday</v>
      </c>
      <c r="F130" s="344" t="s">
        <v>554</v>
      </c>
      <c r="G130" s="370"/>
      <c r="H130" s="370"/>
      <c r="I130" s="357">
        <f t="shared" si="3"/>
        <v>0</v>
      </c>
      <c r="J130" s="346">
        <f t="shared" si="4"/>
        <v>0</v>
      </c>
      <c r="K130" s="312"/>
      <c r="L130" s="312"/>
      <c r="M130" s="312"/>
      <c r="N130" s="362"/>
      <c r="O130" s="312"/>
      <c r="P130" s="312"/>
      <c r="S130" s="2">
        <f t="shared" si="5"/>
        <v>0</v>
      </c>
      <c r="AA130" s="312"/>
      <c r="AB130" s="312"/>
      <c r="AC130" s="312"/>
      <c r="AD130" s="312"/>
    </row>
    <row r="131">
      <c r="A131" s="312"/>
      <c r="B131" s="344">
        <f t="shared" si="1"/>
        <v>2045</v>
      </c>
      <c r="C131" s="344">
        <v>90.0</v>
      </c>
      <c r="D131" s="369"/>
      <c r="E131" s="344" t="str">
        <f t="shared" si="2"/>
        <v>Saturday</v>
      </c>
      <c r="F131" s="344" t="s">
        <v>554</v>
      </c>
      <c r="G131" s="370"/>
      <c r="H131" s="370"/>
      <c r="I131" s="357">
        <f t="shared" si="3"/>
        <v>0</v>
      </c>
      <c r="J131" s="346">
        <f t="shared" si="4"/>
        <v>0</v>
      </c>
      <c r="K131" s="312"/>
      <c r="L131" s="312"/>
      <c r="M131" s="312"/>
      <c r="N131" s="362"/>
      <c r="O131" s="312"/>
      <c r="P131" s="312"/>
      <c r="S131" s="2">
        <f t="shared" si="5"/>
        <v>0</v>
      </c>
      <c r="AA131" s="312"/>
      <c r="AB131" s="312"/>
      <c r="AC131" s="312"/>
      <c r="AD131" s="312"/>
    </row>
    <row r="132">
      <c r="A132" s="312"/>
      <c r="B132" s="344">
        <f t="shared" si="1"/>
        <v>2045</v>
      </c>
      <c r="C132" s="344">
        <v>90.0</v>
      </c>
      <c r="D132" s="369"/>
      <c r="E132" s="344" t="str">
        <f t="shared" si="2"/>
        <v>Saturday</v>
      </c>
      <c r="F132" s="344" t="s">
        <v>554</v>
      </c>
      <c r="G132" s="370"/>
      <c r="H132" s="370"/>
      <c r="I132" s="357">
        <f t="shared" si="3"/>
        <v>0</v>
      </c>
      <c r="J132" s="346">
        <f t="shared" si="4"/>
        <v>0</v>
      </c>
      <c r="K132" s="312"/>
      <c r="L132" s="312"/>
      <c r="M132" s="312"/>
      <c r="N132" s="362"/>
      <c r="O132" s="312"/>
      <c r="P132" s="312"/>
      <c r="S132" s="2">
        <f t="shared" si="5"/>
        <v>0</v>
      </c>
      <c r="AA132" s="312"/>
      <c r="AB132" s="312"/>
      <c r="AC132" s="312"/>
      <c r="AD132" s="312"/>
    </row>
    <row r="133">
      <c r="A133" s="312"/>
      <c r="B133" s="344">
        <f t="shared" si="1"/>
        <v>2045</v>
      </c>
      <c r="C133" s="344">
        <v>90.0</v>
      </c>
      <c r="D133" s="369"/>
      <c r="E133" s="344" t="str">
        <f t="shared" si="2"/>
        <v>Saturday</v>
      </c>
      <c r="F133" s="344" t="s">
        <v>554</v>
      </c>
      <c r="G133" s="370"/>
      <c r="H133" s="370"/>
      <c r="I133" s="357">
        <f t="shared" si="3"/>
        <v>0</v>
      </c>
      <c r="J133" s="346">
        <f t="shared" si="4"/>
        <v>0</v>
      </c>
      <c r="K133" s="312"/>
      <c r="L133" s="312"/>
      <c r="M133" s="312"/>
      <c r="N133" s="362"/>
      <c r="O133" s="312"/>
      <c r="P133" s="312"/>
      <c r="S133" s="2">
        <f t="shared" si="5"/>
        <v>0</v>
      </c>
      <c r="AA133" s="312"/>
      <c r="AB133" s="312"/>
      <c r="AC133" s="312"/>
      <c r="AD133" s="312"/>
    </row>
    <row r="134">
      <c r="A134" s="312"/>
      <c r="B134" s="344">
        <f t="shared" si="1"/>
        <v>2045</v>
      </c>
      <c r="C134" s="344">
        <v>90.0</v>
      </c>
      <c r="D134" s="369"/>
      <c r="E134" s="344" t="str">
        <f t="shared" si="2"/>
        <v>Saturday</v>
      </c>
      <c r="F134" s="344" t="s">
        <v>554</v>
      </c>
      <c r="G134" s="370"/>
      <c r="H134" s="370"/>
      <c r="I134" s="357">
        <f t="shared" si="3"/>
        <v>0</v>
      </c>
      <c r="J134" s="346">
        <f t="shared" si="4"/>
        <v>0</v>
      </c>
      <c r="K134" s="312"/>
      <c r="L134" s="312"/>
      <c r="M134" s="312"/>
      <c r="N134" s="362"/>
      <c r="O134" s="312"/>
      <c r="P134" s="312"/>
      <c r="S134" s="2">
        <f t="shared" si="5"/>
        <v>0</v>
      </c>
      <c r="AA134" s="312"/>
      <c r="AB134" s="312"/>
      <c r="AC134" s="312"/>
      <c r="AD134" s="312"/>
    </row>
    <row r="135">
      <c r="A135" s="312"/>
      <c r="B135" s="344">
        <f t="shared" si="1"/>
        <v>2045</v>
      </c>
      <c r="C135" s="344">
        <v>90.0</v>
      </c>
      <c r="D135" s="369"/>
      <c r="E135" s="344" t="str">
        <f t="shared" si="2"/>
        <v>Saturday</v>
      </c>
      <c r="F135" s="344" t="s">
        <v>554</v>
      </c>
      <c r="G135" s="370"/>
      <c r="H135" s="370"/>
      <c r="I135" s="357">
        <f t="shared" si="3"/>
        <v>0</v>
      </c>
      <c r="J135" s="346">
        <f t="shared" si="4"/>
        <v>0</v>
      </c>
      <c r="K135" s="312"/>
      <c r="L135" s="312"/>
      <c r="M135" s="312"/>
      <c r="N135" s="362"/>
      <c r="O135" s="312"/>
      <c r="P135" s="312"/>
      <c r="S135" s="2">
        <f t="shared" si="5"/>
        <v>0</v>
      </c>
      <c r="AA135" s="312"/>
      <c r="AB135" s="312"/>
      <c r="AC135" s="312"/>
      <c r="AD135" s="312"/>
    </row>
    <row r="136">
      <c r="A136" s="312"/>
      <c r="B136" s="344">
        <f t="shared" si="1"/>
        <v>2045</v>
      </c>
      <c r="C136" s="344">
        <v>90.0</v>
      </c>
      <c r="D136" s="369"/>
      <c r="E136" s="344" t="str">
        <f t="shared" si="2"/>
        <v>Saturday</v>
      </c>
      <c r="F136" s="344" t="s">
        <v>554</v>
      </c>
      <c r="G136" s="370"/>
      <c r="H136" s="370"/>
      <c r="I136" s="357">
        <f t="shared" si="3"/>
        <v>0</v>
      </c>
      <c r="J136" s="346">
        <f t="shared" si="4"/>
        <v>0</v>
      </c>
      <c r="K136" s="312"/>
      <c r="L136" s="312"/>
      <c r="M136" s="312"/>
      <c r="N136" s="362"/>
      <c r="O136" s="312"/>
      <c r="P136" s="312"/>
      <c r="S136" s="2">
        <f t="shared" si="5"/>
        <v>0</v>
      </c>
      <c r="AA136" s="312"/>
      <c r="AB136" s="312"/>
      <c r="AC136" s="312"/>
      <c r="AD136" s="312"/>
    </row>
    <row r="137">
      <c r="A137" s="312"/>
      <c r="B137" s="344">
        <f t="shared" si="1"/>
        <v>2045</v>
      </c>
      <c r="C137" s="344">
        <v>90.0</v>
      </c>
      <c r="D137" s="369"/>
      <c r="E137" s="344" t="str">
        <f t="shared" si="2"/>
        <v>Saturday</v>
      </c>
      <c r="F137" s="344" t="s">
        <v>554</v>
      </c>
      <c r="G137" s="370"/>
      <c r="H137" s="370"/>
      <c r="I137" s="357">
        <f t="shared" si="3"/>
        <v>0</v>
      </c>
      <c r="J137" s="346">
        <f t="shared" si="4"/>
        <v>0</v>
      </c>
      <c r="K137" s="312"/>
      <c r="L137" s="312"/>
      <c r="M137" s="312"/>
      <c r="N137" s="362"/>
      <c r="O137" s="312"/>
      <c r="P137" s="312"/>
      <c r="S137" s="2">
        <f t="shared" si="5"/>
        <v>0</v>
      </c>
      <c r="AA137" s="312"/>
      <c r="AB137" s="312"/>
      <c r="AC137" s="312"/>
      <c r="AD137" s="312"/>
    </row>
    <row r="138">
      <c r="A138" s="312"/>
      <c r="B138" s="344">
        <f t="shared" si="1"/>
        <v>2045</v>
      </c>
      <c r="C138" s="344">
        <v>90.0</v>
      </c>
      <c r="D138" s="369"/>
      <c r="E138" s="344" t="str">
        <f t="shared" si="2"/>
        <v>Saturday</v>
      </c>
      <c r="F138" s="344" t="s">
        <v>554</v>
      </c>
      <c r="G138" s="370"/>
      <c r="H138" s="370"/>
      <c r="I138" s="357">
        <f t="shared" si="3"/>
        <v>0</v>
      </c>
      <c r="J138" s="346">
        <f t="shared" si="4"/>
        <v>0</v>
      </c>
      <c r="K138" s="312"/>
      <c r="L138" s="312"/>
      <c r="M138" s="312"/>
      <c r="N138" s="362"/>
      <c r="O138" s="312"/>
      <c r="P138" s="312"/>
      <c r="S138" s="2">
        <f t="shared" si="5"/>
        <v>0</v>
      </c>
      <c r="AA138" s="312"/>
      <c r="AB138" s="312"/>
      <c r="AC138" s="312"/>
      <c r="AD138" s="312"/>
    </row>
    <row r="139">
      <c r="A139" s="312"/>
      <c r="B139" s="344">
        <f t="shared" si="1"/>
        <v>2045</v>
      </c>
      <c r="C139" s="344">
        <v>90.0</v>
      </c>
      <c r="D139" s="369"/>
      <c r="E139" s="344" t="str">
        <f t="shared" si="2"/>
        <v>Saturday</v>
      </c>
      <c r="F139" s="344" t="s">
        <v>554</v>
      </c>
      <c r="G139" s="370"/>
      <c r="H139" s="370"/>
      <c r="I139" s="357">
        <f t="shared" si="3"/>
        <v>0</v>
      </c>
      <c r="J139" s="346">
        <f t="shared" si="4"/>
        <v>0</v>
      </c>
      <c r="K139" s="312"/>
      <c r="L139" s="312"/>
      <c r="M139" s="312"/>
      <c r="N139" s="362"/>
      <c r="O139" s="312"/>
      <c r="P139" s="312"/>
      <c r="S139" s="2">
        <f t="shared" si="5"/>
        <v>0</v>
      </c>
      <c r="AA139" s="312"/>
      <c r="AB139" s="312"/>
      <c r="AC139" s="312"/>
      <c r="AD139" s="312"/>
    </row>
    <row r="140">
      <c r="A140" s="312"/>
      <c r="B140" s="344">
        <f t="shared" si="1"/>
        <v>2045</v>
      </c>
      <c r="C140" s="344">
        <v>90.0</v>
      </c>
      <c r="D140" s="369"/>
      <c r="E140" s="344" t="str">
        <f t="shared" si="2"/>
        <v>Saturday</v>
      </c>
      <c r="F140" s="344" t="s">
        <v>554</v>
      </c>
      <c r="G140" s="370"/>
      <c r="H140" s="370"/>
      <c r="I140" s="357">
        <f t="shared" si="3"/>
        <v>0</v>
      </c>
      <c r="J140" s="346">
        <f t="shared" si="4"/>
        <v>0</v>
      </c>
      <c r="K140" s="312"/>
      <c r="L140" s="312"/>
      <c r="M140" s="312"/>
      <c r="N140" s="362"/>
      <c r="O140" s="312"/>
      <c r="P140" s="312"/>
      <c r="S140" s="2">
        <f t="shared" si="5"/>
        <v>0</v>
      </c>
      <c r="AA140" s="312"/>
      <c r="AB140" s="312"/>
      <c r="AC140" s="312"/>
      <c r="AD140" s="312"/>
    </row>
    <row r="141">
      <c r="A141" s="312"/>
      <c r="B141" s="344">
        <f t="shared" si="1"/>
        <v>2045</v>
      </c>
      <c r="C141" s="344">
        <v>90.0</v>
      </c>
      <c r="D141" s="369"/>
      <c r="E141" s="344" t="str">
        <f t="shared" si="2"/>
        <v>Saturday</v>
      </c>
      <c r="F141" s="344" t="s">
        <v>554</v>
      </c>
      <c r="G141" s="370"/>
      <c r="H141" s="370"/>
      <c r="I141" s="357">
        <f t="shared" si="3"/>
        <v>0</v>
      </c>
      <c r="J141" s="346">
        <f t="shared" si="4"/>
        <v>0</v>
      </c>
      <c r="K141" s="312"/>
      <c r="L141" s="312"/>
      <c r="M141" s="312"/>
      <c r="N141" s="362"/>
      <c r="O141" s="312"/>
      <c r="P141" s="312"/>
      <c r="S141" s="2">
        <f t="shared" si="5"/>
        <v>0</v>
      </c>
      <c r="AA141" s="312"/>
      <c r="AB141" s="312"/>
      <c r="AC141" s="312"/>
      <c r="AD141" s="312"/>
    </row>
    <row r="142">
      <c r="A142" s="312"/>
      <c r="B142" s="344">
        <f t="shared" si="1"/>
        <v>2045</v>
      </c>
      <c r="C142" s="344">
        <v>90.0</v>
      </c>
      <c r="D142" s="369"/>
      <c r="E142" s="344" t="str">
        <f t="shared" si="2"/>
        <v>Saturday</v>
      </c>
      <c r="F142" s="344" t="s">
        <v>554</v>
      </c>
      <c r="G142" s="370"/>
      <c r="H142" s="370"/>
      <c r="I142" s="357">
        <f t="shared" si="3"/>
        <v>0</v>
      </c>
      <c r="J142" s="346">
        <f t="shared" si="4"/>
        <v>0</v>
      </c>
      <c r="K142" s="312"/>
      <c r="L142" s="312"/>
      <c r="M142" s="312"/>
      <c r="N142" s="362"/>
      <c r="O142" s="312"/>
      <c r="P142" s="312"/>
      <c r="S142" s="2">
        <f t="shared" si="5"/>
        <v>0</v>
      </c>
      <c r="AA142" s="312"/>
      <c r="AB142" s="312"/>
      <c r="AC142" s="312"/>
      <c r="AD142" s="312"/>
    </row>
    <row r="143">
      <c r="A143" s="312"/>
      <c r="B143" s="344">
        <f t="shared" si="1"/>
        <v>2045</v>
      </c>
      <c r="C143" s="344">
        <v>90.0</v>
      </c>
      <c r="D143" s="369"/>
      <c r="E143" s="344" t="str">
        <f t="shared" si="2"/>
        <v>Saturday</v>
      </c>
      <c r="F143" s="344" t="s">
        <v>554</v>
      </c>
      <c r="G143" s="370"/>
      <c r="H143" s="370"/>
      <c r="I143" s="357">
        <f t="shared" si="3"/>
        <v>0</v>
      </c>
      <c r="J143" s="346">
        <f t="shared" si="4"/>
        <v>0</v>
      </c>
      <c r="K143" s="312"/>
      <c r="L143" s="312"/>
      <c r="M143" s="312"/>
      <c r="N143" s="362"/>
      <c r="O143" s="312"/>
      <c r="P143" s="312"/>
      <c r="S143" s="2">
        <f t="shared" si="5"/>
        <v>0</v>
      </c>
      <c r="AA143" s="312"/>
      <c r="AB143" s="312"/>
      <c r="AC143" s="312"/>
      <c r="AD143" s="312"/>
    </row>
    <row r="144">
      <c r="A144" s="312"/>
      <c r="B144" s="344">
        <f t="shared" si="1"/>
        <v>2045</v>
      </c>
      <c r="C144" s="344">
        <v>90.0</v>
      </c>
      <c r="D144" s="369"/>
      <c r="E144" s="344" t="str">
        <f t="shared" si="2"/>
        <v>Saturday</v>
      </c>
      <c r="F144" s="344" t="s">
        <v>554</v>
      </c>
      <c r="G144" s="370"/>
      <c r="H144" s="370"/>
      <c r="I144" s="357">
        <f t="shared" si="3"/>
        <v>0</v>
      </c>
      <c r="J144" s="346">
        <f t="shared" si="4"/>
        <v>0</v>
      </c>
      <c r="K144" s="312"/>
      <c r="L144" s="312"/>
      <c r="M144" s="312"/>
      <c r="N144" s="362"/>
      <c r="O144" s="312"/>
      <c r="P144" s="312"/>
      <c r="S144" s="2">
        <f t="shared" si="5"/>
        <v>0</v>
      </c>
      <c r="AA144" s="312"/>
      <c r="AB144" s="312"/>
      <c r="AC144" s="312"/>
      <c r="AD144" s="312"/>
    </row>
    <row r="145">
      <c r="A145" s="312"/>
      <c r="B145" s="344">
        <f t="shared" si="1"/>
        <v>2045</v>
      </c>
      <c r="C145" s="344">
        <v>90.0</v>
      </c>
      <c r="D145" s="369"/>
      <c r="E145" s="344" t="str">
        <f t="shared" si="2"/>
        <v>Saturday</v>
      </c>
      <c r="F145" s="344" t="s">
        <v>554</v>
      </c>
      <c r="G145" s="370"/>
      <c r="H145" s="370"/>
      <c r="I145" s="357">
        <f t="shared" si="3"/>
        <v>0</v>
      </c>
      <c r="J145" s="346">
        <f t="shared" si="4"/>
        <v>0</v>
      </c>
      <c r="K145" s="312"/>
      <c r="L145" s="312"/>
      <c r="M145" s="312"/>
      <c r="N145" s="362"/>
      <c r="O145" s="312"/>
      <c r="P145" s="312"/>
      <c r="S145" s="2">
        <f t="shared" si="5"/>
        <v>0</v>
      </c>
      <c r="AA145" s="312"/>
      <c r="AB145" s="312"/>
      <c r="AC145" s="312"/>
      <c r="AD145" s="312"/>
    </row>
    <row r="146">
      <c r="A146" s="312"/>
      <c r="B146" s="344">
        <f t="shared" si="1"/>
        <v>2045</v>
      </c>
      <c r="C146" s="344">
        <v>90.0</v>
      </c>
      <c r="D146" s="369"/>
      <c r="E146" s="344" t="str">
        <f t="shared" si="2"/>
        <v>Saturday</v>
      </c>
      <c r="F146" s="344" t="s">
        <v>554</v>
      </c>
      <c r="G146" s="370"/>
      <c r="H146" s="370"/>
      <c r="I146" s="357">
        <f t="shared" si="3"/>
        <v>0</v>
      </c>
      <c r="J146" s="346">
        <f t="shared" si="4"/>
        <v>0</v>
      </c>
      <c r="K146" s="312"/>
      <c r="L146" s="312"/>
      <c r="M146" s="312"/>
      <c r="N146" s="362"/>
      <c r="O146" s="312"/>
      <c r="P146" s="312"/>
      <c r="S146" s="2">
        <f t="shared" si="5"/>
        <v>0</v>
      </c>
      <c r="AA146" s="312"/>
      <c r="AB146" s="312"/>
      <c r="AC146" s="312"/>
      <c r="AD146" s="312"/>
    </row>
    <row r="147">
      <c r="A147" s="312"/>
      <c r="B147" s="344">
        <f t="shared" si="1"/>
        <v>2045</v>
      </c>
      <c r="C147" s="344">
        <v>90.0</v>
      </c>
      <c r="D147" s="369"/>
      <c r="E147" s="344" t="str">
        <f t="shared" si="2"/>
        <v>Saturday</v>
      </c>
      <c r="F147" s="344" t="s">
        <v>554</v>
      </c>
      <c r="G147" s="370"/>
      <c r="H147" s="370"/>
      <c r="I147" s="357">
        <f t="shared" si="3"/>
        <v>0</v>
      </c>
      <c r="J147" s="346">
        <f t="shared" si="4"/>
        <v>0</v>
      </c>
      <c r="K147" s="312"/>
      <c r="L147" s="312"/>
      <c r="M147" s="312"/>
      <c r="N147" s="362"/>
      <c r="O147" s="312"/>
      <c r="P147" s="312"/>
      <c r="S147" s="2">
        <f t="shared" si="5"/>
        <v>0</v>
      </c>
      <c r="AA147" s="312"/>
      <c r="AB147" s="312"/>
      <c r="AC147" s="312"/>
      <c r="AD147" s="312"/>
    </row>
    <row r="148">
      <c r="A148" s="312"/>
      <c r="B148" s="344">
        <f t="shared" si="1"/>
        <v>2045</v>
      </c>
      <c r="C148" s="344">
        <v>90.0</v>
      </c>
      <c r="D148" s="369"/>
      <c r="E148" s="344" t="str">
        <f t="shared" si="2"/>
        <v>Saturday</v>
      </c>
      <c r="F148" s="344" t="s">
        <v>554</v>
      </c>
      <c r="G148" s="370"/>
      <c r="H148" s="370"/>
      <c r="I148" s="357">
        <f t="shared" si="3"/>
        <v>0</v>
      </c>
      <c r="J148" s="346">
        <f t="shared" si="4"/>
        <v>0</v>
      </c>
      <c r="K148" s="312"/>
      <c r="L148" s="312"/>
      <c r="M148" s="312"/>
      <c r="N148" s="362"/>
      <c r="O148" s="312"/>
      <c r="P148" s="312"/>
      <c r="S148" s="2">
        <f t="shared" si="5"/>
        <v>0</v>
      </c>
      <c r="AA148" s="312"/>
      <c r="AB148" s="312"/>
      <c r="AC148" s="312"/>
      <c r="AD148" s="312"/>
    </row>
    <row r="149">
      <c r="A149" s="312"/>
      <c r="B149" s="344">
        <f t="shared" si="1"/>
        <v>2045</v>
      </c>
      <c r="C149" s="344">
        <v>90.0</v>
      </c>
      <c r="D149" s="369"/>
      <c r="E149" s="344" t="str">
        <f t="shared" si="2"/>
        <v>Saturday</v>
      </c>
      <c r="F149" s="344" t="s">
        <v>554</v>
      </c>
      <c r="G149" s="370"/>
      <c r="H149" s="370"/>
      <c r="I149" s="357">
        <f t="shared" si="3"/>
        <v>0</v>
      </c>
      <c r="J149" s="346">
        <f t="shared" si="4"/>
        <v>0</v>
      </c>
      <c r="K149" s="312"/>
      <c r="L149" s="312"/>
      <c r="M149" s="312"/>
      <c r="N149" s="362"/>
      <c r="O149" s="312"/>
      <c r="P149" s="312"/>
      <c r="S149" s="2">
        <f t="shared" si="5"/>
        <v>0</v>
      </c>
      <c r="AA149" s="312"/>
      <c r="AB149" s="312"/>
      <c r="AC149" s="312"/>
      <c r="AD149" s="312"/>
    </row>
    <row r="150">
      <c r="A150" s="312"/>
      <c r="B150" s="344">
        <f t="shared" si="1"/>
        <v>2045</v>
      </c>
      <c r="C150" s="344">
        <v>90.0</v>
      </c>
      <c r="D150" s="369"/>
      <c r="E150" s="344" t="str">
        <f t="shared" si="2"/>
        <v>Saturday</v>
      </c>
      <c r="F150" s="344" t="s">
        <v>554</v>
      </c>
      <c r="G150" s="370"/>
      <c r="H150" s="370"/>
      <c r="I150" s="357">
        <f t="shared" si="3"/>
        <v>0</v>
      </c>
      <c r="J150" s="346">
        <f t="shared" si="4"/>
        <v>0</v>
      </c>
      <c r="K150" s="312"/>
      <c r="L150" s="312"/>
      <c r="M150" s="312"/>
      <c r="N150" s="362"/>
      <c r="O150" s="312"/>
      <c r="P150" s="312"/>
      <c r="S150" s="2">
        <f t="shared" si="5"/>
        <v>0</v>
      </c>
      <c r="AA150" s="312"/>
      <c r="AB150" s="312"/>
      <c r="AC150" s="312"/>
      <c r="AD150" s="312"/>
    </row>
    <row r="151">
      <c r="A151" s="312"/>
      <c r="B151" s="344">
        <f t="shared" si="1"/>
        <v>2045</v>
      </c>
      <c r="C151" s="344">
        <v>90.0</v>
      </c>
      <c r="D151" s="369"/>
      <c r="E151" s="344" t="str">
        <f t="shared" si="2"/>
        <v>Saturday</v>
      </c>
      <c r="F151" s="344" t="s">
        <v>554</v>
      </c>
      <c r="G151" s="370"/>
      <c r="H151" s="370"/>
      <c r="I151" s="357">
        <f t="shared" si="3"/>
        <v>0</v>
      </c>
      <c r="J151" s="346">
        <f t="shared" si="4"/>
        <v>0</v>
      </c>
      <c r="K151" s="312"/>
      <c r="L151" s="312"/>
      <c r="M151" s="312"/>
      <c r="N151" s="362"/>
      <c r="O151" s="312"/>
      <c r="P151" s="312"/>
      <c r="S151" s="2">
        <f t="shared" si="5"/>
        <v>0</v>
      </c>
      <c r="AA151" s="312"/>
      <c r="AB151" s="312"/>
      <c r="AC151" s="312"/>
      <c r="AD151" s="312"/>
    </row>
    <row r="152">
      <c r="A152" s="312"/>
      <c r="B152" s="344">
        <f t="shared" si="1"/>
        <v>2045</v>
      </c>
      <c r="C152" s="344">
        <v>90.0</v>
      </c>
      <c r="D152" s="369"/>
      <c r="E152" s="344" t="str">
        <f t="shared" si="2"/>
        <v>Saturday</v>
      </c>
      <c r="F152" s="344" t="s">
        <v>554</v>
      </c>
      <c r="G152" s="370"/>
      <c r="H152" s="370"/>
      <c r="I152" s="357">
        <f t="shared" si="3"/>
        <v>0</v>
      </c>
      <c r="J152" s="346">
        <f t="shared" si="4"/>
        <v>0</v>
      </c>
      <c r="K152" s="312"/>
      <c r="L152" s="312"/>
      <c r="M152" s="312"/>
      <c r="N152" s="362"/>
      <c r="O152" s="312"/>
      <c r="P152" s="312"/>
      <c r="S152" s="2">
        <f t="shared" si="5"/>
        <v>0</v>
      </c>
      <c r="AA152" s="312"/>
      <c r="AB152" s="312"/>
      <c r="AC152" s="312"/>
      <c r="AD152" s="312"/>
    </row>
    <row r="153">
      <c r="A153" s="312"/>
      <c r="B153" s="344">
        <f t="shared" si="1"/>
        <v>2045</v>
      </c>
      <c r="C153" s="344">
        <v>90.0</v>
      </c>
      <c r="D153" s="369"/>
      <c r="E153" s="344" t="str">
        <f t="shared" si="2"/>
        <v>Saturday</v>
      </c>
      <c r="F153" s="344" t="s">
        <v>554</v>
      </c>
      <c r="G153" s="370"/>
      <c r="H153" s="370"/>
      <c r="I153" s="357">
        <f t="shared" si="3"/>
        <v>0</v>
      </c>
      <c r="J153" s="346">
        <f t="shared" si="4"/>
        <v>0</v>
      </c>
      <c r="K153" s="312"/>
      <c r="L153" s="312"/>
      <c r="M153" s="312"/>
      <c r="N153" s="362"/>
      <c r="O153" s="312"/>
      <c r="P153" s="312"/>
      <c r="S153" s="2">
        <f t="shared" si="5"/>
        <v>0</v>
      </c>
      <c r="AA153" s="312"/>
      <c r="AB153" s="312"/>
      <c r="AC153" s="312"/>
      <c r="AD153" s="312"/>
    </row>
    <row r="154">
      <c r="A154" s="312"/>
      <c r="B154" s="344">
        <f t="shared" si="1"/>
        <v>2045</v>
      </c>
      <c r="C154" s="344">
        <v>90.0</v>
      </c>
      <c r="D154" s="369"/>
      <c r="E154" s="344" t="str">
        <f t="shared" si="2"/>
        <v>Saturday</v>
      </c>
      <c r="F154" s="344" t="s">
        <v>554</v>
      </c>
      <c r="G154" s="370"/>
      <c r="H154" s="370"/>
      <c r="I154" s="357">
        <f t="shared" si="3"/>
        <v>0</v>
      </c>
      <c r="J154" s="346">
        <f t="shared" si="4"/>
        <v>0</v>
      </c>
      <c r="K154" s="312"/>
      <c r="L154" s="312"/>
      <c r="M154" s="312"/>
      <c r="N154" s="362"/>
      <c r="O154" s="312"/>
      <c r="P154" s="312"/>
      <c r="S154" s="2">
        <f t="shared" si="5"/>
        <v>0</v>
      </c>
      <c r="AA154" s="312"/>
      <c r="AB154" s="312"/>
      <c r="AC154" s="312"/>
      <c r="AD154" s="312"/>
    </row>
    <row r="155">
      <c r="A155" s="312"/>
      <c r="B155" s="344">
        <f t="shared" si="1"/>
        <v>2045</v>
      </c>
      <c r="C155" s="344">
        <v>90.0</v>
      </c>
      <c r="D155" s="369"/>
      <c r="E155" s="344" t="str">
        <f t="shared" si="2"/>
        <v>Saturday</v>
      </c>
      <c r="F155" s="344" t="s">
        <v>554</v>
      </c>
      <c r="G155" s="370"/>
      <c r="H155" s="370"/>
      <c r="I155" s="357">
        <f t="shared" si="3"/>
        <v>0</v>
      </c>
      <c r="J155" s="346">
        <f t="shared" si="4"/>
        <v>0</v>
      </c>
      <c r="K155" s="312"/>
      <c r="L155" s="312"/>
      <c r="M155" s="312"/>
      <c r="N155" s="362"/>
      <c r="O155" s="312"/>
      <c r="P155" s="312"/>
      <c r="S155" s="2">
        <f t="shared" si="5"/>
        <v>0</v>
      </c>
      <c r="AA155" s="312"/>
      <c r="AB155" s="312"/>
      <c r="AC155" s="312"/>
      <c r="AD155" s="312"/>
    </row>
    <row r="156">
      <c r="A156" s="312"/>
      <c r="B156" s="344">
        <f t="shared" si="1"/>
        <v>2045</v>
      </c>
      <c r="C156" s="344">
        <v>90.0</v>
      </c>
      <c r="D156" s="369"/>
      <c r="E156" s="344" t="str">
        <f t="shared" si="2"/>
        <v>Saturday</v>
      </c>
      <c r="F156" s="344" t="s">
        <v>554</v>
      </c>
      <c r="G156" s="370"/>
      <c r="H156" s="370"/>
      <c r="I156" s="357">
        <f t="shared" si="3"/>
        <v>0</v>
      </c>
      <c r="J156" s="346">
        <f t="shared" si="4"/>
        <v>0</v>
      </c>
      <c r="K156" s="312"/>
      <c r="L156" s="312"/>
      <c r="M156" s="312"/>
      <c r="N156" s="362"/>
      <c r="O156" s="312"/>
      <c r="P156" s="312"/>
      <c r="S156" s="2">
        <f t="shared" si="5"/>
        <v>0</v>
      </c>
      <c r="AA156" s="312"/>
      <c r="AB156" s="312"/>
      <c r="AC156" s="312"/>
      <c r="AD156" s="312"/>
    </row>
    <row r="157">
      <c r="A157" s="312"/>
      <c r="B157" s="344">
        <f t="shared" si="1"/>
        <v>2045</v>
      </c>
      <c r="C157" s="344">
        <v>90.0</v>
      </c>
      <c r="D157" s="369"/>
      <c r="E157" s="344" t="str">
        <f t="shared" si="2"/>
        <v>Saturday</v>
      </c>
      <c r="F157" s="344" t="s">
        <v>554</v>
      </c>
      <c r="G157" s="370"/>
      <c r="H157" s="370"/>
      <c r="I157" s="357">
        <f t="shared" si="3"/>
        <v>0</v>
      </c>
      <c r="J157" s="346">
        <f t="shared" si="4"/>
        <v>0</v>
      </c>
      <c r="K157" s="312"/>
      <c r="L157" s="312"/>
      <c r="M157" s="312"/>
      <c r="N157" s="362"/>
      <c r="O157" s="312"/>
      <c r="P157" s="312"/>
      <c r="S157" s="2">
        <f t="shared" si="5"/>
        <v>0</v>
      </c>
      <c r="AA157" s="312"/>
      <c r="AB157" s="312"/>
      <c r="AC157" s="312"/>
      <c r="AD157" s="312"/>
    </row>
    <row r="158">
      <c r="A158" s="312"/>
      <c r="B158" s="344">
        <f t="shared" si="1"/>
        <v>2045</v>
      </c>
      <c r="C158" s="344">
        <v>90.0</v>
      </c>
      <c r="D158" s="369"/>
      <c r="E158" s="344" t="str">
        <f t="shared" si="2"/>
        <v>Saturday</v>
      </c>
      <c r="F158" s="344" t="s">
        <v>554</v>
      </c>
      <c r="G158" s="370"/>
      <c r="H158" s="370"/>
      <c r="I158" s="357">
        <f t="shared" si="3"/>
        <v>0</v>
      </c>
      <c r="J158" s="346">
        <f t="shared" si="4"/>
        <v>0</v>
      </c>
      <c r="K158" s="312"/>
      <c r="L158" s="312"/>
      <c r="M158" s="312"/>
      <c r="N158" s="362"/>
      <c r="O158" s="312"/>
      <c r="P158" s="312"/>
      <c r="S158" s="2">
        <f t="shared" si="5"/>
        <v>0</v>
      </c>
      <c r="AA158" s="312"/>
      <c r="AB158" s="312"/>
      <c r="AC158" s="312"/>
      <c r="AD158" s="312"/>
    </row>
    <row r="159">
      <c r="A159" s="312"/>
      <c r="B159" s="344">
        <f t="shared" si="1"/>
        <v>2045</v>
      </c>
      <c r="C159" s="344">
        <v>90.0</v>
      </c>
      <c r="D159" s="369"/>
      <c r="E159" s="344" t="str">
        <f t="shared" si="2"/>
        <v>Saturday</v>
      </c>
      <c r="F159" s="344" t="s">
        <v>554</v>
      </c>
      <c r="G159" s="370"/>
      <c r="H159" s="370"/>
      <c r="I159" s="357">
        <f t="shared" si="3"/>
        <v>0</v>
      </c>
      <c r="J159" s="346">
        <f t="shared" si="4"/>
        <v>0</v>
      </c>
      <c r="K159" s="312"/>
      <c r="L159" s="312"/>
      <c r="M159" s="312"/>
      <c r="N159" s="362"/>
      <c r="O159" s="312"/>
      <c r="P159" s="312"/>
      <c r="S159" s="2">
        <f t="shared" si="5"/>
        <v>0</v>
      </c>
      <c r="AA159" s="312"/>
      <c r="AB159" s="312"/>
      <c r="AC159" s="312"/>
      <c r="AD159" s="312"/>
    </row>
    <row r="160">
      <c r="A160" s="312"/>
      <c r="B160" s="344">
        <f t="shared" si="1"/>
        <v>2045</v>
      </c>
      <c r="C160" s="344">
        <v>90.0</v>
      </c>
      <c r="D160" s="369"/>
      <c r="E160" s="344" t="str">
        <f t="shared" si="2"/>
        <v>Saturday</v>
      </c>
      <c r="F160" s="344" t="s">
        <v>554</v>
      </c>
      <c r="G160" s="370"/>
      <c r="H160" s="370"/>
      <c r="I160" s="357">
        <f t="shared" si="3"/>
        <v>0</v>
      </c>
      <c r="J160" s="346">
        <f t="shared" si="4"/>
        <v>0</v>
      </c>
      <c r="K160" s="312"/>
      <c r="L160" s="312"/>
      <c r="M160" s="312"/>
      <c r="N160" s="362"/>
      <c r="O160" s="312"/>
      <c r="P160" s="312"/>
      <c r="S160" s="2">
        <f t="shared" si="5"/>
        <v>0</v>
      </c>
      <c r="AA160" s="312"/>
      <c r="AB160" s="312"/>
      <c r="AC160" s="312"/>
      <c r="AD160" s="312"/>
    </row>
    <row r="161">
      <c r="A161" s="312"/>
      <c r="B161" s="344">
        <f t="shared" si="1"/>
        <v>2045</v>
      </c>
      <c r="C161" s="344">
        <v>90.0</v>
      </c>
      <c r="D161" s="369"/>
      <c r="E161" s="344" t="str">
        <f t="shared" si="2"/>
        <v>Saturday</v>
      </c>
      <c r="F161" s="344" t="s">
        <v>554</v>
      </c>
      <c r="G161" s="370"/>
      <c r="H161" s="370"/>
      <c r="I161" s="357">
        <f t="shared" si="3"/>
        <v>0</v>
      </c>
      <c r="J161" s="346">
        <f t="shared" si="4"/>
        <v>0</v>
      </c>
      <c r="K161" s="312"/>
      <c r="L161" s="312"/>
      <c r="M161" s="312"/>
      <c r="N161" s="362"/>
      <c r="O161" s="312"/>
      <c r="P161" s="312"/>
      <c r="S161" s="2">
        <f t="shared" si="5"/>
        <v>0</v>
      </c>
      <c r="AA161" s="312"/>
      <c r="AB161" s="312"/>
      <c r="AC161" s="312"/>
      <c r="AD161" s="312"/>
    </row>
    <row r="162">
      <c r="A162" s="312"/>
      <c r="B162" s="344">
        <f t="shared" si="1"/>
        <v>2045</v>
      </c>
      <c r="C162" s="344">
        <v>90.0</v>
      </c>
      <c r="D162" s="369"/>
      <c r="E162" s="344" t="str">
        <f t="shared" si="2"/>
        <v>Saturday</v>
      </c>
      <c r="F162" s="344" t="s">
        <v>554</v>
      </c>
      <c r="G162" s="370"/>
      <c r="H162" s="370"/>
      <c r="I162" s="357">
        <f t="shared" si="3"/>
        <v>0</v>
      </c>
      <c r="J162" s="346">
        <f t="shared" si="4"/>
        <v>0</v>
      </c>
      <c r="K162" s="312"/>
      <c r="L162" s="312"/>
      <c r="M162" s="312"/>
      <c r="N162" s="362"/>
      <c r="O162" s="312"/>
      <c r="P162" s="312"/>
      <c r="S162" s="2">
        <f t="shared" si="5"/>
        <v>0</v>
      </c>
      <c r="AA162" s="312"/>
      <c r="AB162" s="312"/>
      <c r="AC162" s="312"/>
      <c r="AD162" s="312"/>
    </row>
    <row r="163">
      <c r="A163" s="312"/>
      <c r="B163" s="344">
        <f t="shared" si="1"/>
        <v>2045</v>
      </c>
      <c r="C163" s="344">
        <v>90.0</v>
      </c>
      <c r="D163" s="369"/>
      <c r="E163" s="344" t="str">
        <f t="shared" si="2"/>
        <v>Saturday</v>
      </c>
      <c r="F163" s="344" t="s">
        <v>554</v>
      </c>
      <c r="G163" s="370"/>
      <c r="H163" s="370"/>
      <c r="I163" s="357">
        <f t="shared" si="3"/>
        <v>0</v>
      </c>
      <c r="J163" s="346">
        <f t="shared" si="4"/>
        <v>0</v>
      </c>
      <c r="K163" s="312"/>
      <c r="L163" s="312"/>
      <c r="M163" s="312"/>
      <c r="N163" s="362"/>
      <c r="O163" s="312"/>
      <c r="P163" s="312"/>
      <c r="S163" s="2">
        <f t="shared" si="5"/>
        <v>0</v>
      </c>
      <c r="AA163" s="312"/>
      <c r="AB163" s="312"/>
      <c r="AC163" s="312"/>
      <c r="AD163" s="312"/>
    </row>
    <row r="164">
      <c r="A164" s="312"/>
      <c r="B164" s="344">
        <f t="shared" si="1"/>
        <v>2045</v>
      </c>
      <c r="C164" s="344">
        <v>90.0</v>
      </c>
      <c r="D164" s="369"/>
      <c r="E164" s="344" t="str">
        <f t="shared" si="2"/>
        <v>Saturday</v>
      </c>
      <c r="F164" s="344" t="s">
        <v>554</v>
      </c>
      <c r="G164" s="370"/>
      <c r="H164" s="370"/>
      <c r="I164" s="357">
        <f t="shared" si="3"/>
        <v>0</v>
      </c>
      <c r="J164" s="346">
        <f t="shared" si="4"/>
        <v>0</v>
      </c>
      <c r="K164" s="312"/>
      <c r="L164" s="312"/>
      <c r="M164" s="312"/>
      <c r="N164" s="362"/>
      <c r="O164" s="312"/>
      <c r="P164" s="312"/>
      <c r="S164" s="2">
        <f t="shared" si="5"/>
        <v>0</v>
      </c>
      <c r="AA164" s="312"/>
      <c r="AB164" s="312"/>
      <c r="AC164" s="312"/>
      <c r="AD164" s="312"/>
    </row>
    <row r="165">
      <c r="A165" s="312"/>
      <c r="B165" s="344">
        <f t="shared" si="1"/>
        <v>2045</v>
      </c>
      <c r="C165" s="344">
        <v>90.0</v>
      </c>
      <c r="D165" s="369"/>
      <c r="E165" s="344" t="str">
        <f t="shared" si="2"/>
        <v>Saturday</v>
      </c>
      <c r="F165" s="344" t="s">
        <v>554</v>
      </c>
      <c r="G165" s="370"/>
      <c r="H165" s="370"/>
      <c r="I165" s="357">
        <f t="shared" si="3"/>
        <v>0</v>
      </c>
      <c r="J165" s="346">
        <f t="shared" si="4"/>
        <v>0</v>
      </c>
      <c r="K165" s="312"/>
      <c r="L165" s="312"/>
      <c r="M165" s="312"/>
      <c r="N165" s="362"/>
      <c r="O165" s="312"/>
      <c r="P165" s="312"/>
      <c r="S165" s="2">
        <f t="shared" si="5"/>
        <v>0</v>
      </c>
      <c r="AA165" s="312"/>
      <c r="AB165" s="312"/>
      <c r="AC165" s="312"/>
      <c r="AD165" s="312"/>
    </row>
    <row r="166">
      <c r="A166" s="312"/>
      <c r="B166" s="344">
        <f t="shared" si="1"/>
        <v>2045</v>
      </c>
      <c r="C166" s="344">
        <v>90.0</v>
      </c>
      <c r="D166" s="369"/>
      <c r="E166" s="344" t="str">
        <f t="shared" si="2"/>
        <v>Saturday</v>
      </c>
      <c r="F166" s="344" t="s">
        <v>554</v>
      </c>
      <c r="G166" s="370"/>
      <c r="H166" s="370"/>
      <c r="I166" s="357">
        <f t="shared" si="3"/>
        <v>0</v>
      </c>
      <c r="J166" s="346">
        <f t="shared" si="4"/>
        <v>0</v>
      </c>
      <c r="K166" s="312"/>
      <c r="L166" s="312"/>
      <c r="M166" s="312"/>
      <c r="N166" s="362"/>
      <c r="O166" s="312"/>
      <c r="P166" s="312"/>
      <c r="S166" s="2">
        <f t="shared" si="5"/>
        <v>0</v>
      </c>
      <c r="AA166" s="312"/>
      <c r="AB166" s="312"/>
      <c r="AC166" s="312"/>
      <c r="AD166" s="312"/>
    </row>
    <row r="167">
      <c r="A167" s="312"/>
      <c r="B167" s="344">
        <f t="shared" si="1"/>
        <v>2045</v>
      </c>
      <c r="C167" s="344">
        <v>90.0</v>
      </c>
      <c r="D167" s="369"/>
      <c r="E167" s="344" t="str">
        <f t="shared" si="2"/>
        <v>Saturday</v>
      </c>
      <c r="F167" s="344" t="s">
        <v>554</v>
      </c>
      <c r="G167" s="370"/>
      <c r="H167" s="370"/>
      <c r="I167" s="357">
        <f t="shared" si="3"/>
        <v>0</v>
      </c>
      <c r="J167" s="346">
        <f t="shared" si="4"/>
        <v>0</v>
      </c>
      <c r="K167" s="312"/>
      <c r="L167" s="312"/>
      <c r="M167" s="312"/>
      <c r="N167" s="362"/>
      <c r="O167" s="312"/>
      <c r="P167" s="312"/>
      <c r="S167" s="2">
        <f t="shared" si="5"/>
        <v>0</v>
      </c>
      <c r="AA167" s="312"/>
      <c r="AB167" s="312"/>
      <c r="AC167" s="312"/>
      <c r="AD167" s="312"/>
    </row>
    <row r="168">
      <c r="A168" s="312"/>
      <c r="B168" s="344">
        <f t="shared" si="1"/>
        <v>2045</v>
      </c>
      <c r="C168" s="344">
        <v>90.0</v>
      </c>
      <c r="D168" s="369"/>
      <c r="E168" s="344" t="str">
        <f t="shared" si="2"/>
        <v>Saturday</v>
      </c>
      <c r="F168" s="344" t="s">
        <v>554</v>
      </c>
      <c r="G168" s="370"/>
      <c r="H168" s="370"/>
      <c r="I168" s="357">
        <f t="shared" si="3"/>
        <v>0</v>
      </c>
      <c r="J168" s="346">
        <f t="shared" si="4"/>
        <v>0</v>
      </c>
      <c r="K168" s="312"/>
      <c r="L168" s="312"/>
      <c r="M168" s="312"/>
      <c r="N168" s="362"/>
      <c r="O168" s="312"/>
      <c r="P168" s="312"/>
      <c r="S168" s="2">
        <f t="shared" si="5"/>
        <v>0</v>
      </c>
      <c r="AA168" s="312"/>
      <c r="AB168" s="312"/>
      <c r="AC168" s="312"/>
      <c r="AD168" s="312"/>
    </row>
    <row r="169">
      <c r="A169" s="312"/>
      <c r="B169" s="344">
        <f t="shared" si="1"/>
        <v>2045</v>
      </c>
      <c r="C169" s="344">
        <v>90.0</v>
      </c>
      <c r="D169" s="369"/>
      <c r="E169" s="344" t="str">
        <f t="shared" si="2"/>
        <v>Saturday</v>
      </c>
      <c r="F169" s="344" t="s">
        <v>554</v>
      </c>
      <c r="G169" s="370"/>
      <c r="H169" s="370"/>
      <c r="I169" s="357">
        <f t="shared" si="3"/>
        <v>0</v>
      </c>
      <c r="J169" s="346">
        <f t="shared" si="4"/>
        <v>0</v>
      </c>
      <c r="K169" s="312"/>
      <c r="L169" s="312"/>
      <c r="M169" s="312"/>
      <c r="N169" s="362"/>
      <c r="O169" s="312"/>
      <c r="P169" s="312"/>
      <c r="S169" s="2">
        <f t="shared" si="5"/>
        <v>0</v>
      </c>
      <c r="AA169" s="312"/>
      <c r="AB169" s="312"/>
      <c r="AC169" s="312"/>
      <c r="AD169" s="312"/>
    </row>
    <row r="170">
      <c r="A170" s="312"/>
      <c r="B170" s="344">
        <f t="shared" si="1"/>
        <v>2045</v>
      </c>
      <c r="C170" s="344">
        <v>90.0</v>
      </c>
      <c r="D170" s="369"/>
      <c r="E170" s="344" t="str">
        <f t="shared" si="2"/>
        <v>Saturday</v>
      </c>
      <c r="F170" s="344" t="s">
        <v>554</v>
      </c>
      <c r="G170" s="370"/>
      <c r="H170" s="370"/>
      <c r="I170" s="357">
        <f t="shared" si="3"/>
        <v>0</v>
      </c>
      <c r="J170" s="346">
        <f t="shared" si="4"/>
        <v>0</v>
      </c>
      <c r="K170" s="312"/>
      <c r="L170" s="312"/>
      <c r="M170" s="312"/>
      <c r="N170" s="362"/>
      <c r="O170" s="312"/>
      <c r="P170" s="312"/>
      <c r="S170" s="2">
        <f t="shared" si="5"/>
        <v>0</v>
      </c>
      <c r="AA170" s="312"/>
      <c r="AB170" s="312"/>
      <c r="AC170" s="312"/>
      <c r="AD170" s="312"/>
    </row>
    <row r="171">
      <c r="A171" s="312"/>
      <c r="B171" s="344">
        <f t="shared" si="1"/>
        <v>2045</v>
      </c>
      <c r="C171" s="344">
        <v>90.0</v>
      </c>
      <c r="D171" s="369"/>
      <c r="E171" s="344" t="str">
        <f t="shared" si="2"/>
        <v>Saturday</v>
      </c>
      <c r="F171" s="344" t="s">
        <v>554</v>
      </c>
      <c r="G171" s="370"/>
      <c r="H171" s="370"/>
      <c r="I171" s="357">
        <f t="shared" si="3"/>
        <v>0</v>
      </c>
      <c r="J171" s="346">
        <f t="shared" si="4"/>
        <v>0</v>
      </c>
      <c r="K171" s="312"/>
      <c r="L171" s="312"/>
      <c r="M171" s="312"/>
      <c r="N171" s="362"/>
      <c r="O171" s="312"/>
      <c r="P171" s="312"/>
      <c r="S171" s="2">
        <f t="shared" si="5"/>
        <v>0</v>
      </c>
      <c r="AA171" s="312"/>
      <c r="AB171" s="312"/>
      <c r="AC171" s="312"/>
      <c r="AD171" s="312"/>
    </row>
    <row r="172">
      <c r="A172" s="312"/>
      <c r="B172" s="344">
        <f t="shared" si="1"/>
        <v>2045</v>
      </c>
      <c r="C172" s="344">
        <v>90.0</v>
      </c>
      <c r="D172" s="369"/>
      <c r="E172" s="344" t="str">
        <f t="shared" si="2"/>
        <v>Saturday</v>
      </c>
      <c r="F172" s="344" t="s">
        <v>554</v>
      </c>
      <c r="G172" s="370"/>
      <c r="H172" s="370"/>
      <c r="I172" s="357">
        <f t="shared" si="3"/>
        <v>0</v>
      </c>
      <c r="J172" s="346">
        <f t="shared" si="4"/>
        <v>0</v>
      </c>
      <c r="K172" s="312"/>
      <c r="L172" s="312"/>
      <c r="M172" s="312"/>
      <c r="N172" s="362"/>
      <c r="O172" s="312"/>
      <c r="P172" s="312"/>
      <c r="S172" s="2">
        <f t="shared" si="5"/>
        <v>0</v>
      </c>
      <c r="AA172" s="312"/>
      <c r="AB172" s="312"/>
      <c r="AC172" s="312"/>
      <c r="AD172" s="312"/>
    </row>
    <row r="173">
      <c r="A173" s="312"/>
      <c r="B173" s="344">
        <f t="shared" si="1"/>
        <v>2045</v>
      </c>
      <c r="C173" s="344">
        <v>90.0</v>
      </c>
      <c r="D173" s="369"/>
      <c r="E173" s="344" t="str">
        <f t="shared" si="2"/>
        <v>Saturday</v>
      </c>
      <c r="F173" s="344" t="s">
        <v>554</v>
      </c>
      <c r="G173" s="370"/>
      <c r="H173" s="370"/>
      <c r="I173" s="357">
        <f t="shared" si="3"/>
        <v>0</v>
      </c>
      <c r="J173" s="346">
        <f t="shared" si="4"/>
        <v>0</v>
      </c>
      <c r="K173" s="312"/>
      <c r="L173" s="312"/>
      <c r="M173" s="312"/>
      <c r="N173" s="362"/>
      <c r="O173" s="312"/>
      <c r="P173" s="312"/>
      <c r="S173" s="2">
        <f t="shared" si="5"/>
        <v>0</v>
      </c>
      <c r="AA173" s="312"/>
      <c r="AB173" s="312"/>
      <c r="AC173" s="312"/>
      <c r="AD173" s="312"/>
    </row>
    <row r="174">
      <c r="A174" s="312"/>
      <c r="B174" s="344">
        <f t="shared" si="1"/>
        <v>2045</v>
      </c>
      <c r="C174" s="344">
        <v>90.0</v>
      </c>
      <c r="D174" s="369"/>
      <c r="E174" s="344" t="str">
        <f t="shared" si="2"/>
        <v>Saturday</v>
      </c>
      <c r="F174" s="344" t="s">
        <v>554</v>
      </c>
      <c r="G174" s="370"/>
      <c r="H174" s="370"/>
      <c r="I174" s="357">
        <f t="shared" si="3"/>
        <v>0</v>
      </c>
      <c r="J174" s="346">
        <f t="shared" si="4"/>
        <v>0</v>
      </c>
      <c r="K174" s="312"/>
      <c r="L174" s="312"/>
      <c r="M174" s="312"/>
      <c r="N174" s="362"/>
      <c r="O174" s="312"/>
      <c r="P174" s="312"/>
      <c r="S174" s="2">
        <f t="shared" si="5"/>
        <v>0</v>
      </c>
      <c r="AA174" s="312"/>
      <c r="AB174" s="312"/>
      <c r="AC174" s="312"/>
      <c r="AD174" s="312"/>
    </row>
    <row r="175">
      <c r="A175" s="312"/>
      <c r="B175" s="344">
        <f t="shared" si="1"/>
        <v>2045</v>
      </c>
      <c r="C175" s="344">
        <v>90.0</v>
      </c>
      <c r="D175" s="369"/>
      <c r="E175" s="344" t="str">
        <f t="shared" si="2"/>
        <v>Saturday</v>
      </c>
      <c r="F175" s="344" t="s">
        <v>554</v>
      </c>
      <c r="G175" s="370"/>
      <c r="H175" s="370"/>
      <c r="I175" s="357">
        <f t="shared" si="3"/>
        <v>0</v>
      </c>
      <c r="J175" s="346">
        <f t="shared" si="4"/>
        <v>0</v>
      </c>
      <c r="K175" s="312"/>
      <c r="L175" s="312"/>
      <c r="M175" s="312"/>
      <c r="N175" s="362"/>
      <c r="O175" s="312"/>
      <c r="P175" s="312"/>
      <c r="S175" s="2">
        <f t="shared" si="5"/>
        <v>0</v>
      </c>
      <c r="AA175" s="312"/>
      <c r="AB175" s="312"/>
      <c r="AC175" s="312"/>
      <c r="AD175" s="312"/>
    </row>
    <row r="176">
      <c r="A176" s="312"/>
      <c r="B176" s="344">
        <f t="shared" si="1"/>
        <v>2045</v>
      </c>
      <c r="C176" s="344">
        <v>90.0</v>
      </c>
      <c r="D176" s="369"/>
      <c r="E176" s="344" t="str">
        <f t="shared" si="2"/>
        <v>Saturday</v>
      </c>
      <c r="F176" s="344" t="s">
        <v>554</v>
      </c>
      <c r="G176" s="370"/>
      <c r="H176" s="370"/>
      <c r="I176" s="357">
        <f t="shared" si="3"/>
        <v>0</v>
      </c>
      <c r="J176" s="346">
        <f t="shared" si="4"/>
        <v>0</v>
      </c>
      <c r="K176" s="312"/>
      <c r="L176" s="312"/>
      <c r="M176" s="312"/>
      <c r="N176" s="362"/>
      <c r="O176" s="312"/>
      <c r="P176" s="312"/>
      <c r="S176" s="2">
        <f t="shared" si="5"/>
        <v>0</v>
      </c>
      <c r="AA176" s="312"/>
      <c r="AB176" s="312"/>
      <c r="AC176" s="312"/>
      <c r="AD176" s="312"/>
    </row>
    <row r="177">
      <c r="A177" s="312"/>
      <c r="B177" s="344">
        <f t="shared" si="1"/>
        <v>2045</v>
      </c>
      <c r="C177" s="344">
        <v>90.0</v>
      </c>
      <c r="D177" s="369"/>
      <c r="E177" s="344" t="str">
        <f t="shared" si="2"/>
        <v>Saturday</v>
      </c>
      <c r="F177" s="344" t="s">
        <v>554</v>
      </c>
      <c r="G177" s="370"/>
      <c r="H177" s="370"/>
      <c r="I177" s="357">
        <f t="shared" si="3"/>
        <v>0</v>
      </c>
      <c r="J177" s="346">
        <f t="shared" si="4"/>
        <v>0</v>
      </c>
      <c r="K177" s="312"/>
      <c r="L177" s="312"/>
      <c r="M177" s="312"/>
      <c r="N177" s="362"/>
      <c r="O177" s="312"/>
      <c r="P177" s="312"/>
      <c r="S177" s="2">
        <f t="shared" si="5"/>
        <v>0</v>
      </c>
      <c r="AA177" s="312"/>
      <c r="AB177" s="312"/>
      <c r="AC177" s="312"/>
      <c r="AD177" s="312"/>
    </row>
    <row r="178">
      <c r="A178" s="312"/>
      <c r="B178" s="344">
        <f t="shared" si="1"/>
        <v>2045</v>
      </c>
      <c r="C178" s="344">
        <v>90.0</v>
      </c>
      <c r="D178" s="369"/>
      <c r="E178" s="344" t="str">
        <f t="shared" si="2"/>
        <v>Saturday</v>
      </c>
      <c r="F178" s="344" t="s">
        <v>554</v>
      </c>
      <c r="G178" s="370"/>
      <c r="H178" s="370"/>
      <c r="I178" s="357">
        <f t="shared" si="3"/>
        <v>0</v>
      </c>
      <c r="J178" s="346">
        <f t="shared" si="4"/>
        <v>0</v>
      </c>
      <c r="K178" s="312"/>
      <c r="L178" s="312"/>
      <c r="M178" s="312"/>
      <c r="N178" s="362"/>
      <c r="O178" s="312"/>
      <c r="P178" s="312"/>
      <c r="S178" s="2">
        <f t="shared" si="5"/>
        <v>0</v>
      </c>
      <c r="AA178" s="312"/>
      <c r="AB178" s="312"/>
      <c r="AC178" s="312"/>
      <c r="AD178" s="312"/>
    </row>
    <row r="179">
      <c r="A179" s="312"/>
      <c r="B179" s="344">
        <f t="shared" si="1"/>
        <v>2045</v>
      </c>
      <c r="C179" s="344">
        <v>90.0</v>
      </c>
      <c r="D179" s="369"/>
      <c r="E179" s="344" t="str">
        <f t="shared" si="2"/>
        <v>Saturday</v>
      </c>
      <c r="F179" s="344" t="s">
        <v>554</v>
      </c>
      <c r="G179" s="370"/>
      <c r="H179" s="370"/>
      <c r="I179" s="357">
        <f t="shared" si="3"/>
        <v>0</v>
      </c>
      <c r="J179" s="346">
        <f t="shared" si="4"/>
        <v>0</v>
      </c>
      <c r="K179" s="312"/>
      <c r="L179" s="312"/>
      <c r="M179" s="312"/>
      <c r="N179" s="362"/>
      <c r="O179" s="312"/>
      <c r="P179" s="312"/>
      <c r="S179" s="2">
        <f t="shared" si="5"/>
        <v>0</v>
      </c>
      <c r="AA179" s="312"/>
      <c r="AB179" s="312"/>
      <c r="AC179" s="312"/>
      <c r="AD179" s="312"/>
    </row>
    <row r="180">
      <c r="A180" s="312"/>
      <c r="B180" s="344">
        <f t="shared" si="1"/>
        <v>2045</v>
      </c>
      <c r="C180" s="344">
        <v>90.0</v>
      </c>
      <c r="D180" s="369"/>
      <c r="E180" s="344" t="str">
        <f t="shared" si="2"/>
        <v>Saturday</v>
      </c>
      <c r="F180" s="344" t="s">
        <v>554</v>
      </c>
      <c r="G180" s="370"/>
      <c r="H180" s="370"/>
      <c r="I180" s="357">
        <f t="shared" si="3"/>
        <v>0</v>
      </c>
      <c r="J180" s="346">
        <f t="shared" si="4"/>
        <v>0</v>
      </c>
      <c r="K180" s="312"/>
      <c r="L180" s="312"/>
      <c r="M180" s="312"/>
      <c r="N180" s="362"/>
      <c r="O180" s="312"/>
      <c r="P180" s="312"/>
      <c r="S180" s="2">
        <f t="shared" si="5"/>
        <v>0</v>
      </c>
      <c r="AA180" s="312"/>
      <c r="AB180" s="312"/>
      <c r="AC180" s="312"/>
      <c r="AD180" s="312"/>
    </row>
    <row r="181">
      <c r="A181" s="312"/>
      <c r="B181" s="344">
        <f t="shared" si="1"/>
        <v>2045</v>
      </c>
      <c r="C181" s="344">
        <v>90.0</v>
      </c>
      <c r="D181" s="369"/>
      <c r="E181" s="344" t="str">
        <f t="shared" si="2"/>
        <v>Saturday</v>
      </c>
      <c r="F181" s="344" t="s">
        <v>554</v>
      </c>
      <c r="G181" s="370"/>
      <c r="H181" s="370"/>
      <c r="I181" s="357">
        <f t="shared" si="3"/>
        <v>0</v>
      </c>
      <c r="J181" s="346">
        <f t="shared" si="4"/>
        <v>0</v>
      </c>
      <c r="K181" s="312"/>
      <c r="L181" s="312"/>
      <c r="M181" s="312"/>
      <c r="N181" s="362"/>
      <c r="O181" s="312"/>
      <c r="P181" s="312"/>
      <c r="S181" s="2">
        <f t="shared" si="5"/>
        <v>0</v>
      </c>
      <c r="AA181" s="312"/>
      <c r="AB181" s="312"/>
      <c r="AC181" s="312"/>
      <c r="AD181" s="312"/>
    </row>
    <row r="182">
      <c r="A182" s="312"/>
      <c r="B182" s="344">
        <f t="shared" si="1"/>
        <v>2045</v>
      </c>
      <c r="C182" s="344">
        <v>90.0</v>
      </c>
      <c r="D182" s="369"/>
      <c r="E182" s="344" t="str">
        <f t="shared" si="2"/>
        <v>Saturday</v>
      </c>
      <c r="F182" s="344" t="s">
        <v>554</v>
      </c>
      <c r="G182" s="370"/>
      <c r="H182" s="370"/>
      <c r="I182" s="357">
        <f t="shared" si="3"/>
        <v>0</v>
      </c>
      <c r="J182" s="346">
        <f t="shared" si="4"/>
        <v>0</v>
      </c>
      <c r="K182" s="312"/>
      <c r="L182" s="312"/>
      <c r="M182" s="312"/>
      <c r="N182" s="362"/>
      <c r="O182" s="312"/>
      <c r="P182" s="312"/>
      <c r="S182" s="2">
        <f t="shared" si="5"/>
        <v>0</v>
      </c>
      <c r="AA182" s="312"/>
      <c r="AB182" s="312"/>
      <c r="AC182" s="312"/>
      <c r="AD182" s="312"/>
    </row>
    <row r="183">
      <c r="A183" s="312"/>
      <c r="B183" s="344">
        <f t="shared" si="1"/>
        <v>2045</v>
      </c>
      <c r="C183" s="344">
        <v>90.0</v>
      </c>
      <c r="D183" s="369"/>
      <c r="E183" s="344" t="str">
        <f t="shared" si="2"/>
        <v>Saturday</v>
      </c>
      <c r="F183" s="344" t="s">
        <v>554</v>
      </c>
      <c r="G183" s="370"/>
      <c r="H183" s="370"/>
      <c r="I183" s="357">
        <f t="shared" si="3"/>
        <v>0</v>
      </c>
      <c r="J183" s="346">
        <f t="shared" si="4"/>
        <v>0</v>
      </c>
      <c r="K183" s="312"/>
      <c r="L183" s="312"/>
      <c r="M183" s="312"/>
      <c r="N183" s="362"/>
      <c r="O183" s="312"/>
      <c r="P183" s="312"/>
      <c r="S183" s="2">
        <f t="shared" si="5"/>
        <v>0</v>
      </c>
      <c r="AA183" s="312"/>
      <c r="AB183" s="312"/>
      <c r="AC183" s="312"/>
      <c r="AD183" s="312"/>
    </row>
    <row r="184">
      <c r="A184" s="312"/>
      <c r="B184" s="344">
        <f t="shared" si="1"/>
        <v>2045</v>
      </c>
      <c r="C184" s="344">
        <v>90.0</v>
      </c>
      <c r="D184" s="369"/>
      <c r="E184" s="344" t="str">
        <f t="shared" si="2"/>
        <v>Saturday</v>
      </c>
      <c r="F184" s="344" t="s">
        <v>554</v>
      </c>
      <c r="G184" s="370"/>
      <c r="H184" s="370"/>
      <c r="I184" s="357">
        <f t="shared" si="3"/>
        <v>0</v>
      </c>
      <c r="J184" s="346">
        <f t="shared" si="4"/>
        <v>0</v>
      </c>
      <c r="K184" s="312"/>
      <c r="L184" s="312"/>
      <c r="M184" s="312"/>
      <c r="N184" s="362"/>
      <c r="O184" s="312"/>
      <c r="P184" s="312"/>
      <c r="S184" s="2">
        <f t="shared" si="5"/>
        <v>0</v>
      </c>
      <c r="AA184" s="312"/>
      <c r="AB184" s="312"/>
      <c r="AC184" s="312"/>
      <c r="AD184" s="312"/>
    </row>
    <row r="185">
      <c r="A185" s="312"/>
      <c r="B185" s="344">
        <f t="shared" si="1"/>
        <v>2045</v>
      </c>
      <c r="C185" s="344">
        <v>90.0</v>
      </c>
      <c r="D185" s="369"/>
      <c r="E185" s="344" t="str">
        <f t="shared" si="2"/>
        <v>Saturday</v>
      </c>
      <c r="F185" s="344" t="s">
        <v>554</v>
      </c>
      <c r="G185" s="370"/>
      <c r="H185" s="370"/>
      <c r="I185" s="357">
        <f t="shared" si="3"/>
        <v>0</v>
      </c>
      <c r="J185" s="346">
        <f t="shared" si="4"/>
        <v>0</v>
      </c>
      <c r="K185" s="312"/>
      <c r="L185" s="312"/>
      <c r="M185" s="312"/>
      <c r="N185" s="362"/>
      <c r="O185" s="312"/>
      <c r="P185" s="312"/>
      <c r="S185" s="2">
        <f t="shared" si="5"/>
        <v>0</v>
      </c>
      <c r="AA185" s="312"/>
      <c r="AB185" s="312"/>
      <c r="AC185" s="312"/>
      <c r="AD185" s="312"/>
    </row>
    <row r="186">
      <c r="A186" s="312"/>
      <c r="B186" s="344">
        <f t="shared" si="1"/>
        <v>2045</v>
      </c>
      <c r="C186" s="344">
        <v>90.0</v>
      </c>
      <c r="D186" s="369"/>
      <c r="E186" s="344" t="str">
        <f t="shared" si="2"/>
        <v>Saturday</v>
      </c>
      <c r="F186" s="344" t="s">
        <v>554</v>
      </c>
      <c r="G186" s="370"/>
      <c r="H186" s="370"/>
      <c r="I186" s="357">
        <f t="shared" si="3"/>
        <v>0</v>
      </c>
      <c r="J186" s="346">
        <f t="shared" si="4"/>
        <v>0</v>
      </c>
      <c r="K186" s="312"/>
      <c r="L186" s="312"/>
      <c r="M186" s="312"/>
      <c r="N186" s="362"/>
      <c r="O186" s="312"/>
      <c r="P186" s="312"/>
      <c r="S186" s="2">
        <f t="shared" si="5"/>
        <v>0</v>
      </c>
      <c r="AA186" s="312"/>
      <c r="AB186" s="312"/>
      <c r="AC186" s="312"/>
      <c r="AD186" s="312"/>
    </row>
    <row r="187">
      <c r="A187" s="312"/>
      <c r="B187" s="344">
        <f t="shared" si="1"/>
        <v>2045</v>
      </c>
      <c r="C187" s="344">
        <v>90.0</v>
      </c>
      <c r="D187" s="369"/>
      <c r="E187" s="344" t="str">
        <f t="shared" si="2"/>
        <v>Saturday</v>
      </c>
      <c r="F187" s="344" t="s">
        <v>554</v>
      </c>
      <c r="G187" s="370"/>
      <c r="H187" s="370"/>
      <c r="I187" s="357">
        <f t="shared" si="3"/>
        <v>0</v>
      </c>
      <c r="J187" s="346">
        <f t="shared" si="4"/>
        <v>0</v>
      </c>
      <c r="K187" s="312"/>
      <c r="L187" s="312"/>
      <c r="M187" s="312"/>
      <c r="N187" s="362"/>
      <c r="O187" s="312"/>
      <c r="P187" s="312"/>
      <c r="S187" s="2">
        <f t="shared" si="5"/>
        <v>0</v>
      </c>
      <c r="AA187" s="312"/>
      <c r="AB187" s="312"/>
      <c r="AC187" s="312"/>
      <c r="AD187" s="312"/>
    </row>
    <row r="188">
      <c r="A188" s="312"/>
      <c r="B188" s="344">
        <f t="shared" si="1"/>
        <v>2045</v>
      </c>
      <c r="C188" s="344">
        <v>90.0</v>
      </c>
      <c r="D188" s="369"/>
      <c r="E188" s="344" t="str">
        <f t="shared" si="2"/>
        <v>Saturday</v>
      </c>
      <c r="F188" s="344" t="s">
        <v>554</v>
      </c>
      <c r="G188" s="370"/>
      <c r="H188" s="370"/>
      <c r="I188" s="357">
        <f t="shared" si="3"/>
        <v>0</v>
      </c>
      <c r="J188" s="346">
        <f t="shared" si="4"/>
        <v>0</v>
      </c>
      <c r="K188" s="312"/>
      <c r="L188" s="312"/>
      <c r="M188" s="312"/>
      <c r="N188" s="362"/>
      <c r="O188" s="312"/>
      <c r="P188" s="312"/>
      <c r="S188" s="2">
        <f t="shared" si="5"/>
        <v>0</v>
      </c>
      <c r="AA188" s="312"/>
      <c r="AB188" s="312"/>
      <c r="AC188" s="312"/>
      <c r="AD188" s="312"/>
    </row>
    <row r="189">
      <c r="A189" s="312"/>
      <c r="B189" s="344">
        <f t="shared" si="1"/>
        <v>2045</v>
      </c>
      <c r="C189" s="344">
        <v>90.0</v>
      </c>
      <c r="D189" s="369"/>
      <c r="E189" s="344" t="str">
        <f t="shared" si="2"/>
        <v>Saturday</v>
      </c>
      <c r="F189" s="344" t="s">
        <v>554</v>
      </c>
      <c r="G189" s="370"/>
      <c r="H189" s="370"/>
      <c r="I189" s="357">
        <f t="shared" si="3"/>
        <v>0</v>
      </c>
      <c r="J189" s="346">
        <f t="shared" si="4"/>
        <v>0</v>
      </c>
      <c r="K189" s="312"/>
      <c r="L189" s="312"/>
      <c r="M189" s="312"/>
      <c r="N189" s="362"/>
      <c r="O189" s="312"/>
      <c r="P189" s="312"/>
      <c r="S189" s="2">
        <f t="shared" si="5"/>
        <v>0</v>
      </c>
      <c r="AA189" s="312"/>
      <c r="AB189" s="312"/>
      <c r="AC189" s="312"/>
      <c r="AD189" s="312"/>
    </row>
    <row r="190">
      <c r="A190" s="312"/>
      <c r="B190" s="344">
        <f t="shared" si="1"/>
        <v>2045</v>
      </c>
      <c r="C190" s="344">
        <v>90.0</v>
      </c>
      <c r="D190" s="369"/>
      <c r="E190" s="344" t="str">
        <f t="shared" si="2"/>
        <v>Saturday</v>
      </c>
      <c r="F190" s="344" t="s">
        <v>554</v>
      </c>
      <c r="G190" s="370"/>
      <c r="H190" s="370"/>
      <c r="I190" s="357">
        <f t="shared" si="3"/>
        <v>0</v>
      </c>
      <c r="J190" s="346">
        <f t="shared" si="4"/>
        <v>0</v>
      </c>
      <c r="K190" s="312"/>
      <c r="L190" s="312"/>
      <c r="M190" s="312"/>
      <c r="N190" s="362"/>
      <c r="O190" s="312"/>
      <c r="P190" s="312"/>
      <c r="S190" s="2">
        <f t="shared" si="5"/>
        <v>0</v>
      </c>
      <c r="AA190" s="312"/>
      <c r="AB190" s="312"/>
      <c r="AC190" s="312"/>
      <c r="AD190" s="312"/>
    </row>
    <row r="191">
      <c r="A191" s="312"/>
      <c r="B191" s="344">
        <f t="shared" si="1"/>
        <v>2045</v>
      </c>
      <c r="C191" s="344">
        <v>90.0</v>
      </c>
      <c r="D191" s="369"/>
      <c r="E191" s="344" t="str">
        <f t="shared" si="2"/>
        <v>Saturday</v>
      </c>
      <c r="F191" s="344" t="s">
        <v>554</v>
      </c>
      <c r="G191" s="370"/>
      <c r="H191" s="370"/>
      <c r="I191" s="357">
        <f t="shared" si="3"/>
        <v>0</v>
      </c>
      <c r="J191" s="346">
        <f t="shared" si="4"/>
        <v>0</v>
      </c>
      <c r="K191" s="312"/>
      <c r="L191" s="312"/>
      <c r="M191" s="312"/>
      <c r="N191" s="362"/>
      <c r="O191" s="312"/>
      <c r="P191" s="312"/>
      <c r="S191" s="2">
        <f t="shared" si="5"/>
        <v>0</v>
      </c>
      <c r="AA191" s="312"/>
      <c r="AB191" s="312"/>
      <c r="AC191" s="312"/>
      <c r="AD191" s="312"/>
    </row>
    <row r="192">
      <c r="A192" s="312"/>
      <c r="B192" s="344">
        <f t="shared" si="1"/>
        <v>2045</v>
      </c>
      <c r="C192" s="344">
        <v>90.0</v>
      </c>
      <c r="D192" s="369"/>
      <c r="E192" s="344" t="str">
        <f t="shared" si="2"/>
        <v>Saturday</v>
      </c>
      <c r="F192" s="344" t="s">
        <v>554</v>
      </c>
      <c r="G192" s="370"/>
      <c r="H192" s="370"/>
      <c r="I192" s="357">
        <f t="shared" si="3"/>
        <v>0</v>
      </c>
      <c r="J192" s="346">
        <f t="shared" si="4"/>
        <v>0</v>
      </c>
      <c r="K192" s="312"/>
      <c r="L192" s="312"/>
      <c r="M192" s="312"/>
      <c r="N192" s="362"/>
      <c r="O192" s="312"/>
      <c r="P192" s="312"/>
      <c r="S192" s="2">
        <f t="shared" si="5"/>
        <v>0</v>
      </c>
      <c r="AA192" s="312"/>
      <c r="AB192" s="312"/>
      <c r="AC192" s="312"/>
      <c r="AD192" s="312"/>
    </row>
    <row r="193">
      <c r="A193" s="312"/>
      <c r="B193" s="344">
        <f t="shared" si="1"/>
        <v>2045</v>
      </c>
      <c r="C193" s="344">
        <v>90.0</v>
      </c>
      <c r="D193" s="369"/>
      <c r="E193" s="344" t="str">
        <f t="shared" si="2"/>
        <v>Saturday</v>
      </c>
      <c r="F193" s="344" t="s">
        <v>554</v>
      </c>
      <c r="G193" s="370"/>
      <c r="H193" s="370"/>
      <c r="I193" s="357">
        <f t="shared" si="3"/>
        <v>0</v>
      </c>
      <c r="J193" s="346">
        <f t="shared" si="4"/>
        <v>0</v>
      </c>
      <c r="K193" s="312"/>
      <c r="L193" s="312"/>
      <c r="M193" s="312"/>
      <c r="N193" s="362"/>
      <c r="O193" s="312"/>
      <c r="P193" s="312"/>
      <c r="S193" s="2">
        <f t="shared" si="5"/>
        <v>0</v>
      </c>
      <c r="AA193" s="312"/>
      <c r="AB193" s="312"/>
      <c r="AC193" s="312"/>
      <c r="AD193" s="312"/>
    </row>
    <row r="194">
      <c r="A194" s="312"/>
      <c r="B194" s="344">
        <f t="shared" si="1"/>
        <v>2045</v>
      </c>
      <c r="C194" s="344">
        <v>90.0</v>
      </c>
      <c r="D194" s="369"/>
      <c r="E194" s="344" t="str">
        <f t="shared" si="2"/>
        <v>Saturday</v>
      </c>
      <c r="F194" s="344" t="s">
        <v>554</v>
      </c>
      <c r="G194" s="370"/>
      <c r="H194" s="370"/>
      <c r="I194" s="357">
        <f t="shared" si="3"/>
        <v>0</v>
      </c>
      <c r="J194" s="346">
        <f t="shared" si="4"/>
        <v>0</v>
      </c>
      <c r="K194" s="312"/>
      <c r="L194" s="312"/>
      <c r="M194" s="312"/>
      <c r="N194" s="362"/>
      <c r="O194" s="312"/>
      <c r="P194" s="312"/>
      <c r="S194" s="2">
        <f t="shared" si="5"/>
        <v>0</v>
      </c>
      <c r="AA194" s="312"/>
      <c r="AB194" s="312"/>
      <c r="AC194" s="312"/>
      <c r="AD194" s="312"/>
    </row>
    <row r="195">
      <c r="A195" s="312"/>
      <c r="B195" s="344">
        <f t="shared" si="1"/>
        <v>2045</v>
      </c>
      <c r="C195" s="344">
        <v>90.0</v>
      </c>
      <c r="D195" s="369"/>
      <c r="E195" s="344" t="str">
        <f t="shared" si="2"/>
        <v>Saturday</v>
      </c>
      <c r="F195" s="344" t="s">
        <v>554</v>
      </c>
      <c r="G195" s="370"/>
      <c r="H195" s="370"/>
      <c r="I195" s="357">
        <f t="shared" si="3"/>
        <v>0</v>
      </c>
      <c r="J195" s="346">
        <f t="shared" si="4"/>
        <v>0</v>
      </c>
      <c r="K195" s="312"/>
      <c r="L195" s="312"/>
      <c r="M195" s="312"/>
      <c r="N195" s="362"/>
      <c r="O195" s="312"/>
      <c r="P195" s="312"/>
      <c r="S195" s="2">
        <f t="shared" si="5"/>
        <v>0</v>
      </c>
      <c r="AA195" s="312"/>
      <c r="AB195" s="312"/>
      <c r="AC195" s="312"/>
      <c r="AD195" s="312"/>
    </row>
    <row r="196">
      <c r="A196" s="312"/>
      <c r="B196" s="344">
        <f t="shared" si="1"/>
        <v>2045</v>
      </c>
      <c r="C196" s="344">
        <v>90.0</v>
      </c>
      <c r="D196" s="369"/>
      <c r="E196" s="344" t="str">
        <f t="shared" si="2"/>
        <v>Saturday</v>
      </c>
      <c r="F196" s="344" t="s">
        <v>554</v>
      </c>
      <c r="G196" s="370"/>
      <c r="H196" s="370"/>
      <c r="I196" s="357">
        <f t="shared" si="3"/>
        <v>0</v>
      </c>
      <c r="J196" s="346">
        <f t="shared" si="4"/>
        <v>0</v>
      </c>
      <c r="K196" s="312"/>
      <c r="L196" s="312"/>
      <c r="M196" s="312"/>
      <c r="N196" s="362"/>
      <c r="O196" s="312"/>
      <c r="P196" s="312"/>
      <c r="S196" s="2">
        <f t="shared" si="5"/>
        <v>0</v>
      </c>
      <c r="AA196" s="312"/>
      <c r="AB196" s="312"/>
      <c r="AC196" s="312"/>
      <c r="AD196" s="312"/>
    </row>
    <row r="197">
      <c r="A197" s="312"/>
      <c r="B197" s="344">
        <f t="shared" si="1"/>
        <v>2045</v>
      </c>
      <c r="C197" s="344">
        <v>90.0</v>
      </c>
      <c r="D197" s="369"/>
      <c r="E197" s="344" t="str">
        <f t="shared" si="2"/>
        <v>Saturday</v>
      </c>
      <c r="F197" s="344" t="s">
        <v>554</v>
      </c>
      <c r="G197" s="370"/>
      <c r="H197" s="370"/>
      <c r="I197" s="357">
        <f t="shared" si="3"/>
        <v>0</v>
      </c>
      <c r="J197" s="346">
        <f t="shared" si="4"/>
        <v>0</v>
      </c>
      <c r="K197" s="312"/>
      <c r="L197" s="312"/>
      <c r="M197" s="312"/>
      <c r="N197" s="362"/>
      <c r="O197" s="312"/>
      <c r="P197" s="312"/>
      <c r="S197" s="2">
        <f t="shared" si="5"/>
        <v>0</v>
      </c>
      <c r="AA197" s="312"/>
      <c r="AB197" s="312"/>
      <c r="AC197" s="312"/>
      <c r="AD197" s="312"/>
    </row>
    <row r="198">
      <c r="A198" s="312"/>
      <c r="B198" s="344">
        <f t="shared" si="1"/>
        <v>2045</v>
      </c>
      <c r="C198" s="344">
        <v>90.0</v>
      </c>
      <c r="D198" s="369"/>
      <c r="E198" s="344" t="str">
        <f t="shared" si="2"/>
        <v>Saturday</v>
      </c>
      <c r="F198" s="344" t="s">
        <v>554</v>
      </c>
      <c r="G198" s="370"/>
      <c r="H198" s="370"/>
      <c r="I198" s="357">
        <f t="shared" si="3"/>
        <v>0</v>
      </c>
      <c r="J198" s="346">
        <f t="shared" si="4"/>
        <v>0</v>
      </c>
      <c r="K198" s="312"/>
      <c r="L198" s="312"/>
      <c r="M198" s="312"/>
      <c r="N198" s="362"/>
      <c r="O198" s="312"/>
      <c r="P198" s="312"/>
      <c r="S198" s="2">
        <f t="shared" si="5"/>
        <v>0</v>
      </c>
      <c r="AA198" s="312"/>
      <c r="AB198" s="312"/>
      <c r="AC198" s="312"/>
      <c r="AD198" s="312"/>
    </row>
    <row r="199">
      <c r="A199" s="312"/>
      <c r="B199" s="344">
        <f t="shared" si="1"/>
        <v>2045</v>
      </c>
      <c r="C199" s="344">
        <v>90.0</v>
      </c>
      <c r="D199" s="369"/>
      <c r="E199" s="344" t="str">
        <f t="shared" si="2"/>
        <v>Saturday</v>
      </c>
      <c r="F199" s="344" t="s">
        <v>554</v>
      </c>
      <c r="G199" s="370"/>
      <c r="H199" s="370"/>
      <c r="I199" s="357">
        <f t="shared" si="3"/>
        <v>0</v>
      </c>
      <c r="J199" s="346">
        <f t="shared" si="4"/>
        <v>0</v>
      </c>
      <c r="K199" s="312"/>
      <c r="L199" s="312"/>
      <c r="M199" s="312"/>
      <c r="N199" s="362"/>
      <c r="O199" s="312"/>
      <c r="P199" s="312"/>
      <c r="S199" s="2">
        <f t="shared" si="5"/>
        <v>0</v>
      </c>
      <c r="AA199" s="312"/>
      <c r="AB199" s="312"/>
      <c r="AC199" s="312"/>
      <c r="AD199" s="312"/>
    </row>
    <row r="200">
      <c r="A200" s="312"/>
      <c r="B200" s="344">
        <f t="shared" si="1"/>
        <v>2045</v>
      </c>
      <c r="C200" s="344">
        <v>90.0</v>
      </c>
      <c r="D200" s="369"/>
      <c r="E200" s="344" t="str">
        <f t="shared" si="2"/>
        <v>Saturday</v>
      </c>
      <c r="F200" s="344" t="s">
        <v>554</v>
      </c>
      <c r="G200" s="370"/>
      <c r="H200" s="370"/>
      <c r="I200" s="357">
        <f t="shared" si="3"/>
        <v>0</v>
      </c>
      <c r="J200" s="346">
        <f t="shared" si="4"/>
        <v>0</v>
      </c>
      <c r="K200" s="312"/>
      <c r="L200" s="312"/>
      <c r="M200" s="312"/>
      <c r="N200" s="362"/>
      <c r="O200" s="312"/>
      <c r="P200" s="312"/>
      <c r="S200" s="2">
        <f t="shared" si="5"/>
        <v>0</v>
      </c>
      <c r="AA200" s="312"/>
      <c r="AB200" s="312"/>
      <c r="AC200" s="312"/>
      <c r="AD200" s="312"/>
    </row>
    <row r="201">
      <c r="A201" s="312"/>
      <c r="B201" s="344">
        <f t="shared" si="1"/>
        <v>2045</v>
      </c>
      <c r="C201" s="344">
        <v>90.0</v>
      </c>
      <c r="D201" s="369"/>
      <c r="E201" s="344" t="str">
        <f t="shared" si="2"/>
        <v>Saturday</v>
      </c>
      <c r="F201" s="344" t="s">
        <v>554</v>
      </c>
      <c r="G201" s="370"/>
      <c r="H201" s="370"/>
      <c r="I201" s="357">
        <f t="shared" si="3"/>
        <v>0</v>
      </c>
      <c r="J201" s="346">
        <f t="shared" si="4"/>
        <v>0</v>
      </c>
      <c r="K201" s="312"/>
      <c r="L201" s="312"/>
      <c r="M201" s="312"/>
      <c r="N201" s="362"/>
      <c r="O201" s="312"/>
      <c r="P201" s="312"/>
      <c r="S201" s="2">
        <f t="shared" si="5"/>
        <v>0</v>
      </c>
      <c r="AA201" s="312"/>
      <c r="AB201" s="312"/>
      <c r="AC201" s="312"/>
      <c r="AD201" s="312"/>
    </row>
    <row r="202">
      <c r="A202" s="312"/>
      <c r="B202" s="344">
        <f t="shared" si="1"/>
        <v>2045</v>
      </c>
      <c r="C202" s="344">
        <v>90.0</v>
      </c>
      <c r="D202" s="369"/>
      <c r="E202" s="344" t="str">
        <f t="shared" si="2"/>
        <v>Saturday</v>
      </c>
      <c r="F202" s="344" t="s">
        <v>554</v>
      </c>
      <c r="G202" s="370"/>
      <c r="H202" s="370"/>
      <c r="I202" s="357">
        <f t="shared" si="3"/>
        <v>0</v>
      </c>
      <c r="J202" s="346">
        <f t="shared" si="4"/>
        <v>0</v>
      </c>
      <c r="K202" s="312"/>
      <c r="L202" s="312"/>
      <c r="M202" s="312"/>
      <c r="N202" s="362"/>
      <c r="O202" s="312"/>
      <c r="P202" s="312"/>
      <c r="S202" s="2">
        <f t="shared" si="5"/>
        <v>0</v>
      </c>
      <c r="AA202" s="312"/>
      <c r="AB202" s="312"/>
      <c r="AC202" s="312"/>
      <c r="AD202" s="312"/>
    </row>
    <row r="203">
      <c r="A203" s="312"/>
      <c r="B203" s="344">
        <f t="shared" si="1"/>
        <v>2045</v>
      </c>
      <c r="C203" s="344">
        <v>90.0</v>
      </c>
      <c r="D203" s="369"/>
      <c r="E203" s="344" t="str">
        <f t="shared" si="2"/>
        <v>Saturday</v>
      </c>
      <c r="F203" s="344" t="s">
        <v>554</v>
      </c>
      <c r="G203" s="370"/>
      <c r="H203" s="370"/>
      <c r="I203" s="357">
        <f t="shared" si="3"/>
        <v>0</v>
      </c>
      <c r="J203" s="346">
        <f t="shared" si="4"/>
        <v>0</v>
      </c>
      <c r="K203" s="312"/>
      <c r="L203" s="312"/>
      <c r="M203" s="312"/>
      <c r="N203" s="362"/>
      <c r="O203" s="312"/>
      <c r="P203" s="312"/>
      <c r="S203" s="2">
        <f t="shared" si="5"/>
        <v>0</v>
      </c>
      <c r="AA203" s="312"/>
      <c r="AB203" s="312"/>
      <c r="AC203" s="312"/>
      <c r="AD203" s="312"/>
    </row>
    <row r="204">
      <c r="A204" s="312"/>
      <c r="B204" s="344">
        <f t="shared" si="1"/>
        <v>2045</v>
      </c>
      <c r="C204" s="344">
        <v>90.0</v>
      </c>
      <c r="D204" s="369"/>
      <c r="E204" s="344" t="str">
        <f t="shared" si="2"/>
        <v>Saturday</v>
      </c>
      <c r="F204" s="344" t="s">
        <v>554</v>
      </c>
      <c r="G204" s="370"/>
      <c r="H204" s="370"/>
      <c r="I204" s="357">
        <f t="shared" si="3"/>
        <v>0</v>
      </c>
      <c r="J204" s="346">
        <f t="shared" si="4"/>
        <v>0</v>
      </c>
      <c r="K204" s="312"/>
      <c r="L204" s="312"/>
      <c r="M204" s="312"/>
      <c r="N204" s="362"/>
      <c r="O204" s="312"/>
      <c r="P204" s="312"/>
      <c r="S204" s="2">
        <f t="shared" si="5"/>
        <v>0</v>
      </c>
      <c r="AA204" s="312"/>
      <c r="AB204" s="312"/>
      <c r="AC204" s="312"/>
      <c r="AD204" s="312"/>
    </row>
    <row r="205">
      <c r="A205" s="312"/>
      <c r="B205" s="344">
        <f t="shared" si="1"/>
        <v>2045</v>
      </c>
      <c r="C205" s="344">
        <v>90.0</v>
      </c>
      <c r="D205" s="369"/>
      <c r="E205" s="344" t="str">
        <f t="shared" si="2"/>
        <v>Saturday</v>
      </c>
      <c r="F205" s="344" t="s">
        <v>554</v>
      </c>
      <c r="G205" s="370"/>
      <c r="H205" s="370"/>
      <c r="I205" s="357">
        <f t="shared" si="3"/>
        <v>0</v>
      </c>
      <c r="J205" s="346">
        <f t="shared" si="4"/>
        <v>0</v>
      </c>
      <c r="K205" s="312"/>
      <c r="L205" s="312"/>
      <c r="M205" s="312"/>
      <c r="N205" s="362"/>
      <c r="O205" s="312"/>
      <c r="P205" s="312"/>
      <c r="S205" s="2">
        <f t="shared" si="5"/>
        <v>0</v>
      </c>
      <c r="AA205" s="312"/>
      <c r="AB205" s="312"/>
      <c r="AC205" s="312"/>
      <c r="AD205" s="312"/>
    </row>
    <row r="206">
      <c r="A206" s="312"/>
      <c r="B206" s="344">
        <f t="shared" si="1"/>
        <v>2045</v>
      </c>
      <c r="C206" s="344">
        <v>90.0</v>
      </c>
      <c r="D206" s="369"/>
      <c r="E206" s="344" t="str">
        <f t="shared" si="2"/>
        <v>Saturday</v>
      </c>
      <c r="F206" s="344" t="s">
        <v>554</v>
      </c>
      <c r="G206" s="370"/>
      <c r="H206" s="370"/>
      <c r="I206" s="357">
        <f t="shared" si="3"/>
        <v>0</v>
      </c>
      <c r="J206" s="346">
        <f t="shared" si="4"/>
        <v>0</v>
      </c>
      <c r="K206" s="312"/>
      <c r="L206" s="312"/>
      <c r="M206" s="312"/>
      <c r="N206" s="362"/>
      <c r="O206" s="312"/>
      <c r="P206" s="312"/>
      <c r="S206" s="2">
        <f t="shared" si="5"/>
        <v>0</v>
      </c>
      <c r="AA206" s="312"/>
      <c r="AB206" s="312"/>
      <c r="AC206" s="312"/>
      <c r="AD206" s="312"/>
    </row>
    <row r="207">
      <c r="A207" s="312"/>
      <c r="B207" s="344">
        <f t="shared" si="1"/>
        <v>2045</v>
      </c>
      <c r="C207" s="344">
        <v>90.0</v>
      </c>
      <c r="D207" s="369"/>
      <c r="E207" s="344" t="str">
        <f t="shared" si="2"/>
        <v>Saturday</v>
      </c>
      <c r="F207" s="344" t="s">
        <v>554</v>
      </c>
      <c r="G207" s="370"/>
      <c r="H207" s="370"/>
      <c r="I207" s="357">
        <f t="shared" si="3"/>
        <v>0</v>
      </c>
      <c r="J207" s="346">
        <f t="shared" si="4"/>
        <v>0</v>
      </c>
      <c r="K207" s="312"/>
      <c r="L207" s="312"/>
      <c r="M207" s="312"/>
      <c r="N207" s="362"/>
      <c r="O207" s="312"/>
      <c r="P207" s="312"/>
      <c r="S207" s="2">
        <f t="shared" si="5"/>
        <v>0</v>
      </c>
      <c r="AA207" s="312"/>
      <c r="AB207" s="312"/>
      <c r="AC207" s="312"/>
      <c r="AD207" s="312"/>
    </row>
    <row r="208">
      <c r="A208" s="312"/>
      <c r="B208" s="344">
        <f t="shared" si="1"/>
        <v>2045</v>
      </c>
      <c r="C208" s="344">
        <v>90.0</v>
      </c>
      <c r="D208" s="369"/>
      <c r="E208" s="344" t="str">
        <f t="shared" si="2"/>
        <v>Saturday</v>
      </c>
      <c r="F208" s="344" t="s">
        <v>554</v>
      </c>
      <c r="G208" s="370"/>
      <c r="H208" s="370"/>
      <c r="I208" s="357">
        <f t="shared" si="3"/>
        <v>0</v>
      </c>
      <c r="J208" s="346">
        <f t="shared" si="4"/>
        <v>0</v>
      </c>
      <c r="K208" s="312"/>
      <c r="L208" s="312"/>
      <c r="M208" s="312"/>
      <c r="N208" s="362"/>
      <c r="O208" s="312"/>
      <c r="P208" s="312"/>
      <c r="S208" s="2">
        <f t="shared" si="5"/>
        <v>0</v>
      </c>
      <c r="AA208" s="312"/>
      <c r="AB208" s="312"/>
      <c r="AC208" s="312"/>
      <c r="AD208" s="312"/>
    </row>
    <row r="209">
      <c r="A209" s="312"/>
      <c r="B209" s="344">
        <f t="shared" si="1"/>
        <v>2045</v>
      </c>
      <c r="C209" s="344">
        <v>90.0</v>
      </c>
      <c r="D209" s="369"/>
      <c r="E209" s="344" t="str">
        <f t="shared" si="2"/>
        <v>Saturday</v>
      </c>
      <c r="F209" s="344" t="s">
        <v>554</v>
      </c>
      <c r="G209" s="370"/>
      <c r="H209" s="370"/>
      <c r="I209" s="357">
        <f t="shared" si="3"/>
        <v>0</v>
      </c>
      <c r="J209" s="346">
        <f t="shared" si="4"/>
        <v>0</v>
      </c>
      <c r="K209" s="312"/>
      <c r="L209" s="312"/>
      <c r="M209" s="312"/>
      <c r="N209" s="362"/>
      <c r="O209" s="312"/>
      <c r="P209" s="312"/>
      <c r="S209" s="2">
        <f t="shared" si="5"/>
        <v>0</v>
      </c>
      <c r="AA209" s="312"/>
      <c r="AB209" s="312"/>
      <c r="AC209" s="312"/>
      <c r="AD209" s="312"/>
    </row>
    <row r="210">
      <c r="A210" s="312"/>
      <c r="B210" s="344">
        <f t="shared" si="1"/>
        <v>2045</v>
      </c>
      <c r="C210" s="344">
        <v>90.0</v>
      </c>
      <c r="D210" s="369"/>
      <c r="E210" s="344" t="str">
        <f t="shared" si="2"/>
        <v>Saturday</v>
      </c>
      <c r="F210" s="344" t="s">
        <v>554</v>
      </c>
      <c r="G210" s="370"/>
      <c r="H210" s="370"/>
      <c r="I210" s="357">
        <f t="shared" si="3"/>
        <v>0</v>
      </c>
      <c r="J210" s="346">
        <f t="shared" si="4"/>
        <v>0</v>
      </c>
      <c r="K210" s="312"/>
      <c r="L210" s="312"/>
      <c r="M210" s="312"/>
      <c r="N210" s="362"/>
      <c r="O210" s="312"/>
      <c r="P210" s="312"/>
      <c r="S210" s="2">
        <f t="shared" si="5"/>
        <v>0</v>
      </c>
      <c r="AA210" s="312"/>
      <c r="AB210" s="312"/>
      <c r="AC210" s="312"/>
      <c r="AD210" s="312"/>
    </row>
    <row r="211">
      <c r="A211" s="312"/>
      <c r="B211" s="344">
        <f t="shared" si="1"/>
        <v>2045</v>
      </c>
      <c r="C211" s="344">
        <v>90.0</v>
      </c>
      <c r="D211" s="369"/>
      <c r="E211" s="344" t="str">
        <f t="shared" si="2"/>
        <v>Saturday</v>
      </c>
      <c r="F211" s="344" t="s">
        <v>554</v>
      </c>
      <c r="G211" s="370"/>
      <c r="H211" s="370"/>
      <c r="I211" s="357">
        <f t="shared" si="3"/>
        <v>0</v>
      </c>
      <c r="J211" s="346">
        <f t="shared" si="4"/>
        <v>0</v>
      </c>
      <c r="K211" s="312"/>
      <c r="L211" s="312"/>
      <c r="M211" s="312"/>
      <c r="N211" s="362"/>
      <c r="O211" s="312"/>
      <c r="P211" s="312"/>
      <c r="S211" s="2">
        <f t="shared" si="5"/>
        <v>0</v>
      </c>
      <c r="AA211" s="312"/>
      <c r="AB211" s="312"/>
      <c r="AC211" s="312"/>
      <c r="AD211" s="312"/>
    </row>
    <row r="212">
      <c r="A212" s="312"/>
      <c r="B212" s="344">
        <f t="shared" si="1"/>
        <v>2045</v>
      </c>
      <c r="C212" s="344">
        <v>90.0</v>
      </c>
      <c r="D212" s="369"/>
      <c r="E212" s="344" t="str">
        <f t="shared" si="2"/>
        <v>Saturday</v>
      </c>
      <c r="F212" s="344" t="s">
        <v>554</v>
      </c>
      <c r="G212" s="370"/>
      <c r="H212" s="370"/>
      <c r="I212" s="357">
        <f t="shared" si="3"/>
        <v>0</v>
      </c>
      <c r="J212" s="346">
        <f t="shared" si="4"/>
        <v>0</v>
      </c>
      <c r="K212" s="312"/>
      <c r="L212" s="312"/>
      <c r="M212" s="312"/>
      <c r="N212" s="362"/>
      <c r="O212" s="312"/>
      <c r="P212" s="312"/>
      <c r="S212" s="2">
        <f t="shared" si="5"/>
        <v>0</v>
      </c>
      <c r="AA212" s="312"/>
      <c r="AB212" s="312"/>
      <c r="AC212" s="312"/>
      <c r="AD212" s="312"/>
    </row>
    <row r="213">
      <c r="A213" s="312"/>
      <c r="B213" s="344">
        <f t="shared" si="1"/>
        <v>2045</v>
      </c>
      <c r="C213" s="344">
        <v>90.0</v>
      </c>
      <c r="D213" s="369"/>
      <c r="E213" s="344" t="str">
        <f t="shared" si="2"/>
        <v>Saturday</v>
      </c>
      <c r="F213" s="344" t="s">
        <v>554</v>
      </c>
      <c r="G213" s="370"/>
      <c r="H213" s="370"/>
      <c r="I213" s="357">
        <f t="shared" si="3"/>
        <v>0</v>
      </c>
      <c r="J213" s="346">
        <f t="shared" si="4"/>
        <v>0</v>
      </c>
      <c r="K213" s="312"/>
      <c r="L213" s="312"/>
      <c r="M213" s="312"/>
      <c r="N213" s="362"/>
      <c r="O213" s="312"/>
      <c r="P213" s="312"/>
      <c r="S213" s="2">
        <f t="shared" si="5"/>
        <v>0</v>
      </c>
      <c r="AA213" s="312"/>
      <c r="AB213" s="312"/>
      <c r="AC213" s="312"/>
      <c r="AD213" s="312"/>
    </row>
    <row r="214">
      <c r="A214" s="312"/>
      <c r="B214" s="344">
        <f t="shared" si="1"/>
        <v>2045</v>
      </c>
      <c r="C214" s="344">
        <v>90.0</v>
      </c>
      <c r="D214" s="369"/>
      <c r="E214" s="344" t="str">
        <f t="shared" si="2"/>
        <v>Saturday</v>
      </c>
      <c r="F214" s="344" t="s">
        <v>554</v>
      </c>
      <c r="G214" s="370"/>
      <c r="H214" s="370"/>
      <c r="I214" s="357">
        <f t="shared" si="3"/>
        <v>0</v>
      </c>
      <c r="J214" s="346">
        <f t="shared" si="4"/>
        <v>0</v>
      </c>
      <c r="K214" s="312"/>
      <c r="L214" s="312"/>
      <c r="M214" s="312"/>
      <c r="N214" s="362"/>
      <c r="O214" s="312"/>
      <c r="P214" s="312"/>
      <c r="S214" s="2">
        <f t="shared" si="5"/>
        <v>0</v>
      </c>
      <c r="AA214" s="312"/>
      <c r="AB214" s="312"/>
      <c r="AC214" s="312"/>
      <c r="AD214" s="312"/>
    </row>
    <row r="215">
      <c r="A215" s="312"/>
      <c r="B215" s="344">
        <f t="shared" si="1"/>
        <v>2045</v>
      </c>
      <c r="C215" s="344">
        <v>90.0</v>
      </c>
      <c r="D215" s="369"/>
      <c r="E215" s="344" t="str">
        <f t="shared" si="2"/>
        <v>Saturday</v>
      </c>
      <c r="F215" s="344" t="s">
        <v>554</v>
      </c>
      <c r="G215" s="370"/>
      <c r="H215" s="370"/>
      <c r="I215" s="357">
        <f t="shared" si="3"/>
        <v>0</v>
      </c>
      <c r="J215" s="346">
        <f t="shared" si="4"/>
        <v>0</v>
      </c>
      <c r="K215" s="312"/>
      <c r="L215" s="312"/>
      <c r="M215" s="312"/>
      <c r="N215" s="362"/>
      <c r="O215" s="312"/>
      <c r="P215" s="312"/>
      <c r="S215" s="2">
        <f t="shared" si="5"/>
        <v>0</v>
      </c>
      <c r="AA215" s="312"/>
      <c r="AB215" s="312"/>
      <c r="AC215" s="312"/>
      <c r="AD215" s="312"/>
    </row>
    <row r="216">
      <c r="A216" s="312"/>
      <c r="B216" s="344">
        <f t="shared" si="1"/>
        <v>2045</v>
      </c>
      <c r="C216" s="344">
        <v>90.0</v>
      </c>
      <c r="D216" s="369"/>
      <c r="E216" s="344" t="str">
        <f t="shared" si="2"/>
        <v>Saturday</v>
      </c>
      <c r="F216" s="344" t="s">
        <v>554</v>
      </c>
      <c r="G216" s="370"/>
      <c r="H216" s="370"/>
      <c r="I216" s="357">
        <f t="shared" si="3"/>
        <v>0</v>
      </c>
      <c r="J216" s="346">
        <f t="shared" si="4"/>
        <v>0</v>
      </c>
      <c r="K216" s="312"/>
      <c r="L216" s="312"/>
      <c r="M216" s="312"/>
      <c r="N216" s="362"/>
      <c r="O216" s="312"/>
      <c r="P216" s="312"/>
      <c r="S216" s="2">
        <f t="shared" si="5"/>
        <v>0</v>
      </c>
      <c r="AA216" s="312"/>
      <c r="AB216" s="312"/>
      <c r="AC216" s="312"/>
      <c r="AD216" s="312"/>
    </row>
    <row r="217">
      <c r="A217" s="312"/>
      <c r="B217" s="344">
        <f t="shared" si="1"/>
        <v>2045</v>
      </c>
      <c r="C217" s="344">
        <v>90.0</v>
      </c>
      <c r="D217" s="369"/>
      <c r="E217" s="344" t="str">
        <f t="shared" si="2"/>
        <v>Saturday</v>
      </c>
      <c r="F217" s="344" t="s">
        <v>554</v>
      </c>
      <c r="G217" s="370"/>
      <c r="H217" s="370"/>
      <c r="I217" s="357">
        <f t="shared" si="3"/>
        <v>0</v>
      </c>
      <c r="J217" s="346">
        <f t="shared" si="4"/>
        <v>0</v>
      </c>
      <c r="K217" s="312"/>
      <c r="L217" s="312"/>
      <c r="M217" s="312"/>
      <c r="N217" s="362"/>
      <c r="O217" s="312"/>
      <c r="P217" s="312"/>
      <c r="S217" s="2">
        <f t="shared" si="5"/>
        <v>0</v>
      </c>
      <c r="AA217" s="312"/>
      <c r="AB217" s="312"/>
      <c r="AC217" s="312"/>
      <c r="AD217" s="312"/>
    </row>
    <row r="218">
      <c r="A218" s="312"/>
      <c r="B218" s="344">
        <f t="shared" si="1"/>
        <v>2045</v>
      </c>
      <c r="C218" s="344">
        <v>90.0</v>
      </c>
      <c r="D218" s="369"/>
      <c r="E218" s="344" t="str">
        <f t="shared" si="2"/>
        <v>Saturday</v>
      </c>
      <c r="F218" s="344" t="s">
        <v>554</v>
      </c>
      <c r="G218" s="370"/>
      <c r="H218" s="370"/>
      <c r="I218" s="357">
        <f t="shared" si="3"/>
        <v>0</v>
      </c>
      <c r="J218" s="346">
        <f t="shared" si="4"/>
        <v>0</v>
      </c>
      <c r="K218" s="312"/>
      <c r="L218" s="312"/>
      <c r="M218" s="312"/>
      <c r="N218" s="362"/>
      <c r="O218" s="312"/>
      <c r="P218" s="312"/>
      <c r="S218" s="2">
        <f t="shared" si="5"/>
        <v>0</v>
      </c>
      <c r="AA218" s="312"/>
      <c r="AB218" s="312"/>
      <c r="AC218" s="312"/>
      <c r="AD218" s="312"/>
    </row>
    <row r="219">
      <c r="A219" s="312"/>
      <c r="B219" s="344">
        <f t="shared" si="1"/>
        <v>2045</v>
      </c>
      <c r="C219" s="344">
        <v>90.0</v>
      </c>
      <c r="D219" s="369"/>
      <c r="E219" s="344" t="str">
        <f t="shared" si="2"/>
        <v>Saturday</v>
      </c>
      <c r="F219" s="344" t="s">
        <v>554</v>
      </c>
      <c r="G219" s="370"/>
      <c r="H219" s="370"/>
      <c r="I219" s="357">
        <f t="shared" si="3"/>
        <v>0</v>
      </c>
      <c r="J219" s="346">
        <f t="shared" si="4"/>
        <v>0</v>
      </c>
      <c r="K219" s="312"/>
      <c r="L219" s="312"/>
      <c r="M219" s="312"/>
      <c r="N219" s="362"/>
      <c r="O219" s="312"/>
      <c r="P219" s="312"/>
      <c r="S219" s="2">
        <f t="shared" si="5"/>
        <v>0</v>
      </c>
      <c r="AA219" s="312"/>
      <c r="AB219" s="312"/>
      <c r="AC219" s="312"/>
      <c r="AD219" s="312"/>
    </row>
    <row r="220">
      <c r="A220" s="312"/>
      <c r="B220" s="344">
        <f t="shared" si="1"/>
        <v>2045</v>
      </c>
      <c r="C220" s="344">
        <v>90.0</v>
      </c>
      <c r="D220" s="369"/>
      <c r="E220" s="344" t="str">
        <f t="shared" si="2"/>
        <v>Saturday</v>
      </c>
      <c r="F220" s="344" t="s">
        <v>554</v>
      </c>
      <c r="G220" s="370"/>
      <c r="H220" s="370"/>
      <c r="I220" s="357">
        <f t="shared" si="3"/>
        <v>0</v>
      </c>
      <c r="J220" s="346">
        <f t="shared" si="4"/>
        <v>0</v>
      </c>
      <c r="K220" s="312"/>
      <c r="L220" s="312"/>
      <c r="M220" s="312"/>
      <c r="N220" s="362"/>
      <c r="O220" s="312"/>
      <c r="P220" s="312"/>
      <c r="S220" s="2">
        <f t="shared" si="5"/>
        <v>0</v>
      </c>
      <c r="AA220" s="312"/>
      <c r="AB220" s="312"/>
      <c r="AC220" s="312"/>
      <c r="AD220" s="312"/>
    </row>
    <row r="221">
      <c r="A221" s="312"/>
      <c r="B221" s="344">
        <f t="shared" si="1"/>
        <v>2045</v>
      </c>
      <c r="C221" s="344">
        <v>90.0</v>
      </c>
      <c r="D221" s="369"/>
      <c r="E221" s="344" t="str">
        <f t="shared" si="2"/>
        <v>Saturday</v>
      </c>
      <c r="F221" s="344" t="s">
        <v>554</v>
      </c>
      <c r="G221" s="370"/>
      <c r="H221" s="370"/>
      <c r="I221" s="357">
        <f t="shared" si="3"/>
        <v>0</v>
      </c>
      <c r="J221" s="346">
        <f t="shared" si="4"/>
        <v>0</v>
      </c>
      <c r="K221" s="312"/>
      <c r="L221" s="312"/>
      <c r="M221" s="312"/>
      <c r="N221" s="362"/>
      <c r="O221" s="312"/>
      <c r="P221" s="312"/>
      <c r="S221" s="2">
        <f t="shared" si="5"/>
        <v>0</v>
      </c>
      <c r="AA221" s="312"/>
      <c r="AB221" s="312"/>
      <c r="AC221" s="312"/>
      <c r="AD221" s="312"/>
    </row>
    <row r="222">
      <c r="A222" s="312"/>
      <c r="B222" s="344">
        <f t="shared" si="1"/>
        <v>2045</v>
      </c>
      <c r="C222" s="344">
        <v>90.0</v>
      </c>
      <c r="D222" s="369"/>
      <c r="E222" s="344" t="str">
        <f t="shared" si="2"/>
        <v>Saturday</v>
      </c>
      <c r="F222" s="344" t="s">
        <v>554</v>
      </c>
      <c r="G222" s="370"/>
      <c r="H222" s="370"/>
      <c r="I222" s="357">
        <f t="shared" si="3"/>
        <v>0</v>
      </c>
      <c r="J222" s="346">
        <f t="shared" si="4"/>
        <v>0</v>
      </c>
      <c r="K222" s="312"/>
      <c r="L222" s="312"/>
      <c r="M222" s="312"/>
      <c r="N222" s="362"/>
      <c r="O222" s="312"/>
      <c r="P222" s="312"/>
      <c r="S222" s="2">
        <f t="shared" si="5"/>
        <v>0</v>
      </c>
      <c r="AA222" s="312"/>
      <c r="AB222" s="312"/>
      <c r="AC222" s="312"/>
      <c r="AD222" s="312"/>
    </row>
    <row r="223">
      <c r="A223" s="312"/>
      <c r="B223" s="344">
        <f t="shared" si="1"/>
        <v>2045</v>
      </c>
      <c r="C223" s="344">
        <v>90.0</v>
      </c>
      <c r="D223" s="369"/>
      <c r="E223" s="344" t="str">
        <f t="shared" si="2"/>
        <v>Saturday</v>
      </c>
      <c r="F223" s="344" t="s">
        <v>554</v>
      </c>
      <c r="G223" s="370"/>
      <c r="H223" s="370"/>
      <c r="I223" s="357">
        <f t="shared" si="3"/>
        <v>0</v>
      </c>
      <c r="J223" s="346">
        <f t="shared" si="4"/>
        <v>0</v>
      </c>
      <c r="K223" s="312"/>
      <c r="L223" s="312"/>
      <c r="M223" s="312"/>
      <c r="N223" s="362"/>
      <c r="O223" s="312"/>
      <c r="P223" s="312"/>
      <c r="S223" s="2">
        <f t="shared" si="5"/>
        <v>0</v>
      </c>
      <c r="AA223" s="312"/>
      <c r="AB223" s="312"/>
      <c r="AC223" s="312"/>
      <c r="AD223" s="312"/>
    </row>
    <row r="224">
      <c r="A224" s="312"/>
      <c r="B224" s="344">
        <f t="shared" si="1"/>
        <v>2045</v>
      </c>
      <c r="C224" s="344">
        <v>90.0</v>
      </c>
      <c r="D224" s="369"/>
      <c r="E224" s="344" t="str">
        <f t="shared" si="2"/>
        <v>Saturday</v>
      </c>
      <c r="F224" s="344" t="s">
        <v>554</v>
      </c>
      <c r="G224" s="370"/>
      <c r="H224" s="370"/>
      <c r="I224" s="357">
        <f t="shared" si="3"/>
        <v>0</v>
      </c>
      <c r="J224" s="346">
        <f t="shared" si="4"/>
        <v>0</v>
      </c>
      <c r="K224" s="312"/>
      <c r="L224" s="312"/>
      <c r="M224" s="312"/>
      <c r="N224" s="362"/>
      <c r="O224" s="312"/>
      <c r="P224" s="312"/>
      <c r="S224" s="2">
        <f t="shared" si="5"/>
        <v>0</v>
      </c>
      <c r="AA224" s="312"/>
      <c r="AB224" s="312"/>
      <c r="AC224" s="312"/>
      <c r="AD224" s="312"/>
    </row>
    <row r="225">
      <c r="A225" s="312"/>
      <c r="B225" s="344">
        <f t="shared" si="1"/>
        <v>2045</v>
      </c>
      <c r="C225" s="344">
        <v>90.0</v>
      </c>
      <c r="D225" s="369"/>
      <c r="E225" s="344" t="str">
        <f t="shared" si="2"/>
        <v>Saturday</v>
      </c>
      <c r="F225" s="344" t="s">
        <v>554</v>
      </c>
      <c r="G225" s="370"/>
      <c r="H225" s="370"/>
      <c r="I225" s="357">
        <f t="shared" si="3"/>
        <v>0</v>
      </c>
      <c r="J225" s="346">
        <f t="shared" si="4"/>
        <v>0</v>
      </c>
      <c r="K225" s="312"/>
      <c r="L225" s="312"/>
      <c r="M225" s="312"/>
      <c r="N225" s="362"/>
      <c r="O225" s="312"/>
      <c r="P225" s="312"/>
      <c r="S225" s="2">
        <f t="shared" si="5"/>
        <v>0</v>
      </c>
      <c r="AA225" s="312"/>
      <c r="AB225" s="312"/>
      <c r="AC225" s="312"/>
      <c r="AD225" s="312"/>
    </row>
    <row r="226">
      <c r="A226" s="312"/>
      <c r="B226" s="344">
        <f t="shared" si="1"/>
        <v>2045</v>
      </c>
      <c r="C226" s="344">
        <v>90.0</v>
      </c>
      <c r="D226" s="369"/>
      <c r="E226" s="344" t="str">
        <f t="shared" si="2"/>
        <v>Saturday</v>
      </c>
      <c r="F226" s="344" t="s">
        <v>554</v>
      </c>
      <c r="G226" s="370"/>
      <c r="H226" s="370"/>
      <c r="I226" s="357">
        <f t="shared" si="3"/>
        <v>0</v>
      </c>
      <c r="J226" s="346">
        <f t="shared" si="4"/>
        <v>0</v>
      </c>
      <c r="K226" s="312"/>
      <c r="L226" s="312"/>
      <c r="M226" s="312"/>
      <c r="N226" s="362"/>
      <c r="O226" s="312"/>
      <c r="P226" s="312"/>
      <c r="S226" s="2">
        <f t="shared" si="5"/>
        <v>0</v>
      </c>
      <c r="AA226" s="312"/>
      <c r="AB226" s="312"/>
      <c r="AC226" s="312"/>
      <c r="AD226" s="312"/>
    </row>
    <row r="227">
      <c r="A227" s="312"/>
      <c r="B227" s="344">
        <f t="shared" si="1"/>
        <v>2045</v>
      </c>
      <c r="C227" s="344">
        <v>90.0</v>
      </c>
      <c r="D227" s="369"/>
      <c r="E227" s="344" t="str">
        <f t="shared" si="2"/>
        <v>Saturday</v>
      </c>
      <c r="F227" s="344" t="s">
        <v>554</v>
      </c>
      <c r="G227" s="370"/>
      <c r="H227" s="370"/>
      <c r="I227" s="357">
        <f t="shared" si="3"/>
        <v>0</v>
      </c>
      <c r="J227" s="346">
        <f t="shared" si="4"/>
        <v>0</v>
      </c>
      <c r="K227" s="312"/>
      <c r="L227" s="312"/>
      <c r="M227" s="312"/>
      <c r="N227" s="362"/>
      <c r="O227" s="312"/>
      <c r="P227" s="312"/>
      <c r="S227" s="2">
        <f t="shared" si="5"/>
        <v>0</v>
      </c>
      <c r="AA227" s="312"/>
      <c r="AB227" s="312"/>
      <c r="AC227" s="312"/>
      <c r="AD227" s="312"/>
    </row>
    <row r="228">
      <c r="A228" s="312"/>
      <c r="B228" s="344">
        <f t="shared" si="1"/>
        <v>2045</v>
      </c>
      <c r="C228" s="344">
        <v>90.0</v>
      </c>
      <c r="D228" s="369"/>
      <c r="E228" s="344" t="str">
        <f t="shared" si="2"/>
        <v>Saturday</v>
      </c>
      <c r="F228" s="344" t="s">
        <v>554</v>
      </c>
      <c r="G228" s="370"/>
      <c r="H228" s="370"/>
      <c r="I228" s="357">
        <f t="shared" si="3"/>
        <v>0</v>
      </c>
      <c r="J228" s="346">
        <f t="shared" si="4"/>
        <v>0</v>
      </c>
      <c r="K228" s="312"/>
      <c r="L228" s="312"/>
      <c r="M228" s="312"/>
      <c r="N228" s="362"/>
      <c r="O228" s="312"/>
      <c r="P228" s="312"/>
      <c r="S228" s="2">
        <f t="shared" si="5"/>
        <v>0</v>
      </c>
      <c r="AA228" s="312"/>
      <c r="AB228" s="312"/>
      <c r="AC228" s="312"/>
      <c r="AD228" s="312"/>
    </row>
    <row r="229">
      <c r="A229" s="312"/>
      <c r="B229" s="344">
        <f t="shared" si="1"/>
        <v>2045</v>
      </c>
      <c r="C229" s="344">
        <v>90.0</v>
      </c>
      <c r="D229" s="369"/>
      <c r="E229" s="344" t="str">
        <f t="shared" si="2"/>
        <v>Saturday</v>
      </c>
      <c r="F229" s="344" t="s">
        <v>554</v>
      </c>
      <c r="G229" s="370"/>
      <c r="H229" s="370"/>
      <c r="I229" s="357">
        <f t="shared" si="3"/>
        <v>0</v>
      </c>
      <c r="J229" s="346">
        <f t="shared" si="4"/>
        <v>0</v>
      </c>
      <c r="K229" s="312"/>
      <c r="L229" s="312"/>
      <c r="M229" s="312"/>
      <c r="N229" s="362"/>
      <c r="O229" s="312"/>
      <c r="P229" s="312"/>
      <c r="S229" s="2">
        <f t="shared" si="5"/>
        <v>0</v>
      </c>
      <c r="AA229" s="312"/>
      <c r="AB229" s="312"/>
      <c r="AC229" s="312"/>
      <c r="AD229" s="312"/>
    </row>
    <row r="230">
      <c r="A230" s="312"/>
      <c r="B230" s="344">
        <f t="shared" si="1"/>
        <v>2045</v>
      </c>
      <c r="C230" s="344">
        <v>90.0</v>
      </c>
      <c r="D230" s="369"/>
      <c r="E230" s="344" t="str">
        <f t="shared" si="2"/>
        <v>Saturday</v>
      </c>
      <c r="F230" s="344" t="s">
        <v>554</v>
      </c>
      <c r="G230" s="370"/>
      <c r="H230" s="370"/>
      <c r="I230" s="357">
        <f t="shared" si="3"/>
        <v>0</v>
      </c>
      <c r="J230" s="346">
        <f t="shared" si="4"/>
        <v>0</v>
      </c>
      <c r="K230" s="312"/>
      <c r="L230" s="312"/>
      <c r="M230" s="312"/>
      <c r="N230" s="362"/>
      <c r="O230" s="312"/>
      <c r="P230" s="312"/>
      <c r="S230" s="2">
        <f t="shared" si="5"/>
        <v>0</v>
      </c>
      <c r="AA230" s="312"/>
      <c r="AB230" s="312"/>
      <c r="AC230" s="312"/>
      <c r="AD230" s="312"/>
    </row>
    <row r="231">
      <c r="A231" s="312"/>
      <c r="B231" s="344">
        <f t="shared" si="1"/>
        <v>2045</v>
      </c>
      <c r="C231" s="344">
        <v>90.0</v>
      </c>
      <c r="D231" s="369"/>
      <c r="E231" s="344" t="str">
        <f t="shared" si="2"/>
        <v>Saturday</v>
      </c>
      <c r="F231" s="344" t="s">
        <v>554</v>
      </c>
      <c r="G231" s="370"/>
      <c r="H231" s="370"/>
      <c r="I231" s="357">
        <f t="shared" si="3"/>
        <v>0</v>
      </c>
      <c r="J231" s="346">
        <f t="shared" si="4"/>
        <v>0</v>
      </c>
      <c r="K231" s="312"/>
      <c r="L231" s="312"/>
      <c r="M231" s="312"/>
      <c r="N231" s="362"/>
      <c r="O231" s="312"/>
      <c r="P231" s="312"/>
      <c r="S231" s="2">
        <f t="shared" si="5"/>
        <v>0</v>
      </c>
      <c r="AA231" s="312"/>
      <c r="AB231" s="312"/>
      <c r="AC231" s="312"/>
      <c r="AD231" s="312"/>
    </row>
    <row r="232">
      <c r="A232" s="312"/>
      <c r="B232" s="344">
        <f t="shared" si="1"/>
        <v>2045</v>
      </c>
      <c r="C232" s="344">
        <v>90.0</v>
      </c>
      <c r="D232" s="369"/>
      <c r="E232" s="344" t="str">
        <f t="shared" si="2"/>
        <v>Saturday</v>
      </c>
      <c r="F232" s="344" t="s">
        <v>554</v>
      </c>
      <c r="G232" s="370"/>
      <c r="H232" s="370"/>
      <c r="I232" s="357">
        <f t="shared" si="3"/>
        <v>0</v>
      </c>
      <c r="J232" s="346">
        <f t="shared" si="4"/>
        <v>0</v>
      </c>
      <c r="K232" s="312"/>
      <c r="L232" s="312"/>
      <c r="M232" s="312"/>
      <c r="N232" s="362"/>
      <c r="O232" s="312"/>
      <c r="P232" s="312"/>
      <c r="S232" s="2">
        <f t="shared" si="5"/>
        <v>0</v>
      </c>
      <c r="AA232" s="312"/>
      <c r="AB232" s="312"/>
      <c r="AC232" s="312"/>
      <c r="AD232" s="312"/>
    </row>
    <row r="233">
      <c r="A233" s="312"/>
      <c r="B233" s="344">
        <f t="shared" si="1"/>
        <v>2045</v>
      </c>
      <c r="C233" s="344">
        <v>90.0</v>
      </c>
      <c r="D233" s="369"/>
      <c r="E233" s="344" t="str">
        <f t="shared" si="2"/>
        <v>Saturday</v>
      </c>
      <c r="F233" s="344" t="s">
        <v>554</v>
      </c>
      <c r="G233" s="370"/>
      <c r="H233" s="370"/>
      <c r="I233" s="357">
        <f t="shared" si="3"/>
        <v>0</v>
      </c>
      <c r="J233" s="346">
        <f t="shared" si="4"/>
        <v>0</v>
      </c>
      <c r="K233" s="312"/>
      <c r="L233" s="312"/>
      <c r="M233" s="312"/>
      <c r="N233" s="362"/>
      <c r="O233" s="312"/>
      <c r="P233" s="312"/>
      <c r="S233" s="2">
        <f t="shared" si="5"/>
        <v>0</v>
      </c>
      <c r="AA233" s="312"/>
      <c r="AB233" s="312"/>
      <c r="AC233" s="312"/>
      <c r="AD233" s="312"/>
    </row>
    <row r="234">
      <c r="A234" s="312"/>
      <c r="B234" s="344">
        <f t="shared" si="1"/>
        <v>2045</v>
      </c>
      <c r="C234" s="344">
        <v>90.0</v>
      </c>
      <c r="D234" s="369"/>
      <c r="E234" s="344" t="str">
        <f t="shared" si="2"/>
        <v>Saturday</v>
      </c>
      <c r="F234" s="344" t="s">
        <v>554</v>
      </c>
      <c r="G234" s="370"/>
      <c r="H234" s="370"/>
      <c r="I234" s="357">
        <f t="shared" si="3"/>
        <v>0</v>
      </c>
      <c r="J234" s="346">
        <f t="shared" si="4"/>
        <v>0</v>
      </c>
      <c r="K234" s="312"/>
      <c r="L234" s="312"/>
      <c r="M234" s="312"/>
      <c r="N234" s="362"/>
      <c r="O234" s="312"/>
      <c r="P234" s="312"/>
      <c r="S234" s="2">
        <f t="shared" si="5"/>
        <v>0</v>
      </c>
      <c r="AA234" s="312"/>
      <c r="AB234" s="312"/>
      <c r="AC234" s="312"/>
      <c r="AD234" s="312"/>
    </row>
    <row r="235">
      <c r="A235" s="312"/>
      <c r="B235" s="344">
        <f t="shared" si="1"/>
        <v>2045</v>
      </c>
      <c r="C235" s="344">
        <v>90.0</v>
      </c>
      <c r="D235" s="369"/>
      <c r="E235" s="344" t="str">
        <f t="shared" si="2"/>
        <v>Saturday</v>
      </c>
      <c r="F235" s="344" t="s">
        <v>554</v>
      </c>
      <c r="G235" s="370"/>
      <c r="H235" s="370"/>
      <c r="I235" s="357">
        <f t="shared" si="3"/>
        <v>0</v>
      </c>
      <c r="J235" s="346">
        <f t="shared" si="4"/>
        <v>0</v>
      </c>
      <c r="K235" s="312"/>
      <c r="L235" s="312"/>
      <c r="M235" s="312"/>
      <c r="N235" s="362"/>
      <c r="O235" s="312"/>
      <c r="P235" s="312"/>
      <c r="S235" s="2">
        <f t="shared" si="5"/>
        <v>0</v>
      </c>
      <c r="AA235" s="312"/>
      <c r="AB235" s="312"/>
      <c r="AC235" s="312"/>
      <c r="AD235" s="312"/>
    </row>
    <row r="236">
      <c r="A236" s="312"/>
      <c r="B236" s="344">
        <f t="shared" si="1"/>
        <v>2045</v>
      </c>
      <c r="C236" s="344">
        <v>90.0</v>
      </c>
      <c r="D236" s="369"/>
      <c r="E236" s="344" t="str">
        <f t="shared" si="2"/>
        <v>Saturday</v>
      </c>
      <c r="F236" s="344" t="s">
        <v>554</v>
      </c>
      <c r="G236" s="370"/>
      <c r="H236" s="370"/>
      <c r="I236" s="357">
        <f t="shared" si="3"/>
        <v>0</v>
      </c>
      <c r="J236" s="346">
        <f t="shared" si="4"/>
        <v>0</v>
      </c>
      <c r="K236" s="312"/>
      <c r="L236" s="312"/>
      <c r="M236" s="312"/>
      <c r="N236" s="362"/>
      <c r="O236" s="312"/>
      <c r="P236" s="312"/>
      <c r="S236" s="2">
        <f t="shared" si="5"/>
        <v>0</v>
      </c>
      <c r="AA236" s="312"/>
      <c r="AB236" s="312"/>
      <c r="AC236" s="312"/>
      <c r="AD236" s="312"/>
    </row>
    <row r="237">
      <c r="A237" s="312"/>
      <c r="B237" s="344">
        <f t="shared" si="1"/>
        <v>2045</v>
      </c>
      <c r="C237" s="344">
        <v>90.0</v>
      </c>
      <c r="D237" s="369"/>
      <c r="E237" s="344" t="str">
        <f t="shared" si="2"/>
        <v>Saturday</v>
      </c>
      <c r="F237" s="344" t="s">
        <v>554</v>
      </c>
      <c r="G237" s="370"/>
      <c r="H237" s="370"/>
      <c r="I237" s="357">
        <f t="shared" si="3"/>
        <v>0</v>
      </c>
      <c r="J237" s="346">
        <f t="shared" si="4"/>
        <v>0</v>
      </c>
      <c r="K237" s="312"/>
      <c r="L237" s="312"/>
      <c r="M237" s="312"/>
      <c r="N237" s="362"/>
      <c r="O237" s="312"/>
      <c r="P237" s="312"/>
      <c r="S237" s="2">
        <f t="shared" si="5"/>
        <v>0</v>
      </c>
      <c r="AA237" s="312"/>
      <c r="AB237" s="312"/>
      <c r="AC237" s="312"/>
      <c r="AD237" s="312"/>
    </row>
    <row r="238">
      <c r="A238" s="312"/>
      <c r="B238" s="344">
        <f t="shared" si="1"/>
        <v>2045</v>
      </c>
      <c r="C238" s="344">
        <v>90.0</v>
      </c>
      <c r="D238" s="369"/>
      <c r="E238" s="344" t="str">
        <f t="shared" si="2"/>
        <v>Saturday</v>
      </c>
      <c r="F238" s="344" t="s">
        <v>554</v>
      </c>
      <c r="G238" s="370"/>
      <c r="H238" s="370"/>
      <c r="I238" s="357">
        <f t="shared" si="3"/>
        <v>0</v>
      </c>
      <c r="J238" s="346">
        <f t="shared" si="4"/>
        <v>0</v>
      </c>
      <c r="K238" s="312"/>
      <c r="L238" s="312"/>
      <c r="M238" s="312"/>
      <c r="N238" s="362"/>
      <c r="O238" s="312"/>
      <c r="P238" s="312"/>
      <c r="S238" s="2">
        <f t="shared" si="5"/>
        <v>0</v>
      </c>
      <c r="AA238" s="312"/>
      <c r="AB238" s="312"/>
      <c r="AC238" s="312"/>
      <c r="AD238" s="312"/>
    </row>
    <row r="239">
      <c r="A239" s="312"/>
      <c r="B239" s="344">
        <f t="shared" si="1"/>
        <v>2045</v>
      </c>
      <c r="C239" s="344">
        <v>90.0</v>
      </c>
      <c r="D239" s="369"/>
      <c r="E239" s="344" t="str">
        <f t="shared" si="2"/>
        <v>Saturday</v>
      </c>
      <c r="F239" s="344" t="s">
        <v>554</v>
      </c>
      <c r="G239" s="370"/>
      <c r="H239" s="370"/>
      <c r="I239" s="357">
        <f t="shared" si="3"/>
        <v>0</v>
      </c>
      <c r="J239" s="346">
        <f t="shared" si="4"/>
        <v>0</v>
      </c>
      <c r="K239" s="312"/>
      <c r="L239" s="312"/>
      <c r="M239" s="312"/>
      <c r="N239" s="362"/>
      <c r="O239" s="312"/>
      <c r="P239" s="312"/>
      <c r="S239" s="2">
        <f t="shared" si="5"/>
        <v>0</v>
      </c>
      <c r="AA239" s="312"/>
      <c r="AB239" s="312"/>
      <c r="AC239" s="312"/>
      <c r="AD239" s="312"/>
    </row>
    <row r="240">
      <c r="A240" s="312"/>
      <c r="B240" s="344">
        <f t="shared" si="1"/>
        <v>2045</v>
      </c>
      <c r="C240" s="344">
        <v>90.0</v>
      </c>
      <c r="D240" s="369"/>
      <c r="E240" s="344" t="str">
        <f t="shared" si="2"/>
        <v>Saturday</v>
      </c>
      <c r="F240" s="344" t="s">
        <v>554</v>
      </c>
      <c r="G240" s="370"/>
      <c r="H240" s="370"/>
      <c r="I240" s="357">
        <f t="shared" si="3"/>
        <v>0</v>
      </c>
      <c r="J240" s="346">
        <f t="shared" si="4"/>
        <v>0</v>
      </c>
      <c r="K240" s="312"/>
      <c r="L240" s="312"/>
      <c r="M240" s="312"/>
      <c r="N240" s="362"/>
      <c r="O240" s="312"/>
      <c r="P240" s="312"/>
      <c r="S240" s="2">
        <f t="shared" si="5"/>
        <v>0</v>
      </c>
      <c r="AA240" s="312"/>
      <c r="AB240" s="312"/>
      <c r="AC240" s="312"/>
      <c r="AD240" s="312"/>
    </row>
    <row r="241">
      <c r="A241" s="312"/>
      <c r="B241" s="344">
        <f t="shared" si="1"/>
        <v>2045</v>
      </c>
      <c r="C241" s="344">
        <v>90.0</v>
      </c>
      <c r="D241" s="369"/>
      <c r="E241" s="344" t="str">
        <f t="shared" si="2"/>
        <v>Saturday</v>
      </c>
      <c r="F241" s="344" t="s">
        <v>554</v>
      </c>
      <c r="G241" s="370"/>
      <c r="H241" s="370"/>
      <c r="I241" s="357">
        <f t="shared" si="3"/>
        <v>0</v>
      </c>
      <c r="J241" s="346">
        <f t="shared" si="4"/>
        <v>0</v>
      </c>
      <c r="K241" s="312"/>
      <c r="L241" s="312"/>
      <c r="M241" s="312"/>
      <c r="N241" s="362"/>
      <c r="O241" s="312"/>
      <c r="P241" s="312"/>
      <c r="S241" s="2">
        <f t="shared" si="5"/>
        <v>0</v>
      </c>
      <c r="AA241" s="312"/>
      <c r="AB241" s="312"/>
      <c r="AC241" s="312"/>
      <c r="AD241" s="312"/>
    </row>
    <row r="242">
      <c r="A242" s="312"/>
      <c r="B242" s="344">
        <f t="shared" si="1"/>
        <v>2045</v>
      </c>
      <c r="C242" s="344">
        <v>90.0</v>
      </c>
      <c r="D242" s="369"/>
      <c r="E242" s="344" t="str">
        <f t="shared" si="2"/>
        <v>Saturday</v>
      </c>
      <c r="F242" s="344" t="s">
        <v>554</v>
      </c>
      <c r="G242" s="370"/>
      <c r="H242" s="370"/>
      <c r="I242" s="357">
        <f t="shared" si="3"/>
        <v>0</v>
      </c>
      <c r="J242" s="346">
        <f t="shared" si="4"/>
        <v>0</v>
      </c>
      <c r="K242" s="312"/>
      <c r="L242" s="312"/>
      <c r="M242" s="312"/>
      <c r="N242" s="362"/>
      <c r="O242" s="312"/>
      <c r="P242" s="312"/>
      <c r="S242" s="2">
        <f t="shared" si="5"/>
        <v>0</v>
      </c>
      <c r="AA242" s="312"/>
      <c r="AB242" s="312"/>
      <c r="AC242" s="312"/>
      <c r="AD242" s="312"/>
    </row>
    <row r="243">
      <c r="A243" s="312"/>
      <c r="B243" s="344">
        <f t="shared" si="1"/>
        <v>2045</v>
      </c>
      <c r="C243" s="344">
        <v>90.0</v>
      </c>
      <c r="D243" s="369"/>
      <c r="E243" s="344" t="str">
        <f t="shared" si="2"/>
        <v>Saturday</v>
      </c>
      <c r="F243" s="344" t="s">
        <v>554</v>
      </c>
      <c r="G243" s="370"/>
      <c r="H243" s="370"/>
      <c r="I243" s="357">
        <f t="shared" si="3"/>
        <v>0</v>
      </c>
      <c r="J243" s="346">
        <f t="shared" si="4"/>
        <v>0</v>
      </c>
      <c r="K243" s="312"/>
      <c r="L243" s="312"/>
      <c r="M243" s="312"/>
      <c r="N243" s="362"/>
      <c r="O243" s="312"/>
      <c r="P243" s="312"/>
      <c r="S243" s="2">
        <f t="shared" si="5"/>
        <v>0</v>
      </c>
      <c r="AA243" s="312"/>
      <c r="AB243" s="312"/>
      <c r="AC243" s="312"/>
      <c r="AD243" s="312"/>
    </row>
    <row r="244">
      <c r="A244" s="312"/>
      <c r="B244" s="344">
        <f t="shared" si="1"/>
        <v>2045</v>
      </c>
      <c r="C244" s="344">
        <v>90.0</v>
      </c>
      <c r="D244" s="369"/>
      <c r="E244" s="344" t="str">
        <f t="shared" si="2"/>
        <v>Saturday</v>
      </c>
      <c r="F244" s="344" t="s">
        <v>554</v>
      </c>
      <c r="G244" s="370"/>
      <c r="H244" s="370"/>
      <c r="I244" s="357">
        <f t="shared" si="3"/>
        <v>0</v>
      </c>
      <c r="J244" s="346">
        <f t="shared" si="4"/>
        <v>0</v>
      </c>
      <c r="K244" s="312"/>
      <c r="L244" s="312"/>
      <c r="M244" s="312"/>
      <c r="N244" s="362"/>
      <c r="O244" s="312"/>
      <c r="P244" s="312"/>
      <c r="S244" s="2">
        <f t="shared" si="5"/>
        <v>0</v>
      </c>
      <c r="AA244" s="312"/>
      <c r="AB244" s="312"/>
      <c r="AC244" s="312"/>
      <c r="AD244" s="312"/>
    </row>
    <row r="245">
      <c r="A245" s="312"/>
      <c r="B245" s="344">
        <f t="shared" si="1"/>
        <v>2045</v>
      </c>
      <c r="C245" s="344">
        <v>90.0</v>
      </c>
      <c r="D245" s="369"/>
      <c r="E245" s="344" t="str">
        <f t="shared" si="2"/>
        <v>Saturday</v>
      </c>
      <c r="F245" s="344" t="s">
        <v>554</v>
      </c>
      <c r="G245" s="370"/>
      <c r="H245" s="370"/>
      <c r="I245" s="357">
        <f t="shared" si="3"/>
        <v>0</v>
      </c>
      <c r="J245" s="346">
        <f t="shared" si="4"/>
        <v>0</v>
      </c>
      <c r="K245" s="312"/>
      <c r="L245" s="312"/>
      <c r="M245" s="312"/>
      <c r="N245" s="362"/>
      <c r="O245" s="312"/>
      <c r="P245" s="312"/>
      <c r="S245" s="2">
        <f t="shared" si="5"/>
        <v>0</v>
      </c>
      <c r="AA245" s="312"/>
      <c r="AB245" s="312"/>
      <c r="AC245" s="312"/>
      <c r="AD245" s="312"/>
    </row>
    <row r="246">
      <c r="A246" s="312"/>
      <c r="B246" s="344">
        <f t="shared" si="1"/>
        <v>2045</v>
      </c>
      <c r="C246" s="344">
        <v>90.0</v>
      </c>
      <c r="D246" s="369"/>
      <c r="E246" s="344" t="str">
        <f t="shared" si="2"/>
        <v>Saturday</v>
      </c>
      <c r="F246" s="344" t="s">
        <v>554</v>
      </c>
      <c r="G246" s="370"/>
      <c r="H246" s="370"/>
      <c r="I246" s="357">
        <f t="shared" si="3"/>
        <v>0</v>
      </c>
      <c r="J246" s="346">
        <f t="shared" si="4"/>
        <v>0</v>
      </c>
      <c r="K246" s="312"/>
      <c r="L246" s="312"/>
      <c r="M246" s="312"/>
      <c r="N246" s="362"/>
      <c r="O246" s="312"/>
      <c r="P246" s="312"/>
      <c r="S246" s="2">
        <f t="shared" si="5"/>
        <v>0</v>
      </c>
      <c r="AA246" s="312"/>
      <c r="AB246" s="312"/>
      <c r="AC246" s="312"/>
      <c r="AD246" s="312"/>
    </row>
    <row r="247">
      <c r="A247" s="312"/>
      <c r="B247" s="344">
        <f t="shared" si="1"/>
        <v>2045</v>
      </c>
      <c r="C247" s="344">
        <v>90.0</v>
      </c>
      <c r="D247" s="369"/>
      <c r="E247" s="344" t="str">
        <f t="shared" si="2"/>
        <v>Saturday</v>
      </c>
      <c r="F247" s="344" t="s">
        <v>554</v>
      </c>
      <c r="G247" s="370"/>
      <c r="H247" s="370"/>
      <c r="I247" s="357">
        <f t="shared" si="3"/>
        <v>0</v>
      </c>
      <c r="J247" s="346">
        <f t="shared" si="4"/>
        <v>0</v>
      </c>
      <c r="K247" s="312"/>
      <c r="L247" s="312"/>
      <c r="M247" s="312"/>
      <c r="N247" s="362"/>
      <c r="O247" s="312"/>
      <c r="P247" s="312"/>
      <c r="S247" s="2">
        <f t="shared" si="5"/>
        <v>0</v>
      </c>
      <c r="AA247" s="312"/>
      <c r="AB247" s="312"/>
      <c r="AC247" s="312"/>
      <c r="AD247" s="312"/>
    </row>
    <row r="248">
      <c r="A248" s="312"/>
      <c r="B248" s="344">
        <f t="shared" si="1"/>
        <v>2045</v>
      </c>
      <c r="C248" s="344">
        <v>90.0</v>
      </c>
      <c r="D248" s="369"/>
      <c r="E248" s="344" t="str">
        <f t="shared" si="2"/>
        <v>Saturday</v>
      </c>
      <c r="F248" s="344" t="s">
        <v>554</v>
      </c>
      <c r="G248" s="370"/>
      <c r="H248" s="370"/>
      <c r="I248" s="357">
        <f t="shared" si="3"/>
        <v>0</v>
      </c>
      <c r="J248" s="346">
        <f t="shared" si="4"/>
        <v>0</v>
      </c>
      <c r="K248" s="312"/>
      <c r="L248" s="312"/>
      <c r="M248" s="312"/>
      <c r="N248" s="362"/>
      <c r="O248" s="312"/>
      <c r="P248" s="312"/>
      <c r="S248" s="2">
        <f t="shared" si="5"/>
        <v>0</v>
      </c>
      <c r="AA248" s="312"/>
      <c r="AB248" s="312"/>
      <c r="AC248" s="312"/>
      <c r="AD248" s="312"/>
    </row>
    <row r="249">
      <c r="A249" s="312"/>
      <c r="B249" s="344">
        <f t="shared" si="1"/>
        <v>2045</v>
      </c>
      <c r="C249" s="344">
        <v>90.0</v>
      </c>
      <c r="D249" s="369"/>
      <c r="E249" s="344" t="str">
        <f t="shared" si="2"/>
        <v>Saturday</v>
      </c>
      <c r="F249" s="344" t="s">
        <v>554</v>
      </c>
      <c r="G249" s="370"/>
      <c r="H249" s="370"/>
      <c r="I249" s="357">
        <f t="shared" si="3"/>
        <v>0</v>
      </c>
      <c r="J249" s="346">
        <f t="shared" si="4"/>
        <v>0</v>
      </c>
      <c r="K249" s="312"/>
      <c r="L249" s="312"/>
      <c r="M249" s="312"/>
      <c r="N249" s="362"/>
      <c r="O249" s="312"/>
      <c r="P249" s="312"/>
      <c r="S249" s="2">
        <f t="shared" si="5"/>
        <v>0</v>
      </c>
      <c r="AA249" s="312"/>
      <c r="AB249" s="312"/>
      <c r="AC249" s="312"/>
      <c r="AD249" s="312"/>
    </row>
    <row r="250">
      <c r="A250" s="312"/>
      <c r="B250" s="344">
        <f t="shared" si="1"/>
        <v>2045</v>
      </c>
      <c r="C250" s="344">
        <v>90.0</v>
      </c>
      <c r="D250" s="369"/>
      <c r="E250" s="344" t="str">
        <f t="shared" si="2"/>
        <v>Saturday</v>
      </c>
      <c r="F250" s="344" t="s">
        <v>554</v>
      </c>
      <c r="G250" s="370"/>
      <c r="H250" s="370"/>
      <c r="I250" s="357">
        <f t="shared" si="3"/>
        <v>0</v>
      </c>
      <c r="J250" s="346">
        <f t="shared" si="4"/>
        <v>0</v>
      </c>
      <c r="K250" s="312"/>
      <c r="L250" s="312"/>
      <c r="M250" s="312"/>
      <c r="N250" s="362"/>
      <c r="O250" s="312"/>
      <c r="P250" s="312"/>
      <c r="S250" s="2">
        <f t="shared" si="5"/>
        <v>0</v>
      </c>
      <c r="AA250" s="312"/>
      <c r="AB250" s="312"/>
      <c r="AC250" s="312"/>
      <c r="AD250" s="312"/>
    </row>
    <row r="251">
      <c r="A251" s="312"/>
      <c r="B251" s="344">
        <f t="shared" si="1"/>
        <v>2045</v>
      </c>
      <c r="C251" s="344">
        <v>90.0</v>
      </c>
      <c r="D251" s="369"/>
      <c r="E251" s="344" t="str">
        <f t="shared" si="2"/>
        <v>Saturday</v>
      </c>
      <c r="F251" s="344" t="s">
        <v>554</v>
      </c>
      <c r="G251" s="370"/>
      <c r="H251" s="370"/>
      <c r="I251" s="357">
        <f t="shared" si="3"/>
        <v>0</v>
      </c>
      <c r="J251" s="346">
        <f t="shared" si="4"/>
        <v>0</v>
      </c>
      <c r="K251" s="312"/>
      <c r="L251" s="312"/>
      <c r="M251" s="312"/>
      <c r="N251" s="362"/>
      <c r="O251" s="312"/>
      <c r="P251" s="312"/>
      <c r="S251" s="2">
        <f t="shared" si="5"/>
        <v>0</v>
      </c>
      <c r="AA251" s="312"/>
      <c r="AB251" s="312"/>
      <c r="AC251" s="312"/>
      <c r="AD251" s="312"/>
    </row>
    <row r="252">
      <c r="A252" s="312"/>
      <c r="B252" s="344">
        <f t="shared" si="1"/>
        <v>2045</v>
      </c>
      <c r="C252" s="344">
        <v>90.0</v>
      </c>
      <c r="D252" s="369"/>
      <c r="E252" s="344" t="str">
        <f t="shared" si="2"/>
        <v>Saturday</v>
      </c>
      <c r="F252" s="344" t="s">
        <v>554</v>
      </c>
      <c r="G252" s="370"/>
      <c r="H252" s="370"/>
      <c r="I252" s="357">
        <f t="shared" si="3"/>
        <v>0</v>
      </c>
      <c r="J252" s="346">
        <f t="shared" si="4"/>
        <v>0</v>
      </c>
      <c r="K252" s="312"/>
      <c r="L252" s="312"/>
      <c r="M252" s="312"/>
      <c r="N252" s="362"/>
      <c r="O252" s="312"/>
      <c r="P252" s="312"/>
      <c r="S252" s="2">
        <f t="shared" si="5"/>
        <v>0</v>
      </c>
      <c r="AA252" s="312"/>
      <c r="AB252" s="312"/>
      <c r="AC252" s="312"/>
      <c r="AD252" s="312"/>
    </row>
    <row r="253">
      <c r="A253" s="312"/>
      <c r="B253" s="344">
        <f t="shared" si="1"/>
        <v>2045</v>
      </c>
      <c r="C253" s="344">
        <v>90.0</v>
      </c>
      <c r="D253" s="369"/>
      <c r="E253" s="344" t="str">
        <f t="shared" si="2"/>
        <v>Saturday</v>
      </c>
      <c r="F253" s="344" t="s">
        <v>554</v>
      </c>
      <c r="G253" s="370"/>
      <c r="H253" s="370"/>
      <c r="I253" s="357">
        <f t="shared" si="3"/>
        <v>0</v>
      </c>
      <c r="J253" s="346">
        <f t="shared" si="4"/>
        <v>0</v>
      </c>
      <c r="K253" s="312"/>
      <c r="L253" s="312"/>
      <c r="M253" s="312"/>
      <c r="N253" s="362"/>
      <c r="O253" s="312"/>
      <c r="P253" s="312"/>
      <c r="S253" s="2">
        <f t="shared" si="5"/>
        <v>0</v>
      </c>
      <c r="AA253" s="312"/>
      <c r="AB253" s="312"/>
      <c r="AC253" s="312"/>
      <c r="AD253" s="312"/>
    </row>
    <row r="254">
      <c r="A254" s="312"/>
      <c r="B254" s="344">
        <f t="shared" si="1"/>
        <v>2045</v>
      </c>
      <c r="C254" s="344">
        <v>90.0</v>
      </c>
      <c r="D254" s="369"/>
      <c r="E254" s="344" t="str">
        <f t="shared" si="2"/>
        <v>Saturday</v>
      </c>
      <c r="F254" s="344" t="s">
        <v>554</v>
      </c>
      <c r="G254" s="370"/>
      <c r="H254" s="370"/>
      <c r="I254" s="357">
        <f t="shared" si="3"/>
        <v>0</v>
      </c>
      <c r="J254" s="346">
        <f t="shared" si="4"/>
        <v>0</v>
      </c>
      <c r="K254" s="312"/>
      <c r="L254" s="312"/>
      <c r="M254" s="312"/>
      <c r="N254" s="362"/>
      <c r="O254" s="312"/>
      <c r="P254" s="312"/>
      <c r="S254" s="2">
        <f t="shared" si="5"/>
        <v>0</v>
      </c>
      <c r="AA254" s="312"/>
      <c r="AB254" s="312"/>
      <c r="AC254" s="312"/>
      <c r="AD254" s="312"/>
    </row>
    <row r="255">
      <c r="A255" s="312"/>
      <c r="B255" s="344">
        <f t="shared" si="1"/>
        <v>2045</v>
      </c>
      <c r="C255" s="344">
        <v>90.0</v>
      </c>
      <c r="D255" s="369"/>
      <c r="E255" s="344" t="str">
        <f t="shared" si="2"/>
        <v>Saturday</v>
      </c>
      <c r="F255" s="344" t="s">
        <v>554</v>
      </c>
      <c r="G255" s="370"/>
      <c r="H255" s="370"/>
      <c r="I255" s="357">
        <f t="shared" si="3"/>
        <v>0</v>
      </c>
      <c r="J255" s="346">
        <f t="shared" si="4"/>
        <v>0</v>
      </c>
      <c r="K255" s="312"/>
      <c r="L255" s="312"/>
      <c r="M255" s="312"/>
      <c r="N255" s="362"/>
      <c r="O255" s="312"/>
      <c r="P255" s="312"/>
      <c r="S255" s="2">
        <f t="shared" si="5"/>
        <v>0</v>
      </c>
      <c r="AA255" s="312"/>
      <c r="AB255" s="312"/>
      <c r="AC255" s="312"/>
      <c r="AD255" s="312"/>
    </row>
    <row r="256">
      <c r="A256" s="312"/>
      <c r="B256" s="344">
        <f t="shared" si="1"/>
        <v>2045</v>
      </c>
      <c r="C256" s="344">
        <v>90.0</v>
      </c>
      <c r="D256" s="369"/>
      <c r="E256" s="344" t="str">
        <f t="shared" si="2"/>
        <v>Saturday</v>
      </c>
      <c r="F256" s="344" t="s">
        <v>554</v>
      </c>
      <c r="G256" s="370"/>
      <c r="H256" s="370"/>
      <c r="I256" s="357">
        <f t="shared" si="3"/>
        <v>0</v>
      </c>
      <c r="J256" s="346">
        <f t="shared" si="4"/>
        <v>0</v>
      </c>
      <c r="K256" s="312"/>
      <c r="L256" s="312"/>
      <c r="M256" s="312"/>
      <c r="N256" s="362"/>
      <c r="O256" s="312"/>
      <c r="P256" s="312"/>
      <c r="S256" s="2">
        <f t="shared" si="5"/>
        <v>0</v>
      </c>
      <c r="AA256" s="312"/>
      <c r="AB256" s="312"/>
      <c r="AC256" s="312"/>
      <c r="AD256" s="312"/>
    </row>
    <row r="257">
      <c r="A257" s="312"/>
      <c r="B257" s="344">
        <f t="shared" si="1"/>
        <v>2045</v>
      </c>
      <c r="C257" s="344">
        <v>90.0</v>
      </c>
      <c r="D257" s="369"/>
      <c r="E257" s="344" t="str">
        <f t="shared" si="2"/>
        <v>Saturday</v>
      </c>
      <c r="F257" s="344" t="s">
        <v>554</v>
      </c>
      <c r="G257" s="370"/>
      <c r="H257" s="370"/>
      <c r="I257" s="357">
        <f t="shared" si="3"/>
        <v>0</v>
      </c>
      <c r="J257" s="346">
        <f t="shared" si="4"/>
        <v>0</v>
      </c>
      <c r="K257" s="312"/>
      <c r="L257" s="312"/>
      <c r="M257" s="312"/>
      <c r="N257" s="362"/>
      <c r="O257" s="312"/>
      <c r="P257" s="312"/>
      <c r="S257" s="2">
        <f t="shared" si="5"/>
        <v>0</v>
      </c>
      <c r="AA257" s="312"/>
      <c r="AB257" s="312"/>
      <c r="AC257" s="312"/>
      <c r="AD257" s="312"/>
    </row>
    <row r="258">
      <c r="A258" s="312"/>
      <c r="B258" s="344">
        <f t="shared" si="1"/>
        <v>2045</v>
      </c>
      <c r="C258" s="344">
        <v>90.0</v>
      </c>
      <c r="D258" s="369"/>
      <c r="E258" s="344" t="str">
        <f t="shared" si="2"/>
        <v>Saturday</v>
      </c>
      <c r="F258" s="344" t="s">
        <v>554</v>
      </c>
      <c r="G258" s="370"/>
      <c r="H258" s="370"/>
      <c r="I258" s="357">
        <f t="shared" si="3"/>
        <v>0</v>
      </c>
      <c r="J258" s="346">
        <f t="shared" si="4"/>
        <v>0</v>
      </c>
      <c r="K258" s="312"/>
      <c r="L258" s="312"/>
      <c r="M258" s="312"/>
      <c r="N258" s="362"/>
      <c r="O258" s="312"/>
      <c r="P258" s="312"/>
      <c r="S258" s="2">
        <f t="shared" si="5"/>
        <v>0</v>
      </c>
      <c r="AA258" s="312"/>
      <c r="AB258" s="312"/>
      <c r="AC258" s="312"/>
      <c r="AD258" s="312"/>
    </row>
    <row r="259">
      <c r="A259" s="312"/>
      <c r="B259" s="344">
        <f t="shared" si="1"/>
        <v>2045</v>
      </c>
      <c r="C259" s="344">
        <v>90.0</v>
      </c>
      <c r="D259" s="369"/>
      <c r="E259" s="344" t="str">
        <f t="shared" si="2"/>
        <v>Saturday</v>
      </c>
      <c r="F259" s="344" t="s">
        <v>554</v>
      </c>
      <c r="G259" s="370"/>
      <c r="H259" s="370"/>
      <c r="I259" s="357">
        <f t="shared" si="3"/>
        <v>0</v>
      </c>
      <c r="J259" s="346">
        <f t="shared" si="4"/>
        <v>0</v>
      </c>
      <c r="K259" s="312"/>
      <c r="L259" s="312"/>
      <c r="M259" s="312"/>
      <c r="N259" s="362"/>
      <c r="O259" s="312"/>
      <c r="P259" s="312"/>
      <c r="S259" s="2">
        <f t="shared" si="5"/>
        <v>0</v>
      </c>
      <c r="AA259" s="312"/>
      <c r="AB259" s="312"/>
      <c r="AC259" s="312"/>
      <c r="AD259" s="312"/>
    </row>
    <row r="260">
      <c r="A260" s="312"/>
      <c r="B260" s="344">
        <f t="shared" si="1"/>
        <v>2045</v>
      </c>
      <c r="C260" s="344">
        <v>90.0</v>
      </c>
      <c r="D260" s="369"/>
      <c r="E260" s="344" t="str">
        <f t="shared" si="2"/>
        <v>Saturday</v>
      </c>
      <c r="F260" s="344" t="s">
        <v>554</v>
      </c>
      <c r="G260" s="370"/>
      <c r="H260" s="370"/>
      <c r="I260" s="357">
        <f t="shared" si="3"/>
        <v>0</v>
      </c>
      <c r="J260" s="346">
        <f t="shared" si="4"/>
        <v>0</v>
      </c>
      <c r="K260" s="312"/>
      <c r="L260" s="312"/>
      <c r="M260" s="312"/>
      <c r="N260" s="362"/>
      <c r="O260" s="312"/>
      <c r="P260" s="312"/>
      <c r="S260" s="2">
        <f t="shared" si="5"/>
        <v>0</v>
      </c>
      <c r="AA260" s="312"/>
      <c r="AB260" s="312"/>
      <c r="AC260" s="312"/>
      <c r="AD260" s="312"/>
    </row>
    <row r="261">
      <c r="A261" s="312"/>
      <c r="B261" s="344">
        <f t="shared" si="1"/>
        <v>2045</v>
      </c>
      <c r="C261" s="344">
        <v>90.0</v>
      </c>
      <c r="D261" s="369"/>
      <c r="E261" s="344" t="str">
        <f t="shared" si="2"/>
        <v>Saturday</v>
      </c>
      <c r="F261" s="344" t="s">
        <v>554</v>
      </c>
      <c r="G261" s="370"/>
      <c r="H261" s="370"/>
      <c r="I261" s="357">
        <f t="shared" si="3"/>
        <v>0</v>
      </c>
      <c r="J261" s="346">
        <f t="shared" si="4"/>
        <v>0</v>
      </c>
      <c r="K261" s="312"/>
      <c r="L261" s="312"/>
      <c r="M261" s="312"/>
      <c r="N261" s="362"/>
      <c r="O261" s="312"/>
      <c r="P261" s="312"/>
      <c r="S261" s="2">
        <f t="shared" si="5"/>
        <v>0</v>
      </c>
      <c r="AA261" s="312"/>
      <c r="AB261" s="312"/>
      <c r="AC261" s="312"/>
      <c r="AD261" s="312"/>
    </row>
    <row r="262">
      <c r="A262" s="312"/>
      <c r="B262" s="344">
        <f t="shared" si="1"/>
        <v>2045</v>
      </c>
      <c r="C262" s="344">
        <v>90.0</v>
      </c>
      <c r="D262" s="369"/>
      <c r="E262" s="344" t="str">
        <f t="shared" si="2"/>
        <v>Saturday</v>
      </c>
      <c r="F262" s="344" t="s">
        <v>554</v>
      </c>
      <c r="G262" s="370"/>
      <c r="H262" s="370"/>
      <c r="I262" s="357">
        <f t="shared" si="3"/>
        <v>0</v>
      </c>
      <c r="J262" s="346">
        <f t="shared" si="4"/>
        <v>0</v>
      </c>
      <c r="K262" s="312"/>
      <c r="L262" s="312"/>
      <c r="M262" s="312"/>
      <c r="N262" s="362"/>
      <c r="O262" s="312"/>
      <c r="P262" s="312"/>
      <c r="S262" s="2">
        <f t="shared" si="5"/>
        <v>0</v>
      </c>
      <c r="AA262" s="312"/>
      <c r="AB262" s="312"/>
      <c r="AC262" s="312"/>
      <c r="AD262" s="312"/>
    </row>
    <row r="263">
      <c r="A263" s="312"/>
      <c r="B263" s="344">
        <f t="shared" si="1"/>
        <v>2045</v>
      </c>
      <c r="C263" s="344">
        <v>90.0</v>
      </c>
      <c r="D263" s="369"/>
      <c r="E263" s="344" t="str">
        <f t="shared" si="2"/>
        <v>Saturday</v>
      </c>
      <c r="F263" s="344" t="s">
        <v>554</v>
      </c>
      <c r="G263" s="370"/>
      <c r="H263" s="370"/>
      <c r="I263" s="357">
        <f t="shared" si="3"/>
        <v>0</v>
      </c>
      <c r="J263" s="346">
        <f t="shared" si="4"/>
        <v>0</v>
      </c>
      <c r="K263" s="312"/>
      <c r="L263" s="312"/>
      <c r="M263" s="312"/>
      <c r="N263" s="362"/>
      <c r="O263" s="312"/>
      <c r="P263" s="312"/>
      <c r="S263" s="2">
        <f t="shared" si="5"/>
        <v>0</v>
      </c>
      <c r="AA263" s="312"/>
      <c r="AB263" s="312"/>
      <c r="AC263" s="312"/>
      <c r="AD263" s="312"/>
    </row>
    <row r="264">
      <c r="A264" s="312"/>
      <c r="B264" s="344">
        <f t="shared" si="1"/>
        <v>2045</v>
      </c>
      <c r="C264" s="344">
        <v>90.0</v>
      </c>
      <c r="D264" s="369"/>
      <c r="E264" s="344" t="str">
        <f t="shared" si="2"/>
        <v>Saturday</v>
      </c>
      <c r="F264" s="344" t="s">
        <v>554</v>
      </c>
      <c r="G264" s="370"/>
      <c r="H264" s="370"/>
      <c r="I264" s="357">
        <f t="shared" si="3"/>
        <v>0</v>
      </c>
      <c r="J264" s="346">
        <f t="shared" si="4"/>
        <v>0</v>
      </c>
      <c r="K264" s="312"/>
      <c r="L264" s="312"/>
      <c r="M264" s="312"/>
      <c r="N264" s="362"/>
      <c r="O264" s="312"/>
      <c r="P264" s="312"/>
      <c r="S264" s="2">
        <f t="shared" si="5"/>
        <v>0</v>
      </c>
      <c r="AA264" s="312"/>
      <c r="AB264" s="312"/>
      <c r="AC264" s="312"/>
      <c r="AD264" s="312"/>
    </row>
    <row r="265">
      <c r="A265" s="312"/>
      <c r="B265" s="344">
        <f t="shared" si="1"/>
        <v>2045</v>
      </c>
      <c r="C265" s="344">
        <v>90.0</v>
      </c>
      <c r="D265" s="369"/>
      <c r="E265" s="344" t="str">
        <f t="shared" si="2"/>
        <v>Saturday</v>
      </c>
      <c r="F265" s="344" t="s">
        <v>554</v>
      </c>
      <c r="G265" s="370"/>
      <c r="H265" s="370"/>
      <c r="I265" s="357">
        <f t="shared" si="3"/>
        <v>0</v>
      </c>
      <c r="J265" s="346">
        <f t="shared" si="4"/>
        <v>0</v>
      </c>
      <c r="K265" s="312"/>
      <c r="L265" s="312"/>
      <c r="M265" s="312"/>
      <c r="N265" s="362"/>
      <c r="O265" s="312"/>
      <c r="P265" s="312"/>
      <c r="S265" s="2">
        <f t="shared" si="5"/>
        <v>0</v>
      </c>
      <c r="AA265" s="312"/>
      <c r="AB265" s="312"/>
      <c r="AC265" s="312"/>
      <c r="AD265" s="312"/>
    </row>
    <row r="266">
      <c r="A266" s="312"/>
      <c r="B266" s="344">
        <f t="shared" si="1"/>
        <v>2045</v>
      </c>
      <c r="C266" s="344">
        <v>90.0</v>
      </c>
      <c r="D266" s="369"/>
      <c r="E266" s="344" t="str">
        <f t="shared" si="2"/>
        <v>Saturday</v>
      </c>
      <c r="F266" s="344" t="s">
        <v>554</v>
      </c>
      <c r="G266" s="370"/>
      <c r="H266" s="370"/>
      <c r="I266" s="357">
        <f t="shared" si="3"/>
        <v>0</v>
      </c>
      <c r="J266" s="346">
        <f t="shared" si="4"/>
        <v>0</v>
      </c>
      <c r="K266" s="312"/>
      <c r="L266" s="312"/>
      <c r="M266" s="312"/>
      <c r="N266" s="362"/>
      <c r="O266" s="312"/>
      <c r="P266" s="312"/>
      <c r="S266" s="2">
        <f t="shared" si="5"/>
        <v>0</v>
      </c>
      <c r="AA266" s="312"/>
      <c r="AB266" s="312"/>
      <c r="AC266" s="312"/>
      <c r="AD266" s="312"/>
    </row>
    <row r="267">
      <c r="A267" s="312"/>
      <c r="B267" s="344">
        <f t="shared" si="1"/>
        <v>2045</v>
      </c>
      <c r="C267" s="344">
        <v>90.0</v>
      </c>
      <c r="D267" s="369"/>
      <c r="E267" s="344" t="str">
        <f t="shared" si="2"/>
        <v>Saturday</v>
      </c>
      <c r="F267" s="344" t="s">
        <v>554</v>
      </c>
      <c r="G267" s="370"/>
      <c r="H267" s="370"/>
      <c r="I267" s="357">
        <f t="shared" si="3"/>
        <v>0</v>
      </c>
      <c r="J267" s="346">
        <f t="shared" si="4"/>
        <v>0</v>
      </c>
      <c r="K267" s="312"/>
      <c r="L267" s="312"/>
      <c r="M267" s="312"/>
      <c r="N267" s="362"/>
      <c r="O267" s="312"/>
      <c r="P267" s="312"/>
      <c r="S267" s="2">
        <f t="shared" si="5"/>
        <v>0</v>
      </c>
      <c r="AA267" s="312"/>
      <c r="AB267" s="312"/>
      <c r="AC267" s="312"/>
      <c r="AD267" s="312"/>
    </row>
    <row r="268">
      <c r="A268" s="312"/>
      <c r="B268" s="344">
        <f t="shared" si="1"/>
        <v>2045</v>
      </c>
      <c r="C268" s="344">
        <v>90.0</v>
      </c>
      <c r="D268" s="369"/>
      <c r="E268" s="344" t="str">
        <f t="shared" si="2"/>
        <v>Saturday</v>
      </c>
      <c r="F268" s="344" t="s">
        <v>554</v>
      </c>
      <c r="G268" s="370"/>
      <c r="H268" s="370"/>
      <c r="I268" s="357">
        <f t="shared" si="3"/>
        <v>0</v>
      </c>
      <c r="J268" s="346">
        <f t="shared" si="4"/>
        <v>0</v>
      </c>
      <c r="K268" s="312"/>
      <c r="L268" s="312"/>
      <c r="M268" s="312"/>
      <c r="N268" s="362"/>
      <c r="O268" s="312"/>
      <c r="P268" s="312"/>
      <c r="S268" s="2">
        <f t="shared" si="5"/>
        <v>0</v>
      </c>
      <c r="AA268" s="312"/>
      <c r="AB268" s="312"/>
      <c r="AC268" s="312"/>
      <c r="AD268" s="312"/>
    </row>
    <row r="269">
      <c r="A269" s="312"/>
      <c r="B269" s="344">
        <f t="shared" si="1"/>
        <v>2045</v>
      </c>
      <c r="C269" s="344">
        <v>90.0</v>
      </c>
      <c r="D269" s="369"/>
      <c r="E269" s="344" t="str">
        <f t="shared" si="2"/>
        <v>Saturday</v>
      </c>
      <c r="F269" s="344" t="s">
        <v>554</v>
      </c>
      <c r="G269" s="370"/>
      <c r="H269" s="370"/>
      <c r="I269" s="357">
        <f t="shared" si="3"/>
        <v>0</v>
      </c>
      <c r="J269" s="346">
        <f t="shared" si="4"/>
        <v>0</v>
      </c>
      <c r="K269" s="312"/>
      <c r="L269" s="312"/>
      <c r="M269" s="312"/>
      <c r="N269" s="362"/>
      <c r="O269" s="312"/>
      <c r="P269" s="312"/>
      <c r="S269" s="2">
        <f t="shared" si="5"/>
        <v>0</v>
      </c>
      <c r="AA269" s="312"/>
      <c r="AB269" s="312"/>
      <c r="AC269" s="312"/>
      <c r="AD269" s="312"/>
    </row>
    <row r="270">
      <c r="A270" s="312"/>
      <c r="B270" s="344">
        <f t="shared" si="1"/>
        <v>2045</v>
      </c>
      <c r="C270" s="344">
        <v>90.0</v>
      </c>
      <c r="D270" s="369"/>
      <c r="E270" s="344" t="str">
        <f t="shared" si="2"/>
        <v>Saturday</v>
      </c>
      <c r="F270" s="344" t="s">
        <v>554</v>
      </c>
      <c r="G270" s="370"/>
      <c r="H270" s="370"/>
      <c r="I270" s="357">
        <f t="shared" si="3"/>
        <v>0</v>
      </c>
      <c r="J270" s="346">
        <f t="shared" si="4"/>
        <v>0</v>
      </c>
      <c r="K270" s="312"/>
      <c r="L270" s="312"/>
      <c r="M270" s="312"/>
      <c r="N270" s="362"/>
      <c r="O270" s="312"/>
      <c r="P270" s="312"/>
      <c r="S270" s="2">
        <f t="shared" si="5"/>
        <v>0</v>
      </c>
      <c r="AA270" s="312"/>
      <c r="AB270" s="312"/>
      <c r="AC270" s="312"/>
      <c r="AD270" s="312"/>
    </row>
    <row r="271">
      <c r="A271" s="312"/>
      <c r="B271" s="344">
        <f t="shared" si="1"/>
        <v>2045</v>
      </c>
      <c r="C271" s="344">
        <v>90.0</v>
      </c>
      <c r="D271" s="369"/>
      <c r="E271" s="344" t="str">
        <f t="shared" si="2"/>
        <v>Saturday</v>
      </c>
      <c r="F271" s="344" t="s">
        <v>554</v>
      </c>
      <c r="G271" s="370"/>
      <c r="H271" s="370"/>
      <c r="I271" s="357">
        <f t="shared" si="3"/>
        <v>0</v>
      </c>
      <c r="J271" s="346">
        <f t="shared" si="4"/>
        <v>0</v>
      </c>
      <c r="K271" s="312"/>
      <c r="L271" s="312"/>
      <c r="M271" s="312"/>
      <c r="N271" s="362"/>
      <c r="O271" s="312"/>
      <c r="P271" s="312"/>
      <c r="S271" s="2">
        <f t="shared" si="5"/>
        <v>0</v>
      </c>
      <c r="AA271" s="312"/>
      <c r="AB271" s="312"/>
      <c r="AC271" s="312"/>
      <c r="AD271" s="312"/>
    </row>
    <row r="272">
      <c r="A272" s="312"/>
      <c r="B272" s="344">
        <f t="shared" si="1"/>
        <v>2045</v>
      </c>
      <c r="C272" s="344">
        <v>90.0</v>
      </c>
      <c r="D272" s="369"/>
      <c r="E272" s="344" t="str">
        <f t="shared" si="2"/>
        <v>Saturday</v>
      </c>
      <c r="F272" s="344" t="s">
        <v>554</v>
      </c>
      <c r="G272" s="370"/>
      <c r="H272" s="370"/>
      <c r="I272" s="357">
        <f t="shared" si="3"/>
        <v>0</v>
      </c>
      <c r="J272" s="346">
        <f t="shared" si="4"/>
        <v>0</v>
      </c>
      <c r="K272" s="312"/>
      <c r="L272" s="312"/>
      <c r="M272" s="312"/>
      <c r="N272" s="362"/>
      <c r="O272" s="312"/>
      <c r="P272" s="312"/>
      <c r="S272" s="2">
        <f t="shared" si="5"/>
        <v>0</v>
      </c>
      <c r="AA272" s="312"/>
      <c r="AB272" s="312"/>
      <c r="AC272" s="312"/>
      <c r="AD272" s="312"/>
    </row>
    <row r="273">
      <c r="A273" s="312"/>
      <c r="B273" s="344">
        <f t="shared" si="1"/>
        <v>2045</v>
      </c>
      <c r="C273" s="344">
        <v>90.0</v>
      </c>
      <c r="D273" s="369"/>
      <c r="E273" s="344" t="str">
        <f t="shared" si="2"/>
        <v>Saturday</v>
      </c>
      <c r="F273" s="344" t="s">
        <v>554</v>
      </c>
      <c r="G273" s="370"/>
      <c r="H273" s="370"/>
      <c r="I273" s="357">
        <f t="shared" si="3"/>
        <v>0</v>
      </c>
      <c r="J273" s="346">
        <f t="shared" si="4"/>
        <v>0</v>
      </c>
      <c r="K273" s="312"/>
      <c r="L273" s="312"/>
      <c r="M273" s="312"/>
      <c r="N273" s="362"/>
      <c r="O273" s="312"/>
      <c r="P273" s="312"/>
      <c r="S273" s="2">
        <f t="shared" si="5"/>
        <v>0</v>
      </c>
      <c r="AA273" s="312"/>
      <c r="AB273" s="312"/>
      <c r="AC273" s="312"/>
      <c r="AD273" s="312"/>
    </row>
    <row r="274">
      <c r="A274" s="312"/>
      <c r="B274" s="344">
        <f t="shared" si="1"/>
        <v>2045</v>
      </c>
      <c r="C274" s="344">
        <v>90.0</v>
      </c>
      <c r="D274" s="369"/>
      <c r="E274" s="344" t="str">
        <f t="shared" si="2"/>
        <v>Saturday</v>
      </c>
      <c r="F274" s="344" t="s">
        <v>554</v>
      </c>
      <c r="G274" s="370"/>
      <c r="H274" s="370"/>
      <c r="I274" s="357">
        <f t="shared" si="3"/>
        <v>0</v>
      </c>
      <c r="J274" s="346">
        <f t="shared" si="4"/>
        <v>0</v>
      </c>
      <c r="K274" s="312"/>
      <c r="L274" s="312"/>
      <c r="M274" s="312"/>
      <c r="N274" s="362"/>
      <c r="O274" s="312"/>
      <c r="P274" s="312"/>
      <c r="S274" s="2">
        <f t="shared" si="5"/>
        <v>0</v>
      </c>
      <c r="AA274" s="312"/>
      <c r="AB274" s="312"/>
      <c r="AC274" s="312"/>
      <c r="AD274" s="312"/>
    </row>
    <row r="275">
      <c r="A275" s="312"/>
      <c r="B275" s="344">
        <f t="shared" si="1"/>
        <v>2045</v>
      </c>
      <c r="C275" s="344">
        <v>90.0</v>
      </c>
      <c r="D275" s="369"/>
      <c r="E275" s="344" t="str">
        <f t="shared" si="2"/>
        <v>Saturday</v>
      </c>
      <c r="F275" s="344" t="s">
        <v>554</v>
      </c>
      <c r="G275" s="370"/>
      <c r="H275" s="370"/>
      <c r="I275" s="357">
        <f t="shared" si="3"/>
        <v>0</v>
      </c>
      <c r="J275" s="346">
        <f t="shared" si="4"/>
        <v>0</v>
      </c>
      <c r="K275" s="312"/>
      <c r="L275" s="312"/>
      <c r="M275" s="312"/>
      <c r="N275" s="362"/>
      <c r="O275" s="312"/>
      <c r="P275" s="312"/>
      <c r="S275" s="2">
        <f t="shared" si="5"/>
        <v>0</v>
      </c>
      <c r="AA275" s="312"/>
      <c r="AB275" s="312"/>
      <c r="AC275" s="312"/>
      <c r="AD275" s="312"/>
    </row>
    <row r="276">
      <c r="A276" s="312"/>
      <c r="B276" s="344">
        <f t="shared" si="1"/>
        <v>2045</v>
      </c>
      <c r="C276" s="344">
        <v>90.0</v>
      </c>
      <c r="D276" s="369"/>
      <c r="E276" s="344" t="str">
        <f t="shared" si="2"/>
        <v>Saturday</v>
      </c>
      <c r="F276" s="344" t="s">
        <v>554</v>
      </c>
      <c r="G276" s="370"/>
      <c r="H276" s="370"/>
      <c r="I276" s="357">
        <f t="shared" si="3"/>
        <v>0</v>
      </c>
      <c r="J276" s="346">
        <f t="shared" si="4"/>
        <v>0</v>
      </c>
      <c r="K276" s="312"/>
      <c r="L276" s="312"/>
      <c r="M276" s="312"/>
      <c r="N276" s="362"/>
      <c r="O276" s="312"/>
      <c r="P276" s="312"/>
      <c r="S276" s="2">
        <f t="shared" si="5"/>
        <v>0</v>
      </c>
      <c r="AA276" s="312"/>
      <c r="AB276" s="312"/>
      <c r="AC276" s="312"/>
      <c r="AD276" s="312"/>
    </row>
    <row r="277">
      <c r="A277" s="312"/>
      <c r="B277" s="344">
        <f t="shared" si="1"/>
        <v>2045</v>
      </c>
      <c r="C277" s="344">
        <v>90.0</v>
      </c>
      <c r="D277" s="369"/>
      <c r="E277" s="344" t="str">
        <f t="shared" si="2"/>
        <v>Saturday</v>
      </c>
      <c r="F277" s="344" t="s">
        <v>554</v>
      </c>
      <c r="G277" s="370"/>
      <c r="H277" s="370"/>
      <c r="I277" s="357">
        <f t="shared" si="3"/>
        <v>0</v>
      </c>
      <c r="J277" s="346">
        <f t="shared" si="4"/>
        <v>0</v>
      </c>
      <c r="K277" s="312"/>
      <c r="L277" s="312"/>
      <c r="M277" s="312"/>
      <c r="N277" s="362"/>
      <c r="O277" s="312"/>
      <c r="P277" s="312"/>
      <c r="S277" s="2">
        <f t="shared" si="5"/>
        <v>0</v>
      </c>
      <c r="AA277" s="312"/>
      <c r="AB277" s="312"/>
      <c r="AC277" s="312"/>
      <c r="AD277" s="312"/>
    </row>
    <row r="278">
      <c r="A278" s="312"/>
      <c r="B278" s="344">
        <f t="shared" si="1"/>
        <v>2045</v>
      </c>
      <c r="C278" s="344">
        <v>90.0</v>
      </c>
      <c r="D278" s="369"/>
      <c r="E278" s="344" t="str">
        <f t="shared" si="2"/>
        <v>Saturday</v>
      </c>
      <c r="F278" s="344" t="s">
        <v>554</v>
      </c>
      <c r="G278" s="370"/>
      <c r="H278" s="370"/>
      <c r="I278" s="357">
        <f t="shared" si="3"/>
        <v>0</v>
      </c>
      <c r="J278" s="346">
        <f t="shared" si="4"/>
        <v>0</v>
      </c>
      <c r="K278" s="312"/>
      <c r="L278" s="312"/>
      <c r="M278" s="312"/>
      <c r="N278" s="362"/>
      <c r="O278" s="312"/>
      <c r="P278" s="312"/>
      <c r="S278" s="2">
        <f t="shared" si="5"/>
        <v>0</v>
      </c>
      <c r="AA278" s="312"/>
      <c r="AB278" s="312"/>
      <c r="AC278" s="312"/>
      <c r="AD278" s="312"/>
    </row>
    <row r="279">
      <c r="A279" s="312"/>
      <c r="B279" s="344">
        <f t="shared" si="1"/>
        <v>2045</v>
      </c>
      <c r="C279" s="344">
        <v>90.0</v>
      </c>
      <c r="D279" s="369"/>
      <c r="E279" s="344" t="str">
        <f t="shared" si="2"/>
        <v>Saturday</v>
      </c>
      <c r="F279" s="344" t="s">
        <v>554</v>
      </c>
      <c r="G279" s="370"/>
      <c r="H279" s="370"/>
      <c r="I279" s="357">
        <f t="shared" si="3"/>
        <v>0</v>
      </c>
      <c r="J279" s="346">
        <f t="shared" si="4"/>
        <v>0</v>
      </c>
      <c r="K279" s="312"/>
      <c r="L279" s="312"/>
      <c r="M279" s="312"/>
      <c r="N279" s="362"/>
      <c r="O279" s="312"/>
      <c r="P279" s="312"/>
      <c r="S279" s="2">
        <f t="shared" si="5"/>
        <v>0</v>
      </c>
      <c r="AA279" s="312"/>
      <c r="AB279" s="312"/>
      <c r="AC279" s="312"/>
      <c r="AD279" s="312"/>
    </row>
    <row r="280">
      <c r="A280" s="312"/>
      <c r="B280" s="344">
        <f t="shared" si="1"/>
        <v>2045</v>
      </c>
      <c r="C280" s="344">
        <v>90.0</v>
      </c>
      <c r="D280" s="369"/>
      <c r="E280" s="344" t="str">
        <f t="shared" si="2"/>
        <v>Saturday</v>
      </c>
      <c r="F280" s="344" t="s">
        <v>554</v>
      </c>
      <c r="G280" s="370"/>
      <c r="H280" s="370"/>
      <c r="I280" s="357">
        <f t="shared" si="3"/>
        <v>0</v>
      </c>
      <c r="J280" s="346">
        <f t="shared" si="4"/>
        <v>0</v>
      </c>
      <c r="K280" s="312"/>
      <c r="L280" s="312"/>
      <c r="M280" s="312"/>
      <c r="N280" s="362"/>
      <c r="O280" s="312"/>
      <c r="P280" s="312"/>
      <c r="S280" s="2">
        <f t="shared" si="5"/>
        <v>0</v>
      </c>
      <c r="AA280" s="312"/>
      <c r="AB280" s="312"/>
      <c r="AC280" s="312"/>
      <c r="AD280" s="312"/>
    </row>
    <row r="281">
      <c r="A281" s="312"/>
      <c r="B281" s="344">
        <f t="shared" si="1"/>
        <v>2045</v>
      </c>
      <c r="C281" s="344">
        <v>90.0</v>
      </c>
      <c r="D281" s="369"/>
      <c r="E281" s="344" t="str">
        <f t="shared" si="2"/>
        <v>Saturday</v>
      </c>
      <c r="F281" s="344" t="s">
        <v>554</v>
      </c>
      <c r="G281" s="370"/>
      <c r="H281" s="370"/>
      <c r="I281" s="357">
        <f t="shared" si="3"/>
        <v>0</v>
      </c>
      <c r="J281" s="346">
        <f t="shared" si="4"/>
        <v>0</v>
      </c>
      <c r="K281" s="312"/>
      <c r="L281" s="312"/>
      <c r="M281" s="312"/>
      <c r="N281" s="362"/>
      <c r="O281" s="312"/>
      <c r="P281" s="312"/>
      <c r="S281" s="2">
        <f t="shared" si="5"/>
        <v>0</v>
      </c>
      <c r="AA281" s="312"/>
      <c r="AB281" s="312"/>
      <c r="AC281" s="312"/>
      <c r="AD281" s="312"/>
    </row>
    <row r="282">
      <c r="A282" s="312"/>
      <c r="B282" s="344">
        <f t="shared" si="1"/>
        <v>2045</v>
      </c>
      <c r="C282" s="344">
        <v>90.0</v>
      </c>
      <c r="D282" s="369"/>
      <c r="E282" s="344" t="str">
        <f t="shared" si="2"/>
        <v>Saturday</v>
      </c>
      <c r="F282" s="344" t="s">
        <v>554</v>
      </c>
      <c r="G282" s="370"/>
      <c r="H282" s="370"/>
      <c r="I282" s="357">
        <f t="shared" si="3"/>
        <v>0</v>
      </c>
      <c r="J282" s="346">
        <f t="shared" si="4"/>
        <v>0</v>
      </c>
      <c r="K282" s="312"/>
      <c r="L282" s="312"/>
      <c r="M282" s="312"/>
      <c r="N282" s="362"/>
      <c r="O282" s="312"/>
      <c r="P282" s="312"/>
      <c r="S282" s="2">
        <f t="shared" si="5"/>
        <v>0</v>
      </c>
      <c r="AA282" s="312"/>
      <c r="AB282" s="312"/>
      <c r="AC282" s="312"/>
      <c r="AD282" s="312"/>
    </row>
    <row r="283">
      <c r="A283" s="312"/>
      <c r="B283" s="344">
        <f t="shared" si="1"/>
        <v>2045</v>
      </c>
      <c r="C283" s="344">
        <v>90.0</v>
      </c>
      <c r="D283" s="369"/>
      <c r="E283" s="344" t="str">
        <f t="shared" si="2"/>
        <v>Saturday</v>
      </c>
      <c r="F283" s="344" t="s">
        <v>554</v>
      </c>
      <c r="G283" s="370"/>
      <c r="H283" s="370"/>
      <c r="I283" s="357">
        <f t="shared" si="3"/>
        <v>0</v>
      </c>
      <c r="J283" s="346">
        <f t="shared" si="4"/>
        <v>0</v>
      </c>
      <c r="K283" s="312"/>
      <c r="L283" s="312"/>
      <c r="M283" s="312"/>
      <c r="N283" s="362"/>
      <c r="O283" s="312"/>
      <c r="P283" s="312"/>
      <c r="S283" s="2">
        <f t="shared" si="5"/>
        <v>0</v>
      </c>
      <c r="AA283" s="312"/>
      <c r="AB283" s="312"/>
      <c r="AC283" s="312"/>
      <c r="AD283" s="312"/>
    </row>
    <row r="284">
      <c r="A284" s="312"/>
      <c r="B284" s="344">
        <f t="shared" si="1"/>
        <v>2045</v>
      </c>
      <c r="C284" s="344">
        <v>90.0</v>
      </c>
      <c r="D284" s="369"/>
      <c r="E284" s="344" t="str">
        <f t="shared" si="2"/>
        <v>Saturday</v>
      </c>
      <c r="F284" s="344" t="s">
        <v>554</v>
      </c>
      <c r="G284" s="370"/>
      <c r="H284" s="370"/>
      <c r="I284" s="357">
        <f t="shared" si="3"/>
        <v>0</v>
      </c>
      <c r="J284" s="346">
        <f t="shared" si="4"/>
        <v>0</v>
      </c>
      <c r="K284" s="312"/>
      <c r="L284" s="312"/>
      <c r="M284" s="312"/>
      <c r="N284" s="362"/>
      <c r="O284" s="312"/>
      <c r="P284" s="312"/>
      <c r="S284" s="2">
        <f t="shared" si="5"/>
        <v>0</v>
      </c>
      <c r="AA284" s="312"/>
      <c r="AB284" s="312"/>
      <c r="AC284" s="312"/>
      <c r="AD284" s="312"/>
    </row>
    <row r="285">
      <c r="A285" s="312"/>
      <c r="B285" s="344">
        <f t="shared" si="1"/>
        <v>2045</v>
      </c>
      <c r="C285" s="344">
        <v>90.0</v>
      </c>
      <c r="D285" s="369"/>
      <c r="E285" s="344" t="str">
        <f t="shared" si="2"/>
        <v>Saturday</v>
      </c>
      <c r="F285" s="344" t="s">
        <v>554</v>
      </c>
      <c r="G285" s="370"/>
      <c r="H285" s="370"/>
      <c r="I285" s="357">
        <f t="shared" si="3"/>
        <v>0</v>
      </c>
      <c r="J285" s="346">
        <f t="shared" si="4"/>
        <v>0</v>
      </c>
      <c r="K285" s="312"/>
      <c r="L285" s="312"/>
      <c r="M285" s="312"/>
      <c r="N285" s="362"/>
      <c r="O285" s="312"/>
      <c r="P285" s="312"/>
      <c r="S285" s="2">
        <f t="shared" si="5"/>
        <v>0</v>
      </c>
      <c r="AA285" s="312"/>
      <c r="AB285" s="312"/>
      <c r="AC285" s="312"/>
      <c r="AD285" s="312"/>
    </row>
    <row r="286">
      <c r="A286" s="312"/>
      <c r="B286" s="344">
        <f t="shared" si="1"/>
        <v>2045</v>
      </c>
      <c r="C286" s="344">
        <v>90.0</v>
      </c>
      <c r="D286" s="369"/>
      <c r="E286" s="344" t="str">
        <f t="shared" si="2"/>
        <v>Saturday</v>
      </c>
      <c r="F286" s="344" t="s">
        <v>554</v>
      </c>
      <c r="G286" s="370"/>
      <c r="H286" s="370"/>
      <c r="I286" s="357">
        <f t="shared" si="3"/>
        <v>0</v>
      </c>
      <c r="J286" s="346">
        <f t="shared" si="4"/>
        <v>0</v>
      </c>
      <c r="K286" s="312"/>
      <c r="L286" s="312"/>
      <c r="M286" s="312"/>
      <c r="N286" s="362"/>
      <c r="O286" s="312"/>
      <c r="P286" s="312"/>
      <c r="S286" s="2">
        <f t="shared" si="5"/>
        <v>0</v>
      </c>
      <c r="AA286" s="312"/>
      <c r="AB286" s="312"/>
      <c r="AC286" s="312"/>
      <c r="AD286" s="312"/>
    </row>
    <row r="287">
      <c r="A287" s="312"/>
      <c r="B287" s="344">
        <f t="shared" si="1"/>
        <v>2045</v>
      </c>
      <c r="C287" s="344">
        <v>90.0</v>
      </c>
      <c r="D287" s="369"/>
      <c r="E287" s="344" t="str">
        <f t="shared" si="2"/>
        <v>Saturday</v>
      </c>
      <c r="F287" s="344" t="s">
        <v>554</v>
      </c>
      <c r="G287" s="370"/>
      <c r="H287" s="370"/>
      <c r="I287" s="357">
        <f t="shared" si="3"/>
        <v>0</v>
      </c>
      <c r="J287" s="346">
        <f t="shared" si="4"/>
        <v>0</v>
      </c>
      <c r="K287" s="312"/>
      <c r="L287" s="312"/>
      <c r="M287" s="312"/>
      <c r="N287" s="362"/>
      <c r="O287" s="312"/>
      <c r="P287" s="312"/>
      <c r="S287" s="2">
        <f t="shared" si="5"/>
        <v>0</v>
      </c>
      <c r="AA287" s="312"/>
      <c r="AB287" s="312"/>
      <c r="AC287" s="312"/>
      <c r="AD287" s="312"/>
    </row>
    <row r="288">
      <c r="A288" s="312"/>
      <c r="B288" s="344">
        <f t="shared" si="1"/>
        <v>2045</v>
      </c>
      <c r="C288" s="344">
        <v>90.0</v>
      </c>
      <c r="D288" s="369"/>
      <c r="E288" s="344" t="str">
        <f t="shared" si="2"/>
        <v>Saturday</v>
      </c>
      <c r="F288" s="344" t="s">
        <v>554</v>
      </c>
      <c r="G288" s="370"/>
      <c r="H288" s="370"/>
      <c r="I288" s="357">
        <f t="shared" si="3"/>
        <v>0</v>
      </c>
      <c r="J288" s="346">
        <f t="shared" si="4"/>
        <v>0</v>
      </c>
      <c r="K288" s="312"/>
      <c r="L288" s="312"/>
      <c r="M288" s="312"/>
      <c r="N288" s="362"/>
      <c r="O288" s="312"/>
      <c r="P288" s="312"/>
      <c r="S288" s="2">
        <f t="shared" si="5"/>
        <v>0</v>
      </c>
      <c r="AA288" s="312"/>
      <c r="AB288" s="312"/>
      <c r="AC288" s="312"/>
      <c r="AD288" s="312"/>
    </row>
    <row r="289">
      <c r="A289" s="312"/>
      <c r="B289" s="344">
        <f t="shared" si="1"/>
        <v>2045</v>
      </c>
      <c r="C289" s="344">
        <v>90.0</v>
      </c>
      <c r="D289" s="369"/>
      <c r="E289" s="344" t="str">
        <f t="shared" si="2"/>
        <v>Saturday</v>
      </c>
      <c r="F289" s="344" t="s">
        <v>554</v>
      </c>
      <c r="G289" s="370"/>
      <c r="H289" s="370"/>
      <c r="I289" s="357">
        <f t="shared" si="3"/>
        <v>0</v>
      </c>
      <c r="J289" s="346">
        <f t="shared" si="4"/>
        <v>0</v>
      </c>
      <c r="K289" s="312"/>
      <c r="L289" s="312"/>
      <c r="M289" s="312"/>
      <c r="N289" s="362"/>
      <c r="O289" s="312"/>
      <c r="P289" s="312"/>
      <c r="S289" s="2">
        <f t="shared" si="5"/>
        <v>0</v>
      </c>
      <c r="AA289" s="312"/>
      <c r="AB289" s="312"/>
      <c r="AC289" s="312"/>
      <c r="AD289" s="312"/>
    </row>
    <row r="290">
      <c r="A290" s="312"/>
      <c r="B290" s="344">
        <f t="shared" si="1"/>
        <v>2045</v>
      </c>
      <c r="C290" s="344">
        <v>90.0</v>
      </c>
      <c r="D290" s="369"/>
      <c r="E290" s="344" t="str">
        <f t="shared" si="2"/>
        <v>Saturday</v>
      </c>
      <c r="F290" s="344" t="s">
        <v>554</v>
      </c>
      <c r="G290" s="370"/>
      <c r="H290" s="370"/>
      <c r="I290" s="357">
        <f t="shared" si="3"/>
        <v>0</v>
      </c>
      <c r="J290" s="346">
        <f t="shared" si="4"/>
        <v>0</v>
      </c>
      <c r="K290" s="312"/>
      <c r="L290" s="312"/>
      <c r="M290" s="312"/>
      <c r="N290" s="362"/>
      <c r="O290" s="312"/>
      <c r="P290" s="312"/>
      <c r="S290" s="2">
        <f t="shared" si="5"/>
        <v>0</v>
      </c>
      <c r="AA290" s="312"/>
      <c r="AB290" s="312"/>
      <c r="AC290" s="312"/>
      <c r="AD290" s="312"/>
    </row>
    <row r="291">
      <c r="A291" s="312"/>
      <c r="B291" s="344">
        <f t="shared" si="1"/>
        <v>2045</v>
      </c>
      <c r="C291" s="344">
        <v>90.0</v>
      </c>
      <c r="D291" s="369"/>
      <c r="E291" s="344" t="str">
        <f t="shared" si="2"/>
        <v>Saturday</v>
      </c>
      <c r="F291" s="344" t="s">
        <v>554</v>
      </c>
      <c r="G291" s="370"/>
      <c r="H291" s="370"/>
      <c r="I291" s="357">
        <f t="shared" si="3"/>
        <v>0</v>
      </c>
      <c r="J291" s="346">
        <f t="shared" si="4"/>
        <v>0</v>
      </c>
      <c r="K291" s="312"/>
      <c r="L291" s="312"/>
      <c r="M291" s="312"/>
      <c r="N291" s="362"/>
      <c r="O291" s="312"/>
      <c r="P291" s="312"/>
      <c r="S291" s="2">
        <f t="shared" si="5"/>
        <v>0</v>
      </c>
      <c r="AA291" s="312"/>
      <c r="AB291" s="312"/>
      <c r="AC291" s="312"/>
      <c r="AD291" s="312"/>
    </row>
    <row r="292">
      <c r="A292" s="312"/>
      <c r="B292" s="344">
        <f t="shared" si="1"/>
        <v>2045</v>
      </c>
      <c r="C292" s="344">
        <v>90.0</v>
      </c>
      <c r="D292" s="369"/>
      <c r="E292" s="344" t="str">
        <f t="shared" si="2"/>
        <v>Saturday</v>
      </c>
      <c r="F292" s="344" t="s">
        <v>554</v>
      </c>
      <c r="G292" s="370"/>
      <c r="H292" s="370"/>
      <c r="I292" s="357">
        <f t="shared" si="3"/>
        <v>0</v>
      </c>
      <c r="J292" s="346">
        <f t="shared" si="4"/>
        <v>0</v>
      </c>
      <c r="K292" s="312"/>
      <c r="L292" s="312"/>
      <c r="M292" s="312"/>
      <c r="N292" s="362"/>
      <c r="O292" s="312"/>
      <c r="P292" s="312"/>
      <c r="S292" s="2">
        <f t="shared" si="5"/>
        <v>0</v>
      </c>
      <c r="AA292" s="312"/>
      <c r="AB292" s="312"/>
      <c r="AC292" s="312"/>
      <c r="AD292" s="312"/>
    </row>
    <row r="293">
      <c r="A293" s="312"/>
      <c r="B293" s="344">
        <f t="shared" si="1"/>
        <v>2045</v>
      </c>
      <c r="C293" s="344">
        <v>90.0</v>
      </c>
      <c r="D293" s="369"/>
      <c r="E293" s="344" t="str">
        <f t="shared" si="2"/>
        <v>Saturday</v>
      </c>
      <c r="F293" s="344" t="s">
        <v>554</v>
      </c>
      <c r="G293" s="370"/>
      <c r="H293" s="370"/>
      <c r="I293" s="357">
        <f t="shared" si="3"/>
        <v>0</v>
      </c>
      <c r="J293" s="346">
        <f t="shared" si="4"/>
        <v>0</v>
      </c>
      <c r="K293" s="312"/>
      <c r="L293" s="312"/>
      <c r="M293" s="312"/>
      <c r="N293" s="362"/>
      <c r="O293" s="312"/>
      <c r="P293" s="312"/>
      <c r="S293" s="2">
        <f t="shared" si="5"/>
        <v>0</v>
      </c>
      <c r="AA293" s="312"/>
      <c r="AB293" s="312"/>
      <c r="AC293" s="312"/>
      <c r="AD293" s="312"/>
    </row>
    <row r="294">
      <c r="A294" s="312"/>
      <c r="B294" s="344">
        <f t="shared" si="1"/>
        <v>2045</v>
      </c>
      <c r="C294" s="344">
        <v>90.0</v>
      </c>
      <c r="D294" s="369"/>
      <c r="E294" s="344" t="str">
        <f t="shared" si="2"/>
        <v>Saturday</v>
      </c>
      <c r="F294" s="344" t="s">
        <v>554</v>
      </c>
      <c r="G294" s="370"/>
      <c r="H294" s="370"/>
      <c r="I294" s="357">
        <f t="shared" si="3"/>
        <v>0</v>
      </c>
      <c r="J294" s="346">
        <f t="shared" si="4"/>
        <v>0</v>
      </c>
      <c r="K294" s="312"/>
      <c r="L294" s="312"/>
      <c r="M294" s="312"/>
      <c r="N294" s="362"/>
      <c r="O294" s="312"/>
      <c r="P294" s="312"/>
      <c r="S294" s="2">
        <f t="shared" si="5"/>
        <v>0</v>
      </c>
      <c r="AA294" s="312"/>
      <c r="AB294" s="312"/>
      <c r="AC294" s="312"/>
      <c r="AD294" s="312"/>
    </row>
    <row r="295">
      <c r="A295" s="312"/>
      <c r="B295" s="344">
        <f t="shared" si="1"/>
        <v>2045</v>
      </c>
      <c r="C295" s="344">
        <v>90.0</v>
      </c>
      <c r="D295" s="369"/>
      <c r="E295" s="344" t="str">
        <f t="shared" si="2"/>
        <v>Saturday</v>
      </c>
      <c r="F295" s="344" t="s">
        <v>554</v>
      </c>
      <c r="G295" s="370"/>
      <c r="H295" s="370"/>
      <c r="I295" s="357">
        <f t="shared" si="3"/>
        <v>0</v>
      </c>
      <c r="J295" s="346">
        <f t="shared" si="4"/>
        <v>0</v>
      </c>
      <c r="K295" s="312"/>
      <c r="L295" s="312"/>
      <c r="M295" s="312"/>
      <c r="N295" s="362"/>
      <c r="O295" s="312"/>
      <c r="P295" s="312"/>
      <c r="S295" s="2">
        <f t="shared" si="5"/>
        <v>0</v>
      </c>
      <c r="AA295" s="312"/>
      <c r="AB295" s="312"/>
      <c r="AC295" s="312"/>
      <c r="AD295" s="312"/>
    </row>
    <row r="296">
      <c r="A296" s="312"/>
      <c r="B296" s="344">
        <f t="shared" si="1"/>
        <v>2045</v>
      </c>
      <c r="C296" s="344">
        <v>90.0</v>
      </c>
      <c r="D296" s="369"/>
      <c r="E296" s="344" t="str">
        <f t="shared" si="2"/>
        <v>Saturday</v>
      </c>
      <c r="F296" s="344" t="s">
        <v>554</v>
      </c>
      <c r="G296" s="370"/>
      <c r="H296" s="370"/>
      <c r="I296" s="357">
        <f t="shared" si="3"/>
        <v>0</v>
      </c>
      <c r="J296" s="346">
        <f t="shared" si="4"/>
        <v>0</v>
      </c>
      <c r="K296" s="312"/>
      <c r="L296" s="312"/>
      <c r="M296" s="312"/>
      <c r="N296" s="362"/>
      <c r="O296" s="312"/>
      <c r="P296" s="312"/>
      <c r="S296" s="2">
        <f t="shared" si="5"/>
        <v>0</v>
      </c>
      <c r="AA296" s="312"/>
      <c r="AB296" s="312"/>
      <c r="AC296" s="312"/>
      <c r="AD296" s="312"/>
    </row>
    <row r="297">
      <c r="A297" s="312"/>
      <c r="B297" s="344">
        <f t="shared" si="1"/>
        <v>2045</v>
      </c>
      <c r="C297" s="344">
        <v>90.0</v>
      </c>
      <c r="D297" s="369"/>
      <c r="E297" s="344" t="str">
        <f t="shared" si="2"/>
        <v>Saturday</v>
      </c>
      <c r="F297" s="344" t="s">
        <v>554</v>
      </c>
      <c r="G297" s="370"/>
      <c r="H297" s="370"/>
      <c r="I297" s="357">
        <f t="shared" si="3"/>
        <v>0</v>
      </c>
      <c r="J297" s="346">
        <f t="shared" si="4"/>
        <v>0</v>
      </c>
      <c r="K297" s="312"/>
      <c r="L297" s="312"/>
      <c r="M297" s="312"/>
      <c r="N297" s="362"/>
      <c r="O297" s="312"/>
      <c r="P297" s="312"/>
      <c r="S297" s="2">
        <f t="shared" si="5"/>
        <v>0</v>
      </c>
      <c r="AA297" s="312"/>
      <c r="AB297" s="312"/>
      <c r="AC297" s="312"/>
      <c r="AD297" s="312"/>
    </row>
    <row r="298">
      <c r="A298" s="312"/>
      <c r="B298" s="344">
        <f t="shared" si="1"/>
        <v>2045</v>
      </c>
      <c r="C298" s="344">
        <v>90.0</v>
      </c>
      <c r="D298" s="369"/>
      <c r="E298" s="344" t="str">
        <f t="shared" si="2"/>
        <v>Saturday</v>
      </c>
      <c r="F298" s="344" t="s">
        <v>554</v>
      </c>
      <c r="G298" s="370"/>
      <c r="H298" s="370"/>
      <c r="I298" s="357">
        <f t="shared" si="3"/>
        <v>0</v>
      </c>
      <c r="J298" s="346">
        <f t="shared" si="4"/>
        <v>0</v>
      </c>
      <c r="K298" s="312"/>
      <c r="L298" s="312"/>
      <c r="M298" s="312"/>
      <c r="N298" s="362"/>
      <c r="O298" s="312"/>
      <c r="P298" s="312"/>
      <c r="S298" s="2">
        <f t="shared" si="5"/>
        <v>0</v>
      </c>
      <c r="AA298" s="312"/>
      <c r="AB298" s="312"/>
      <c r="AC298" s="312"/>
      <c r="AD298" s="312"/>
    </row>
    <row r="299">
      <c r="A299" s="312"/>
      <c r="B299" s="344">
        <f t="shared" si="1"/>
        <v>2045</v>
      </c>
      <c r="C299" s="344">
        <v>90.0</v>
      </c>
      <c r="D299" s="369"/>
      <c r="E299" s="344" t="str">
        <f t="shared" si="2"/>
        <v>Saturday</v>
      </c>
      <c r="F299" s="344" t="s">
        <v>554</v>
      </c>
      <c r="G299" s="370"/>
      <c r="H299" s="370"/>
      <c r="I299" s="357">
        <f t="shared" si="3"/>
        <v>0</v>
      </c>
      <c r="J299" s="346">
        <f t="shared" si="4"/>
        <v>0</v>
      </c>
      <c r="K299" s="312"/>
      <c r="L299" s="312"/>
      <c r="M299" s="312"/>
      <c r="N299" s="362"/>
      <c r="O299" s="312"/>
      <c r="P299" s="312"/>
      <c r="S299" s="2">
        <f t="shared" si="5"/>
        <v>0</v>
      </c>
      <c r="AA299" s="312"/>
      <c r="AB299" s="312"/>
      <c r="AC299" s="312"/>
      <c r="AD299" s="312"/>
    </row>
    <row r="300">
      <c r="A300" s="312"/>
      <c r="B300" s="344">
        <f t="shared" si="1"/>
        <v>2045</v>
      </c>
      <c r="C300" s="344">
        <v>90.0</v>
      </c>
      <c r="D300" s="369"/>
      <c r="E300" s="344" t="str">
        <f t="shared" si="2"/>
        <v>Saturday</v>
      </c>
      <c r="F300" s="344" t="s">
        <v>554</v>
      </c>
      <c r="G300" s="370"/>
      <c r="H300" s="370"/>
      <c r="I300" s="357">
        <f t="shared" si="3"/>
        <v>0</v>
      </c>
      <c r="J300" s="346">
        <f t="shared" si="4"/>
        <v>0</v>
      </c>
      <c r="K300" s="312"/>
      <c r="L300" s="312"/>
      <c r="M300" s="312"/>
      <c r="N300" s="362"/>
      <c r="O300" s="312"/>
      <c r="P300" s="312"/>
      <c r="S300" s="2">
        <f t="shared" si="5"/>
        <v>0</v>
      </c>
      <c r="AA300" s="312"/>
      <c r="AB300" s="312"/>
      <c r="AC300" s="312"/>
      <c r="AD300" s="312"/>
    </row>
    <row r="301">
      <c r="A301" s="312"/>
      <c r="B301" s="344">
        <f t="shared" si="1"/>
        <v>2045</v>
      </c>
      <c r="C301" s="344">
        <v>90.0</v>
      </c>
      <c r="D301" s="369"/>
      <c r="E301" s="344" t="str">
        <f t="shared" si="2"/>
        <v>Saturday</v>
      </c>
      <c r="F301" s="344" t="s">
        <v>554</v>
      </c>
      <c r="G301" s="370"/>
      <c r="H301" s="370"/>
      <c r="I301" s="357">
        <f t="shared" si="3"/>
        <v>0</v>
      </c>
      <c r="J301" s="346">
        <f t="shared" si="4"/>
        <v>0</v>
      </c>
      <c r="K301" s="312"/>
      <c r="L301" s="312"/>
      <c r="M301" s="312"/>
      <c r="N301" s="362"/>
      <c r="O301" s="312"/>
      <c r="P301" s="312"/>
      <c r="S301" s="2">
        <f t="shared" si="5"/>
        <v>0</v>
      </c>
      <c r="AA301" s="312"/>
      <c r="AB301" s="312"/>
      <c r="AC301" s="312"/>
      <c r="AD301" s="312"/>
    </row>
    <row r="302">
      <c r="A302" s="312"/>
      <c r="B302" s="344">
        <f t="shared" si="1"/>
        <v>2045</v>
      </c>
      <c r="C302" s="344">
        <v>90.0</v>
      </c>
      <c r="D302" s="369"/>
      <c r="E302" s="344" t="str">
        <f t="shared" si="2"/>
        <v>Saturday</v>
      </c>
      <c r="F302" s="344" t="s">
        <v>554</v>
      </c>
      <c r="G302" s="370"/>
      <c r="H302" s="370"/>
      <c r="I302" s="357">
        <f t="shared" si="3"/>
        <v>0</v>
      </c>
      <c r="J302" s="346">
        <f t="shared" si="4"/>
        <v>0</v>
      </c>
      <c r="K302" s="312"/>
      <c r="L302" s="312"/>
      <c r="M302" s="312"/>
      <c r="N302" s="362"/>
      <c r="O302" s="312"/>
      <c r="P302" s="312"/>
      <c r="S302" s="2">
        <f t="shared" si="5"/>
        <v>0</v>
      </c>
      <c r="AA302" s="312"/>
      <c r="AB302" s="312"/>
      <c r="AC302" s="312"/>
      <c r="AD302" s="312"/>
    </row>
    <row r="303">
      <c r="A303" s="312"/>
      <c r="B303" s="344">
        <f t="shared" si="1"/>
        <v>2045</v>
      </c>
      <c r="C303" s="344">
        <v>90.0</v>
      </c>
      <c r="D303" s="369"/>
      <c r="E303" s="344" t="str">
        <f t="shared" si="2"/>
        <v>Saturday</v>
      </c>
      <c r="F303" s="344" t="s">
        <v>554</v>
      </c>
      <c r="G303" s="370"/>
      <c r="H303" s="370"/>
      <c r="I303" s="357">
        <f t="shared" si="3"/>
        <v>0</v>
      </c>
      <c r="J303" s="346">
        <f t="shared" si="4"/>
        <v>0</v>
      </c>
      <c r="K303" s="312"/>
      <c r="L303" s="312"/>
      <c r="M303" s="312"/>
      <c r="N303" s="362"/>
      <c r="O303" s="312"/>
      <c r="P303" s="312"/>
      <c r="S303" s="2">
        <f t="shared" si="5"/>
        <v>0</v>
      </c>
      <c r="AA303" s="312"/>
      <c r="AB303" s="312"/>
      <c r="AC303" s="312"/>
      <c r="AD303" s="312"/>
    </row>
    <row r="304">
      <c r="A304" s="312"/>
      <c r="B304" s="344">
        <f t="shared" si="1"/>
        <v>2045</v>
      </c>
      <c r="C304" s="344">
        <v>90.0</v>
      </c>
      <c r="D304" s="369"/>
      <c r="E304" s="344" t="str">
        <f t="shared" si="2"/>
        <v>Saturday</v>
      </c>
      <c r="F304" s="344" t="s">
        <v>554</v>
      </c>
      <c r="G304" s="370"/>
      <c r="H304" s="370"/>
      <c r="I304" s="357">
        <f t="shared" si="3"/>
        <v>0</v>
      </c>
      <c r="J304" s="346">
        <f t="shared" si="4"/>
        <v>0</v>
      </c>
      <c r="K304" s="312"/>
      <c r="L304" s="312"/>
      <c r="M304" s="312"/>
      <c r="N304" s="362"/>
      <c r="O304" s="312"/>
      <c r="P304" s="312"/>
      <c r="S304" s="2">
        <f t="shared" si="5"/>
        <v>0</v>
      </c>
      <c r="AA304" s="312"/>
      <c r="AB304" s="312"/>
      <c r="AC304" s="312"/>
      <c r="AD304" s="312"/>
    </row>
    <row r="305">
      <c r="A305" s="312"/>
      <c r="B305" s="344">
        <f t="shared" si="1"/>
        <v>2045</v>
      </c>
      <c r="C305" s="344">
        <v>90.0</v>
      </c>
      <c r="D305" s="369"/>
      <c r="E305" s="344" t="str">
        <f t="shared" si="2"/>
        <v>Saturday</v>
      </c>
      <c r="F305" s="344" t="s">
        <v>554</v>
      </c>
      <c r="G305" s="370"/>
      <c r="H305" s="370"/>
      <c r="I305" s="357">
        <f t="shared" si="3"/>
        <v>0</v>
      </c>
      <c r="J305" s="346">
        <f t="shared" si="4"/>
        <v>0</v>
      </c>
      <c r="K305" s="312"/>
      <c r="L305" s="312"/>
      <c r="M305" s="312"/>
      <c r="N305" s="362"/>
      <c r="O305" s="312"/>
      <c r="P305" s="312"/>
      <c r="S305" s="2">
        <f t="shared" si="5"/>
        <v>0</v>
      </c>
      <c r="AA305" s="312"/>
      <c r="AB305" s="312"/>
      <c r="AC305" s="312"/>
      <c r="AD305" s="312"/>
    </row>
    <row r="306">
      <c r="A306" s="312"/>
      <c r="B306" s="344">
        <f t="shared" si="1"/>
        <v>2045</v>
      </c>
      <c r="C306" s="344">
        <v>90.0</v>
      </c>
      <c r="D306" s="369"/>
      <c r="E306" s="344" t="str">
        <f t="shared" si="2"/>
        <v>Saturday</v>
      </c>
      <c r="F306" s="344" t="s">
        <v>554</v>
      </c>
      <c r="G306" s="370"/>
      <c r="H306" s="370"/>
      <c r="I306" s="357">
        <f t="shared" si="3"/>
        <v>0</v>
      </c>
      <c r="J306" s="346">
        <f t="shared" si="4"/>
        <v>0</v>
      </c>
      <c r="K306" s="312"/>
      <c r="L306" s="312"/>
      <c r="M306" s="312"/>
      <c r="N306" s="362"/>
      <c r="O306" s="312"/>
      <c r="P306" s="312"/>
      <c r="S306" s="2">
        <f t="shared" si="5"/>
        <v>0</v>
      </c>
      <c r="AA306" s="312"/>
      <c r="AB306" s="312"/>
      <c r="AC306" s="312"/>
      <c r="AD306" s="312"/>
    </row>
    <row r="307">
      <c r="A307" s="312"/>
      <c r="B307" s="344">
        <f t="shared" si="1"/>
        <v>2045</v>
      </c>
      <c r="C307" s="344">
        <v>90.0</v>
      </c>
      <c r="D307" s="369"/>
      <c r="E307" s="344" t="str">
        <f t="shared" si="2"/>
        <v>Saturday</v>
      </c>
      <c r="F307" s="344" t="s">
        <v>554</v>
      </c>
      <c r="G307" s="370"/>
      <c r="H307" s="370"/>
      <c r="I307" s="357">
        <f t="shared" si="3"/>
        <v>0</v>
      </c>
      <c r="J307" s="346">
        <f t="shared" si="4"/>
        <v>0</v>
      </c>
      <c r="K307" s="312"/>
      <c r="L307" s="312"/>
      <c r="M307" s="312"/>
      <c r="N307" s="362"/>
      <c r="O307" s="312"/>
      <c r="P307" s="312"/>
      <c r="S307" s="2">
        <f t="shared" si="5"/>
        <v>0</v>
      </c>
      <c r="AA307" s="312"/>
      <c r="AB307" s="312"/>
      <c r="AC307" s="312"/>
      <c r="AD307" s="312"/>
    </row>
    <row r="308">
      <c r="A308" s="312"/>
      <c r="B308" s="344">
        <f t="shared" si="1"/>
        <v>2045</v>
      </c>
      <c r="C308" s="344">
        <v>90.0</v>
      </c>
      <c r="D308" s="369"/>
      <c r="E308" s="344" t="str">
        <f t="shared" si="2"/>
        <v>Saturday</v>
      </c>
      <c r="F308" s="344" t="s">
        <v>554</v>
      </c>
      <c r="G308" s="370"/>
      <c r="H308" s="370"/>
      <c r="I308" s="357">
        <f t="shared" si="3"/>
        <v>0</v>
      </c>
      <c r="J308" s="346">
        <f t="shared" si="4"/>
        <v>0</v>
      </c>
      <c r="K308" s="312"/>
      <c r="L308" s="312"/>
      <c r="M308" s="312"/>
      <c r="N308" s="362"/>
      <c r="O308" s="312"/>
      <c r="P308" s="312"/>
      <c r="S308" s="2">
        <f t="shared" si="5"/>
        <v>0</v>
      </c>
      <c r="AA308" s="312"/>
      <c r="AB308" s="312"/>
      <c r="AC308" s="312"/>
      <c r="AD308" s="312"/>
    </row>
    <row r="309">
      <c r="A309" s="312"/>
      <c r="B309" s="344">
        <f t="shared" si="1"/>
        <v>2045</v>
      </c>
      <c r="C309" s="344">
        <v>90.0</v>
      </c>
      <c r="D309" s="369"/>
      <c r="E309" s="344" t="str">
        <f t="shared" si="2"/>
        <v>Saturday</v>
      </c>
      <c r="F309" s="344" t="s">
        <v>554</v>
      </c>
      <c r="G309" s="370"/>
      <c r="H309" s="370"/>
      <c r="I309" s="357">
        <f t="shared" si="3"/>
        <v>0</v>
      </c>
      <c r="J309" s="346">
        <f t="shared" si="4"/>
        <v>0</v>
      </c>
      <c r="K309" s="312"/>
      <c r="L309" s="312"/>
      <c r="M309" s="312"/>
      <c r="N309" s="362"/>
      <c r="O309" s="312"/>
      <c r="P309" s="312"/>
      <c r="S309" s="2">
        <f t="shared" si="5"/>
        <v>0</v>
      </c>
      <c r="AA309" s="312"/>
      <c r="AB309" s="312"/>
      <c r="AC309" s="312"/>
      <c r="AD309" s="312"/>
    </row>
    <row r="310">
      <c r="A310" s="312"/>
      <c r="B310" s="344">
        <f t="shared" si="1"/>
        <v>2045</v>
      </c>
      <c r="C310" s="344">
        <v>90.0</v>
      </c>
      <c r="D310" s="369"/>
      <c r="E310" s="344" t="str">
        <f t="shared" si="2"/>
        <v>Saturday</v>
      </c>
      <c r="F310" s="344" t="s">
        <v>554</v>
      </c>
      <c r="G310" s="370"/>
      <c r="H310" s="370"/>
      <c r="I310" s="357">
        <f t="shared" si="3"/>
        <v>0</v>
      </c>
      <c r="J310" s="346">
        <f t="shared" si="4"/>
        <v>0</v>
      </c>
      <c r="K310" s="312"/>
      <c r="L310" s="312"/>
      <c r="M310" s="312"/>
      <c r="N310" s="362"/>
      <c r="O310" s="312"/>
      <c r="P310" s="312"/>
      <c r="S310" s="2">
        <f t="shared" si="5"/>
        <v>0</v>
      </c>
      <c r="AA310" s="312"/>
      <c r="AB310" s="312"/>
      <c r="AC310" s="312"/>
      <c r="AD310" s="312"/>
    </row>
    <row r="311">
      <c r="A311" s="312"/>
      <c r="B311" s="344">
        <f t="shared" si="1"/>
        <v>2045</v>
      </c>
      <c r="C311" s="344">
        <v>90.0</v>
      </c>
      <c r="D311" s="369"/>
      <c r="E311" s="344" t="str">
        <f t="shared" si="2"/>
        <v>Saturday</v>
      </c>
      <c r="F311" s="344" t="s">
        <v>554</v>
      </c>
      <c r="G311" s="370"/>
      <c r="H311" s="370"/>
      <c r="I311" s="357">
        <f t="shared" si="3"/>
        <v>0</v>
      </c>
      <c r="J311" s="346">
        <f t="shared" si="4"/>
        <v>0</v>
      </c>
      <c r="K311" s="312"/>
      <c r="L311" s="312"/>
      <c r="M311" s="312"/>
      <c r="N311" s="362"/>
      <c r="O311" s="312"/>
      <c r="P311" s="312"/>
      <c r="S311" s="2">
        <f t="shared" si="5"/>
        <v>0</v>
      </c>
      <c r="AA311" s="312"/>
      <c r="AB311" s="312"/>
      <c r="AC311" s="312"/>
      <c r="AD311" s="312"/>
    </row>
    <row r="312">
      <c r="A312" s="312"/>
      <c r="B312" s="344">
        <f t="shared" si="1"/>
        <v>2045</v>
      </c>
      <c r="C312" s="344">
        <v>90.0</v>
      </c>
      <c r="D312" s="369"/>
      <c r="E312" s="344" t="str">
        <f t="shared" si="2"/>
        <v>Saturday</v>
      </c>
      <c r="F312" s="344" t="s">
        <v>554</v>
      </c>
      <c r="G312" s="370"/>
      <c r="H312" s="370"/>
      <c r="I312" s="357">
        <f t="shared" si="3"/>
        <v>0</v>
      </c>
      <c r="J312" s="346">
        <f t="shared" si="4"/>
        <v>0</v>
      </c>
      <c r="K312" s="312"/>
      <c r="L312" s="312"/>
      <c r="M312" s="312"/>
      <c r="N312" s="362"/>
      <c r="O312" s="312"/>
      <c r="P312" s="312"/>
      <c r="S312" s="2">
        <f t="shared" si="5"/>
        <v>0</v>
      </c>
      <c r="AA312" s="312"/>
      <c r="AB312" s="312"/>
      <c r="AC312" s="312"/>
      <c r="AD312" s="312"/>
    </row>
    <row r="313">
      <c r="A313" s="312"/>
      <c r="B313" s="344">
        <f t="shared" si="1"/>
        <v>2045</v>
      </c>
      <c r="C313" s="344">
        <v>90.0</v>
      </c>
      <c r="D313" s="369"/>
      <c r="E313" s="344" t="str">
        <f t="shared" si="2"/>
        <v>Saturday</v>
      </c>
      <c r="F313" s="344" t="s">
        <v>554</v>
      </c>
      <c r="G313" s="370"/>
      <c r="H313" s="370"/>
      <c r="I313" s="357">
        <f t="shared" si="3"/>
        <v>0</v>
      </c>
      <c r="J313" s="346">
        <f t="shared" si="4"/>
        <v>0</v>
      </c>
      <c r="K313" s="312"/>
      <c r="L313" s="312"/>
      <c r="M313" s="312"/>
      <c r="N313" s="362"/>
      <c r="O313" s="312"/>
      <c r="P313" s="312"/>
      <c r="S313" s="2">
        <f t="shared" si="5"/>
        <v>0</v>
      </c>
      <c r="AA313" s="312"/>
      <c r="AB313" s="312"/>
      <c r="AC313" s="312"/>
      <c r="AD313" s="312"/>
    </row>
    <row r="314">
      <c r="A314" s="312"/>
      <c r="B314" s="344">
        <f t="shared" si="1"/>
        <v>2045</v>
      </c>
      <c r="C314" s="344">
        <v>90.0</v>
      </c>
      <c r="D314" s="369"/>
      <c r="E314" s="344" t="str">
        <f t="shared" si="2"/>
        <v>Saturday</v>
      </c>
      <c r="F314" s="344" t="s">
        <v>554</v>
      </c>
      <c r="G314" s="370"/>
      <c r="H314" s="370"/>
      <c r="I314" s="357">
        <f t="shared" si="3"/>
        <v>0</v>
      </c>
      <c r="J314" s="346">
        <f t="shared" si="4"/>
        <v>0</v>
      </c>
      <c r="K314" s="312"/>
      <c r="L314" s="312"/>
      <c r="M314" s="312"/>
      <c r="N314" s="362"/>
      <c r="O314" s="312"/>
      <c r="P314" s="312"/>
      <c r="S314" s="2">
        <f t="shared" si="5"/>
        <v>0</v>
      </c>
      <c r="AA314" s="312"/>
      <c r="AB314" s="312"/>
      <c r="AC314" s="312"/>
      <c r="AD314" s="312"/>
    </row>
    <row r="315">
      <c r="A315" s="312"/>
      <c r="B315" s="344">
        <f t="shared" si="1"/>
        <v>2045</v>
      </c>
      <c r="C315" s="344">
        <v>90.0</v>
      </c>
      <c r="D315" s="369"/>
      <c r="E315" s="344" t="str">
        <f t="shared" si="2"/>
        <v>Saturday</v>
      </c>
      <c r="F315" s="344" t="s">
        <v>554</v>
      </c>
      <c r="G315" s="370"/>
      <c r="H315" s="370"/>
      <c r="I315" s="357">
        <f t="shared" si="3"/>
        <v>0</v>
      </c>
      <c r="J315" s="346">
        <f t="shared" si="4"/>
        <v>0</v>
      </c>
      <c r="K315" s="312"/>
      <c r="L315" s="312"/>
      <c r="M315" s="312"/>
      <c r="N315" s="362"/>
      <c r="O315" s="312"/>
      <c r="P315" s="312"/>
      <c r="S315" s="2">
        <f t="shared" si="5"/>
        <v>0</v>
      </c>
      <c r="AA315" s="312"/>
      <c r="AB315" s="312"/>
      <c r="AC315" s="312"/>
      <c r="AD315" s="312"/>
    </row>
    <row r="316">
      <c r="A316" s="312"/>
      <c r="B316" s="344">
        <f t="shared" si="1"/>
        <v>2045</v>
      </c>
      <c r="C316" s="344">
        <v>90.0</v>
      </c>
      <c r="D316" s="369"/>
      <c r="E316" s="344" t="str">
        <f t="shared" si="2"/>
        <v>Saturday</v>
      </c>
      <c r="F316" s="344" t="s">
        <v>554</v>
      </c>
      <c r="G316" s="370"/>
      <c r="H316" s="370"/>
      <c r="I316" s="357">
        <f t="shared" si="3"/>
        <v>0</v>
      </c>
      <c r="J316" s="346">
        <f t="shared" si="4"/>
        <v>0</v>
      </c>
      <c r="K316" s="312"/>
      <c r="L316" s="312"/>
      <c r="M316" s="312"/>
      <c r="N316" s="362"/>
      <c r="O316" s="312"/>
      <c r="P316" s="312"/>
      <c r="S316" s="2">
        <f t="shared" si="5"/>
        <v>0</v>
      </c>
      <c r="AA316" s="312"/>
      <c r="AB316" s="312"/>
      <c r="AC316" s="312"/>
      <c r="AD316" s="312"/>
    </row>
    <row r="317">
      <c r="A317" s="312"/>
      <c r="B317" s="344">
        <f t="shared" si="1"/>
        <v>2045</v>
      </c>
      <c r="C317" s="344">
        <v>90.0</v>
      </c>
      <c r="D317" s="369"/>
      <c r="E317" s="344" t="str">
        <f t="shared" si="2"/>
        <v>Saturday</v>
      </c>
      <c r="F317" s="344" t="s">
        <v>554</v>
      </c>
      <c r="G317" s="370"/>
      <c r="H317" s="370"/>
      <c r="I317" s="357">
        <f t="shared" si="3"/>
        <v>0</v>
      </c>
      <c r="J317" s="346">
        <f t="shared" si="4"/>
        <v>0</v>
      </c>
      <c r="K317" s="312"/>
      <c r="L317" s="312"/>
      <c r="M317" s="312"/>
      <c r="N317" s="362"/>
      <c r="O317" s="312"/>
      <c r="P317" s="312"/>
      <c r="S317" s="2">
        <f t="shared" si="5"/>
        <v>0</v>
      </c>
      <c r="AA317" s="312"/>
      <c r="AB317" s="312"/>
      <c r="AC317" s="312"/>
      <c r="AD317" s="312"/>
    </row>
    <row r="318">
      <c r="A318" s="312"/>
      <c r="B318" s="344">
        <f t="shared" si="1"/>
        <v>2045</v>
      </c>
      <c r="C318" s="344">
        <v>90.0</v>
      </c>
      <c r="D318" s="369"/>
      <c r="E318" s="344" t="str">
        <f t="shared" si="2"/>
        <v>Saturday</v>
      </c>
      <c r="F318" s="344" t="s">
        <v>554</v>
      </c>
      <c r="G318" s="370"/>
      <c r="H318" s="370"/>
      <c r="I318" s="357">
        <f t="shared" si="3"/>
        <v>0</v>
      </c>
      <c r="J318" s="346">
        <f t="shared" si="4"/>
        <v>0</v>
      </c>
      <c r="K318" s="312"/>
      <c r="L318" s="312"/>
      <c r="M318" s="312"/>
      <c r="N318" s="362"/>
      <c r="O318" s="312"/>
      <c r="P318" s="312"/>
      <c r="S318" s="2">
        <f t="shared" si="5"/>
        <v>0</v>
      </c>
      <c r="AA318" s="312"/>
      <c r="AB318" s="312"/>
      <c r="AC318" s="312"/>
      <c r="AD318" s="312"/>
    </row>
    <row r="319">
      <c r="A319" s="312"/>
      <c r="B319" s="344">
        <f t="shared" si="1"/>
        <v>2045</v>
      </c>
      <c r="C319" s="344">
        <v>90.0</v>
      </c>
      <c r="D319" s="369"/>
      <c r="E319" s="344" t="str">
        <f t="shared" si="2"/>
        <v>Saturday</v>
      </c>
      <c r="F319" s="344" t="s">
        <v>554</v>
      </c>
      <c r="G319" s="370"/>
      <c r="H319" s="370"/>
      <c r="I319" s="357">
        <f t="shared" si="3"/>
        <v>0</v>
      </c>
      <c r="J319" s="346">
        <f t="shared" si="4"/>
        <v>0</v>
      </c>
      <c r="K319" s="312"/>
      <c r="L319" s="312"/>
      <c r="M319" s="312"/>
      <c r="N319" s="362"/>
      <c r="O319" s="312"/>
      <c r="P319" s="312"/>
      <c r="S319" s="2">
        <f t="shared" si="5"/>
        <v>0</v>
      </c>
      <c r="AA319" s="312"/>
      <c r="AB319" s="312"/>
      <c r="AC319" s="312"/>
      <c r="AD319" s="312"/>
    </row>
    <row r="320">
      <c r="A320" s="312"/>
      <c r="B320" s="344">
        <f t="shared" si="1"/>
        <v>2045</v>
      </c>
      <c r="C320" s="344">
        <v>90.0</v>
      </c>
      <c r="D320" s="369"/>
      <c r="E320" s="344" t="str">
        <f t="shared" si="2"/>
        <v>Saturday</v>
      </c>
      <c r="F320" s="344" t="s">
        <v>554</v>
      </c>
      <c r="G320" s="370"/>
      <c r="H320" s="370"/>
      <c r="I320" s="357">
        <f t="shared" si="3"/>
        <v>0</v>
      </c>
      <c r="J320" s="346">
        <f t="shared" si="4"/>
        <v>0</v>
      </c>
      <c r="K320" s="312"/>
      <c r="L320" s="312"/>
      <c r="M320" s="312"/>
      <c r="N320" s="362"/>
      <c r="O320" s="312"/>
      <c r="P320" s="312"/>
      <c r="S320" s="2">
        <f t="shared" si="5"/>
        <v>0</v>
      </c>
      <c r="AA320" s="312"/>
      <c r="AB320" s="312"/>
      <c r="AC320" s="312"/>
      <c r="AD320" s="312"/>
    </row>
    <row r="321">
      <c r="A321" s="312"/>
      <c r="B321" s="344">
        <f t="shared" si="1"/>
        <v>2045</v>
      </c>
      <c r="C321" s="344">
        <v>90.0</v>
      </c>
      <c r="D321" s="369"/>
      <c r="E321" s="344" t="str">
        <f t="shared" si="2"/>
        <v>Saturday</v>
      </c>
      <c r="F321" s="344" t="s">
        <v>554</v>
      </c>
      <c r="G321" s="370"/>
      <c r="H321" s="370"/>
      <c r="I321" s="357">
        <f t="shared" si="3"/>
        <v>0</v>
      </c>
      <c r="J321" s="346">
        <f t="shared" si="4"/>
        <v>0</v>
      </c>
      <c r="K321" s="312"/>
      <c r="L321" s="312"/>
      <c r="M321" s="312"/>
      <c r="N321" s="362"/>
      <c r="O321" s="312"/>
      <c r="P321" s="312"/>
      <c r="S321" s="2">
        <f t="shared" si="5"/>
        <v>0</v>
      </c>
      <c r="AA321" s="312"/>
      <c r="AB321" s="312"/>
      <c r="AC321" s="312"/>
      <c r="AD321" s="312"/>
    </row>
    <row r="322">
      <c r="A322" s="312"/>
      <c r="B322" s="344">
        <f t="shared" si="1"/>
        <v>2045</v>
      </c>
      <c r="C322" s="344">
        <v>90.0</v>
      </c>
      <c r="D322" s="369"/>
      <c r="E322" s="344" t="str">
        <f t="shared" si="2"/>
        <v>Saturday</v>
      </c>
      <c r="F322" s="344" t="s">
        <v>554</v>
      </c>
      <c r="G322" s="370"/>
      <c r="H322" s="370"/>
      <c r="I322" s="357">
        <f t="shared" si="3"/>
        <v>0</v>
      </c>
      <c r="J322" s="346">
        <f t="shared" si="4"/>
        <v>0</v>
      </c>
      <c r="K322" s="312"/>
      <c r="L322" s="312"/>
      <c r="M322" s="312"/>
      <c r="N322" s="362"/>
      <c r="O322" s="312"/>
      <c r="P322" s="312"/>
      <c r="S322" s="2">
        <f t="shared" si="5"/>
        <v>0</v>
      </c>
      <c r="AA322" s="312"/>
      <c r="AB322" s="312"/>
      <c r="AC322" s="312"/>
      <c r="AD322" s="312"/>
    </row>
    <row r="323">
      <c r="A323" s="312"/>
      <c r="B323" s="344">
        <f t="shared" si="1"/>
        <v>2045</v>
      </c>
      <c r="C323" s="344">
        <v>90.0</v>
      </c>
      <c r="D323" s="369"/>
      <c r="E323" s="344" t="str">
        <f t="shared" si="2"/>
        <v>Saturday</v>
      </c>
      <c r="F323" s="344" t="s">
        <v>554</v>
      </c>
      <c r="G323" s="370"/>
      <c r="H323" s="370"/>
      <c r="I323" s="357">
        <f t="shared" si="3"/>
        <v>0</v>
      </c>
      <c r="J323" s="346">
        <f t="shared" si="4"/>
        <v>0</v>
      </c>
      <c r="K323" s="312"/>
      <c r="L323" s="312"/>
      <c r="M323" s="312"/>
      <c r="N323" s="362"/>
      <c r="O323" s="312"/>
      <c r="P323" s="312"/>
      <c r="S323" s="2">
        <f t="shared" si="5"/>
        <v>0</v>
      </c>
      <c r="AA323" s="312"/>
      <c r="AB323" s="312"/>
      <c r="AC323" s="312"/>
      <c r="AD323" s="312"/>
    </row>
    <row r="324">
      <c r="A324" s="312"/>
      <c r="B324" s="344">
        <f t="shared" si="1"/>
        <v>2045</v>
      </c>
      <c r="C324" s="344">
        <v>90.0</v>
      </c>
      <c r="D324" s="369"/>
      <c r="E324" s="344" t="str">
        <f t="shared" si="2"/>
        <v>Saturday</v>
      </c>
      <c r="F324" s="344" t="s">
        <v>554</v>
      </c>
      <c r="G324" s="370"/>
      <c r="H324" s="370"/>
      <c r="I324" s="357">
        <f t="shared" si="3"/>
        <v>0</v>
      </c>
      <c r="J324" s="346">
        <f t="shared" si="4"/>
        <v>0</v>
      </c>
      <c r="K324" s="312"/>
      <c r="L324" s="312"/>
      <c r="M324" s="312"/>
      <c r="N324" s="362"/>
      <c r="O324" s="312"/>
      <c r="P324" s="312"/>
      <c r="S324" s="2">
        <f t="shared" si="5"/>
        <v>0</v>
      </c>
      <c r="AA324" s="312"/>
      <c r="AB324" s="312"/>
      <c r="AC324" s="312"/>
      <c r="AD324" s="312"/>
    </row>
    <row r="325">
      <c r="A325" s="312"/>
      <c r="B325" s="344">
        <f t="shared" si="1"/>
        <v>2045</v>
      </c>
      <c r="C325" s="344">
        <v>90.0</v>
      </c>
      <c r="D325" s="369"/>
      <c r="E325" s="344" t="str">
        <f t="shared" si="2"/>
        <v>Saturday</v>
      </c>
      <c r="F325" s="344" t="s">
        <v>554</v>
      </c>
      <c r="G325" s="370"/>
      <c r="H325" s="370"/>
      <c r="I325" s="357">
        <f t="shared" si="3"/>
        <v>0</v>
      </c>
      <c r="J325" s="346">
        <f t="shared" si="4"/>
        <v>0</v>
      </c>
      <c r="K325" s="312"/>
      <c r="L325" s="312"/>
      <c r="M325" s="312"/>
      <c r="N325" s="362"/>
      <c r="O325" s="312"/>
      <c r="P325" s="312"/>
      <c r="S325" s="2">
        <f t="shared" si="5"/>
        <v>0</v>
      </c>
      <c r="AA325" s="312"/>
      <c r="AB325" s="312"/>
      <c r="AC325" s="312"/>
      <c r="AD325" s="312"/>
    </row>
    <row r="326">
      <c r="A326" s="312"/>
      <c r="B326" s="344">
        <f t="shared" si="1"/>
        <v>2045</v>
      </c>
      <c r="C326" s="344">
        <v>90.0</v>
      </c>
      <c r="D326" s="369"/>
      <c r="E326" s="344" t="str">
        <f t="shared" si="2"/>
        <v>Saturday</v>
      </c>
      <c r="F326" s="344" t="s">
        <v>554</v>
      </c>
      <c r="G326" s="370"/>
      <c r="H326" s="370"/>
      <c r="I326" s="357">
        <f t="shared" si="3"/>
        <v>0</v>
      </c>
      <c r="J326" s="346">
        <f t="shared" si="4"/>
        <v>0</v>
      </c>
      <c r="K326" s="312"/>
      <c r="L326" s="312"/>
      <c r="M326" s="312"/>
      <c r="N326" s="362"/>
      <c r="O326" s="312"/>
      <c r="P326" s="312"/>
      <c r="S326" s="2">
        <f t="shared" si="5"/>
        <v>0</v>
      </c>
      <c r="AA326" s="312"/>
      <c r="AB326" s="312"/>
      <c r="AC326" s="312"/>
      <c r="AD326" s="312"/>
    </row>
    <row r="327">
      <c r="A327" s="312"/>
      <c r="B327" s="344">
        <f t="shared" si="1"/>
        <v>2045</v>
      </c>
      <c r="C327" s="344">
        <v>90.0</v>
      </c>
      <c r="D327" s="369"/>
      <c r="E327" s="344" t="str">
        <f t="shared" si="2"/>
        <v>Saturday</v>
      </c>
      <c r="F327" s="344" t="s">
        <v>554</v>
      </c>
      <c r="G327" s="370"/>
      <c r="H327" s="370"/>
      <c r="I327" s="357">
        <f t="shared" si="3"/>
        <v>0</v>
      </c>
      <c r="J327" s="346">
        <f t="shared" si="4"/>
        <v>0</v>
      </c>
      <c r="K327" s="312"/>
      <c r="L327" s="312"/>
      <c r="M327" s="312"/>
      <c r="N327" s="362"/>
      <c r="O327" s="312"/>
      <c r="P327" s="312"/>
      <c r="S327" s="2">
        <f t="shared" si="5"/>
        <v>0</v>
      </c>
      <c r="AA327" s="312"/>
      <c r="AB327" s="312"/>
      <c r="AC327" s="312"/>
      <c r="AD327" s="312"/>
    </row>
    <row r="328">
      <c r="A328" s="312"/>
      <c r="B328" s="344">
        <f t="shared" si="1"/>
        <v>2045</v>
      </c>
      <c r="C328" s="344">
        <v>90.0</v>
      </c>
      <c r="D328" s="369"/>
      <c r="E328" s="344" t="str">
        <f t="shared" si="2"/>
        <v>Saturday</v>
      </c>
      <c r="F328" s="344" t="s">
        <v>554</v>
      </c>
      <c r="G328" s="370"/>
      <c r="H328" s="370"/>
      <c r="I328" s="357">
        <f t="shared" si="3"/>
        <v>0</v>
      </c>
      <c r="J328" s="346">
        <f t="shared" si="4"/>
        <v>0</v>
      </c>
      <c r="K328" s="312"/>
      <c r="L328" s="312"/>
      <c r="M328" s="312"/>
      <c r="N328" s="362"/>
      <c r="O328" s="312"/>
      <c r="P328" s="312"/>
      <c r="S328" s="2">
        <f t="shared" si="5"/>
        <v>0</v>
      </c>
      <c r="AA328" s="312"/>
      <c r="AB328" s="312"/>
      <c r="AC328" s="312"/>
      <c r="AD328" s="312"/>
    </row>
    <row r="329">
      <c r="A329" s="312"/>
      <c r="B329" s="344">
        <f t="shared" si="1"/>
        <v>2045</v>
      </c>
      <c r="C329" s="344">
        <v>90.0</v>
      </c>
      <c r="D329" s="369"/>
      <c r="E329" s="344" t="str">
        <f t="shared" si="2"/>
        <v>Saturday</v>
      </c>
      <c r="F329" s="344" t="s">
        <v>554</v>
      </c>
      <c r="G329" s="370"/>
      <c r="H329" s="370"/>
      <c r="I329" s="357">
        <f t="shared" si="3"/>
        <v>0</v>
      </c>
      <c r="J329" s="346">
        <f t="shared" si="4"/>
        <v>0</v>
      </c>
      <c r="K329" s="312"/>
      <c r="L329" s="312"/>
      <c r="M329" s="312"/>
      <c r="N329" s="362"/>
      <c r="O329" s="312"/>
      <c r="P329" s="312"/>
      <c r="S329" s="2">
        <f t="shared" si="5"/>
        <v>0</v>
      </c>
      <c r="AA329" s="312"/>
      <c r="AB329" s="312"/>
      <c r="AC329" s="312"/>
      <c r="AD329" s="312"/>
    </row>
    <row r="330">
      <c r="A330" s="312"/>
      <c r="B330" s="344">
        <f t="shared" si="1"/>
        <v>2045</v>
      </c>
      <c r="C330" s="344">
        <v>90.0</v>
      </c>
      <c r="D330" s="369"/>
      <c r="E330" s="344" t="str">
        <f t="shared" si="2"/>
        <v>Saturday</v>
      </c>
      <c r="F330" s="344" t="s">
        <v>554</v>
      </c>
      <c r="G330" s="370"/>
      <c r="H330" s="370"/>
      <c r="I330" s="357">
        <f t="shared" si="3"/>
        <v>0</v>
      </c>
      <c r="J330" s="346">
        <f t="shared" si="4"/>
        <v>0</v>
      </c>
      <c r="K330" s="312"/>
      <c r="L330" s="312"/>
      <c r="M330" s="312"/>
      <c r="N330" s="362"/>
      <c r="O330" s="312"/>
      <c r="P330" s="312"/>
      <c r="S330" s="2">
        <f t="shared" si="5"/>
        <v>0</v>
      </c>
      <c r="AA330" s="312"/>
      <c r="AB330" s="312"/>
      <c r="AC330" s="312"/>
      <c r="AD330" s="312"/>
    </row>
    <row r="331">
      <c r="A331" s="312"/>
      <c r="B331" s="344">
        <f t="shared" si="1"/>
        <v>2045</v>
      </c>
      <c r="C331" s="344">
        <v>90.0</v>
      </c>
      <c r="D331" s="369"/>
      <c r="E331" s="344" t="str">
        <f t="shared" si="2"/>
        <v>Saturday</v>
      </c>
      <c r="F331" s="344" t="s">
        <v>554</v>
      </c>
      <c r="G331" s="370"/>
      <c r="H331" s="370"/>
      <c r="I331" s="357">
        <f t="shared" si="3"/>
        <v>0</v>
      </c>
      <c r="J331" s="346">
        <f t="shared" si="4"/>
        <v>0</v>
      </c>
      <c r="K331" s="312"/>
      <c r="L331" s="312"/>
      <c r="M331" s="312"/>
      <c r="N331" s="362"/>
      <c r="O331" s="312"/>
      <c r="P331" s="312"/>
      <c r="S331" s="2">
        <f t="shared" si="5"/>
        <v>0</v>
      </c>
      <c r="AA331" s="312"/>
      <c r="AB331" s="312"/>
      <c r="AC331" s="312"/>
      <c r="AD331" s="312"/>
    </row>
    <row r="332">
      <c r="A332" s="312"/>
      <c r="B332" s="344">
        <f t="shared" si="1"/>
        <v>2045</v>
      </c>
      <c r="C332" s="344">
        <v>90.0</v>
      </c>
      <c r="D332" s="369"/>
      <c r="E332" s="344" t="str">
        <f t="shared" si="2"/>
        <v>Saturday</v>
      </c>
      <c r="F332" s="344" t="s">
        <v>554</v>
      </c>
      <c r="G332" s="370"/>
      <c r="H332" s="370"/>
      <c r="I332" s="357">
        <f t="shared" si="3"/>
        <v>0</v>
      </c>
      <c r="J332" s="346">
        <f t="shared" si="4"/>
        <v>0</v>
      </c>
      <c r="K332" s="312"/>
      <c r="L332" s="312"/>
      <c r="M332" s="312"/>
      <c r="N332" s="362"/>
      <c r="O332" s="312"/>
      <c r="P332" s="312"/>
      <c r="S332" s="2">
        <f t="shared" si="5"/>
        <v>0</v>
      </c>
      <c r="AA332" s="312"/>
      <c r="AB332" s="312"/>
      <c r="AC332" s="312"/>
      <c r="AD332" s="312"/>
    </row>
    <row r="333">
      <c r="A333" s="312"/>
      <c r="B333" s="344">
        <f t="shared" si="1"/>
        <v>2045</v>
      </c>
      <c r="C333" s="344">
        <v>90.0</v>
      </c>
      <c r="D333" s="369"/>
      <c r="E333" s="344" t="str">
        <f t="shared" si="2"/>
        <v>Saturday</v>
      </c>
      <c r="F333" s="344" t="s">
        <v>554</v>
      </c>
      <c r="G333" s="370"/>
      <c r="H333" s="370"/>
      <c r="I333" s="357">
        <f t="shared" si="3"/>
        <v>0</v>
      </c>
      <c r="J333" s="346">
        <f t="shared" si="4"/>
        <v>0</v>
      </c>
      <c r="K333" s="312"/>
      <c r="L333" s="312"/>
      <c r="M333" s="312"/>
      <c r="N333" s="362"/>
      <c r="O333" s="312"/>
      <c r="P333" s="312"/>
      <c r="S333" s="2">
        <f t="shared" si="5"/>
        <v>0</v>
      </c>
      <c r="AA333" s="312"/>
      <c r="AB333" s="312"/>
      <c r="AC333" s="312"/>
      <c r="AD333" s="312"/>
    </row>
    <row r="334">
      <c r="A334" s="312"/>
      <c r="B334" s="344">
        <f t="shared" si="1"/>
        <v>2045</v>
      </c>
      <c r="C334" s="344">
        <v>90.0</v>
      </c>
      <c r="D334" s="369"/>
      <c r="E334" s="344" t="str">
        <f t="shared" si="2"/>
        <v>Saturday</v>
      </c>
      <c r="F334" s="344" t="s">
        <v>554</v>
      </c>
      <c r="G334" s="370"/>
      <c r="H334" s="370"/>
      <c r="I334" s="357">
        <f t="shared" si="3"/>
        <v>0</v>
      </c>
      <c r="J334" s="346">
        <f t="shared" si="4"/>
        <v>0</v>
      </c>
      <c r="K334" s="312"/>
      <c r="L334" s="312"/>
      <c r="M334" s="312"/>
      <c r="N334" s="362"/>
      <c r="O334" s="312"/>
      <c r="P334" s="312"/>
      <c r="S334" s="2">
        <f t="shared" si="5"/>
        <v>0</v>
      </c>
      <c r="AA334" s="312"/>
      <c r="AB334" s="312"/>
      <c r="AC334" s="312"/>
      <c r="AD334" s="312"/>
    </row>
    <row r="335">
      <c r="A335" s="312"/>
      <c r="B335" s="344">
        <f t="shared" si="1"/>
        <v>2045</v>
      </c>
      <c r="C335" s="344">
        <v>90.0</v>
      </c>
      <c r="D335" s="369"/>
      <c r="E335" s="344" t="str">
        <f t="shared" si="2"/>
        <v>Saturday</v>
      </c>
      <c r="F335" s="344" t="s">
        <v>554</v>
      </c>
      <c r="G335" s="370"/>
      <c r="H335" s="370"/>
      <c r="I335" s="357">
        <f t="shared" si="3"/>
        <v>0</v>
      </c>
      <c r="J335" s="346">
        <f t="shared" si="4"/>
        <v>0</v>
      </c>
      <c r="K335" s="312"/>
      <c r="L335" s="312"/>
      <c r="M335" s="312"/>
      <c r="N335" s="362"/>
      <c r="O335" s="312"/>
      <c r="P335" s="312"/>
      <c r="S335" s="2">
        <f t="shared" si="5"/>
        <v>0</v>
      </c>
      <c r="AA335" s="312"/>
      <c r="AB335" s="312"/>
      <c r="AC335" s="312"/>
      <c r="AD335" s="312"/>
    </row>
    <row r="336">
      <c r="A336" s="312"/>
      <c r="B336" s="344">
        <f t="shared" si="1"/>
        <v>2045</v>
      </c>
      <c r="C336" s="344">
        <v>90.0</v>
      </c>
      <c r="D336" s="369"/>
      <c r="E336" s="344" t="str">
        <f t="shared" si="2"/>
        <v>Saturday</v>
      </c>
      <c r="F336" s="344" t="s">
        <v>554</v>
      </c>
      <c r="G336" s="370"/>
      <c r="H336" s="370"/>
      <c r="I336" s="357">
        <f t="shared" si="3"/>
        <v>0</v>
      </c>
      <c r="J336" s="346">
        <f t="shared" si="4"/>
        <v>0</v>
      </c>
      <c r="K336" s="312"/>
      <c r="L336" s="312"/>
      <c r="M336" s="312"/>
      <c r="N336" s="362"/>
      <c r="O336" s="312"/>
      <c r="P336" s="312"/>
      <c r="S336" s="2">
        <f t="shared" si="5"/>
        <v>0</v>
      </c>
      <c r="AA336" s="312"/>
      <c r="AB336" s="312"/>
      <c r="AC336" s="312"/>
      <c r="AD336" s="312"/>
    </row>
    <row r="337">
      <c r="A337" s="312"/>
      <c r="B337" s="344">
        <f t="shared" si="1"/>
        <v>2045</v>
      </c>
      <c r="C337" s="344">
        <v>90.0</v>
      </c>
      <c r="D337" s="369"/>
      <c r="E337" s="344" t="str">
        <f t="shared" si="2"/>
        <v>Saturday</v>
      </c>
      <c r="F337" s="344" t="s">
        <v>554</v>
      </c>
      <c r="G337" s="370"/>
      <c r="H337" s="370"/>
      <c r="I337" s="357">
        <f t="shared" si="3"/>
        <v>0</v>
      </c>
      <c r="J337" s="346">
        <f t="shared" si="4"/>
        <v>0</v>
      </c>
      <c r="K337" s="312"/>
      <c r="L337" s="312"/>
      <c r="M337" s="312"/>
      <c r="N337" s="362"/>
      <c r="O337" s="312"/>
      <c r="P337" s="312"/>
      <c r="S337" s="2">
        <f t="shared" si="5"/>
        <v>0</v>
      </c>
      <c r="AA337" s="312"/>
      <c r="AB337" s="312"/>
      <c r="AC337" s="312"/>
      <c r="AD337" s="312"/>
    </row>
    <row r="338">
      <c r="A338" s="312"/>
      <c r="B338" s="344">
        <f t="shared" si="1"/>
        <v>2045</v>
      </c>
      <c r="C338" s="344">
        <v>90.0</v>
      </c>
      <c r="D338" s="369"/>
      <c r="E338" s="344" t="str">
        <f t="shared" si="2"/>
        <v>Saturday</v>
      </c>
      <c r="F338" s="344" t="s">
        <v>554</v>
      </c>
      <c r="G338" s="370"/>
      <c r="H338" s="370"/>
      <c r="I338" s="357">
        <f t="shared" si="3"/>
        <v>0</v>
      </c>
      <c r="J338" s="346">
        <f t="shared" si="4"/>
        <v>0</v>
      </c>
      <c r="K338" s="312"/>
      <c r="L338" s="312"/>
      <c r="M338" s="312"/>
      <c r="N338" s="362"/>
      <c r="O338" s="312"/>
      <c r="P338" s="312"/>
      <c r="S338" s="2">
        <f t="shared" si="5"/>
        <v>0</v>
      </c>
      <c r="AA338" s="312"/>
      <c r="AB338" s="312"/>
      <c r="AC338" s="312"/>
      <c r="AD338" s="312"/>
    </row>
    <row r="339">
      <c r="A339" s="312"/>
      <c r="B339" s="344">
        <f t="shared" si="1"/>
        <v>2045</v>
      </c>
      <c r="C339" s="344">
        <v>90.0</v>
      </c>
      <c r="D339" s="369"/>
      <c r="E339" s="344" t="str">
        <f t="shared" si="2"/>
        <v>Saturday</v>
      </c>
      <c r="F339" s="344" t="s">
        <v>554</v>
      </c>
      <c r="G339" s="370"/>
      <c r="H339" s="370"/>
      <c r="I339" s="357">
        <f t="shared" si="3"/>
        <v>0</v>
      </c>
      <c r="J339" s="346">
        <f t="shared" si="4"/>
        <v>0</v>
      </c>
      <c r="K339" s="312"/>
      <c r="L339" s="312"/>
      <c r="M339" s="312"/>
      <c r="N339" s="362"/>
      <c r="O339" s="312"/>
      <c r="P339" s="312"/>
      <c r="S339" s="2">
        <f t="shared" si="5"/>
        <v>0</v>
      </c>
      <c r="AA339" s="312"/>
      <c r="AB339" s="312"/>
      <c r="AC339" s="312"/>
      <c r="AD339" s="312"/>
    </row>
    <row r="340">
      <c r="A340" s="312"/>
      <c r="B340" s="344">
        <f t="shared" si="1"/>
        <v>2045</v>
      </c>
      <c r="C340" s="344">
        <v>90.0</v>
      </c>
      <c r="D340" s="369"/>
      <c r="E340" s="344" t="str">
        <f t="shared" si="2"/>
        <v>Saturday</v>
      </c>
      <c r="F340" s="344" t="s">
        <v>554</v>
      </c>
      <c r="G340" s="370"/>
      <c r="H340" s="370"/>
      <c r="I340" s="357">
        <f t="shared" si="3"/>
        <v>0</v>
      </c>
      <c r="J340" s="346">
        <f t="shared" si="4"/>
        <v>0</v>
      </c>
      <c r="K340" s="312"/>
      <c r="L340" s="312"/>
      <c r="M340" s="312"/>
      <c r="N340" s="362"/>
      <c r="O340" s="312"/>
      <c r="P340" s="312"/>
      <c r="S340" s="2">
        <f t="shared" si="5"/>
        <v>0</v>
      </c>
      <c r="AA340" s="312"/>
      <c r="AB340" s="312"/>
      <c r="AC340" s="312"/>
      <c r="AD340" s="312"/>
    </row>
    <row r="341">
      <c r="A341" s="312"/>
      <c r="B341" s="344">
        <f t="shared" si="1"/>
        <v>2045</v>
      </c>
      <c r="C341" s="344">
        <v>90.0</v>
      </c>
      <c r="D341" s="369"/>
      <c r="E341" s="344" t="str">
        <f t="shared" si="2"/>
        <v>Saturday</v>
      </c>
      <c r="F341" s="344" t="s">
        <v>554</v>
      </c>
      <c r="G341" s="370"/>
      <c r="H341" s="370"/>
      <c r="I341" s="357">
        <f t="shared" si="3"/>
        <v>0</v>
      </c>
      <c r="J341" s="346">
        <f t="shared" si="4"/>
        <v>0</v>
      </c>
      <c r="K341" s="312"/>
      <c r="L341" s="312"/>
      <c r="M341" s="312"/>
      <c r="N341" s="362"/>
      <c r="O341" s="312"/>
      <c r="P341" s="312"/>
      <c r="S341" s="2">
        <f t="shared" si="5"/>
        <v>0</v>
      </c>
      <c r="AA341" s="312"/>
      <c r="AB341" s="312"/>
      <c r="AC341" s="312"/>
      <c r="AD341" s="312"/>
    </row>
    <row r="342">
      <c r="A342" s="312"/>
      <c r="B342" s="344">
        <f t="shared" si="1"/>
        <v>2045</v>
      </c>
      <c r="C342" s="344">
        <v>90.0</v>
      </c>
      <c r="D342" s="369"/>
      <c r="E342" s="344" t="str">
        <f t="shared" si="2"/>
        <v>Saturday</v>
      </c>
      <c r="F342" s="344" t="s">
        <v>554</v>
      </c>
      <c r="G342" s="370"/>
      <c r="H342" s="370"/>
      <c r="I342" s="357">
        <f t="shared" si="3"/>
        <v>0</v>
      </c>
      <c r="J342" s="346">
        <f t="shared" si="4"/>
        <v>0</v>
      </c>
      <c r="K342" s="312"/>
      <c r="L342" s="312"/>
      <c r="M342" s="312"/>
      <c r="N342" s="362"/>
      <c r="O342" s="312"/>
      <c r="P342" s="312"/>
      <c r="S342" s="2">
        <f t="shared" si="5"/>
        <v>0</v>
      </c>
      <c r="AA342" s="312"/>
      <c r="AB342" s="312"/>
      <c r="AC342" s="312"/>
      <c r="AD342" s="312"/>
    </row>
    <row r="343">
      <c r="A343" s="312"/>
      <c r="B343" s="344">
        <f t="shared" si="1"/>
        <v>2045</v>
      </c>
      <c r="C343" s="344">
        <v>90.0</v>
      </c>
      <c r="D343" s="369"/>
      <c r="E343" s="344" t="str">
        <f t="shared" si="2"/>
        <v>Saturday</v>
      </c>
      <c r="F343" s="344" t="s">
        <v>554</v>
      </c>
      <c r="G343" s="370"/>
      <c r="H343" s="370"/>
      <c r="I343" s="357">
        <f t="shared" si="3"/>
        <v>0</v>
      </c>
      <c r="J343" s="346">
        <f t="shared" si="4"/>
        <v>0</v>
      </c>
      <c r="K343" s="312"/>
      <c r="L343" s="312"/>
      <c r="M343" s="312"/>
      <c r="N343" s="362"/>
      <c r="O343" s="312"/>
      <c r="P343" s="312"/>
      <c r="S343" s="2">
        <f t="shared" si="5"/>
        <v>0</v>
      </c>
      <c r="AA343" s="312"/>
      <c r="AB343" s="312"/>
      <c r="AC343" s="312"/>
      <c r="AD343" s="312"/>
    </row>
    <row r="344">
      <c r="A344" s="312"/>
      <c r="B344" s="344">
        <f t="shared" si="1"/>
        <v>2045</v>
      </c>
      <c r="C344" s="344">
        <v>90.0</v>
      </c>
      <c r="D344" s="369"/>
      <c r="E344" s="344" t="str">
        <f t="shared" si="2"/>
        <v>Saturday</v>
      </c>
      <c r="F344" s="344" t="s">
        <v>554</v>
      </c>
      <c r="G344" s="370"/>
      <c r="H344" s="370"/>
      <c r="I344" s="357">
        <f t="shared" si="3"/>
        <v>0</v>
      </c>
      <c r="J344" s="346">
        <f t="shared" si="4"/>
        <v>0</v>
      </c>
      <c r="K344" s="312"/>
      <c r="L344" s="312"/>
      <c r="M344" s="312"/>
      <c r="N344" s="362"/>
      <c r="O344" s="312"/>
      <c r="P344" s="312"/>
      <c r="S344" s="2">
        <f t="shared" si="5"/>
        <v>0</v>
      </c>
      <c r="AA344" s="312"/>
      <c r="AB344" s="312"/>
      <c r="AC344" s="312"/>
      <c r="AD344" s="312"/>
    </row>
    <row r="345">
      <c r="A345" s="312"/>
      <c r="B345" s="344">
        <f t="shared" si="1"/>
        <v>2045</v>
      </c>
      <c r="C345" s="344">
        <v>90.0</v>
      </c>
      <c r="D345" s="369"/>
      <c r="E345" s="344" t="str">
        <f t="shared" si="2"/>
        <v>Saturday</v>
      </c>
      <c r="F345" s="344" t="s">
        <v>554</v>
      </c>
      <c r="G345" s="370"/>
      <c r="H345" s="370"/>
      <c r="I345" s="357">
        <f t="shared" si="3"/>
        <v>0</v>
      </c>
      <c r="J345" s="346">
        <f t="shared" si="4"/>
        <v>0</v>
      </c>
      <c r="K345" s="312"/>
      <c r="L345" s="312"/>
      <c r="M345" s="312"/>
      <c r="N345" s="362"/>
      <c r="O345" s="312"/>
      <c r="P345" s="312"/>
      <c r="S345" s="2">
        <f t="shared" si="5"/>
        <v>0</v>
      </c>
      <c r="AA345" s="312"/>
      <c r="AB345" s="312"/>
      <c r="AC345" s="312"/>
      <c r="AD345" s="312"/>
    </row>
    <row r="346">
      <c r="A346" s="312"/>
      <c r="B346" s="344">
        <f t="shared" si="1"/>
        <v>2045</v>
      </c>
      <c r="C346" s="344">
        <v>90.0</v>
      </c>
      <c r="D346" s="369"/>
      <c r="E346" s="344" t="str">
        <f t="shared" si="2"/>
        <v>Saturday</v>
      </c>
      <c r="F346" s="344" t="s">
        <v>554</v>
      </c>
      <c r="G346" s="370"/>
      <c r="H346" s="370"/>
      <c r="I346" s="357">
        <f t="shared" si="3"/>
        <v>0</v>
      </c>
      <c r="J346" s="346">
        <f t="shared" si="4"/>
        <v>0</v>
      </c>
      <c r="K346" s="312"/>
      <c r="L346" s="312"/>
      <c r="M346" s="312"/>
      <c r="N346" s="362"/>
      <c r="O346" s="312"/>
      <c r="P346" s="312"/>
      <c r="S346" s="2">
        <f t="shared" si="5"/>
        <v>0</v>
      </c>
      <c r="AA346" s="312"/>
      <c r="AB346" s="312"/>
      <c r="AC346" s="312"/>
      <c r="AD346" s="312"/>
    </row>
    <row r="347">
      <c r="A347" s="312"/>
      <c r="B347" s="344">
        <f t="shared" si="1"/>
        <v>2045</v>
      </c>
      <c r="C347" s="344">
        <v>90.0</v>
      </c>
      <c r="D347" s="369"/>
      <c r="E347" s="344" t="str">
        <f t="shared" si="2"/>
        <v>Saturday</v>
      </c>
      <c r="F347" s="344" t="s">
        <v>554</v>
      </c>
      <c r="G347" s="370"/>
      <c r="H347" s="370"/>
      <c r="I347" s="357">
        <f t="shared" si="3"/>
        <v>0</v>
      </c>
      <c r="J347" s="346">
        <f t="shared" si="4"/>
        <v>0</v>
      </c>
      <c r="K347" s="312"/>
      <c r="L347" s="312"/>
      <c r="M347" s="312"/>
      <c r="N347" s="362"/>
      <c r="O347" s="312"/>
      <c r="P347" s="312"/>
      <c r="S347" s="2">
        <f t="shared" si="5"/>
        <v>0</v>
      </c>
      <c r="AA347" s="312"/>
      <c r="AB347" s="312"/>
      <c r="AC347" s="312"/>
      <c r="AD347" s="312"/>
    </row>
    <row r="348">
      <c r="A348" s="312"/>
      <c r="B348" s="344">
        <f t="shared" si="1"/>
        <v>2045</v>
      </c>
      <c r="C348" s="344">
        <v>90.0</v>
      </c>
      <c r="D348" s="369"/>
      <c r="E348" s="344" t="str">
        <f t="shared" si="2"/>
        <v>Saturday</v>
      </c>
      <c r="F348" s="344" t="s">
        <v>554</v>
      </c>
      <c r="G348" s="370"/>
      <c r="H348" s="370"/>
      <c r="I348" s="357">
        <f t="shared" si="3"/>
        <v>0</v>
      </c>
      <c r="J348" s="346">
        <f t="shared" si="4"/>
        <v>0</v>
      </c>
      <c r="K348" s="312"/>
      <c r="L348" s="312"/>
      <c r="M348" s="312"/>
      <c r="N348" s="362"/>
      <c r="O348" s="312"/>
      <c r="P348" s="312"/>
      <c r="S348" s="2">
        <f t="shared" si="5"/>
        <v>0</v>
      </c>
      <c r="AA348" s="312"/>
      <c r="AB348" s="312"/>
      <c r="AC348" s="312"/>
      <c r="AD348" s="312"/>
    </row>
    <row r="349">
      <c r="A349" s="312"/>
      <c r="B349" s="344">
        <f t="shared" si="1"/>
        <v>2045</v>
      </c>
      <c r="C349" s="344">
        <v>90.0</v>
      </c>
      <c r="D349" s="369"/>
      <c r="E349" s="344" t="str">
        <f t="shared" si="2"/>
        <v>Saturday</v>
      </c>
      <c r="F349" s="344" t="s">
        <v>554</v>
      </c>
      <c r="G349" s="370"/>
      <c r="H349" s="370"/>
      <c r="I349" s="357">
        <f t="shared" si="3"/>
        <v>0</v>
      </c>
      <c r="J349" s="346">
        <f t="shared" si="4"/>
        <v>0</v>
      </c>
      <c r="K349" s="312"/>
      <c r="L349" s="312"/>
      <c r="M349" s="312"/>
      <c r="N349" s="362"/>
      <c r="O349" s="312"/>
      <c r="P349" s="312"/>
      <c r="S349" s="2">
        <f t="shared" si="5"/>
        <v>0</v>
      </c>
      <c r="AA349" s="312"/>
      <c r="AB349" s="312"/>
      <c r="AC349" s="312"/>
      <c r="AD349" s="312"/>
    </row>
    <row r="350">
      <c r="A350" s="312"/>
      <c r="B350" s="344">
        <f t="shared" si="1"/>
        <v>2045</v>
      </c>
      <c r="C350" s="344">
        <v>90.0</v>
      </c>
      <c r="D350" s="369"/>
      <c r="E350" s="344" t="str">
        <f t="shared" si="2"/>
        <v>Saturday</v>
      </c>
      <c r="F350" s="344" t="s">
        <v>554</v>
      </c>
      <c r="G350" s="370"/>
      <c r="H350" s="370"/>
      <c r="I350" s="357">
        <f t="shared" si="3"/>
        <v>0</v>
      </c>
      <c r="J350" s="346">
        <f t="shared" si="4"/>
        <v>0</v>
      </c>
      <c r="K350" s="312"/>
      <c r="L350" s="312"/>
      <c r="M350" s="312"/>
      <c r="N350" s="362"/>
      <c r="O350" s="312"/>
      <c r="P350" s="312"/>
      <c r="S350" s="2">
        <f t="shared" si="5"/>
        <v>0</v>
      </c>
      <c r="AA350" s="312"/>
      <c r="AB350" s="312"/>
      <c r="AC350" s="312"/>
      <c r="AD350" s="312"/>
    </row>
    <row r="351">
      <c r="A351" s="312"/>
      <c r="B351" s="344">
        <f t="shared" si="1"/>
        <v>2045</v>
      </c>
      <c r="C351" s="344">
        <v>90.0</v>
      </c>
      <c r="D351" s="369"/>
      <c r="E351" s="344" t="str">
        <f t="shared" si="2"/>
        <v>Saturday</v>
      </c>
      <c r="F351" s="344" t="s">
        <v>554</v>
      </c>
      <c r="G351" s="370"/>
      <c r="H351" s="370"/>
      <c r="I351" s="357">
        <f t="shared" si="3"/>
        <v>0</v>
      </c>
      <c r="J351" s="346">
        <f t="shared" si="4"/>
        <v>0</v>
      </c>
      <c r="K351" s="312"/>
      <c r="L351" s="312"/>
      <c r="M351" s="312"/>
      <c r="N351" s="362"/>
      <c r="O351" s="312"/>
      <c r="P351" s="312"/>
      <c r="S351" s="2">
        <f t="shared" si="5"/>
        <v>0</v>
      </c>
      <c r="AA351" s="312"/>
      <c r="AB351" s="312"/>
      <c r="AC351" s="312"/>
      <c r="AD351" s="312"/>
    </row>
    <row r="352">
      <c r="A352" s="312"/>
      <c r="B352" s="344">
        <f t="shared" si="1"/>
        <v>2045</v>
      </c>
      <c r="C352" s="344">
        <v>90.0</v>
      </c>
      <c r="D352" s="369"/>
      <c r="E352" s="344" t="str">
        <f t="shared" si="2"/>
        <v>Saturday</v>
      </c>
      <c r="F352" s="344" t="s">
        <v>554</v>
      </c>
      <c r="G352" s="370"/>
      <c r="H352" s="370"/>
      <c r="I352" s="357">
        <f t="shared" si="3"/>
        <v>0</v>
      </c>
      <c r="J352" s="346">
        <f t="shared" si="4"/>
        <v>0</v>
      </c>
      <c r="K352" s="312"/>
      <c r="L352" s="312"/>
      <c r="M352" s="312"/>
      <c r="N352" s="362"/>
      <c r="O352" s="312"/>
      <c r="P352" s="312"/>
      <c r="S352" s="2">
        <f t="shared" si="5"/>
        <v>0</v>
      </c>
      <c r="AA352" s="312"/>
      <c r="AB352" s="312"/>
      <c r="AC352" s="312"/>
      <c r="AD352" s="312"/>
    </row>
    <row r="353">
      <c r="A353" s="312"/>
      <c r="B353" s="344">
        <f t="shared" si="1"/>
        <v>2045</v>
      </c>
      <c r="C353" s="344">
        <v>90.0</v>
      </c>
      <c r="D353" s="369"/>
      <c r="E353" s="344" t="str">
        <f t="shared" si="2"/>
        <v>Saturday</v>
      </c>
      <c r="F353" s="344" t="s">
        <v>554</v>
      </c>
      <c r="G353" s="370"/>
      <c r="H353" s="370"/>
      <c r="I353" s="357">
        <f t="shared" si="3"/>
        <v>0</v>
      </c>
      <c r="J353" s="346">
        <f t="shared" si="4"/>
        <v>0</v>
      </c>
      <c r="K353" s="312"/>
      <c r="L353" s="312"/>
      <c r="M353" s="312"/>
      <c r="N353" s="362"/>
      <c r="O353" s="312"/>
      <c r="P353" s="312"/>
      <c r="S353" s="2">
        <f t="shared" si="5"/>
        <v>0</v>
      </c>
      <c r="AA353" s="312"/>
      <c r="AB353" s="312"/>
      <c r="AC353" s="312"/>
      <c r="AD353" s="312"/>
    </row>
    <row r="354">
      <c r="A354" s="312"/>
      <c r="B354" s="344">
        <f t="shared" si="1"/>
        <v>2045</v>
      </c>
      <c r="C354" s="344">
        <v>90.0</v>
      </c>
      <c r="D354" s="369"/>
      <c r="E354" s="344" t="str">
        <f t="shared" si="2"/>
        <v>Saturday</v>
      </c>
      <c r="F354" s="344" t="s">
        <v>554</v>
      </c>
      <c r="G354" s="370"/>
      <c r="H354" s="370"/>
      <c r="I354" s="357">
        <f t="shared" si="3"/>
        <v>0</v>
      </c>
      <c r="J354" s="346">
        <f t="shared" si="4"/>
        <v>0</v>
      </c>
      <c r="K354" s="312"/>
      <c r="L354" s="312"/>
      <c r="M354" s="312"/>
      <c r="N354" s="362"/>
      <c r="O354" s="312"/>
      <c r="P354" s="312"/>
      <c r="S354" s="2">
        <f t="shared" si="5"/>
        <v>0</v>
      </c>
      <c r="AA354" s="312"/>
      <c r="AB354" s="312"/>
      <c r="AC354" s="312"/>
      <c r="AD354" s="312"/>
    </row>
    <row r="355">
      <c r="A355" s="312"/>
      <c r="B355" s="344">
        <f t="shared" si="1"/>
        <v>2045</v>
      </c>
      <c r="C355" s="344">
        <v>90.0</v>
      </c>
      <c r="D355" s="369"/>
      <c r="E355" s="344" t="str">
        <f t="shared" si="2"/>
        <v>Saturday</v>
      </c>
      <c r="F355" s="344" t="s">
        <v>554</v>
      </c>
      <c r="G355" s="370"/>
      <c r="H355" s="370"/>
      <c r="I355" s="357">
        <f t="shared" si="3"/>
        <v>0</v>
      </c>
      <c r="J355" s="346">
        <f t="shared" si="4"/>
        <v>0</v>
      </c>
      <c r="K355" s="312"/>
      <c r="L355" s="312"/>
      <c r="M355" s="312"/>
      <c r="N355" s="362"/>
      <c r="O355" s="312"/>
      <c r="P355" s="312"/>
      <c r="S355" s="2">
        <f t="shared" si="5"/>
        <v>0</v>
      </c>
      <c r="AA355" s="312"/>
      <c r="AB355" s="312"/>
      <c r="AC355" s="312"/>
      <c r="AD355" s="312"/>
    </row>
    <row r="356">
      <c r="A356" s="312"/>
      <c r="B356" s="344">
        <f t="shared" si="1"/>
        <v>2045</v>
      </c>
      <c r="C356" s="344">
        <v>90.0</v>
      </c>
      <c r="D356" s="369"/>
      <c r="E356" s="344" t="str">
        <f t="shared" si="2"/>
        <v>Saturday</v>
      </c>
      <c r="F356" s="344" t="s">
        <v>554</v>
      </c>
      <c r="G356" s="370"/>
      <c r="H356" s="370"/>
      <c r="I356" s="357">
        <f t="shared" si="3"/>
        <v>0</v>
      </c>
      <c r="J356" s="346">
        <f t="shared" si="4"/>
        <v>0</v>
      </c>
      <c r="K356" s="312"/>
      <c r="L356" s="312"/>
      <c r="M356" s="312"/>
      <c r="N356" s="362"/>
      <c r="O356" s="312"/>
      <c r="P356" s="312"/>
      <c r="S356" s="2">
        <f t="shared" si="5"/>
        <v>0</v>
      </c>
      <c r="AA356" s="312"/>
      <c r="AB356" s="312"/>
      <c r="AC356" s="312"/>
      <c r="AD356" s="312"/>
    </row>
    <row r="357">
      <c r="A357" s="312"/>
      <c r="B357" s="344">
        <f t="shared" si="1"/>
        <v>2045</v>
      </c>
      <c r="C357" s="344">
        <v>90.0</v>
      </c>
      <c r="D357" s="369"/>
      <c r="E357" s="344" t="str">
        <f t="shared" si="2"/>
        <v>Saturday</v>
      </c>
      <c r="F357" s="344" t="s">
        <v>554</v>
      </c>
      <c r="G357" s="370"/>
      <c r="H357" s="370"/>
      <c r="I357" s="357">
        <f t="shared" si="3"/>
        <v>0</v>
      </c>
      <c r="J357" s="346">
        <f t="shared" si="4"/>
        <v>0</v>
      </c>
      <c r="K357" s="312"/>
      <c r="L357" s="312"/>
      <c r="M357" s="312"/>
      <c r="N357" s="362"/>
      <c r="O357" s="312"/>
      <c r="P357" s="312"/>
      <c r="S357" s="2">
        <f t="shared" si="5"/>
        <v>0</v>
      </c>
      <c r="AA357" s="312"/>
      <c r="AB357" s="312"/>
      <c r="AC357" s="312"/>
      <c r="AD357" s="312"/>
    </row>
    <row r="358">
      <c r="A358" s="312"/>
      <c r="B358" s="344">
        <f t="shared" si="1"/>
        <v>2045</v>
      </c>
      <c r="C358" s="344">
        <v>90.0</v>
      </c>
      <c r="D358" s="369"/>
      <c r="E358" s="344" t="str">
        <f t="shared" si="2"/>
        <v>Saturday</v>
      </c>
      <c r="F358" s="344" t="s">
        <v>554</v>
      </c>
      <c r="G358" s="370"/>
      <c r="H358" s="370"/>
      <c r="I358" s="357">
        <f t="shared" si="3"/>
        <v>0</v>
      </c>
      <c r="J358" s="346">
        <f t="shared" si="4"/>
        <v>0</v>
      </c>
      <c r="K358" s="312"/>
      <c r="L358" s="312"/>
      <c r="M358" s="312"/>
      <c r="N358" s="362"/>
      <c r="O358" s="312"/>
      <c r="P358" s="312"/>
      <c r="S358" s="2">
        <f t="shared" si="5"/>
        <v>0</v>
      </c>
      <c r="AA358" s="312"/>
      <c r="AB358" s="312"/>
      <c r="AC358" s="312"/>
      <c r="AD358" s="312"/>
    </row>
    <row r="359">
      <c r="A359" s="312"/>
      <c r="B359" s="344">
        <f t="shared" si="1"/>
        <v>2045</v>
      </c>
      <c r="C359" s="344">
        <v>90.0</v>
      </c>
      <c r="D359" s="369"/>
      <c r="E359" s="344" t="str">
        <f t="shared" si="2"/>
        <v>Saturday</v>
      </c>
      <c r="F359" s="344" t="s">
        <v>554</v>
      </c>
      <c r="G359" s="370"/>
      <c r="H359" s="370"/>
      <c r="I359" s="357">
        <f t="shared" si="3"/>
        <v>0</v>
      </c>
      <c r="J359" s="346">
        <f t="shared" si="4"/>
        <v>0</v>
      </c>
      <c r="K359" s="312"/>
      <c r="L359" s="312"/>
      <c r="M359" s="312"/>
      <c r="N359" s="362"/>
      <c r="O359" s="312"/>
      <c r="P359" s="312"/>
      <c r="S359" s="2">
        <f t="shared" si="5"/>
        <v>0</v>
      </c>
      <c r="AA359" s="312"/>
      <c r="AB359" s="312"/>
      <c r="AC359" s="312"/>
      <c r="AD359" s="312"/>
    </row>
    <row r="360">
      <c r="A360" s="312"/>
      <c r="B360" s="344">
        <f t="shared" si="1"/>
        <v>2045</v>
      </c>
      <c r="C360" s="344">
        <v>90.0</v>
      </c>
      <c r="D360" s="369"/>
      <c r="E360" s="344" t="str">
        <f t="shared" si="2"/>
        <v>Saturday</v>
      </c>
      <c r="F360" s="344" t="s">
        <v>554</v>
      </c>
      <c r="G360" s="370"/>
      <c r="H360" s="370"/>
      <c r="I360" s="357">
        <f t="shared" si="3"/>
        <v>0</v>
      </c>
      <c r="J360" s="346">
        <f t="shared" si="4"/>
        <v>0</v>
      </c>
      <c r="K360" s="312"/>
      <c r="L360" s="312"/>
      <c r="M360" s="312"/>
      <c r="N360" s="362"/>
      <c r="O360" s="312"/>
      <c r="P360" s="312"/>
      <c r="S360" s="2">
        <f t="shared" si="5"/>
        <v>0</v>
      </c>
      <c r="AA360" s="312"/>
      <c r="AB360" s="312"/>
      <c r="AC360" s="312"/>
      <c r="AD360" s="312"/>
    </row>
    <row r="361">
      <c r="A361" s="312"/>
      <c r="B361" s="344">
        <f t="shared" si="1"/>
        <v>2045</v>
      </c>
      <c r="C361" s="344">
        <v>90.0</v>
      </c>
      <c r="D361" s="369"/>
      <c r="E361" s="344" t="str">
        <f t="shared" si="2"/>
        <v>Saturday</v>
      </c>
      <c r="F361" s="344" t="s">
        <v>554</v>
      </c>
      <c r="G361" s="370"/>
      <c r="H361" s="370"/>
      <c r="I361" s="357">
        <f t="shared" si="3"/>
        <v>0</v>
      </c>
      <c r="J361" s="346">
        <f t="shared" si="4"/>
        <v>0</v>
      </c>
      <c r="K361" s="312"/>
      <c r="L361" s="312"/>
      <c r="M361" s="312"/>
      <c r="N361" s="362"/>
      <c r="O361" s="312"/>
      <c r="P361" s="312"/>
      <c r="S361" s="2">
        <f t="shared" si="5"/>
        <v>0</v>
      </c>
      <c r="AA361" s="312"/>
      <c r="AB361" s="312"/>
      <c r="AC361" s="312"/>
      <c r="AD361" s="312"/>
    </row>
    <row r="362">
      <c r="A362" s="312"/>
      <c r="B362" s="344">
        <f t="shared" si="1"/>
        <v>2045</v>
      </c>
      <c r="C362" s="344">
        <v>90.0</v>
      </c>
      <c r="D362" s="369"/>
      <c r="E362" s="344" t="str">
        <f t="shared" si="2"/>
        <v>Saturday</v>
      </c>
      <c r="F362" s="344" t="s">
        <v>554</v>
      </c>
      <c r="G362" s="370"/>
      <c r="H362" s="370"/>
      <c r="I362" s="357">
        <f t="shared" si="3"/>
        <v>0</v>
      </c>
      <c r="J362" s="346">
        <f t="shared" si="4"/>
        <v>0</v>
      </c>
      <c r="K362" s="312"/>
      <c r="L362" s="312"/>
      <c r="M362" s="312"/>
      <c r="N362" s="362"/>
      <c r="O362" s="312"/>
      <c r="P362" s="312"/>
      <c r="S362" s="2">
        <f t="shared" si="5"/>
        <v>0</v>
      </c>
      <c r="AA362" s="312"/>
      <c r="AB362" s="312"/>
      <c r="AC362" s="312"/>
      <c r="AD362" s="312"/>
    </row>
    <row r="363">
      <c r="A363" s="312"/>
      <c r="B363" s="344">
        <f t="shared" si="1"/>
        <v>2045</v>
      </c>
      <c r="C363" s="344">
        <v>90.0</v>
      </c>
      <c r="D363" s="369"/>
      <c r="E363" s="344" t="str">
        <f t="shared" si="2"/>
        <v>Saturday</v>
      </c>
      <c r="F363" s="344" t="s">
        <v>554</v>
      </c>
      <c r="G363" s="370"/>
      <c r="H363" s="370"/>
      <c r="I363" s="357">
        <f t="shared" si="3"/>
        <v>0</v>
      </c>
      <c r="J363" s="346">
        <f t="shared" si="4"/>
        <v>0</v>
      </c>
      <c r="K363" s="312"/>
      <c r="L363" s="312"/>
      <c r="M363" s="312"/>
      <c r="N363" s="362"/>
      <c r="O363" s="312"/>
      <c r="P363" s="312"/>
      <c r="S363" s="2">
        <f t="shared" si="5"/>
        <v>0</v>
      </c>
      <c r="AA363" s="312"/>
      <c r="AB363" s="312"/>
      <c r="AC363" s="312"/>
      <c r="AD363" s="312"/>
    </row>
    <row r="364">
      <c r="A364" s="312"/>
      <c r="B364" s="344">
        <f t="shared" si="1"/>
        <v>2045</v>
      </c>
      <c r="C364" s="344">
        <v>90.0</v>
      </c>
      <c r="D364" s="369"/>
      <c r="E364" s="344" t="str">
        <f t="shared" si="2"/>
        <v>Saturday</v>
      </c>
      <c r="F364" s="344" t="s">
        <v>554</v>
      </c>
      <c r="G364" s="370"/>
      <c r="H364" s="370"/>
      <c r="I364" s="357">
        <f t="shared" si="3"/>
        <v>0</v>
      </c>
      <c r="J364" s="346">
        <f t="shared" si="4"/>
        <v>0</v>
      </c>
      <c r="K364" s="312"/>
      <c r="L364" s="312"/>
      <c r="M364" s="312"/>
      <c r="N364" s="362"/>
      <c r="O364" s="312"/>
      <c r="P364" s="312"/>
      <c r="S364" s="2">
        <f t="shared" si="5"/>
        <v>0</v>
      </c>
      <c r="AA364" s="312"/>
      <c r="AB364" s="312"/>
      <c r="AC364" s="312"/>
      <c r="AD364" s="312"/>
    </row>
    <row r="365">
      <c r="A365" s="312"/>
      <c r="B365" s="344">
        <f t="shared" si="1"/>
        <v>2045</v>
      </c>
      <c r="C365" s="344">
        <v>90.0</v>
      </c>
      <c r="D365" s="369"/>
      <c r="E365" s="344" t="str">
        <f t="shared" si="2"/>
        <v>Saturday</v>
      </c>
      <c r="F365" s="344" t="s">
        <v>554</v>
      </c>
      <c r="G365" s="370"/>
      <c r="H365" s="370"/>
      <c r="I365" s="357">
        <f t="shared" si="3"/>
        <v>0</v>
      </c>
      <c r="J365" s="346">
        <f t="shared" si="4"/>
        <v>0</v>
      </c>
      <c r="K365" s="312"/>
      <c r="L365" s="312"/>
      <c r="M365" s="312"/>
      <c r="N365" s="362"/>
      <c r="O365" s="312"/>
      <c r="P365" s="312"/>
      <c r="S365" s="2">
        <f t="shared" si="5"/>
        <v>0</v>
      </c>
      <c r="AA365" s="312"/>
      <c r="AB365" s="312"/>
      <c r="AC365" s="312"/>
      <c r="AD365" s="312"/>
    </row>
    <row r="366">
      <c r="A366" s="312"/>
      <c r="B366" s="344">
        <f t="shared" si="1"/>
        <v>2045</v>
      </c>
      <c r="C366" s="344">
        <v>90.0</v>
      </c>
      <c r="D366" s="369"/>
      <c r="E366" s="344" t="str">
        <f t="shared" si="2"/>
        <v>Saturday</v>
      </c>
      <c r="F366" s="344" t="s">
        <v>554</v>
      </c>
      <c r="G366" s="370"/>
      <c r="H366" s="370"/>
      <c r="I366" s="357">
        <f t="shared" si="3"/>
        <v>0</v>
      </c>
      <c r="J366" s="346">
        <f t="shared" si="4"/>
        <v>0</v>
      </c>
      <c r="K366" s="312"/>
      <c r="L366" s="312"/>
      <c r="M366" s="312"/>
      <c r="N366" s="362"/>
      <c r="O366" s="312"/>
      <c r="P366" s="312"/>
      <c r="S366" s="2">
        <f t="shared" si="5"/>
        <v>0</v>
      </c>
      <c r="AA366" s="312"/>
      <c r="AB366" s="312"/>
      <c r="AC366" s="312"/>
      <c r="AD366" s="312"/>
    </row>
    <row r="367">
      <c r="A367" s="312"/>
      <c r="B367" s="344">
        <f t="shared" si="1"/>
        <v>2045</v>
      </c>
      <c r="C367" s="344">
        <v>90.0</v>
      </c>
      <c r="D367" s="369"/>
      <c r="E367" s="344" t="str">
        <f t="shared" si="2"/>
        <v>Saturday</v>
      </c>
      <c r="F367" s="344" t="s">
        <v>554</v>
      </c>
      <c r="G367" s="370"/>
      <c r="H367" s="370"/>
      <c r="I367" s="357">
        <f t="shared" si="3"/>
        <v>0</v>
      </c>
      <c r="J367" s="346">
        <f t="shared" si="4"/>
        <v>0</v>
      </c>
      <c r="K367" s="312"/>
      <c r="L367" s="312"/>
      <c r="M367" s="312"/>
      <c r="N367" s="362"/>
      <c r="O367" s="312"/>
      <c r="P367" s="312"/>
      <c r="S367" s="2">
        <f t="shared" si="5"/>
        <v>0</v>
      </c>
      <c r="AA367" s="312"/>
      <c r="AB367" s="312"/>
      <c r="AC367" s="312"/>
      <c r="AD367" s="312"/>
    </row>
    <row r="368">
      <c r="A368" s="312"/>
      <c r="B368" s="344">
        <f t="shared" si="1"/>
        <v>2045</v>
      </c>
      <c r="C368" s="344">
        <v>90.0</v>
      </c>
      <c r="D368" s="369"/>
      <c r="E368" s="344" t="str">
        <f t="shared" si="2"/>
        <v>Saturday</v>
      </c>
      <c r="F368" s="344" t="s">
        <v>554</v>
      </c>
      <c r="G368" s="370"/>
      <c r="H368" s="370"/>
      <c r="I368" s="357">
        <f t="shared" si="3"/>
        <v>0</v>
      </c>
      <c r="J368" s="346">
        <f t="shared" si="4"/>
        <v>0</v>
      </c>
      <c r="K368" s="312"/>
      <c r="L368" s="312"/>
      <c r="M368" s="312"/>
      <c r="N368" s="362"/>
      <c r="O368" s="312"/>
      <c r="P368" s="312"/>
      <c r="S368" s="2">
        <f t="shared" si="5"/>
        <v>0</v>
      </c>
      <c r="AA368" s="312"/>
      <c r="AB368" s="312"/>
      <c r="AC368" s="312"/>
      <c r="AD368" s="312"/>
    </row>
    <row r="369">
      <c r="A369" s="312"/>
      <c r="B369" s="344">
        <f t="shared" si="1"/>
        <v>2045</v>
      </c>
      <c r="C369" s="344">
        <v>90.0</v>
      </c>
      <c r="D369" s="369"/>
      <c r="E369" s="344" t="str">
        <f t="shared" si="2"/>
        <v>Saturday</v>
      </c>
      <c r="F369" s="344" t="s">
        <v>554</v>
      </c>
      <c r="G369" s="370"/>
      <c r="H369" s="370"/>
      <c r="I369" s="357">
        <f t="shared" si="3"/>
        <v>0</v>
      </c>
      <c r="J369" s="346">
        <f t="shared" si="4"/>
        <v>0</v>
      </c>
      <c r="K369" s="312"/>
      <c r="L369" s="312"/>
      <c r="M369" s="312"/>
      <c r="N369" s="362"/>
      <c r="O369" s="312"/>
      <c r="P369" s="312"/>
      <c r="S369" s="2">
        <f t="shared" si="5"/>
        <v>0</v>
      </c>
      <c r="AA369" s="312"/>
      <c r="AB369" s="312"/>
      <c r="AC369" s="312"/>
      <c r="AD369" s="312"/>
    </row>
    <row r="370">
      <c r="A370" s="312"/>
      <c r="B370" s="344">
        <f t="shared" si="1"/>
        <v>2045</v>
      </c>
      <c r="C370" s="344">
        <v>90.0</v>
      </c>
      <c r="D370" s="369"/>
      <c r="E370" s="344" t="str">
        <f t="shared" si="2"/>
        <v>Saturday</v>
      </c>
      <c r="F370" s="344" t="s">
        <v>554</v>
      </c>
      <c r="G370" s="370"/>
      <c r="H370" s="370"/>
      <c r="I370" s="357">
        <f t="shared" si="3"/>
        <v>0</v>
      </c>
      <c r="J370" s="346">
        <f t="shared" si="4"/>
        <v>0</v>
      </c>
      <c r="K370" s="312"/>
      <c r="L370" s="312"/>
      <c r="M370" s="312"/>
      <c r="N370" s="362"/>
      <c r="O370" s="312"/>
      <c r="P370" s="312"/>
      <c r="S370" s="2">
        <f t="shared" si="5"/>
        <v>0</v>
      </c>
      <c r="AA370" s="312"/>
      <c r="AB370" s="312"/>
      <c r="AC370" s="312"/>
      <c r="AD370" s="312"/>
    </row>
    <row r="371">
      <c r="A371" s="312"/>
      <c r="B371" s="344">
        <f t="shared" si="1"/>
        <v>2045</v>
      </c>
      <c r="C371" s="344">
        <v>90.0</v>
      </c>
      <c r="D371" s="369"/>
      <c r="E371" s="344" t="str">
        <f t="shared" si="2"/>
        <v>Saturday</v>
      </c>
      <c r="F371" s="344" t="s">
        <v>554</v>
      </c>
      <c r="G371" s="370"/>
      <c r="H371" s="370"/>
      <c r="I371" s="357">
        <f t="shared" si="3"/>
        <v>0</v>
      </c>
      <c r="J371" s="346">
        <f t="shared" si="4"/>
        <v>0</v>
      </c>
      <c r="K371" s="312"/>
      <c r="L371" s="312"/>
      <c r="M371" s="312"/>
      <c r="N371" s="362"/>
      <c r="O371" s="312"/>
      <c r="P371" s="312"/>
      <c r="S371" s="2">
        <f t="shared" si="5"/>
        <v>0</v>
      </c>
      <c r="AA371" s="312"/>
      <c r="AB371" s="312"/>
      <c r="AC371" s="312"/>
      <c r="AD371" s="312"/>
    </row>
    <row r="372">
      <c r="A372" s="312"/>
      <c r="B372" s="344">
        <f t="shared" si="1"/>
        <v>2045</v>
      </c>
      <c r="C372" s="344">
        <v>90.0</v>
      </c>
      <c r="D372" s="369"/>
      <c r="E372" s="344" t="str">
        <f t="shared" si="2"/>
        <v>Saturday</v>
      </c>
      <c r="F372" s="344" t="s">
        <v>554</v>
      </c>
      <c r="G372" s="370"/>
      <c r="H372" s="370"/>
      <c r="I372" s="357">
        <f t="shared" si="3"/>
        <v>0</v>
      </c>
      <c r="J372" s="346">
        <f t="shared" si="4"/>
        <v>0</v>
      </c>
      <c r="K372" s="312"/>
      <c r="L372" s="312"/>
      <c r="M372" s="312"/>
      <c r="N372" s="362"/>
      <c r="O372" s="312"/>
      <c r="P372" s="312"/>
      <c r="S372" s="2">
        <f t="shared" si="5"/>
        <v>0</v>
      </c>
      <c r="AA372" s="312"/>
      <c r="AB372" s="312"/>
      <c r="AC372" s="312"/>
      <c r="AD372" s="312"/>
    </row>
    <row r="373">
      <c r="A373" s="312"/>
      <c r="B373" s="344">
        <f t="shared" si="1"/>
        <v>2045</v>
      </c>
      <c r="C373" s="344">
        <v>90.0</v>
      </c>
      <c r="D373" s="369"/>
      <c r="E373" s="344" t="str">
        <f t="shared" si="2"/>
        <v>Saturday</v>
      </c>
      <c r="F373" s="344" t="s">
        <v>554</v>
      </c>
      <c r="G373" s="370"/>
      <c r="H373" s="370"/>
      <c r="I373" s="357">
        <f t="shared" si="3"/>
        <v>0</v>
      </c>
      <c r="J373" s="346">
        <f t="shared" si="4"/>
        <v>0</v>
      </c>
      <c r="K373" s="312"/>
      <c r="L373" s="312"/>
      <c r="M373" s="312"/>
      <c r="N373" s="362"/>
      <c r="O373" s="312"/>
      <c r="P373" s="312"/>
      <c r="S373" s="2">
        <f t="shared" si="5"/>
        <v>0</v>
      </c>
      <c r="AA373" s="312"/>
      <c r="AB373" s="312"/>
      <c r="AC373" s="312"/>
      <c r="AD373" s="312"/>
    </row>
    <row r="374">
      <c r="A374" s="312"/>
      <c r="B374" s="344">
        <f t="shared" si="1"/>
        <v>2045</v>
      </c>
      <c r="C374" s="344">
        <v>90.0</v>
      </c>
      <c r="D374" s="369"/>
      <c r="E374" s="344" t="str">
        <f t="shared" si="2"/>
        <v>Saturday</v>
      </c>
      <c r="F374" s="344" t="s">
        <v>554</v>
      </c>
      <c r="G374" s="370"/>
      <c r="H374" s="370"/>
      <c r="I374" s="357">
        <f t="shared" si="3"/>
        <v>0</v>
      </c>
      <c r="J374" s="346">
        <f t="shared" si="4"/>
        <v>0</v>
      </c>
      <c r="K374" s="312"/>
      <c r="L374" s="312"/>
      <c r="M374" s="312"/>
      <c r="N374" s="362"/>
      <c r="O374" s="312"/>
      <c r="P374" s="312"/>
      <c r="S374" s="2">
        <f t="shared" si="5"/>
        <v>0</v>
      </c>
      <c r="AA374" s="312"/>
      <c r="AB374" s="312"/>
      <c r="AC374" s="312"/>
      <c r="AD374" s="312"/>
    </row>
    <row r="375">
      <c r="A375" s="312"/>
      <c r="B375" s="344">
        <f t="shared" si="1"/>
        <v>2045</v>
      </c>
      <c r="C375" s="344">
        <v>90.0</v>
      </c>
      <c r="D375" s="369"/>
      <c r="E375" s="344" t="str">
        <f t="shared" si="2"/>
        <v>Saturday</v>
      </c>
      <c r="F375" s="344" t="s">
        <v>554</v>
      </c>
      <c r="G375" s="370"/>
      <c r="H375" s="370"/>
      <c r="I375" s="357">
        <f t="shared" si="3"/>
        <v>0</v>
      </c>
      <c r="J375" s="346">
        <f t="shared" si="4"/>
        <v>0</v>
      </c>
      <c r="K375" s="312"/>
      <c r="L375" s="312"/>
      <c r="M375" s="312"/>
      <c r="N375" s="362"/>
      <c r="O375" s="312"/>
      <c r="P375" s="312"/>
      <c r="S375" s="2">
        <f t="shared" si="5"/>
        <v>0</v>
      </c>
      <c r="AA375" s="312"/>
      <c r="AB375" s="312"/>
      <c r="AC375" s="312"/>
      <c r="AD375" s="312"/>
    </row>
    <row r="376">
      <c r="A376" s="312"/>
      <c r="B376" s="344">
        <f t="shared" si="1"/>
        <v>2045</v>
      </c>
      <c r="C376" s="344">
        <v>90.0</v>
      </c>
      <c r="D376" s="369"/>
      <c r="E376" s="344" t="str">
        <f t="shared" si="2"/>
        <v>Saturday</v>
      </c>
      <c r="F376" s="344" t="s">
        <v>554</v>
      </c>
      <c r="G376" s="370"/>
      <c r="H376" s="370"/>
      <c r="I376" s="357">
        <f t="shared" si="3"/>
        <v>0</v>
      </c>
      <c r="J376" s="346">
        <f t="shared" si="4"/>
        <v>0</v>
      </c>
      <c r="K376" s="312"/>
      <c r="L376" s="312"/>
      <c r="M376" s="312"/>
      <c r="N376" s="362"/>
      <c r="O376" s="312"/>
      <c r="P376" s="312"/>
      <c r="S376" s="2">
        <f t="shared" si="5"/>
        <v>0</v>
      </c>
      <c r="AA376" s="312"/>
      <c r="AB376" s="312"/>
      <c r="AC376" s="312"/>
      <c r="AD376" s="312"/>
    </row>
    <row r="377">
      <c r="A377" s="312"/>
      <c r="B377" s="344">
        <f t="shared" si="1"/>
        <v>2045</v>
      </c>
      <c r="C377" s="344">
        <v>90.0</v>
      </c>
      <c r="D377" s="369"/>
      <c r="E377" s="344" t="str">
        <f t="shared" si="2"/>
        <v>Saturday</v>
      </c>
      <c r="F377" s="344" t="s">
        <v>554</v>
      </c>
      <c r="G377" s="370"/>
      <c r="H377" s="370"/>
      <c r="I377" s="357">
        <f t="shared" si="3"/>
        <v>0</v>
      </c>
      <c r="J377" s="346">
        <f t="shared" si="4"/>
        <v>0</v>
      </c>
      <c r="K377" s="312"/>
      <c r="L377" s="312"/>
      <c r="M377" s="312"/>
      <c r="N377" s="362"/>
      <c r="O377" s="312"/>
      <c r="P377" s="312"/>
      <c r="S377" s="2">
        <f t="shared" si="5"/>
        <v>0</v>
      </c>
      <c r="AA377" s="312"/>
      <c r="AB377" s="312"/>
      <c r="AC377" s="312"/>
      <c r="AD377" s="312"/>
    </row>
    <row r="378">
      <c r="A378" s="312"/>
      <c r="B378" s="344">
        <f t="shared" si="1"/>
        <v>2045</v>
      </c>
      <c r="C378" s="344">
        <v>90.0</v>
      </c>
      <c r="D378" s="369"/>
      <c r="E378" s="344" t="str">
        <f t="shared" si="2"/>
        <v>Saturday</v>
      </c>
      <c r="F378" s="344" t="s">
        <v>554</v>
      </c>
      <c r="G378" s="370"/>
      <c r="H378" s="370"/>
      <c r="I378" s="357">
        <f t="shared" si="3"/>
        <v>0</v>
      </c>
      <c r="J378" s="346">
        <f t="shared" si="4"/>
        <v>0</v>
      </c>
      <c r="K378" s="312"/>
      <c r="L378" s="312"/>
      <c r="M378" s="312"/>
      <c r="N378" s="362"/>
      <c r="O378" s="312"/>
      <c r="P378" s="312"/>
      <c r="S378" s="2">
        <f t="shared" si="5"/>
        <v>0</v>
      </c>
      <c r="AA378" s="312"/>
      <c r="AB378" s="312"/>
      <c r="AC378" s="312"/>
      <c r="AD378" s="312"/>
    </row>
    <row r="379">
      <c r="A379" s="312"/>
      <c r="B379" s="344">
        <f t="shared" si="1"/>
        <v>2045</v>
      </c>
      <c r="C379" s="344">
        <v>90.0</v>
      </c>
      <c r="D379" s="369"/>
      <c r="E379" s="344" t="str">
        <f t="shared" si="2"/>
        <v>Saturday</v>
      </c>
      <c r="F379" s="344" t="s">
        <v>554</v>
      </c>
      <c r="G379" s="370"/>
      <c r="H379" s="370"/>
      <c r="I379" s="357">
        <f t="shared" si="3"/>
        <v>0</v>
      </c>
      <c r="J379" s="346">
        <f t="shared" si="4"/>
        <v>0</v>
      </c>
      <c r="K379" s="312"/>
      <c r="L379" s="312"/>
      <c r="M379" s="312"/>
      <c r="N379" s="362"/>
      <c r="O379" s="312"/>
      <c r="P379" s="312"/>
      <c r="S379" s="2">
        <f t="shared" si="5"/>
        <v>0</v>
      </c>
      <c r="AA379" s="312"/>
      <c r="AB379" s="312"/>
      <c r="AC379" s="312"/>
      <c r="AD379" s="312"/>
    </row>
    <row r="380">
      <c r="A380" s="312"/>
      <c r="B380" s="344">
        <f t="shared" si="1"/>
        <v>2045</v>
      </c>
      <c r="C380" s="344">
        <v>90.0</v>
      </c>
      <c r="D380" s="369"/>
      <c r="E380" s="344" t="str">
        <f t="shared" si="2"/>
        <v>Saturday</v>
      </c>
      <c r="F380" s="344" t="s">
        <v>554</v>
      </c>
      <c r="G380" s="370"/>
      <c r="H380" s="370"/>
      <c r="I380" s="357">
        <f t="shared" si="3"/>
        <v>0</v>
      </c>
      <c r="J380" s="346">
        <f t="shared" si="4"/>
        <v>0</v>
      </c>
      <c r="K380" s="312"/>
      <c r="L380" s="312"/>
      <c r="M380" s="312"/>
      <c r="N380" s="362"/>
      <c r="O380" s="312"/>
      <c r="P380" s="312"/>
      <c r="S380" s="2">
        <f t="shared" si="5"/>
        <v>0</v>
      </c>
      <c r="AA380" s="312"/>
      <c r="AB380" s="312"/>
      <c r="AC380" s="312"/>
      <c r="AD380" s="312"/>
    </row>
    <row r="381">
      <c r="A381" s="312"/>
      <c r="B381" s="344">
        <f t="shared" si="1"/>
        <v>2045</v>
      </c>
      <c r="C381" s="344">
        <v>90.0</v>
      </c>
      <c r="D381" s="369"/>
      <c r="E381" s="344" t="str">
        <f t="shared" si="2"/>
        <v>Saturday</v>
      </c>
      <c r="F381" s="344" t="s">
        <v>554</v>
      </c>
      <c r="G381" s="370"/>
      <c r="H381" s="370"/>
      <c r="I381" s="357">
        <f t="shared" si="3"/>
        <v>0</v>
      </c>
      <c r="J381" s="346">
        <f t="shared" si="4"/>
        <v>0</v>
      </c>
      <c r="K381" s="312"/>
      <c r="L381" s="312"/>
      <c r="M381" s="312"/>
      <c r="N381" s="362"/>
      <c r="O381" s="312"/>
      <c r="P381" s="312"/>
      <c r="S381" s="2">
        <f t="shared" si="5"/>
        <v>0</v>
      </c>
      <c r="AA381" s="312"/>
      <c r="AB381" s="312"/>
      <c r="AC381" s="312"/>
      <c r="AD381" s="312"/>
    </row>
    <row r="382">
      <c r="A382" s="312"/>
      <c r="B382" s="344">
        <f t="shared" si="1"/>
        <v>2045</v>
      </c>
      <c r="C382" s="344">
        <v>90.0</v>
      </c>
      <c r="D382" s="369"/>
      <c r="E382" s="344" t="str">
        <f t="shared" si="2"/>
        <v>Saturday</v>
      </c>
      <c r="F382" s="344" t="s">
        <v>554</v>
      </c>
      <c r="G382" s="370"/>
      <c r="H382" s="370"/>
      <c r="I382" s="357">
        <f t="shared" si="3"/>
        <v>0</v>
      </c>
      <c r="J382" s="346">
        <f t="shared" si="4"/>
        <v>0</v>
      </c>
      <c r="K382" s="312"/>
      <c r="L382" s="312"/>
      <c r="M382" s="312"/>
      <c r="N382" s="362"/>
      <c r="O382" s="312"/>
      <c r="P382" s="312"/>
      <c r="S382" s="2">
        <f t="shared" si="5"/>
        <v>0</v>
      </c>
      <c r="AA382" s="312"/>
      <c r="AB382" s="312"/>
      <c r="AC382" s="312"/>
      <c r="AD382" s="312"/>
    </row>
    <row r="383">
      <c r="A383" s="312"/>
      <c r="B383" s="344">
        <f t="shared" si="1"/>
        <v>2045</v>
      </c>
      <c r="C383" s="344">
        <v>90.0</v>
      </c>
      <c r="D383" s="369"/>
      <c r="E383" s="344" t="str">
        <f t="shared" si="2"/>
        <v>Saturday</v>
      </c>
      <c r="F383" s="344" t="s">
        <v>554</v>
      </c>
      <c r="G383" s="370"/>
      <c r="H383" s="370"/>
      <c r="I383" s="357">
        <f t="shared" si="3"/>
        <v>0</v>
      </c>
      <c r="J383" s="346">
        <f t="shared" si="4"/>
        <v>0</v>
      </c>
      <c r="K383" s="312"/>
      <c r="L383" s="312"/>
      <c r="M383" s="312"/>
      <c r="N383" s="362"/>
      <c r="O383" s="312"/>
      <c r="P383" s="312"/>
      <c r="S383" s="2">
        <f t="shared" si="5"/>
        <v>0</v>
      </c>
      <c r="AA383" s="312"/>
      <c r="AB383" s="312"/>
      <c r="AC383" s="312"/>
      <c r="AD383" s="312"/>
    </row>
    <row r="384">
      <c r="A384" s="312"/>
      <c r="B384" s="344">
        <f t="shared" si="1"/>
        <v>2045</v>
      </c>
      <c r="C384" s="344">
        <v>90.0</v>
      </c>
      <c r="D384" s="369"/>
      <c r="E384" s="344" t="str">
        <f t="shared" si="2"/>
        <v>Saturday</v>
      </c>
      <c r="F384" s="344" t="s">
        <v>554</v>
      </c>
      <c r="G384" s="370"/>
      <c r="H384" s="370"/>
      <c r="I384" s="357">
        <f t="shared" si="3"/>
        <v>0</v>
      </c>
      <c r="J384" s="346">
        <f t="shared" si="4"/>
        <v>0</v>
      </c>
      <c r="K384" s="312"/>
      <c r="L384" s="312"/>
      <c r="M384" s="312"/>
      <c r="N384" s="362"/>
      <c r="O384" s="312"/>
      <c r="P384" s="312"/>
      <c r="S384" s="2">
        <f t="shared" si="5"/>
        <v>0</v>
      </c>
      <c r="AA384" s="312"/>
      <c r="AB384" s="312"/>
      <c r="AC384" s="312"/>
      <c r="AD384" s="312"/>
    </row>
    <row r="385">
      <c r="A385" s="312"/>
      <c r="B385" s="344">
        <f t="shared" si="1"/>
        <v>2045</v>
      </c>
      <c r="C385" s="344">
        <v>90.0</v>
      </c>
      <c r="D385" s="369"/>
      <c r="E385" s="344" t="str">
        <f t="shared" si="2"/>
        <v>Saturday</v>
      </c>
      <c r="F385" s="344" t="s">
        <v>554</v>
      </c>
      <c r="G385" s="370"/>
      <c r="H385" s="370"/>
      <c r="I385" s="357">
        <f t="shared" si="3"/>
        <v>0</v>
      </c>
      <c r="J385" s="346">
        <f t="shared" si="4"/>
        <v>0</v>
      </c>
      <c r="K385" s="312"/>
      <c r="L385" s="312"/>
      <c r="M385" s="312"/>
      <c r="N385" s="362"/>
      <c r="O385" s="312"/>
      <c r="P385" s="312"/>
      <c r="S385" s="2">
        <f t="shared" si="5"/>
        <v>0</v>
      </c>
      <c r="AA385" s="312"/>
      <c r="AB385" s="312"/>
      <c r="AC385" s="312"/>
      <c r="AD385" s="312"/>
    </row>
    <row r="386">
      <c r="A386" s="312"/>
      <c r="B386" s="344">
        <f t="shared" si="1"/>
        <v>2045</v>
      </c>
      <c r="C386" s="344">
        <v>90.0</v>
      </c>
      <c r="D386" s="369"/>
      <c r="E386" s="344" t="str">
        <f t="shared" si="2"/>
        <v>Saturday</v>
      </c>
      <c r="F386" s="344" t="s">
        <v>554</v>
      </c>
      <c r="G386" s="370"/>
      <c r="H386" s="370"/>
      <c r="I386" s="357">
        <f t="shared" si="3"/>
        <v>0</v>
      </c>
      <c r="J386" s="346">
        <f t="shared" si="4"/>
        <v>0</v>
      </c>
      <c r="K386" s="312"/>
      <c r="L386" s="312"/>
      <c r="M386" s="312"/>
      <c r="N386" s="362"/>
      <c r="O386" s="312"/>
      <c r="P386" s="312"/>
      <c r="S386" s="2">
        <f t="shared" si="5"/>
        <v>0</v>
      </c>
      <c r="AA386" s="312"/>
      <c r="AB386" s="312"/>
      <c r="AC386" s="312"/>
      <c r="AD386" s="312"/>
    </row>
    <row r="387">
      <c r="A387" s="312"/>
      <c r="B387" s="344">
        <f t="shared" si="1"/>
        <v>2045</v>
      </c>
      <c r="C387" s="344">
        <v>90.0</v>
      </c>
      <c r="D387" s="369"/>
      <c r="E387" s="344" t="str">
        <f t="shared" si="2"/>
        <v>Saturday</v>
      </c>
      <c r="F387" s="344" t="s">
        <v>554</v>
      </c>
      <c r="G387" s="370"/>
      <c r="H387" s="370"/>
      <c r="I387" s="357">
        <f t="shared" si="3"/>
        <v>0</v>
      </c>
      <c r="J387" s="346">
        <f t="shared" si="4"/>
        <v>0</v>
      </c>
      <c r="K387" s="312"/>
      <c r="L387" s="312"/>
      <c r="M387" s="312"/>
      <c r="N387" s="362"/>
      <c r="O387" s="312"/>
      <c r="P387" s="312"/>
      <c r="S387" s="2">
        <f t="shared" si="5"/>
        <v>0</v>
      </c>
      <c r="AA387" s="312"/>
      <c r="AB387" s="312"/>
      <c r="AC387" s="312"/>
      <c r="AD387" s="312"/>
    </row>
    <row r="388">
      <c r="A388" s="312"/>
      <c r="B388" s="344">
        <f t="shared" si="1"/>
        <v>2045</v>
      </c>
      <c r="C388" s="344">
        <v>90.0</v>
      </c>
      <c r="D388" s="369"/>
      <c r="E388" s="344" t="str">
        <f t="shared" si="2"/>
        <v>Saturday</v>
      </c>
      <c r="F388" s="344" t="s">
        <v>554</v>
      </c>
      <c r="G388" s="370"/>
      <c r="H388" s="370"/>
      <c r="I388" s="357">
        <f t="shared" si="3"/>
        <v>0</v>
      </c>
      <c r="J388" s="346">
        <f t="shared" si="4"/>
        <v>0</v>
      </c>
      <c r="K388" s="312"/>
      <c r="L388" s="312"/>
      <c r="M388" s="312"/>
      <c r="N388" s="362"/>
      <c r="O388" s="312"/>
      <c r="P388" s="312"/>
      <c r="S388" s="2">
        <f t="shared" si="5"/>
        <v>0</v>
      </c>
      <c r="AA388" s="312"/>
      <c r="AB388" s="312"/>
      <c r="AC388" s="312"/>
      <c r="AD388" s="312"/>
    </row>
    <row r="389">
      <c r="A389" s="312"/>
      <c r="B389" s="344">
        <f t="shared" si="1"/>
        <v>2045</v>
      </c>
      <c r="C389" s="344">
        <v>90.0</v>
      </c>
      <c r="D389" s="369"/>
      <c r="E389" s="344" t="str">
        <f t="shared" si="2"/>
        <v>Saturday</v>
      </c>
      <c r="F389" s="344" t="s">
        <v>554</v>
      </c>
      <c r="G389" s="370"/>
      <c r="H389" s="370"/>
      <c r="I389" s="357">
        <f t="shared" si="3"/>
        <v>0</v>
      </c>
      <c r="J389" s="346">
        <f t="shared" si="4"/>
        <v>0</v>
      </c>
      <c r="K389" s="312"/>
      <c r="L389" s="312"/>
      <c r="M389" s="312"/>
      <c r="N389" s="362"/>
      <c r="O389" s="312"/>
      <c r="P389" s="312"/>
      <c r="S389" s="2">
        <f t="shared" si="5"/>
        <v>0</v>
      </c>
      <c r="AA389" s="312"/>
      <c r="AB389" s="312"/>
      <c r="AC389" s="312"/>
      <c r="AD389" s="312"/>
    </row>
    <row r="390">
      <c r="A390" s="312"/>
      <c r="B390" s="344">
        <f t="shared" si="1"/>
        <v>2045</v>
      </c>
      <c r="C390" s="344">
        <v>90.0</v>
      </c>
      <c r="D390" s="369"/>
      <c r="E390" s="344" t="str">
        <f t="shared" si="2"/>
        <v>Saturday</v>
      </c>
      <c r="F390" s="344" t="s">
        <v>554</v>
      </c>
      <c r="G390" s="370"/>
      <c r="H390" s="370"/>
      <c r="I390" s="357">
        <f t="shared" si="3"/>
        <v>0</v>
      </c>
      <c r="J390" s="346">
        <f t="shared" si="4"/>
        <v>0</v>
      </c>
      <c r="K390" s="312"/>
      <c r="L390" s="312"/>
      <c r="M390" s="312"/>
      <c r="N390" s="362"/>
      <c r="O390" s="312"/>
      <c r="P390" s="312"/>
      <c r="S390" s="2">
        <f t="shared" si="5"/>
        <v>0</v>
      </c>
      <c r="AA390" s="312"/>
      <c r="AB390" s="312"/>
      <c r="AC390" s="312"/>
      <c r="AD390" s="312"/>
    </row>
    <row r="391">
      <c r="A391" s="312"/>
      <c r="B391" s="344">
        <f t="shared" si="1"/>
        <v>2045</v>
      </c>
      <c r="C391" s="344">
        <v>90.0</v>
      </c>
      <c r="D391" s="369"/>
      <c r="E391" s="344" t="str">
        <f t="shared" si="2"/>
        <v>Saturday</v>
      </c>
      <c r="F391" s="344" t="s">
        <v>554</v>
      </c>
      <c r="G391" s="370"/>
      <c r="H391" s="370"/>
      <c r="I391" s="357">
        <f t="shared" si="3"/>
        <v>0</v>
      </c>
      <c r="J391" s="346">
        <f t="shared" si="4"/>
        <v>0</v>
      </c>
      <c r="K391" s="312"/>
      <c r="L391" s="312"/>
      <c r="M391" s="312"/>
      <c r="N391" s="362"/>
      <c r="O391" s="312"/>
      <c r="P391" s="312"/>
      <c r="S391" s="2">
        <f t="shared" si="5"/>
        <v>0</v>
      </c>
      <c r="AA391" s="312"/>
      <c r="AB391" s="312"/>
      <c r="AC391" s="312"/>
      <c r="AD391" s="312"/>
    </row>
    <row r="392">
      <c r="A392" s="312"/>
      <c r="B392" s="344">
        <f t="shared" si="1"/>
        <v>2045</v>
      </c>
      <c r="C392" s="344">
        <v>90.0</v>
      </c>
      <c r="D392" s="369"/>
      <c r="E392" s="344" t="str">
        <f t="shared" si="2"/>
        <v>Saturday</v>
      </c>
      <c r="F392" s="344" t="s">
        <v>554</v>
      </c>
      <c r="G392" s="370"/>
      <c r="H392" s="370"/>
      <c r="I392" s="357">
        <f t="shared" si="3"/>
        <v>0</v>
      </c>
      <c r="J392" s="346">
        <f t="shared" si="4"/>
        <v>0</v>
      </c>
      <c r="K392" s="312"/>
      <c r="L392" s="312"/>
      <c r="M392" s="312"/>
      <c r="N392" s="362"/>
      <c r="O392" s="312"/>
      <c r="P392" s="312"/>
      <c r="S392" s="2">
        <f t="shared" si="5"/>
        <v>0</v>
      </c>
      <c r="AA392" s="312"/>
      <c r="AB392" s="312"/>
      <c r="AC392" s="312"/>
      <c r="AD392" s="312"/>
    </row>
    <row r="393">
      <c r="A393" s="312"/>
      <c r="B393" s="344">
        <f t="shared" si="1"/>
        <v>2045</v>
      </c>
      <c r="C393" s="344">
        <v>90.0</v>
      </c>
      <c r="D393" s="369"/>
      <c r="E393" s="344" t="str">
        <f t="shared" si="2"/>
        <v>Saturday</v>
      </c>
      <c r="F393" s="344" t="s">
        <v>554</v>
      </c>
      <c r="G393" s="370"/>
      <c r="H393" s="370"/>
      <c r="I393" s="357">
        <f t="shared" si="3"/>
        <v>0</v>
      </c>
      <c r="J393" s="346">
        <f t="shared" si="4"/>
        <v>0</v>
      </c>
      <c r="K393" s="312"/>
      <c r="L393" s="312"/>
      <c r="M393" s="312"/>
      <c r="N393" s="362"/>
      <c r="O393" s="312"/>
      <c r="P393" s="312"/>
      <c r="S393" s="2">
        <f t="shared" si="5"/>
        <v>0</v>
      </c>
      <c r="AA393" s="312"/>
      <c r="AB393" s="312"/>
      <c r="AC393" s="312"/>
      <c r="AD393" s="312"/>
    </row>
    <row r="394">
      <c r="A394" s="312"/>
      <c r="B394" s="344">
        <f t="shared" si="1"/>
        <v>2045</v>
      </c>
      <c r="C394" s="344">
        <v>90.0</v>
      </c>
      <c r="D394" s="369"/>
      <c r="E394" s="344" t="str">
        <f t="shared" si="2"/>
        <v>Saturday</v>
      </c>
      <c r="F394" s="344" t="s">
        <v>554</v>
      </c>
      <c r="G394" s="370"/>
      <c r="H394" s="370"/>
      <c r="I394" s="357">
        <f t="shared" si="3"/>
        <v>0</v>
      </c>
      <c r="J394" s="346">
        <f t="shared" si="4"/>
        <v>0</v>
      </c>
      <c r="K394" s="312"/>
      <c r="L394" s="312"/>
      <c r="M394" s="312"/>
      <c r="N394" s="362"/>
      <c r="O394" s="312"/>
      <c r="P394" s="312"/>
      <c r="S394" s="2">
        <f t="shared" si="5"/>
        <v>0</v>
      </c>
      <c r="AA394" s="312"/>
      <c r="AB394" s="312"/>
      <c r="AC394" s="312"/>
      <c r="AD394" s="312"/>
    </row>
    <row r="395">
      <c r="A395" s="312"/>
      <c r="B395" s="344">
        <f t="shared" si="1"/>
        <v>2045</v>
      </c>
      <c r="C395" s="344">
        <v>90.0</v>
      </c>
      <c r="D395" s="369"/>
      <c r="E395" s="344" t="str">
        <f t="shared" si="2"/>
        <v>Saturday</v>
      </c>
      <c r="F395" s="344" t="s">
        <v>554</v>
      </c>
      <c r="G395" s="370"/>
      <c r="H395" s="370"/>
      <c r="I395" s="357">
        <f t="shared" si="3"/>
        <v>0</v>
      </c>
      <c r="J395" s="346">
        <f t="shared" si="4"/>
        <v>0</v>
      </c>
      <c r="K395" s="312"/>
      <c r="L395" s="312"/>
      <c r="M395" s="312"/>
      <c r="N395" s="362"/>
      <c r="O395" s="312"/>
      <c r="P395" s="312"/>
      <c r="S395" s="2">
        <f t="shared" si="5"/>
        <v>0</v>
      </c>
      <c r="AA395" s="312"/>
      <c r="AB395" s="312"/>
      <c r="AC395" s="312"/>
      <c r="AD395" s="312"/>
    </row>
    <row r="396">
      <c r="A396" s="312"/>
      <c r="B396" s="344">
        <f t="shared" si="1"/>
        <v>2045</v>
      </c>
      <c r="C396" s="344">
        <v>90.0</v>
      </c>
      <c r="D396" s="369"/>
      <c r="E396" s="344" t="str">
        <f t="shared" si="2"/>
        <v>Saturday</v>
      </c>
      <c r="F396" s="344" t="s">
        <v>554</v>
      </c>
      <c r="G396" s="370"/>
      <c r="H396" s="370"/>
      <c r="I396" s="357">
        <f t="shared" si="3"/>
        <v>0</v>
      </c>
      <c r="J396" s="346">
        <f t="shared" si="4"/>
        <v>0</v>
      </c>
      <c r="K396" s="312"/>
      <c r="L396" s="312"/>
      <c r="M396" s="312"/>
      <c r="N396" s="362"/>
      <c r="O396" s="312"/>
      <c r="P396" s="312"/>
      <c r="S396" s="2">
        <f t="shared" si="5"/>
        <v>0</v>
      </c>
      <c r="AA396" s="312"/>
      <c r="AB396" s="312"/>
      <c r="AC396" s="312"/>
      <c r="AD396" s="312"/>
    </row>
    <row r="397">
      <c r="A397" s="312"/>
      <c r="B397" s="344">
        <f t="shared" si="1"/>
        <v>2045</v>
      </c>
      <c r="C397" s="344">
        <v>90.0</v>
      </c>
      <c r="D397" s="369"/>
      <c r="E397" s="344" t="str">
        <f t="shared" si="2"/>
        <v>Saturday</v>
      </c>
      <c r="F397" s="344" t="s">
        <v>554</v>
      </c>
      <c r="G397" s="370"/>
      <c r="H397" s="370"/>
      <c r="I397" s="357">
        <f t="shared" si="3"/>
        <v>0</v>
      </c>
      <c r="J397" s="346">
        <f t="shared" si="4"/>
        <v>0</v>
      </c>
      <c r="K397" s="312"/>
      <c r="L397" s="312"/>
      <c r="M397" s="312"/>
      <c r="N397" s="362"/>
      <c r="O397" s="312"/>
      <c r="P397" s="312"/>
      <c r="S397" s="2">
        <f t="shared" si="5"/>
        <v>0</v>
      </c>
      <c r="AA397" s="312"/>
      <c r="AB397" s="312"/>
      <c r="AC397" s="312"/>
      <c r="AD397" s="312"/>
    </row>
    <row r="398">
      <c r="A398" s="312"/>
      <c r="B398" s="344">
        <f t="shared" si="1"/>
        <v>2045</v>
      </c>
      <c r="C398" s="344">
        <v>90.0</v>
      </c>
      <c r="D398" s="369"/>
      <c r="E398" s="344" t="str">
        <f t="shared" si="2"/>
        <v>Saturday</v>
      </c>
      <c r="F398" s="344" t="s">
        <v>554</v>
      </c>
      <c r="G398" s="370"/>
      <c r="H398" s="370"/>
      <c r="I398" s="357">
        <f t="shared" si="3"/>
        <v>0</v>
      </c>
      <c r="J398" s="346">
        <f t="shared" si="4"/>
        <v>0</v>
      </c>
      <c r="K398" s="312"/>
      <c r="L398" s="312"/>
      <c r="M398" s="312"/>
      <c r="N398" s="362"/>
      <c r="O398" s="312"/>
      <c r="P398" s="312"/>
      <c r="S398" s="2">
        <f t="shared" si="5"/>
        <v>0</v>
      </c>
      <c r="AA398" s="312"/>
      <c r="AB398" s="312"/>
      <c r="AC398" s="312"/>
      <c r="AD398" s="312"/>
    </row>
    <row r="399">
      <c r="A399" s="312"/>
      <c r="B399" s="344">
        <f t="shared" si="1"/>
        <v>2045</v>
      </c>
      <c r="C399" s="344">
        <v>90.0</v>
      </c>
      <c r="D399" s="369"/>
      <c r="E399" s="344" t="str">
        <f t="shared" si="2"/>
        <v>Saturday</v>
      </c>
      <c r="F399" s="344" t="s">
        <v>554</v>
      </c>
      <c r="G399" s="370"/>
      <c r="H399" s="370"/>
      <c r="I399" s="357">
        <f t="shared" si="3"/>
        <v>0</v>
      </c>
      <c r="J399" s="346">
        <f t="shared" si="4"/>
        <v>0</v>
      </c>
      <c r="K399" s="312"/>
      <c r="L399" s="312"/>
      <c r="M399" s="312"/>
      <c r="N399" s="362"/>
      <c r="O399" s="312"/>
      <c r="P399" s="312"/>
      <c r="S399" s="2">
        <f t="shared" si="5"/>
        <v>0</v>
      </c>
      <c r="AA399" s="312"/>
      <c r="AB399" s="312"/>
      <c r="AC399" s="312"/>
      <c r="AD399" s="312"/>
    </row>
    <row r="400">
      <c r="A400" s="312"/>
      <c r="B400" s="344">
        <f t="shared" si="1"/>
        <v>2045</v>
      </c>
      <c r="C400" s="344">
        <v>90.0</v>
      </c>
      <c r="D400" s="369"/>
      <c r="E400" s="344" t="str">
        <f t="shared" si="2"/>
        <v>Saturday</v>
      </c>
      <c r="F400" s="344" t="s">
        <v>554</v>
      </c>
      <c r="G400" s="370"/>
      <c r="H400" s="370"/>
      <c r="I400" s="357">
        <f t="shared" si="3"/>
        <v>0</v>
      </c>
      <c r="J400" s="346">
        <f t="shared" si="4"/>
        <v>0</v>
      </c>
      <c r="K400" s="312"/>
      <c r="L400" s="312"/>
      <c r="M400" s="312"/>
      <c r="N400" s="362"/>
      <c r="O400" s="312"/>
      <c r="P400" s="312"/>
      <c r="S400" s="2">
        <f t="shared" si="5"/>
        <v>0</v>
      </c>
      <c r="AA400" s="312"/>
      <c r="AB400" s="312"/>
      <c r="AC400" s="312"/>
      <c r="AD400" s="312"/>
    </row>
    <row r="401">
      <c r="A401" s="312"/>
      <c r="B401" s="344">
        <f t="shared" si="1"/>
        <v>2045</v>
      </c>
      <c r="C401" s="344">
        <v>90.0</v>
      </c>
      <c r="D401" s="369"/>
      <c r="E401" s="344" t="str">
        <f t="shared" si="2"/>
        <v>Saturday</v>
      </c>
      <c r="F401" s="344" t="s">
        <v>554</v>
      </c>
      <c r="G401" s="370"/>
      <c r="H401" s="370"/>
      <c r="I401" s="357">
        <f t="shared" si="3"/>
        <v>0</v>
      </c>
      <c r="J401" s="346">
        <f t="shared" si="4"/>
        <v>0</v>
      </c>
      <c r="K401" s="312"/>
      <c r="L401" s="312"/>
      <c r="M401" s="312"/>
      <c r="N401" s="362"/>
      <c r="O401" s="312"/>
      <c r="P401" s="312"/>
      <c r="S401" s="2">
        <f t="shared" si="5"/>
        <v>0</v>
      </c>
      <c r="AA401" s="312"/>
      <c r="AB401" s="312"/>
      <c r="AC401" s="312"/>
      <c r="AD401" s="312"/>
    </row>
    <row r="402">
      <c r="A402" s="312"/>
      <c r="B402" s="344">
        <f t="shared" si="1"/>
        <v>2045</v>
      </c>
      <c r="C402" s="344">
        <v>90.0</v>
      </c>
      <c r="D402" s="369"/>
      <c r="E402" s="344" t="str">
        <f t="shared" si="2"/>
        <v>Saturday</v>
      </c>
      <c r="F402" s="344" t="s">
        <v>554</v>
      </c>
      <c r="G402" s="370"/>
      <c r="H402" s="370"/>
      <c r="I402" s="357">
        <f t="shared" si="3"/>
        <v>0</v>
      </c>
      <c r="J402" s="346">
        <f t="shared" si="4"/>
        <v>0</v>
      </c>
      <c r="K402" s="312"/>
      <c r="L402" s="312"/>
      <c r="M402" s="312"/>
      <c r="N402" s="362"/>
      <c r="O402" s="312"/>
      <c r="P402" s="312"/>
      <c r="S402" s="2">
        <f t="shared" si="5"/>
        <v>0</v>
      </c>
      <c r="AA402" s="312"/>
      <c r="AB402" s="312"/>
      <c r="AC402" s="312"/>
      <c r="AD402" s="312"/>
    </row>
    <row r="403">
      <c r="A403" s="312"/>
      <c r="B403" s="344">
        <f t="shared" si="1"/>
        <v>2045</v>
      </c>
      <c r="C403" s="344">
        <v>90.0</v>
      </c>
      <c r="D403" s="369"/>
      <c r="E403" s="344" t="str">
        <f t="shared" si="2"/>
        <v>Saturday</v>
      </c>
      <c r="F403" s="344" t="s">
        <v>554</v>
      </c>
      <c r="G403" s="370"/>
      <c r="H403" s="370"/>
      <c r="I403" s="357">
        <f t="shared" si="3"/>
        <v>0</v>
      </c>
      <c r="J403" s="346">
        <f t="shared" si="4"/>
        <v>0</v>
      </c>
      <c r="K403" s="312"/>
      <c r="L403" s="312"/>
      <c r="M403" s="312"/>
      <c r="N403" s="362"/>
      <c r="O403" s="312"/>
      <c r="P403" s="312"/>
      <c r="S403" s="2">
        <f t="shared" si="5"/>
        <v>0</v>
      </c>
      <c r="AA403" s="312"/>
      <c r="AB403" s="312"/>
      <c r="AC403" s="312"/>
      <c r="AD403" s="312"/>
    </row>
    <row r="404">
      <c r="A404" s="312"/>
      <c r="B404" s="344">
        <f t="shared" si="1"/>
        <v>2045</v>
      </c>
      <c r="C404" s="344">
        <v>90.0</v>
      </c>
      <c r="D404" s="369"/>
      <c r="E404" s="344" t="str">
        <f t="shared" si="2"/>
        <v>Saturday</v>
      </c>
      <c r="F404" s="344" t="s">
        <v>554</v>
      </c>
      <c r="G404" s="370"/>
      <c r="H404" s="370"/>
      <c r="I404" s="357">
        <f t="shared" si="3"/>
        <v>0</v>
      </c>
      <c r="J404" s="346">
        <f t="shared" si="4"/>
        <v>0</v>
      </c>
      <c r="K404" s="312"/>
      <c r="L404" s="312"/>
      <c r="M404" s="312"/>
      <c r="N404" s="362"/>
      <c r="O404" s="312"/>
      <c r="P404" s="312"/>
      <c r="S404" s="2">
        <f t="shared" si="5"/>
        <v>0</v>
      </c>
      <c r="AA404" s="312"/>
      <c r="AB404" s="312"/>
      <c r="AC404" s="312"/>
      <c r="AD404" s="312"/>
    </row>
    <row r="405">
      <c r="A405" s="312"/>
      <c r="B405" s="344">
        <f t="shared" si="1"/>
        <v>2045</v>
      </c>
      <c r="C405" s="344">
        <v>90.0</v>
      </c>
      <c r="D405" s="369"/>
      <c r="E405" s="344" t="str">
        <f t="shared" si="2"/>
        <v>Saturday</v>
      </c>
      <c r="F405" s="344" t="s">
        <v>554</v>
      </c>
      <c r="G405" s="370"/>
      <c r="H405" s="370"/>
      <c r="I405" s="357">
        <f t="shared" si="3"/>
        <v>0</v>
      </c>
      <c r="J405" s="346">
        <f t="shared" si="4"/>
        <v>0</v>
      </c>
      <c r="K405" s="312"/>
      <c r="L405" s="312"/>
      <c r="M405" s="312"/>
      <c r="N405" s="362"/>
      <c r="O405" s="312"/>
      <c r="P405" s="312"/>
      <c r="S405" s="2">
        <f t="shared" si="5"/>
        <v>0</v>
      </c>
      <c r="AA405" s="312"/>
      <c r="AB405" s="312"/>
      <c r="AC405" s="312"/>
      <c r="AD405" s="312"/>
    </row>
    <row r="406">
      <c r="A406" s="312"/>
      <c r="B406" s="344">
        <f t="shared" si="1"/>
        <v>2045</v>
      </c>
      <c r="C406" s="344">
        <v>90.0</v>
      </c>
      <c r="D406" s="369"/>
      <c r="E406" s="344" t="str">
        <f t="shared" si="2"/>
        <v>Saturday</v>
      </c>
      <c r="F406" s="344" t="s">
        <v>554</v>
      </c>
      <c r="G406" s="370"/>
      <c r="H406" s="370"/>
      <c r="I406" s="357">
        <f t="shared" si="3"/>
        <v>0</v>
      </c>
      <c r="J406" s="346">
        <f t="shared" si="4"/>
        <v>0</v>
      </c>
      <c r="K406" s="312"/>
      <c r="L406" s="312"/>
      <c r="M406" s="312"/>
      <c r="N406" s="362"/>
      <c r="O406" s="312"/>
      <c r="P406" s="312"/>
      <c r="S406" s="2">
        <f t="shared" si="5"/>
        <v>0</v>
      </c>
      <c r="AA406" s="312"/>
      <c r="AB406" s="312"/>
      <c r="AC406" s="312"/>
      <c r="AD406" s="312"/>
    </row>
    <row r="407">
      <c r="A407" s="312"/>
      <c r="B407" s="344">
        <f t="shared" si="1"/>
        <v>2045</v>
      </c>
      <c r="C407" s="344">
        <v>90.0</v>
      </c>
      <c r="D407" s="369"/>
      <c r="E407" s="344" t="str">
        <f t="shared" si="2"/>
        <v>Saturday</v>
      </c>
      <c r="F407" s="344" t="s">
        <v>554</v>
      </c>
      <c r="G407" s="370"/>
      <c r="H407" s="370"/>
      <c r="I407" s="357">
        <f t="shared" si="3"/>
        <v>0</v>
      </c>
      <c r="J407" s="346">
        <f t="shared" si="4"/>
        <v>0</v>
      </c>
      <c r="K407" s="312"/>
      <c r="L407" s="312"/>
      <c r="M407" s="312"/>
      <c r="N407" s="362"/>
      <c r="O407" s="312"/>
      <c r="P407" s="312"/>
      <c r="S407" s="2">
        <f t="shared" si="5"/>
        <v>0</v>
      </c>
      <c r="AA407" s="312"/>
      <c r="AB407" s="312"/>
      <c r="AC407" s="312"/>
      <c r="AD407" s="312"/>
    </row>
    <row r="408">
      <c r="A408" s="312"/>
      <c r="B408" s="344">
        <f t="shared" si="1"/>
        <v>2045</v>
      </c>
      <c r="C408" s="344">
        <v>90.0</v>
      </c>
      <c r="D408" s="369"/>
      <c r="E408" s="344" t="str">
        <f t="shared" si="2"/>
        <v>Saturday</v>
      </c>
      <c r="F408" s="344" t="s">
        <v>554</v>
      </c>
      <c r="G408" s="370"/>
      <c r="H408" s="370"/>
      <c r="I408" s="357">
        <f t="shared" si="3"/>
        <v>0</v>
      </c>
      <c r="J408" s="346">
        <f t="shared" si="4"/>
        <v>0</v>
      </c>
      <c r="K408" s="312"/>
      <c r="L408" s="312"/>
      <c r="M408" s="312"/>
      <c r="N408" s="362"/>
      <c r="O408" s="312"/>
      <c r="P408" s="312"/>
      <c r="S408" s="2">
        <f t="shared" si="5"/>
        <v>0</v>
      </c>
      <c r="AA408" s="312"/>
      <c r="AB408" s="312"/>
      <c r="AC408" s="312"/>
      <c r="AD408" s="312"/>
    </row>
    <row r="409">
      <c r="A409" s="312"/>
      <c r="B409" s="344">
        <f t="shared" si="1"/>
        <v>2045</v>
      </c>
      <c r="C409" s="344">
        <v>90.0</v>
      </c>
      <c r="D409" s="369"/>
      <c r="E409" s="344" t="str">
        <f t="shared" si="2"/>
        <v>Saturday</v>
      </c>
      <c r="F409" s="344" t="s">
        <v>554</v>
      </c>
      <c r="G409" s="370"/>
      <c r="H409" s="370"/>
      <c r="I409" s="357">
        <f t="shared" si="3"/>
        <v>0</v>
      </c>
      <c r="J409" s="346">
        <f t="shared" si="4"/>
        <v>0</v>
      </c>
      <c r="K409" s="312"/>
      <c r="L409" s="312"/>
      <c r="M409" s="312"/>
      <c r="N409" s="362"/>
      <c r="O409" s="312"/>
      <c r="P409" s="312"/>
      <c r="S409" s="2">
        <f t="shared" si="5"/>
        <v>0</v>
      </c>
      <c r="AA409" s="312"/>
      <c r="AB409" s="312"/>
      <c r="AC409" s="312"/>
      <c r="AD409" s="312"/>
    </row>
    <row r="410">
      <c r="A410" s="312"/>
      <c r="B410" s="344">
        <f t="shared" si="1"/>
        <v>2045</v>
      </c>
      <c r="C410" s="344">
        <v>90.0</v>
      </c>
      <c r="D410" s="369"/>
      <c r="E410" s="344" t="str">
        <f t="shared" si="2"/>
        <v>Saturday</v>
      </c>
      <c r="F410" s="344" t="s">
        <v>554</v>
      </c>
      <c r="G410" s="370"/>
      <c r="H410" s="370"/>
      <c r="I410" s="357">
        <f t="shared" si="3"/>
        <v>0</v>
      </c>
      <c r="J410" s="346">
        <f t="shared" si="4"/>
        <v>0</v>
      </c>
      <c r="K410" s="312"/>
      <c r="L410" s="312"/>
      <c r="M410" s="312"/>
      <c r="N410" s="362"/>
      <c r="O410" s="312"/>
      <c r="P410" s="312"/>
      <c r="S410" s="2">
        <f t="shared" si="5"/>
        <v>0</v>
      </c>
      <c r="AA410" s="312"/>
      <c r="AB410" s="312"/>
      <c r="AC410" s="312"/>
      <c r="AD410" s="312"/>
    </row>
    <row r="411">
      <c r="A411" s="312"/>
      <c r="B411" s="344">
        <f t="shared" si="1"/>
        <v>2045</v>
      </c>
      <c r="C411" s="344">
        <v>90.0</v>
      </c>
      <c r="D411" s="369"/>
      <c r="E411" s="344" t="str">
        <f t="shared" si="2"/>
        <v>Saturday</v>
      </c>
      <c r="F411" s="344" t="s">
        <v>554</v>
      </c>
      <c r="G411" s="370"/>
      <c r="H411" s="370"/>
      <c r="I411" s="357">
        <f t="shared" si="3"/>
        <v>0</v>
      </c>
      <c r="J411" s="346">
        <f t="shared" si="4"/>
        <v>0</v>
      </c>
      <c r="K411" s="312"/>
      <c r="L411" s="312"/>
      <c r="M411" s="312"/>
      <c r="N411" s="362"/>
      <c r="O411" s="312"/>
      <c r="P411" s="312"/>
      <c r="S411" s="2">
        <f t="shared" si="5"/>
        <v>0</v>
      </c>
      <c r="AA411" s="312"/>
      <c r="AB411" s="312"/>
      <c r="AC411" s="312"/>
      <c r="AD411" s="312"/>
    </row>
    <row r="412">
      <c r="A412" s="312"/>
      <c r="B412" s="344">
        <f t="shared" si="1"/>
        <v>2045</v>
      </c>
      <c r="C412" s="344">
        <v>90.0</v>
      </c>
      <c r="D412" s="369"/>
      <c r="E412" s="344" t="str">
        <f t="shared" si="2"/>
        <v>Saturday</v>
      </c>
      <c r="F412" s="344" t="s">
        <v>554</v>
      </c>
      <c r="G412" s="370"/>
      <c r="H412" s="370"/>
      <c r="I412" s="357">
        <f t="shared" si="3"/>
        <v>0</v>
      </c>
      <c r="J412" s="346">
        <f t="shared" si="4"/>
        <v>0</v>
      </c>
      <c r="K412" s="312"/>
      <c r="L412" s="312"/>
      <c r="M412" s="312"/>
      <c r="N412" s="362"/>
      <c r="O412" s="312"/>
      <c r="P412" s="312"/>
      <c r="S412" s="2">
        <f t="shared" si="5"/>
        <v>0</v>
      </c>
      <c r="AA412" s="312"/>
      <c r="AB412" s="312"/>
      <c r="AC412" s="312"/>
      <c r="AD412" s="312"/>
    </row>
    <row r="413">
      <c r="A413" s="312"/>
      <c r="B413" s="344">
        <f t="shared" si="1"/>
        <v>2045</v>
      </c>
      <c r="C413" s="344">
        <v>90.0</v>
      </c>
      <c r="D413" s="369"/>
      <c r="E413" s="344" t="str">
        <f t="shared" si="2"/>
        <v>Saturday</v>
      </c>
      <c r="F413" s="344" t="s">
        <v>554</v>
      </c>
      <c r="G413" s="370"/>
      <c r="H413" s="370"/>
      <c r="I413" s="357">
        <f t="shared" si="3"/>
        <v>0</v>
      </c>
      <c r="J413" s="346">
        <f t="shared" si="4"/>
        <v>0</v>
      </c>
      <c r="K413" s="312"/>
      <c r="L413" s="312"/>
      <c r="M413" s="312"/>
      <c r="N413" s="362"/>
      <c r="O413" s="312"/>
      <c r="P413" s="312"/>
      <c r="S413" s="2">
        <f t="shared" si="5"/>
        <v>0</v>
      </c>
      <c r="AA413" s="312"/>
      <c r="AB413" s="312"/>
      <c r="AC413" s="312"/>
      <c r="AD413" s="312"/>
    </row>
    <row r="414">
      <c r="A414" s="312"/>
      <c r="B414" s="344">
        <f t="shared" si="1"/>
        <v>2045</v>
      </c>
      <c r="C414" s="344">
        <v>90.0</v>
      </c>
      <c r="D414" s="369"/>
      <c r="E414" s="344" t="str">
        <f t="shared" si="2"/>
        <v>Saturday</v>
      </c>
      <c r="F414" s="344" t="s">
        <v>554</v>
      </c>
      <c r="G414" s="370"/>
      <c r="H414" s="370"/>
      <c r="I414" s="357">
        <f t="shared" si="3"/>
        <v>0</v>
      </c>
      <c r="J414" s="346">
        <f t="shared" si="4"/>
        <v>0</v>
      </c>
      <c r="K414" s="312"/>
      <c r="L414" s="312"/>
      <c r="M414" s="312"/>
      <c r="N414" s="362"/>
      <c r="O414" s="312"/>
      <c r="P414" s="312"/>
      <c r="S414" s="2">
        <f t="shared" si="5"/>
        <v>0</v>
      </c>
      <c r="AA414" s="312"/>
      <c r="AB414" s="312"/>
      <c r="AC414" s="312"/>
      <c r="AD414" s="312"/>
    </row>
    <row r="415">
      <c r="A415" s="312"/>
      <c r="B415" s="344">
        <f t="shared" si="1"/>
        <v>2045</v>
      </c>
      <c r="C415" s="344">
        <v>90.0</v>
      </c>
      <c r="D415" s="369"/>
      <c r="E415" s="344" t="str">
        <f t="shared" si="2"/>
        <v>Saturday</v>
      </c>
      <c r="F415" s="344" t="s">
        <v>554</v>
      </c>
      <c r="G415" s="370"/>
      <c r="H415" s="370"/>
      <c r="I415" s="357">
        <f t="shared" si="3"/>
        <v>0</v>
      </c>
      <c r="J415" s="346">
        <f t="shared" si="4"/>
        <v>0</v>
      </c>
      <c r="K415" s="312"/>
      <c r="L415" s="312"/>
      <c r="M415" s="312"/>
      <c r="N415" s="362"/>
      <c r="O415" s="312"/>
      <c r="P415" s="312"/>
      <c r="S415" s="2">
        <f t="shared" si="5"/>
        <v>0</v>
      </c>
      <c r="AA415" s="312"/>
      <c r="AB415" s="312"/>
      <c r="AC415" s="312"/>
      <c r="AD415" s="312"/>
    </row>
    <row r="416">
      <c r="A416" s="312"/>
      <c r="B416" s="344">
        <f t="shared" si="1"/>
        <v>2045</v>
      </c>
      <c r="C416" s="344">
        <v>90.0</v>
      </c>
      <c r="D416" s="369"/>
      <c r="E416" s="344" t="str">
        <f t="shared" si="2"/>
        <v>Saturday</v>
      </c>
      <c r="F416" s="344" t="s">
        <v>554</v>
      </c>
      <c r="G416" s="370"/>
      <c r="H416" s="370"/>
      <c r="I416" s="357">
        <f t="shared" si="3"/>
        <v>0</v>
      </c>
      <c r="J416" s="346">
        <f t="shared" si="4"/>
        <v>0</v>
      </c>
      <c r="K416" s="312"/>
      <c r="L416" s="312"/>
      <c r="M416" s="312"/>
      <c r="N416" s="362"/>
      <c r="O416" s="312"/>
      <c r="P416" s="312"/>
      <c r="S416" s="2">
        <f t="shared" si="5"/>
        <v>0</v>
      </c>
      <c r="AA416" s="312"/>
      <c r="AB416" s="312"/>
      <c r="AC416" s="312"/>
      <c r="AD416" s="312"/>
    </row>
    <row r="417">
      <c r="A417" s="312"/>
      <c r="B417" s="344">
        <f t="shared" si="1"/>
        <v>2045</v>
      </c>
      <c r="C417" s="344">
        <v>90.0</v>
      </c>
      <c r="D417" s="369"/>
      <c r="E417" s="344" t="str">
        <f t="shared" si="2"/>
        <v>Saturday</v>
      </c>
      <c r="F417" s="344" t="s">
        <v>554</v>
      </c>
      <c r="G417" s="370"/>
      <c r="H417" s="370"/>
      <c r="I417" s="357">
        <f t="shared" si="3"/>
        <v>0</v>
      </c>
      <c r="J417" s="346">
        <f t="shared" si="4"/>
        <v>0</v>
      </c>
      <c r="K417" s="312"/>
      <c r="L417" s="312"/>
      <c r="M417" s="312"/>
      <c r="N417" s="362"/>
      <c r="O417" s="312"/>
      <c r="P417" s="312"/>
      <c r="S417" s="2">
        <f t="shared" si="5"/>
        <v>0</v>
      </c>
      <c r="AA417" s="312"/>
      <c r="AB417" s="312"/>
      <c r="AC417" s="312"/>
      <c r="AD417" s="312"/>
    </row>
    <row r="418">
      <c r="A418" s="312"/>
      <c r="B418" s="344">
        <f t="shared" si="1"/>
        <v>2045</v>
      </c>
      <c r="C418" s="344">
        <v>90.0</v>
      </c>
      <c r="D418" s="369"/>
      <c r="E418" s="344" t="str">
        <f t="shared" si="2"/>
        <v>Saturday</v>
      </c>
      <c r="F418" s="344" t="s">
        <v>554</v>
      </c>
      <c r="G418" s="370"/>
      <c r="H418" s="370"/>
      <c r="I418" s="357">
        <f t="shared" si="3"/>
        <v>0</v>
      </c>
      <c r="J418" s="346">
        <f t="shared" si="4"/>
        <v>0</v>
      </c>
      <c r="K418" s="312"/>
      <c r="L418" s="312"/>
      <c r="M418" s="312"/>
      <c r="N418" s="362"/>
      <c r="O418" s="312"/>
      <c r="P418" s="312"/>
      <c r="S418" s="2">
        <f t="shared" si="5"/>
        <v>0</v>
      </c>
      <c r="AA418" s="312"/>
      <c r="AB418" s="312"/>
      <c r="AC418" s="312"/>
      <c r="AD418" s="312"/>
    </row>
    <row r="419">
      <c r="A419" s="312"/>
      <c r="B419" s="344">
        <f t="shared" si="1"/>
        <v>2045</v>
      </c>
      <c r="C419" s="344">
        <v>90.0</v>
      </c>
      <c r="D419" s="369"/>
      <c r="E419" s="344" t="str">
        <f t="shared" si="2"/>
        <v>Saturday</v>
      </c>
      <c r="F419" s="344" t="s">
        <v>554</v>
      </c>
      <c r="G419" s="370"/>
      <c r="H419" s="370"/>
      <c r="I419" s="357">
        <f t="shared" si="3"/>
        <v>0</v>
      </c>
      <c r="J419" s="346">
        <f t="shared" si="4"/>
        <v>0</v>
      </c>
      <c r="K419" s="312"/>
      <c r="L419" s="312"/>
      <c r="M419" s="312"/>
      <c r="N419" s="362"/>
      <c r="O419" s="312"/>
      <c r="P419" s="312"/>
      <c r="S419" s="2">
        <f t="shared" si="5"/>
        <v>0</v>
      </c>
      <c r="AA419" s="312"/>
      <c r="AB419" s="312"/>
      <c r="AC419" s="312"/>
      <c r="AD419" s="312"/>
    </row>
    <row r="420">
      <c r="A420" s="312"/>
      <c r="B420" s="344">
        <f t="shared" si="1"/>
        <v>2045</v>
      </c>
      <c r="C420" s="344">
        <v>90.0</v>
      </c>
      <c r="D420" s="369"/>
      <c r="E420" s="344" t="str">
        <f t="shared" si="2"/>
        <v>Saturday</v>
      </c>
      <c r="F420" s="344" t="s">
        <v>554</v>
      </c>
      <c r="G420" s="370"/>
      <c r="H420" s="370"/>
      <c r="I420" s="357">
        <f t="shared" si="3"/>
        <v>0</v>
      </c>
      <c r="J420" s="346">
        <f t="shared" si="4"/>
        <v>0</v>
      </c>
      <c r="K420" s="312"/>
      <c r="L420" s="312"/>
      <c r="M420" s="312"/>
      <c r="N420" s="362"/>
      <c r="O420" s="312"/>
      <c r="P420" s="312"/>
      <c r="S420" s="2">
        <f t="shared" si="5"/>
        <v>0</v>
      </c>
      <c r="AA420" s="312"/>
      <c r="AB420" s="312"/>
      <c r="AC420" s="312"/>
      <c r="AD420" s="312"/>
    </row>
    <row r="421">
      <c r="A421" s="312"/>
      <c r="B421" s="344">
        <f t="shared" si="1"/>
        <v>2045</v>
      </c>
      <c r="C421" s="344">
        <v>90.0</v>
      </c>
      <c r="D421" s="369"/>
      <c r="E421" s="344" t="str">
        <f t="shared" si="2"/>
        <v>Saturday</v>
      </c>
      <c r="F421" s="344" t="s">
        <v>554</v>
      </c>
      <c r="G421" s="370"/>
      <c r="H421" s="370"/>
      <c r="I421" s="357">
        <f t="shared" si="3"/>
        <v>0</v>
      </c>
      <c r="J421" s="346">
        <f t="shared" si="4"/>
        <v>0</v>
      </c>
      <c r="K421" s="312"/>
      <c r="L421" s="312"/>
      <c r="M421" s="312"/>
      <c r="N421" s="362"/>
      <c r="O421" s="312"/>
      <c r="P421" s="312"/>
      <c r="S421" s="2">
        <f t="shared" si="5"/>
        <v>0</v>
      </c>
      <c r="AA421" s="312"/>
      <c r="AB421" s="312"/>
      <c r="AC421" s="312"/>
      <c r="AD421" s="312"/>
    </row>
    <row r="422">
      <c r="A422" s="312"/>
      <c r="B422" s="344">
        <f t="shared" si="1"/>
        <v>2045</v>
      </c>
      <c r="C422" s="344">
        <v>90.0</v>
      </c>
      <c r="D422" s="369"/>
      <c r="E422" s="344" t="str">
        <f t="shared" si="2"/>
        <v>Saturday</v>
      </c>
      <c r="F422" s="344" t="s">
        <v>554</v>
      </c>
      <c r="G422" s="370"/>
      <c r="H422" s="370"/>
      <c r="I422" s="357">
        <f t="shared" si="3"/>
        <v>0</v>
      </c>
      <c r="J422" s="346">
        <f t="shared" si="4"/>
        <v>0</v>
      </c>
      <c r="K422" s="312"/>
      <c r="L422" s="312"/>
      <c r="M422" s="312"/>
      <c r="N422" s="362"/>
      <c r="O422" s="312"/>
      <c r="P422" s="312"/>
      <c r="S422" s="2">
        <f t="shared" si="5"/>
        <v>0</v>
      </c>
      <c r="AA422" s="312"/>
      <c r="AB422" s="312"/>
      <c r="AC422" s="312"/>
      <c r="AD422" s="312"/>
    </row>
    <row r="423">
      <c r="A423" s="312"/>
      <c r="B423" s="344">
        <f t="shared" si="1"/>
        <v>2045</v>
      </c>
      <c r="C423" s="344">
        <v>90.0</v>
      </c>
      <c r="D423" s="369"/>
      <c r="E423" s="344" t="str">
        <f t="shared" si="2"/>
        <v>Saturday</v>
      </c>
      <c r="F423" s="344" t="s">
        <v>554</v>
      </c>
      <c r="G423" s="370"/>
      <c r="H423" s="370"/>
      <c r="I423" s="357">
        <f t="shared" si="3"/>
        <v>0</v>
      </c>
      <c r="J423" s="346">
        <f t="shared" si="4"/>
        <v>0</v>
      </c>
      <c r="K423" s="312"/>
      <c r="L423" s="312"/>
      <c r="M423" s="312"/>
      <c r="N423" s="362"/>
      <c r="O423" s="312"/>
      <c r="P423" s="312"/>
      <c r="S423" s="2">
        <f t="shared" si="5"/>
        <v>0</v>
      </c>
      <c r="AA423" s="312"/>
      <c r="AB423" s="312"/>
      <c r="AC423" s="312"/>
      <c r="AD423" s="312"/>
    </row>
    <row r="424">
      <c r="A424" s="312"/>
      <c r="B424" s="344">
        <f t="shared" si="1"/>
        <v>2045</v>
      </c>
      <c r="C424" s="344">
        <v>90.0</v>
      </c>
      <c r="D424" s="369"/>
      <c r="E424" s="344" t="str">
        <f t="shared" si="2"/>
        <v>Saturday</v>
      </c>
      <c r="F424" s="344" t="s">
        <v>554</v>
      </c>
      <c r="G424" s="370"/>
      <c r="H424" s="370"/>
      <c r="I424" s="357">
        <f t="shared" si="3"/>
        <v>0</v>
      </c>
      <c r="J424" s="346">
        <f t="shared" si="4"/>
        <v>0</v>
      </c>
      <c r="K424" s="312"/>
      <c r="L424" s="312"/>
      <c r="M424" s="312"/>
      <c r="N424" s="362"/>
      <c r="O424" s="312"/>
      <c r="P424" s="312"/>
      <c r="S424" s="2">
        <f t="shared" si="5"/>
        <v>0</v>
      </c>
      <c r="AA424" s="312"/>
      <c r="AB424" s="312"/>
      <c r="AC424" s="312"/>
      <c r="AD424" s="312"/>
    </row>
    <row r="425">
      <c r="A425" s="312"/>
      <c r="B425" s="344">
        <f t="shared" si="1"/>
        <v>2045</v>
      </c>
      <c r="C425" s="344">
        <v>90.0</v>
      </c>
      <c r="D425" s="369"/>
      <c r="E425" s="344" t="str">
        <f t="shared" si="2"/>
        <v>Saturday</v>
      </c>
      <c r="F425" s="344" t="s">
        <v>554</v>
      </c>
      <c r="G425" s="370"/>
      <c r="H425" s="370"/>
      <c r="I425" s="357">
        <f t="shared" si="3"/>
        <v>0</v>
      </c>
      <c r="J425" s="346">
        <f t="shared" si="4"/>
        <v>0</v>
      </c>
      <c r="K425" s="312"/>
      <c r="L425" s="312"/>
      <c r="M425" s="312"/>
      <c r="N425" s="362"/>
      <c r="O425" s="312"/>
      <c r="P425" s="312"/>
      <c r="S425" s="2">
        <f t="shared" si="5"/>
        <v>0</v>
      </c>
      <c r="AA425" s="312"/>
      <c r="AB425" s="312"/>
      <c r="AC425" s="312"/>
      <c r="AD425" s="312"/>
    </row>
    <row r="426">
      <c r="A426" s="312"/>
      <c r="B426" s="344">
        <f t="shared" si="1"/>
        <v>2045</v>
      </c>
      <c r="C426" s="344">
        <v>90.0</v>
      </c>
      <c r="D426" s="369"/>
      <c r="E426" s="344" t="str">
        <f t="shared" si="2"/>
        <v>Saturday</v>
      </c>
      <c r="F426" s="344" t="s">
        <v>554</v>
      </c>
      <c r="G426" s="370"/>
      <c r="H426" s="370"/>
      <c r="I426" s="357">
        <f t="shared" si="3"/>
        <v>0</v>
      </c>
      <c r="J426" s="346">
        <f t="shared" si="4"/>
        <v>0</v>
      </c>
      <c r="K426" s="312"/>
      <c r="L426" s="312"/>
      <c r="M426" s="312"/>
      <c r="N426" s="362"/>
      <c r="O426" s="312"/>
      <c r="P426" s="312"/>
      <c r="S426" s="2">
        <f t="shared" si="5"/>
        <v>0</v>
      </c>
      <c r="AA426" s="312"/>
      <c r="AB426" s="312"/>
      <c r="AC426" s="312"/>
      <c r="AD426" s="312"/>
    </row>
    <row r="427">
      <c r="A427" s="312"/>
      <c r="B427" s="344">
        <f t="shared" si="1"/>
        <v>2045</v>
      </c>
      <c r="C427" s="344">
        <v>90.0</v>
      </c>
      <c r="D427" s="369"/>
      <c r="E427" s="344" t="str">
        <f t="shared" si="2"/>
        <v>Saturday</v>
      </c>
      <c r="F427" s="344" t="s">
        <v>554</v>
      </c>
      <c r="G427" s="370"/>
      <c r="H427" s="370"/>
      <c r="I427" s="357">
        <f t="shared" si="3"/>
        <v>0</v>
      </c>
      <c r="J427" s="346">
        <f t="shared" si="4"/>
        <v>0</v>
      </c>
      <c r="K427" s="312"/>
      <c r="L427" s="312"/>
      <c r="M427" s="312"/>
      <c r="N427" s="362"/>
      <c r="O427" s="312"/>
      <c r="P427" s="312"/>
      <c r="S427" s="2">
        <f t="shared" si="5"/>
        <v>0</v>
      </c>
      <c r="AA427" s="312"/>
      <c r="AB427" s="312"/>
      <c r="AC427" s="312"/>
      <c r="AD427" s="312"/>
    </row>
    <row r="428">
      <c r="A428" s="312"/>
      <c r="B428" s="344">
        <f t="shared" si="1"/>
        <v>2045</v>
      </c>
      <c r="C428" s="344">
        <v>90.0</v>
      </c>
      <c r="D428" s="369"/>
      <c r="E428" s="344" t="str">
        <f t="shared" si="2"/>
        <v>Saturday</v>
      </c>
      <c r="F428" s="344" t="s">
        <v>554</v>
      </c>
      <c r="G428" s="370"/>
      <c r="H428" s="370"/>
      <c r="I428" s="357">
        <f t="shared" si="3"/>
        <v>0</v>
      </c>
      <c r="J428" s="346">
        <f t="shared" si="4"/>
        <v>0</v>
      </c>
      <c r="K428" s="312"/>
      <c r="L428" s="312"/>
      <c r="M428" s="312"/>
      <c r="N428" s="362"/>
      <c r="O428" s="312"/>
      <c r="P428" s="312"/>
      <c r="S428" s="2">
        <f t="shared" si="5"/>
        <v>0</v>
      </c>
      <c r="AA428" s="312"/>
      <c r="AB428" s="312"/>
      <c r="AC428" s="312"/>
      <c r="AD428" s="312"/>
    </row>
    <row r="429">
      <c r="A429" s="312"/>
      <c r="B429" s="344">
        <f t="shared" si="1"/>
        <v>2045</v>
      </c>
      <c r="C429" s="344">
        <v>90.0</v>
      </c>
      <c r="D429" s="369"/>
      <c r="E429" s="344" t="str">
        <f t="shared" si="2"/>
        <v>Saturday</v>
      </c>
      <c r="F429" s="344" t="s">
        <v>554</v>
      </c>
      <c r="G429" s="370"/>
      <c r="H429" s="370"/>
      <c r="I429" s="357">
        <f t="shared" si="3"/>
        <v>0</v>
      </c>
      <c r="J429" s="346">
        <f t="shared" si="4"/>
        <v>0</v>
      </c>
      <c r="K429" s="312"/>
      <c r="L429" s="312"/>
      <c r="M429" s="312"/>
      <c r="N429" s="362"/>
      <c r="O429" s="312"/>
      <c r="P429" s="312"/>
      <c r="S429" s="2">
        <f t="shared" si="5"/>
        <v>0</v>
      </c>
      <c r="AA429" s="312"/>
      <c r="AB429" s="312"/>
      <c r="AC429" s="312"/>
      <c r="AD429" s="312"/>
    </row>
    <row r="430">
      <c r="A430" s="312"/>
      <c r="B430" s="344">
        <f t="shared" si="1"/>
        <v>2045</v>
      </c>
      <c r="C430" s="344">
        <v>90.0</v>
      </c>
      <c r="D430" s="369"/>
      <c r="E430" s="344" t="str">
        <f t="shared" si="2"/>
        <v>Saturday</v>
      </c>
      <c r="F430" s="344" t="s">
        <v>554</v>
      </c>
      <c r="G430" s="370"/>
      <c r="H430" s="370"/>
      <c r="I430" s="357">
        <f t="shared" si="3"/>
        <v>0</v>
      </c>
      <c r="J430" s="346">
        <f t="shared" si="4"/>
        <v>0</v>
      </c>
      <c r="K430" s="312"/>
      <c r="L430" s="312"/>
      <c r="M430" s="312"/>
      <c r="N430" s="362"/>
      <c r="O430" s="312"/>
      <c r="P430" s="312"/>
      <c r="S430" s="2">
        <f t="shared" si="5"/>
        <v>0</v>
      </c>
      <c r="AA430" s="312"/>
      <c r="AB430" s="312"/>
      <c r="AC430" s="312"/>
      <c r="AD430" s="312"/>
    </row>
    <row r="431">
      <c r="A431" s="312"/>
      <c r="B431" s="344">
        <f t="shared" si="1"/>
        <v>2045</v>
      </c>
      <c r="C431" s="344">
        <v>90.0</v>
      </c>
      <c r="D431" s="369"/>
      <c r="E431" s="344" t="str">
        <f t="shared" si="2"/>
        <v>Saturday</v>
      </c>
      <c r="F431" s="344" t="s">
        <v>554</v>
      </c>
      <c r="G431" s="370"/>
      <c r="H431" s="370"/>
      <c r="I431" s="357">
        <f t="shared" si="3"/>
        <v>0</v>
      </c>
      <c r="J431" s="346">
        <f t="shared" si="4"/>
        <v>0</v>
      </c>
      <c r="K431" s="312"/>
      <c r="L431" s="312"/>
      <c r="M431" s="312"/>
      <c r="N431" s="362"/>
      <c r="O431" s="312"/>
      <c r="P431" s="312"/>
      <c r="S431" s="2">
        <f t="shared" si="5"/>
        <v>0</v>
      </c>
      <c r="AA431" s="312"/>
      <c r="AB431" s="312"/>
      <c r="AC431" s="312"/>
      <c r="AD431" s="312"/>
    </row>
    <row r="432">
      <c r="A432" s="312"/>
      <c r="B432" s="344">
        <f t="shared" si="1"/>
        <v>2045</v>
      </c>
      <c r="C432" s="344">
        <v>90.0</v>
      </c>
      <c r="D432" s="369"/>
      <c r="E432" s="344" t="str">
        <f t="shared" si="2"/>
        <v>Saturday</v>
      </c>
      <c r="F432" s="344" t="s">
        <v>554</v>
      </c>
      <c r="G432" s="370"/>
      <c r="H432" s="370"/>
      <c r="I432" s="357">
        <f t="shared" si="3"/>
        <v>0</v>
      </c>
      <c r="J432" s="346">
        <f t="shared" si="4"/>
        <v>0</v>
      </c>
      <c r="K432" s="312"/>
      <c r="L432" s="312"/>
      <c r="M432" s="312"/>
      <c r="N432" s="362"/>
      <c r="O432" s="312"/>
      <c r="P432" s="312"/>
      <c r="S432" s="2">
        <f t="shared" si="5"/>
        <v>0</v>
      </c>
      <c r="AA432" s="312"/>
      <c r="AB432" s="312"/>
      <c r="AC432" s="312"/>
      <c r="AD432" s="312"/>
    </row>
    <row r="433">
      <c r="A433" s="312"/>
      <c r="B433" s="344">
        <f t="shared" si="1"/>
        <v>2045</v>
      </c>
      <c r="C433" s="344">
        <v>90.0</v>
      </c>
      <c r="D433" s="369"/>
      <c r="E433" s="344" t="str">
        <f t="shared" si="2"/>
        <v>Saturday</v>
      </c>
      <c r="F433" s="344" t="s">
        <v>554</v>
      </c>
      <c r="G433" s="370"/>
      <c r="H433" s="370"/>
      <c r="I433" s="357">
        <f t="shared" si="3"/>
        <v>0</v>
      </c>
      <c r="J433" s="346">
        <f t="shared" si="4"/>
        <v>0</v>
      </c>
      <c r="K433" s="312"/>
      <c r="L433" s="312"/>
      <c r="M433" s="312"/>
      <c r="N433" s="362"/>
      <c r="O433" s="312"/>
      <c r="P433" s="312"/>
      <c r="S433" s="2">
        <f t="shared" si="5"/>
        <v>0</v>
      </c>
      <c r="AA433" s="312"/>
      <c r="AB433" s="312"/>
      <c r="AC433" s="312"/>
      <c r="AD433" s="312"/>
    </row>
    <row r="434">
      <c r="A434" s="312"/>
      <c r="B434" s="344">
        <f t="shared" si="1"/>
        <v>2045</v>
      </c>
      <c r="C434" s="344">
        <v>90.0</v>
      </c>
      <c r="D434" s="369"/>
      <c r="E434" s="344" t="str">
        <f t="shared" si="2"/>
        <v>Saturday</v>
      </c>
      <c r="F434" s="344" t="s">
        <v>554</v>
      </c>
      <c r="G434" s="370"/>
      <c r="H434" s="370"/>
      <c r="I434" s="357">
        <f t="shared" si="3"/>
        <v>0</v>
      </c>
      <c r="J434" s="346">
        <f t="shared" si="4"/>
        <v>0</v>
      </c>
      <c r="K434" s="312"/>
      <c r="L434" s="312"/>
      <c r="M434" s="312"/>
      <c r="N434" s="362"/>
      <c r="O434" s="312"/>
      <c r="P434" s="312"/>
      <c r="S434" s="2">
        <f t="shared" si="5"/>
        <v>0</v>
      </c>
      <c r="AA434" s="312"/>
      <c r="AB434" s="312"/>
      <c r="AC434" s="312"/>
      <c r="AD434" s="312"/>
    </row>
    <row r="435">
      <c r="A435" s="312"/>
      <c r="B435" s="344">
        <f t="shared" si="1"/>
        <v>2045</v>
      </c>
      <c r="C435" s="344">
        <v>90.0</v>
      </c>
      <c r="D435" s="369"/>
      <c r="E435" s="344" t="str">
        <f t="shared" si="2"/>
        <v>Saturday</v>
      </c>
      <c r="F435" s="344" t="s">
        <v>554</v>
      </c>
      <c r="G435" s="370"/>
      <c r="H435" s="370"/>
      <c r="I435" s="357">
        <f t="shared" si="3"/>
        <v>0</v>
      </c>
      <c r="J435" s="346">
        <f t="shared" si="4"/>
        <v>0</v>
      </c>
      <c r="K435" s="312"/>
      <c r="L435" s="312"/>
      <c r="M435" s="312"/>
      <c r="N435" s="362"/>
      <c r="O435" s="312"/>
      <c r="P435" s="312"/>
      <c r="S435" s="2">
        <f t="shared" si="5"/>
        <v>0</v>
      </c>
      <c r="AA435" s="312"/>
      <c r="AB435" s="312"/>
      <c r="AC435" s="312"/>
      <c r="AD435" s="312"/>
    </row>
    <row r="436">
      <c r="A436" s="312"/>
      <c r="B436" s="344">
        <f t="shared" si="1"/>
        <v>2045</v>
      </c>
      <c r="C436" s="344">
        <v>90.0</v>
      </c>
      <c r="D436" s="369"/>
      <c r="E436" s="344" t="str">
        <f t="shared" si="2"/>
        <v>Saturday</v>
      </c>
      <c r="F436" s="344" t="s">
        <v>554</v>
      </c>
      <c r="G436" s="370"/>
      <c r="H436" s="370"/>
      <c r="I436" s="357">
        <f t="shared" si="3"/>
        <v>0</v>
      </c>
      <c r="J436" s="346">
        <f t="shared" si="4"/>
        <v>0</v>
      </c>
      <c r="K436" s="312"/>
      <c r="L436" s="312"/>
      <c r="M436" s="312"/>
      <c r="N436" s="362"/>
      <c r="O436" s="312"/>
      <c r="P436" s="312"/>
      <c r="S436" s="2">
        <f t="shared" si="5"/>
        <v>0</v>
      </c>
      <c r="AA436" s="312"/>
      <c r="AB436" s="312"/>
      <c r="AC436" s="312"/>
      <c r="AD436" s="312"/>
    </row>
    <row r="437">
      <c r="A437" s="312"/>
      <c r="B437" s="344">
        <f t="shared" si="1"/>
        <v>2045</v>
      </c>
      <c r="C437" s="344">
        <v>90.0</v>
      </c>
      <c r="D437" s="369"/>
      <c r="E437" s="344" t="str">
        <f t="shared" si="2"/>
        <v>Saturday</v>
      </c>
      <c r="F437" s="344" t="s">
        <v>554</v>
      </c>
      <c r="G437" s="370"/>
      <c r="H437" s="370"/>
      <c r="I437" s="357">
        <f t="shared" si="3"/>
        <v>0</v>
      </c>
      <c r="J437" s="346">
        <f t="shared" si="4"/>
        <v>0</v>
      </c>
      <c r="K437" s="312"/>
      <c r="L437" s="312"/>
      <c r="M437" s="312"/>
      <c r="N437" s="362"/>
      <c r="O437" s="312"/>
      <c r="P437" s="312"/>
      <c r="S437" s="2">
        <f t="shared" si="5"/>
        <v>0</v>
      </c>
      <c r="AA437" s="312"/>
      <c r="AB437" s="312"/>
      <c r="AC437" s="312"/>
      <c r="AD437" s="312"/>
    </row>
    <row r="438">
      <c r="A438" s="312"/>
      <c r="B438" s="344">
        <f t="shared" si="1"/>
        <v>2045</v>
      </c>
      <c r="C438" s="344">
        <v>90.0</v>
      </c>
      <c r="D438" s="369"/>
      <c r="E438" s="344" t="str">
        <f t="shared" si="2"/>
        <v>Saturday</v>
      </c>
      <c r="F438" s="344" t="s">
        <v>554</v>
      </c>
      <c r="G438" s="370"/>
      <c r="H438" s="370"/>
      <c r="I438" s="357">
        <f t="shared" si="3"/>
        <v>0</v>
      </c>
      <c r="J438" s="346">
        <f t="shared" si="4"/>
        <v>0</v>
      </c>
      <c r="K438" s="312"/>
      <c r="L438" s="312"/>
      <c r="M438" s="312"/>
      <c r="N438" s="362"/>
      <c r="O438" s="312"/>
      <c r="P438" s="312"/>
      <c r="S438" s="2">
        <f t="shared" si="5"/>
        <v>0</v>
      </c>
      <c r="AA438" s="312"/>
      <c r="AB438" s="312"/>
      <c r="AC438" s="312"/>
      <c r="AD438" s="312"/>
    </row>
    <row r="439">
      <c r="A439" s="312"/>
      <c r="B439" s="344">
        <f t="shared" si="1"/>
        <v>2045</v>
      </c>
      <c r="C439" s="344">
        <v>90.0</v>
      </c>
      <c r="D439" s="369"/>
      <c r="E439" s="344" t="str">
        <f t="shared" si="2"/>
        <v>Saturday</v>
      </c>
      <c r="F439" s="344" t="s">
        <v>554</v>
      </c>
      <c r="G439" s="370"/>
      <c r="H439" s="370"/>
      <c r="I439" s="357">
        <f t="shared" si="3"/>
        <v>0</v>
      </c>
      <c r="J439" s="346">
        <f t="shared" si="4"/>
        <v>0</v>
      </c>
      <c r="K439" s="312"/>
      <c r="L439" s="312"/>
      <c r="M439" s="312"/>
      <c r="N439" s="362"/>
      <c r="O439" s="312"/>
      <c r="P439" s="312"/>
      <c r="S439" s="2">
        <f t="shared" si="5"/>
        <v>0</v>
      </c>
      <c r="AA439" s="312"/>
      <c r="AB439" s="312"/>
      <c r="AC439" s="312"/>
      <c r="AD439" s="312"/>
    </row>
    <row r="440">
      <c r="A440" s="312"/>
      <c r="B440" s="344">
        <f t="shared" si="1"/>
        <v>2045</v>
      </c>
      <c r="C440" s="344">
        <v>90.0</v>
      </c>
      <c r="D440" s="369"/>
      <c r="E440" s="344" t="str">
        <f t="shared" si="2"/>
        <v>Saturday</v>
      </c>
      <c r="F440" s="344" t="s">
        <v>554</v>
      </c>
      <c r="G440" s="370"/>
      <c r="H440" s="370"/>
      <c r="I440" s="357">
        <f t="shared" si="3"/>
        <v>0</v>
      </c>
      <c r="J440" s="346">
        <f t="shared" si="4"/>
        <v>0</v>
      </c>
      <c r="K440" s="312"/>
      <c r="L440" s="312"/>
      <c r="M440" s="312"/>
      <c r="N440" s="362"/>
      <c r="O440" s="312"/>
      <c r="P440" s="312"/>
      <c r="S440" s="2">
        <f t="shared" si="5"/>
        <v>0</v>
      </c>
      <c r="AA440" s="312"/>
      <c r="AB440" s="312"/>
      <c r="AC440" s="312"/>
      <c r="AD440" s="312"/>
    </row>
    <row r="441">
      <c r="A441" s="312"/>
      <c r="B441" s="344">
        <f t="shared" si="1"/>
        <v>2045</v>
      </c>
      <c r="C441" s="344">
        <v>90.0</v>
      </c>
      <c r="D441" s="369"/>
      <c r="E441" s="344" t="str">
        <f t="shared" si="2"/>
        <v>Saturday</v>
      </c>
      <c r="F441" s="344" t="s">
        <v>554</v>
      </c>
      <c r="G441" s="370"/>
      <c r="H441" s="370"/>
      <c r="I441" s="357">
        <f t="shared" si="3"/>
        <v>0</v>
      </c>
      <c r="J441" s="346">
        <f t="shared" si="4"/>
        <v>0</v>
      </c>
      <c r="K441" s="312"/>
      <c r="L441" s="312"/>
      <c r="M441" s="312"/>
      <c r="N441" s="362"/>
      <c r="O441" s="312"/>
      <c r="P441" s="312"/>
      <c r="S441" s="2">
        <f t="shared" si="5"/>
        <v>0</v>
      </c>
      <c r="AA441" s="312"/>
      <c r="AB441" s="312"/>
      <c r="AC441" s="312"/>
      <c r="AD441" s="312"/>
    </row>
    <row r="442">
      <c r="A442" s="312"/>
      <c r="B442" s="344">
        <f t="shared" si="1"/>
        <v>2045</v>
      </c>
      <c r="C442" s="344">
        <v>90.0</v>
      </c>
      <c r="D442" s="369"/>
      <c r="E442" s="344" t="str">
        <f t="shared" si="2"/>
        <v>Saturday</v>
      </c>
      <c r="F442" s="344" t="s">
        <v>554</v>
      </c>
      <c r="G442" s="370"/>
      <c r="H442" s="370"/>
      <c r="I442" s="357">
        <f t="shared" si="3"/>
        <v>0</v>
      </c>
      <c r="J442" s="346">
        <f t="shared" si="4"/>
        <v>0</v>
      </c>
      <c r="K442" s="312"/>
      <c r="L442" s="312"/>
      <c r="M442" s="312"/>
      <c r="N442" s="362"/>
      <c r="O442" s="312"/>
      <c r="P442" s="312"/>
      <c r="S442" s="2">
        <f t="shared" si="5"/>
        <v>0</v>
      </c>
      <c r="AA442" s="312"/>
      <c r="AB442" s="312"/>
      <c r="AC442" s="312"/>
      <c r="AD442" s="312"/>
    </row>
    <row r="443">
      <c r="A443" s="312"/>
      <c r="B443" s="344">
        <f t="shared" si="1"/>
        <v>2045</v>
      </c>
      <c r="C443" s="344">
        <v>90.0</v>
      </c>
      <c r="D443" s="369"/>
      <c r="E443" s="344" t="str">
        <f t="shared" si="2"/>
        <v>Saturday</v>
      </c>
      <c r="F443" s="344" t="s">
        <v>554</v>
      </c>
      <c r="G443" s="370"/>
      <c r="H443" s="370"/>
      <c r="I443" s="357">
        <f t="shared" si="3"/>
        <v>0</v>
      </c>
      <c r="J443" s="346">
        <f t="shared" si="4"/>
        <v>0</v>
      </c>
      <c r="K443" s="312"/>
      <c r="L443" s="312"/>
      <c r="M443" s="312"/>
      <c r="N443" s="362"/>
      <c r="O443" s="312"/>
      <c r="P443" s="312"/>
      <c r="S443" s="2">
        <f t="shared" si="5"/>
        <v>0</v>
      </c>
      <c r="AA443" s="312"/>
      <c r="AB443" s="312"/>
      <c r="AC443" s="312"/>
      <c r="AD443" s="312"/>
    </row>
    <row r="444">
      <c r="A444" s="312"/>
      <c r="B444" s="344">
        <f t="shared" si="1"/>
        <v>2045</v>
      </c>
      <c r="C444" s="344">
        <v>90.0</v>
      </c>
      <c r="D444" s="369"/>
      <c r="E444" s="344" t="str">
        <f t="shared" si="2"/>
        <v>Saturday</v>
      </c>
      <c r="F444" s="344" t="s">
        <v>554</v>
      </c>
      <c r="G444" s="370"/>
      <c r="H444" s="370"/>
      <c r="I444" s="357">
        <f t="shared" si="3"/>
        <v>0</v>
      </c>
      <c r="J444" s="346">
        <f t="shared" si="4"/>
        <v>0</v>
      </c>
      <c r="K444" s="312"/>
      <c r="L444" s="312"/>
      <c r="M444" s="312"/>
      <c r="N444" s="362"/>
      <c r="O444" s="312"/>
      <c r="P444" s="312"/>
      <c r="S444" s="2">
        <f t="shared" si="5"/>
        <v>0</v>
      </c>
      <c r="AA444" s="312"/>
      <c r="AB444" s="312"/>
      <c r="AC444" s="312"/>
      <c r="AD444" s="312"/>
    </row>
    <row r="445">
      <c r="A445" s="312"/>
      <c r="B445" s="344">
        <f t="shared" si="1"/>
        <v>2045</v>
      </c>
      <c r="C445" s="344">
        <v>90.0</v>
      </c>
      <c r="D445" s="369"/>
      <c r="E445" s="344" t="str">
        <f t="shared" si="2"/>
        <v>Saturday</v>
      </c>
      <c r="F445" s="344" t="s">
        <v>554</v>
      </c>
      <c r="G445" s="370"/>
      <c r="H445" s="370"/>
      <c r="I445" s="357">
        <f t="shared" si="3"/>
        <v>0</v>
      </c>
      <c r="J445" s="346">
        <f t="shared" si="4"/>
        <v>0</v>
      </c>
      <c r="K445" s="312"/>
      <c r="L445" s="312"/>
      <c r="M445" s="312"/>
      <c r="N445" s="362"/>
      <c r="O445" s="312"/>
      <c r="P445" s="312"/>
      <c r="S445" s="2">
        <f t="shared" si="5"/>
        <v>0</v>
      </c>
      <c r="AA445" s="312"/>
      <c r="AB445" s="312"/>
      <c r="AC445" s="312"/>
      <c r="AD445" s="312"/>
    </row>
    <row r="446">
      <c r="A446" s="312"/>
      <c r="B446" s="344">
        <f t="shared" si="1"/>
        <v>2045</v>
      </c>
      <c r="C446" s="344">
        <v>90.0</v>
      </c>
      <c r="D446" s="369"/>
      <c r="E446" s="344" t="str">
        <f t="shared" si="2"/>
        <v>Saturday</v>
      </c>
      <c r="F446" s="344" t="s">
        <v>554</v>
      </c>
      <c r="G446" s="370"/>
      <c r="H446" s="370"/>
      <c r="I446" s="357">
        <f t="shared" si="3"/>
        <v>0</v>
      </c>
      <c r="J446" s="346">
        <f t="shared" si="4"/>
        <v>0</v>
      </c>
      <c r="K446" s="312"/>
      <c r="L446" s="312"/>
      <c r="M446" s="312"/>
      <c r="N446" s="362"/>
      <c r="O446" s="312"/>
      <c r="P446" s="312"/>
      <c r="S446" s="2">
        <f t="shared" si="5"/>
        <v>0</v>
      </c>
      <c r="AA446" s="312"/>
      <c r="AB446" s="312"/>
      <c r="AC446" s="312"/>
      <c r="AD446" s="312"/>
    </row>
    <row r="447">
      <c r="A447" s="312"/>
      <c r="B447" s="344">
        <f t="shared" si="1"/>
        <v>2045</v>
      </c>
      <c r="C447" s="344">
        <v>90.0</v>
      </c>
      <c r="D447" s="369"/>
      <c r="E447" s="344" t="str">
        <f t="shared" si="2"/>
        <v>Saturday</v>
      </c>
      <c r="F447" s="344" t="s">
        <v>554</v>
      </c>
      <c r="G447" s="370"/>
      <c r="H447" s="370"/>
      <c r="I447" s="357">
        <f t="shared" si="3"/>
        <v>0</v>
      </c>
      <c r="J447" s="346">
        <f t="shared" si="4"/>
        <v>0</v>
      </c>
      <c r="K447" s="312"/>
      <c r="L447" s="312"/>
      <c r="M447" s="312"/>
      <c r="N447" s="362"/>
      <c r="O447" s="312"/>
      <c r="P447" s="312"/>
      <c r="S447" s="2">
        <f t="shared" si="5"/>
        <v>0</v>
      </c>
      <c r="AA447" s="312"/>
      <c r="AB447" s="312"/>
      <c r="AC447" s="312"/>
      <c r="AD447" s="312"/>
    </row>
    <row r="448">
      <c r="A448" s="312"/>
      <c r="B448" s="344">
        <f t="shared" si="1"/>
        <v>2045</v>
      </c>
      <c r="C448" s="344">
        <v>90.0</v>
      </c>
      <c r="D448" s="369"/>
      <c r="E448" s="344" t="str">
        <f t="shared" si="2"/>
        <v>Saturday</v>
      </c>
      <c r="F448" s="344" t="s">
        <v>554</v>
      </c>
      <c r="G448" s="370"/>
      <c r="H448" s="370"/>
      <c r="I448" s="357">
        <f t="shared" si="3"/>
        <v>0</v>
      </c>
      <c r="J448" s="346">
        <f t="shared" si="4"/>
        <v>0</v>
      </c>
      <c r="K448" s="312"/>
      <c r="L448" s="312"/>
      <c r="M448" s="312"/>
      <c r="N448" s="362"/>
      <c r="O448" s="312"/>
      <c r="P448" s="312"/>
      <c r="S448" s="2">
        <f t="shared" si="5"/>
        <v>0</v>
      </c>
      <c r="AA448" s="312"/>
      <c r="AB448" s="312"/>
      <c r="AC448" s="312"/>
      <c r="AD448" s="312"/>
    </row>
    <row r="449">
      <c r="A449" s="312"/>
      <c r="B449" s="344">
        <f t="shared" si="1"/>
        <v>2045</v>
      </c>
      <c r="C449" s="344">
        <v>90.0</v>
      </c>
      <c r="D449" s="369"/>
      <c r="E449" s="344" t="str">
        <f t="shared" si="2"/>
        <v>Saturday</v>
      </c>
      <c r="F449" s="344" t="s">
        <v>554</v>
      </c>
      <c r="G449" s="370"/>
      <c r="H449" s="370"/>
      <c r="I449" s="357">
        <f t="shared" si="3"/>
        <v>0</v>
      </c>
      <c r="J449" s="346">
        <f t="shared" si="4"/>
        <v>0</v>
      </c>
      <c r="K449" s="312"/>
      <c r="L449" s="312"/>
      <c r="M449" s="312"/>
      <c r="N449" s="362"/>
      <c r="O449" s="312"/>
      <c r="P449" s="312"/>
      <c r="S449" s="2">
        <f t="shared" si="5"/>
        <v>0</v>
      </c>
      <c r="AA449" s="312"/>
      <c r="AB449" s="312"/>
      <c r="AC449" s="312"/>
      <c r="AD449" s="312"/>
    </row>
    <row r="450">
      <c r="A450" s="312"/>
      <c r="B450" s="344">
        <f t="shared" si="1"/>
        <v>2045</v>
      </c>
      <c r="C450" s="344">
        <v>90.0</v>
      </c>
      <c r="D450" s="369"/>
      <c r="E450" s="344" t="str">
        <f t="shared" si="2"/>
        <v>Saturday</v>
      </c>
      <c r="F450" s="344" t="s">
        <v>554</v>
      </c>
      <c r="G450" s="370"/>
      <c r="H450" s="370"/>
      <c r="I450" s="357">
        <f t="shared" si="3"/>
        <v>0</v>
      </c>
      <c r="J450" s="346">
        <f t="shared" si="4"/>
        <v>0</v>
      </c>
      <c r="K450" s="312"/>
      <c r="L450" s="312"/>
      <c r="M450" s="312"/>
      <c r="N450" s="362"/>
      <c r="O450" s="312"/>
      <c r="P450" s="312"/>
      <c r="S450" s="2">
        <f t="shared" si="5"/>
        <v>0</v>
      </c>
      <c r="AA450" s="312"/>
      <c r="AB450" s="312"/>
      <c r="AC450" s="312"/>
      <c r="AD450" s="312"/>
    </row>
    <row r="451">
      <c r="A451" s="312"/>
      <c r="B451" s="344">
        <f t="shared" si="1"/>
        <v>2045</v>
      </c>
      <c r="C451" s="344">
        <v>90.0</v>
      </c>
      <c r="D451" s="369"/>
      <c r="E451" s="344" t="str">
        <f t="shared" si="2"/>
        <v>Saturday</v>
      </c>
      <c r="F451" s="344" t="s">
        <v>554</v>
      </c>
      <c r="G451" s="370"/>
      <c r="H451" s="370"/>
      <c r="I451" s="357">
        <f t="shared" si="3"/>
        <v>0</v>
      </c>
      <c r="J451" s="346">
        <f t="shared" si="4"/>
        <v>0</v>
      </c>
      <c r="K451" s="312"/>
      <c r="L451" s="312"/>
      <c r="M451" s="312"/>
      <c r="N451" s="362"/>
      <c r="O451" s="312"/>
      <c r="P451" s="312"/>
      <c r="S451" s="2">
        <f t="shared" si="5"/>
        <v>0</v>
      </c>
      <c r="AA451" s="312"/>
      <c r="AB451" s="312"/>
      <c r="AC451" s="312"/>
      <c r="AD451" s="312"/>
    </row>
    <row r="452">
      <c r="A452" s="312"/>
      <c r="B452" s="344">
        <f t="shared" si="1"/>
        <v>2045</v>
      </c>
      <c r="C452" s="344">
        <v>90.0</v>
      </c>
      <c r="D452" s="369"/>
      <c r="E452" s="344" t="str">
        <f t="shared" si="2"/>
        <v>Saturday</v>
      </c>
      <c r="F452" s="344" t="s">
        <v>554</v>
      </c>
      <c r="G452" s="370"/>
      <c r="H452" s="370"/>
      <c r="I452" s="357">
        <f t="shared" si="3"/>
        <v>0</v>
      </c>
      <c r="J452" s="346">
        <f t="shared" si="4"/>
        <v>0</v>
      </c>
      <c r="K452" s="312"/>
      <c r="L452" s="312"/>
      <c r="M452" s="312"/>
      <c r="N452" s="362"/>
      <c r="O452" s="312"/>
      <c r="P452" s="312"/>
      <c r="S452" s="2">
        <f t="shared" si="5"/>
        <v>0</v>
      </c>
      <c r="AA452" s="312"/>
      <c r="AB452" s="312"/>
      <c r="AC452" s="312"/>
      <c r="AD452" s="312"/>
    </row>
    <row r="453">
      <c r="A453" s="312"/>
      <c r="B453" s="344">
        <f t="shared" si="1"/>
        <v>2045</v>
      </c>
      <c r="C453" s="344">
        <v>90.0</v>
      </c>
      <c r="D453" s="369"/>
      <c r="E453" s="344" t="str">
        <f t="shared" si="2"/>
        <v>Saturday</v>
      </c>
      <c r="F453" s="344" t="s">
        <v>554</v>
      </c>
      <c r="G453" s="370"/>
      <c r="H453" s="370"/>
      <c r="I453" s="357">
        <f t="shared" si="3"/>
        <v>0</v>
      </c>
      <c r="J453" s="346">
        <f t="shared" si="4"/>
        <v>0</v>
      </c>
      <c r="K453" s="312"/>
      <c r="L453" s="312"/>
      <c r="M453" s="312"/>
      <c r="N453" s="362"/>
      <c r="O453" s="312"/>
      <c r="P453" s="312"/>
      <c r="S453" s="2">
        <f t="shared" si="5"/>
        <v>0</v>
      </c>
      <c r="AA453" s="312"/>
      <c r="AB453" s="312"/>
      <c r="AC453" s="312"/>
      <c r="AD453" s="312"/>
    </row>
    <row r="454">
      <c r="A454" s="312"/>
      <c r="B454" s="344">
        <f t="shared" si="1"/>
        <v>2045</v>
      </c>
      <c r="C454" s="344">
        <v>90.0</v>
      </c>
      <c r="D454" s="369"/>
      <c r="E454" s="344" t="str">
        <f t="shared" si="2"/>
        <v>Saturday</v>
      </c>
      <c r="F454" s="344" t="s">
        <v>554</v>
      </c>
      <c r="G454" s="370"/>
      <c r="H454" s="370"/>
      <c r="I454" s="357">
        <f t="shared" si="3"/>
        <v>0</v>
      </c>
      <c r="J454" s="346">
        <f t="shared" si="4"/>
        <v>0</v>
      </c>
      <c r="K454" s="312"/>
      <c r="L454" s="312"/>
      <c r="M454" s="312"/>
      <c r="N454" s="362"/>
      <c r="O454" s="312"/>
      <c r="P454" s="312"/>
      <c r="S454" s="2">
        <f t="shared" si="5"/>
        <v>0</v>
      </c>
      <c r="AA454" s="312"/>
      <c r="AB454" s="312"/>
      <c r="AC454" s="312"/>
      <c r="AD454" s="312"/>
    </row>
    <row r="455">
      <c r="A455" s="312"/>
      <c r="B455" s="344">
        <f t="shared" si="1"/>
        <v>2045</v>
      </c>
      <c r="C455" s="344">
        <v>90.0</v>
      </c>
      <c r="D455" s="369"/>
      <c r="E455" s="344" t="str">
        <f t="shared" si="2"/>
        <v>Saturday</v>
      </c>
      <c r="F455" s="344" t="s">
        <v>554</v>
      </c>
      <c r="G455" s="370"/>
      <c r="H455" s="370"/>
      <c r="I455" s="357">
        <f t="shared" si="3"/>
        <v>0</v>
      </c>
      <c r="J455" s="346">
        <f t="shared" si="4"/>
        <v>0</v>
      </c>
      <c r="K455" s="312"/>
      <c r="L455" s="312"/>
      <c r="M455" s="312"/>
      <c r="N455" s="362"/>
      <c r="O455" s="312"/>
      <c r="P455" s="312"/>
      <c r="S455" s="2">
        <f t="shared" si="5"/>
        <v>0</v>
      </c>
      <c r="AA455" s="312"/>
      <c r="AB455" s="312"/>
      <c r="AC455" s="312"/>
      <c r="AD455" s="312"/>
    </row>
    <row r="456">
      <c r="A456" s="312"/>
      <c r="B456" s="344">
        <f t="shared" si="1"/>
        <v>2045</v>
      </c>
      <c r="C456" s="344">
        <v>90.0</v>
      </c>
      <c r="D456" s="369"/>
      <c r="E456" s="344" t="str">
        <f t="shared" si="2"/>
        <v>Saturday</v>
      </c>
      <c r="F456" s="344" t="s">
        <v>554</v>
      </c>
      <c r="G456" s="370"/>
      <c r="H456" s="370"/>
      <c r="I456" s="357">
        <f t="shared" si="3"/>
        <v>0</v>
      </c>
      <c r="J456" s="346">
        <f t="shared" si="4"/>
        <v>0</v>
      </c>
      <c r="K456" s="312"/>
      <c r="L456" s="312"/>
      <c r="M456" s="312"/>
      <c r="N456" s="362"/>
      <c r="O456" s="312"/>
      <c r="P456" s="312"/>
      <c r="S456" s="2">
        <f t="shared" si="5"/>
        <v>0</v>
      </c>
      <c r="AA456" s="312"/>
      <c r="AB456" s="312"/>
      <c r="AC456" s="312"/>
      <c r="AD456" s="312"/>
    </row>
    <row r="457">
      <c r="A457" s="312"/>
      <c r="B457" s="344">
        <f t="shared" si="1"/>
        <v>2045</v>
      </c>
      <c r="C457" s="344">
        <v>90.0</v>
      </c>
      <c r="D457" s="369"/>
      <c r="E457" s="344" t="str">
        <f t="shared" si="2"/>
        <v>Saturday</v>
      </c>
      <c r="F457" s="344" t="s">
        <v>554</v>
      </c>
      <c r="G457" s="370"/>
      <c r="H457" s="370"/>
      <c r="I457" s="357">
        <f t="shared" si="3"/>
        <v>0</v>
      </c>
      <c r="J457" s="346">
        <f t="shared" si="4"/>
        <v>0</v>
      </c>
      <c r="K457" s="312"/>
      <c r="L457" s="312"/>
      <c r="M457" s="312"/>
      <c r="N457" s="362"/>
      <c r="O457" s="312"/>
      <c r="P457" s="312"/>
      <c r="S457" s="2">
        <f t="shared" si="5"/>
        <v>0</v>
      </c>
      <c r="AA457" s="312"/>
      <c r="AB457" s="312"/>
      <c r="AC457" s="312"/>
      <c r="AD457" s="312"/>
    </row>
    <row r="458">
      <c r="A458" s="312"/>
      <c r="B458" s="344">
        <f t="shared" si="1"/>
        <v>2045</v>
      </c>
      <c r="C458" s="344">
        <v>90.0</v>
      </c>
      <c r="D458" s="369"/>
      <c r="E458" s="344" t="str">
        <f t="shared" si="2"/>
        <v>Saturday</v>
      </c>
      <c r="F458" s="344" t="s">
        <v>554</v>
      </c>
      <c r="G458" s="370"/>
      <c r="H458" s="370"/>
      <c r="I458" s="357">
        <f t="shared" si="3"/>
        <v>0</v>
      </c>
      <c r="J458" s="346">
        <f t="shared" si="4"/>
        <v>0</v>
      </c>
      <c r="K458" s="312"/>
      <c r="L458" s="312"/>
      <c r="M458" s="312"/>
      <c r="N458" s="362"/>
      <c r="O458" s="312"/>
      <c r="P458" s="312"/>
      <c r="S458" s="2">
        <f t="shared" si="5"/>
        <v>0</v>
      </c>
      <c r="AA458" s="312"/>
      <c r="AB458" s="312"/>
      <c r="AC458" s="312"/>
      <c r="AD458" s="312"/>
    </row>
    <row r="459">
      <c r="A459" s="312"/>
      <c r="B459" s="344">
        <f t="shared" si="1"/>
        <v>2045</v>
      </c>
      <c r="C459" s="344">
        <v>90.0</v>
      </c>
      <c r="D459" s="369"/>
      <c r="E459" s="344" t="str">
        <f t="shared" si="2"/>
        <v>Saturday</v>
      </c>
      <c r="F459" s="344" t="s">
        <v>554</v>
      </c>
      <c r="G459" s="370"/>
      <c r="H459" s="370"/>
      <c r="I459" s="357">
        <f t="shared" si="3"/>
        <v>0</v>
      </c>
      <c r="J459" s="346">
        <f t="shared" si="4"/>
        <v>0</v>
      </c>
      <c r="K459" s="312"/>
      <c r="L459" s="312"/>
      <c r="M459" s="312"/>
      <c r="N459" s="362"/>
      <c r="O459" s="312"/>
      <c r="P459" s="312"/>
      <c r="S459" s="2">
        <f t="shared" si="5"/>
        <v>0</v>
      </c>
      <c r="AA459" s="312"/>
      <c r="AB459" s="312"/>
      <c r="AC459" s="312"/>
      <c r="AD459" s="312"/>
    </row>
    <row r="460">
      <c r="A460" s="312"/>
      <c r="B460" s="344">
        <f t="shared" si="1"/>
        <v>2045</v>
      </c>
      <c r="C460" s="344">
        <v>90.0</v>
      </c>
      <c r="D460" s="369"/>
      <c r="E460" s="344" t="str">
        <f t="shared" si="2"/>
        <v>Saturday</v>
      </c>
      <c r="F460" s="344" t="s">
        <v>554</v>
      </c>
      <c r="G460" s="370"/>
      <c r="H460" s="370"/>
      <c r="I460" s="357">
        <f t="shared" si="3"/>
        <v>0</v>
      </c>
      <c r="J460" s="346">
        <f t="shared" si="4"/>
        <v>0</v>
      </c>
      <c r="K460" s="312"/>
      <c r="L460" s="312"/>
      <c r="M460" s="312"/>
      <c r="N460" s="362"/>
      <c r="O460" s="312"/>
      <c r="P460" s="312"/>
      <c r="S460" s="2">
        <f t="shared" si="5"/>
        <v>0</v>
      </c>
      <c r="AA460" s="312"/>
      <c r="AB460" s="312"/>
      <c r="AC460" s="312"/>
      <c r="AD460" s="312"/>
    </row>
    <row r="461">
      <c r="A461" s="312"/>
      <c r="B461" s="344">
        <f t="shared" si="1"/>
        <v>2045</v>
      </c>
      <c r="C461" s="344">
        <v>90.0</v>
      </c>
      <c r="D461" s="369"/>
      <c r="E461" s="344" t="str">
        <f t="shared" si="2"/>
        <v>Saturday</v>
      </c>
      <c r="F461" s="344" t="s">
        <v>554</v>
      </c>
      <c r="G461" s="370"/>
      <c r="H461" s="370"/>
      <c r="I461" s="357">
        <f t="shared" si="3"/>
        <v>0</v>
      </c>
      <c r="J461" s="346">
        <f t="shared" si="4"/>
        <v>0</v>
      </c>
      <c r="K461" s="312"/>
      <c r="L461" s="312"/>
      <c r="M461" s="312"/>
      <c r="N461" s="362"/>
      <c r="O461" s="312"/>
      <c r="P461" s="312"/>
      <c r="S461" s="2">
        <f t="shared" si="5"/>
        <v>0</v>
      </c>
      <c r="AA461" s="312"/>
      <c r="AB461" s="312"/>
      <c r="AC461" s="312"/>
      <c r="AD461" s="312"/>
    </row>
    <row r="462">
      <c r="A462" s="312"/>
      <c r="B462" s="344">
        <f t="shared" si="1"/>
        <v>2045</v>
      </c>
      <c r="C462" s="344">
        <v>90.0</v>
      </c>
      <c r="D462" s="369"/>
      <c r="E462" s="344" t="str">
        <f t="shared" si="2"/>
        <v>Saturday</v>
      </c>
      <c r="F462" s="344" t="s">
        <v>554</v>
      </c>
      <c r="G462" s="370"/>
      <c r="H462" s="370"/>
      <c r="I462" s="357">
        <f t="shared" si="3"/>
        <v>0</v>
      </c>
      <c r="J462" s="346">
        <f t="shared" si="4"/>
        <v>0</v>
      </c>
      <c r="K462" s="312"/>
      <c r="L462" s="312"/>
      <c r="M462" s="312"/>
      <c r="N462" s="362"/>
      <c r="O462" s="312"/>
      <c r="P462" s="312"/>
      <c r="S462" s="2">
        <f t="shared" si="5"/>
        <v>0</v>
      </c>
      <c r="AA462" s="312"/>
      <c r="AB462" s="312"/>
      <c r="AC462" s="312"/>
      <c r="AD462" s="312"/>
    </row>
    <row r="463">
      <c r="A463" s="312"/>
      <c r="B463" s="344">
        <f t="shared" si="1"/>
        <v>2045</v>
      </c>
      <c r="C463" s="344">
        <v>90.0</v>
      </c>
      <c r="D463" s="369"/>
      <c r="E463" s="344" t="str">
        <f t="shared" si="2"/>
        <v>Saturday</v>
      </c>
      <c r="F463" s="344" t="s">
        <v>554</v>
      </c>
      <c r="G463" s="370"/>
      <c r="H463" s="370"/>
      <c r="I463" s="357">
        <f t="shared" si="3"/>
        <v>0</v>
      </c>
      <c r="J463" s="346">
        <f t="shared" si="4"/>
        <v>0</v>
      </c>
      <c r="K463" s="312"/>
      <c r="L463" s="312"/>
      <c r="M463" s="312"/>
      <c r="N463" s="362"/>
      <c r="O463" s="312"/>
      <c r="P463" s="312"/>
      <c r="S463" s="2">
        <f t="shared" si="5"/>
        <v>0</v>
      </c>
      <c r="AA463" s="312"/>
      <c r="AB463" s="312"/>
      <c r="AC463" s="312"/>
      <c r="AD463" s="312"/>
    </row>
    <row r="464">
      <c r="A464" s="312"/>
      <c r="B464" s="344">
        <f t="shared" si="1"/>
        <v>2045</v>
      </c>
      <c r="C464" s="344">
        <v>90.0</v>
      </c>
      <c r="D464" s="369"/>
      <c r="E464" s="344" t="str">
        <f t="shared" si="2"/>
        <v>Saturday</v>
      </c>
      <c r="F464" s="344" t="s">
        <v>554</v>
      </c>
      <c r="G464" s="370"/>
      <c r="H464" s="370"/>
      <c r="I464" s="357">
        <f t="shared" si="3"/>
        <v>0</v>
      </c>
      <c r="J464" s="346">
        <f t="shared" si="4"/>
        <v>0</v>
      </c>
      <c r="K464" s="312"/>
      <c r="L464" s="312"/>
      <c r="M464" s="312"/>
      <c r="N464" s="362"/>
      <c r="O464" s="312"/>
      <c r="P464" s="312"/>
      <c r="S464" s="2">
        <f t="shared" si="5"/>
        <v>0</v>
      </c>
      <c r="AA464" s="312"/>
      <c r="AB464" s="312"/>
      <c r="AC464" s="312"/>
      <c r="AD464" s="312"/>
    </row>
    <row r="465">
      <c r="A465" s="312"/>
      <c r="B465" s="344">
        <f t="shared" si="1"/>
        <v>2045</v>
      </c>
      <c r="C465" s="344">
        <v>90.0</v>
      </c>
      <c r="D465" s="369"/>
      <c r="E465" s="344" t="str">
        <f t="shared" si="2"/>
        <v>Saturday</v>
      </c>
      <c r="F465" s="344" t="s">
        <v>554</v>
      </c>
      <c r="G465" s="370"/>
      <c r="H465" s="370"/>
      <c r="I465" s="357">
        <f t="shared" si="3"/>
        <v>0</v>
      </c>
      <c r="J465" s="346">
        <f t="shared" si="4"/>
        <v>0</v>
      </c>
      <c r="K465" s="312"/>
      <c r="L465" s="312"/>
      <c r="M465" s="312"/>
      <c r="N465" s="362"/>
      <c r="O465" s="312"/>
      <c r="P465" s="312"/>
      <c r="S465" s="2">
        <f t="shared" si="5"/>
        <v>0</v>
      </c>
      <c r="AA465" s="312"/>
      <c r="AB465" s="312"/>
      <c r="AC465" s="312"/>
      <c r="AD465" s="312"/>
    </row>
    <row r="466">
      <c r="A466" s="312"/>
      <c r="B466" s="344">
        <f t="shared" si="1"/>
        <v>2045</v>
      </c>
      <c r="C466" s="344">
        <v>90.0</v>
      </c>
      <c r="D466" s="369"/>
      <c r="E466" s="344" t="str">
        <f t="shared" si="2"/>
        <v>Saturday</v>
      </c>
      <c r="F466" s="344" t="s">
        <v>554</v>
      </c>
      <c r="G466" s="370"/>
      <c r="H466" s="370"/>
      <c r="I466" s="357">
        <f t="shared" si="3"/>
        <v>0</v>
      </c>
      <c r="J466" s="346">
        <f t="shared" si="4"/>
        <v>0</v>
      </c>
      <c r="K466" s="312"/>
      <c r="L466" s="312"/>
      <c r="M466" s="312"/>
      <c r="N466" s="362"/>
      <c r="O466" s="312"/>
      <c r="P466" s="312"/>
      <c r="S466" s="2">
        <f t="shared" si="5"/>
        <v>0</v>
      </c>
      <c r="AA466" s="312"/>
      <c r="AB466" s="312"/>
      <c r="AC466" s="312"/>
      <c r="AD466" s="312"/>
    </row>
    <row r="467">
      <c r="A467" s="312"/>
      <c r="B467" s="344">
        <f t="shared" si="1"/>
        <v>2045</v>
      </c>
      <c r="C467" s="344">
        <v>90.0</v>
      </c>
      <c r="D467" s="369"/>
      <c r="E467" s="344" t="str">
        <f t="shared" si="2"/>
        <v>Saturday</v>
      </c>
      <c r="F467" s="344" t="s">
        <v>554</v>
      </c>
      <c r="G467" s="370"/>
      <c r="H467" s="370"/>
      <c r="I467" s="357">
        <f t="shared" si="3"/>
        <v>0</v>
      </c>
      <c r="J467" s="346">
        <f t="shared" si="4"/>
        <v>0</v>
      </c>
      <c r="K467" s="312"/>
      <c r="L467" s="312"/>
      <c r="M467" s="312"/>
      <c r="N467" s="362"/>
      <c r="O467" s="312"/>
      <c r="P467" s="312"/>
      <c r="S467" s="2">
        <f t="shared" si="5"/>
        <v>0</v>
      </c>
      <c r="AA467" s="312"/>
      <c r="AB467" s="312"/>
      <c r="AC467" s="312"/>
      <c r="AD467" s="312"/>
    </row>
    <row r="468">
      <c r="A468" s="312"/>
      <c r="B468" s="344">
        <f t="shared" si="1"/>
        <v>2045</v>
      </c>
      <c r="C468" s="344">
        <v>90.0</v>
      </c>
      <c r="D468" s="369"/>
      <c r="E468" s="344" t="str">
        <f t="shared" si="2"/>
        <v>Saturday</v>
      </c>
      <c r="F468" s="344" t="s">
        <v>554</v>
      </c>
      <c r="G468" s="370"/>
      <c r="H468" s="370"/>
      <c r="I468" s="357">
        <f t="shared" si="3"/>
        <v>0</v>
      </c>
      <c r="J468" s="346">
        <f t="shared" si="4"/>
        <v>0</v>
      </c>
      <c r="K468" s="312"/>
      <c r="L468" s="312"/>
      <c r="M468" s="312"/>
      <c r="N468" s="362"/>
      <c r="O468" s="312"/>
      <c r="P468" s="312"/>
      <c r="S468" s="2">
        <f t="shared" si="5"/>
        <v>0</v>
      </c>
      <c r="AA468" s="312"/>
      <c r="AB468" s="312"/>
      <c r="AC468" s="312"/>
      <c r="AD468" s="312"/>
    </row>
    <row r="469">
      <c r="A469" s="312"/>
      <c r="B469" s="344">
        <f t="shared" si="1"/>
        <v>2045</v>
      </c>
      <c r="C469" s="344">
        <v>90.0</v>
      </c>
      <c r="D469" s="369"/>
      <c r="E469" s="344" t="str">
        <f t="shared" si="2"/>
        <v>Saturday</v>
      </c>
      <c r="F469" s="344" t="s">
        <v>554</v>
      </c>
      <c r="G469" s="370"/>
      <c r="H469" s="370"/>
      <c r="I469" s="357">
        <f t="shared" si="3"/>
        <v>0</v>
      </c>
      <c r="J469" s="346">
        <f t="shared" si="4"/>
        <v>0</v>
      </c>
      <c r="K469" s="312"/>
      <c r="L469" s="312"/>
      <c r="M469" s="312"/>
      <c r="N469" s="362"/>
      <c r="O469" s="312"/>
      <c r="P469" s="312"/>
      <c r="S469" s="2">
        <f t="shared" si="5"/>
        <v>0</v>
      </c>
      <c r="AA469" s="312"/>
      <c r="AB469" s="312"/>
      <c r="AC469" s="312"/>
      <c r="AD469" s="312"/>
    </row>
    <row r="470">
      <c r="A470" s="312"/>
      <c r="B470" s="344">
        <f t="shared" si="1"/>
        <v>2045</v>
      </c>
      <c r="C470" s="344">
        <v>90.0</v>
      </c>
      <c r="D470" s="369"/>
      <c r="E470" s="344" t="str">
        <f t="shared" si="2"/>
        <v>Saturday</v>
      </c>
      <c r="F470" s="344" t="s">
        <v>554</v>
      </c>
      <c r="G470" s="370"/>
      <c r="H470" s="370"/>
      <c r="I470" s="357">
        <f t="shared" si="3"/>
        <v>0</v>
      </c>
      <c r="J470" s="346">
        <f t="shared" si="4"/>
        <v>0</v>
      </c>
      <c r="K470" s="312"/>
      <c r="L470" s="312"/>
      <c r="M470" s="312"/>
      <c r="N470" s="362"/>
      <c r="O470" s="312"/>
      <c r="P470" s="312"/>
      <c r="S470" s="2">
        <f t="shared" si="5"/>
        <v>0</v>
      </c>
      <c r="AA470" s="312"/>
      <c r="AB470" s="312"/>
      <c r="AC470" s="312"/>
      <c r="AD470" s="312"/>
    </row>
    <row r="471">
      <c r="A471" s="312"/>
      <c r="B471" s="344">
        <f t="shared" si="1"/>
        <v>2045</v>
      </c>
      <c r="C471" s="344">
        <v>90.0</v>
      </c>
      <c r="D471" s="369"/>
      <c r="E471" s="344" t="str">
        <f t="shared" si="2"/>
        <v>Saturday</v>
      </c>
      <c r="F471" s="344" t="s">
        <v>554</v>
      </c>
      <c r="G471" s="370"/>
      <c r="H471" s="370"/>
      <c r="I471" s="357">
        <f t="shared" si="3"/>
        <v>0</v>
      </c>
      <c r="J471" s="346">
        <f t="shared" si="4"/>
        <v>0</v>
      </c>
      <c r="K471" s="312"/>
      <c r="L471" s="312"/>
      <c r="M471" s="312"/>
      <c r="N471" s="362"/>
      <c r="O471" s="312"/>
      <c r="P471" s="312"/>
      <c r="S471" s="2">
        <f t="shared" si="5"/>
        <v>0</v>
      </c>
      <c r="AA471" s="312"/>
      <c r="AB471" s="312"/>
      <c r="AC471" s="312"/>
      <c r="AD471" s="312"/>
    </row>
    <row r="472">
      <c r="A472" s="312"/>
      <c r="B472" s="344">
        <f t="shared" si="1"/>
        <v>2045</v>
      </c>
      <c r="C472" s="344">
        <v>90.0</v>
      </c>
      <c r="D472" s="369"/>
      <c r="E472" s="344" t="str">
        <f t="shared" si="2"/>
        <v>Saturday</v>
      </c>
      <c r="F472" s="344" t="s">
        <v>554</v>
      </c>
      <c r="G472" s="370"/>
      <c r="H472" s="370"/>
      <c r="I472" s="357">
        <f t="shared" si="3"/>
        <v>0</v>
      </c>
      <c r="J472" s="346">
        <f t="shared" si="4"/>
        <v>0</v>
      </c>
      <c r="K472" s="312"/>
      <c r="L472" s="312"/>
      <c r="M472" s="312"/>
      <c r="N472" s="362"/>
      <c r="O472" s="312"/>
      <c r="P472" s="312"/>
      <c r="S472" s="2">
        <f t="shared" si="5"/>
        <v>0</v>
      </c>
      <c r="AA472" s="312"/>
      <c r="AB472" s="312"/>
      <c r="AC472" s="312"/>
      <c r="AD472" s="312"/>
    </row>
    <row r="473">
      <c r="A473" s="312"/>
      <c r="B473" s="344">
        <f t="shared" si="1"/>
        <v>2045</v>
      </c>
      <c r="C473" s="344">
        <v>90.0</v>
      </c>
      <c r="D473" s="369"/>
      <c r="E473" s="344" t="str">
        <f t="shared" si="2"/>
        <v>Saturday</v>
      </c>
      <c r="F473" s="344" t="s">
        <v>554</v>
      </c>
      <c r="G473" s="370"/>
      <c r="H473" s="370"/>
      <c r="I473" s="357">
        <f t="shared" si="3"/>
        <v>0</v>
      </c>
      <c r="J473" s="346">
        <f t="shared" si="4"/>
        <v>0</v>
      </c>
      <c r="K473" s="312"/>
      <c r="L473" s="312"/>
      <c r="M473" s="312"/>
      <c r="N473" s="362"/>
      <c r="O473" s="312"/>
      <c r="P473" s="312"/>
      <c r="S473" s="2">
        <f t="shared" si="5"/>
        <v>0</v>
      </c>
      <c r="AA473" s="312"/>
      <c r="AB473" s="312"/>
      <c r="AC473" s="312"/>
      <c r="AD473" s="312"/>
    </row>
    <row r="474">
      <c r="A474" s="312"/>
      <c r="B474" s="344">
        <f t="shared" si="1"/>
        <v>2045</v>
      </c>
      <c r="C474" s="344">
        <v>90.0</v>
      </c>
      <c r="D474" s="369"/>
      <c r="E474" s="344" t="str">
        <f t="shared" si="2"/>
        <v>Saturday</v>
      </c>
      <c r="F474" s="344" t="s">
        <v>554</v>
      </c>
      <c r="G474" s="370"/>
      <c r="H474" s="370"/>
      <c r="I474" s="357">
        <f t="shared" si="3"/>
        <v>0</v>
      </c>
      <c r="J474" s="346">
        <f t="shared" si="4"/>
        <v>0</v>
      </c>
      <c r="K474" s="312"/>
      <c r="L474" s="312"/>
      <c r="M474" s="312"/>
      <c r="N474" s="362"/>
      <c r="O474" s="312"/>
      <c r="P474" s="312"/>
      <c r="S474" s="2">
        <f t="shared" si="5"/>
        <v>0</v>
      </c>
      <c r="AA474" s="312"/>
      <c r="AB474" s="312"/>
      <c r="AC474" s="312"/>
      <c r="AD474" s="312"/>
    </row>
    <row r="475">
      <c r="A475" s="312"/>
      <c r="B475" s="344">
        <f t="shared" si="1"/>
        <v>2045</v>
      </c>
      <c r="C475" s="344">
        <v>90.0</v>
      </c>
      <c r="D475" s="369"/>
      <c r="E475" s="344" t="str">
        <f t="shared" si="2"/>
        <v>Saturday</v>
      </c>
      <c r="F475" s="344" t="s">
        <v>554</v>
      </c>
      <c r="G475" s="370"/>
      <c r="H475" s="370"/>
      <c r="I475" s="357">
        <f t="shared" si="3"/>
        <v>0</v>
      </c>
      <c r="J475" s="346">
        <f t="shared" si="4"/>
        <v>0</v>
      </c>
      <c r="K475" s="312"/>
      <c r="L475" s="312"/>
      <c r="M475" s="312"/>
      <c r="N475" s="362"/>
      <c r="O475" s="312"/>
      <c r="P475" s="312"/>
      <c r="S475" s="2">
        <f t="shared" si="5"/>
        <v>0</v>
      </c>
      <c r="AA475" s="312"/>
      <c r="AB475" s="312"/>
      <c r="AC475" s="312"/>
      <c r="AD475" s="312"/>
    </row>
    <row r="476">
      <c r="A476" s="312"/>
      <c r="B476" s="344">
        <f t="shared" si="1"/>
        <v>2045</v>
      </c>
      <c r="C476" s="344">
        <v>90.0</v>
      </c>
      <c r="D476" s="369"/>
      <c r="E476" s="344" t="str">
        <f t="shared" si="2"/>
        <v>Saturday</v>
      </c>
      <c r="F476" s="344" t="s">
        <v>554</v>
      </c>
      <c r="G476" s="370"/>
      <c r="H476" s="370"/>
      <c r="I476" s="357">
        <f t="shared" si="3"/>
        <v>0</v>
      </c>
      <c r="J476" s="346">
        <f t="shared" si="4"/>
        <v>0</v>
      </c>
      <c r="K476" s="312"/>
      <c r="L476" s="312"/>
      <c r="M476" s="312"/>
      <c r="N476" s="362"/>
      <c r="O476" s="312"/>
      <c r="P476" s="312"/>
      <c r="S476" s="2">
        <f t="shared" si="5"/>
        <v>0</v>
      </c>
      <c r="AA476" s="312"/>
      <c r="AB476" s="312"/>
      <c r="AC476" s="312"/>
      <c r="AD476" s="312"/>
    </row>
    <row r="477">
      <c r="A477" s="312"/>
      <c r="B477" s="344">
        <f t="shared" si="1"/>
        <v>2045</v>
      </c>
      <c r="C477" s="344">
        <v>90.0</v>
      </c>
      <c r="D477" s="369"/>
      <c r="E477" s="344" t="str">
        <f t="shared" si="2"/>
        <v>Saturday</v>
      </c>
      <c r="F477" s="344" t="s">
        <v>554</v>
      </c>
      <c r="G477" s="370"/>
      <c r="H477" s="370"/>
      <c r="I477" s="357">
        <f t="shared" si="3"/>
        <v>0</v>
      </c>
      <c r="J477" s="346">
        <f t="shared" si="4"/>
        <v>0</v>
      </c>
      <c r="K477" s="312"/>
      <c r="L477" s="312"/>
      <c r="M477" s="312"/>
      <c r="N477" s="362"/>
      <c r="O477" s="312"/>
      <c r="P477" s="312"/>
      <c r="S477" s="2">
        <f t="shared" si="5"/>
        <v>0</v>
      </c>
      <c r="AA477" s="312"/>
      <c r="AB477" s="312"/>
      <c r="AC477" s="312"/>
      <c r="AD477" s="312"/>
    </row>
    <row r="478">
      <c r="A478" s="312"/>
      <c r="B478" s="344">
        <f t="shared" si="1"/>
        <v>2045</v>
      </c>
      <c r="C478" s="344">
        <v>90.0</v>
      </c>
      <c r="D478" s="369"/>
      <c r="E478" s="344" t="str">
        <f t="shared" si="2"/>
        <v>Saturday</v>
      </c>
      <c r="F478" s="344" t="s">
        <v>554</v>
      </c>
      <c r="G478" s="370"/>
      <c r="H478" s="370"/>
      <c r="I478" s="357">
        <f t="shared" si="3"/>
        <v>0</v>
      </c>
      <c r="J478" s="346">
        <f t="shared" si="4"/>
        <v>0</v>
      </c>
      <c r="K478" s="312"/>
      <c r="L478" s="312"/>
      <c r="M478" s="312"/>
      <c r="N478" s="362"/>
      <c r="O478" s="312"/>
      <c r="P478" s="312"/>
      <c r="S478" s="2">
        <f t="shared" si="5"/>
        <v>0</v>
      </c>
      <c r="AA478" s="312"/>
      <c r="AB478" s="312"/>
      <c r="AC478" s="312"/>
      <c r="AD478" s="312"/>
    </row>
    <row r="479">
      <c r="A479" s="312"/>
      <c r="B479" s="344">
        <f t="shared" si="1"/>
        <v>2045</v>
      </c>
      <c r="C479" s="344">
        <v>90.0</v>
      </c>
      <c r="D479" s="369"/>
      <c r="E479" s="344" t="str">
        <f t="shared" si="2"/>
        <v>Saturday</v>
      </c>
      <c r="F479" s="344" t="s">
        <v>554</v>
      </c>
      <c r="G479" s="370"/>
      <c r="H479" s="370"/>
      <c r="I479" s="357">
        <f t="shared" si="3"/>
        <v>0</v>
      </c>
      <c r="J479" s="346">
        <f t="shared" si="4"/>
        <v>0</v>
      </c>
      <c r="K479" s="312"/>
      <c r="L479" s="312"/>
      <c r="M479" s="312"/>
      <c r="N479" s="362"/>
      <c r="O479" s="312"/>
      <c r="P479" s="312"/>
      <c r="S479" s="2">
        <f t="shared" si="5"/>
        <v>0</v>
      </c>
      <c r="AA479" s="312"/>
      <c r="AB479" s="312"/>
      <c r="AC479" s="312"/>
      <c r="AD479" s="312"/>
    </row>
    <row r="480">
      <c r="A480" s="312"/>
      <c r="B480" s="344">
        <f t="shared" si="1"/>
        <v>2045</v>
      </c>
      <c r="C480" s="344">
        <v>90.0</v>
      </c>
      <c r="D480" s="369"/>
      <c r="E480" s="344" t="str">
        <f t="shared" si="2"/>
        <v>Saturday</v>
      </c>
      <c r="F480" s="344" t="s">
        <v>554</v>
      </c>
      <c r="G480" s="370"/>
      <c r="H480" s="370"/>
      <c r="I480" s="357">
        <f t="shared" si="3"/>
        <v>0</v>
      </c>
      <c r="J480" s="346">
        <f t="shared" si="4"/>
        <v>0</v>
      </c>
      <c r="K480" s="312"/>
      <c r="L480" s="312"/>
      <c r="M480" s="312"/>
      <c r="N480" s="362"/>
      <c r="O480" s="312"/>
      <c r="P480" s="312"/>
      <c r="S480" s="2">
        <f t="shared" si="5"/>
        <v>0</v>
      </c>
      <c r="AA480" s="312"/>
      <c r="AB480" s="312"/>
      <c r="AC480" s="312"/>
      <c r="AD480" s="312"/>
    </row>
    <row r="481">
      <c r="A481" s="312"/>
      <c r="B481" s="344">
        <f t="shared" si="1"/>
        <v>2045</v>
      </c>
      <c r="C481" s="344">
        <v>90.0</v>
      </c>
      <c r="D481" s="369"/>
      <c r="E481" s="344" t="str">
        <f t="shared" si="2"/>
        <v>Saturday</v>
      </c>
      <c r="F481" s="344" t="s">
        <v>554</v>
      </c>
      <c r="G481" s="370"/>
      <c r="H481" s="370"/>
      <c r="I481" s="357">
        <f t="shared" si="3"/>
        <v>0</v>
      </c>
      <c r="J481" s="346">
        <f t="shared" si="4"/>
        <v>0</v>
      </c>
      <c r="K481" s="312"/>
      <c r="L481" s="312"/>
      <c r="M481" s="312"/>
      <c r="N481" s="362"/>
      <c r="O481" s="312"/>
      <c r="P481" s="312"/>
      <c r="S481" s="2">
        <f t="shared" si="5"/>
        <v>0</v>
      </c>
      <c r="AA481" s="312"/>
      <c r="AB481" s="312"/>
      <c r="AC481" s="312"/>
      <c r="AD481" s="312"/>
    </row>
    <row r="482">
      <c r="A482" s="312"/>
      <c r="B482" s="344">
        <f t="shared" si="1"/>
        <v>2045</v>
      </c>
      <c r="C482" s="344">
        <v>90.0</v>
      </c>
      <c r="D482" s="369"/>
      <c r="E482" s="344" t="str">
        <f t="shared" si="2"/>
        <v>Saturday</v>
      </c>
      <c r="F482" s="344" t="s">
        <v>554</v>
      </c>
      <c r="G482" s="370"/>
      <c r="H482" s="370"/>
      <c r="I482" s="357">
        <f t="shared" si="3"/>
        <v>0</v>
      </c>
      <c r="J482" s="346">
        <f t="shared" si="4"/>
        <v>0</v>
      </c>
      <c r="K482" s="312"/>
      <c r="L482" s="312"/>
      <c r="M482" s="312"/>
      <c r="N482" s="362"/>
      <c r="O482" s="312"/>
      <c r="P482" s="312"/>
      <c r="S482" s="2">
        <f t="shared" si="5"/>
        <v>0</v>
      </c>
      <c r="AA482" s="312"/>
      <c r="AB482" s="312"/>
      <c r="AC482" s="312"/>
      <c r="AD482" s="312"/>
    </row>
    <row r="483">
      <c r="A483" s="312"/>
      <c r="B483" s="344">
        <f t="shared" si="1"/>
        <v>2045</v>
      </c>
      <c r="C483" s="344">
        <v>90.0</v>
      </c>
      <c r="D483" s="369"/>
      <c r="E483" s="344" t="str">
        <f t="shared" si="2"/>
        <v>Saturday</v>
      </c>
      <c r="F483" s="344" t="s">
        <v>554</v>
      </c>
      <c r="G483" s="370"/>
      <c r="H483" s="370"/>
      <c r="I483" s="357">
        <f t="shared" si="3"/>
        <v>0</v>
      </c>
      <c r="J483" s="346">
        <f t="shared" si="4"/>
        <v>0</v>
      </c>
      <c r="K483" s="312"/>
      <c r="L483" s="312"/>
      <c r="M483" s="312"/>
      <c r="N483" s="362"/>
      <c r="O483" s="312"/>
      <c r="P483" s="312"/>
      <c r="S483" s="2">
        <f t="shared" si="5"/>
        <v>0</v>
      </c>
      <c r="AA483" s="312"/>
      <c r="AB483" s="312"/>
      <c r="AC483" s="312"/>
      <c r="AD483" s="312"/>
    </row>
    <row r="484">
      <c r="A484" s="312"/>
      <c r="B484" s="344">
        <f t="shared" si="1"/>
        <v>2045</v>
      </c>
      <c r="C484" s="344">
        <v>90.0</v>
      </c>
      <c r="D484" s="369"/>
      <c r="E484" s="344" t="str">
        <f t="shared" si="2"/>
        <v>Saturday</v>
      </c>
      <c r="F484" s="344" t="s">
        <v>554</v>
      </c>
      <c r="G484" s="370"/>
      <c r="H484" s="370"/>
      <c r="I484" s="357">
        <f t="shared" si="3"/>
        <v>0</v>
      </c>
      <c r="J484" s="346">
        <f t="shared" si="4"/>
        <v>0</v>
      </c>
      <c r="K484" s="312"/>
      <c r="L484" s="312"/>
      <c r="M484" s="312"/>
      <c r="N484" s="362"/>
      <c r="O484" s="312"/>
      <c r="P484" s="312"/>
      <c r="S484" s="2">
        <f t="shared" si="5"/>
        <v>0</v>
      </c>
      <c r="AA484" s="312"/>
      <c r="AB484" s="312"/>
      <c r="AC484" s="312"/>
      <c r="AD484" s="312"/>
    </row>
    <row r="485">
      <c r="A485" s="312"/>
      <c r="B485" s="344">
        <f t="shared" si="1"/>
        <v>2045</v>
      </c>
      <c r="C485" s="344">
        <v>90.0</v>
      </c>
      <c r="D485" s="369"/>
      <c r="E485" s="344" t="str">
        <f t="shared" si="2"/>
        <v>Saturday</v>
      </c>
      <c r="F485" s="344" t="s">
        <v>554</v>
      </c>
      <c r="G485" s="370"/>
      <c r="H485" s="370"/>
      <c r="I485" s="357">
        <f t="shared" si="3"/>
        <v>0</v>
      </c>
      <c r="J485" s="346">
        <f t="shared" si="4"/>
        <v>0</v>
      </c>
      <c r="K485" s="312"/>
      <c r="L485" s="312"/>
      <c r="M485" s="312"/>
      <c r="N485" s="362"/>
      <c r="O485" s="312"/>
      <c r="P485" s="312"/>
      <c r="S485" s="2">
        <f t="shared" si="5"/>
        <v>0</v>
      </c>
      <c r="AA485" s="312"/>
      <c r="AB485" s="312"/>
      <c r="AC485" s="312"/>
      <c r="AD485" s="312"/>
    </row>
    <row r="486">
      <c r="A486" s="312"/>
      <c r="B486" s="344">
        <f t="shared" si="1"/>
        <v>2045</v>
      </c>
      <c r="C486" s="344">
        <v>90.0</v>
      </c>
      <c r="D486" s="369"/>
      <c r="E486" s="344" t="str">
        <f t="shared" si="2"/>
        <v>Saturday</v>
      </c>
      <c r="F486" s="344" t="s">
        <v>554</v>
      </c>
      <c r="G486" s="370"/>
      <c r="H486" s="370"/>
      <c r="I486" s="357">
        <f t="shared" si="3"/>
        <v>0</v>
      </c>
      <c r="J486" s="346">
        <f t="shared" si="4"/>
        <v>0</v>
      </c>
      <c r="K486" s="312"/>
      <c r="L486" s="312"/>
      <c r="M486" s="312"/>
      <c r="N486" s="362"/>
      <c r="O486" s="312"/>
      <c r="P486" s="312"/>
      <c r="S486" s="2">
        <f t="shared" si="5"/>
        <v>0</v>
      </c>
      <c r="AA486" s="312"/>
      <c r="AB486" s="312"/>
      <c r="AC486" s="312"/>
      <c r="AD486" s="312"/>
    </row>
    <row r="487">
      <c r="A487" s="312"/>
      <c r="B487" s="344">
        <f t="shared" si="1"/>
        <v>2045</v>
      </c>
      <c r="C487" s="344">
        <v>90.0</v>
      </c>
      <c r="D487" s="369"/>
      <c r="E487" s="344" t="str">
        <f t="shared" si="2"/>
        <v>Saturday</v>
      </c>
      <c r="F487" s="344" t="s">
        <v>554</v>
      </c>
      <c r="G487" s="370"/>
      <c r="H487" s="370"/>
      <c r="I487" s="357">
        <f t="shared" si="3"/>
        <v>0</v>
      </c>
      <c r="J487" s="346">
        <f t="shared" si="4"/>
        <v>0</v>
      </c>
      <c r="K487" s="312"/>
      <c r="L487" s="312"/>
      <c r="M487" s="312"/>
      <c r="N487" s="362"/>
      <c r="O487" s="312"/>
      <c r="P487" s="312"/>
      <c r="S487" s="2">
        <f t="shared" si="5"/>
        <v>0</v>
      </c>
      <c r="AA487" s="312"/>
      <c r="AB487" s="312"/>
      <c r="AC487" s="312"/>
      <c r="AD487" s="312"/>
    </row>
    <row r="488">
      <c r="A488" s="312"/>
      <c r="B488" s="344">
        <f t="shared" si="1"/>
        <v>2045</v>
      </c>
      <c r="C488" s="344">
        <v>90.0</v>
      </c>
      <c r="D488" s="369"/>
      <c r="E488" s="344" t="str">
        <f t="shared" si="2"/>
        <v>Saturday</v>
      </c>
      <c r="F488" s="344" t="s">
        <v>554</v>
      </c>
      <c r="G488" s="370"/>
      <c r="H488" s="370"/>
      <c r="I488" s="357">
        <f t="shared" si="3"/>
        <v>0</v>
      </c>
      <c r="J488" s="346">
        <f t="shared" si="4"/>
        <v>0</v>
      </c>
      <c r="K488" s="312"/>
      <c r="L488" s="312"/>
      <c r="M488" s="312"/>
      <c r="N488" s="362"/>
      <c r="O488" s="312"/>
      <c r="P488" s="312"/>
      <c r="S488" s="2">
        <f t="shared" si="5"/>
        <v>0</v>
      </c>
      <c r="AA488" s="312"/>
      <c r="AB488" s="312"/>
      <c r="AC488" s="312"/>
      <c r="AD488" s="312"/>
    </row>
    <row r="489">
      <c r="A489" s="312"/>
      <c r="B489" s="344">
        <f t="shared" si="1"/>
        <v>2045</v>
      </c>
      <c r="C489" s="344">
        <v>90.0</v>
      </c>
      <c r="D489" s="369"/>
      <c r="E489" s="344" t="str">
        <f t="shared" si="2"/>
        <v>Saturday</v>
      </c>
      <c r="F489" s="344" t="s">
        <v>554</v>
      </c>
      <c r="G489" s="370"/>
      <c r="H489" s="370"/>
      <c r="I489" s="357">
        <f t="shared" si="3"/>
        <v>0</v>
      </c>
      <c r="J489" s="346">
        <f t="shared" si="4"/>
        <v>0</v>
      </c>
      <c r="K489" s="312"/>
      <c r="L489" s="312"/>
      <c r="M489" s="312"/>
      <c r="N489" s="362"/>
      <c r="O489" s="312"/>
      <c r="P489" s="312"/>
      <c r="S489" s="2">
        <f t="shared" si="5"/>
        <v>0</v>
      </c>
      <c r="AA489" s="312"/>
      <c r="AB489" s="312"/>
      <c r="AC489" s="312"/>
      <c r="AD489" s="312"/>
    </row>
    <row r="490">
      <c r="A490" s="312"/>
      <c r="B490" s="344">
        <f t="shared" si="1"/>
        <v>2045</v>
      </c>
      <c r="C490" s="344">
        <v>90.0</v>
      </c>
      <c r="D490" s="369"/>
      <c r="E490" s="344" t="str">
        <f t="shared" si="2"/>
        <v>Saturday</v>
      </c>
      <c r="F490" s="344" t="s">
        <v>554</v>
      </c>
      <c r="G490" s="370"/>
      <c r="H490" s="370"/>
      <c r="I490" s="357">
        <f t="shared" si="3"/>
        <v>0</v>
      </c>
      <c r="J490" s="346">
        <f t="shared" si="4"/>
        <v>0</v>
      </c>
      <c r="K490" s="312"/>
      <c r="L490" s="312"/>
      <c r="M490" s="312"/>
      <c r="N490" s="362"/>
      <c r="O490" s="312"/>
      <c r="P490" s="312"/>
      <c r="S490" s="2">
        <f t="shared" si="5"/>
        <v>0</v>
      </c>
      <c r="AA490" s="312"/>
      <c r="AB490" s="312"/>
      <c r="AC490" s="312"/>
      <c r="AD490" s="312"/>
    </row>
    <row r="491">
      <c r="A491" s="312"/>
      <c r="B491" s="344">
        <f t="shared" si="1"/>
        <v>2045</v>
      </c>
      <c r="C491" s="344">
        <v>90.0</v>
      </c>
      <c r="D491" s="369"/>
      <c r="E491" s="344" t="str">
        <f t="shared" si="2"/>
        <v>Saturday</v>
      </c>
      <c r="F491" s="344" t="s">
        <v>554</v>
      </c>
      <c r="G491" s="370"/>
      <c r="H491" s="370"/>
      <c r="I491" s="357">
        <f t="shared" si="3"/>
        <v>0</v>
      </c>
      <c r="J491" s="346">
        <f t="shared" si="4"/>
        <v>0</v>
      </c>
      <c r="K491" s="312"/>
      <c r="L491" s="312"/>
      <c r="M491" s="312"/>
      <c r="N491" s="362"/>
      <c r="O491" s="312"/>
      <c r="P491" s="312"/>
      <c r="S491" s="2">
        <f t="shared" si="5"/>
        <v>0</v>
      </c>
      <c r="AA491" s="312"/>
      <c r="AB491" s="312"/>
      <c r="AC491" s="312"/>
      <c r="AD491" s="312"/>
    </row>
    <row r="492">
      <c r="A492" s="312"/>
      <c r="B492" s="344">
        <f t="shared" si="1"/>
        <v>2045</v>
      </c>
      <c r="C492" s="344">
        <v>90.0</v>
      </c>
      <c r="D492" s="369"/>
      <c r="E492" s="344" t="str">
        <f t="shared" si="2"/>
        <v>Saturday</v>
      </c>
      <c r="F492" s="344" t="s">
        <v>554</v>
      </c>
      <c r="G492" s="370"/>
      <c r="H492" s="370"/>
      <c r="I492" s="357">
        <f t="shared" si="3"/>
        <v>0</v>
      </c>
      <c r="J492" s="346">
        <f t="shared" si="4"/>
        <v>0</v>
      </c>
      <c r="K492" s="312"/>
      <c r="L492" s="312"/>
      <c r="M492" s="312"/>
      <c r="N492" s="362"/>
      <c r="O492" s="312"/>
      <c r="P492" s="312"/>
      <c r="S492" s="2">
        <f t="shared" si="5"/>
        <v>0</v>
      </c>
      <c r="AA492" s="312"/>
      <c r="AB492" s="312"/>
      <c r="AC492" s="312"/>
      <c r="AD492" s="312"/>
    </row>
    <row r="493">
      <c r="A493" s="312"/>
      <c r="B493" s="344">
        <f t="shared" si="1"/>
        <v>2045</v>
      </c>
      <c r="C493" s="344">
        <v>90.0</v>
      </c>
      <c r="D493" s="369"/>
      <c r="E493" s="344" t="str">
        <f t="shared" si="2"/>
        <v>Saturday</v>
      </c>
      <c r="F493" s="344" t="s">
        <v>554</v>
      </c>
      <c r="G493" s="370"/>
      <c r="H493" s="370"/>
      <c r="I493" s="357">
        <f t="shared" si="3"/>
        <v>0</v>
      </c>
      <c r="J493" s="346">
        <f t="shared" si="4"/>
        <v>0</v>
      </c>
      <c r="K493" s="312"/>
      <c r="L493" s="312"/>
      <c r="M493" s="312"/>
      <c r="N493" s="362"/>
      <c r="O493" s="312"/>
      <c r="P493" s="312"/>
      <c r="S493" s="2">
        <f t="shared" si="5"/>
        <v>0</v>
      </c>
      <c r="AA493" s="312"/>
      <c r="AB493" s="312"/>
      <c r="AC493" s="312"/>
      <c r="AD493" s="312"/>
    </row>
    <row r="494">
      <c r="A494" s="312"/>
      <c r="B494" s="344">
        <f t="shared" si="1"/>
        <v>2045</v>
      </c>
      <c r="C494" s="344">
        <v>90.0</v>
      </c>
      <c r="D494" s="369"/>
      <c r="E494" s="344" t="str">
        <f t="shared" si="2"/>
        <v>Saturday</v>
      </c>
      <c r="F494" s="344" t="s">
        <v>554</v>
      </c>
      <c r="G494" s="370"/>
      <c r="H494" s="370"/>
      <c r="I494" s="357">
        <f t="shared" si="3"/>
        <v>0</v>
      </c>
      <c r="J494" s="346">
        <f t="shared" si="4"/>
        <v>0</v>
      </c>
      <c r="K494" s="312"/>
      <c r="L494" s="312"/>
      <c r="M494" s="312"/>
      <c r="N494" s="362"/>
      <c r="O494" s="312"/>
      <c r="P494" s="312"/>
      <c r="S494" s="2">
        <f t="shared" si="5"/>
        <v>0</v>
      </c>
      <c r="AA494" s="312"/>
      <c r="AB494" s="312"/>
      <c r="AC494" s="312"/>
      <c r="AD494" s="312"/>
    </row>
    <row r="495">
      <c r="A495" s="312"/>
      <c r="B495" s="344">
        <f t="shared" si="1"/>
        <v>2045</v>
      </c>
      <c r="C495" s="344">
        <v>90.0</v>
      </c>
      <c r="D495" s="369"/>
      <c r="E495" s="344" t="str">
        <f t="shared" si="2"/>
        <v>Saturday</v>
      </c>
      <c r="F495" s="344" t="s">
        <v>554</v>
      </c>
      <c r="G495" s="370"/>
      <c r="H495" s="370"/>
      <c r="I495" s="357">
        <f t="shared" si="3"/>
        <v>0</v>
      </c>
      <c r="J495" s="346">
        <f t="shared" si="4"/>
        <v>0</v>
      </c>
      <c r="K495" s="312"/>
      <c r="L495" s="312"/>
      <c r="M495" s="312"/>
      <c r="N495" s="362"/>
      <c r="O495" s="312"/>
      <c r="P495" s="312"/>
      <c r="S495" s="2">
        <f t="shared" si="5"/>
        <v>0</v>
      </c>
      <c r="AA495" s="312"/>
      <c r="AB495" s="312"/>
      <c r="AC495" s="312"/>
      <c r="AD495" s="312"/>
    </row>
    <row r="496">
      <c r="A496" s="312"/>
      <c r="B496" s="344">
        <f t="shared" si="1"/>
        <v>2045</v>
      </c>
      <c r="C496" s="344">
        <v>90.0</v>
      </c>
      <c r="D496" s="369"/>
      <c r="E496" s="344" t="str">
        <f t="shared" si="2"/>
        <v>Saturday</v>
      </c>
      <c r="F496" s="344" t="s">
        <v>554</v>
      </c>
      <c r="G496" s="370"/>
      <c r="H496" s="370"/>
      <c r="I496" s="357">
        <f t="shared" si="3"/>
        <v>0</v>
      </c>
      <c r="J496" s="346">
        <f t="shared" si="4"/>
        <v>0</v>
      </c>
      <c r="K496" s="312"/>
      <c r="L496" s="312"/>
      <c r="M496" s="312"/>
      <c r="N496" s="362"/>
      <c r="O496" s="312"/>
      <c r="P496" s="312"/>
      <c r="S496" s="2">
        <f t="shared" si="5"/>
        <v>0</v>
      </c>
      <c r="AA496" s="312"/>
      <c r="AB496" s="312"/>
      <c r="AC496" s="312"/>
      <c r="AD496" s="312"/>
    </row>
    <row r="497">
      <c r="A497" s="312"/>
      <c r="B497" s="344">
        <f t="shared" si="1"/>
        <v>2045</v>
      </c>
      <c r="C497" s="344">
        <v>90.0</v>
      </c>
      <c r="D497" s="369"/>
      <c r="E497" s="344" t="str">
        <f t="shared" si="2"/>
        <v>Saturday</v>
      </c>
      <c r="F497" s="344" t="s">
        <v>554</v>
      </c>
      <c r="G497" s="370"/>
      <c r="H497" s="370"/>
      <c r="I497" s="357">
        <f t="shared" si="3"/>
        <v>0</v>
      </c>
      <c r="J497" s="346">
        <f t="shared" si="4"/>
        <v>0</v>
      </c>
      <c r="K497" s="312"/>
      <c r="L497" s="312"/>
      <c r="M497" s="312"/>
      <c r="N497" s="362"/>
      <c r="O497" s="312"/>
      <c r="P497" s="312"/>
      <c r="S497" s="2">
        <f t="shared" si="5"/>
        <v>0</v>
      </c>
      <c r="AA497" s="312"/>
      <c r="AB497" s="312"/>
      <c r="AC497" s="312"/>
      <c r="AD497" s="312"/>
    </row>
    <row r="498">
      <c r="A498" s="312"/>
      <c r="B498" s="344">
        <f t="shared" si="1"/>
        <v>2045</v>
      </c>
      <c r="C498" s="344">
        <v>90.0</v>
      </c>
      <c r="D498" s="369"/>
      <c r="E498" s="344" t="str">
        <f t="shared" si="2"/>
        <v>Saturday</v>
      </c>
      <c r="F498" s="344" t="s">
        <v>554</v>
      </c>
      <c r="G498" s="370"/>
      <c r="H498" s="370"/>
      <c r="I498" s="357">
        <f t="shared" si="3"/>
        <v>0</v>
      </c>
      <c r="J498" s="346">
        <f t="shared" si="4"/>
        <v>0</v>
      </c>
      <c r="K498" s="312"/>
      <c r="L498" s="312"/>
      <c r="M498" s="312"/>
      <c r="N498" s="362"/>
      <c r="O498" s="312"/>
      <c r="P498" s="312"/>
      <c r="S498" s="2">
        <f t="shared" si="5"/>
        <v>0</v>
      </c>
      <c r="AA498" s="312"/>
      <c r="AB498" s="312"/>
      <c r="AC498" s="312"/>
      <c r="AD498" s="312"/>
    </row>
    <row r="499">
      <c r="A499" s="312"/>
      <c r="B499" s="344">
        <f t="shared" si="1"/>
        <v>2045</v>
      </c>
      <c r="C499" s="344">
        <v>90.0</v>
      </c>
      <c r="D499" s="369"/>
      <c r="E499" s="344" t="str">
        <f t="shared" si="2"/>
        <v>Saturday</v>
      </c>
      <c r="F499" s="344" t="s">
        <v>554</v>
      </c>
      <c r="G499" s="370"/>
      <c r="H499" s="370"/>
      <c r="I499" s="357">
        <f t="shared" si="3"/>
        <v>0</v>
      </c>
      <c r="J499" s="346">
        <f t="shared" si="4"/>
        <v>0</v>
      </c>
      <c r="K499" s="312"/>
      <c r="L499" s="312"/>
      <c r="M499" s="312"/>
      <c r="N499" s="362"/>
      <c r="O499" s="312"/>
      <c r="P499" s="312"/>
      <c r="S499" s="2">
        <f t="shared" si="5"/>
        <v>0</v>
      </c>
      <c r="AA499" s="312"/>
      <c r="AB499" s="312"/>
      <c r="AC499" s="312"/>
      <c r="AD499" s="312"/>
    </row>
    <row r="500">
      <c r="A500" s="312"/>
      <c r="B500" s="344">
        <f t="shared" si="1"/>
        <v>2045</v>
      </c>
      <c r="C500" s="344">
        <v>90.0</v>
      </c>
      <c r="D500" s="369"/>
      <c r="E500" s="344" t="str">
        <f t="shared" si="2"/>
        <v>Saturday</v>
      </c>
      <c r="F500" s="344" t="s">
        <v>554</v>
      </c>
      <c r="G500" s="370"/>
      <c r="H500" s="370"/>
      <c r="I500" s="357">
        <f t="shared" si="3"/>
        <v>0</v>
      </c>
      <c r="J500" s="346">
        <f t="shared" si="4"/>
        <v>0</v>
      </c>
      <c r="K500" s="312"/>
      <c r="L500" s="312"/>
      <c r="M500" s="312"/>
      <c r="N500" s="362"/>
      <c r="O500" s="312"/>
      <c r="P500" s="312"/>
      <c r="S500" s="2">
        <f t="shared" si="5"/>
        <v>0</v>
      </c>
      <c r="AA500" s="312"/>
      <c r="AB500" s="312"/>
      <c r="AC500" s="312"/>
      <c r="AD500" s="312"/>
    </row>
    <row r="501">
      <c r="A501" s="312"/>
      <c r="B501" s="344">
        <f t="shared" si="1"/>
        <v>2045</v>
      </c>
      <c r="C501" s="344">
        <v>90.0</v>
      </c>
      <c r="D501" s="369"/>
      <c r="E501" s="344" t="str">
        <f t="shared" si="2"/>
        <v>Saturday</v>
      </c>
      <c r="F501" s="344" t="s">
        <v>554</v>
      </c>
      <c r="G501" s="370"/>
      <c r="H501" s="370"/>
      <c r="I501" s="357">
        <f t="shared" si="3"/>
        <v>0</v>
      </c>
      <c r="J501" s="346">
        <f t="shared" si="4"/>
        <v>0</v>
      </c>
      <c r="K501" s="312"/>
      <c r="L501" s="312"/>
      <c r="M501" s="312"/>
      <c r="N501" s="362"/>
      <c r="O501" s="312"/>
      <c r="P501" s="312"/>
      <c r="S501" s="2">
        <f t="shared" si="5"/>
        <v>0</v>
      </c>
      <c r="AA501" s="312"/>
      <c r="AB501" s="312"/>
      <c r="AC501" s="312"/>
      <c r="AD501" s="312"/>
    </row>
    <row r="502">
      <c r="A502" s="312"/>
      <c r="B502" s="344">
        <f t="shared" si="1"/>
        <v>2045</v>
      </c>
      <c r="C502" s="344">
        <v>90.0</v>
      </c>
      <c r="D502" s="369"/>
      <c r="E502" s="344" t="str">
        <f t="shared" si="2"/>
        <v>Saturday</v>
      </c>
      <c r="F502" s="344" t="s">
        <v>554</v>
      </c>
      <c r="G502" s="370"/>
      <c r="H502" s="370"/>
      <c r="I502" s="357">
        <f t="shared" si="3"/>
        <v>0</v>
      </c>
      <c r="J502" s="346">
        <f t="shared" si="4"/>
        <v>0</v>
      </c>
      <c r="K502" s="312"/>
      <c r="L502" s="312"/>
      <c r="M502" s="312"/>
      <c r="N502" s="362"/>
      <c r="O502" s="312"/>
      <c r="P502" s="312"/>
      <c r="S502" s="2">
        <f t="shared" si="5"/>
        <v>0</v>
      </c>
      <c r="AA502" s="312"/>
      <c r="AB502" s="312"/>
      <c r="AC502" s="312"/>
      <c r="AD502" s="312"/>
    </row>
    <row r="503">
      <c r="A503" s="312"/>
      <c r="B503" s="344">
        <f t="shared" si="1"/>
        <v>2045</v>
      </c>
      <c r="C503" s="344">
        <v>90.0</v>
      </c>
      <c r="D503" s="369"/>
      <c r="E503" s="344" t="str">
        <f t="shared" si="2"/>
        <v>Saturday</v>
      </c>
      <c r="F503" s="344" t="s">
        <v>554</v>
      </c>
      <c r="G503" s="370"/>
      <c r="H503" s="370"/>
      <c r="I503" s="357">
        <f t="shared" si="3"/>
        <v>0</v>
      </c>
      <c r="J503" s="346">
        <f t="shared" si="4"/>
        <v>0</v>
      </c>
      <c r="K503" s="312"/>
      <c r="L503" s="312"/>
      <c r="M503" s="312"/>
      <c r="N503" s="362"/>
      <c r="O503" s="312"/>
      <c r="P503" s="312"/>
      <c r="S503" s="2">
        <f t="shared" si="5"/>
        <v>0</v>
      </c>
      <c r="AA503" s="312"/>
      <c r="AB503" s="312"/>
      <c r="AC503" s="312"/>
      <c r="AD503" s="312"/>
    </row>
    <row r="504">
      <c r="A504" s="312"/>
      <c r="B504" s="344">
        <f t="shared" si="1"/>
        <v>2045</v>
      </c>
      <c r="C504" s="344">
        <v>90.0</v>
      </c>
      <c r="D504" s="369"/>
      <c r="E504" s="344" t="str">
        <f t="shared" si="2"/>
        <v>Saturday</v>
      </c>
      <c r="F504" s="344" t="s">
        <v>554</v>
      </c>
      <c r="G504" s="370"/>
      <c r="H504" s="370"/>
      <c r="I504" s="357">
        <f t="shared" si="3"/>
        <v>0</v>
      </c>
      <c r="J504" s="346">
        <f t="shared" si="4"/>
        <v>0</v>
      </c>
      <c r="K504" s="312"/>
      <c r="L504" s="312"/>
      <c r="M504" s="312"/>
      <c r="N504" s="362"/>
      <c r="O504" s="312"/>
      <c r="P504" s="312"/>
      <c r="S504" s="2">
        <f t="shared" si="5"/>
        <v>0</v>
      </c>
      <c r="AA504" s="312"/>
      <c r="AB504" s="312"/>
      <c r="AC504" s="312"/>
      <c r="AD504" s="312"/>
    </row>
    <row r="505">
      <c r="A505" s="312"/>
      <c r="B505" s="344">
        <f t="shared" si="1"/>
        <v>2045</v>
      </c>
      <c r="C505" s="344">
        <v>90.0</v>
      </c>
      <c r="D505" s="369"/>
      <c r="E505" s="344" t="str">
        <f t="shared" si="2"/>
        <v>Saturday</v>
      </c>
      <c r="F505" s="344" t="s">
        <v>554</v>
      </c>
      <c r="G505" s="370"/>
      <c r="H505" s="370"/>
      <c r="I505" s="357">
        <f t="shared" si="3"/>
        <v>0</v>
      </c>
      <c r="J505" s="346">
        <f t="shared" si="4"/>
        <v>0</v>
      </c>
      <c r="K505" s="312"/>
      <c r="L505" s="312"/>
      <c r="M505" s="312"/>
      <c r="N505" s="362"/>
      <c r="O505" s="312"/>
      <c r="P505" s="312"/>
      <c r="S505" s="2">
        <f t="shared" si="5"/>
        <v>0</v>
      </c>
      <c r="AA505" s="312"/>
      <c r="AB505" s="312"/>
      <c r="AC505" s="312"/>
      <c r="AD505" s="312"/>
    </row>
    <row r="506">
      <c r="A506" s="312"/>
      <c r="B506" s="344">
        <f t="shared" si="1"/>
        <v>2045</v>
      </c>
      <c r="C506" s="344">
        <v>90.0</v>
      </c>
      <c r="D506" s="369"/>
      <c r="E506" s="344" t="str">
        <f t="shared" si="2"/>
        <v>Saturday</v>
      </c>
      <c r="F506" s="344" t="s">
        <v>554</v>
      </c>
      <c r="G506" s="370"/>
      <c r="H506" s="370"/>
      <c r="I506" s="357">
        <f t="shared" si="3"/>
        <v>0</v>
      </c>
      <c r="J506" s="346">
        <f t="shared" si="4"/>
        <v>0</v>
      </c>
      <c r="K506" s="312"/>
      <c r="L506" s="312"/>
      <c r="M506" s="312"/>
      <c r="N506" s="362"/>
      <c r="O506" s="312"/>
      <c r="P506" s="312"/>
      <c r="S506" s="2">
        <f t="shared" si="5"/>
        <v>0</v>
      </c>
      <c r="AA506" s="312"/>
      <c r="AB506" s="312"/>
      <c r="AC506" s="312"/>
      <c r="AD506" s="312"/>
    </row>
    <row r="507">
      <c r="A507" s="312"/>
      <c r="B507" s="344">
        <f t="shared" si="1"/>
        <v>2045</v>
      </c>
      <c r="C507" s="344">
        <v>90.0</v>
      </c>
      <c r="D507" s="369"/>
      <c r="E507" s="344" t="str">
        <f t="shared" si="2"/>
        <v>Saturday</v>
      </c>
      <c r="F507" s="344" t="s">
        <v>554</v>
      </c>
      <c r="G507" s="370"/>
      <c r="H507" s="370"/>
      <c r="I507" s="357">
        <f t="shared" si="3"/>
        <v>0</v>
      </c>
      <c r="J507" s="346">
        <f t="shared" si="4"/>
        <v>0</v>
      </c>
      <c r="K507" s="312"/>
      <c r="L507" s="312"/>
      <c r="M507" s="312"/>
      <c r="N507" s="362"/>
      <c r="O507" s="312"/>
      <c r="P507" s="312"/>
      <c r="S507" s="2">
        <f t="shared" si="5"/>
        <v>0</v>
      </c>
      <c r="AA507" s="312"/>
      <c r="AB507" s="312"/>
      <c r="AC507" s="312"/>
      <c r="AD507" s="312"/>
    </row>
    <row r="508">
      <c r="A508" s="312"/>
      <c r="B508" s="344">
        <f t="shared" si="1"/>
        <v>2045</v>
      </c>
      <c r="C508" s="344">
        <v>90.0</v>
      </c>
      <c r="D508" s="369"/>
      <c r="E508" s="344" t="str">
        <f t="shared" si="2"/>
        <v>Saturday</v>
      </c>
      <c r="F508" s="344" t="s">
        <v>554</v>
      </c>
      <c r="G508" s="370"/>
      <c r="H508" s="370"/>
      <c r="I508" s="357">
        <f t="shared" si="3"/>
        <v>0</v>
      </c>
      <c r="J508" s="346">
        <f t="shared" si="4"/>
        <v>0</v>
      </c>
      <c r="K508" s="312"/>
      <c r="L508" s="312"/>
      <c r="M508" s="312"/>
      <c r="N508" s="362"/>
      <c r="O508" s="312"/>
      <c r="P508" s="312"/>
      <c r="S508" s="2">
        <f t="shared" si="5"/>
        <v>0</v>
      </c>
      <c r="AA508" s="312"/>
      <c r="AB508" s="312"/>
      <c r="AC508" s="312"/>
      <c r="AD508" s="312"/>
    </row>
    <row r="509">
      <c r="A509" s="312"/>
      <c r="B509" s="344">
        <f t="shared" si="1"/>
        <v>2045</v>
      </c>
      <c r="C509" s="344">
        <v>90.0</v>
      </c>
      <c r="D509" s="369"/>
      <c r="E509" s="344" t="str">
        <f t="shared" si="2"/>
        <v>Saturday</v>
      </c>
      <c r="F509" s="344" t="s">
        <v>554</v>
      </c>
      <c r="G509" s="370"/>
      <c r="H509" s="370"/>
      <c r="I509" s="357">
        <f t="shared" si="3"/>
        <v>0</v>
      </c>
      <c r="J509" s="346">
        <f t="shared" si="4"/>
        <v>0</v>
      </c>
      <c r="K509" s="312"/>
      <c r="L509" s="312"/>
      <c r="M509" s="312"/>
      <c r="N509" s="362"/>
      <c r="O509" s="312"/>
      <c r="P509" s="312"/>
      <c r="S509" s="2">
        <f t="shared" si="5"/>
        <v>0</v>
      </c>
      <c r="AA509" s="312"/>
      <c r="AB509" s="312"/>
      <c r="AC509" s="312"/>
      <c r="AD509" s="312"/>
    </row>
    <row r="510">
      <c r="A510" s="312"/>
      <c r="B510" s="344">
        <f t="shared" si="1"/>
        <v>2045</v>
      </c>
      <c r="C510" s="344">
        <v>90.0</v>
      </c>
      <c r="D510" s="369"/>
      <c r="E510" s="344" t="str">
        <f t="shared" si="2"/>
        <v>Saturday</v>
      </c>
      <c r="F510" s="344" t="s">
        <v>554</v>
      </c>
      <c r="G510" s="370"/>
      <c r="H510" s="370"/>
      <c r="I510" s="357">
        <f t="shared" si="3"/>
        <v>0</v>
      </c>
      <c r="J510" s="346">
        <f t="shared" si="4"/>
        <v>0</v>
      </c>
      <c r="K510" s="312"/>
      <c r="L510" s="312"/>
      <c r="M510" s="312"/>
      <c r="N510" s="362"/>
      <c r="O510" s="312"/>
      <c r="P510" s="312"/>
      <c r="S510" s="2">
        <f t="shared" si="5"/>
        <v>0</v>
      </c>
      <c r="AA510" s="312"/>
      <c r="AB510" s="312"/>
      <c r="AC510" s="312"/>
      <c r="AD510" s="312"/>
    </row>
    <row r="511">
      <c r="A511" s="312"/>
      <c r="B511" s="344">
        <f t="shared" si="1"/>
        <v>2045</v>
      </c>
      <c r="C511" s="344">
        <v>90.0</v>
      </c>
      <c r="D511" s="369"/>
      <c r="E511" s="344" t="str">
        <f t="shared" si="2"/>
        <v>Saturday</v>
      </c>
      <c r="F511" s="344" t="s">
        <v>554</v>
      </c>
      <c r="G511" s="370"/>
      <c r="H511" s="370"/>
      <c r="I511" s="357">
        <f t="shared" si="3"/>
        <v>0</v>
      </c>
      <c r="J511" s="346">
        <f t="shared" si="4"/>
        <v>0</v>
      </c>
      <c r="K511" s="312"/>
      <c r="L511" s="312"/>
      <c r="M511" s="312"/>
      <c r="N511" s="362"/>
      <c r="O511" s="312"/>
      <c r="P511" s="312"/>
      <c r="S511" s="2">
        <f t="shared" si="5"/>
        <v>0</v>
      </c>
      <c r="AA511" s="312"/>
      <c r="AB511" s="312"/>
      <c r="AC511" s="312"/>
      <c r="AD511" s="312"/>
    </row>
    <row r="512">
      <c r="A512" s="312"/>
      <c r="B512" s="344">
        <f t="shared" si="1"/>
        <v>2045</v>
      </c>
      <c r="C512" s="344">
        <v>90.0</v>
      </c>
      <c r="D512" s="369"/>
      <c r="E512" s="344" t="str">
        <f t="shared" si="2"/>
        <v>Saturday</v>
      </c>
      <c r="F512" s="344" t="s">
        <v>554</v>
      </c>
      <c r="G512" s="370"/>
      <c r="H512" s="370"/>
      <c r="I512" s="357">
        <f t="shared" si="3"/>
        <v>0</v>
      </c>
      <c r="J512" s="346">
        <f t="shared" si="4"/>
        <v>0</v>
      </c>
      <c r="K512" s="312"/>
      <c r="L512" s="312"/>
      <c r="M512" s="312"/>
      <c r="N512" s="362"/>
      <c r="O512" s="312"/>
      <c r="P512" s="312"/>
      <c r="S512" s="2">
        <f t="shared" si="5"/>
        <v>0</v>
      </c>
      <c r="AA512" s="312"/>
      <c r="AB512" s="312"/>
      <c r="AC512" s="312"/>
      <c r="AD512" s="312"/>
    </row>
    <row r="513">
      <c r="A513" s="312"/>
      <c r="B513" s="344">
        <f t="shared" si="1"/>
        <v>2045</v>
      </c>
      <c r="C513" s="344">
        <v>90.0</v>
      </c>
      <c r="D513" s="369"/>
      <c r="E513" s="344" t="str">
        <f t="shared" si="2"/>
        <v>Saturday</v>
      </c>
      <c r="F513" s="344" t="s">
        <v>554</v>
      </c>
      <c r="G513" s="370"/>
      <c r="H513" s="370"/>
      <c r="I513" s="357">
        <f t="shared" si="3"/>
        <v>0</v>
      </c>
      <c r="J513" s="346">
        <f t="shared" si="4"/>
        <v>0</v>
      </c>
      <c r="K513" s="312"/>
      <c r="L513" s="312"/>
      <c r="M513" s="312"/>
      <c r="N513" s="362"/>
      <c r="O513" s="312"/>
      <c r="P513" s="312"/>
      <c r="S513" s="2">
        <f t="shared" si="5"/>
        <v>0</v>
      </c>
      <c r="AA513" s="312"/>
      <c r="AB513" s="312"/>
      <c r="AC513" s="312"/>
      <c r="AD513" s="312"/>
    </row>
    <row r="514">
      <c r="A514" s="312"/>
      <c r="B514" s="344">
        <f t="shared" si="1"/>
        <v>2045</v>
      </c>
      <c r="C514" s="344">
        <v>90.0</v>
      </c>
      <c r="D514" s="369"/>
      <c r="E514" s="344" t="str">
        <f t="shared" si="2"/>
        <v>Saturday</v>
      </c>
      <c r="F514" s="344" t="s">
        <v>554</v>
      </c>
      <c r="G514" s="370"/>
      <c r="H514" s="370"/>
      <c r="I514" s="357">
        <f t="shared" si="3"/>
        <v>0</v>
      </c>
      <c r="J514" s="346">
        <f t="shared" si="4"/>
        <v>0</v>
      </c>
      <c r="K514" s="312"/>
      <c r="L514" s="312"/>
      <c r="M514" s="312"/>
      <c r="N514" s="362"/>
      <c r="O514" s="312"/>
      <c r="P514" s="312"/>
      <c r="S514" s="2">
        <f t="shared" si="5"/>
        <v>0</v>
      </c>
      <c r="AA514" s="312"/>
      <c r="AB514" s="312"/>
      <c r="AC514" s="312"/>
      <c r="AD514" s="312"/>
    </row>
    <row r="515">
      <c r="A515" s="312"/>
      <c r="B515" s="344">
        <f t="shared" si="1"/>
        <v>2045</v>
      </c>
      <c r="C515" s="344">
        <v>90.0</v>
      </c>
      <c r="D515" s="369"/>
      <c r="E515" s="344" t="str">
        <f t="shared" si="2"/>
        <v>Saturday</v>
      </c>
      <c r="F515" s="344" t="s">
        <v>554</v>
      </c>
      <c r="G515" s="370"/>
      <c r="H515" s="370"/>
      <c r="I515" s="357">
        <f t="shared" si="3"/>
        <v>0</v>
      </c>
      <c r="J515" s="346">
        <f t="shared" si="4"/>
        <v>0</v>
      </c>
      <c r="K515" s="312"/>
      <c r="L515" s="312"/>
      <c r="M515" s="312"/>
      <c r="N515" s="362"/>
      <c r="O515" s="312"/>
      <c r="P515" s="312"/>
      <c r="S515" s="2">
        <f t="shared" si="5"/>
        <v>0</v>
      </c>
      <c r="AA515" s="312"/>
      <c r="AB515" s="312"/>
      <c r="AC515" s="312"/>
      <c r="AD515" s="312"/>
    </row>
    <row r="516">
      <c r="A516" s="312"/>
      <c r="B516" s="344">
        <f t="shared" si="1"/>
        <v>2045</v>
      </c>
      <c r="C516" s="344">
        <v>90.0</v>
      </c>
      <c r="D516" s="369"/>
      <c r="E516" s="344" t="str">
        <f t="shared" si="2"/>
        <v>Saturday</v>
      </c>
      <c r="F516" s="344" t="s">
        <v>554</v>
      </c>
      <c r="G516" s="370"/>
      <c r="H516" s="370"/>
      <c r="I516" s="357">
        <f t="shared" si="3"/>
        <v>0</v>
      </c>
      <c r="J516" s="346">
        <f t="shared" si="4"/>
        <v>0</v>
      </c>
      <c r="K516" s="312"/>
      <c r="L516" s="312"/>
      <c r="M516" s="312"/>
      <c r="N516" s="362"/>
      <c r="O516" s="312"/>
      <c r="P516" s="312"/>
      <c r="S516" s="2">
        <f t="shared" si="5"/>
        <v>0</v>
      </c>
      <c r="AA516" s="312"/>
      <c r="AB516" s="312"/>
      <c r="AC516" s="312"/>
      <c r="AD516" s="312"/>
    </row>
    <row r="517">
      <c r="A517" s="312"/>
      <c r="B517" s="344">
        <f t="shared" si="1"/>
        <v>2045</v>
      </c>
      <c r="C517" s="344">
        <v>90.0</v>
      </c>
      <c r="D517" s="369"/>
      <c r="E517" s="344" t="str">
        <f t="shared" si="2"/>
        <v>Saturday</v>
      </c>
      <c r="F517" s="344" t="s">
        <v>554</v>
      </c>
      <c r="G517" s="370"/>
      <c r="H517" s="370"/>
      <c r="I517" s="357">
        <f t="shared" si="3"/>
        <v>0</v>
      </c>
      <c r="J517" s="346">
        <f t="shared" si="4"/>
        <v>0</v>
      </c>
      <c r="K517" s="312"/>
      <c r="L517" s="312"/>
      <c r="M517" s="312"/>
      <c r="N517" s="362"/>
      <c r="O517" s="312"/>
      <c r="P517" s="312"/>
      <c r="S517" s="2">
        <f t="shared" si="5"/>
        <v>0</v>
      </c>
      <c r="AA517" s="312"/>
      <c r="AB517" s="312"/>
      <c r="AC517" s="312"/>
      <c r="AD517" s="312"/>
    </row>
    <row r="518">
      <c r="A518" s="312"/>
      <c r="B518" s="344">
        <f t="shared" si="1"/>
        <v>2045</v>
      </c>
      <c r="C518" s="344">
        <v>90.0</v>
      </c>
      <c r="D518" s="369"/>
      <c r="E518" s="344" t="str">
        <f t="shared" si="2"/>
        <v>Saturday</v>
      </c>
      <c r="F518" s="344" t="s">
        <v>554</v>
      </c>
      <c r="G518" s="370"/>
      <c r="H518" s="370"/>
      <c r="I518" s="357">
        <f t="shared" si="3"/>
        <v>0</v>
      </c>
      <c r="J518" s="346">
        <f t="shared" si="4"/>
        <v>0</v>
      </c>
      <c r="K518" s="312"/>
      <c r="L518" s="312"/>
      <c r="M518" s="312"/>
      <c r="N518" s="362"/>
      <c r="O518" s="312"/>
      <c r="P518" s="312"/>
      <c r="S518" s="2">
        <f t="shared" si="5"/>
        <v>0</v>
      </c>
      <c r="AA518" s="312"/>
      <c r="AB518" s="312"/>
      <c r="AC518" s="312"/>
      <c r="AD518" s="312"/>
    </row>
    <row r="519">
      <c r="A519" s="312"/>
      <c r="B519" s="344">
        <f t="shared" si="1"/>
        <v>2045</v>
      </c>
      <c r="C519" s="344">
        <v>90.0</v>
      </c>
      <c r="D519" s="369"/>
      <c r="E519" s="344" t="str">
        <f t="shared" si="2"/>
        <v>Saturday</v>
      </c>
      <c r="F519" s="344" t="s">
        <v>554</v>
      </c>
      <c r="G519" s="370"/>
      <c r="H519" s="370"/>
      <c r="I519" s="357">
        <f t="shared" si="3"/>
        <v>0</v>
      </c>
      <c r="J519" s="346">
        <f t="shared" si="4"/>
        <v>0</v>
      </c>
      <c r="K519" s="312"/>
      <c r="L519" s="312"/>
      <c r="M519" s="312"/>
      <c r="N519" s="362"/>
      <c r="O519" s="312"/>
      <c r="P519" s="312"/>
      <c r="S519" s="2">
        <f t="shared" si="5"/>
        <v>0</v>
      </c>
      <c r="AA519" s="312"/>
      <c r="AB519" s="312"/>
      <c r="AC519" s="312"/>
      <c r="AD519" s="312"/>
    </row>
    <row r="520">
      <c r="A520" s="312"/>
      <c r="B520" s="344">
        <f t="shared" si="1"/>
        <v>2045</v>
      </c>
      <c r="C520" s="344">
        <v>90.0</v>
      </c>
      <c r="D520" s="369"/>
      <c r="E520" s="344" t="str">
        <f t="shared" si="2"/>
        <v>Saturday</v>
      </c>
      <c r="F520" s="344" t="s">
        <v>554</v>
      </c>
      <c r="G520" s="370"/>
      <c r="H520" s="370"/>
      <c r="I520" s="357">
        <f t="shared" si="3"/>
        <v>0</v>
      </c>
      <c r="J520" s="346">
        <f t="shared" si="4"/>
        <v>0</v>
      </c>
      <c r="K520" s="312"/>
      <c r="L520" s="312"/>
      <c r="M520" s="312"/>
      <c r="N520" s="362"/>
      <c r="O520" s="312"/>
      <c r="P520" s="312"/>
      <c r="S520" s="2">
        <f t="shared" si="5"/>
        <v>0</v>
      </c>
      <c r="AA520" s="312"/>
      <c r="AB520" s="312"/>
      <c r="AC520" s="312"/>
      <c r="AD520" s="312"/>
    </row>
    <row r="521">
      <c r="A521" s="312"/>
      <c r="B521" s="344">
        <f t="shared" si="1"/>
        <v>2045</v>
      </c>
      <c r="C521" s="344">
        <v>90.0</v>
      </c>
      <c r="D521" s="369"/>
      <c r="E521" s="344" t="str">
        <f t="shared" si="2"/>
        <v>Saturday</v>
      </c>
      <c r="F521" s="344" t="s">
        <v>554</v>
      </c>
      <c r="G521" s="370"/>
      <c r="H521" s="370"/>
      <c r="I521" s="357">
        <f t="shared" si="3"/>
        <v>0</v>
      </c>
      <c r="J521" s="346">
        <f t="shared" si="4"/>
        <v>0</v>
      </c>
      <c r="K521" s="312"/>
      <c r="L521" s="312"/>
      <c r="M521" s="312"/>
      <c r="N521" s="362"/>
      <c r="O521" s="312"/>
      <c r="P521" s="312"/>
      <c r="S521" s="2">
        <f t="shared" si="5"/>
        <v>0</v>
      </c>
      <c r="AA521" s="312"/>
      <c r="AB521" s="312"/>
      <c r="AC521" s="312"/>
      <c r="AD521" s="312"/>
    </row>
    <row r="522">
      <c r="A522" s="312"/>
      <c r="B522" s="344">
        <f t="shared" si="1"/>
        <v>2045</v>
      </c>
      <c r="C522" s="344">
        <v>90.0</v>
      </c>
      <c r="D522" s="369"/>
      <c r="E522" s="344" t="str">
        <f t="shared" si="2"/>
        <v>Saturday</v>
      </c>
      <c r="F522" s="344" t="s">
        <v>554</v>
      </c>
      <c r="G522" s="370"/>
      <c r="H522" s="370"/>
      <c r="I522" s="357">
        <f t="shared" si="3"/>
        <v>0</v>
      </c>
      <c r="J522" s="346">
        <f t="shared" si="4"/>
        <v>0</v>
      </c>
      <c r="K522" s="312"/>
      <c r="L522" s="312"/>
      <c r="M522" s="312"/>
      <c r="N522" s="362"/>
      <c r="O522" s="312"/>
      <c r="P522" s="312"/>
      <c r="S522" s="2">
        <f t="shared" si="5"/>
        <v>0</v>
      </c>
      <c r="AA522" s="312"/>
      <c r="AB522" s="312"/>
      <c r="AC522" s="312"/>
      <c r="AD522" s="312"/>
    </row>
    <row r="523">
      <c r="A523" s="312"/>
      <c r="B523" s="344">
        <f t="shared" si="1"/>
        <v>2045</v>
      </c>
      <c r="C523" s="344">
        <v>90.0</v>
      </c>
      <c r="D523" s="369"/>
      <c r="E523" s="344" t="str">
        <f t="shared" si="2"/>
        <v>Saturday</v>
      </c>
      <c r="F523" s="344" t="s">
        <v>554</v>
      </c>
      <c r="G523" s="370"/>
      <c r="H523" s="370"/>
      <c r="I523" s="357">
        <f t="shared" si="3"/>
        <v>0</v>
      </c>
      <c r="J523" s="346">
        <f t="shared" si="4"/>
        <v>0</v>
      </c>
      <c r="K523" s="312"/>
      <c r="L523" s="312"/>
      <c r="M523" s="312"/>
      <c r="N523" s="362"/>
      <c r="O523" s="312"/>
      <c r="P523" s="312"/>
      <c r="S523" s="2">
        <f t="shared" si="5"/>
        <v>0</v>
      </c>
      <c r="AA523" s="312"/>
      <c r="AB523" s="312"/>
      <c r="AC523" s="312"/>
      <c r="AD523" s="312"/>
    </row>
    <row r="524">
      <c r="A524" s="312"/>
      <c r="B524" s="344">
        <f t="shared" si="1"/>
        <v>2045</v>
      </c>
      <c r="C524" s="344">
        <v>90.0</v>
      </c>
      <c r="D524" s="369"/>
      <c r="E524" s="344" t="str">
        <f t="shared" si="2"/>
        <v>Saturday</v>
      </c>
      <c r="F524" s="344" t="s">
        <v>554</v>
      </c>
      <c r="G524" s="370"/>
      <c r="H524" s="370"/>
      <c r="I524" s="357">
        <f t="shared" si="3"/>
        <v>0</v>
      </c>
      <c r="J524" s="346">
        <f t="shared" si="4"/>
        <v>0</v>
      </c>
      <c r="K524" s="312"/>
      <c r="L524" s="312"/>
      <c r="M524" s="312"/>
      <c r="N524" s="362"/>
      <c r="O524" s="312"/>
      <c r="P524" s="312"/>
      <c r="S524" s="2">
        <f t="shared" si="5"/>
        <v>0</v>
      </c>
      <c r="AA524" s="312"/>
      <c r="AB524" s="312"/>
      <c r="AC524" s="312"/>
      <c r="AD524" s="312"/>
    </row>
    <row r="525">
      <c r="A525" s="312"/>
      <c r="B525" s="344">
        <f t="shared" si="1"/>
        <v>2045</v>
      </c>
      <c r="C525" s="344">
        <v>90.0</v>
      </c>
      <c r="D525" s="369"/>
      <c r="E525" s="344" t="str">
        <f t="shared" si="2"/>
        <v>Saturday</v>
      </c>
      <c r="F525" s="344" t="s">
        <v>554</v>
      </c>
      <c r="G525" s="370"/>
      <c r="H525" s="370"/>
      <c r="I525" s="357">
        <f t="shared" si="3"/>
        <v>0</v>
      </c>
      <c r="J525" s="346">
        <f t="shared" si="4"/>
        <v>0</v>
      </c>
      <c r="K525" s="312"/>
      <c r="L525" s="312"/>
      <c r="M525" s="312"/>
      <c r="N525" s="362"/>
      <c r="O525" s="312"/>
      <c r="P525" s="312"/>
      <c r="S525" s="2">
        <f t="shared" si="5"/>
        <v>0</v>
      </c>
      <c r="AA525" s="312"/>
      <c r="AB525" s="312"/>
      <c r="AC525" s="312"/>
      <c r="AD525" s="312"/>
    </row>
    <row r="526">
      <c r="A526" s="312"/>
      <c r="B526" s="344">
        <f t="shared" si="1"/>
        <v>2045</v>
      </c>
      <c r="C526" s="344">
        <v>90.0</v>
      </c>
      <c r="D526" s="369"/>
      <c r="E526" s="344" t="str">
        <f t="shared" si="2"/>
        <v>Saturday</v>
      </c>
      <c r="F526" s="344" t="s">
        <v>554</v>
      </c>
      <c r="G526" s="370"/>
      <c r="H526" s="370"/>
      <c r="I526" s="357">
        <f t="shared" si="3"/>
        <v>0</v>
      </c>
      <c r="J526" s="346">
        <f t="shared" si="4"/>
        <v>0</v>
      </c>
      <c r="K526" s="312"/>
      <c r="L526" s="312"/>
      <c r="M526" s="312"/>
      <c r="N526" s="362"/>
      <c r="O526" s="312"/>
      <c r="P526" s="312"/>
      <c r="S526" s="2">
        <f t="shared" si="5"/>
        <v>0</v>
      </c>
      <c r="AA526" s="312"/>
      <c r="AB526" s="312"/>
      <c r="AC526" s="312"/>
      <c r="AD526" s="312"/>
    </row>
    <row r="527">
      <c r="A527" s="312"/>
      <c r="B527" s="344">
        <f t="shared" si="1"/>
        <v>2045</v>
      </c>
      <c r="C527" s="344">
        <v>90.0</v>
      </c>
      <c r="D527" s="369"/>
      <c r="E527" s="344" t="str">
        <f t="shared" si="2"/>
        <v>Saturday</v>
      </c>
      <c r="F527" s="344" t="s">
        <v>554</v>
      </c>
      <c r="G527" s="370"/>
      <c r="H527" s="370"/>
      <c r="I527" s="357">
        <f t="shared" si="3"/>
        <v>0</v>
      </c>
      <c r="J527" s="346">
        <f t="shared" si="4"/>
        <v>0</v>
      </c>
      <c r="K527" s="312"/>
      <c r="L527" s="312"/>
      <c r="M527" s="312"/>
      <c r="N527" s="362"/>
      <c r="O527" s="312"/>
      <c r="P527" s="312"/>
      <c r="S527" s="2">
        <f t="shared" si="5"/>
        <v>0</v>
      </c>
      <c r="AA527" s="312"/>
      <c r="AB527" s="312"/>
      <c r="AC527" s="312"/>
      <c r="AD527" s="312"/>
    </row>
    <row r="528">
      <c r="A528" s="312"/>
      <c r="B528" s="344">
        <f t="shared" si="1"/>
        <v>2045</v>
      </c>
      <c r="C528" s="344">
        <v>90.0</v>
      </c>
      <c r="D528" s="369"/>
      <c r="E528" s="344" t="str">
        <f t="shared" si="2"/>
        <v>Saturday</v>
      </c>
      <c r="F528" s="344" t="s">
        <v>554</v>
      </c>
      <c r="G528" s="370"/>
      <c r="H528" s="370"/>
      <c r="I528" s="357">
        <f t="shared" si="3"/>
        <v>0</v>
      </c>
      <c r="J528" s="346">
        <f t="shared" si="4"/>
        <v>0</v>
      </c>
      <c r="K528" s="312"/>
      <c r="L528" s="312"/>
      <c r="M528" s="312"/>
      <c r="N528" s="362"/>
      <c r="O528" s="312"/>
      <c r="P528" s="312"/>
      <c r="S528" s="2">
        <f t="shared" si="5"/>
        <v>0</v>
      </c>
      <c r="AA528" s="312"/>
      <c r="AB528" s="312"/>
      <c r="AC528" s="312"/>
      <c r="AD528" s="312"/>
    </row>
    <row r="529">
      <c r="A529" s="312"/>
      <c r="B529" s="344">
        <f t="shared" si="1"/>
        <v>2045</v>
      </c>
      <c r="C529" s="344">
        <v>90.0</v>
      </c>
      <c r="D529" s="369"/>
      <c r="E529" s="344" t="str">
        <f t="shared" si="2"/>
        <v>Saturday</v>
      </c>
      <c r="F529" s="344" t="s">
        <v>554</v>
      </c>
      <c r="G529" s="370"/>
      <c r="H529" s="370"/>
      <c r="I529" s="357">
        <f t="shared" si="3"/>
        <v>0</v>
      </c>
      <c r="J529" s="346">
        <f t="shared" si="4"/>
        <v>0</v>
      </c>
      <c r="K529" s="312"/>
      <c r="L529" s="312"/>
      <c r="M529" s="312"/>
      <c r="N529" s="362"/>
      <c r="O529" s="312"/>
      <c r="P529" s="312"/>
      <c r="S529" s="2">
        <f t="shared" si="5"/>
        <v>0</v>
      </c>
      <c r="AA529" s="312"/>
      <c r="AB529" s="312"/>
      <c r="AC529" s="312"/>
      <c r="AD529" s="312"/>
    </row>
    <row r="530">
      <c r="A530" s="312"/>
      <c r="B530" s="344">
        <f t="shared" si="1"/>
        <v>2045</v>
      </c>
      <c r="C530" s="344">
        <v>90.0</v>
      </c>
      <c r="D530" s="369"/>
      <c r="E530" s="344" t="str">
        <f t="shared" si="2"/>
        <v>Saturday</v>
      </c>
      <c r="F530" s="344" t="s">
        <v>554</v>
      </c>
      <c r="G530" s="370"/>
      <c r="H530" s="370"/>
      <c r="I530" s="357">
        <f t="shared" si="3"/>
        <v>0</v>
      </c>
      <c r="J530" s="346">
        <f t="shared" si="4"/>
        <v>0</v>
      </c>
      <c r="K530" s="312"/>
      <c r="L530" s="312"/>
      <c r="M530" s="312"/>
      <c r="N530" s="362"/>
      <c r="O530" s="312"/>
      <c r="P530" s="312"/>
      <c r="S530" s="2">
        <f t="shared" si="5"/>
        <v>0</v>
      </c>
      <c r="AA530" s="312"/>
      <c r="AB530" s="312"/>
      <c r="AC530" s="312"/>
      <c r="AD530" s="312"/>
    </row>
    <row r="531">
      <c r="A531" s="312"/>
      <c r="B531" s="344">
        <f t="shared" si="1"/>
        <v>2045</v>
      </c>
      <c r="C531" s="344">
        <v>90.0</v>
      </c>
      <c r="D531" s="369"/>
      <c r="E531" s="344" t="str">
        <f t="shared" si="2"/>
        <v>Saturday</v>
      </c>
      <c r="F531" s="344" t="s">
        <v>554</v>
      </c>
      <c r="G531" s="370"/>
      <c r="H531" s="370"/>
      <c r="I531" s="357">
        <f t="shared" si="3"/>
        <v>0</v>
      </c>
      <c r="J531" s="346">
        <f t="shared" si="4"/>
        <v>0</v>
      </c>
      <c r="K531" s="312"/>
      <c r="L531" s="312"/>
      <c r="M531" s="312"/>
      <c r="N531" s="362"/>
      <c r="O531" s="312"/>
      <c r="P531" s="312"/>
      <c r="S531" s="2">
        <f t="shared" si="5"/>
        <v>0</v>
      </c>
      <c r="AA531" s="312"/>
      <c r="AB531" s="312"/>
      <c r="AC531" s="312"/>
      <c r="AD531" s="312"/>
    </row>
    <row r="532">
      <c r="A532" s="312"/>
      <c r="B532" s="344">
        <f t="shared" si="1"/>
        <v>2045</v>
      </c>
      <c r="C532" s="344">
        <v>90.0</v>
      </c>
      <c r="D532" s="369"/>
      <c r="E532" s="344" t="str">
        <f t="shared" si="2"/>
        <v>Saturday</v>
      </c>
      <c r="F532" s="344" t="s">
        <v>554</v>
      </c>
      <c r="G532" s="370"/>
      <c r="H532" s="370"/>
      <c r="I532" s="357">
        <f t="shared" si="3"/>
        <v>0</v>
      </c>
      <c r="J532" s="346">
        <f t="shared" si="4"/>
        <v>0</v>
      </c>
      <c r="K532" s="312"/>
      <c r="L532" s="312"/>
      <c r="M532" s="312"/>
      <c r="N532" s="362"/>
      <c r="O532" s="312"/>
      <c r="P532" s="312"/>
      <c r="S532" s="2">
        <f t="shared" si="5"/>
        <v>0</v>
      </c>
      <c r="AA532" s="312"/>
      <c r="AB532" s="312"/>
      <c r="AC532" s="312"/>
      <c r="AD532" s="312"/>
    </row>
    <row r="533">
      <c r="A533" s="312"/>
      <c r="B533" s="344">
        <f t="shared" si="1"/>
        <v>2045</v>
      </c>
      <c r="C533" s="344">
        <v>90.0</v>
      </c>
      <c r="D533" s="369"/>
      <c r="E533" s="344" t="str">
        <f t="shared" si="2"/>
        <v>Saturday</v>
      </c>
      <c r="F533" s="344" t="s">
        <v>554</v>
      </c>
      <c r="G533" s="370"/>
      <c r="H533" s="370"/>
      <c r="I533" s="357">
        <f t="shared" si="3"/>
        <v>0</v>
      </c>
      <c r="J533" s="346">
        <f t="shared" si="4"/>
        <v>0</v>
      </c>
      <c r="K533" s="312"/>
      <c r="L533" s="312"/>
      <c r="M533" s="312"/>
      <c r="N533" s="362"/>
      <c r="O533" s="312"/>
      <c r="P533" s="312"/>
      <c r="S533" s="2">
        <f t="shared" si="5"/>
        <v>0</v>
      </c>
      <c r="AA533" s="312"/>
      <c r="AB533" s="312"/>
      <c r="AC533" s="312"/>
      <c r="AD533" s="312"/>
    </row>
    <row r="534">
      <c r="A534" s="312"/>
      <c r="B534" s="344">
        <f t="shared" si="1"/>
        <v>2045</v>
      </c>
      <c r="C534" s="344">
        <v>90.0</v>
      </c>
      <c r="D534" s="369"/>
      <c r="E534" s="344" t="str">
        <f t="shared" si="2"/>
        <v>Saturday</v>
      </c>
      <c r="F534" s="344" t="s">
        <v>554</v>
      </c>
      <c r="G534" s="370"/>
      <c r="H534" s="370"/>
      <c r="I534" s="357">
        <f t="shared" si="3"/>
        <v>0</v>
      </c>
      <c r="J534" s="346">
        <f t="shared" si="4"/>
        <v>0</v>
      </c>
      <c r="K534" s="312"/>
      <c r="L534" s="312"/>
      <c r="M534" s="312"/>
      <c r="N534" s="362"/>
      <c r="O534" s="312"/>
      <c r="P534" s="312"/>
      <c r="S534" s="2">
        <f t="shared" si="5"/>
        <v>0</v>
      </c>
      <c r="AA534" s="312"/>
      <c r="AB534" s="312"/>
      <c r="AC534" s="312"/>
      <c r="AD534" s="312"/>
    </row>
    <row r="535">
      <c r="A535" s="312"/>
      <c r="B535" s="344">
        <f t="shared" si="1"/>
        <v>2045</v>
      </c>
      <c r="C535" s="344">
        <v>90.0</v>
      </c>
      <c r="D535" s="369"/>
      <c r="E535" s="344" t="str">
        <f t="shared" si="2"/>
        <v>Saturday</v>
      </c>
      <c r="F535" s="344" t="s">
        <v>554</v>
      </c>
      <c r="G535" s="370"/>
      <c r="H535" s="370"/>
      <c r="I535" s="357">
        <f t="shared" si="3"/>
        <v>0</v>
      </c>
      <c r="J535" s="346">
        <f t="shared" si="4"/>
        <v>0</v>
      </c>
      <c r="K535" s="312"/>
      <c r="L535" s="312"/>
      <c r="M535" s="312"/>
      <c r="N535" s="362"/>
      <c r="O535" s="312"/>
      <c r="P535" s="312"/>
      <c r="S535" s="2">
        <f t="shared" si="5"/>
        <v>0</v>
      </c>
      <c r="AA535" s="312"/>
      <c r="AB535" s="312"/>
      <c r="AC535" s="312"/>
      <c r="AD535" s="312"/>
    </row>
    <row r="536">
      <c r="A536" s="312"/>
      <c r="B536" s="344">
        <f t="shared" si="1"/>
        <v>2045</v>
      </c>
      <c r="C536" s="344">
        <v>90.0</v>
      </c>
      <c r="D536" s="369"/>
      <c r="E536" s="344" t="str">
        <f t="shared" si="2"/>
        <v>Saturday</v>
      </c>
      <c r="F536" s="344" t="s">
        <v>554</v>
      </c>
      <c r="G536" s="370"/>
      <c r="H536" s="370"/>
      <c r="I536" s="357">
        <f t="shared" si="3"/>
        <v>0</v>
      </c>
      <c r="J536" s="346">
        <f t="shared" si="4"/>
        <v>0</v>
      </c>
      <c r="K536" s="312"/>
      <c r="L536" s="312"/>
      <c r="M536" s="312"/>
      <c r="N536" s="362"/>
      <c r="O536" s="312"/>
      <c r="P536" s="312"/>
      <c r="S536" s="2">
        <f t="shared" si="5"/>
        <v>0</v>
      </c>
      <c r="AA536" s="312"/>
      <c r="AB536" s="312"/>
      <c r="AC536" s="312"/>
      <c r="AD536" s="312"/>
    </row>
    <row r="537">
      <c r="A537" s="312"/>
      <c r="B537" s="344">
        <f t="shared" si="1"/>
        <v>2045</v>
      </c>
      <c r="C537" s="344">
        <v>90.0</v>
      </c>
      <c r="D537" s="369"/>
      <c r="E537" s="344" t="str">
        <f t="shared" si="2"/>
        <v>Saturday</v>
      </c>
      <c r="F537" s="344" t="s">
        <v>554</v>
      </c>
      <c r="G537" s="370"/>
      <c r="H537" s="370"/>
      <c r="I537" s="357">
        <f t="shared" si="3"/>
        <v>0</v>
      </c>
      <c r="J537" s="346">
        <f t="shared" si="4"/>
        <v>0</v>
      </c>
      <c r="K537" s="312"/>
      <c r="L537" s="312"/>
      <c r="M537" s="312"/>
      <c r="N537" s="362"/>
      <c r="O537" s="312"/>
      <c r="P537" s="312"/>
      <c r="S537" s="2">
        <f t="shared" si="5"/>
        <v>0</v>
      </c>
      <c r="AA537" s="312"/>
      <c r="AB537" s="312"/>
      <c r="AC537" s="312"/>
      <c r="AD537" s="312"/>
    </row>
    <row r="538">
      <c r="A538" s="312"/>
      <c r="B538" s="344">
        <f t="shared" si="1"/>
        <v>2045</v>
      </c>
      <c r="C538" s="344">
        <v>90.0</v>
      </c>
      <c r="D538" s="369"/>
      <c r="E538" s="344" t="str">
        <f t="shared" si="2"/>
        <v>Saturday</v>
      </c>
      <c r="F538" s="344" t="s">
        <v>554</v>
      </c>
      <c r="G538" s="370"/>
      <c r="H538" s="370"/>
      <c r="I538" s="357">
        <f t="shared" si="3"/>
        <v>0</v>
      </c>
      <c r="J538" s="346">
        <f t="shared" si="4"/>
        <v>0</v>
      </c>
      <c r="K538" s="312"/>
      <c r="L538" s="312"/>
      <c r="M538" s="312"/>
      <c r="N538" s="362"/>
      <c r="O538" s="312"/>
      <c r="P538" s="312"/>
      <c r="S538" s="2">
        <f t="shared" si="5"/>
        <v>0</v>
      </c>
      <c r="AA538" s="312"/>
      <c r="AB538" s="312"/>
      <c r="AC538" s="312"/>
      <c r="AD538" s="312"/>
    </row>
    <row r="539">
      <c r="A539" s="312"/>
      <c r="B539" s="344">
        <f t="shared" si="1"/>
        <v>2045</v>
      </c>
      <c r="C539" s="344">
        <v>90.0</v>
      </c>
      <c r="D539" s="369"/>
      <c r="E539" s="344" t="str">
        <f t="shared" si="2"/>
        <v>Saturday</v>
      </c>
      <c r="F539" s="344" t="s">
        <v>554</v>
      </c>
      <c r="G539" s="370"/>
      <c r="H539" s="370"/>
      <c r="I539" s="357">
        <f t="shared" si="3"/>
        <v>0</v>
      </c>
      <c r="J539" s="346">
        <f t="shared" si="4"/>
        <v>0</v>
      </c>
      <c r="K539" s="312"/>
      <c r="L539" s="312"/>
      <c r="M539" s="312"/>
      <c r="N539" s="362"/>
      <c r="O539" s="312"/>
      <c r="P539" s="312"/>
      <c r="S539" s="2">
        <f t="shared" si="5"/>
        <v>0</v>
      </c>
      <c r="AA539" s="312"/>
      <c r="AB539" s="312"/>
      <c r="AC539" s="312"/>
      <c r="AD539" s="312"/>
    </row>
    <row r="540">
      <c r="A540" s="312"/>
      <c r="B540" s="344">
        <f t="shared" si="1"/>
        <v>2045</v>
      </c>
      <c r="C540" s="344">
        <v>90.0</v>
      </c>
      <c r="D540" s="369"/>
      <c r="E540" s="344" t="str">
        <f t="shared" si="2"/>
        <v>Saturday</v>
      </c>
      <c r="F540" s="344" t="s">
        <v>554</v>
      </c>
      <c r="G540" s="370"/>
      <c r="H540" s="370"/>
      <c r="I540" s="357">
        <f t="shared" si="3"/>
        <v>0</v>
      </c>
      <c r="J540" s="346">
        <f t="shared" si="4"/>
        <v>0</v>
      </c>
      <c r="K540" s="312"/>
      <c r="L540" s="312"/>
      <c r="M540" s="312"/>
      <c r="N540" s="362"/>
      <c r="O540" s="312"/>
      <c r="P540" s="312"/>
      <c r="S540" s="2">
        <f t="shared" si="5"/>
        <v>0</v>
      </c>
      <c r="AA540" s="312"/>
      <c r="AB540" s="312"/>
      <c r="AC540" s="312"/>
      <c r="AD540" s="312"/>
    </row>
    <row r="541">
      <c r="A541" s="312"/>
      <c r="B541" s="344">
        <f t="shared" si="1"/>
        <v>2045</v>
      </c>
      <c r="C541" s="344">
        <v>90.0</v>
      </c>
      <c r="D541" s="369"/>
      <c r="E541" s="344" t="str">
        <f t="shared" si="2"/>
        <v>Saturday</v>
      </c>
      <c r="F541" s="344" t="s">
        <v>554</v>
      </c>
      <c r="G541" s="370"/>
      <c r="H541" s="370"/>
      <c r="I541" s="357">
        <f t="shared" si="3"/>
        <v>0</v>
      </c>
      <c r="J541" s="346">
        <f t="shared" si="4"/>
        <v>0</v>
      </c>
      <c r="K541" s="312"/>
      <c r="L541" s="312"/>
      <c r="M541" s="312"/>
      <c r="N541" s="362"/>
      <c r="O541" s="312"/>
      <c r="P541" s="312"/>
      <c r="S541" s="2">
        <f t="shared" si="5"/>
        <v>0</v>
      </c>
      <c r="AA541" s="312"/>
      <c r="AB541" s="312"/>
      <c r="AC541" s="312"/>
      <c r="AD541" s="312"/>
    </row>
    <row r="542">
      <c r="A542" s="312"/>
      <c r="B542" s="344">
        <f t="shared" si="1"/>
        <v>2045</v>
      </c>
      <c r="C542" s="344">
        <v>90.0</v>
      </c>
      <c r="D542" s="369"/>
      <c r="E542" s="344" t="str">
        <f t="shared" si="2"/>
        <v>Saturday</v>
      </c>
      <c r="F542" s="344" t="s">
        <v>554</v>
      </c>
      <c r="G542" s="370"/>
      <c r="H542" s="370"/>
      <c r="I542" s="357">
        <f t="shared" si="3"/>
        <v>0</v>
      </c>
      <c r="J542" s="346">
        <f t="shared" si="4"/>
        <v>0</v>
      </c>
      <c r="K542" s="312"/>
      <c r="L542" s="312"/>
      <c r="M542" s="312"/>
      <c r="N542" s="362"/>
      <c r="O542" s="312"/>
      <c r="P542" s="312"/>
      <c r="S542" s="2">
        <f t="shared" si="5"/>
        <v>0</v>
      </c>
      <c r="AA542" s="312"/>
      <c r="AB542" s="312"/>
      <c r="AC542" s="312"/>
      <c r="AD542" s="312"/>
    </row>
    <row r="543">
      <c r="A543" s="312"/>
      <c r="B543" s="344">
        <f t="shared" si="1"/>
        <v>2045</v>
      </c>
      <c r="C543" s="344">
        <v>90.0</v>
      </c>
      <c r="D543" s="369"/>
      <c r="E543" s="344" t="str">
        <f t="shared" si="2"/>
        <v>Saturday</v>
      </c>
      <c r="F543" s="344" t="s">
        <v>554</v>
      </c>
      <c r="G543" s="370"/>
      <c r="H543" s="370"/>
      <c r="I543" s="357">
        <f t="shared" si="3"/>
        <v>0</v>
      </c>
      <c r="J543" s="346">
        <f t="shared" si="4"/>
        <v>0</v>
      </c>
      <c r="K543" s="312"/>
      <c r="L543" s="312"/>
      <c r="M543" s="312"/>
      <c r="N543" s="362"/>
      <c r="O543" s="312"/>
      <c r="P543" s="312"/>
      <c r="S543" s="2">
        <f t="shared" si="5"/>
        <v>0</v>
      </c>
      <c r="AA543" s="312"/>
      <c r="AB543" s="312"/>
      <c r="AC543" s="312"/>
      <c r="AD543" s="312"/>
    </row>
    <row r="544">
      <c r="A544" s="312"/>
      <c r="B544" s="344">
        <f t="shared" si="1"/>
        <v>2045</v>
      </c>
      <c r="C544" s="344">
        <v>90.0</v>
      </c>
      <c r="D544" s="369"/>
      <c r="E544" s="344" t="str">
        <f t="shared" si="2"/>
        <v>Saturday</v>
      </c>
      <c r="F544" s="344" t="s">
        <v>554</v>
      </c>
      <c r="G544" s="370"/>
      <c r="H544" s="370"/>
      <c r="I544" s="357">
        <f t="shared" si="3"/>
        <v>0</v>
      </c>
      <c r="J544" s="346">
        <f t="shared" si="4"/>
        <v>0</v>
      </c>
      <c r="K544" s="312"/>
      <c r="L544" s="312"/>
      <c r="M544" s="312"/>
      <c r="N544" s="362"/>
      <c r="O544" s="312"/>
      <c r="P544" s="312"/>
      <c r="S544" s="2">
        <f t="shared" si="5"/>
        <v>0</v>
      </c>
      <c r="AA544" s="312"/>
      <c r="AB544" s="312"/>
      <c r="AC544" s="312"/>
      <c r="AD544" s="312"/>
    </row>
    <row r="545">
      <c r="A545" s="312"/>
      <c r="B545" s="344">
        <f t="shared" si="1"/>
        <v>2045</v>
      </c>
      <c r="C545" s="344">
        <v>90.0</v>
      </c>
      <c r="D545" s="369"/>
      <c r="E545" s="344" t="str">
        <f t="shared" si="2"/>
        <v>Saturday</v>
      </c>
      <c r="F545" s="344" t="s">
        <v>554</v>
      </c>
      <c r="G545" s="370"/>
      <c r="H545" s="370"/>
      <c r="I545" s="357">
        <f t="shared" si="3"/>
        <v>0</v>
      </c>
      <c r="J545" s="346">
        <f t="shared" si="4"/>
        <v>0</v>
      </c>
      <c r="K545" s="312"/>
      <c r="L545" s="312"/>
      <c r="M545" s="312"/>
      <c r="N545" s="362"/>
      <c r="O545" s="312"/>
      <c r="P545" s="312"/>
      <c r="S545" s="2">
        <f t="shared" si="5"/>
        <v>0</v>
      </c>
      <c r="AA545" s="312"/>
      <c r="AB545" s="312"/>
      <c r="AC545" s="312"/>
      <c r="AD545" s="312"/>
    </row>
    <row r="546">
      <c r="A546" s="312"/>
      <c r="B546" s="344">
        <f t="shared" si="1"/>
        <v>2045</v>
      </c>
      <c r="C546" s="344">
        <v>90.0</v>
      </c>
      <c r="D546" s="369"/>
      <c r="E546" s="344" t="str">
        <f t="shared" si="2"/>
        <v>Saturday</v>
      </c>
      <c r="F546" s="344" t="s">
        <v>554</v>
      </c>
      <c r="G546" s="370"/>
      <c r="H546" s="370"/>
      <c r="I546" s="357">
        <f t="shared" si="3"/>
        <v>0</v>
      </c>
      <c r="J546" s="346">
        <f t="shared" si="4"/>
        <v>0</v>
      </c>
      <c r="K546" s="312"/>
      <c r="L546" s="312"/>
      <c r="M546" s="312"/>
      <c r="N546" s="362"/>
      <c r="O546" s="312"/>
      <c r="P546" s="312"/>
      <c r="S546" s="2">
        <f t="shared" si="5"/>
        <v>0</v>
      </c>
      <c r="AA546" s="312"/>
      <c r="AB546" s="312"/>
      <c r="AC546" s="312"/>
      <c r="AD546" s="312"/>
    </row>
    <row r="547">
      <c r="A547" s="312"/>
      <c r="B547" s="344">
        <f t="shared" si="1"/>
        <v>2045</v>
      </c>
      <c r="C547" s="344">
        <v>90.0</v>
      </c>
      <c r="D547" s="369"/>
      <c r="E547" s="344" t="str">
        <f t="shared" si="2"/>
        <v>Saturday</v>
      </c>
      <c r="F547" s="344" t="s">
        <v>554</v>
      </c>
      <c r="G547" s="370"/>
      <c r="H547" s="370"/>
      <c r="I547" s="357">
        <f t="shared" si="3"/>
        <v>0</v>
      </c>
      <c r="J547" s="346">
        <f t="shared" si="4"/>
        <v>0</v>
      </c>
      <c r="K547" s="312"/>
      <c r="L547" s="312"/>
      <c r="M547" s="312"/>
      <c r="N547" s="362"/>
      <c r="O547" s="312"/>
      <c r="P547" s="312"/>
      <c r="S547" s="2">
        <f t="shared" si="5"/>
        <v>0</v>
      </c>
      <c r="AA547" s="312"/>
      <c r="AB547" s="312"/>
      <c r="AC547" s="312"/>
      <c r="AD547" s="312"/>
    </row>
    <row r="548">
      <c r="A548" s="312"/>
      <c r="B548" s="344">
        <f t="shared" si="1"/>
        <v>2045</v>
      </c>
      <c r="C548" s="344">
        <v>90.0</v>
      </c>
      <c r="D548" s="369"/>
      <c r="E548" s="344" t="str">
        <f t="shared" si="2"/>
        <v>Saturday</v>
      </c>
      <c r="F548" s="344" t="s">
        <v>554</v>
      </c>
      <c r="G548" s="370"/>
      <c r="H548" s="370"/>
      <c r="I548" s="357">
        <f t="shared" si="3"/>
        <v>0</v>
      </c>
      <c r="J548" s="346">
        <f t="shared" si="4"/>
        <v>0</v>
      </c>
      <c r="K548" s="312"/>
      <c r="L548" s="312"/>
      <c r="M548" s="312"/>
      <c r="N548" s="362"/>
      <c r="O548" s="312"/>
      <c r="P548" s="312"/>
      <c r="S548" s="2">
        <f t="shared" si="5"/>
        <v>0</v>
      </c>
      <c r="AA548" s="312"/>
      <c r="AB548" s="312"/>
      <c r="AC548" s="312"/>
      <c r="AD548" s="312"/>
    </row>
    <row r="549">
      <c r="A549" s="312"/>
      <c r="B549" s="344">
        <f t="shared" si="1"/>
        <v>2045</v>
      </c>
      <c r="C549" s="344">
        <v>90.0</v>
      </c>
      <c r="D549" s="369"/>
      <c r="E549" s="344" t="str">
        <f t="shared" si="2"/>
        <v>Saturday</v>
      </c>
      <c r="F549" s="344" t="s">
        <v>554</v>
      </c>
      <c r="G549" s="370"/>
      <c r="H549" s="370"/>
      <c r="I549" s="357">
        <f t="shared" si="3"/>
        <v>0</v>
      </c>
      <c r="J549" s="346">
        <f t="shared" si="4"/>
        <v>0</v>
      </c>
      <c r="K549" s="312"/>
      <c r="L549" s="312"/>
      <c r="M549" s="312"/>
      <c r="N549" s="362"/>
      <c r="O549" s="312"/>
      <c r="P549" s="312"/>
      <c r="S549" s="2">
        <f t="shared" si="5"/>
        <v>0</v>
      </c>
      <c r="AA549" s="312"/>
      <c r="AB549" s="312"/>
      <c r="AC549" s="312"/>
      <c r="AD549" s="312"/>
    </row>
    <row r="550">
      <c r="A550" s="312"/>
      <c r="B550" s="344">
        <f t="shared" si="1"/>
        <v>2045</v>
      </c>
      <c r="C550" s="344">
        <v>90.0</v>
      </c>
      <c r="D550" s="369"/>
      <c r="E550" s="344" t="str">
        <f t="shared" si="2"/>
        <v>Saturday</v>
      </c>
      <c r="F550" s="344" t="s">
        <v>554</v>
      </c>
      <c r="G550" s="370"/>
      <c r="H550" s="370"/>
      <c r="I550" s="357">
        <f t="shared" si="3"/>
        <v>0</v>
      </c>
      <c r="J550" s="346">
        <f t="shared" si="4"/>
        <v>0</v>
      </c>
      <c r="K550" s="312"/>
      <c r="L550" s="312"/>
      <c r="M550" s="312"/>
      <c r="N550" s="362"/>
      <c r="O550" s="312"/>
      <c r="P550" s="312"/>
      <c r="S550" s="2">
        <f t="shared" si="5"/>
        <v>0</v>
      </c>
      <c r="AA550" s="312"/>
      <c r="AB550" s="312"/>
      <c r="AC550" s="312"/>
      <c r="AD550" s="312"/>
    </row>
    <row r="551">
      <c r="A551" s="312"/>
      <c r="B551" s="344">
        <f t="shared" si="1"/>
        <v>2045</v>
      </c>
      <c r="C551" s="344">
        <v>90.0</v>
      </c>
      <c r="D551" s="369"/>
      <c r="E551" s="344" t="str">
        <f t="shared" si="2"/>
        <v>Saturday</v>
      </c>
      <c r="F551" s="344" t="s">
        <v>554</v>
      </c>
      <c r="G551" s="370"/>
      <c r="H551" s="370"/>
      <c r="I551" s="357">
        <f t="shared" si="3"/>
        <v>0</v>
      </c>
      <c r="J551" s="346">
        <f t="shared" si="4"/>
        <v>0</v>
      </c>
      <c r="K551" s="312"/>
      <c r="L551" s="312"/>
      <c r="M551" s="312"/>
      <c r="N551" s="362"/>
      <c r="O551" s="312"/>
      <c r="P551" s="312"/>
      <c r="S551" s="2">
        <f t="shared" si="5"/>
        <v>0</v>
      </c>
      <c r="AA551" s="312"/>
      <c r="AB551" s="312"/>
      <c r="AC551" s="312"/>
      <c r="AD551" s="312"/>
    </row>
    <row r="552">
      <c r="A552" s="312"/>
      <c r="B552" s="344">
        <f t="shared" si="1"/>
        <v>2045</v>
      </c>
      <c r="C552" s="344">
        <v>90.0</v>
      </c>
      <c r="D552" s="369"/>
      <c r="E552" s="344" t="str">
        <f t="shared" si="2"/>
        <v>Saturday</v>
      </c>
      <c r="F552" s="344" t="s">
        <v>554</v>
      </c>
      <c r="G552" s="370"/>
      <c r="H552" s="370"/>
      <c r="I552" s="357">
        <f t="shared" si="3"/>
        <v>0</v>
      </c>
      <c r="J552" s="346">
        <f t="shared" si="4"/>
        <v>0</v>
      </c>
      <c r="K552" s="312"/>
      <c r="L552" s="312"/>
      <c r="M552" s="312"/>
      <c r="N552" s="362"/>
      <c r="O552" s="312"/>
      <c r="P552" s="312"/>
      <c r="S552" s="2">
        <f t="shared" si="5"/>
        <v>0</v>
      </c>
      <c r="AA552" s="312"/>
      <c r="AB552" s="312"/>
      <c r="AC552" s="312"/>
      <c r="AD552" s="312"/>
    </row>
    <row r="553">
      <c r="A553" s="312"/>
      <c r="B553" s="344">
        <f t="shared" si="1"/>
        <v>2045</v>
      </c>
      <c r="C553" s="344">
        <v>90.0</v>
      </c>
      <c r="D553" s="369"/>
      <c r="E553" s="344" t="str">
        <f t="shared" si="2"/>
        <v>Saturday</v>
      </c>
      <c r="F553" s="344" t="s">
        <v>554</v>
      </c>
      <c r="G553" s="370"/>
      <c r="H553" s="370"/>
      <c r="I553" s="357">
        <f t="shared" si="3"/>
        <v>0</v>
      </c>
      <c r="J553" s="346">
        <f t="shared" si="4"/>
        <v>0</v>
      </c>
      <c r="K553" s="312"/>
      <c r="L553" s="312"/>
      <c r="M553" s="312"/>
      <c r="N553" s="362"/>
      <c r="O553" s="312"/>
      <c r="P553" s="312"/>
      <c r="S553" s="2">
        <f t="shared" si="5"/>
        <v>0</v>
      </c>
      <c r="AA553" s="312"/>
      <c r="AB553" s="312"/>
      <c r="AC553" s="312"/>
      <c r="AD553" s="312"/>
    </row>
    <row r="554">
      <c r="A554" s="312"/>
      <c r="B554" s="344">
        <f t="shared" si="1"/>
        <v>2045</v>
      </c>
      <c r="C554" s="344">
        <v>90.0</v>
      </c>
      <c r="D554" s="369"/>
      <c r="E554" s="344" t="str">
        <f t="shared" si="2"/>
        <v>Saturday</v>
      </c>
      <c r="F554" s="344" t="s">
        <v>554</v>
      </c>
      <c r="G554" s="370"/>
      <c r="H554" s="370"/>
      <c r="I554" s="357">
        <f t="shared" si="3"/>
        <v>0</v>
      </c>
      <c r="J554" s="346">
        <f t="shared" si="4"/>
        <v>0</v>
      </c>
      <c r="K554" s="312"/>
      <c r="L554" s="312"/>
      <c r="M554" s="312"/>
      <c r="N554" s="362"/>
      <c r="O554" s="312"/>
      <c r="P554" s="312"/>
      <c r="S554" s="2">
        <f t="shared" si="5"/>
        <v>0</v>
      </c>
      <c r="AA554" s="312"/>
      <c r="AB554" s="312"/>
      <c r="AC554" s="312"/>
      <c r="AD554" s="312"/>
    </row>
    <row r="555">
      <c r="A555" s="312"/>
      <c r="B555" s="344">
        <f t="shared" si="1"/>
        <v>2045</v>
      </c>
      <c r="C555" s="344">
        <v>90.0</v>
      </c>
      <c r="D555" s="369"/>
      <c r="E555" s="344" t="str">
        <f t="shared" si="2"/>
        <v>Saturday</v>
      </c>
      <c r="F555" s="344" t="s">
        <v>554</v>
      </c>
      <c r="G555" s="370"/>
      <c r="H555" s="370"/>
      <c r="I555" s="357">
        <f t="shared" si="3"/>
        <v>0</v>
      </c>
      <c r="J555" s="346">
        <f t="shared" si="4"/>
        <v>0</v>
      </c>
      <c r="K555" s="312"/>
      <c r="L555" s="312"/>
      <c r="M555" s="312"/>
      <c r="N555" s="362"/>
      <c r="O555" s="312"/>
      <c r="P555" s="312"/>
      <c r="S555" s="2">
        <f t="shared" si="5"/>
        <v>0</v>
      </c>
      <c r="AA555" s="312"/>
      <c r="AB555" s="312"/>
      <c r="AC555" s="312"/>
      <c r="AD555" s="312"/>
    </row>
    <row r="556">
      <c r="A556" s="312"/>
      <c r="B556" s="344">
        <f t="shared" si="1"/>
        <v>2045</v>
      </c>
      <c r="C556" s="344">
        <v>90.0</v>
      </c>
      <c r="D556" s="369"/>
      <c r="E556" s="344" t="str">
        <f t="shared" si="2"/>
        <v>Saturday</v>
      </c>
      <c r="F556" s="344" t="s">
        <v>554</v>
      </c>
      <c r="G556" s="370"/>
      <c r="H556" s="370"/>
      <c r="I556" s="357">
        <f t="shared" si="3"/>
        <v>0</v>
      </c>
      <c r="J556" s="346">
        <f t="shared" si="4"/>
        <v>0</v>
      </c>
      <c r="K556" s="312"/>
      <c r="L556" s="312"/>
      <c r="M556" s="312"/>
      <c r="N556" s="362"/>
      <c r="O556" s="312"/>
      <c r="P556" s="312"/>
      <c r="S556" s="2">
        <f t="shared" si="5"/>
        <v>0</v>
      </c>
      <c r="AA556" s="312"/>
      <c r="AB556" s="312"/>
      <c r="AC556" s="312"/>
      <c r="AD556" s="312"/>
    </row>
    <row r="557">
      <c r="A557" s="312"/>
      <c r="B557" s="344">
        <f t="shared" si="1"/>
        <v>2045</v>
      </c>
      <c r="C557" s="344">
        <v>90.0</v>
      </c>
      <c r="D557" s="369"/>
      <c r="E557" s="344" t="str">
        <f t="shared" si="2"/>
        <v>Saturday</v>
      </c>
      <c r="F557" s="344" t="s">
        <v>554</v>
      </c>
      <c r="G557" s="370"/>
      <c r="H557" s="370"/>
      <c r="I557" s="357">
        <f t="shared" si="3"/>
        <v>0</v>
      </c>
      <c r="J557" s="346">
        <f t="shared" si="4"/>
        <v>0</v>
      </c>
      <c r="K557" s="312"/>
      <c r="L557" s="312"/>
      <c r="M557" s="312"/>
      <c r="N557" s="362"/>
      <c r="O557" s="312"/>
      <c r="P557" s="312"/>
      <c r="S557" s="2">
        <f t="shared" si="5"/>
        <v>0</v>
      </c>
      <c r="AA557" s="312"/>
      <c r="AB557" s="312"/>
      <c r="AC557" s="312"/>
      <c r="AD557" s="312"/>
    </row>
    <row r="558">
      <c r="A558" s="312"/>
      <c r="B558" s="344">
        <f t="shared" si="1"/>
        <v>2045</v>
      </c>
      <c r="C558" s="344">
        <v>90.0</v>
      </c>
      <c r="D558" s="369"/>
      <c r="E558" s="344" t="str">
        <f t="shared" si="2"/>
        <v>Saturday</v>
      </c>
      <c r="F558" s="344" t="s">
        <v>554</v>
      </c>
      <c r="G558" s="370"/>
      <c r="H558" s="370"/>
      <c r="I558" s="357">
        <f t="shared" si="3"/>
        <v>0</v>
      </c>
      <c r="J558" s="346">
        <f t="shared" si="4"/>
        <v>0</v>
      </c>
      <c r="K558" s="312"/>
      <c r="L558" s="312"/>
      <c r="M558" s="312"/>
      <c r="N558" s="362"/>
      <c r="O558" s="312"/>
      <c r="P558" s="312"/>
      <c r="S558" s="2">
        <f t="shared" si="5"/>
        <v>0</v>
      </c>
      <c r="AA558" s="312"/>
      <c r="AB558" s="312"/>
      <c r="AC558" s="312"/>
      <c r="AD558" s="312"/>
    </row>
    <row r="559">
      <c r="A559" s="312"/>
      <c r="B559" s="344">
        <f t="shared" si="1"/>
        <v>2045</v>
      </c>
      <c r="C559" s="344">
        <v>90.0</v>
      </c>
      <c r="D559" s="369"/>
      <c r="E559" s="344" t="str">
        <f t="shared" si="2"/>
        <v>Saturday</v>
      </c>
      <c r="F559" s="344" t="s">
        <v>554</v>
      </c>
      <c r="G559" s="370"/>
      <c r="H559" s="370"/>
      <c r="I559" s="357">
        <f t="shared" si="3"/>
        <v>0</v>
      </c>
      <c r="J559" s="346">
        <f t="shared" si="4"/>
        <v>0</v>
      </c>
      <c r="K559" s="312"/>
      <c r="L559" s="312"/>
      <c r="M559" s="312"/>
      <c r="N559" s="362"/>
      <c r="O559" s="312"/>
      <c r="P559" s="312"/>
      <c r="S559" s="2">
        <f t="shared" si="5"/>
        <v>0</v>
      </c>
      <c r="AA559" s="312"/>
      <c r="AB559" s="312"/>
      <c r="AC559" s="312"/>
      <c r="AD559" s="312"/>
    </row>
    <row r="560">
      <c r="A560" s="312"/>
      <c r="B560" s="344">
        <f t="shared" si="1"/>
        <v>2045</v>
      </c>
      <c r="C560" s="344">
        <v>90.0</v>
      </c>
      <c r="D560" s="369"/>
      <c r="E560" s="344" t="str">
        <f t="shared" si="2"/>
        <v>Saturday</v>
      </c>
      <c r="F560" s="344" t="s">
        <v>554</v>
      </c>
      <c r="G560" s="370"/>
      <c r="H560" s="370"/>
      <c r="I560" s="357">
        <f t="shared" si="3"/>
        <v>0</v>
      </c>
      <c r="J560" s="346">
        <f t="shared" si="4"/>
        <v>0</v>
      </c>
      <c r="K560" s="312"/>
      <c r="L560" s="312"/>
      <c r="M560" s="312"/>
      <c r="N560" s="362"/>
      <c r="O560" s="312"/>
      <c r="P560" s="312"/>
      <c r="S560" s="2">
        <f t="shared" si="5"/>
        <v>0</v>
      </c>
      <c r="AA560" s="312"/>
      <c r="AB560" s="312"/>
      <c r="AC560" s="312"/>
      <c r="AD560" s="312"/>
    </row>
    <row r="561">
      <c r="A561" s="312"/>
      <c r="B561" s="344">
        <f t="shared" si="1"/>
        <v>2045</v>
      </c>
      <c r="C561" s="344">
        <v>90.0</v>
      </c>
      <c r="D561" s="369"/>
      <c r="E561" s="344" t="str">
        <f t="shared" si="2"/>
        <v>Saturday</v>
      </c>
      <c r="F561" s="344" t="s">
        <v>554</v>
      </c>
      <c r="G561" s="370"/>
      <c r="H561" s="370"/>
      <c r="I561" s="357">
        <f t="shared" si="3"/>
        <v>0</v>
      </c>
      <c r="J561" s="346">
        <f t="shared" si="4"/>
        <v>0</v>
      </c>
      <c r="K561" s="312"/>
      <c r="L561" s="312"/>
      <c r="M561" s="312"/>
      <c r="N561" s="362"/>
      <c r="O561" s="312"/>
      <c r="P561" s="312"/>
      <c r="S561" s="2">
        <f t="shared" si="5"/>
        <v>0</v>
      </c>
      <c r="AA561" s="312"/>
      <c r="AB561" s="312"/>
      <c r="AC561" s="312"/>
      <c r="AD561" s="312"/>
    </row>
    <row r="562">
      <c r="A562" s="312"/>
      <c r="B562" s="344">
        <f t="shared" si="1"/>
        <v>2045</v>
      </c>
      <c r="C562" s="344">
        <v>90.0</v>
      </c>
      <c r="D562" s="369"/>
      <c r="E562" s="344" t="str">
        <f t="shared" si="2"/>
        <v>Saturday</v>
      </c>
      <c r="F562" s="344" t="s">
        <v>554</v>
      </c>
      <c r="G562" s="370"/>
      <c r="H562" s="370"/>
      <c r="I562" s="357">
        <f t="shared" si="3"/>
        <v>0</v>
      </c>
      <c r="J562" s="346">
        <f t="shared" si="4"/>
        <v>0</v>
      </c>
      <c r="K562" s="312"/>
      <c r="L562" s="312"/>
      <c r="M562" s="312"/>
      <c r="N562" s="362"/>
      <c r="O562" s="312"/>
      <c r="P562" s="312"/>
      <c r="S562" s="2">
        <f t="shared" si="5"/>
        <v>0</v>
      </c>
      <c r="AA562" s="312"/>
      <c r="AB562" s="312"/>
      <c r="AC562" s="312"/>
      <c r="AD562" s="312"/>
    </row>
    <row r="563">
      <c r="A563" s="312"/>
      <c r="B563" s="344">
        <f t="shared" si="1"/>
        <v>2045</v>
      </c>
      <c r="C563" s="344">
        <v>90.0</v>
      </c>
      <c r="D563" s="369"/>
      <c r="E563" s="344" t="str">
        <f t="shared" si="2"/>
        <v>Saturday</v>
      </c>
      <c r="F563" s="344" t="s">
        <v>554</v>
      </c>
      <c r="G563" s="370"/>
      <c r="H563" s="370"/>
      <c r="I563" s="357">
        <f t="shared" si="3"/>
        <v>0</v>
      </c>
      <c r="J563" s="346">
        <f t="shared" si="4"/>
        <v>0</v>
      </c>
      <c r="K563" s="312"/>
      <c r="L563" s="312"/>
      <c r="M563" s="312"/>
      <c r="N563" s="362"/>
      <c r="O563" s="312"/>
      <c r="P563" s="312"/>
      <c r="S563" s="2">
        <f t="shared" si="5"/>
        <v>0</v>
      </c>
      <c r="AA563" s="312"/>
      <c r="AB563" s="312"/>
      <c r="AC563" s="312"/>
      <c r="AD563" s="312"/>
    </row>
    <row r="564">
      <c r="A564" s="312"/>
      <c r="B564" s="344">
        <f t="shared" si="1"/>
        <v>2045</v>
      </c>
      <c r="C564" s="344">
        <v>90.0</v>
      </c>
      <c r="D564" s="369"/>
      <c r="E564" s="344" t="str">
        <f t="shared" si="2"/>
        <v>Saturday</v>
      </c>
      <c r="F564" s="344" t="s">
        <v>554</v>
      </c>
      <c r="G564" s="370"/>
      <c r="H564" s="370"/>
      <c r="I564" s="357">
        <f t="shared" si="3"/>
        <v>0</v>
      </c>
      <c r="J564" s="346">
        <f t="shared" si="4"/>
        <v>0</v>
      </c>
      <c r="K564" s="312"/>
      <c r="L564" s="312"/>
      <c r="M564" s="312"/>
      <c r="N564" s="362"/>
      <c r="O564" s="312"/>
      <c r="P564" s="312"/>
      <c r="S564" s="2">
        <f t="shared" si="5"/>
        <v>0</v>
      </c>
      <c r="AA564" s="312"/>
      <c r="AB564" s="312"/>
      <c r="AC564" s="312"/>
      <c r="AD564" s="312"/>
    </row>
    <row r="565">
      <c r="A565" s="312"/>
      <c r="B565" s="344">
        <f t="shared" si="1"/>
        <v>2045</v>
      </c>
      <c r="C565" s="344">
        <v>90.0</v>
      </c>
      <c r="D565" s="369"/>
      <c r="E565" s="344" t="str">
        <f t="shared" si="2"/>
        <v>Saturday</v>
      </c>
      <c r="F565" s="344" t="s">
        <v>554</v>
      </c>
      <c r="G565" s="370"/>
      <c r="H565" s="370"/>
      <c r="I565" s="357">
        <f t="shared" si="3"/>
        <v>0</v>
      </c>
      <c r="J565" s="346">
        <f t="shared" si="4"/>
        <v>0</v>
      </c>
      <c r="K565" s="312"/>
      <c r="L565" s="312"/>
      <c r="M565" s="312"/>
      <c r="N565" s="362"/>
      <c r="O565" s="312"/>
      <c r="P565" s="312"/>
      <c r="S565" s="2">
        <f t="shared" si="5"/>
        <v>0</v>
      </c>
      <c r="AA565" s="312"/>
      <c r="AB565" s="312"/>
      <c r="AC565" s="312"/>
      <c r="AD565" s="312"/>
    </row>
    <row r="566">
      <c r="A566" s="312"/>
      <c r="B566" s="344">
        <f t="shared" si="1"/>
        <v>2045</v>
      </c>
      <c r="C566" s="344">
        <v>90.0</v>
      </c>
      <c r="D566" s="369"/>
      <c r="E566" s="344" t="str">
        <f t="shared" si="2"/>
        <v>Saturday</v>
      </c>
      <c r="F566" s="344" t="s">
        <v>554</v>
      </c>
      <c r="G566" s="370"/>
      <c r="H566" s="370"/>
      <c r="I566" s="357">
        <f t="shared" si="3"/>
        <v>0</v>
      </c>
      <c r="J566" s="346">
        <f t="shared" si="4"/>
        <v>0</v>
      </c>
      <c r="K566" s="312"/>
      <c r="L566" s="312"/>
      <c r="M566" s="312"/>
      <c r="N566" s="362"/>
      <c r="O566" s="312"/>
      <c r="P566" s="312"/>
      <c r="S566" s="2">
        <f t="shared" si="5"/>
        <v>0</v>
      </c>
      <c r="AA566" s="312"/>
      <c r="AB566" s="312"/>
      <c r="AC566" s="312"/>
      <c r="AD566" s="312"/>
    </row>
    <row r="567">
      <c r="A567" s="312"/>
      <c r="B567" s="344">
        <f t="shared" si="1"/>
        <v>2045</v>
      </c>
      <c r="C567" s="344">
        <v>90.0</v>
      </c>
      <c r="D567" s="369"/>
      <c r="E567" s="344" t="str">
        <f t="shared" si="2"/>
        <v>Saturday</v>
      </c>
      <c r="F567" s="344" t="s">
        <v>554</v>
      </c>
      <c r="G567" s="370"/>
      <c r="H567" s="370"/>
      <c r="I567" s="357">
        <f t="shared" si="3"/>
        <v>0</v>
      </c>
      <c r="J567" s="346">
        <f t="shared" si="4"/>
        <v>0</v>
      </c>
      <c r="K567" s="312"/>
      <c r="L567" s="312"/>
      <c r="M567" s="312"/>
      <c r="N567" s="362"/>
      <c r="O567" s="312"/>
      <c r="P567" s="312"/>
      <c r="S567" s="2">
        <f t="shared" si="5"/>
        <v>0</v>
      </c>
      <c r="AA567" s="312"/>
      <c r="AB567" s="312"/>
      <c r="AC567" s="312"/>
      <c r="AD567" s="312"/>
    </row>
    <row r="568">
      <c r="A568" s="312"/>
      <c r="B568" s="344">
        <f t="shared" si="1"/>
        <v>2045</v>
      </c>
      <c r="C568" s="344">
        <v>90.0</v>
      </c>
      <c r="D568" s="369"/>
      <c r="E568" s="344" t="str">
        <f t="shared" si="2"/>
        <v>Saturday</v>
      </c>
      <c r="F568" s="344" t="s">
        <v>554</v>
      </c>
      <c r="G568" s="370"/>
      <c r="H568" s="370"/>
      <c r="I568" s="357">
        <f t="shared" si="3"/>
        <v>0</v>
      </c>
      <c r="J568" s="346">
        <f t="shared" si="4"/>
        <v>0</v>
      </c>
      <c r="K568" s="312"/>
      <c r="L568" s="312"/>
      <c r="M568" s="312"/>
      <c r="N568" s="362"/>
      <c r="O568" s="312"/>
      <c r="P568" s="312"/>
      <c r="S568" s="2">
        <f t="shared" si="5"/>
        <v>0</v>
      </c>
      <c r="AA568" s="312"/>
      <c r="AB568" s="312"/>
      <c r="AC568" s="312"/>
      <c r="AD568" s="312"/>
    </row>
    <row r="569">
      <c r="A569" s="312"/>
      <c r="B569" s="344">
        <f t="shared" si="1"/>
        <v>2045</v>
      </c>
      <c r="C569" s="344">
        <v>90.0</v>
      </c>
      <c r="D569" s="369"/>
      <c r="E569" s="344" t="str">
        <f t="shared" si="2"/>
        <v>Saturday</v>
      </c>
      <c r="F569" s="344" t="s">
        <v>554</v>
      </c>
      <c r="G569" s="370"/>
      <c r="H569" s="370"/>
      <c r="I569" s="357">
        <f t="shared" si="3"/>
        <v>0</v>
      </c>
      <c r="J569" s="346">
        <f t="shared" si="4"/>
        <v>0</v>
      </c>
      <c r="K569" s="312"/>
      <c r="L569" s="312"/>
      <c r="M569" s="312"/>
      <c r="N569" s="362"/>
      <c r="O569" s="312"/>
      <c r="P569" s="312"/>
      <c r="S569" s="2">
        <f t="shared" si="5"/>
        <v>0</v>
      </c>
      <c r="AA569" s="312"/>
      <c r="AB569" s="312"/>
      <c r="AC569" s="312"/>
      <c r="AD569" s="312"/>
    </row>
    <row r="570">
      <c r="A570" s="312"/>
      <c r="B570" s="344">
        <f t="shared" si="1"/>
        <v>2045</v>
      </c>
      <c r="C570" s="344">
        <v>90.0</v>
      </c>
      <c r="D570" s="369"/>
      <c r="E570" s="344" t="str">
        <f t="shared" si="2"/>
        <v>Saturday</v>
      </c>
      <c r="F570" s="344" t="s">
        <v>554</v>
      </c>
      <c r="G570" s="370"/>
      <c r="H570" s="370"/>
      <c r="I570" s="357">
        <f t="shared" si="3"/>
        <v>0</v>
      </c>
      <c r="J570" s="346">
        <f t="shared" si="4"/>
        <v>0</v>
      </c>
      <c r="K570" s="312"/>
      <c r="L570" s="312"/>
      <c r="M570" s="312"/>
      <c r="N570" s="362"/>
      <c r="O570" s="312"/>
      <c r="P570" s="312"/>
      <c r="S570" s="2">
        <f t="shared" si="5"/>
        <v>0</v>
      </c>
      <c r="AA570" s="312"/>
      <c r="AB570" s="312"/>
      <c r="AC570" s="312"/>
      <c r="AD570" s="312"/>
    </row>
    <row r="571">
      <c r="A571" s="312"/>
      <c r="B571" s="344">
        <f t="shared" si="1"/>
        <v>2045</v>
      </c>
      <c r="C571" s="344">
        <v>90.0</v>
      </c>
      <c r="D571" s="369"/>
      <c r="E571" s="344" t="str">
        <f t="shared" si="2"/>
        <v>Saturday</v>
      </c>
      <c r="F571" s="344" t="s">
        <v>554</v>
      </c>
      <c r="G571" s="370"/>
      <c r="H571" s="370"/>
      <c r="I571" s="357">
        <f t="shared" si="3"/>
        <v>0</v>
      </c>
      <c r="J571" s="346">
        <f t="shared" si="4"/>
        <v>0</v>
      </c>
      <c r="K571" s="312"/>
      <c r="L571" s="312"/>
      <c r="M571" s="312"/>
      <c r="N571" s="362"/>
      <c r="O571" s="312"/>
      <c r="P571" s="312"/>
      <c r="S571" s="2">
        <f t="shared" si="5"/>
        <v>0</v>
      </c>
      <c r="AA571" s="312"/>
      <c r="AB571" s="312"/>
      <c r="AC571" s="312"/>
      <c r="AD571" s="312"/>
    </row>
    <row r="572">
      <c r="A572" s="312"/>
      <c r="B572" s="344">
        <f t="shared" si="1"/>
        <v>2045</v>
      </c>
      <c r="C572" s="344">
        <v>90.0</v>
      </c>
      <c r="D572" s="369"/>
      <c r="E572" s="344" t="str">
        <f t="shared" si="2"/>
        <v>Saturday</v>
      </c>
      <c r="F572" s="344" t="s">
        <v>554</v>
      </c>
      <c r="G572" s="370"/>
      <c r="H572" s="370"/>
      <c r="I572" s="357">
        <f t="shared" si="3"/>
        <v>0</v>
      </c>
      <c r="J572" s="346">
        <f t="shared" si="4"/>
        <v>0</v>
      </c>
      <c r="K572" s="312"/>
      <c r="L572" s="312"/>
      <c r="M572" s="312"/>
      <c r="N572" s="362"/>
      <c r="O572" s="312"/>
      <c r="P572" s="312"/>
      <c r="S572" s="2">
        <f t="shared" si="5"/>
        <v>0</v>
      </c>
      <c r="AA572" s="312"/>
      <c r="AB572" s="312"/>
      <c r="AC572" s="312"/>
      <c r="AD572" s="312"/>
    </row>
    <row r="573">
      <c r="A573" s="312"/>
      <c r="B573" s="344">
        <f t="shared" si="1"/>
        <v>2045</v>
      </c>
      <c r="C573" s="344">
        <v>90.0</v>
      </c>
      <c r="D573" s="369"/>
      <c r="E573" s="344" t="str">
        <f t="shared" si="2"/>
        <v>Saturday</v>
      </c>
      <c r="F573" s="344" t="s">
        <v>554</v>
      </c>
      <c r="G573" s="370"/>
      <c r="H573" s="370"/>
      <c r="I573" s="357">
        <f t="shared" si="3"/>
        <v>0</v>
      </c>
      <c r="J573" s="346">
        <f t="shared" si="4"/>
        <v>0</v>
      </c>
      <c r="K573" s="312"/>
      <c r="L573" s="312"/>
      <c r="M573" s="312"/>
      <c r="N573" s="362"/>
      <c r="O573" s="312"/>
      <c r="P573" s="312"/>
      <c r="S573" s="2">
        <f t="shared" si="5"/>
        <v>0</v>
      </c>
      <c r="AA573" s="312"/>
      <c r="AB573" s="312"/>
      <c r="AC573" s="312"/>
      <c r="AD573" s="312"/>
    </row>
    <row r="574">
      <c r="A574" s="312"/>
      <c r="B574" s="344">
        <f t="shared" si="1"/>
        <v>2045</v>
      </c>
      <c r="C574" s="344">
        <v>90.0</v>
      </c>
      <c r="D574" s="369"/>
      <c r="E574" s="344" t="str">
        <f t="shared" si="2"/>
        <v>Saturday</v>
      </c>
      <c r="F574" s="344" t="s">
        <v>554</v>
      </c>
      <c r="G574" s="370"/>
      <c r="H574" s="370"/>
      <c r="I574" s="357">
        <f t="shared" si="3"/>
        <v>0</v>
      </c>
      <c r="J574" s="346">
        <f t="shared" si="4"/>
        <v>0</v>
      </c>
      <c r="K574" s="312"/>
      <c r="L574" s="312"/>
      <c r="M574" s="312"/>
      <c r="N574" s="362"/>
      <c r="O574" s="312"/>
      <c r="P574" s="312"/>
      <c r="S574" s="2">
        <f t="shared" si="5"/>
        <v>0</v>
      </c>
      <c r="AA574" s="312"/>
      <c r="AB574" s="312"/>
      <c r="AC574" s="312"/>
      <c r="AD574" s="312"/>
    </row>
    <row r="575">
      <c r="A575" s="312"/>
      <c r="B575" s="344">
        <f t="shared" si="1"/>
        <v>2045</v>
      </c>
      <c r="C575" s="344">
        <v>90.0</v>
      </c>
      <c r="D575" s="369"/>
      <c r="E575" s="344" t="str">
        <f t="shared" si="2"/>
        <v>Saturday</v>
      </c>
      <c r="F575" s="344" t="s">
        <v>554</v>
      </c>
      <c r="G575" s="370"/>
      <c r="H575" s="370"/>
      <c r="I575" s="357">
        <f t="shared" si="3"/>
        <v>0</v>
      </c>
      <c r="J575" s="346">
        <f t="shared" si="4"/>
        <v>0</v>
      </c>
      <c r="K575" s="312"/>
      <c r="L575" s="312"/>
      <c r="M575" s="312"/>
      <c r="N575" s="362"/>
      <c r="O575" s="312"/>
      <c r="P575" s="312"/>
      <c r="S575" s="2">
        <f t="shared" si="5"/>
        <v>0</v>
      </c>
      <c r="AA575" s="312"/>
      <c r="AB575" s="312"/>
      <c r="AC575" s="312"/>
      <c r="AD575" s="312"/>
    </row>
    <row r="576">
      <c r="A576" s="312"/>
      <c r="B576" s="344">
        <f t="shared" si="1"/>
        <v>2045</v>
      </c>
      <c r="C576" s="344">
        <v>90.0</v>
      </c>
      <c r="D576" s="369"/>
      <c r="E576" s="344" t="str">
        <f t="shared" si="2"/>
        <v>Saturday</v>
      </c>
      <c r="F576" s="344" t="s">
        <v>554</v>
      </c>
      <c r="G576" s="370"/>
      <c r="H576" s="370"/>
      <c r="I576" s="357">
        <f t="shared" si="3"/>
        <v>0</v>
      </c>
      <c r="J576" s="346">
        <f t="shared" si="4"/>
        <v>0</v>
      </c>
      <c r="K576" s="312"/>
      <c r="L576" s="312"/>
      <c r="M576" s="312"/>
      <c r="N576" s="362"/>
      <c r="O576" s="312"/>
      <c r="P576" s="312"/>
      <c r="S576" s="2">
        <f t="shared" si="5"/>
        <v>0</v>
      </c>
      <c r="AA576" s="312"/>
      <c r="AB576" s="312"/>
      <c r="AC576" s="312"/>
      <c r="AD576" s="312"/>
    </row>
    <row r="577">
      <c r="A577" s="312"/>
      <c r="B577" s="344">
        <f t="shared" si="1"/>
        <v>2045</v>
      </c>
      <c r="C577" s="344">
        <v>90.0</v>
      </c>
      <c r="D577" s="369"/>
      <c r="E577" s="344" t="str">
        <f t="shared" si="2"/>
        <v>Saturday</v>
      </c>
      <c r="F577" s="344" t="s">
        <v>554</v>
      </c>
      <c r="G577" s="370"/>
      <c r="H577" s="370"/>
      <c r="I577" s="357">
        <f t="shared" si="3"/>
        <v>0</v>
      </c>
      <c r="J577" s="346">
        <f t="shared" si="4"/>
        <v>0</v>
      </c>
      <c r="K577" s="312"/>
      <c r="L577" s="312"/>
      <c r="M577" s="312"/>
      <c r="N577" s="362"/>
      <c r="O577" s="312"/>
      <c r="P577" s="312"/>
      <c r="S577" s="2">
        <f t="shared" si="5"/>
        <v>0</v>
      </c>
      <c r="AA577" s="312"/>
      <c r="AB577" s="312"/>
      <c r="AC577" s="312"/>
      <c r="AD577" s="312"/>
    </row>
    <row r="578">
      <c r="A578" s="312"/>
      <c r="B578" s="344">
        <f t="shared" si="1"/>
        <v>2045</v>
      </c>
      <c r="C578" s="344">
        <v>90.0</v>
      </c>
      <c r="D578" s="369"/>
      <c r="E578" s="344" t="str">
        <f t="shared" si="2"/>
        <v>Saturday</v>
      </c>
      <c r="F578" s="344" t="s">
        <v>554</v>
      </c>
      <c r="G578" s="370"/>
      <c r="H578" s="370"/>
      <c r="I578" s="357">
        <f t="shared" si="3"/>
        <v>0</v>
      </c>
      <c r="J578" s="346">
        <f t="shared" si="4"/>
        <v>0</v>
      </c>
      <c r="K578" s="312"/>
      <c r="L578" s="312"/>
      <c r="M578" s="312"/>
      <c r="N578" s="362"/>
      <c r="O578" s="312"/>
      <c r="P578" s="312"/>
      <c r="S578" s="2">
        <f t="shared" si="5"/>
        <v>0</v>
      </c>
      <c r="AA578" s="312"/>
      <c r="AB578" s="312"/>
      <c r="AC578" s="312"/>
      <c r="AD578" s="312"/>
    </row>
    <row r="579">
      <c r="A579" s="312"/>
      <c r="B579" s="344">
        <f t="shared" si="1"/>
        <v>2045</v>
      </c>
      <c r="C579" s="344">
        <v>90.0</v>
      </c>
      <c r="D579" s="369"/>
      <c r="E579" s="344" t="str">
        <f t="shared" si="2"/>
        <v>Saturday</v>
      </c>
      <c r="F579" s="344" t="s">
        <v>554</v>
      </c>
      <c r="G579" s="370"/>
      <c r="H579" s="370"/>
      <c r="I579" s="357">
        <f t="shared" si="3"/>
        <v>0</v>
      </c>
      <c r="J579" s="346">
        <f t="shared" si="4"/>
        <v>0</v>
      </c>
      <c r="K579" s="312"/>
      <c r="L579" s="312"/>
      <c r="M579" s="312"/>
      <c r="N579" s="362"/>
      <c r="O579" s="312"/>
      <c r="P579" s="312"/>
      <c r="S579" s="2">
        <f t="shared" si="5"/>
        <v>0</v>
      </c>
      <c r="AA579" s="312"/>
      <c r="AB579" s="312"/>
      <c r="AC579" s="312"/>
      <c r="AD579" s="312"/>
    </row>
    <row r="580">
      <c r="A580" s="312"/>
      <c r="B580" s="344">
        <f t="shared" si="1"/>
        <v>2045</v>
      </c>
      <c r="C580" s="344">
        <v>90.0</v>
      </c>
      <c r="D580" s="369"/>
      <c r="E580" s="344" t="str">
        <f t="shared" si="2"/>
        <v>Saturday</v>
      </c>
      <c r="F580" s="344" t="s">
        <v>554</v>
      </c>
      <c r="G580" s="370"/>
      <c r="H580" s="370"/>
      <c r="I580" s="357">
        <f t="shared" si="3"/>
        <v>0</v>
      </c>
      <c r="J580" s="346">
        <f t="shared" si="4"/>
        <v>0</v>
      </c>
      <c r="K580" s="312"/>
      <c r="L580" s="312"/>
      <c r="M580" s="312"/>
      <c r="N580" s="362"/>
      <c r="O580" s="312"/>
      <c r="P580" s="312"/>
      <c r="S580" s="2">
        <f t="shared" si="5"/>
        <v>0</v>
      </c>
      <c r="AA580" s="312"/>
      <c r="AB580" s="312"/>
      <c r="AC580" s="312"/>
      <c r="AD580" s="312"/>
    </row>
    <row r="581">
      <c r="A581" s="312"/>
      <c r="B581" s="344">
        <f t="shared" si="1"/>
        <v>2045</v>
      </c>
      <c r="C581" s="344">
        <v>90.0</v>
      </c>
      <c r="D581" s="369"/>
      <c r="E581" s="344" t="str">
        <f t="shared" si="2"/>
        <v>Saturday</v>
      </c>
      <c r="F581" s="344" t="s">
        <v>554</v>
      </c>
      <c r="G581" s="370"/>
      <c r="H581" s="370"/>
      <c r="I581" s="357">
        <f t="shared" si="3"/>
        <v>0</v>
      </c>
      <c r="J581" s="346">
        <f t="shared" si="4"/>
        <v>0</v>
      </c>
      <c r="K581" s="312"/>
      <c r="L581" s="312"/>
      <c r="M581" s="312"/>
      <c r="N581" s="362"/>
      <c r="O581" s="312"/>
      <c r="P581" s="312"/>
      <c r="S581" s="2">
        <f t="shared" si="5"/>
        <v>0</v>
      </c>
      <c r="AA581" s="312"/>
      <c r="AB581" s="312"/>
      <c r="AC581" s="312"/>
      <c r="AD581" s="312"/>
    </row>
    <row r="582">
      <c r="A582" s="312"/>
      <c r="B582" s="344">
        <f t="shared" si="1"/>
        <v>2045</v>
      </c>
      <c r="C582" s="344">
        <v>90.0</v>
      </c>
      <c r="D582" s="369"/>
      <c r="E582" s="344" t="str">
        <f t="shared" si="2"/>
        <v>Saturday</v>
      </c>
      <c r="F582" s="344" t="s">
        <v>554</v>
      </c>
      <c r="G582" s="370"/>
      <c r="H582" s="370"/>
      <c r="I582" s="357">
        <f t="shared" si="3"/>
        <v>0</v>
      </c>
      <c r="J582" s="346">
        <f t="shared" si="4"/>
        <v>0</v>
      </c>
      <c r="K582" s="312"/>
      <c r="L582" s="312"/>
      <c r="M582" s="312"/>
      <c r="N582" s="362"/>
      <c r="O582" s="312"/>
      <c r="P582" s="312"/>
      <c r="S582" s="2">
        <f t="shared" si="5"/>
        <v>0</v>
      </c>
      <c r="AA582" s="312"/>
      <c r="AB582" s="312"/>
      <c r="AC582" s="312"/>
      <c r="AD582" s="312"/>
    </row>
    <row r="583">
      <c r="A583" s="312"/>
      <c r="B583" s="344">
        <f t="shared" si="1"/>
        <v>2045</v>
      </c>
      <c r="C583" s="344">
        <v>90.0</v>
      </c>
      <c r="D583" s="369"/>
      <c r="E583" s="344" t="str">
        <f t="shared" si="2"/>
        <v>Saturday</v>
      </c>
      <c r="F583" s="344" t="s">
        <v>554</v>
      </c>
      <c r="G583" s="370"/>
      <c r="H583" s="370"/>
      <c r="I583" s="357">
        <f t="shared" si="3"/>
        <v>0</v>
      </c>
      <c r="J583" s="346">
        <f t="shared" si="4"/>
        <v>0</v>
      </c>
      <c r="K583" s="312"/>
      <c r="L583" s="312"/>
      <c r="M583" s="312"/>
      <c r="N583" s="362"/>
      <c r="O583" s="312"/>
      <c r="P583" s="312"/>
      <c r="S583" s="2">
        <f t="shared" si="5"/>
        <v>0</v>
      </c>
      <c r="AA583" s="312"/>
      <c r="AB583" s="312"/>
      <c r="AC583" s="312"/>
      <c r="AD583" s="312"/>
    </row>
    <row r="584">
      <c r="A584" s="312"/>
      <c r="B584" s="344">
        <f t="shared" si="1"/>
        <v>2045</v>
      </c>
      <c r="C584" s="344">
        <v>90.0</v>
      </c>
      <c r="D584" s="369"/>
      <c r="E584" s="344" t="str">
        <f t="shared" si="2"/>
        <v>Saturday</v>
      </c>
      <c r="F584" s="344" t="s">
        <v>554</v>
      </c>
      <c r="G584" s="370"/>
      <c r="H584" s="370"/>
      <c r="I584" s="357">
        <f t="shared" si="3"/>
        <v>0</v>
      </c>
      <c r="J584" s="346">
        <f t="shared" si="4"/>
        <v>0</v>
      </c>
      <c r="K584" s="312"/>
      <c r="L584" s="312"/>
      <c r="M584" s="312"/>
      <c r="N584" s="362"/>
      <c r="O584" s="312"/>
      <c r="P584" s="312"/>
      <c r="S584" s="2">
        <f t="shared" si="5"/>
        <v>0</v>
      </c>
      <c r="AA584" s="312"/>
      <c r="AB584" s="312"/>
      <c r="AC584" s="312"/>
      <c r="AD584" s="312"/>
    </row>
    <row r="585">
      <c r="A585" s="312"/>
      <c r="B585" s="344">
        <f t="shared" si="1"/>
        <v>2045</v>
      </c>
      <c r="C585" s="344">
        <v>90.0</v>
      </c>
      <c r="D585" s="369"/>
      <c r="E585" s="344" t="str">
        <f t="shared" si="2"/>
        <v>Saturday</v>
      </c>
      <c r="F585" s="344" t="s">
        <v>554</v>
      </c>
      <c r="G585" s="370"/>
      <c r="H585" s="370"/>
      <c r="I585" s="357">
        <f t="shared" si="3"/>
        <v>0</v>
      </c>
      <c r="J585" s="346">
        <f t="shared" si="4"/>
        <v>0</v>
      </c>
      <c r="K585" s="312"/>
      <c r="L585" s="312"/>
      <c r="M585" s="312"/>
      <c r="N585" s="362"/>
      <c r="O585" s="312"/>
      <c r="P585" s="312"/>
      <c r="S585" s="2">
        <f t="shared" si="5"/>
        <v>0</v>
      </c>
      <c r="AA585" s="312"/>
      <c r="AB585" s="312"/>
      <c r="AC585" s="312"/>
      <c r="AD585" s="312"/>
    </row>
    <row r="586">
      <c r="A586" s="312"/>
      <c r="B586" s="344">
        <f t="shared" si="1"/>
        <v>2045</v>
      </c>
      <c r="C586" s="344">
        <v>90.0</v>
      </c>
      <c r="D586" s="369"/>
      <c r="E586" s="344" t="str">
        <f t="shared" si="2"/>
        <v>Saturday</v>
      </c>
      <c r="F586" s="344" t="s">
        <v>554</v>
      </c>
      <c r="G586" s="370"/>
      <c r="H586" s="370"/>
      <c r="I586" s="357">
        <f t="shared" si="3"/>
        <v>0</v>
      </c>
      <c r="J586" s="346">
        <f t="shared" si="4"/>
        <v>0</v>
      </c>
      <c r="K586" s="312"/>
      <c r="L586" s="312"/>
      <c r="M586" s="312"/>
      <c r="N586" s="362"/>
      <c r="O586" s="312"/>
      <c r="P586" s="312"/>
      <c r="S586" s="2">
        <f t="shared" si="5"/>
        <v>0</v>
      </c>
      <c r="AA586" s="312"/>
      <c r="AB586" s="312"/>
      <c r="AC586" s="312"/>
      <c r="AD586" s="312"/>
    </row>
    <row r="587">
      <c r="A587" s="312"/>
      <c r="B587" s="344">
        <f t="shared" si="1"/>
        <v>2045</v>
      </c>
      <c r="C587" s="344">
        <v>90.0</v>
      </c>
      <c r="D587" s="369"/>
      <c r="E587" s="344" t="str">
        <f t="shared" si="2"/>
        <v>Saturday</v>
      </c>
      <c r="F587" s="344" t="s">
        <v>554</v>
      </c>
      <c r="G587" s="370"/>
      <c r="H587" s="370"/>
      <c r="I587" s="357">
        <f t="shared" si="3"/>
        <v>0</v>
      </c>
      <c r="J587" s="346">
        <f t="shared" si="4"/>
        <v>0</v>
      </c>
      <c r="K587" s="312"/>
      <c r="L587" s="312"/>
      <c r="M587" s="312"/>
      <c r="N587" s="362"/>
      <c r="O587" s="312"/>
      <c r="P587" s="312"/>
      <c r="S587" s="2">
        <f t="shared" si="5"/>
        <v>0</v>
      </c>
      <c r="AA587" s="312"/>
      <c r="AB587" s="312"/>
      <c r="AC587" s="312"/>
      <c r="AD587" s="312"/>
    </row>
    <row r="588">
      <c r="A588" s="312"/>
      <c r="B588" s="344">
        <f t="shared" si="1"/>
        <v>2045</v>
      </c>
      <c r="C588" s="344">
        <v>90.0</v>
      </c>
      <c r="D588" s="369"/>
      <c r="E588" s="344" t="str">
        <f t="shared" si="2"/>
        <v>Saturday</v>
      </c>
      <c r="F588" s="344" t="s">
        <v>554</v>
      </c>
      <c r="G588" s="370"/>
      <c r="H588" s="370"/>
      <c r="I588" s="357">
        <f t="shared" si="3"/>
        <v>0</v>
      </c>
      <c r="J588" s="346">
        <f t="shared" si="4"/>
        <v>0</v>
      </c>
      <c r="K588" s="312"/>
      <c r="L588" s="312"/>
      <c r="M588" s="312"/>
      <c r="N588" s="362"/>
      <c r="O588" s="312"/>
      <c r="P588" s="312"/>
      <c r="S588" s="2">
        <f t="shared" si="5"/>
        <v>0</v>
      </c>
      <c r="AA588" s="312"/>
      <c r="AB588" s="312"/>
      <c r="AC588" s="312"/>
      <c r="AD588" s="312"/>
    </row>
    <row r="589">
      <c r="A589" s="312"/>
      <c r="B589" s="344">
        <f t="shared" si="1"/>
        <v>2045</v>
      </c>
      <c r="C589" s="344">
        <v>90.0</v>
      </c>
      <c r="D589" s="369"/>
      <c r="E589" s="344" t="str">
        <f t="shared" si="2"/>
        <v>Saturday</v>
      </c>
      <c r="F589" s="344" t="s">
        <v>554</v>
      </c>
      <c r="G589" s="370"/>
      <c r="H589" s="370"/>
      <c r="I589" s="357">
        <f t="shared" si="3"/>
        <v>0</v>
      </c>
      <c r="J589" s="346">
        <f t="shared" si="4"/>
        <v>0</v>
      </c>
      <c r="K589" s="312"/>
      <c r="L589" s="312"/>
      <c r="M589" s="312"/>
      <c r="N589" s="362"/>
      <c r="O589" s="312"/>
      <c r="P589" s="312"/>
      <c r="S589" s="2">
        <f t="shared" si="5"/>
        <v>0</v>
      </c>
      <c r="AA589" s="312"/>
      <c r="AB589" s="312"/>
      <c r="AC589" s="312"/>
      <c r="AD589" s="312"/>
    </row>
    <row r="590">
      <c r="A590" s="312"/>
      <c r="B590" s="344">
        <f t="shared" si="1"/>
        <v>2045</v>
      </c>
      <c r="C590" s="344">
        <v>90.0</v>
      </c>
      <c r="D590" s="369"/>
      <c r="E590" s="344" t="str">
        <f t="shared" si="2"/>
        <v>Saturday</v>
      </c>
      <c r="F590" s="344" t="s">
        <v>554</v>
      </c>
      <c r="G590" s="370"/>
      <c r="H590" s="370"/>
      <c r="I590" s="357">
        <f t="shared" si="3"/>
        <v>0</v>
      </c>
      <c r="J590" s="346">
        <f t="shared" si="4"/>
        <v>0</v>
      </c>
      <c r="K590" s="312"/>
      <c r="L590" s="312"/>
      <c r="M590" s="312"/>
      <c r="N590" s="362"/>
      <c r="O590" s="312"/>
      <c r="P590" s="312"/>
      <c r="S590" s="2">
        <f t="shared" si="5"/>
        <v>0</v>
      </c>
      <c r="AA590" s="312"/>
      <c r="AB590" s="312"/>
      <c r="AC590" s="312"/>
      <c r="AD590" s="312"/>
    </row>
    <row r="591">
      <c r="A591" s="312"/>
      <c r="B591" s="344">
        <f t="shared" si="1"/>
        <v>2045</v>
      </c>
      <c r="C591" s="344">
        <v>90.0</v>
      </c>
      <c r="D591" s="369"/>
      <c r="E591" s="344" t="str">
        <f t="shared" si="2"/>
        <v>Saturday</v>
      </c>
      <c r="F591" s="344" t="s">
        <v>554</v>
      </c>
      <c r="G591" s="370"/>
      <c r="H591" s="370"/>
      <c r="I591" s="357">
        <f t="shared" si="3"/>
        <v>0</v>
      </c>
      <c r="J591" s="346">
        <f t="shared" si="4"/>
        <v>0</v>
      </c>
      <c r="K591" s="312"/>
      <c r="L591" s="312"/>
      <c r="M591" s="312"/>
      <c r="N591" s="362"/>
      <c r="O591" s="312"/>
      <c r="P591" s="312"/>
      <c r="S591" s="2">
        <f t="shared" si="5"/>
        <v>0</v>
      </c>
      <c r="AA591" s="312"/>
      <c r="AB591" s="312"/>
      <c r="AC591" s="312"/>
      <c r="AD591" s="312"/>
    </row>
    <row r="592">
      <c r="A592" s="312"/>
      <c r="B592" s="344">
        <f t="shared" si="1"/>
        <v>2045</v>
      </c>
      <c r="C592" s="344">
        <v>90.0</v>
      </c>
      <c r="D592" s="369"/>
      <c r="E592" s="344" t="str">
        <f t="shared" si="2"/>
        <v>Saturday</v>
      </c>
      <c r="F592" s="344" t="s">
        <v>554</v>
      </c>
      <c r="G592" s="370"/>
      <c r="H592" s="370"/>
      <c r="I592" s="357">
        <f t="shared" si="3"/>
        <v>0</v>
      </c>
      <c r="J592" s="346">
        <f t="shared" si="4"/>
        <v>0</v>
      </c>
      <c r="K592" s="312"/>
      <c r="L592" s="312"/>
      <c r="M592" s="312"/>
      <c r="N592" s="362"/>
      <c r="O592" s="312"/>
      <c r="P592" s="312"/>
      <c r="S592" s="2">
        <f t="shared" si="5"/>
        <v>0</v>
      </c>
      <c r="AA592" s="312"/>
      <c r="AB592" s="312"/>
      <c r="AC592" s="312"/>
      <c r="AD592" s="312"/>
    </row>
    <row r="593">
      <c r="A593" s="312"/>
      <c r="B593" s="344">
        <f t="shared" si="1"/>
        <v>2045</v>
      </c>
      <c r="C593" s="344">
        <v>90.0</v>
      </c>
      <c r="D593" s="369"/>
      <c r="E593" s="344" t="str">
        <f t="shared" si="2"/>
        <v>Saturday</v>
      </c>
      <c r="F593" s="344" t="s">
        <v>554</v>
      </c>
      <c r="G593" s="370"/>
      <c r="H593" s="370"/>
      <c r="I593" s="357">
        <f t="shared" si="3"/>
        <v>0</v>
      </c>
      <c r="J593" s="346">
        <f t="shared" si="4"/>
        <v>0</v>
      </c>
      <c r="K593" s="312"/>
      <c r="L593" s="312"/>
      <c r="M593" s="312"/>
      <c r="N593" s="362"/>
      <c r="O593" s="312"/>
      <c r="P593" s="312"/>
      <c r="S593" s="2">
        <f t="shared" si="5"/>
        <v>0</v>
      </c>
      <c r="AA593" s="312"/>
      <c r="AB593" s="312"/>
      <c r="AC593" s="312"/>
      <c r="AD593" s="312"/>
    </row>
    <row r="594">
      <c r="A594" s="312"/>
      <c r="B594" s="344">
        <f t="shared" si="1"/>
        <v>2045</v>
      </c>
      <c r="C594" s="344">
        <v>90.0</v>
      </c>
      <c r="D594" s="369"/>
      <c r="E594" s="344" t="str">
        <f t="shared" si="2"/>
        <v>Saturday</v>
      </c>
      <c r="F594" s="344" t="s">
        <v>554</v>
      </c>
      <c r="G594" s="370"/>
      <c r="H594" s="370"/>
      <c r="I594" s="357">
        <f t="shared" si="3"/>
        <v>0</v>
      </c>
      <c r="J594" s="346">
        <f t="shared" si="4"/>
        <v>0</v>
      </c>
      <c r="K594" s="312"/>
      <c r="L594" s="312"/>
      <c r="M594" s="312"/>
      <c r="N594" s="362"/>
      <c r="O594" s="312"/>
      <c r="P594" s="312"/>
      <c r="S594" s="2">
        <f t="shared" si="5"/>
        <v>0</v>
      </c>
      <c r="AA594" s="312"/>
      <c r="AB594" s="312"/>
      <c r="AC594" s="312"/>
      <c r="AD594" s="312"/>
    </row>
    <row r="595">
      <c r="A595" s="312"/>
      <c r="B595" s="344">
        <f t="shared" si="1"/>
        <v>2045</v>
      </c>
      <c r="C595" s="344">
        <v>90.0</v>
      </c>
      <c r="D595" s="369"/>
      <c r="E595" s="344" t="str">
        <f t="shared" si="2"/>
        <v>Saturday</v>
      </c>
      <c r="F595" s="344" t="s">
        <v>554</v>
      </c>
      <c r="G595" s="370"/>
      <c r="H595" s="370"/>
      <c r="I595" s="357">
        <f t="shared" si="3"/>
        <v>0</v>
      </c>
      <c r="J595" s="346">
        <f t="shared" si="4"/>
        <v>0</v>
      </c>
      <c r="K595" s="312"/>
      <c r="L595" s="312"/>
      <c r="M595" s="312"/>
      <c r="N595" s="362"/>
      <c r="O595" s="312"/>
      <c r="P595" s="312"/>
      <c r="S595" s="2">
        <f t="shared" si="5"/>
        <v>0</v>
      </c>
      <c r="AA595" s="312"/>
      <c r="AB595" s="312"/>
      <c r="AC595" s="312"/>
      <c r="AD595" s="312"/>
    </row>
    <row r="596">
      <c r="A596" s="312"/>
      <c r="B596" s="344">
        <f t="shared" si="1"/>
        <v>2045</v>
      </c>
      <c r="C596" s="344">
        <v>90.0</v>
      </c>
      <c r="D596" s="369"/>
      <c r="E596" s="344" t="str">
        <f t="shared" si="2"/>
        <v>Saturday</v>
      </c>
      <c r="F596" s="344" t="s">
        <v>554</v>
      </c>
      <c r="G596" s="370"/>
      <c r="H596" s="370"/>
      <c r="I596" s="357">
        <f t="shared" si="3"/>
        <v>0</v>
      </c>
      <c r="J596" s="346">
        <f t="shared" si="4"/>
        <v>0</v>
      </c>
      <c r="K596" s="312"/>
      <c r="L596" s="312"/>
      <c r="M596" s="312"/>
      <c r="N596" s="362"/>
      <c r="O596" s="312"/>
      <c r="P596" s="312"/>
      <c r="S596" s="2">
        <f t="shared" si="5"/>
        <v>0</v>
      </c>
      <c r="AA596" s="312"/>
      <c r="AB596" s="312"/>
      <c r="AC596" s="312"/>
      <c r="AD596" s="312"/>
    </row>
    <row r="597">
      <c r="A597" s="312"/>
      <c r="B597" s="344">
        <f t="shared" si="1"/>
        <v>2045</v>
      </c>
      <c r="C597" s="344">
        <v>90.0</v>
      </c>
      <c r="D597" s="369"/>
      <c r="E597" s="344" t="str">
        <f t="shared" si="2"/>
        <v>Saturday</v>
      </c>
      <c r="F597" s="344" t="s">
        <v>554</v>
      </c>
      <c r="G597" s="370"/>
      <c r="H597" s="370"/>
      <c r="I597" s="357">
        <f t="shared" si="3"/>
        <v>0</v>
      </c>
      <c r="J597" s="346">
        <f t="shared" si="4"/>
        <v>0</v>
      </c>
      <c r="K597" s="312"/>
      <c r="L597" s="312"/>
      <c r="M597" s="312"/>
      <c r="N597" s="362"/>
      <c r="O597" s="312"/>
      <c r="P597" s="312"/>
      <c r="S597" s="2">
        <f t="shared" si="5"/>
        <v>0</v>
      </c>
      <c r="AA597" s="312"/>
      <c r="AB597" s="312"/>
      <c r="AC597" s="312"/>
      <c r="AD597" s="312"/>
    </row>
    <row r="598">
      <c r="A598" s="312"/>
      <c r="B598" s="344">
        <f t="shared" si="1"/>
        <v>2045</v>
      </c>
      <c r="C598" s="344">
        <v>90.0</v>
      </c>
      <c r="D598" s="369"/>
      <c r="E598" s="344" t="str">
        <f t="shared" si="2"/>
        <v>Saturday</v>
      </c>
      <c r="F598" s="344" t="s">
        <v>554</v>
      </c>
      <c r="G598" s="370"/>
      <c r="H598" s="370"/>
      <c r="I598" s="357">
        <f t="shared" si="3"/>
        <v>0</v>
      </c>
      <c r="J598" s="346">
        <f t="shared" si="4"/>
        <v>0</v>
      </c>
      <c r="K598" s="312"/>
      <c r="L598" s="312"/>
      <c r="M598" s="312"/>
      <c r="N598" s="362"/>
      <c r="O598" s="312"/>
      <c r="P598" s="312"/>
      <c r="S598" s="2">
        <f t="shared" si="5"/>
        <v>0</v>
      </c>
      <c r="AA598" s="312"/>
      <c r="AB598" s="312"/>
      <c r="AC598" s="312"/>
      <c r="AD598" s="312"/>
    </row>
    <row r="599">
      <c r="A599" s="312"/>
      <c r="B599" s="344">
        <f t="shared" si="1"/>
        <v>2045</v>
      </c>
      <c r="C599" s="344">
        <v>90.0</v>
      </c>
      <c r="D599" s="369"/>
      <c r="E599" s="344" t="str">
        <f t="shared" si="2"/>
        <v>Saturday</v>
      </c>
      <c r="F599" s="344" t="s">
        <v>554</v>
      </c>
      <c r="G599" s="370"/>
      <c r="H599" s="370"/>
      <c r="I599" s="357">
        <f t="shared" si="3"/>
        <v>0</v>
      </c>
      <c r="J599" s="346">
        <f t="shared" si="4"/>
        <v>0</v>
      </c>
      <c r="K599" s="312"/>
      <c r="L599" s="312"/>
      <c r="M599" s="312"/>
      <c r="N599" s="362"/>
      <c r="O599" s="312"/>
      <c r="P599" s="312"/>
      <c r="S599" s="2">
        <f t="shared" si="5"/>
        <v>0</v>
      </c>
      <c r="AA599" s="312"/>
      <c r="AB599" s="312"/>
      <c r="AC599" s="312"/>
      <c r="AD599" s="312"/>
    </row>
    <row r="600">
      <c r="A600" s="312"/>
      <c r="B600" s="344">
        <f t="shared" si="1"/>
        <v>2045</v>
      </c>
      <c r="C600" s="344">
        <v>90.0</v>
      </c>
      <c r="D600" s="369"/>
      <c r="E600" s="344" t="str">
        <f t="shared" si="2"/>
        <v>Saturday</v>
      </c>
      <c r="F600" s="344" t="s">
        <v>554</v>
      </c>
      <c r="G600" s="370"/>
      <c r="H600" s="370"/>
      <c r="I600" s="357">
        <f t="shared" si="3"/>
        <v>0</v>
      </c>
      <c r="J600" s="346">
        <f t="shared" si="4"/>
        <v>0</v>
      </c>
      <c r="K600" s="312"/>
      <c r="L600" s="312"/>
      <c r="M600" s="312"/>
      <c r="N600" s="362"/>
      <c r="O600" s="312"/>
      <c r="P600" s="312"/>
      <c r="S600" s="2">
        <f t="shared" si="5"/>
        <v>0</v>
      </c>
      <c r="AA600" s="312"/>
      <c r="AB600" s="312"/>
      <c r="AC600" s="312"/>
      <c r="AD600" s="312"/>
    </row>
    <row r="601">
      <c r="A601" s="312"/>
      <c r="B601" s="344">
        <f t="shared" si="1"/>
        <v>2045</v>
      </c>
      <c r="C601" s="344">
        <v>90.0</v>
      </c>
      <c r="D601" s="369"/>
      <c r="E601" s="344" t="str">
        <f t="shared" si="2"/>
        <v>Saturday</v>
      </c>
      <c r="F601" s="344" t="s">
        <v>554</v>
      </c>
      <c r="G601" s="370"/>
      <c r="H601" s="370"/>
      <c r="I601" s="357">
        <f t="shared" si="3"/>
        <v>0</v>
      </c>
      <c r="J601" s="346">
        <f t="shared" si="4"/>
        <v>0</v>
      </c>
      <c r="K601" s="312"/>
      <c r="L601" s="312"/>
      <c r="M601" s="312"/>
      <c r="N601" s="362"/>
      <c r="O601" s="312"/>
      <c r="P601" s="312"/>
      <c r="S601" s="2">
        <f t="shared" si="5"/>
        <v>0</v>
      </c>
      <c r="AA601" s="312"/>
      <c r="AB601" s="312"/>
      <c r="AC601" s="312"/>
      <c r="AD601" s="312"/>
    </row>
    <row r="602">
      <c r="A602" s="312"/>
      <c r="B602" s="344">
        <f t="shared" si="1"/>
        <v>2045</v>
      </c>
      <c r="C602" s="344">
        <v>90.0</v>
      </c>
      <c r="D602" s="369"/>
      <c r="E602" s="344" t="str">
        <f t="shared" si="2"/>
        <v>Saturday</v>
      </c>
      <c r="F602" s="344" t="s">
        <v>554</v>
      </c>
      <c r="G602" s="370"/>
      <c r="H602" s="370"/>
      <c r="I602" s="357">
        <f t="shared" si="3"/>
        <v>0</v>
      </c>
      <c r="J602" s="346">
        <f t="shared" si="4"/>
        <v>0</v>
      </c>
      <c r="K602" s="312"/>
      <c r="L602" s="312"/>
      <c r="M602" s="312"/>
      <c r="N602" s="362"/>
      <c r="O602" s="312"/>
      <c r="P602" s="312"/>
      <c r="S602" s="2">
        <f t="shared" si="5"/>
        <v>0</v>
      </c>
      <c r="AA602" s="312"/>
      <c r="AB602" s="312"/>
      <c r="AC602" s="312"/>
      <c r="AD602" s="312"/>
    </row>
    <row r="603">
      <c r="A603" s="312"/>
      <c r="B603" s="344">
        <f t="shared" si="1"/>
        <v>2045</v>
      </c>
      <c r="C603" s="344">
        <v>90.0</v>
      </c>
      <c r="D603" s="369"/>
      <c r="E603" s="344" t="str">
        <f t="shared" si="2"/>
        <v>Saturday</v>
      </c>
      <c r="F603" s="344" t="s">
        <v>554</v>
      </c>
      <c r="G603" s="370"/>
      <c r="H603" s="370"/>
      <c r="I603" s="357">
        <f t="shared" si="3"/>
        <v>0</v>
      </c>
      <c r="J603" s="346">
        <f t="shared" si="4"/>
        <v>0</v>
      </c>
      <c r="K603" s="312"/>
      <c r="L603" s="312"/>
      <c r="M603" s="312"/>
      <c r="N603" s="362"/>
      <c r="O603" s="312"/>
      <c r="P603" s="312"/>
      <c r="S603" s="2">
        <f t="shared" si="5"/>
        <v>0</v>
      </c>
      <c r="AA603" s="312"/>
      <c r="AB603" s="312"/>
      <c r="AC603" s="312"/>
      <c r="AD603" s="312"/>
    </row>
    <row r="604">
      <c r="A604" s="312"/>
      <c r="B604" s="344">
        <f t="shared" si="1"/>
        <v>2045</v>
      </c>
      <c r="C604" s="344">
        <v>90.0</v>
      </c>
      <c r="D604" s="369"/>
      <c r="E604" s="344" t="str">
        <f t="shared" si="2"/>
        <v>Saturday</v>
      </c>
      <c r="F604" s="344" t="s">
        <v>554</v>
      </c>
      <c r="G604" s="370"/>
      <c r="H604" s="370"/>
      <c r="I604" s="357">
        <f t="shared" si="3"/>
        <v>0</v>
      </c>
      <c r="J604" s="346">
        <f t="shared" si="4"/>
        <v>0</v>
      </c>
      <c r="K604" s="312"/>
      <c r="L604" s="312"/>
      <c r="M604" s="312"/>
      <c r="N604" s="362"/>
      <c r="O604" s="312"/>
      <c r="P604" s="312"/>
      <c r="S604" s="2">
        <f t="shared" si="5"/>
        <v>0</v>
      </c>
      <c r="AA604" s="312"/>
      <c r="AB604" s="312"/>
      <c r="AC604" s="312"/>
      <c r="AD604" s="312"/>
    </row>
    <row r="605">
      <c r="A605" s="312"/>
      <c r="B605" s="344">
        <f t="shared" si="1"/>
        <v>2045</v>
      </c>
      <c r="C605" s="344">
        <v>90.0</v>
      </c>
      <c r="D605" s="369"/>
      <c r="E605" s="344" t="str">
        <f t="shared" si="2"/>
        <v>Saturday</v>
      </c>
      <c r="F605" s="344" t="s">
        <v>554</v>
      </c>
      <c r="G605" s="370"/>
      <c r="H605" s="370"/>
      <c r="I605" s="357">
        <f t="shared" si="3"/>
        <v>0</v>
      </c>
      <c r="J605" s="346">
        <f t="shared" si="4"/>
        <v>0</v>
      </c>
      <c r="K605" s="312"/>
      <c r="L605" s="312"/>
      <c r="M605" s="312"/>
      <c r="N605" s="362"/>
      <c r="O605" s="312"/>
      <c r="P605" s="312"/>
      <c r="S605" s="2">
        <f t="shared" si="5"/>
        <v>0</v>
      </c>
      <c r="AA605" s="312"/>
      <c r="AB605" s="312"/>
      <c r="AC605" s="312"/>
      <c r="AD605" s="312"/>
    </row>
    <row r="606">
      <c r="A606" s="312"/>
      <c r="B606" s="344">
        <f t="shared" si="1"/>
        <v>2045</v>
      </c>
      <c r="C606" s="344">
        <v>90.0</v>
      </c>
      <c r="D606" s="369"/>
      <c r="E606" s="344" t="str">
        <f t="shared" si="2"/>
        <v>Saturday</v>
      </c>
      <c r="F606" s="344" t="s">
        <v>554</v>
      </c>
      <c r="G606" s="370"/>
      <c r="H606" s="370"/>
      <c r="I606" s="357">
        <f t="shared" si="3"/>
        <v>0</v>
      </c>
      <c r="J606" s="346">
        <f t="shared" si="4"/>
        <v>0</v>
      </c>
      <c r="K606" s="312"/>
      <c r="L606" s="312"/>
      <c r="M606" s="312"/>
      <c r="N606" s="362"/>
      <c r="O606" s="312"/>
      <c r="P606" s="312"/>
      <c r="S606" s="2">
        <f t="shared" si="5"/>
        <v>0</v>
      </c>
      <c r="AA606" s="312"/>
      <c r="AB606" s="312"/>
      <c r="AC606" s="312"/>
      <c r="AD606" s="312"/>
    </row>
    <row r="607">
      <c r="A607" s="312"/>
      <c r="B607" s="344">
        <f t="shared" si="1"/>
        <v>2045</v>
      </c>
      <c r="C607" s="344">
        <v>90.0</v>
      </c>
      <c r="D607" s="369"/>
      <c r="E607" s="344" t="str">
        <f t="shared" si="2"/>
        <v>Saturday</v>
      </c>
      <c r="F607" s="344" t="s">
        <v>554</v>
      </c>
      <c r="G607" s="370"/>
      <c r="H607" s="370"/>
      <c r="I607" s="357">
        <f t="shared" si="3"/>
        <v>0</v>
      </c>
      <c r="J607" s="346">
        <f t="shared" si="4"/>
        <v>0</v>
      </c>
      <c r="K607" s="312"/>
      <c r="L607" s="312"/>
      <c r="M607" s="312"/>
      <c r="N607" s="362"/>
      <c r="O607" s="312"/>
      <c r="P607" s="312"/>
      <c r="S607" s="2">
        <f t="shared" si="5"/>
        <v>0</v>
      </c>
      <c r="AA607" s="312"/>
      <c r="AB607" s="312"/>
      <c r="AC607" s="312"/>
      <c r="AD607" s="312"/>
    </row>
    <row r="608">
      <c r="A608" s="312"/>
      <c r="B608" s="344">
        <f t="shared" si="1"/>
        <v>2045</v>
      </c>
      <c r="C608" s="344">
        <v>90.0</v>
      </c>
      <c r="D608" s="369"/>
      <c r="E608" s="344" t="str">
        <f t="shared" si="2"/>
        <v>Saturday</v>
      </c>
      <c r="F608" s="344" t="s">
        <v>554</v>
      </c>
      <c r="G608" s="370"/>
      <c r="H608" s="370"/>
      <c r="I608" s="357">
        <f t="shared" si="3"/>
        <v>0</v>
      </c>
      <c r="J608" s="346">
        <f t="shared" si="4"/>
        <v>0</v>
      </c>
      <c r="K608" s="312"/>
      <c r="L608" s="312"/>
      <c r="M608" s="312"/>
      <c r="N608" s="362"/>
      <c r="O608" s="312"/>
      <c r="P608" s="312"/>
      <c r="S608" s="2">
        <f t="shared" si="5"/>
        <v>0</v>
      </c>
      <c r="AA608" s="312"/>
      <c r="AB608" s="312"/>
      <c r="AC608" s="312"/>
      <c r="AD608" s="312"/>
    </row>
    <row r="609">
      <c r="A609" s="312"/>
      <c r="B609" s="344">
        <f t="shared" si="1"/>
        <v>2045</v>
      </c>
      <c r="C609" s="344">
        <v>90.0</v>
      </c>
      <c r="D609" s="369"/>
      <c r="E609" s="344" t="str">
        <f t="shared" si="2"/>
        <v>Saturday</v>
      </c>
      <c r="F609" s="344" t="s">
        <v>554</v>
      </c>
      <c r="G609" s="370"/>
      <c r="H609" s="370"/>
      <c r="I609" s="357">
        <f t="shared" si="3"/>
        <v>0</v>
      </c>
      <c r="J609" s="346">
        <f t="shared" si="4"/>
        <v>0</v>
      </c>
      <c r="K609" s="312"/>
      <c r="L609" s="312"/>
      <c r="M609" s="312"/>
      <c r="N609" s="362"/>
      <c r="O609" s="312"/>
      <c r="P609" s="312"/>
      <c r="S609" s="2">
        <f t="shared" si="5"/>
        <v>0</v>
      </c>
      <c r="AA609" s="312"/>
      <c r="AB609" s="312"/>
      <c r="AC609" s="312"/>
      <c r="AD609" s="312"/>
    </row>
    <row r="610">
      <c r="A610" s="312"/>
      <c r="B610" s="344">
        <f t="shared" si="1"/>
        <v>2045</v>
      </c>
      <c r="C610" s="344">
        <v>90.0</v>
      </c>
      <c r="D610" s="369"/>
      <c r="E610" s="344" t="str">
        <f t="shared" si="2"/>
        <v>Saturday</v>
      </c>
      <c r="F610" s="344" t="s">
        <v>554</v>
      </c>
      <c r="G610" s="370"/>
      <c r="H610" s="370"/>
      <c r="I610" s="357">
        <f t="shared" si="3"/>
        <v>0</v>
      </c>
      <c r="J610" s="346">
        <f t="shared" si="4"/>
        <v>0</v>
      </c>
      <c r="K610" s="312"/>
      <c r="L610" s="312"/>
      <c r="M610" s="312"/>
      <c r="N610" s="362"/>
      <c r="O610" s="312"/>
      <c r="P610" s="312"/>
      <c r="S610" s="2">
        <f t="shared" si="5"/>
        <v>0</v>
      </c>
      <c r="AA610" s="312"/>
      <c r="AB610" s="312"/>
      <c r="AC610" s="312"/>
      <c r="AD610" s="312"/>
    </row>
    <row r="611">
      <c r="A611" s="312"/>
      <c r="B611" s="344">
        <f t="shared" si="1"/>
        <v>2045</v>
      </c>
      <c r="C611" s="344">
        <v>90.0</v>
      </c>
      <c r="D611" s="369"/>
      <c r="E611" s="344" t="str">
        <f t="shared" si="2"/>
        <v>Saturday</v>
      </c>
      <c r="F611" s="344" t="s">
        <v>554</v>
      </c>
      <c r="G611" s="370"/>
      <c r="H611" s="370"/>
      <c r="I611" s="357">
        <f t="shared" si="3"/>
        <v>0</v>
      </c>
      <c r="J611" s="346">
        <f t="shared" si="4"/>
        <v>0</v>
      </c>
      <c r="K611" s="312"/>
      <c r="L611" s="312"/>
      <c r="M611" s="312"/>
      <c r="N611" s="362"/>
      <c r="O611" s="312"/>
      <c r="P611" s="312"/>
      <c r="S611" s="2">
        <f t="shared" si="5"/>
        <v>0</v>
      </c>
      <c r="AA611" s="312"/>
      <c r="AB611" s="312"/>
      <c r="AC611" s="312"/>
      <c r="AD611" s="312"/>
    </row>
    <row r="612">
      <c r="A612" s="312"/>
      <c r="B612" s="344">
        <f t="shared" si="1"/>
        <v>2045</v>
      </c>
      <c r="C612" s="344">
        <v>90.0</v>
      </c>
      <c r="D612" s="369"/>
      <c r="E612" s="344" t="str">
        <f t="shared" si="2"/>
        <v>Saturday</v>
      </c>
      <c r="F612" s="344" t="s">
        <v>554</v>
      </c>
      <c r="G612" s="370"/>
      <c r="H612" s="370"/>
      <c r="I612" s="357">
        <f t="shared" si="3"/>
        <v>0</v>
      </c>
      <c r="J612" s="346">
        <f t="shared" si="4"/>
        <v>0</v>
      </c>
      <c r="K612" s="312"/>
      <c r="L612" s="312"/>
      <c r="M612" s="312"/>
      <c r="N612" s="362"/>
      <c r="O612" s="312"/>
      <c r="P612" s="312"/>
      <c r="S612" s="2">
        <f t="shared" si="5"/>
        <v>0</v>
      </c>
      <c r="AA612" s="312"/>
      <c r="AB612" s="312"/>
      <c r="AC612" s="312"/>
      <c r="AD612" s="312"/>
    </row>
    <row r="613">
      <c r="A613" s="312"/>
      <c r="B613" s="344">
        <f t="shared" si="1"/>
        <v>2045</v>
      </c>
      <c r="C613" s="344">
        <v>90.0</v>
      </c>
      <c r="D613" s="369"/>
      <c r="E613" s="344" t="str">
        <f t="shared" si="2"/>
        <v>Saturday</v>
      </c>
      <c r="F613" s="344" t="s">
        <v>554</v>
      </c>
      <c r="G613" s="370"/>
      <c r="H613" s="370"/>
      <c r="I613" s="357">
        <f t="shared" si="3"/>
        <v>0</v>
      </c>
      <c r="J613" s="346">
        <f t="shared" si="4"/>
        <v>0</v>
      </c>
      <c r="K613" s="312"/>
      <c r="L613" s="312"/>
      <c r="M613" s="312"/>
      <c r="N613" s="362"/>
      <c r="O613" s="312"/>
      <c r="P613" s="312"/>
      <c r="S613" s="2">
        <f t="shared" si="5"/>
        <v>0</v>
      </c>
      <c r="AA613" s="312"/>
      <c r="AB613" s="312"/>
      <c r="AC613" s="312"/>
      <c r="AD613" s="312"/>
    </row>
    <row r="614">
      <c r="A614" s="312"/>
      <c r="B614" s="344">
        <f t="shared" si="1"/>
        <v>2045</v>
      </c>
      <c r="C614" s="344">
        <v>90.0</v>
      </c>
      <c r="D614" s="369"/>
      <c r="E614" s="344" t="str">
        <f t="shared" si="2"/>
        <v>Saturday</v>
      </c>
      <c r="F614" s="344" t="s">
        <v>554</v>
      </c>
      <c r="G614" s="370"/>
      <c r="H614" s="370"/>
      <c r="I614" s="357">
        <f t="shared" si="3"/>
        <v>0</v>
      </c>
      <c r="J614" s="346">
        <f t="shared" si="4"/>
        <v>0</v>
      </c>
      <c r="K614" s="312"/>
      <c r="L614" s="312"/>
      <c r="M614" s="312"/>
      <c r="N614" s="362"/>
      <c r="O614" s="312"/>
      <c r="P614" s="312"/>
      <c r="S614" s="2">
        <f t="shared" si="5"/>
        <v>0</v>
      </c>
      <c r="AA614" s="312"/>
      <c r="AB614" s="312"/>
      <c r="AC614" s="312"/>
      <c r="AD614" s="312"/>
    </row>
    <row r="615">
      <c r="A615" s="312"/>
      <c r="B615" s="344">
        <f t="shared" si="1"/>
        <v>2045</v>
      </c>
      <c r="C615" s="344">
        <v>90.0</v>
      </c>
      <c r="D615" s="369"/>
      <c r="E615" s="344" t="str">
        <f t="shared" si="2"/>
        <v>Saturday</v>
      </c>
      <c r="F615" s="344" t="s">
        <v>554</v>
      </c>
      <c r="G615" s="370"/>
      <c r="H615" s="370"/>
      <c r="I615" s="357">
        <f t="shared" si="3"/>
        <v>0</v>
      </c>
      <c r="J615" s="346">
        <f t="shared" si="4"/>
        <v>0</v>
      </c>
      <c r="K615" s="312"/>
      <c r="L615" s="312"/>
      <c r="M615" s="312"/>
      <c r="N615" s="362"/>
      <c r="O615" s="312"/>
      <c r="P615" s="312"/>
      <c r="S615" s="2">
        <f t="shared" si="5"/>
        <v>0</v>
      </c>
      <c r="AA615" s="312"/>
      <c r="AB615" s="312"/>
      <c r="AC615" s="312"/>
      <c r="AD615" s="312"/>
    </row>
    <row r="616">
      <c r="A616" s="312"/>
      <c r="B616" s="344">
        <f t="shared" si="1"/>
        <v>2045</v>
      </c>
      <c r="C616" s="344">
        <v>90.0</v>
      </c>
      <c r="D616" s="369"/>
      <c r="E616" s="344" t="str">
        <f t="shared" si="2"/>
        <v>Saturday</v>
      </c>
      <c r="F616" s="344" t="s">
        <v>554</v>
      </c>
      <c r="G616" s="370"/>
      <c r="H616" s="370"/>
      <c r="I616" s="357">
        <f t="shared" si="3"/>
        <v>0</v>
      </c>
      <c r="J616" s="346">
        <f t="shared" si="4"/>
        <v>0</v>
      </c>
      <c r="K616" s="312"/>
      <c r="L616" s="312"/>
      <c r="M616" s="312"/>
      <c r="N616" s="362"/>
      <c r="O616" s="312"/>
      <c r="P616" s="312"/>
      <c r="S616" s="2">
        <f t="shared" si="5"/>
        <v>0</v>
      </c>
      <c r="AA616" s="312"/>
      <c r="AB616" s="312"/>
      <c r="AC616" s="312"/>
      <c r="AD616" s="312"/>
    </row>
    <row r="617">
      <c r="A617" s="312"/>
      <c r="B617" s="344">
        <f t="shared" si="1"/>
        <v>2045</v>
      </c>
      <c r="C617" s="344">
        <v>90.0</v>
      </c>
      <c r="D617" s="369"/>
      <c r="E617" s="344" t="str">
        <f t="shared" si="2"/>
        <v>Saturday</v>
      </c>
      <c r="F617" s="344" t="s">
        <v>554</v>
      </c>
      <c r="G617" s="370"/>
      <c r="H617" s="370"/>
      <c r="I617" s="357">
        <f t="shared" si="3"/>
        <v>0</v>
      </c>
      <c r="J617" s="346">
        <f t="shared" si="4"/>
        <v>0</v>
      </c>
      <c r="K617" s="312"/>
      <c r="L617" s="312"/>
      <c r="M617" s="312"/>
      <c r="N617" s="362"/>
      <c r="O617" s="312"/>
      <c r="P617" s="312"/>
      <c r="S617" s="2">
        <f t="shared" si="5"/>
        <v>0</v>
      </c>
      <c r="AA617" s="312"/>
      <c r="AB617" s="312"/>
      <c r="AC617" s="312"/>
      <c r="AD617" s="312"/>
    </row>
    <row r="618">
      <c r="A618" s="312"/>
      <c r="B618" s="344">
        <f t="shared" si="1"/>
        <v>2045</v>
      </c>
      <c r="C618" s="344">
        <v>90.0</v>
      </c>
      <c r="D618" s="369"/>
      <c r="E618" s="344" t="str">
        <f t="shared" si="2"/>
        <v>Saturday</v>
      </c>
      <c r="F618" s="344" t="s">
        <v>554</v>
      </c>
      <c r="G618" s="370"/>
      <c r="H618" s="370"/>
      <c r="I618" s="357">
        <f t="shared" si="3"/>
        <v>0</v>
      </c>
      <c r="J618" s="346">
        <f t="shared" si="4"/>
        <v>0</v>
      </c>
      <c r="K618" s="312"/>
      <c r="L618" s="312"/>
      <c r="M618" s="312"/>
      <c r="N618" s="362"/>
      <c r="O618" s="312"/>
      <c r="P618" s="312"/>
      <c r="S618" s="2">
        <f t="shared" si="5"/>
        <v>0</v>
      </c>
      <c r="AA618" s="312"/>
      <c r="AB618" s="312"/>
      <c r="AC618" s="312"/>
      <c r="AD618" s="312"/>
    </row>
    <row r="619">
      <c r="A619" s="312"/>
      <c r="B619" s="344">
        <f t="shared" si="1"/>
        <v>2045</v>
      </c>
      <c r="C619" s="344">
        <v>90.0</v>
      </c>
      <c r="D619" s="369"/>
      <c r="E619" s="344" t="str">
        <f t="shared" si="2"/>
        <v>Saturday</v>
      </c>
      <c r="F619" s="344" t="s">
        <v>554</v>
      </c>
      <c r="G619" s="370"/>
      <c r="H619" s="370"/>
      <c r="I619" s="357">
        <f t="shared" si="3"/>
        <v>0</v>
      </c>
      <c r="J619" s="346">
        <f t="shared" si="4"/>
        <v>0</v>
      </c>
      <c r="K619" s="312"/>
      <c r="L619" s="312"/>
      <c r="M619" s="312"/>
      <c r="N619" s="362"/>
      <c r="O619" s="312"/>
      <c r="P619" s="312"/>
      <c r="S619" s="2">
        <f t="shared" si="5"/>
        <v>0</v>
      </c>
      <c r="AA619" s="312"/>
      <c r="AB619" s="312"/>
      <c r="AC619" s="312"/>
      <c r="AD619" s="312"/>
    </row>
    <row r="620">
      <c r="A620" s="312"/>
      <c r="B620" s="344">
        <f t="shared" si="1"/>
        <v>2045</v>
      </c>
      <c r="C620" s="344">
        <v>90.0</v>
      </c>
      <c r="D620" s="369"/>
      <c r="E620" s="344" t="str">
        <f t="shared" si="2"/>
        <v>Saturday</v>
      </c>
      <c r="F620" s="344" t="s">
        <v>554</v>
      </c>
      <c r="G620" s="370"/>
      <c r="H620" s="370"/>
      <c r="I620" s="357">
        <f t="shared" si="3"/>
        <v>0</v>
      </c>
      <c r="J620" s="346">
        <f t="shared" si="4"/>
        <v>0</v>
      </c>
      <c r="K620" s="312"/>
      <c r="L620" s="312"/>
      <c r="M620" s="312"/>
      <c r="N620" s="362"/>
      <c r="O620" s="312"/>
      <c r="P620" s="312"/>
      <c r="S620" s="2">
        <f t="shared" si="5"/>
        <v>0</v>
      </c>
      <c r="AA620" s="312"/>
      <c r="AB620" s="312"/>
      <c r="AC620" s="312"/>
      <c r="AD620" s="312"/>
    </row>
    <row r="621">
      <c r="A621" s="312"/>
      <c r="B621" s="344">
        <f t="shared" si="1"/>
        <v>2045</v>
      </c>
      <c r="C621" s="344">
        <v>90.0</v>
      </c>
      <c r="D621" s="369"/>
      <c r="E621" s="344" t="str">
        <f t="shared" si="2"/>
        <v>Saturday</v>
      </c>
      <c r="F621" s="344" t="s">
        <v>554</v>
      </c>
      <c r="G621" s="370"/>
      <c r="H621" s="370"/>
      <c r="I621" s="357">
        <f t="shared" si="3"/>
        <v>0</v>
      </c>
      <c r="J621" s="346">
        <f t="shared" si="4"/>
        <v>0</v>
      </c>
      <c r="K621" s="312"/>
      <c r="L621" s="312"/>
      <c r="M621" s="312"/>
      <c r="N621" s="362"/>
      <c r="O621" s="312"/>
      <c r="P621" s="312"/>
      <c r="S621" s="2">
        <f t="shared" si="5"/>
        <v>0</v>
      </c>
      <c r="AA621" s="312"/>
      <c r="AB621" s="312"/>
      <c r="AC621" s="312"/>
      <c r="AD621" s="312"/>
    </row>
    <row r="622">
      <c r="A622" s="312"/>
      <c r="B622" s="344">
        <f t="shared" si="1"/>
        <v>2045</v>
      </c>
      <c r="C622" s="344">
        <v>90.0</v>
      </c>
      <c r="D622" s="369"/>
      <c r="E622" s="344" t="str">
        <f t="shared" si="2"/>
        <v>Saturday</v>
      </c>
      <c r="F622" s="344" t="s">
        <v>554</v>
      </c>
      <c r="G622" s="370"/>
      <c r="H622" s="370"/>
      <c r="I622" s="357">
        <f t="shared" si="3"/>
        <v>0</v>
      </c>
      <c r="J622" s="346">
        <f t="shared" si="4"/>
        <v>0</v>
      </c>
      <c r="K622" s="312"/>
      <c r="L622" s="312"/>
      <c r="M622" s="312"/>
      <c r="N622" s="362"/>
      <c r="O622" s="312"/>
      <c r="P622" s="312"/>
      <c r="S622" s="2">
        <f t="shared" si="5"/>
        <v>0</v>
      </c>
      <c r="AA622" s="312"/>
      <c r="AB622" s="312"/>
      <c r="AC622" s="312"/>
      <c r="AD622" s="312"/>
    </row>
    <row r="623">
      <c r="A623" s="312"/>
      <c r="B623" s="344">
        <f t="shared" si="1"/>
        <v>2045</v>
      </c>
      <c r="C623" s="344">
        <v>90.0</v>
      </c>
      <c r="D623" s="369"/>
      <c r="E623" s="344" t="str">
        <f t="shared" si="2"/>
        <v>Saturday</v>
      </c>
      <c r="F623" s="344" t="s">
        <v>554</v>
      </c>
      <c r="G623" s="370"/>
      <c r="H623" s="370"/>
      <c r="I623" s="357">
        <f t="shared" si="3"/>
        <v>0</v>
      </c>
      <c r="J623" s="346">
        <f t="shared" si="4"/>
        <v>0</v>
      </c>
      <c r="K623" s="312"/>
      <c r="L623" s="312"/>
      <c r="M623" s="312"/>
      <c r="N623" s="362"/>
      <c r="O623" s="312"/>
      <c r="P623" s="312"/>
      <c r="S623" s="2">
        <f t="shared" si="5"/>
        <v>0</v>
      </c>
      <c r="AA623" s="312"/>
      <c r="AB623" s="312"/>
      <c r="AC623" s="312"/>
      <c r="AD623" s="312"/>
    </row>
    <row r="624">
      <c r="A624" s="312"/>
      <c r="B624" s="344">
        <f t="shared" si="1"/>
        <v>2045</v>
      </c>
      <c r="C624" s="344">
        <v>90.0</v>
      </c>
      <c r="D624" s="369"/>
      <c r="E624" s="344" t="str">
        <f t="shared" si="2"/>
        <v>Saturday</v>
      </c>
      <c r="F624" s="344" t="s">
        <v>554</v>
      </c>
      <c r="G624" s="370"/>
      <c r="H624" s="370"/>
      <c r="I624" s="357">
        <f t="shared" si="3"/>
        <v>0</v>
      </c>
      <c r="J624" s="346">
        <f t="shared" si="4"/>
        <v>0</v>
      </c>
      <c r="K624" s="312"/>
      <c r="L624" s="312"/>
      <c r="M624" s="312"/>
      <c r="N624" s="362"/>
      <c r="O624" s="312"/>
      <c r="P624" s="312"/>
      <c r="S624" s="2">
        <f t="shared" si="5"/>
        <v>0</v>
      </c>
      <c r="AA624" s="312"/>
      <c r="AB624" s="312"/>
      <c r="AC624" s="312"/>
      <c r="AD624" s="312"/>
    </row>
    <row r="625">
      <c r="A625" s="312"/>
      <c r="B625" s="344">
        <f t="shared" si="1"/>
        <v>2045</v>
      </c>
      <c r="C625" s="344">
        <v>90.0</v>
      </c>
      <c r="D625" s="369"/>
      <c r="E625" s="344" t="str">
        <f t="shared" si="2"/>
        <v>Saturday</v>
      </c>
      <c r="F625" s="344" t="s">
        <v>554</v>
      </c>
      <c r="G625" s="370"/>
      <c r="H625" s="370"/>
      <c r="I625" s="357">
        <f t="shared" si="3"/>
        <v>0</v>
      </c>
      <c r="J625" s="346">
        <f t="shared" si="4"/>
        <v>0</v>
      </c>
      <c r="K625" s="312"/>
      <c r="L625" s="312"/>
      <c r="M625" s="312"/>
      <c r="N625" s="362"/>
      <c r="O625" s="312"/>
      <c r="P625" s="312"/>
      <c r="S625" s="2">
        <f t="shared" si="5"/>
        <v>0</v>
      </c>
      <c r="AA625" s="312"/>
      <c r="AB625" s="312"/>
      <c r="AC625" s="312"/>
      <c r="AD625" s="312"/>
    </row>
    <row r="626">
      <c r="A626" s="312"/>
      <c r="B626" s="344">
        <f t="shared" si="1"/>
        <v>2045</v>
      </c>
      <c r="C626" s="344">
        <v>90.0</v>
      </c>
      <c r="D626" s="369"/>
      <c r="E626" s="344" t="str">
        <f t="shared" si="2"/>
        <v>Saturday</v>
      </c>
      <c r="F626" s="344" t="s">
        <v>554</v>
      </c>
      <c r="G626" s="370"/>
      <c r="H626" s="370"/>
      <c r="I626" s="357">
        <f t="shared" si="3"/>
        <v>0</v>
      </c>
      <c r="J626" s="346">
        <f t="shared" si="4"/>
        <v>0</v>
      </c>
      <c r="K626" s="312"/>
      <c r="L626" s="312"/>
      <c r="M626" s="312"/>
      <c r="N626" s="362"/>
      <c r="O626" s="312"/>
      <c r="P626" s="312"/>
      <c r="S626" s="2">
        <f t="shared" si="5"/>
        <v>0</v>
      </c>
      <c r="AA626" s="312"/>
      <c r="AB626" s="312"/>
      <c r="AC626" s="312"/>
      <c r="AD626" s="312"/>
    </row>
    <row r="627">
      <c r="A627" s="312"/>
      <c r="B627" s="344">
        <f t="shared" si="1"/>
        <v>2045</v>
      </c>
      <c r="C627" s="344">
        <v>90.0</v>
      </c>
      <c r="D627" s="369"/>
      <c r="E627" s="344" t="str">
        <f t="shared" si="2"/>
        <v>Saturday</v>
      </c>
      <c r="F627" s="344" t="s">
        <v>554</v>
      </c>
      <c r="G627" s="370"/>
      <c r="H627" s="370"/>
      <c r="I627" s="357">
        <f t="shared" si="3"/>
        <v>0</v>
      </c>
      <c r="J627" s="346">
        <f t="shared" si="4"/>
        <v>0</v>
      </c>
      <c r="K627" s="312"/>
      <c r="L627" s="312"/>
      <c r="M627" s="312"/>
      <c r="N627" s="362"/>
      <c r="O627" s="312"/>
      <c r="P627" s="312"/>
      <c r="S627" s="2">
        <f t="shared" si="5"/>
        <v>0</v>
      </c>
      <c r="AA627" s="312"/>
      <c r="AB627" s="312"/>
      <c r="AC627" s="312"/>
      <c r="AD627" s="312"/>
    </row>
    <row r="628">
      <c r="A628" s="312"/>
      <c r="B628" s="344">
        <f t="shared" si="1"/>
        <v>2045</v>
      </c>
      <c r="C628" s="344">
        <v>90.0</v>
      </c>
      <c r="D628" s="369"/>
      <c r="E628" s="344" t="str">
        <f t="shared" si="2"/>
        <v>Saturday</v>
      </c>
      <c r="F628" s="344" t="s">
        <v>554</v>
      </c>
      <c r="G628" s="370"/>
      <c r="H628" s="370"/>
      <c r="I628" s="357">
        <f t="shared" si="3"/>
        <v>0</v>
      </c>
      <c r="J628" s="346">
        <f t="shared" si="4"/>
        <v>0</v>
      </c>
      <c r="K628" s="312"/>
      <c r="L628" s="312"/>
      <c r="M628" s="312"/>
      <c r="N628" s="362"/>
      <c r="O628" s="312"/>
      <c r="P628" s="312"/>
      <c r="S628" s="2">
        <f t="shared" si="5"/>
        <v>0</v>
      </c>
      <c r="AA628" s="312"/>
      <c r="AB628" s="312"/>
      <c r="AC628" s="312"/>
      <c r="AD628" s="312"/>
    </row>
    <row r="629">
      <c r="A629" s="312"/>
      <c r="B629" s="344">
        <f t="shared" si="1"/>
        <v>2045</v>
      </c>
      <c r="C629" s="344">
        <v>90.0</v>
      </c>
      <c r="D629" s="369"/>
      <c r="E629" s="344" t="str">
        <f t="shared" si="2"/>
        <v>Saturday</v>
      </c>
      <c r="F629" s="344" t="s">
        <v>554</v>
      </c>
      <c r="G629" s="370"/>
      <c r="H629" s="370"/>
      <c r="I629" s="357">
        <f t="shared" si="3"/>
        <v>0</v>
      </c>
      <c r="J629" s="346">
        <f t="shared" si="4"/>
        <v>0</v>
      </c>
      <c r="K629" s="312"/>
      <c r="L629" s="312"/>
      <c r="M629" s="312"/>
      <c r="N629" s="362"/>
      <c r="O629" s="312"/>
      <c r="P629" s="312"/>
      <c r="S629" s="2">
        <f t="shared" si="5"/>
        <v>0</v>
      </c>
      <c r="AA629" s="312"/>
      <c r="AB629" s="312"/>
      <c r="AC629" s="312"/>
      <c r="AD629" s="312"/>
    </row>
    <row r="630">
      <c r="A630" s="312"/>
      <c r="B630" s="344">
        <f t="shared" si="1"/>
        <v>2045</v>
      </c>
      <c r="C630" s="344">
        <v>90.0</v>
      </c>
      <c r="D630" s="369"/>
      <c r="E630" s="344" t="str">
        <f t="shared" si="2"/>
        <v>Saturday</v>
      </c>
      <c r="F630" s="344" t="s">
        <v>554</v>
      </c>
      <c r="G630" s="370"/>
      <c r="H630" s="370"/>
      <c r="I630" s="357">
        <f t="shared" si="3"/>
        <v>0</v>
      </c>
      <c r="J630" s="346">
        <f t="shared" si="4"/>
        <v>0</v>
      </c>
      <c r="K630" s="312"/>
      <c r="L630" s="312"/>
      <c r="M630" s="312"/>
      <c r="N630" s="362"/>
      <c r="O630" s="312"/>
      <c r="P630" s="312"/>
      <c r="S630" s="2">
        <f t="shared" si="5"/>
        <v>0</v>
      </c>
      <c r="AA630" s="312"/>
      <c r="AB630" s="312"/>
      <c r="AC630" s="312"/>
      <c r="AD630" s="312"/>
    </row>
    <row r="631">
      <c r="A631" s="312"/>
      <c r="B631" s="344">
        <f t="shared" si="1"/>
        <v>2045</v>
      </c>
      <c r="C631" s="344">
        <v>90.0</v>
      </c>
      <c r="D631" s="369"/>
      <c r="E631" s="344" t="str">
        <f t="shared" si="2"/>
        <v>Saturday</v>
      </c>
      <c r="F631" s="344" t="s">
        <v>554</v>
      </c>
      <c r="G631" s="370"/>
      <c r="H631" s="370"/>
      <c r="I631" s="357">
        <f t="shared" si="3"/>
        <v>0</v>
      </c>
      <c r="J631" s="346">
        <f t="shared" si="4"/>
        <v>0</v>
      </c>
      <c r="K631" s="312"/>
      <c r="L631" s="312"/>
      <c r="M631" s="312"/>
      <c r="N631" s="362"/>
      <c r="O631" s="312"/>
      <c r="P631" s="312"/>
      <c r="S631" s="2">
        <f t="shared" si="5"/>
        <v>0</v>
      </c>
      <c r="AA631" s="312"/>
      <c r="AB631" s="312"/>
      <c r="AC631" s="312"/>
      <c r="AD631" s="312"/>
    </row>
    <row r="632">
      <c r="A632" s="312"/>
      <c r="B632" s="344">
        <f t="shared" si="1"/>
        <v>2045</v>
      </c>
      <c r="C632" s="344">
        <v>90.0</v>
      </c>
      <c r="D632" s="369"/>
      <c r="E632" s="344" t="str">
        <f t="shared" si="2"/>
        <v>Saturday</v>
      </c>
      <c r="F632" s="344" t="s">
        <v>554</v>
      </c>
      <c r="G632" s="370"/>
      <c r="H632" s="370"/>
      <c r="I632" s="357">
        <f t="shared" si="3"/>
        <v>0</v>
      </c>
      <c r="J632" s="346">
        <f t="shared" si="4"/>
        <v>0</v>
      </c>
      <c r="K632" s="312"/>
      <c r="L632" s="312"/>
      <c r="M632" s="312"/>
      <c r="N632" s="362"/>
      <c r="O632" s="312"/>
      <c r="P632" s="312"/>
      <c r="S632" s="2">
        <f t="shared" si="5"/>
        <v>0</v>
      </c>
      <c r="AA632" s="312"/>
      <c r="AB632" s="312"/>
      <c r="AC632" s="312"/>
      <c r="AD632" s="312"/>
    </row>
    <row r="633">
      <c r="A633" s="312"/>
      <c r="B633" s="344">
        <f t="shared" si="1"/>
        <v>2045</v>
      </c>
      <c r="C633" s="344">
        <v>90.0</v>
      </c>
      <c r="D633" s="369"/>
      <c r="E633" s="344" t="str">
        <f t="shared" si="2"/>
        <v>Saturday</v>
      </c>
      <c r="F633" s="344" t="s">
        <v>554</v>
      </c>
      <c r="G633" s="370"/>
      <c r="H633" s="370"/>
      <c r="I633" s="357">
        <f t="shared" si="3"/>
        <v>0</v>
      </c>
      <c r="J633" s="346">
        <f t="shared" si="4"/>
        <v>0</v>
      </c>
      <c r="K633" s="312"/>
      <c r="L633" s="312"/>
      <c r="M633" s="312"/>
      <c r="N633" s="362"/>
      <c r="O633" s="312"/>
      <c r="P633" s="312"/>
      <c r="S633" s="2">
        <f t="shared" si="5"/>
        <v>0</v>
      </c>
      <c r="AA633" s="312"/>
      <c r="AB633" s="312"/>
      <c r="AC633" s="312"/>
      <c r="AD633" s="312"/>
    </row>
    <row r="634">
      <c r="A634" s="312"/>
      <c r="B634" s="344">
        <f t="shared" si="1"/>
        <v>2045</v>
      </c>
      <c r="C634" s="344">
        <v>90.0</v>
      </c>
      <c r="D634" s="369"/>
      <c r="E634" s="344" t="str">
        <f t="shared" si="2"/>
        <v>Saturday</v>
      </c>
      <c r="F634" s="344" t="s">
        <v>554</v>
      </c>
      <c r="G634" s="370"/>
      <c r="H634" s="370"/>
      <c r="I634" s="357">
        <f t="shared" si="3"/>
        <v>0</v>
      </c>
      <c r="J634" s="346">
        <f t="shared" si="4"/>
        <v>0</v>
      </c>
      <c r="K634" s="312"/>
      <c r="L634" s="312"/>
      <c r="M634" s="312"/>
      <c r="N634" s="362"/>
      <c r="O634" s="312"/>
      <c r="P634" s="312"/>
      <c r="S634" s="2">
        <f t="shared" si="5"/>
        <v>0</v>
      </c>
      <c r="AA634" s="312"/>
      <c r="AB634" s="312"/>
      <c r="AC634" s="312"/>
      <c r="AD634" s="312"/>
    </row>
    <row r="635">
      <c r="A635" s="312"/>
      <c r="B635" s="344">
        <f t="shared" si="1"/>
        <v>2045</v>
      </c>
      <c r="C635" s="344">
        <v>90.0</v>
      </c>
      <c r="D635" s="369"/>
      <c r="E635" s="344" t="str">
        <f t="shared" si="2"/>
        <v>Saturday</v>
      </c>
      <c r="F635" s="344" t="s">
        <v>554</v>
      </c>
      <c r="G635" s="370"/>
      <c r="H635" s="370"/>
      <c r="I635" s="357">
        <f t="shared" si="3"/>
        <v>0</v>
      </c>
      <c r="J635" s="346">
        <f t="shared" si="4"/>
        <v>0</v>
      </c>
      <c r="K635" s="312"/>
      <c r="L635" s="312"/>
      <c r="M635" s="312"/>
      <c r="N635" s="362"/>
      <c r="O635" s="312"/>
      <c r="P635" s="312"/>
      <c r="S635" s="2">
        <f t="shared" si="5"/>
        <v>0</v>
      </c>
      <c r="AA635" s="312"/>
      <c r="AB635" s="312"/>
      <c r="AC635" s="312"/>
      <c r="AD635" s="312"/>
    </row>
    <row r="636">
      <c r="A636" s="312"/>
      <c r="B636" s="344">
        <f t="shared" si="1"/>
        <v>2045</v>
      </c>
      <c r="C636" s="344">
        <v>90.0</v>
      </c>
      <c r="D636" s="369"/>
      <c r="E636" s="344" t="str">
        <f t="shared" si="2"/>
        <v>Saturday</v>
      </c>
      <c r="F636" s="344" t="s">
        <v>554</v>
      </c>
      <c r="G636" s="370"/>
      <c r="H636" s="370"/>
      <c r="I636" s="357">
        <f t="shared" si="3"/>
        <v>0</v>
      </c>
      <c r="J636" s="346">
        <f t="shared" si="4"/>
        <v>0</v>
      </c>
      <c r="K636" s="312"/>
      <c r="L636" s="312"/>
      <c r="M636" s="312"/>
      <c r="N636" s="362"/>
      <c r="O636" s="312"/>
      <c r="P636" s="312"/>
      <c r="S636" s="2">
        <f t="shared" si="5"/>
        <v>0</v>
      </c>
      <c r="AA636" s="312"/>
      <c r="AB636" s="312"/>
      <c r="AC636" s="312"/>
      <c r="AD636" s="312"/>
    </row>
    <row r="637">
      <c r="A637" s="312"/>
      <c r="B637" s="344">
        <f t="shared" si="1"/>
        <v>2045</v>
      </c>
      <c r="C637" s="344">
        <v>90.0</v>
      </c>
      <c r="D637" s="369"/>
      <c r="E637" s="344" t="str">
        <f t="shared" si="2"/>
        <v>Saturday</v>
      </c>
      <c r="F637" s="344" t="s">
        <v>554</v>
      </c>
      <c r="G637" s="370"/>
      <c r="H637" s="370"/>
      <c r="I637" s="357">
        <f t="shared" si="3"/>
        <v>0</v>
      </c>
      <c r="J637" s="346">
        <f t="shared" si="4"/>
        <v>0</v>
      </c>
      <c r="K637" s="312"/>
      <c r="L637" s="312"/>
      <c r="M637" s="312"/>
      <c r="N637" s="362"/>
      <c r="O637" s="312"/>
      <c r="P637" s="312"/>
      <c r="S637" s="2">
        <f t="shared" si="5"/>
        <v>0</v>
      </c>
      <c r="AA637" s="312"/>
      <c r="AB637" s="312"/>
      <c r="AC637" s="312"/>
      <c r="AD637" s="312"/>
    </row>
    <row r="638">
      <c r="A638" s="312"/>
      <c r="B638" s="344">
        <f t="shared" si="1"/>
        <v>2045</v>
      </c>
      <c r="C638" s="344">
        <v>90.0</v>
      </c>
      <c r="D638" s="369"/>
      <c r="E638" s="344" t="str">
        <f t="shared" si="2"/>
        <v>Saturday</v>
      </c>
      <c r="F638" s="344" t="s">
        <v>554</v>
      </c>
      <c r="G638" s="370"/>
      <c r="H638" s="370"/>
      <c r="I638" s="357">
        <f t="shared" si="3"/>
        <v>0</v>
      </c>
      <c r="J638" s="346">
        <f t="shared" si="4"/>
        <v>0</v>
      </c>
      <c r="K638" s="312"/>
      <c r="L638" s="312"/>
      <c r="M638" s="312"/>
      <c r="N638" s="362"/>
      <c r="O638" s="312"/>
      <c r="P638" s="312"/>
      <c r="S638" s="2">
        <f t="shared" si="5"/>
        <v>0</v>
      </c>
      <c r="AA638" s="312"/>
      <c r="AB638" s="312"/>
      <c r="AC638" s="312"/>
      <c r="AD638" s="312"/>
    </row>
    <row r="639">
      <c r="A639" s="312"/>
      <c r="B639" s="344">
        <f t="shared" si="1"/>
        <v>2045</v>
      </c>
      <c r="C639" s="344">
        <v>90.0</v>
      </c>
      <c r="D639" s="369"/>
      <c r="E639" s="344" t="str">
        <f t="shared" si="2"/>
        <v>Saturday</v>
      </c>
      <c r="F639" s="344" t="s">
        <v>554</v>
      </c>
      <c r="G639" s="370"/>
      <c r="H639" s="370"/>
      <c r="I639" s="357">
        <f t="shared" si="3"/>
        <v>0</v>
      </c>
      <c r="J639" s="346">
        <f t="shared" si="4"/>
        <v>0</v>
      </c>
      <c r="K639" s="312"/>
      <c r="L639" s="312"/>
      <c r="M639" s="312"/>
      <c r="N639" s="362"/>
      <c r="O639" s="312"/>
      <c r="P639" s="312"/>
      <c r="S639" s="2">
        <f t="shared" si="5"/>
        <v>0</v>
      </c>
      <c r="AA639" s="312"/>
      <c r="AB639" s="312"/>
      <c r="AC639" s="312"/>
      <c r="AD639" s="312"/>
    </row>
    <row r="640">
      <c r="A640" s="312"/>
      <c r="B640" s="344">
        <f t="shared" si="1"/>
        <v>2045</v>
      </c>
      <c r="C640" s="344">
        <v>90.0</v>
      </c>
      <c r="D640" s="369"/>
      <c r="E640" s="344" t="str">
        <f t="shared" si="2"/>
        <v>Saturday</v>
      </c>
      <c r="F640" s="344" t="s">
        <v>554</v>
      </c>
      <c r="G640" s="370"/>
      <c r="H640" s="370"/>
      <c r="I640" s="357">
        <f t="shared" si="3"/>
        <v>0</v>
      </c>
      <c r="J640" s="346">
        <f t="shared" si="4"/>
        <v>0</v>
      </c>
      <c r="K640" s="312"/>
      <c r="L640" s="312"/>
      <c r="M640" s="312"/>
      <c r="N640" s="362"/>
      <c r="O640" s="312"/>
      <c r="P640" s="312"/>
      <c r="S640" s="2">
        <f t="shared" si="5"/>
        <v>0</v>
      </c>
      <c r="AA640" s="312"/>
      <c r="AB640" s="312"/>
      <c r="AC640" s="312"/>
      <c r="AD640" s="312"/>
    </row>
    <row r="641">
      <c r="A641" s="312"/>
      <c r="B641" s="344">
        <f t="shared" si="1"/>
        <v>2045</v>
      </c>
      <c r="C641" s="344">
        <v>90.0</v>
      </c>
      <c r="D641" s="369"/>
      <c r="E641" s="344" t="str">
        <f t="shared" si="2"/>
        <v>Saturday</v>
      </c>
      <c r="F641" s="344" t="s">
        <v>554</v>
      </c>
      <c r="G641" s="370"/>
      <c r="H641" s="370"/>
      <c r="I641" s="357">
        <f t="shared" si="3"/>
        <v>0</v>
      </c>
      <c r="J641" s="346">
        <f t="shared" si="4"/>
        <v>0</v>
      </c>
      <c r="K641" s="312"/>
      <c r="L641" s="312"/>
      <c r="M641" s="312"/>
      <c r="N641" s="362"/>
      <c r="O641" s="312"/>
      <c r="P641" s="312"/>
      <c r="S641" s="2">
        <f t="shared" si="5"/>
        <v>0</v>
      </c>
      <c r="AA641" s="312"/>
      <c r="AB641" s="312"/>
      <c r="AC641" s="312"/>
      <c r="AD641" s="312"/>
    </row>
    <row r="642">
      <c r="A642" s="312"/>
      <c r="B642" s="344">
        <f t="shared" si="1"/>
        <v>2045</v>
      </c>
      <c r="C642" s="344">
        <v>90.0</v>
      </c>
      <c r="D642" s="369"/>
      <c r="E642" s="344" t="str">
        <f t="shared" si="2"/>
        <v>Saturday</v>
      </c>
      <c r="F642" s="344" t="s">
        <v>554</v>
      </c>
      <c r="G642" s="370"/>
      <c r="H642" s="370"/>
      <c r="I642" s="357">
        <f t="shared" si="3"/>
        <v>0</v>
      </c>
      <c r="J642" s="346">
        <f t="shared" si="4"/>
        <v>0</v>
      </c>
      <c r="K642" s="312"/>
      <c r="L642" s="312"/>
      <c r="M642" s="312"/>
      <c r="N642" s="362"/>
      <c r="O642" s="312"/>
      <c r="P642" s="312"/>
      <c r="S642" s="2">
        <f t="shared" si="5"/>
        <v>0</v>
      </c>
      <c r="AA642" s="312"/>
      <c r="AB642" s="312"/>
      <c r="AC642" s="312"/>
      <c r="AD642" s="312"/>
    </row>
    <row r="643">
      <c r="A643" s="312"/>
      <c r="B643" s="344">
        <f t="shared" si="1"/>
        <v>2045</v>
      </c>
      <c r="C643" s="344">
        <v>90.0</v>
      </c>
      <c r="D643" s="369"/>
      <c r="E643" s="344" t="str">
        <f t="shared" si="2"/>
        <v>Saturday</v>
      </c>
      <c r="F643" s="344" t="s">
        <v>554</v>
      </c>
      <c r="G643" s="370"/>
      <c r="H643" s="370"/>
      <c r="I643" s="357">
        <f t="shared" si="3"/>
        <v>0</v>
      </c>
      <c r="J643" s="346">
        <f t="shared" si="4"/>
        <v>0</v>
      </c>
      <c r="K643" s="312"/>
      <c r="L643" s="312"/>
      <c r="M643" s="312"/>
      <c r="N643" s="362"/>
      <c r="O643" s="312"/>
      <c r="P643" s="312"/>
      <c r="S643" s="2">
        <f t="shared" si="5"/>
        <v>0</v>
      </c>
      <c r="AA643" s="312"/>
      <c r="AB643" s="312"/>
      <c r="AC643" s="312"/>
      <c r="AD643" s="312"/>
    </row>
    <row r="644">
      <c r="A644" s="312"/>
      <c r="B644" s="344">
        <f t="shared" si="1"/>
        <v>2045</v>
      </c>
      <c r="C644" s="344">
        <v>90.0</v>
      </c>
      <c r="D644" s="369"/>
      <c r="E644" s="344" t="str">
        <f t="shared" si="2"/>
        <v>Saturday</v>
      </c>
      <c r="F644" s="344" t="s">
        <v>554</v>
      </c>
      <c r="G644" s="370"/>
      <c r="H644" s="370"/>
      <c r="I644" s="357">
        <f t="shared" si="3"/>
        <v>0</v>
      </c>
      <c r="J644" s="346">
        <f t="shared" si="4"/>
        <v>0</v>
      </c>
      <c r="K644" s="312"/>
      <c r="L644" s="312"/>
      <c r="M644" s="312"/>
      <c r="N644" s="362"/>
      <c r="O644" s="312"/>
      <c r="P644" s="312"/>
      <c r="S644" s="2">
        <f t="shared" si="5"/>
        <v>0</v>
      </c>
      <c r="AA644" s="312"/>
      <c r="AB644" s="312"/>
      <c r="AC644" s="312"/>
      <c r="AD644" s="312"/>
    </row>
    <row r="645">
      <c r="A645" s="312"/>
      <c r="B645" s="344">
        <f t="shared" si="1"/>
        <v>2045</v>
      </c>
      <c r="C645" s="344">
        <v>90.0</v>
      </c>
      <c r="D645" s="369"/>
      <c r="E645" s="344" t="str">
        <f t="shared" si="2"/>
        <v>Saturday</v>
      </c>
      <c r="F645" s="344" t="s">
        <v>554</v>
      </c>
      <c r="G645" s="370"/>
      <c r="H645" s="370"/>
      <c r="I645" s="357">
        <f t="shared" si="3"/>
        <v>0</v>
      </c>
      <c r="J645" s="346">
        <f t="shared" si="4"/>
        <v>0</v>
      </c>
      <c r="K645" s="312"/>
      <c r="L645" s="312"/>
      <c r="M645" s="312"/>
      <c r="N645" s="362"/>
      <c r="O645" s="312"/>
      <c r="P645" s="312"/>
      <c r="S645" s="2">
        <f t="shared" si="5"/>
        <v>0</v>
      </c>
      <c r="AA645" s="312"/>
      <c r="AB645" s="312"/>
      <c r="AC645" s="312"/>
      <c r="AD645" s="312"/>
    </row>
    <row r="646">
      <c r="A646" s="312"/>
      <c r="B646" s="344">
        <f t="shared" si="1"/>
        <v>2045</v>
      </c>
      <c r="C646" s="344">
        <v>90.0</v>
      </c>
      <c r="D646" s="369"/>
      <c r="E646" s="344" t="str">
        <f t="shared" si="2"/>
        <v>Saturday</v>
      </c>
      <c r="F646" s="344" t="s">
        <v>554</v>
      </c>
      <c r="G646" s="370"/>
      <c r="H646" s="370"/>
      <c r="I646" s="357">
        <f t="shared" si="3"/>
        <v>0</v>
      </c>
      <c r="J646" s="346">
        <f t="shared" si="4"/>
        <v>0</v>
      </c>
      <c r="K646" s="312"/>
      <c r="L646" s="312"/>
      <c r="M646" s="312"/>
      <c r="N646" s="362"/>
      <c r="O646" s="312"/>
      <c r="P646" s="312"/>
      <c r="S646" s="2">
        <f t="shared" si="5"/>
        <v>0</v>
      </c>
      <c r="AA646" s="312"/>
      <c r="AB646" s="312"/>
      <c r="AC646" s="312"/>
      <c r="AD646" s="312"/>
    </row>
    <row r="647">
      <c r="A647" s="312"/>
      <c r="B647" s="344">
        <f t="shared" si="1"/>
        <v>2045</v>
      </c>
      <c r="C647" s="344">
        <v>90.0</v>
      </c>
      <c r="D647" s="369"/>
      <c r="E647" s="344" t="str">
        <f t="shared" si="2"/>
        <v>Saturday</v>
      </c>
      <c r="F647" s="344" t="s">
        <v>554</v>
      </c>
      <c r="G647" s="370"/>
      <c r="H647" s="370"/>
      <c r="I647" s="357">
        <f t="shared" si="3"/>
        <v>0</v>
      </c>
      <c r="J647" s="346">
        <f t="shared" si="4"/>
        <v>0</v>
      </c>
      <c r="K647" s="312"/>
      <c r="L647" s="312"/>
      <c r="M647" s="312"/>
      <c r="N647" s="362"/>
      <c r="O647" s="312"/>
      <c r="P647" s="312"/>
      <c r="S647" s="2">
        <f t="shared" si="5"/>
        <v>0</v>
      </c>
      <c r="AA647" s="312"/>
      <c r="AB647" s="312"/>
      <c r="AC647" s="312"/>
      <c r="AD647" s="312"/>
    </row>
    <row r="648">
      <c r="A648" s="312"/>
      <c r="B648" s="344">
        <f t="shared" si="1"/>
        <v>2045</v>
      </c>
      <c r="C648" s="344">
        <v>90.0</v>
      </c>
      <c r="D648" s="369"/>
      <c r="E648" s="344" t="str">
        <f t="shared" si="2"/>
        <v>Saturday</v>
      </c>
      <c r="F648" s="344" t="s">
        <v>554</v>
      </c>
      <c r="G648" s="370"/>
      <c r="H648" s="370"/>
      <c r="I648" s="357">
        <f t="shared" si="3"/>
        <v>0</v>
      </c>
      <c r="J648" s="346">
        <f t="shared" si="4"/>
        <v>0</v>
      </c>
      <c r="K648" s="312"/>
      <c r="L648" s="312"/>
      <c r="M648" s="312"/>
      <c r="N648" s="362"/>
      <c r="O648" s="312"/>
      <c r="P648" s="312"/>
      <c r="S648" s="2">
        <f t="shared" si="5"/>
        <v>0</v>
      </c>
      <c r="AA648" s="312"/>
      <c r="AB648" s="312"/>
      <c r="AC648" s="312"/>
      <c r="AD648" s="312"/>
    </row>
    <row r="649">
      <c r="A649" s="312"/>
      <c r="B649" s="344">
        <f t="shared" si="1"/>
        <v>2045</v>
      </c>
      <c r="C649" s="344">
        <v>90.0</v>
      </c>
      <c r="D649" s="369"/>
      <c r="E649" s="344" t="str">
        <f t="shared" si="2"/>
        <v>Saturday</v>
      </c>
      <c r="F649" s="344" t="s">
        <v>554</v>
      </c>
      <c r="G649" s="370"/>
      <c r="H649" s="370"/>
      <c r="I649" s="357">
        <f t="shared" si="3"/>
        <v>0</v>
      </c>
      <c r="J649" s="346">
        <f t="shared" si="4"/>
        <v>0</v>
      </c>
      <c r="K649" s="312"/>
      <c r="L649" s="312"/>
      <c r="M649" s="312"/>
      <c r="N649" s="362"/>
      <c r="O649" s="312"/>
      <c r="P649" s="312"/>
      <c r="S649" s="2">
        <f t="shared" si="5"/>
        <v>0</v>
      </c>
      <c r="AA649" s="312"/>
      <c r="AB649" s="312"/>
      <c r="AC649" s="312"/>
      <c r="AD649" s="312"/>
    </row>
    <row r="650">
      <c r="A650" s="312"/>
      <c r="B650" s="344">
        <f t="shared" si="1"/>
        <v>2045</v>
      </c>
      <c r="C650" s="344">
        <v>90.0</v>
      </c>
      <c r="D650" s="369"/>
      <c r="E650" s="344" t="str">
        <f t="shared" si="2"/>
        <v>Saturday</v>
      </c>
      <c r="F650" s="344" t="s">
        <v>554</v>
      </c>
      <c r="G650" s="370"/>
      <c r="H650" s="370"/>
      <c r="I650" s="357">
        <f t="shared" si="3"/>
        <v>0</v>
      </c>
      <c r="J650" s="346">
        <f t="shared" si="4"/>
        <v>0</v>
      </c>
      <c r="K650" s="312"/>
      <c r="L650" s="312"/>
      <c r="M650" s="312"/>
      <c r="N650" s="362"/>
      <c r="O650" s="312"/>
      <c r="P650" s="312"/>
      <c r="S650" s="2">
        <f t="shared" si="5"/>
        <v>0</v>
      </c>
      <c r="AA650" s="312"/>
      <c r="AB650" s="312"/>
      <c r="AC650" s="312"/>
      <c r="AD650" s="312"/>
    </row>
    <row r="651">
      <c r="A651" s="312"/>
      <c r="B651" s="344">
        <f t="shared" si="1"/>
        <v>2045</v>
      </c>
      <c r="C651" s="344">
        <v>90.0</v>
      </c>
      <c r="D651" s="369"/>
      <c r="E651" s="344" t="str">
        <f t="shared" si="2"/>
        <v>Saturday</v>
      </c>
      <c r="F651" s="344" t="s">
        <v>554</v>
      </c>
      <c r="G651" s="370"/>
      <c r="H651" s="370"/>
      <c r="I651" s="357">
        <f t="shared" si="3"/>
        <v>0</v>
      </c>
      <c r="J651" s="346">
        <f t="shared" si="4"/>
        <v>0</v>
      </c>
      <c r="K651" s="312"/>
      <c r="L651" s="312"/>
      <c r="M651" s="312"/>
      <c r="N651" s="362"/>
      <c r="O651" s="312"/>
      <c r="P651" s="312"/>
      <c r="S651" s="2">
        <f t="shared" si="5"/>
        <v>0</v>
      </c>
      <c r="AA651" s="312"/>
      <c r="AB651" s="312"/>
      <c r="AC651" s="312"/>
      <c r="AD651" s="312"/>
    </row>
    <row r="652">
      <c r="A652" s="312"/>
      <c r="B652" s="344">
        <f t="shared" si="1"/>
        <v>2045</v>
      </c>
      <c r="C652" s="344">
        <v>90.0</v>
      </c>
      <c r="D652" s="369"/>
      <c r="E652" s="344" t="str">
        <f t="shared" si="2"/>
        <v>Saturday</v>
      </c>
      <c r="F652" s="344" t="s">
        <v>554</v>
      </c>
      <c r="G652" s="370"/>
      <c r="H652" s="370"/>
      <c r="I652" s="357">
        <f t="shared" si="3"/>
        <v>0</v>
      </c>
      <c r="J652" s="346">
        <f t="shared" si="4"/>
        <v>0</v>
      </c>
      <c r="K652" s="312"/>
      <c r="L652" s="312"/>
      <c r="M652" s="312"/>
      <c r="N652" s="362"/>
      <c r="O652" s="312"/>
      <c r="P652" s="312"/>
      <c r="S652" s="2">
        <f t="shared" si="5"/>
        <v>0</v>
      </c>
      <c r="AA652" s="312"/>
      <c r="AB652" s="312"/>
      <c r="AC652" s="312"/>
      <c r="AD652" s="312"/>
    </row>
    <row r="653">
      <c r="A653" s="312"/>
      <c r="B653" s="344">
        <f t="shared" si="1"/>
        <v>2045</v>
      </c>
      <c r="C653" s="344">
        <v>90.0</v>
      </c>
      <c r="D653" s="369"/>
      <c r="E653" s="344" t="str">
        <f t="shared" si="2"/>
        <v>Saturday</v>
      </c>
      <c r="F653" s="344" t="s">
        <v>554</v>
      </c>
      <c r="G653" s="370"/>
      <c r="H653" s="370"/>
      <c r="I653" s="357">
        <f t="shared" si="3"/>
        <v>0</v>
      </c>
      <c r="J653" s="346">
        <f t="shared" si="4"/>
        <v>0</v>
      </c>
      <c r="K653" s="312"/>
      <c r="L653" s="312"/>
      <c r="M653" s="312"/>
      <c r="N653" s="362"/>
      <c r="O653" s="312"/>
      <c r="P653" s="312"/>
      <c r="S653" s="2">
        <f t="shared" si="5"/>
        <v>0</v>
      </c>
      <c r="AA653" s="312"/>
      <c r="AB653" s="312"/>
      <c r="AC653" s="312"/>
      <c r="AD653" s="312"/>
    </row>
    <row r="654">
      <c r="A654" s="312"/>
      <c r="B654" s="344">
        <f t="shared" si="1"/>
        <v>2045</v>
      </c>
      <c r="C654" s="344">
        <v>90.0</v>
      </c>
      <c r="D654" s="369"/>
      <c r="E654" s="344" t="str">
        <f t="shared" si="2"/>
        <v>Saturday</v>
      </c>
      <c r="F654" s="344" t="s">
        <v>554</v>
      </c>
      <c r="G654" s="370"/>
      <c r="H654" s="370"/>
      <c r="I654" s="357">
        <f t="shared" si="3"/>
        <v>0</v>
      </c>
      <c r="J654" s="346">
        <f t="shared" si="4"/>
        <v>0</v>
      </c>
      <c r="K654" s="312"/>
      <c r="L654" s="312"/>
      <c r="M654" s="312"/>
      <c r="N654" s="362"/>
      <c r="O654" s="312"/>
      <c r="P654" s="312"/>
      <c r="S654" s="2">
        <f t="shared" si="5"/>
        <v>0</v>
      </c>
      <c r="AA654" s="312"/>
      <c r="AB654" s="312"/>
      <c r="AC654" s="312"/>
      <c r="AD654" s="312"/>
    </row>
    <row r="655">
      <c r="A655" s="312"/>
      <c r="B655" s="344">
        <f t="shared" si="1"/>
        <v>2045</v>
      </c>
      <c r="C655" s="344">
        <v>90.0</v>
      </c>
      <c r="D655" s="369"/>
      <c r="E655" s="344" t="str">
        <f t="shared" si="2"/>
        <v>Saturday</v>
      </c>
      <c r="F655" s="344" t="s">
        <v>554</v>
      </c>
      <c r="G655" s="370"/>
      <c r="H655" s="370"/>
      <c r="I655" s="357">
        <f t="shared" si="3"/>
        <v>0</v>
      </c>
      <c r="J655" s="346">
        <f t="shared" si="4"/>
        <v>0</v>
      </c>
      <c r="K655" s="312"/>
      <c r="L655" s="312"/>
      <c r="M655" s="312"/>
      <c r="N655" s="362"/>
      <c r="O655" s="312"/>
      <c r="P655" s="312"/>
      <c r="S655" s="2">
        <f t="shared" si="5"/>
        <v>0</v>
      </c>
      <c r="AA655" s="312"/>
      <c r="AB655" s="312"/>
      <c r="AC655" s="312"/>
      <c r="AD655" s="312"/>
    </row>
    <row r="656">
      <c r="A656" s="312"/>
      <c r="B656" s="344">
        <f t="shared" si="1"/>
        <v>2045</v>
      </c>
      <c r="C656" s="344">
        <v>90.0</v>
      </c>
      <c r="D656" s="369"/>
      <c r="E656" s="344" t="str">
        <f t="shared" si="2"/>
        <v>Saturday</v>
      </c>
      <c r="F656" s="344" t="s">
        <v>554</v>
      </c>
      <c r="G656" s="370"/>
      <c r="H656" s="370"/>
      <c r="I656" s="357">
        <f t="shared" si="3"/>
        <v>0</v>
      </c>
      <c r="J656" s="346">
        <f t="shared" si="4"/>
        <v>0</v>
      </c>
      <c r="K656" s="312"/>
      <c r="L656" s="312"/>
      <c r="M656" s="312"/>
      <c r="N656" s="362"/>
      <c r="O656" s="312"/>
      <c r="P656" s="312"/>
      <c r="S656" s="2">
        <f t="shared" si="5"/>
        <v>0</v>
      </c>
      <c r="AA656" s="312"/>
      <c r="AB656" s="312"/>
      <c r="AC656" s="312"/>
      <c r="AD656" s="312"/>
    </row>
    <row r="657">
      <c r="A657" s="312"/>
      <c r="B657" s="344">
        <f t="shared" si="1"/>
        <v>2045</v>
      </c>
      <c r="C657" s="344">
        <v>90.0</v>
      </c>
      <c r="D657" s="369"/>
      <c r="E657" s="344" t="str">
        <f t="shared" si="2"/>
        <v>Saturday</v>
      </c>
      <c r="F657" s="344" t="s">
        <v>554</v>
      </c>
      <c r="G657" s="370"/>
      <c r="H657" s="370"/>
      <c r="I657" s="357">
        <f t="shared" si="3"/>
        <v>0</v>
      </c>
      <c r="J657" s="346">
        <f t="shared" si="4"/>
        <v>0</v>
      </c>
      <c r="K657" s="312"/>
      <c r="L657" s="312"/>
      <c r="M657" s="312"/>
      <c r="N657" s="362"/>
      <c r="O657" s="312"/>
      <c r="P657" s="312"/>
      <c r="S657" s="2">
        <f t="shared" si="5"/>
        <v>0</v>
      </c>
      <c r="AA657" s="312"/>
      <c r="AB657" s="312"/>
      <c r="AC657" s="312"/>
      <c r="AD657" s="312"/>
    </row>
    <row r="658">
      <c r="A658" s="312"/>
      <c r="B658" s="344">
        <f t="shared" si="1"/>
        <v>2045</v>
      </c>
      <c r="C658" s="344">
        <v>90.0</v>
      </c>
      <c r="D658" s="369"/>
      <c r="E658" s="344" t="str">
        <f t="shared" si="2"/>
        <v>Saturday</v>
      </c>
      <c r="F658" s="344" t="s">
        <v>554</v>
      </c>
      <c r="G658" s="370"/>
      <c r="H658" s="370"/>
      <c r="I658" s="357">
        <f t="shared" si="3"/>
        <v>0</v>
      </c>
      <c r="J658" s="346">
        <f t="shared" si="4"/>
        <v>0</v>
      </c>
      <c r="K658" s="312"/>
      <c r="L658" s="312"/>
      <c r="M658" s="312"/>
      <c r="N658" s="362"/>
      <c r="O658" s="312"/>
      <c r="P658" s="312"/>
      <c r="S658" s="2">
        <f t="shared" si="5"/>
        <v>0</v>
      </c>
      <c r="AA658" s="312"/>
      <c r="AB658" s="312"/>
      <c r="AC658" s="312"/>
      <c r="AD658" s="312"/>
    </row>
    <row r="659">
      <c r="A659" s="312"/>
      <c r="B659" s="344">
        <f t="shared" si="1"/>
        <v>2045</v>
      </c>
      <c r="C659" s="344">
        <v>90.0</v>
      </c>
      <c r="D659" s="369"/>
      <c r="E659" s="344" t="str">
        <f t="shared" si="2"/>
        <v>Saturday</v>
      </c>
      <c r="F659" s="344" t="s">
        <v>554</v>
      </c>
      <c r="G659" s="370"/>
      <c r="H659" s="370"/>
      <c r="I659" s="357">
        <f t="shared" si="3"/>
        <v>0</v>
      </c>
      <c r="J659" s="346">
        <f t="shared" si="4"/>
        <v>0</v>
      </c>
      <c r="K659" s="312"/>
      <c r="L659" s="312"/>
      <c r="M659" s="312"/>
      <c r="N659" s="362"/>
      <c r="O659" s="312"/>
      <c r="P659" s="312"/>
      <c r="S659" s="2">
        <f t="shared" si="5"/>
        <v>0</v>
      </c>
      <c r="AA659" s="312"/>
      <c r="AB659" s="312"/>
      <c r="AC659" s="312"/>
      <c r="AD659" s="312"/>
    </row>
    <row r="660">
      <c r="A660" s="312"/>
      <c r="B660" s="344">
        <f t="shared" si="1"/>
        <v>2045</v>
      </c>
      <c r="C660" s="344">
        <v>90.0</v>
      </c>
      <c r="D660" s="369"/>
      <c r="E660" s="344" t="str">
        <f t="shared" si="2"/>
        <v>Saturday</v>
      </c>
      <c r="F660" s="344" t="s">
        <v>554</v>
      </c>
      <c r="G660" s="370"/>
      <c r="H660" s="370"/>
      <c r="I660" s="357">
        <f t="shared" si="3"/>
        <v>0</v>
      </c>
      <c r="J660" s="346">
        <f t="shared" si="4"/>
        <v>0</v>
      </c>
      <c r="K660" s="312"/>
      <c r="L660" s="312"/>
      <c r="M660" s="312"/>
      <c r="N660" s="362"/>
      <c r="O660" s="312"/>
      <c r="P660" s="312"/>
      <c r="S660" s="2">
        <f t="shared" si="5"/>
        <v>0</v>
      </c>
      <c r="AA660" s="312"/>
      <c r="AB660" s="312"/>
      <c r="AC660" s="312"/>
      <c r="AD660" s="312"/>
    </row>
    <row r="661">
      <c r="A661" s="312"/>
      <c r="B661" s="344">
        <f t="shared" si="1"/>
        <v>2045</v>
      </c>
      <c r="C661" s="344">
        <v>90.0</v>
      </c>
      <c r="D661" s="369"/>
      <c r="E661" s="344" t="str">
        <f t="shared" si="2"/>
        <v>Saturday</v>
      </c>
      <c r="F661" s="344" t="s">
        <v>554</v>
      </c>
      <c r="G661" s="370"/>
      <c r="H661" s="370"/>
      <c r="I661" s="357">
        <f t="shared" si="3"/>
        <v>0</v>
      </c>
      <c r="J661" s="346">
        <f t="shared" si="4"/>
        <v>0</v>
      </c>
      <c r="K661" s="312"/>
      <c r="L661" s="312"/>
      <c r="M661" s="312"/>
      <c r="N661" s="362"/>
      <c r="O661" s="312"/>
      <c r="P661" s="312"/>
      <c r="S661" s="2">
        <f t="shared" si="5"/>
        <v>0</v>
      </c>
      <c r="AA661" s="312"/>
      <c r="AB661" s="312"/>
      <c r="AC661" s="312"/>
      <c r="AD661" s="312"/>
    </row>
    <row r="662">
      <c r="A662" s="312"/>
      <c r="B662" s="344">
        <f t="shared" si="1"/>
        <v>2045</v>
      </c>
      <c r="C662" s="344">
        <v>90.0</v>
      </c>
      <c r="D662" s="369"/>
      <c r="E662" s="344" t="str">
        <f t="shared" si="2"/>
        <v>Saturday</v>
      </c>
      <c r="F662" s="344" t="s">
        <v>554</v>
      </c>
      <c r="G662" s="370"/>
      <c r="H662" s="370"/>
      <c r="I662" s="357">
        <f t="shared" si="3"/>
        <v>0</v>
      </c>
      <c r="J662" s="346">
        <f t="shared" si="4"/>
        <v>0</v>
      </c>
      <c r="K662" s="312"/>
      <c r="L662" s="312"/>
      <c r="M662" s="312"/>
      <c r="N662" s="362"/>
      <c r="O662" s="312"/>
      <c r="P662" s="312"/>
      <c r="S662" s="2">
        <f t="shared" si="5"/>
        <v>0</v>
      </c>
      <c r="AA662" s="312"/>
      <c r="AB662" s="312"/>
      <c r="AC662" s="312"/>
      <c r="AD662" s="312"/>
    </row>
    <row r="663">
      <c r="A663" s="312"/>
      <c r="B663" s="344">
        <f t="shared" si="1"/>
        <v>2045</v>
      </c>
      <c r="C663" s="344">
        <v>90.0</v>
      </c>
      <c r="D663" s="369"/>
      <c r="E663" s="344" t="str">
        <f t="shared" si="2"/>
        <v>Saturday</v>
      </c>
      <c r="F663" s="344" t="s">
        <v>554</v>
      </c>
      <c r="G663" s="370"/>
      <c r="H663" s="370"/>
      <c r="I663" s="357">
        <f t="shared" si="3"/>
        <v>0</v>
      </c>
      <c r="J663" s="346">
        <f t="shared" si="4"/>
        <v>0</v>
      </c>
      <c r="K663" s="312"/>
      <c r="L663" s="312"/>
      <c r="M663" s="312"/>
      <c r="N663" s="362"/>
      <c r="O663" s="312"/>
      <c r="P663" s="312"/>
      <c r="S663" s="2">
        <f t="shared" si="5"/>
        <v>0</v>
      </c>
      <c r="AA663" s="312"/>
      <c r="AB663" s="312"/>
      <c r="AC663" s="312"/>
      <c r="AD663" s="312"/>
    </row>
    <row r="664">
      <c r="A664" s="312"/>
      <c r="B664" s="344">
        <f t="shared" si="1"/>
        <v>2045</v>
      </c>
      <c r="C664" s="344">
        <v>90.0</v>
      </c>
      <c r="D664" s="369"/>
      <c r="E664" s="344" t="str">
        <f t="shared" si="2"/>
        <v>Saturday</v>
      </c>
      <c r="F664" s="344" t="s">
        <v>554</v>
      </c>
      <c r="G664" s="370"/>
      <c r="H664" s="370"/>
      <c r="I664" s="357">
        <f t="shared" si="3"/>
        <v>0</v>
      </c>
      <c r="J664" s="346">
        <f t="shared" si="4"/>
        <v>0</v>
      </c>
      <c r="K664" s="312"/>
      <c r="L664" s="312"/>
      <c r="M664" s="312"/>
      <c r="N664" s="362"/>
      <c r="O664" s="312"/>
      <c r="P664" s="312"/>
      <c r="S664" s="2">
        <f t="shared" si="5"/>
        <v>0</v>
      </c>
      <c r="AA664" s="312"/>
      <c r="AB664" s="312"/>
      <c r="AC664" s="312"/>
      <c r="AD664" s="312"/>
    </row>
    <row r="665">
      <c r="A665" s="312"/>
      <c r="B665" s="344">
        <f t="shared" si="1"/>
        <v>2045</v>
      </c>
      <c r="C665" s="344">
        <v>90.0</v>
      </c>
      <c r="D665" s="369"/>
      <c r="E665" s="344" t="str">
        <f t="shared" si="2"/>
        <v>Saturday</v>
      </c>
      <c r="F665" s="344" t="s">
        <v>554</v>
      </c>
      <c r="G665" s="370"/>
      <c r="H665" s="370"/>
      <c r="I665" s="357">
        <f t="shared" si="3"/>
        <v>0</v>
      </c>
      <c r="J665" s="346">
        <f t="shared" si="4"/>
        <v>0</v>
      </c>
      <c r="K665" s="312"/>
      <c r="L665" s="312"/>
      <c r="M665" s="312"/>
      <c r="N665" s="362"/>
      <c r="O665" s="312"/>
      <c r="P665" s="312"/>
      <c r="S665" s="2">
        <f t="shared" si="5"/>
        <v>0</v>
      </c>
      <c r="AA665" s="312"/>
      <c r="AB665" s="312"/>
      <c r="AC665" s="312"/>
      <c r="AD665" s="312"/>
    </row>
    <row r="666">
      <c r="A666" s="312"/>
      <c r="B666" s="344">
        <f t="shared" si="1"/>
        <v>2045</v>
      </c>
      <c r="C666" s="344">
        <v>90.0</v>
      </c>
      <c r="D666" s="369"/>
      <c r="E666" s="344" t="str">
        <f t="shared" si="2"/>
        <v>Saturday</v>
      </c>
      <c r="F666" s="344" t="s">
        <v>554</v>
      </c>
      <c r="G666" s="370"/>
      <c r="H666" s="370"/>
      <c r="I666" s="357">
        <f t="shared" si="3"/>
        <v>0</v>
      </c>
      <c r="J666" s="346">
        <f t="shared" si="4"/>
        <v>0</v>
      </c>
      <c r="K666" s="312"/>
      <c r="L666" s="312"/>
      <c r="M666" s="312"/>
      <c r="N666" s="362"/>
      <c r="O666" s="312"/>
      <c r="P666" s="312"/>
      <c r="S666" s="2">
        <f t="shared" si="5"/>
        <v>0</v>
      </c>
      <c r="AA666" s="312"/>
      <c r="AB666" s="312"/>
      <c r="AC666" s="312"/>
      <c r="AD666" s="312"/>
    </row>
    <row r="667">
      <c r="A667" s="312"/>
      <c r="B667" s="344">
        <f t="shared" si="1"/>
        <v>2045</v>
      </c>
      <c r="C667" s="344">
        <v>90.0</v>
      </c>
      <c r="D667" s="369"/>
      <c r="E667" s="344" t="str">
        <f t="shared" si="2"/>
        <v>Saturday</v>
      </c>
      <c r="F667" s="344" t="s">
        <v>554</v>
      </c>
      <c r="G667" s="370"/>
      <c r="H667" s="370"/>
      <c r="I667" s="357">
        <f t="shared" si="3"/>
        <v>0</v>
      </c>
      <c r="J667" s="346">
        <f t="shared" si="4"/>
        <v>0</v>
      </c>
      <c r="K667" s="312"/>
      <c r="L667" s="312"/>
      <c r="M667" s="312"/>
      <c r="N667" s="362"/>
      <c r="O667" s="312"/>
      <c r="P667" s="312"/>
      <c r="S667" s="2">
        <f t="shared" si="5"/>
        <v>0</v>
      </c>
      <c r="AA667" s="312"/>
      <c r="AB667" s="312"/>
      <c r="AC667" s="312"/>
      <c r="AD667" s="312"/>
    </row>
    <row r="668">
      <c r="A668" s="312"/>
      <c r="B668" s="344">
        <f t="shared" si="1"/>
        <v>2045</v>
      </c>
      <c r="C668" s="344">
        <v>90.0</v>
      </c>
      <c r="D668" s="369"/>
      <c r="E668" s="344" t="str">
        <f t="shared" si="2"/>
        <v>Saturday</v>
      </c>
      <c r="F668" s="344" t="s">
        <v>554</v>
      </c>
      <c r="G668" s="370"/>
      <c r="H668" s="370"/>
      <c r="I668" s="357">
        <f t="shared" si="3"/>
        <v>0</v>
      </c>
      <c r="J668" s="346">
        <f t="shared" si="4"/>
        <v>0</v>
      </c>
      <c r="K668" s="312"/>
      <c r="L668" s="312"/>
      <c r="M668" s="312"/>
      <c r="N668" s="362"/>
      <c r="O668" s="312"/>
      <c r="P668" s="312"/>
      <c r="S668" s="2">
        <f t="shared" si="5"/>
        <v>0</v>
      </c>
      <c r="AA668" s="312"/>
      <c r="AB668" s="312"/>
      <c r="AC668" s="312"/>
      <c r="AD668" s="312"/>
    </row>
    <row r="669">
      <c r="A669" s="312"/>
      <c r="B669" s="344">
        <f t="shared" si="1"/>
        <v>2045</v>
      </c>
      <c r="C669" s="344">
        <v>90.0</v>
      </c>
      <c r="D669" s="369"/>
      <c r="E669" s="344" t="str">
        <f t="shared" si="2"/>
        <v>Saturday</v>
      </c>
      <c r="F669" s="344" t="s">
        <v>554</v>
      </c>
      <c r="G669" s="370"/>
      <c r="H669" s="370"/>
      <c r="I669" s="357">
        <f t="shared" si="3"/>
        <v>0</v>
      </c>
      <c r="J669" s="346">
        <f t="shared" si="4"/>
        <v>0</v>
      </c>
      <c r="K669" s="312"/>
      <c r="L669" s="312"/>
      <c r="M669" s="312"/>
      <c r="N669" s="362"/>
      <c r="O669" s="312"/>
      <c r="P669" s="312"/>
      <c r="S669" s="2">
        <f t="shared" si="5"/>
        <v>0</v>
      </c>
      <c r="AA669" s="312"/>
      <c r="AB669" s="312"/>
      <c r="AC669" s="312"/>
      <c r="AD669" s="312"/>
    </row>
    <row r="670">
      <c r="A670" s="312"/>
      <c r="B670" s="344">
        <f t="shared" si="1"/>
        <v>2045</v>
      </c>
      <c r="C670" s="344">
        <v>90.0</v>
      </c>
      <c r="D670" s="369"/>
      <c r="E670" s="344" t="str">
        <f t="shared" si="2"/>
        <v>Saturday</v>
      </c>
      <c r="F670" s="344" t="s">
        <v>554</v>
      </c>
      <c r="G670" s="370"/>
      <c r="H670" s="370"/>
      <c r="I670" s="357">
        <f t="shared" si="3"/>
        <v>0</v>
      </c>
      <c r="J670" s="346">
        <f t="shared" si="4"/>
        <v>0</v>
      </c>
      <c r="K670" s="312"/>
      <c r="L670" s="312"/>
      <c r="M670" s="312"/>
      <c r="N670" s="362"/>
      <c r="O670" s="312"/>
      <c r="P670" s="312"/>
      <c r="S670" s="2">
        <f t="shared" si="5"/>
        <v>0</v>
      </c>
      <c r="AA670" s="312"/>
      <c r="AB670" s="312"/>
      <c r="AC670" s="312"/>
      <c r="AD670" s="312"/>
    </row>
    <row r="671">
      <c r="A671" s="312"/>
      <c r="B671" s="344">
        <f t="shared" si="1"/>
        <v>2045</v>
      </c>
      <c r="C671" s="344">
        <v>90.0</v>
      </c>
      <c r="D671" s="369"/>
      <c r="E671" s="344" t="str">
        <f t="shared" si="2"/>
        <v>Saturday</v>
      </c>
      <c r="F671" s="344" t="s">
        <v>554</v>
      </c>
      <c r="G671" s="370"/>
      <c r="H671" s="370"/>
      <c r="I671" s="357">
        <f t="shared" si="3"/>
        <v>0</v>
      </c>
      <c r="J671" s="346">
        <f t="shared" si="4"/>
        <v>0</v>
      </c>
      <c r="K671" s="312"/>
      <c r="L671" s="312"/>
      <c r="M671" s="312"/>
      <c r="N671" s="362"/>
      <c r="O671" s="312"/>
      <c r="P671" s="312"/>
      <c r="S671" s="2">
        <f t="shared" si="5"/>
        <v>0</v>
      </c>
      <c r="AA671" s="312"/>
      <c r="AB671" s="312"/>
      <c r="AC671" s="312"/>
      <c r="AD671" s="312"/>
    </row>
    <row r="672">
      <c r="A672" s="312"/>
      <c r="B672" s="344">
        <f t="shared" si="1"/>
        <v>2045</v>
      </c>
      <c r="C672" s="344">
        <v>90.0</v>
      </c>
      <c r="D672" s="369"/>
      <c r="E672" s="344" t="str">
        <f t="shared" si="2"/>
        <v>Saturday</v>
      </c>
      <c r="F672" s="344" t="s">
        <v>554</v>
      </c>
      <c r="G672" s="370"/>
      <c r="H672" s="370"/>
      <c r="I672" s="357">
        <f t="shared" si="3"/>
        <v>0</v>
      </c>
      <c r="J672" s="346">
        <f t="shared" si="4"/>
        <v>0</v>
      </c>
      <c r="K672" s="312"/>
      <c r="L672" s="312"/>
      <c r="M672" s="312"/>
      <c r="N672" s="362"/>
      <c r="O672" s="312"/>
      <c r="P672" s="312"/>
      <c r="S672" s="2">
        <f t="shared" si="5"/>
        <v>0</v>
      </c>
      <c r="AA672" s="312"/>
      <c r="AB672" s="312"/>
      <c r="AC672" s="312"/>
      <c r="AD672" s="312"/>
    </row>
    <row r="673">
      <c r="A673" s="312"/>
      <c r="B673" s="344">
        <f t="shared" si="1"/>
        <v>2045</v>
      </c>
      <c r="C673" s="344">
        <v>90.0</v>
      </c>
      <c r="D673" s="369"/>
      <c r="E673" s="344" t="str">
        <f t="shared" si="2"/>
        <v>Saturday</v>
      </c>
      <c r="F673" s="344" t="s">
        <v>554</v>
      </c>
      <c r="G673" s="370"/>
      <c r="H673" s="370"/>
      <c r="I673" s="357">
        <f t="shared" si="3"/>
        <v>0</v>
      </c>
      <c r="J673" s="346">
        <f t="shared" si="4"/>
        <v>0</v>
      </c>
      <c r="K673" s="312"/>
      <c r="L673" s="312"/>
      <c r="M673" s="312"/>
      <c r="N673" s="362"/>
      <c r="O673" s="312"/>
      <c r="P673" s="312"/>
      <c r="S673" s="2">
        <f t="shared" si="5"/>
        <v>0</v>
      </c>
      <c r="AA673" s="312"/>
      <c r="AB673" s="312"/>
      <c r="AC673" s="312"/>
      <c r="AD673" s="312"/>
    </row>
    <row r="674">
      <c r="A674" s="312"/>
      <c r="B674" s="344">
        <f t="shared" si="1"/>
        <v>2045</v>
      </c>
      <c r="C674" s="344">
        <v>90.0</v>
      </c>
      <c r="D674" s="369"/>
      <c r="E674" s="344" t="str">
        <f t="shared" si="2"/>
        <v>Saturday</v>
      </c>
      <c r="F674" s="344" t="s">
        <v>554</v>
      </c>
      <c r="G674" s="370"/>
      <c r="H674" s="370"/>
      <c r="I674" s="357">
        <f t="shared" si="3"/>
        <v>0</v>
      </c>
      <c r="J674" s="346">
        <f t="shared" si="4"/>
        <v>0</v>
      </c>
      <c r="K674" s="312"/>
      <c r="L674" s="312"/>
      <c r="M674" s="312"/>
      <c r="N674" s="362"/>
      <c r="O674" s="312"/>
      <c r="P674" s="312"/>
      <c r="S674" s="2">
        <f t="shared" si="5"/>
        <v>0</v>
      </c>
      <c r="AA674" s="312"/>
      <c r="AB674" s="312"/>
      <c r="AC674" s="312"/>
      <c r="AD674" s="312"/>
    </row>
    <row r="675">
      <c r="A675" s="312"/>
      <c r="B675" s="344">
        <f t="shared" si="1"/>
        <v>2045</v>
      </c>
      <c r="C675" s="344">
        <v>90.0</v>
      </c>
      <c r="D675" s="369"/>
      <c r="E675" s="344" t="str">
        <f t="shared" si="2"/>
        <v>Saturday</v>
      </c>
      <c r="F675" s="344" t="s">
        <v>554</v>
      </c>
      <c r="G675" s="370"/>
      <c r="H675" s="370"/>
      <c r="I675" s="357">
        <f t="shared" si="3"/>
        <v>0</v>
      </c>
      <c r="J675" s="346">
        <f t="shared" si="4"/>
        <v>0</v>
      </c>
      <c r="K675" s="312"/>
      <c r="L675" s="312"/>
      <c r="M675" s="312"/>
      <c r="N675" s="362"/>
      <c r="O675" s="312"/>
      <c r="P675" s="312"/>
      <c r="S675" s="2">
        <f t="shared" si="5"/>
        <v>0</v>
      </c>
      <c r="AA675" s="312"/>
      <c r="AB675" s="312"/>
      <c r="AC675" s="312"/>
      <c r="AD675" s="312"/>
    </row>
    <row r="676">
      <c r="A676" s="312"/>
      <c r="B676" s="344">
        <f t="shared" si="1"/>
        <v>2045</v>
      </c>
      <c r="C676" s="344">
        <v>90.0</v>
      </c>
      <c r="D676" s="369"/>
      <c r="E676" s="344" t="str">
        <f t="shared" si="2"/>
        <v>Saturday</v>
      </c>
      <c r="F676" s="344" t="s">
        <v>554</v>
      </c>
      <c r="G676" s="370"/>
      <c r="H676" s="370"/>
      <c r="I676" s="357">
        <f t="shared" si="3"/>
        <v>0</v>
      </c>
      <c r="J676" s="346">
        <f t="shared" si="4"/>
        <v>0</v>
      </c>
      <c r="K676" s="312"/>
      <c r="L676" s="312"/>
      <c r="M676" s="312"/>
      <c r="N676" s="362"/>
      <c r="O676" s="312"/>
      <c r="P676" s="312"/>
      <c r="S676" s="2">
        <f t="shared" si="5"/>
        <v>0</v>
      </c>
      <c r="AA676" s="312"/>
      <c r="AB676" s="312"/>
      <c r="AC676" s="312"/>
      <c r="AD676" s="312"/>
    </row>
    <row r="677">
      <c r="A677" s="312"/>
      <c r="B677" s="344">
        <f t="shared" si="1"/>
        <v>2045</v>
      </c>
      <c r="C677" s="344">
        <v>90.0</v>
      </c>
      <c r="D677" s="369"/>
      <c r="E677" s="344" t="str">
        <f t="shared" si="2"/>
        <v>Saturday</v>
      </c>
      <c r="F677" s="344" t="s">
        <v>554</v>
      </c>
      <c r="G677" s="370"/>
      <c r="H677" s="370"/>
      <c r="I677" s="357">
        <f t="shared" si="3"/>
        <v>0</v>
      </c>
      <c r="J677" s="346">
        <f t="shared" si="4"/>
        <v>0</v>
      </c>
      <c r="K677" s="312"/>
      <c r="L677" s="312"/>
      <c r="M677" s="312"/>
      <c r="N677" s="362"/>
      <c r="O677" s="312"/>
      <c r="P677" s="312"/>
      <c r="S677" s="2">
        <f t="shared" si="5"/>
        <v>0</v>
      </c>
      <c r="AA677" s="312"/>
      <c r="AB677" s="312"/>
      <c r="AC677" s="312"/>
      <c r="AD677" s="312"/>
    </row>
    <row r="678">
      <c r="A678" s="312"/>
      <c r="B678" s="344">
        <f t="shared" si="1"/>
        <v>2045</v>
      </c>
      <c r="C678" s="344">
        <v>90.0</v>
      </c>
      <c r="D678" s="369"/>
      <c r="E678" s="344" t="str">
        <f t="shared" si="2"/>
        <v>Saturday</v>
      </c>
      <c r="F678" s="344" t="s">
        <v>554</v>
      </c>
      <c r="G678" s="370"/>
      <c r="H678" s="370"/>
      <c r="I678" s="357">
        <f t="shared" si="3"/>
        <v>0</v>
      </c>
      <c r="J678" s="346">
        <f t="shared" si="4"/>
        <v>0</v>
      </c>
      <c r="K678" s="312"/>
      <c r="L678" s="312"/>
      <c r="M678" s="312"/>
      <c r="N678" s="362"/>
      <c r="O678" s="312"/>
      <c r="P678" s="312"/>
      <c r="S678" s="2">
        <f t="shared" si="5"/>
        <v>0</v>
      </c>
      <c r="AA678" s="312"/>
      <c r="AB678" s="312"/>
      <c r="AC678" s="312"/>
      <c r="AD678" s="312"/>
    </row>
    <row r="679">
      <c r="A679" s="312"/>
      <c r="B679" s="344">
        <f t="shared" si="1"/>
        <v>2045</v>
      </c>
      <c r="C679" s="344">
        <v>90.0</v>
      </c>
      <c r="D679" s="369"/>
      <c r="E679" s="344" t="str">
        <f t="shared" si="2"/>
        <v>Saturday</v>
      </c>
      <c r="F679" s="344" t="s">
        <v>554</v>
      </c>
      <c r="G679" s="370"/>
      <c r="H679" s="370"/>
      <c r="I679" s="357">
        <f t="shared" si="3"/>
        <v>0</v>
      </c>
      <c r="J679" s="346">
        <f t="shared" si="4"/>
        <v>0</v>
      </c>
      <c r="K679" s="312"/>
      <c r="L679" s="312"/>
      <c r="M679" s="312"/>
      <c r="N679" s="362"/>
      <c r="O679" s="312"/>
      <c r="P679" s="312"/>
      <c r="S679" s="2">
        <f t="shared" si="5"/>
        <v>0</v>
      </c>
      <c r="AA679" s="312"/>
      <c r="AB679" s="312"/>
      <c r="AC679" s="312"/>
      <c r="AD679" s="312"/>
    </row>
    <row r="680">
      <c r="A680" s="312"/>
      <c r="B680" s="344">
        <f t="shared" si="1"/>
        <v>2045</v>
      </c>
      <c r="C680" s="344">
        <v>90.0</v>
      </c>
      <c r="D680" s="369"/>
      <c r="E680" s="344" t="str">
        <f t="shared" si="2"/>
        <v>Saturday</v>
      </c>
      <c r="F680" s="344" t="s">
        <v>554</v>
      </c>
      <c r="G680" s="370"/>
      <c r="H680" s="370"/>
      <c r="I680" s="357">
        <f t="shared" si="3"/>
        <v>0</v>
      </c>
      <c r="J680" s="346">
        <f t="shared" si="4"/>
        <v>0</v>
      </c>
      <c r="K680" s="312"/>
      <c r="L680" s="312"/>
      <c r="M680" s="312"/>
      <c r="N680" s="362"/>
      <c r="O680" s="312"/>
      <c r="P680" s="312"/>
      <c r="S680" s="2">
        <f t="shared" si="5"/>
        <v>0</v>
      </c>
      <c r="AA680" s="312"/>
      <c r="AB680" s="312"/>
      <c r="AC680" s="312"/>
      <c r="AD680" s="312"/>
    </row>
    <row r="681">
      <c r="A681" s="312"/>
      <c r="B681" s="344">
        <f t="shared" si="1"/>
        <v>2045</v>
      </c>
      <c r="C681" s="344">
        <v>90.0</v>
      </c>
      <c r="D681" s="369"/>
      <c r="E681" s="344" t="str">
        <f t="shared" si="2"/>
        <v>Saturday</v>
      </c>
      <c r="F681" s="344" t="s">
        <v>554</v>
      </c>
      <c r="G681" s="370"/>
      <c r="H681" s="370"/>
      <c r="I681" s="357">
        <f t="shared" si="3"/>
        <v>0</v>
      </c>
      <c r="J681" s="346">
        <f t="shared" si="4"/>
        <v>0</v>
      </c>
      <c r="K681" s="312"/>
      <c r="L681" s="312"/>
      <c r="M681" s="312"/>
      <c r="N681" s="362"/>
      <c r="O681" s="312"/>
      <c r="P681" s="312"/>
      <c r="S681" s="2">
        <f t="shared" si="5"/>
        <v>0</v>
      </c>
      <c r="AA681" s="312"/>
      <c r="AB681" s="312"/>
      <c r="AC681" s="312"/>
      <c r="AD681" s="312"/>
    </row>
    <row r="682">
      <c r="A682" s="312"/>
      <c r="B682" s="344">
        <f t="shared" si="1"/>
        <v>2045</v>
      </c>
      <c r="C682" s="344">
        <v>90.0</v>
      </c>
      <c r="D682" s="369"/>
      <c r="E682" s="344" t="str">
        <f t="shared" si="2"/>
        <v>Saturday</v>
      </c>
      <c r="F682" s="344" t="s">
        <v>554</v>
      </c>
      <c r="G682" s="370"/>
      <c r="H682" s="370"/>
      <c r="I682" s="357">
        <f t="shared" si="3"/>
        <v>0</v>
      </c>
      <c r="J682" s="346">
        <f t="shared" si="4"/>
        <v>0</v>
      </c>
      <c r="K682" s="312"/>
      <c r="L682" s="312"/>
      <c r="M682" s="312"/>
      <c r="N682" s="362"/>
      <c r="O682" s="312"/>
      <c r="P682" s="312"/>
      <c r="S682" s="2">
        <f t="shared" si="5"/>
        <v>0</v>
      </c>
      <c r="AA682" s="312"/>
      <c r="AB682" s="312"/>
      <c r="AC682" s="312"/>
      <c r="AD682" s="312"/>
    </row>
    <row r="683">
      <c r="A683" s="312"/>
      <c r="B683" s="344">
        <f t="shared" si="1"/>
        <v>2045</v>
      </c>
      <c r="C683" s="344">
        <v>90.0</v>
      </c>
      <c r="D683" s="369"/>
      <c r="E683" s="344" t="str">
        <f t="shared" si="2"/>
        <v>Saturday</v>
      </c>
      <c r="F683" s="344" t="s">
        <v>554</v>
      </c>
      <c r="G683" s="370"/>
      <c r="H683" s="370"/>
      <c r="I683" s="357">
        <f t="shared" si="3"/>
        <v>0</v>
      </c>
      <c r="J683" s="346">
        <f t="shared" si="4"/>
        <v>0</v>
      </c>
      <c r="K683" s="312"/>
      <c r="L683" s="312"/>
      <c r="M683" s="312"/>
      <c r="N683" s="362"/>
      <c r="O683" s="312"/>
      <c r="P683" s="312"/>
      <c r="S683" s="2">
        <f t="shared" si="5"/>
        <v>0</v>
      </c>
      <c r="AA683" s="312"/>
      <c r="AB683" s="312"/>
      <c r="AC683" s="312"/>
      <c r="AD683" s="312"/>
    </row>
    <row r="684">
      <c r="A684" s="312"/>
      <c r="B684" s="344">
        <f t="shared" si="1"/>
        <v>2045</v>
      </c>
      <c r="C684" s="344">
        <v>90.0</v>
      </c>
      <c r="D684" s="369"/>
      <c r="E684" s="344" t="str">
        <f t="shared" si="2"/>
        <v>Saturday</v>
      </c>
      <c r="F684" s="344" t="s">
        <v>554</v>
      </c>
      <c r="G684" s="370"/>
      <c r="H684" s="370"/>
      <c r="I684" s="357">
        <f t="shared" si="3"/>
        <v>0</v>
      </c>
      <c r="J684" s="346">
        <f t="shared" si="4"/>
        <v>0</v>
      </c>
      <c r="K684" s="312"/>
      <c r="L684" s="312"/>
      <c r="M684" s="312"/>
      <c r="N684" s="362"/>
      <c r="O684" s="312"/>
      <c r="P684" s="312"/>
      <c r="S684" s="2">
        <f t="shared" si="5"/>
        <v>0</v>
      </c>
      <c r="AA684" s="312"/>
      <c r="AB684" s="312"/>
      <c r="AC684" s="312"/>
      <c r="AD684" s="312"/>
    </row>
    <row r="685">
      <c r="A685" s="312"/>
      <c r="B685" s="344">
        <f t="shared" si="1"/>
        <v>2045</v>
      </c>
      <c r="C685" s="344">
        <v>90.0</v>
      </c>
      <c r="D685" s="369"/>
      <c r="E685" s="344" t="str">
        <f t="shared" si="2"/>
        <v>Saturday</v>
      </c>
      <c r="F685" s="344" t="s">
        <v>554</v>
      </c>
      <c r="G685" s="370"/>
      <c r="H685" s="370"/>
      <c r="I685" s="357">
        <f t="shared" si="3"/>
        <v>0</v>
      </c>
      <c r="J685" s="346">
        <f t="shared" si="4"/>
        <v>0</v>
      </c>
      <c r="K685" s="312"/>
      <c r="L685" s="312"/>
      <c r="M685" s="312"/>
      <c r="N685" s="362"/>
      <c r="O685" s="312"/>
      <c r="P685" s="312"/>
      <c r="S685" s="2">
        <f t="shared" si="5"/>
        <v>0</v>
      </c>
      <c r="AA685" s="312"/>
      <c r="AB685" s="312"/>
      <c r="AC685" s="312"/>
      <c r="AD685" s="312"/>
    </row>
    <row r="686">
      <c r="A686" s="312"/>
      <c r="B686" s="344">
        <f t="shared" si="1"/>
        <v>2045</v>
      </c>
      <c r="C686" s="344">
        <v>90.0</v>
      </c>
      <c r="D686" s="369"/>
      <c r="E686" s="344" t="str">
        <f t="shared" si="2"/>
        <v>Saturday</v>
      </c>
      <c r="F686" s="344" t="s">
        <v>554</v>
      </c>
      <c r="G686" s="370"/>
      <c r="H686" s="370"/>
      <c r="I686" s="357">
        <f t="shared" si="3"/>
        <v>0</v>
      </c>
      <c r="J686" s="346">
        <f t="shared" si="4"/>
        <v>0</v>
      </c>
      <c r="K686" s="312"/>
      <c r="L686" s="312"/>
      <c r="M686" s="312"/>
      <c r="N686" s="362"/>
      <c r="O686" s="312"/>
      <c r="P686" s="312"/>
      <c r="S686" s="2">
        <f t="shared" si="5"/>
        <v>0</v>
      </c>
      <c r="AA686" s="312"/>
      <c r="AB686" s="312"/>
      <c r="AC686" s="312"/>
      <c r="AD686" s="312"/>
    </row>
    <row r="687">
      <c r="A687" s="312"/>
      <c r="B687" s="344">
        <f t="shared" si="1"/>
        <v>2045</v>
      </c>
      <c r="C687" s="344">
        <v>90.0</v>
      </c>
      <c r="D687" s="369"/>
      <c r="E687" s="344" t="str">
        <f t="shared" si="2"/>
        <v>Saturday</v>
      </c>
      <c r="F687" s="344" t="s">
        <v>554</v>
      </c>
      <c r="G687" s="370"/>
      <c r="H687" s="370"/>
      <c r="I687" s="357">
        <f t="shared" si="3"/>
        <v>0</v>
      </c>
      <c r="J687" s="346">
        <f t="shared" si="4"/>
        <v>0</v>
      </c>
      <c r="K687" s="312"/>
      <c r="L687" s="312"/>
      <c r="M687" s="312"/>
      <c r="N687" s="362"/>
      <c r="O687" s="312"/>
      <c r="P687" s="312"/>
      <c r="S687" s="2">
        <f t="shared" si="5"/>
        <v>0</v>
      </c>
      <c r="AA687" s="312"/>
      <c r="AB687" s="312"/>
      <c r="AC687" s="312"/>
      <c r="AD687" s="312"/>
    </row>
    <row r="688">
      <c r="A688" s="312"/>
      <c r="B688" s="344">
        <f t="shared" si="1"/>
        <v>2045</v>
      </c>
      <c r="C688" s="344">
        <v>90.0</v>
      </c>
      <c r="D688" s="369"/>
      <c r="E688" s="344" t="str">
        <f t="shared" si="2"/>
        <v>Saturday</v>
      </c>
      <c r="F688" s="344" t="s">
        <v>554</v>
      </c>
      <c r="G688" s="370"/>
      <c r="H688" s="370"/>
      <c r="I688" s="357">
        <f t="shared" si="3"/>
        <v>0</v>
      </c>
      <c r="J688" s="346">
        <f t="shared" si="4"/>
        <v>0</v>
      </c>
      <c r="K688" s="312"/>
      <c r="L688" s="312"/>
      <c r="M688" s="312"/>
      <c r="N688" s="362"/>
      <c r="O688" s="312"/>
      <c r="P688" s="312"/>
      <c r="S688" s="2">
        <f t="shared" si="5"/>
        <v>0</v>
      </c>
      <c r="AA688" s="312"/>
      <c r="AB688" s="312"/>
      <c r="AC688" s="312"/>
      <c r="AD688" s="312"/>
    </row>
    <row r="689">
      <c r="A689" s="312"/>
      <c r="B689" s="344">
        <f t="shared" si="1"/>
        <v>2045</v>
      </c>
      <c r="C689" s="344">
        <v>90.0</v>
      </c>
      <c r="D689" s="369"/>
      <c r="E689" s="344" t="str">
        <f t="shared" si="2"/>
        <v>Saturday</v>
      </c>
      <c r="F689" s="344" t="s">
        <v>554</v>
      </c>
      <c r="G689" s="370"/>
      <c r="H689" s="370"/>
      <c r="I689" s="357">
        <f t="shared" si="3"/>
        <v>0</v>
      </c>
      <c r="J689" s="346">
        <f t="shared" si="4"/>
        <v>0</v>
      </c>
      <c r="K689" s="312"/>
      <c r="L689" s="312"/>
      <c r="M689" s="312"/>
      <c r="N689" s="362"/>
      <c r="O689" s="312"/>
      <c r="P689" s="312"/>
      <c r="S689" s="2">
        <f t="shared" si="5"/>
        <v>0</v>
      </c>
      <c r="AA689" s="312"/>
      <c r="AB689" s="312"/>
      <c r="AC689" s="312"/>
      <c r="AD689" s="312"/>
    </row>
    <row r="690">
      <c r="A690" s="312"/>
      <c r="B690" s="344">
        <f t="shared" si="1"/>
        <v>2045</v>
      </c>
      <c r="C690" s="344">
        <v>90.0</v>
      </c>
      <c r="D690" s="369"/>
      <c r="E690" s="344" t="str">
        <f t="shared" si="2"/>
        <v>Saturday</v>
      </c>
      <c r="F690" s="344" t="s">
        <v>554</v>
      </c>
      <c r="G690" s="370"/>
      <c r="H690" s="370"/>
      <c r="I690" s="357">
        <f t="shared" si="3"/>
        <v>0</v>
      </c>
      <c r="J690" s="346">
        <f t="shared" si="4"/>
        <v>0</v>
      </c>
      <c r="K690" s="312"/>
      <c r="L690" s="312"/>
      <c r="M690" s="312"/>
      <c r="N690" s="362"/>
      <c r="O690" s="312"/>
      <c r="P690" s="312"/>
      <c r="S690" s="2">
        <f t="shared" si="5"/>
        <v>0</v>
      </c>
      <c r="AA690" s="312"/>
      <c r="AB690" s="312"/>
      <c r="AC690" s="312"/>
      <c r="AD690" s="312"/>
    </row>
    <row r="691">
      <c r="A691" s="312"/>
      <c r="B691" s="344">
        <f t="shared" si="1"/>
        <v>2045</v>
      </c>
      <c r="C691" s="344">
        <v>90.0</v>
      </c>
      <c r="D691" s="369"/>
      <c r="E691" s="344" t="str">
        <f t="shared" si="2"/>
        <v>Saturday</v>
      </c>
      <c r="F691" s="344" t="s">
        <v>554</v>
      </c>
      <c r="G691" s="370"/>
      <c r="H691" s="370"/>
      <c r="I691" s="357">
        <f t="shared" si="3"/>
        <v>0</v>
      </c>
      <c r="J691" s="346">
        <f t="shared" si="4"/>
        <v>0</v>
      </c>
      <c r="K691" s="312"/>
      <c r="L691" s="312"/>
      <c r="M691" s="312"/>
      <c r="N691" s="362"/>
      <c r="O691" s="312"/>
      <c r="P691" s="312"/>
      <c r="S691" s="2">
        <f t="shared" si="5"/>
        <v>0</v>
      </c>
      <c r="AA691" s="312"/>
      <c r="AB691" s="312"/>
      <c r="AC691" s="312"/>
      <c r="AD691" s="312"/>
    </row>
    <row r="692">
      <c r="A692" s="312"/>
      <c r="B692" s="344">
        <f t="shared" si="1"/>
        <v>2045</v>
      </c>
      <c r="C692" s="344">
        <v>90.0</v>
      </c>
      <c r="D692" s="369"/>
      <c r="E692" s="344" t="str">
        <f t="shared" si="2"/>
        <v>Saturday</v>
      </c>
      <c r="F692" s="344" t="s">
        <v>554</v>
      </c>
      <c r="G692" s="370"/>
      <c r="H692" s="370"/>
      <c r="I692" s="357">
        <f t="shared" si="3"/>
        <v>0</v>
      </c>
      <c r="J692" s="346">
        <f t="shared" si="4"/>
        <v>0</v>
      </c>
      <c r="K692" s="312"/>
      <c r="L692" s="312"/>
      <c r="M692" s="312"/>
      <c r="N692" s="362"/>
      <c r="O692" s="312"/>
      <c r="P692" s="312"/>
      <c r="S692" s="2">
        <f t="shared" si="5"/>
        <v>0</v>
      </c>
      <c r="AA692" s="312"/>
      <c r="AB692" s="312"/>
      <c r="AC692" s="312"/>
      <c r="AD692" s="312"/>
    </row>
    <row r="693">
      <c r="A693" s="312"/>
      <c r="B693" s="344">
        <f t="shared" si="1"/>
        <v>2045</v>
      </c>
      <c r="C693" s="344">
        <v>90.0</v>
      </c>
      <c r="D693" s="369"/>
      <c r="E693" s="344" t="str">
        <f t="shared" si="2"/>
        <v>Saturday</v>
      </c>
      <c r="F693" s="344" t="s">
        <v>554</v>
      </c>
      <c r="G693" s="370"/>
      <c r="H693" s="370"/>
      <c r="I693" s="357">
        <f t="shared" si="3"/>
        <v>0</v>
      </c>
      <c r="J693" s="346">
        <f t="shared" si="4"/>
        <v>0</v>
      </c>
      <c r="K693" s="312"/>
      <c r="L693" s="312"/>
      <c r="M693" s="312"/>
      <c r="N693" s="362"/>
      <c r="O693" s="312"/>
      <c r="P693" s="312"/>
      <c r="S693" s="2">
        <f t="shared" si="5"/>
        <v>0</v>
      </c>
      <c r="AA693" s="312"/>
      <c r="AB693" s="312"/>
      <c r="AC693" s="312"/>
      <c r="AD693" s="312"/>
    </row>
    <row r="694">
      <c r="A694" s="312"/>
      <c r="B694" s="344">
        <f t="shared" si="1"/>
        <v>2045</v>
      </c>
      <c r="C694" s="344">
        <v>90.0</v>
      </c>
      <c r="D694" s="369"/>
      <c r="E694" s="344" t="str">
        <f t="shared" si="2"/>
        <v>Saturday</v>
      </c>
      <c r="F694" s="344" t="s">
        <v>554</v>
      </c>
      <c r="G694" s="370"/>
      <c r="H694" s="370"/>
      <c r="I694" s="357">
        <f t="shared" si="3"/>
        <v>0</v>
      </c>
      <c r="J694" s="346">
        <f t="shared" si="4"/>
        <v>0</v>
      </c>
      <c r="K694" s="312"/>
      <c r="L694" s="312"/>
      <c r="M694" s="312"/>
      <c r="N694" s="362"/>
      <c r="O694" s="312"/>
      <c r="P694" s="312"/>
      <c r="S694" s="2">
        <f t="shared" si="5"/>
        <v>0</v>
      </c>
      <c r="AA694" s="312"/>
      <c r="AB694" s="312"/>
      <c r="AC694" s="312"/>
      <c r="AD694" s="312"/>
    </row>
    <row r="695">
      <c r="A695" s="312"/>
      <c r="B695" s="344">
        <f t="shared" si="1"/>
        <v>2045</v>
      </c>
      <c r="C695" s="344">
        <v>90.0</v>
      </c>
      <c r="D695" s="369"/>
      <c r="E695" s="344" t="str">
        <f t="shared" si="2"/>
        <v>Saturday</v>
      </c>
      <c r="F695" s="344" t="s">
        <v>554</v>
      </c>
      <c r="G695" s="370"/>
      <c r="H695" s="370"/>
      <c r="I695" s="357">
        <f t="shared" si="3"/>
        <v>0</v>
      </c>
      <c r="J695" s="346">
        <f t="shared" si="4"/>
        <v>0</v>
      </c>
      <c r="K695" s="312"/>
      <c r="L695" s="312"/>
      <c r="M695" s="312"/>
      <c r="N695" s="362"/>
      <c r="O695" s="312"/>
      <c r="P695" s="312"/>
      <c r="S695" s="2">
        <f t="shared" si="5"/>
        <v>0</v>
      </c>
      <c r="AA695" s="312"/>
      <c r="AB695" s="312"/>
      <c r="AC695" s="312"/>
      <c r="AD695" s="312"/>
    </row>
    <row r="696">
      <c r="A696" s="312"/>
      <c r="B696" s="344">
        <f t="shared" si="1"/>
        <v>2045</v>
      </c>
      <c r="C696" s="344">
        <v>90.0</v>
      </c>
      <c r="D696" s="369"/>
      <c r="E696" s="344" t="str">
        <f t="shared" si="2"/>
        <v>Saturday</v>
      </c>
      <c r="F696" s="344" t="s">
        <v>554</v>
      </c>
      <c r="G696" s="370"/>
      <c r="H696" s="370"/>
      <c r="I696" s="357">
        <f t="shared" si="3"/>
        <v>0</v>
      </c>
      <c r="J696" s="346">
        <f t="shared" si="4"/>
        <v>0</v>
      </c>
      <c r="K696" s="312"/>
      <c r="L696" s="312"/>
      <c r="M696" s="312"/>
      <c r="N696" s="362"/>
      <c r="O696" s="312"/>
      <c r="P696" s="312"/>
      <c r="S696" s="2">
        <f t="shared" si="5"/>
        <v>0</v>
      </c>
      <c r="AA696" s="312"/>
      <c r="AB696" s="312"/>
      <c r="AC696" s="312"/>
      <c r="AD696" s="312"/>
    </row>
    <row r="697">
      <c r="A697" s="312"/>
      <c r="B697" s="344">
        <f t="shared" si="1"/>
        <v>2045</v>
      </c>
      <c r="C697" s="344">
        <v>90.0</v>
      </c>
      <c r="D697" s="369"/>
      <c r="E697" s="344" t="str">
        <f t="shared" si="2"/>
        <v>Saturday</v>
      </c>
      <c r="F697" s="344" t="s">
        <v>554</v>
      </c>
      <c r="G697" s="370"/>
      <c r="H697" s="370"/>
      <c r="I697" s="357">
        <f t="shared" si="3"/>
        <v>0</v>
      </c>
      <c r="J697" s="346">
        <f t="shared" si="4"/>
        <v>0</v>
      </c>
      <c r="K697" s="312"/>
      <c r="L697" s="312"/>
      <c r="M697" s="312"/>
      <c r="N697" s="362"/>
      <c r="O697" s="312"/>
      <c r="P697" s="312"/>
      <c r="S697" s="2">
        <f t="shared" si="5"/>
        <v>0</v>
      </c>
      <c r="AA697" s="312"/>
      <c r="AB697" s="312"/>
      <c r="AC697" s="312"/>
      <c r="AD697" s="312"/>
    </row>
    <row r="698">
      <c r="A698" s="312"/>
      <c r="B698" s="344">
        <f t="shared" si="1"/>
        <v>2045</v>
      </c>
      <c r="C698" s="344">
        <v>90.0</v>
      </c>
      <c r="D698" s="369"/>
      <c r="E698" s="344" t="str">
        <f t="shared" si="2"/>
        <v>Saturday</v>
      </c>
      <c r="F698" s="344" t="s">
        <v>554</v>
      </c>
      <c r="G698" s="370"/>
      <c r="H698" s="370"/>
      <c r="I698" s="357">
        <f t="shared" si="3"/>
        <v>0</v>
      </c>
      <c r="J698" s="346">
        <f t="shared" si="4"/>
        <v>0</v>
      </c>
      <c r="K698" s="312"/>
      <c r="L698" s="312"/>
      <c r="M698" s="312"/>
      <c r="N698" s="362"/>
      <c r="O698" s="312"/>
      <c r="P698" s="312"/>
      <c r="S698" s="2">
        <f t="shared" si="5"/>
        <v>0</v>
      </c>
      <c r="AA698" s="312"/>
      <c r="AB698" s="312"/>
      <c r="AC698" s="312"/>
      <c r="AD698" s="312"/>
    </row>
    <row r="699">
      <c r="A699" s="312"/>
      <c r="B699" s="344">
        <f t="shared" si="1"/>
        <v>2045</v>
      </c>
      <c r="C699" s="344">
        <v>90.0</v>
      </c>
      <c r="D699" s="369"/>
      <c r="E699" s="344" t="str">
        <f t="shared" si="2"/>
        <v>Saturday</v>
      </c>
      <c r="F699" s="344" t="s">
        <v>554</v>
      </c>
      <c r="G699" s="370"/>
      <c r="H699" s="370"/>
      <c r="I699" s="357">
        <f t="shared" si="3"/>
        <v>0</v>
      </c>
      <c r="J699" s="346">
        <f t="shared" si="4"/>
        <v>0</v>
      </c>
      <c r="K699" s="312"/>
      <c r="L699" s="312"/>
      <c r="M699" s="312"/>
      <c r="N699" s="362"/>
      <c r="O699" s="312"/>
      <c r="P699" s="312"/>
      <c r="S699" s="2">
        <f t="shared" si="5"/>
        <v>0</v>
      </c>
      <c r="AA699" s="312"/>
      <c r="AB699" s="312"/>
      <c r="AC699" s="312"/>
      <c r="AD699" s="312"/>
    </row>
    <row r="700">
      <c r="A700" s="312"/>
      <c r="B700" s="344">
        <f t="shared" si="1"/>
        <v>2045</v>
      </c>
      <c r="C700" s="344">
        <v>90.0</v>
      </c>
      <c r="D700" s="369"/>
      <c r="E700" s="344" t="str">
        <f t="shared" si="2"/>
        <v>Saturday</v>
      </c>
      <c r="F700" s="344" t="s">
        <v>554</v>
      </c>
      <c r="G700" s="370"/>
      <c r="H700" s="370"/>
      <c r="I700" s="357">
        <f t="shared" si="3"/>
        <v>0</v>
      </c>
      <c r="J700" s="346">
        <f t="shared" si="4"/>
        <v>0</v>
      </c>
      <c r="K700" s="312"/>
      <c r="L700" s="312"/>
      <c r="M700" s="312"/>
      <c r="N700" s="362"/>
      <c r="O700" s="312"/>
      <c r="P700" s="312"/>
      <c r="S700" s="2">
        <f t="shared" si="5"/>
        <v>0</v>
      </c>
      <c r="AA700" s="312"/>
      <c r="AB700" s="312"/>
      <c r="AC700" s="312"/>
      <c r="AD700" s="312"/>
    </row>
    <row r="701">
      <c r="A701" s="312"/>
      <c r="B701" s="344">
        <f t="shared" si="1"/>
        <v>2045</v>
      </c>
      <c r="C701" s="344">
        <v>90.0</v>
      </c>
      <c r="D701" s="369"/>
      <c r="E701" s="344" t="str">
        <f t="shared" si="2"/>
        <v>Saturday</v>
      </c>
      <c r="F701" s="344" t="s">
        <v>554</v>
      </c>
      <c r="G701" s="370"/>
      <c r="H701" s="370"/>
      <c r="I701" s="357">
        <f t="shared" si="3"/>
        <v>0</v>
      </c>
      <c r="J701" s="346">
        <f t="shared" si="4"/>
        <v>0</v>
      </c>
      <c r="K701" s="312"/>
      <c r="L701" s="312"/>
      <c r="M701" s="312"/>
      <c r="N701" s="362"/>
      <c r="O701" s="312"/>
      <c r="P701" s="312"/>
      <c r="S701" s="2">
        <f t="shared" si="5"/>
        <v>0</v>
      </c>
      <c r="AA701" s="312"/>
      <c r="AB701" s="312"/>
      <c r="AC701" s="312"/>
      <c r="AD701" s="312"/>
    </row>
    <row r="702">
      <c r="A702" s="312"/>
      <c r="B702" s="344">
        <f t="shared" si="1"/>
        <v>2045</v>
      </c>
      <c r="C702" s="344">
        <v>90.0</v>
      </c>
      <c r="D702" s="369"/>
      <c r="E702" s="344" t="str">
        <f t="shared" si="2"/>
        <v>Saturday</v>
      </c>
      <c r="F702" s="344" t="s">
        <v>554</v>
      </c>
      <c r="G702" s="370"/>
      <c r="H702" s="370"/>
      <c r="I702" s="357">
        <f t="shared" si="3"/>
        <v>0</v>
      </c>
      <c r="J702" s="346">
        <f t="shared" si="4"/>
        <v>0</v>
      </c>
      <c r="K702" s="312"/>
      <c r="L702" s="312"/>
      <c r="M702" s="312"/>
      <c r="N702" s="362"/>
      <c r="O702" s="312"/>
      <c r="P702" s="312"/>
      <c r="S702" s="2">
        <f t="shared" si="5"/>
        <v>0</v>
      </c>
      <c r="AA702" s="312"/>
      <c r="AB702" s="312"/>
      <c r="AC702" s="312"/>
      <c r="AD702" s="312"/>
    </row>
    <row r="703">
      <c r="A703" s="312"/>
      <c r="B703" s="344">
        <f t="shared" si="1"/>
        <v>2045</v>
      </c>
      <c r="C703" s="344">
        <v>90.0</v>
      </c>
      <c r="D703" s="369"/>
      <c r="E703" s="344" t="str">
        <f t="shared" si="2"/>
        <v>Saturday</v>
      </c>
      <c r="F703" s="344" t="s">
        <v>554</v>
      </c>
      <c r="G703" s="370"/>
      <c r="H703" s="370"/>
      <c r="I703" s="357">
        <f t="shared" si="3"/>
        <v>0</v>
      </c>
      <c r="J703" s="346">
        <f t="shared" si="4"/>
        <v>0</v>
      </c>
      <c r="K703" s="312"/>
      <c r="L703" s="312"/>
      <c r="M703" s="312"/>
      <c r="N703" s="362"/>
      <c r="O703" s="312"/>
      <c r="P703" s="312"/>
      <c r="S703" s="2">
        <f t="shared" si="5"/>
        <v>0</v>
      </c>
      <c r="AA703" s="312"/>
      <c r="AB703" s="312"/>
      <c r="AC703" s="312"/>
      <c r="AD703" s="312"/>
    </row>
    <row r="704">
      <c r="A704" s="312"/>
      <c r="B704" s="344">
        <f t="shared" si="1"/>
        <v>2045</v>
      </c>
      <c r="C704" s="344">
        <v>90.0</v>
      </c>
      <c r="D704" s="369"/>
      <c r="E704" s="344" t="str">
        <f t="shared" si="2"/>
        <v>Saturday</v>
      </c>
      <c r="F704" s="344" t="s">
        <v>554</v>
      </c>
      <c r="G704" s="370"/>
      <c r="H704" s="370"/>
      <c r="I704" s="357">
        <f t="shared" si="3"/>
        <v>0</v>
      </c>
      <c r="J704" s="346">
        <f t="shared" si="4"/>
        <v>0</v>
      </c>
      <c r="K704" s="312"/>
      <c r="L704" s="312"/>
      <c r="M704" s="312"/>
      <c r="N704" s="362"/>
      <c r="O704" s="312"/>
      <c r="P704" s="312"/>
      <c r="S704" s="2">
        <f t="shared" si="5"/>
        <v>0</v>
      </c>
      <c r="AA704" s="312"/>
      <c r="AB704" s="312"/>
      <c r="AC704" s="312"/>
      <c r="AD704" s="312"/>
    </row>
    <row r="705">
      <c r="A705" s="312"/>
      <c r="B705" s="344">
        <f t="shared" si="1"/>
        <v>2045</v>
      </c>
      <c r="C705" s="344">
        <v>90.0</v>
      </c>
      <c r="D705" s="369"/>
      <c r="E705" s="344" t="str">
        <f t="shared" si="2"/>
        <v>Saturday</v>
      </c>
      <c r="F705" s="344" t="s">
        <v>554</v>
      </c>
      <c r="G705" s="370"/>
      <c r="H705" s="370"/>
      <c r="I705" s="357">
        <f t="shared" si="3"/>
        <v>0</v>
      </c>
      <c r="J705" s="346">
        <f t="shared" si="4"/>
        <v>0</v>
      </c>
      <c r="K705" s="312"/>
      <c r="L705" s="312"/>
      <c r="M705" s="312"/>
      <c r="N705" s="362"/>
      <c r="O705" s="312"/>
      <c r="P705" s="312"/>
      <c r="S705" s="2">
        <f t="shared" si="5"/>
        <v>0</v>
      </c>
      <c r="AA705" s="312"/>
      <c r="AB705" s="312"/>
      <c r="AC705" s="312"/>
      <c r="AD705" s="312"/>
    </row>
    <row r="706">
      <c r="A706" s="312"/>
      <c r="B706" s="344">
        <f t="shared" si="1"/>
        <v>2045</v>
      </c>
      <c r="C706" s="344">
        <v>90.0</v>
      </c>
      <c r="D706" s="369"/>
      <c r="E706" s="344" t="str">
        <f t="shared" si="2"/>
        <v>Saturday</v>
      </c>
      <c r="F706" s="344" t="s">
        <v>554</v>
      </c>
      <c r="G706" s="370"/>
      <c r="H706" s="370"/>
      <c r="I706" s="357">
        <f t="shared" si="3"/>
        <v>0</v>
      </c>
      <c r="J706" s="346">
        <f t="shared" si="4"/>
        <v>0</v>
      </c>
      <c r="K706" s="312"/>
      <c r="L706" s="312"/>
      <c r="M706" s="312"/>
      <c r="N706" s="362"/>
      <c r="O706" s="312"/>
      <c r="P706" s="312"/>
      <c r="S706" s="2">
        <f t="shared" si="5"/>
        <v>0</v>
      </c>
      <c r="AA706" s="312"/>
      <c r="AB706" s="312"/>
      <c r="AC706" s="312"/>
      <c r="AD706" s="312"/>
    </row>
    <row r="707">
      <c r="A707" s="312"/>
      <c r="B707" s="344">
        <f t="shared" si="1"/>
        <v>2045</v>
      </c>
      <c r="C707" s="344">
        <v>90.0</v>
      </c>
      <c r="D707" s="369"/>
      <c r="E707" s="344" t="str">
        <f t="shared" si="2"/>
        <v>Saturday</v>
      </c>
      <c r="F707" s="344" t="s">
        <v>554</v>
      </c>
      <c r="G707" s="370"/>
      <c r="H707" s="370"/>
      <c r="I707" s="357">
        <f t="shared" si="3"/>
        <v>0</v>
      </c>
      <c r="J707" s="346">
        <f t="shared" si="4"/>
        <v>0</v>
      </c>
      <c r="K707" s="312"/>
      <c r="L707" s="312"/>
      <c r="M707" s="312"/>
      <c r="N707" s="362"/>
      <c r="O707" s="312"/>
      <c r="P707" s="312"/>
      <c r="S707" s="2">
        <f t="shared" si="5"/>
        <v>0</v>
      </c>
      <c r="AA707" s="312"/>
      <c r="AB707" s="312"/>
      <c r="AC707" s="312"/>
      <c r="AD707" s="312"/>
    </row>
    <row r="708">
      <c r="A708" s="312"/>
      <c r="B708" s="344">
        <f t="shared" si="1"/>
        <v>2045</v>
      </c>
      <c r="C708" s="344">
        <v>90.0</v>
      </c>
      <c r="D708" s="369"/>
      <c r="E708" s="344" t="str">
        <f t="shared" si="2"/>
        <v>Saturday</v>
      </c>
      <c r="F708" s="344" t="s">
        <v>554</v>
      </c>
      <c r="G708" s="370"/>
      <c r="H708" s="370"/>
      <c r="I708" s="357">
        <f t="shared" si="3"/>
        <v>0</v>
      </c>
      <c r="J708" s="346">
        <f t="shared" si="4"/>
        <v>0</v>
      </c>
      <c r="K708" s="312"/>
      <c r="L708" s="312"/>
      <c r="M708" s="312"/>
      <c r="N708" s="362"/>
      <c r="O708" s="312"/>
      <c r="P708" s="312"/>
      <c r="S708" s="2">
        <f t="shared" si="5"/>
        <v>0</v>
      </c>
      <c r="AA708" s="312"/>
      <c r="AB708" s="312"/>
      <c r="AC708" s="312"/>
      <c r="AD708" s="312"/>
    </row>
    <row r="709">
      <c r="A709" s="312"/>
      <c r="B709" s="344">
        <f t="shared" si="1"/>
        <v>2045</v>
      </c>
      <c r="C709" s="344">
        <v>90.0</v>
      </c>
      <c r="D709" s="369"/>
      <c r="E709" s="344" t="str">
        <f t="shared" si="2"/>
        <v>Saturday</v>
      </c>
      <c r="F709" s="344" t="s">
        <v>554</v>
      </c>
      <c r="G709" s="370"/>
      <c r="H709" s="370"/>
      <c r="I709" s="357">
        <f t="shared" si="3"/>
        <v>0</v>
      </c>
      <c r="J709" s="346">
        <f t="shared" si="4"/>
        <v>0</v>
      </c>
      <c r="K709" s="312"/>
      <c r="L709" s="312"/>
      <c r="M709" s="312"/>
      <c r="N709" s="362"/>
      <c r="O709" s="312"/>
      <c r="P709" s="312"/>
      <c r="S709" s="2">
        <f t="shared" si="5"/>
        <v>0</v>
      </c>
      <c r="AA709" s="312"/>
      <c r="AB709" s="312"/>
      <c r="AC709" s="312"/>
      <c r="AD709" s="312"/>
    </row>
    <row r="710">
      <c r="A710" s="312"/>
      <c r="B710" s="344">
        <f t="shared" si="1"/>
        <v>2045</v>
      </c>
      <c r="C710" s="344">
        <v>90.0</v>
      </c>
      <c r="D710" s="369"/>
      <c r="E710" s="344" t="str">
        <f t="shared" si="2"/>
        <v>Saturday</v>
      </c>
      <c r="F710" s="344" t="s">
        <v>554</v>
      </c>
      <c r="G710" s="370"/>
      <c r="H710" s="370"/>
      <c r="I710" s="357">
        <f t="shared" si="3"/>
        <v>0</v>
      </c>
      <c r="J710" s="346">
        <f t="shared" si="4"/>
        <v>0</v>
      </c>
      <c r="K710" s="312"/>
      <c r="L710" s="312"/>
      <c r="M710" s="312"/>
      <c r="N710" s="362"/>
      <c r="O710" s="312"/>
      <c r="P710" s="312"/>
      <c r="S710" s="2">
        <f t="shared" si="5"/>
        <v>0</v>
      </c>
      <c r="AA710" s="312"/>
      <c r="AB710" s="312"/>
      <c r="AC710" s="312"/>
      <c r="AD710" s="312"/>
    </row>
    <row r="711">
      <c r="A711" s="312"/>
      <c r="B711" s="344">
        <f t="shared" si="1"/>
        <v>2045</v>
      </c>
      <c r="C711" s="344">
        <v>90.0</v>
      </c>
      <c r="D711" s="369"/>
      <c r="E711" s="344" t="str">
        <f t="shared" si="2"/>
        <v>Saturday</v>
      </c>
      <c r="F711" s="344" t="s">
        <v>554</v>
      </c>
      <c r="G711" s="370"/>
      <c r="H711" s="370"/>
      <c r="I711" s="357">
        <f t="shared" si="3"/>
        <v>0</v>
      </c>
      <c r="J711" s="346">
        <f t="shared" si="4"/>
        <v>0</v>
      </c>
      <c r="K711" s="312"/>
      <c r="L711" s="312"/>
      <c r="M711" s="312"/>
      <c r="N711" s="362"/>
      <c r="O711" s="312"/>
      <c r="P711" s="312"/>
      <c r="S711" s="2">
        <f t="shared" si="5"/>
        <v>0</v>
      </c>
      <c r="AA711" s="312"/>
      <c r="AB711" s="312"/>
      <c r="AC711" s="312"/>
      <c r="AD711" s="312"/>
    </row>
    <row r="712">
      <c r="A712" s="312"/>
      <c r="B712" s="344">
        <f t="shared" si="1"/>
        <v>2045</v>
      </c>
      <c r="C712" s="344">
        <v>90.0</v>
      </c>
      <c r="D712" s="369"/>
      <c r="E712" s="344" t="str">
        <f t="shared" si="2"/>
        <v>Saturday</v>
      </c>
      <c r="F712" s="344" t="s">
        <v>554</v>
      </c>
      <c r="G712" s="370"/>
      <c r="H712" s="370"/>
      <c r="I712" s="357">
        <f t="shared" si="3"/>
        <v>0</v>
      </c>
      <c r="J712" s="346">
        <f t="shared" si="4"/>
        <v>0</v>
      </c>
      <c r="K712" s="312"/>
      <c r="L712" s="312"/>
      <c r="M712" s="312"/>
      <c r="N712" s="362"/>
      <c r="O712" s="312"/>
      <c r="P712" s="312"/>
      <c r="S712" s="2">
        <f t="shared" si="5"/>
        <v>0</v>
      </c>
      <c r="AA712" s="312"/>
      <c r="AB712" s="312"/>
      <c r="AC712" s="312"/>
      <c r="AD712" s="312"/>
    </row>
    <row r="713">
      <c r="A713" s="312"/>
      <c r="B713" s="344">
        <f t="shared" si="1"/>
        <v>2045</v>
      </c>
      <c r="C713" s="344">
        <v>90.0</v>
      </c>
      <c r="D713" s="369"/>
      <c r="E713" s="344" t="str">
        <f t="shared" si="2"/>
        <v>Saturday</v>
      </c>
      <c r="F713" s="344" t="s">
        <v>554</v>
      </c>
      <c r="G713" s="370"/>
      <c r="H713" s="370"/>
      <c r="I713" s="357">
        <f t="shared" si="3"/>
        <v>0</v>
      </c>
      <c r="J713" s="346">
        <f t="shared" si="4"/>
        <v>0</v>
      </c>
      <c r="K713" s="312"/>
      <c r="L713" s="312"/>
      <c r="M713" s="312"/>
      <c r="N713" s="362"/>
      <c r="O713" s="312"/>
      <c r="P713" s="312"/>
      <c r="S713" s="2">
        <f t="shared" si="5"/>
        <v>0</v>
      </c>
      <c r="AA713" s="312"/>
      <c r="AB713" s="312"/>
      <c r="AC713" s="312"/>
      <c r="AD713" s="312"/>
    </row>
    <row r="714">
      <c r="A714" s="312"/>
      <c r="B714" s="344">
        <f t="shared" si="1"/>
        <v>2045</v>
      </c>
      <c r="C714" s="344">
        <v>90.0</v>
      </c>
      <c r="D714" s="369"/>
      <c r="E714" s="344" t="str">
        <f t="shared" si="2"/>
        <v>Saturday</v>
      </c>
      <c r="F714" s="344" t="s">
        <v>554</v>
      </c>
      <c r="G714" s="370"/>
      <c r="H714" s="370"/>
      <c r="I714" s="357">
        <f t="shared" si="3"/>
        <v>0</v>
      </c>
      <c r="J714" s="346">
        <f t="shared" si="4"/>
        <v>0</v>
      </c>
      <c r="K714" s="312"/>
      <c r="L714" s="312"/>
      <c r="M714" s="312"/>
      <c r="N714" s="362"/>
      <c r="O714" s="312"/>
      <c r="P714" s="312"/>
      <c r="S714" s="2">
        <f t="shared" si="5"/>
        <v>0</v>
      </c>
      <c r="AA714" s="312"/>
      <c r="AB714" s="312"/>
      <c r="AC714" s="312"/>
      <c r="AD714" s="312"/>
    </row>
    <row r="715">
      <c r="A715" s="312"/>
      <c r="B715" s="344">
        <f t="shared" si="1"/>
        <v>2045</v>
      </c>
      <c r="C715" s="344">
        <v>90.0</v>
      </c>
      <c r="D715" s="369"/>
      <c r="E715" s="344" t="str">
        <f t="shared" si="2"/>
        <v>Saturday</v>
      </c>
      <c r="F715" s="344" t="s">
        <v>554</v>
      </c>
      <c r="G715" s="370"/>
      <c r="H715" s="370"/>
      <c r="I715" s="357">
        <f t="shared" si="3"/>
        <v>0</v>
      </c>
      <c r="J715" s="346">
        <f t="shared" si="4"/>
        <v>0</v>
      </c>
      <c r="K715" s="312"/>
      <c r="L715" s="312"/>
      <c r="M715" s="312"/>
      <c r="N715" s="362"/>
      <c r="O715" s="312"/>
      <c r="P715" s="312"/>
      <c r="S715" s="2">
        <f t="shared" si="5"/>
        <v>0</v>
      </c>
      <c r="AA715" s="312"/>
      <c r="AB715" s="312"/>
      <c r="AC715" s="312"/>
      <c r="AD715" s="312"/>
    </row>
    <row r="716">
      <c r="A716" s="312"/>
      <c r="B716" s="344">
        <f t="shared" si="1"/>
        <v>2045</v>
      </c>
      <c r="C716" s="344">
        <v>90.0</v>
      </c>
      <c r="D716" s="369"/>
      <c r="E716" s="344" t="str">
        <f t="shared" si="2"/>
        <v>Saturday</v>
      </c>
      <c r="F716" s="344" t="s">
        <v>554</v>
      </c>
      <c r="G716" s="370"/>
      <c r="H716" s="370"/>
      <c r="I716" s="357">
        <f t="shared" si="3"/>
        <v>0</v>
      </c>
      <c r="J716" s="346">
        <f t="shared" si="4"/>
        <v>0</v>
      </c>
      <c r="K716" s="312"/>
      <c r="L716" s="312"/>
      <c r="M716" s="312"/>
      <c r="N716" s="362"/>
      <c r="O716" s="312"/>
      <c r="P716" s="312"/>
      <c r="S716" s="2">
        <f t="shared" si="5"/>
        <v>0</v>
      </c>
      <c r="AA716" s="312"/>
      <c r="AB716" s="312"/>
      <c r="AC716" s="312"/>
      <c r="AD716" s="312"/>
    </row>
    <row r="717">
      <c r="A717" s="312"/>
      <c r="B717" s="344">
        <f t="shared" si="1"/>
        <v>2045</v>
      </c>
      <c r="C717" s="344">
        <v>90.0</v>
      </c>
      <c r="D717" s="369"/>
      <c r="E717" s="344" t="str">
        <f t="shared" si="2"/>
        <v>Saturday</v>
      </c>
      <c r="F717" s="344" t="s">
        <v>554</v>
      </c>
      <c r="G717" s="370"/>
      <c r="H717" s="370"/>
      <c r="I717" s="357">
        <f t="shared" si="3"/>
        <v>0</v>
      </c>
      <c r="J717" s="346">
        <f t="shared" si="4"/>
        <v>0</v>
      </c>
      <c r="K717" s="312"/>
      <c r="L717" s="312"/>
      <c r="M717" s="312"/>
      <c r="N717" s="362"/>
      <c r="O717" s="312"/>
      <c r="P717" s="312"/>
      <c r="S717" s="2">
        <f t="shared" si="5"/>
        <v>0</v>
      </c>
      <c r="AA717" s="312"/>
      <c r="AB717" s="312"/>
      <c r="AC717" s="312"/>
      <c r="AD717" s="312"/>
    </row>
    <row r="718">
      <c r="A718" s="312"/>
      <c r="B718" s="344">
        <f t="shared" si="1"/>
        <v>2045</v>
      </c>
      <c r="C718" s="344">
        <v>90.0</v>
      </c>
      <c r="D718" s="369"/>
      <c r="E718" s="344" t="str">
        <f t="shared" si="2"/>
        <v>Saturday</v>
      </c>
      <c r="F718" s="344" t="s">
        <v>554</v>
      </c>
      <c r="G718" s="370"/>
      <c r="H718" s="370"/>
      <c r="I718" s="357">
        <f t="shared" si="3"/>
        <v>0</v>
      </c>
      <c r="J718" s="346">
        <f t="shared" si="4"/>
        <v>0</v>
      </c>
      <c r="K718" s="312"/>
      <c r="L718" s="312"/>
      <c r="M718" s="312"/>
      <c r="N718" s="362"/>
      <c r="O718" s="312"/>
      <c r="P718" s="312"/>
      <c r="S718" s="2">
        <f t="shared" si="5"/>
        <v>0</v>
      </c>
      <c r="AA718" s="312"/>
      <c r="AB718" s="312"/>
      <c r="AC718" s="312"/>
      <c r="AD718" s="312"/>
    </row>
    <row r="719">
      <c r="A719" s="312"/>
      <c r="B719" s="344">
        <f t="shared" si="1"/>
        <v>2045</v>
      </c>
      <c r="C719" s="344">
        <v>90.0</v>
      </c>
      <c r="D719" s="369"/>
      <c r="E719" s="344" t="str">
        <f t="shared" si="2"/>
        <v>Saturday</v>
      </c>
      <c r="F719" s="344" t="s">
        <v>554</v>
      </c>
      <c r="G719" s="370"/>
      <c r="H719" s="370"/>
      <c r="I719" s="357">
        <f t="shared" si="3"/>
        <v>0</v>
      </c>
      <c r="J719" s="346">
        <f t="shared" si="4"/>
        <v>0</v>
      </c>
      <c r="K719" s="312"/>
      <c r="L719" s="312"/>
      <c r="M719" s="312"/>
      <c r="N719" s="362"/>
      <c r="O719" s="312"/>
      <c r="P719" s="312"/>
      <c r="S719" s="2">
        <f t="shared" si="5"/>
        <v>0</v>
      </c>
      <c r="AA719" s="312"/>
      <c r="AB719" s="312"/>
      <c r="AC719" s="312"/>
      <c r="AD719" s="312"/>
    </row>
    <row r="720">
      <c r="A720" s="312"/>
      <c r="B720" s="344">
        <f t="shared" si="1"/>
        <v>2045</v>
      </c>
      <c r="C720" s="344">
        <v>90.0</v>
      </c>
      <c r="D720" s="369"/>
      <c r="E720" s="344" t="str">
        <f t="shared" si="2"/>
        <v>Saturday</v>
      </c>
      <c r="F720" s="344" t="s">
        <v>554</v>
      </c>
      <c r="G720" s="370"/>
      <c r="H720" s="370"/>
      <c r="I720" s="357">
        <f t="shared" si="3"/>
        <v>0</v>
      </c>
      <c r="J720" s="346">
        <f t="shared" si="4"/>
        <v>0</v>
      </c>
      <c r="K720" s="312"/>
      <c r="L720" s="312"/>
      <c r="M720" s="312"/>
      <c r="N720" s="362"/>
      <c r="O720" s="312"/>
      <c r="P720" s="312"/>
      <c r="S720" s="2">
        <f t="shared" si="5"/>
        <v>0</v>
      </c>
      <c r="AA720" s="312"/>
      <c r="AB720" s="312"/>
      <c r="AC720" s="312"/>
      <c r="AD720" s="312"/>
    </row>
    <row r="721">
      <c r="A721" s="312"/>
      <c r="B721" s="344">
        <f t="shared" si="1"/>
        <v>2045</v>
      </c>
      <c r="C721" s="344">
        <v>90.0</v>
      </c>
      <c r="D721" s="369"/>
      <c r="E721" s="344" t="str">
        <f t="shared" si="2"/>
        <v>Saturday</v>
      </c>
      <c r="F721" s="344" t="s">
        <v>554</v>
      </c>
      <c r="G721" s="370"/>
      <c r="H721" s="370"/>
      <c r="I721" s="357">
        <f t="shared" si="3"/>
        <v>0</v>
      </c>
      <c r="J721" s="346">
        <f t="shared" si="4"/>
        <v>0</v>
      </c>
      <c r="K721" s="312"/>
      <c r="L721" s="312"/>
      <c r="M721" s="312"/>
      <c r="N721" s="362"/>
      <c r="O721" s="312"/>
      <c r="P721" s="312"/>
      <c r="S721" s="2">
        <f t="shared" si="5"/>
        <v>0</v>
      </c>
      <c r="AA721" s="312"/>
      <c r="AB721" s="312"/>
      <c r="AC721" s="312"/>
      <c r="AD721" s="312"/>
    </row>
    <row r="722">
      <c r="A722" s="312"/>
      <c r="B722" s="344">
        <f t="shared" si="1"/>
        <v>2045</v>
      </c>
      <c r="C722" s="344">
        <v>90.0</v>
      </c>
      <c r="D722" s="369"/>
      <c r="E722" s="344" t="str">
        <f t="shared" si="2"/>
        <v>Saturday</v>
      </c>
      <c r="F722" s="344" t="s">
        <v>554</v>
      </c>
      <c r="G722" s="370"/>
      <c r="H722" s="370"/>
      <c r="I722" s="357">
        <f t="shared" si="3"/>
        <v>0</v>
      </c>
      <c r="J722" s="346">
        <f t="shared" si="4"/>
        <v>0</v>
      </c>
      <c r="K722" s="312"/>
      <c r="L722" s="312"/>
      <c r="M722" s="312"/>
      <c r="N722" s="362"/>
      <c r="O722" s="312"/>
      <c r="P722" s="312"/>
      <c r="S722" s="2">
        <f t="shared" si="5"/>
        <v>0</v>
      </c>
      <c r="AA722" s="312"/>
      <c r="AB722" s="312"/>
      <c r="AC722" s="312"/>
      <c r="AD722" s="312"/>
    </row>
    <row r="723">
      <c r="A723" s="312"/>
      <c r="B723" s="344">
        <f t="shared" si="1"/>
        <v>2045</v>
      </c>
      <c r="C723" s="344">
        <v>90.0</v>
      </c>
      <c r="D723" s="369"/>
      <c r="E723" s="344" t="str">
        <f t="shared" si="2"/>
        <v>Saturday</v>
      </c>
      <c r="F723" s="344" t="s">
        <v>554</v>
      </c>
      <c r="G723" s="370"/>
      <c r="H723" s="370"/>
      <c r="I723" s="357">
        <f t="shared" si="3"/>
        <v>0</v>
      </c>
      <c r="J723" s="346">
        <f t="shared" si="4"/>
        <v>0</v>
      </c>
      <c r="K723" s="312"/>
      <c r="L723" s="312"/>
      <c r="M723" s="312"/>
      <c r="N723" s="362"/>
      <c r="O723" s="312"/>
      <c r="P723" s="312"/>
      <c r="S723" s="2">
        <f t="shared" si="5"/>
        <v>0</v>
      </c>
      <c r="AA723" s="312"/>
      <c r="AB723" s="312"/>
      <c r="AC723" s="312"/>
      <c r="AD723" s="312"/>
    </row>
    <row r="724">
      <c r="A724" s="312"/>
      <c r="B724" s="344">
        <f t="shared" si="1"/>
        <v>2045</v>
      </c>
      <c r="C724" s="344">
        <v>90.0</v>
      </c>
      <c r="D724" s="369"/>
      <c r="E724" s="344" t="str">
        <f t="shared" si="2"/>
        <v>Saturday</v>
      </c>
      <c r="F724" s="344" t="s">
        <v>554</v>
      </c>
      <c r="G724" s="370"/>
      <c r="H724" s="370"/>
      <c r="I724" s="357">
        <f t="shared" si="3"/>
        <v>0</v>
      </c>
      <c r="J724" s="346">
        <f t="shared" si="4"/>
        <v>0</v>
      </c>
      <c r="K724" s="312"/>
      <c r="L724" s="312"/>
      <c r="M724" s="312"/>
      <c r="N724" s="362"/>
      <c r="O724" s="312"/>
      <c r="P724" s="312"/>
      <c r="S724" s="2">
        <f t="shared" si="5"/>
        <v>0</v>
      </c>
      <c r="AA724" s="312"/>
      <c r="AB724" s="312"/>
      <c r="AC724" s="312"/>
      <c r="AD724" s="312"/>
    </row>
    <row r="725">
      <c r="A725" s="312"/>
      <c r="B725" s="344">
        <f t="shared" si="1"/>
        <v>2045</v>
      </c>
      <c r="C725" s="344">
        <v>90.0</v>
      </c>
      <c r="D725" s="369"/>
      <c r="E725" s="344" t="str">
        <f t="shared" si="2"/>
        <v>Saturday</v>
      </c>
      <c r="F725" s="344" t="s">
        <v>554</v>
      </c>
      <c r="G725" s="370"/>
      <c r="H725" s="370"/>
      <c r="I725" s="357">
        <f t="shared" si="3"/>
        <v>0</v>
      </c>
      <c r="J725" s="346">
        <f t="shared" si="4"/>
        <v>0</v>
      </c>
      <c r="K725" s="312"/>
      <c r="L725" s="312"/>
      <c r="M725" s="312"/>
      <c r="N725" s="362"/>
      <c r="O725" s="312"/>
      <c r="P725" s="312"/>
      <c r="S725" s="2">
        <f t="shared" si="5"/>
        <v>0</v>
      </c>
      <c r="AA725" s="312"/>
      <c r="AB725" s="312"/>
      <c r="AC725" s="312"/>
      <c r="AD725" s="312"/>
    </row>
    <row r="726">
      <c r="A726" s="312"/>
      <c r="B726" s="344">
        <f t="shared" si="1"/>
        <v>2045</v>
      </c>
      <c r="C726" s="344">
        <v>90.0</v>
      </c>
      <c r="D726" s="369"/>
      <c r="E726" s="344" t="str">
        <f t="shared" si="2"/>
        <v>Saturday</v>
      </c>
      <c r="F726" s="344" t="s">
        <v>554</v>
      </c>
      <c r="G726" s="370"/>
      <c r="H726" s="370"/>
      <c r="I726" s="357">
        <f t="shared" si="3"/>
        <v>0</v>
      </c>
      <c r="J726" s="346">
        <f t="shared" si="4"/>
        <v>0</v>
      </c>
      <c r="K726" s="312"/>
      <c r="L726" s="312"/>
      <c r="M726" s="312"/>
      <c r="N726" s="362"/>
      <c r="O726" s="312"/>
      <c r="P726" s="312"/>
      <c r="S726" s="2">
        <f t="shared" si="5"/>
        <v>0</v>
      </c>
      <c r="AA726" s="312"/>
      <c r="AB726" s="312"/>
      <c r="AC726" s="312"/>
      <c r="AD726" s="312"/>
    </row>
    <row r="727">
      <c r="A727" s="312"/>
      <c r="B727" s="344">
        <f t="shared" si="1"/>
        <v>2045</v>
      </c>
      <c r="C727" s="344">
        <v>90.0</v>
      </c>
      <c r="D727" s="369"/>
      <c r="E727" s="344" t="str">
        <f t="shared" si="2"/>
        <v>Saturday</v>
      </c>
      <c r="F727" s="344" t="s">
        <v>554</v>
      </c>
      <c r="G727" s="370"/>
      <c r="H727" s="370"/>
      <c r="I727" s="357">
        <f t="shared" si="3"/>
        <v>0</v>
      </c>
      <c r="J727" s="346">
        <f t="shared" si="4"/>
        <v>0</v>
      </c>
      <c r="K727" s="312"/>
      <c r="L727" s="312"/>
      <c r="M727" s="312"/>
      <c r="N727" s="362"/>
      <c r="O727" s="312"/>
      <c r="P727" s="312"/>
      <c r="S727" s="2">
        <f t="shared" si="5"/>
        <v>0</v>
      </c>
      <c r="AA727" s="312"/>
      <c r="AB727" s="312"/>
      <c r="AC727" s="312"/>
      <c r="AD727" s="312"/>
    </row>
    <row r="728">
      <c r="A728" s="312"/>
      <c r="B728" s="344">
        <f t="shared" si="1"/>
        <v>2045</v>
      </c>
      <c r="C728" s="344">
        <v>90.0</v>
      </c>
      <c r="D728" s="369"/>
      <c r="E728" s="344" t="str">
        <f t="shared" si="2"/>
        <v>Saturday</v>
      </c>
      <c r="F728" s="344" t="s">
        <v>554</v>
      </c>
      <c r="G728" s="370"/>
      <c r="H728" s="370"/>
      <c r="I728" s="357">
        <f t="shared" si="3"/>
        <v>0</v>
      </c>
      <c r="J728" s="346">
        <f t="shared" si="4"/>
        <v>0</v>
      </c>
      <c r="K728" s="312"/>
      <c r="L728" s="312"/>
      <c r="M728" s="312"/>
      <c r="N728" s="362"/>
      <c r="O728" s="312"/>
      <c r="P728" s="312"/>
      <c r="S728" s="2">
        <f t="shared" si="5"/>
        <v>0</v>
      </c>
      <c r="AA728" s="312"/>
      <c r="AB728" s="312"/>
      <c r="AC728" s="312"/>
      <c r="AD728" s="312"/>
    </row>
    <row r="729">
      <c r="A729" s="312"/>
      <c r="B729" s="344">
        <f t="shared" si="1"/>
        <v>2045</v>
      </c>
      <c r="C729" s="344">
        <v>90.0</v>
      </c>
      <c r="D729" s="369"/>
      <c r="E729" s="344" t="str">
        <f t="shared" si="2"/>
        <v>Saturday</v>
      </c>
      <c r="F729" s="344" t="s">
        <v>554</v>
      </c>
      <c r="G729" s="370"/>
      <c r="H729" s="370"/>
      <c r="I729" s="357">
        <f t="shared" si="3"/>
        <v>0</v>
      </c>
      <c r="J729" s="346">
        <f t="shared" si="4"/>
        <v>0</v>
      </c>
      <c r="K729" s="312"/>
      <c r="L729" s="312"/>
      <c r="M729" s="312"/>
      <c r="N729" s="362"/>
      <c r="O729" s="312"/>
      <c r="P729" s="312"/>
      <c r="S729" s="2">
        <f t="shared" si="5"/>
        <v>0</v>
      </c>
      <c r="AA729" s="312"/>
      <c r="AB729" s="312"/>
      <c r="AC729" s="312"/>
      <c r="AD729" s="312"/>
    </row>
    <row r="730">
      <c r="A730" s="312"/>
      <c r="B730" s="344">
        <f t="shared" si="1"/>
        <v>2045</v>
      </c>
      <c r="C730" s="344">
        <v>90.0</v>
      </c>
      <c r="D730" s="369"/>
      <c r="E730" s="344" t="str">
        <f t="shared" si="2"/>
        <v>Saturday</v>
      </c>
      <c r="F730" s="344" t="s">
        <v>554</v>
      </c>
      <c r="G730" s="370"/>
      <c r="H730" s="370"/>
      <c r="I730" s="357">
        <f t="shared" si="3"/>
        <v>0</v>
      </c>
      <c r="J730" s="346">
        <f t="shared" si="4"/>
        <v>0</v>
      </c>
      <c r="K730" s="312"/>
      <c r="L730" s="312"/>
      <c r="M730" s="312"/>
      <c r="N730" s="362"/>
      <c r="O730" s="312"/>
      <c r="P730" s="312"/>
      <c r="S730" s="2">
        <f t="shared" si="5"/>
        <v>0</v>
      </c>
      <c r="AA730" s="312"/>
      <c r="AB730" s="312"/>
      <c r="AC730" s="312"/>
      <c r="AD730" s="312"/>
    </row>
    <row r="731">
      <c r="A731" s="312"/>
      <c r="B731" s="344">
        <f t="shared" si="1"/>
        <v>2045</v>
      </c>
      <c r="C731" s="344">
        <v>90.0</v>
      </c>
      <c r="D731" s="369"/>
      <c r="E731" s="344" t="str">
        <f t="shared" si="2"/>
        <v>Saturday</v>
      </c>
      <c r="F731" s="344" t="s">
        <v>554</v>
      </c>
      <c r="G731" s="370"/>
      <c r="H731" s="370"/>
      <c r="I731" s="357">
        <f t="shared" si="3"/>
        <v>0</v>
      </c>
      <c r="J731" s="346">
        <f t="shared" si="4"/>
        <v>0</v>
      </c>
      <c r="K731" s="312"/>
      <c r="L731" s="312"/>
      <c r="M731" s="312"/>
      <c r="N731" s="362"/>
      <c r="O731" s="312"/>
      <c r="P731" s="312"/>
      <c r="S731" s="2">
        <f t="shared" si="5"/>
        <v>0</v>
      </c>
      <c r="AA731" s="312"/>
      <c r="AB731" s="312"/>
      <c r="AC731" s="312"/>
      <c r="AD731" s="312"/>
    </row>
    <row r="732">
      <c r="A732" s="312"/>
      <c r="B732" s="344">
        <f t="shared" si="1"/>
        <v>2045</v>
      </c>
      <c r="C732" s="344">
        <v>90.0</v>
      </c>
      <c r="D732" s="369"/>
      <c r="E732" s="344" t="str">
        <f t="shared" si="2"/>
        <v>Saturday</v>
      </c>
      <c r="F732" s="344" t="s">
        <v>554</v>
      </c>
      <c r="G732" s="370"/>
      <c r="H732" s="370"/>
      <c r="I732" s="357">
        <f t="shared" si="3"/>
        <v>0</v>
      </c>
      <c r="J732" s="346">
        <f t="shared" si="4"/>
        <v>0</v>
      </c>
      <c r="K732" s="312"/>
      <c r="L732" s="312"/>
      <c r="M732" s="312"/>
      <c r="N732" s="362"/>
      <c r="O732" s="312"/>
      <c r="P732" s="312"/>
      <c r="S732" s="2">
        <f t="shared" si="5"/>
        <v>0</v>
      </c>
      <c r="AA732" s="312"/>
      <c r="AB732" s="312"/>
      <c r="AC732" s="312"/>
      <c r="AD732" s="312"/>
    </row>
    <row r="733">
      <c r="A733" s="312"/>
      <c r="B733" s="344">
        <f t="shared" si="1"/>
        <v>2045</v>
      </c>
      <c r="C733" s="344">
        <v>90.0</v>
      </c>
      <c r="D733" s="369"/>
      <c r="E733" s="344" t="str">
        <f t="shared" si="2"/>
        <v>Saturday</v>
      </c>
      <c r="F733" s="344" t="s">
        <v>554</v>
      </c>
      <c r="G733" s="370"/>
      <c r="H733" s="370"/>
      <c r="I733" s="357">
        <f t="shared" si="3"/>
        <v>0</v>
      </c>
      <c r="J733" s="346">
        <f t="shared" si="4"/>
        <v>0</v>
      </c>
      <c r="K733" s="312"/>
      <c r="L733" s="312"/>
      <c r="M733" s="312"/>
      <c r="N733" s="362"/>
      <c r="O733" s="312"/>
      <c r="P733" s="312"/>
      <c r="S733" s="2">
        <f t="shared" si="5"/>
        <v>0</v>
      </c>
      <c r="AA733" s="312"/>
      <c r="AB733" s="312"/>
      <c r="AC733" s="312"/>
      <c r="AD733" s="312"/>
    </row>
    <row r="734">
      <c r="A734" s="312"/>
      <c r="B734" s="344">
        <f t="shared" si="1"/>
        <v>2045</v>
      </c>
      <c r="C734" s="344">
        <v>90.0</v>
      </c>
      <c r="D734" s="369"/>
      <c r="E734" s="344" t="str">
        <f t="shared" si="2"/>
        <v>Saturday</v>
      </c>
      <c r="F734" s="344" t="s">
        <v>554</v>
      </c>
      <c r="G734" s="370"/>
      <c r="H734" s="370"/>
      <c r="I734" s="357">
        <f t="shared" si="3"/>
        <v>0</v>
      </c>
      <c r="J734" s="346">
        <f t="shared" si="4"/>
        <v>0</v>
      </c>
      <c r="K734" s="312"/>
      <c r="L734" s="312"/>
      <c r="M734" s="312"/>
      <c r="N734" s="362"/>
      <c r="O734" s="312"/>
      <c r="P734" s="312"/>
      <c r="S734" s="2">
        <f t="shared" si="5"/>
        <v>0</v>
      </c>
      <c r="AA734" s="312"/>
      <c r="AB734" s="312"/>
      <c r="AC734" s="312"/>
      <c r="AD734" s="312"/>
    </row>
    <row r="735">
      <c r="A735" s="312"/>
      <c r="B735" s="344">
        <f t="shared" si="1"/>
        <v>2045</v>
      </c>
      <c r="C735" s="344">
        <v>90.0</v>
      </c>
      <c r="D735" s="369"/>
      <c r="E735" s="344" t="str">
        <f t="shared" si="2"/>
        <v>Saturday</v>
      </c>
      <c r="F735" s="344" t="s">
        <v>554</v>
      </c>
      <c r="G735" s="370"/>
      <c r="H735" s="370"/>
      <c r="I735" s="357">
        <f t="shared" si="3"/>
        <v>0</v>
      </c>
      <c r="J735" s="346">
        <f t="shared" si="4"/>
        <v>0</v>
      </c>
      <c r="K735" s="312"/>
      <c r="L735" s="312"/>
      <c r="M735" s="312"/>
      <c r="N735" s="362"/>
      <c r="O735" s="312"/>
      <c r="P735" s="312"/>
      <c r="S735" s="2">
        <f t="shared" si="5"/>
        <v>0</v>
      </c>
      <c r="AA735" s="312"/>
      <c r="AB735" s="312"/>
      <c r="AC735" s="312"/>
      <c r="AD735" s="312"/>
    </row>
    <row r="736">
      <c r="A736" s="312"/>
      <c r="B736" s="344">
        <f t="shared" si="1"/>
        <v>2045</v>
      </c>
      <c r="C736" s="344">
        <v>90.0</v>
      </c>
      <c r="D736" s="369"/>
      <c r="E736" s="344" t="str">
        <f t="shared" si="2"/>
        <v>Saturday</v>
      </c>
      <c r="F736" s="344" t="s">
        <v>554</v>
      </c>
      <c r="G736" s="370"/>
      <c r="H736" s="370"/>
      <c r="I736" s="357">
        <f t="shared" si="3"/>
        <v>0</v>
      </c>
      <c r="J736" s="346">
        <f t="shared" si="4"/>
        <v>0</v>
      </c>
      <c r="K736" s="312"/>
      <c r="L736" s="312"/>
      <c r="M736" s="312"/>
      <c r="N736" s="362"/>
      <c r="O736" s="312"/>
      <c r="P736" s="312"/>
      <c r="S736" s="2">
        <f t="shared" si="5"/>
        <v>0</v>
      </c>
      <c r="AA736" s="312"/>
      <c r="AB736" s="312"/>
      <c r="AC736" s="312"/>
      <c r="AD736" s="312"/>
    </row>
    <row r="737">
      <c r="A737" s="312"/>
      <c r="B737" s="344">
        <f t="shared" si="1"/>
        <v>2045</v>
      </c>
      <c r="C737" s="344">
        <v>90.0</v>
      </c>
      <c r="D737" s="369"/>
      <c r="E737" s="344" t="str">
        <f t="shared" si="2"/>
        <v>Saturday</v>
      </c>
      <c r="F737" s="344" t="s">
        <v>554</v>
      </c>
      <c r="G737" s="370"/>
      <c r="H737" s="370"/>
      <c r="I737" s="357">
        <f t="shared" si="3"/>
        <v>0</v>
      </c>
      <c r="J737" s="346">
        <f t="shared" si="4"/>
        <v>0</v>
      </c>
      <c r="K737" s="312"/>
      <c r="L737" s="312"/>
      <c r="M737" s="312"/>
      <c r="N737" s="362"/>
      <c r="O737" s="312"/>
      <c r="P737" s="312"/>
      <c r="S737" s="2">
        <f t="shared" si="5"/>
        <v>0</v>
      </c>
      <c r="AA737" s="312"/>
      <c r="AB737" s="312"/>
      <c r="AC737" s="312"/>
      <c r="AD737" s="312"/>
    </row>
    <row r="738">
      <c r="A738" s="312"/>
      <c r="B738" s="344">
        <f t="shared" si="1"/>
        <v>2045</v>
      </c>
      <c r="C738" s="344">
        <v>90.0</v>
      </c>
      <c r="D738" s="369"/>
      <c r="E738" s="344" t="str">
        <f t="shared" si="2"/>
        <v>Saturday</v>
      </c>
      <c r="F738" s="344" t="s">
        <v>554</v>
      </c>
      <c r="G738" s="370"/>
      <c r="H738" s="370"/>
      <c r="I738" s="357">
        <f t="shared" si="3"/>
        <v>0</v>
      </c>
      <c r="J738" s="346">
        <f t="shared" si="4"/>
        <v>0</v>
      </c>
      <c r="K738" s="312"/>
      <c r="L738" s="312"/>
      <c r="M738" s="312"/>
      <c r="N738" s="362"/>
      <c r="O738" s="312"/>
      <c r="P738" s="312"/>
      <c r="S738" s="2">
        <f t="shared" si="5"/>
        <v>0</v>
      </c>
      <c r="AA738" s="312"/>
      <c r="AB738" s="312"/>
      <c r="AC738" s="312"/>
      <c r="AD738" s="312"/>
    </row>
    <row r="739">
      <c r="A739" s="312"/>
      <c r="B739" s="344">
        <f t="shared" si="1"/>
        <v>2045</v>
      </c>
      <c r="C739" s="344">
        <v>90.0</v>
      </c>
      <c r="D739" s="369"/>
      <c r="E739" s="344" t="str">
        <f t="shared" si="2"/>
        <v>Saturday</v>
      </c>
      <c r="F739" s="344" t="s">
        <v>554</v>
      </c>
      <c r="G739" s="370"/>
      <c r="H739" s="370"/>
      <c r="I739" s="357">
        <f t="shared" si="3"/>
        <v>0</v>
      </c>
      <c r="J739" s="346">
        <f t="shared" si="4"/>
        <v>0</v>
      </c>
      <c r="K739" s="312"/>
      <c r="L739" s="312"/>
      <c r="M739" s="312"/>
      <c r="N739" s="362"/>
      <c r="O739" s="312"/>
      <c r="P739" s="312"/>
      <c r="S739" s="2">
        <f t="shared" si="5"/>
        <v>0</v>
      </c>
      <c r="AA739" s="312"/>
      <c r="AB739" s="312"/>
      <c r="AC739" s="312"/>
      <c r="AD739" s="312"/>
    </row>
    <row r="740">
      <c r="A740" s="312"/>
      <c r="B740" s="344">
        <f t="shared" si="1"/>
        <v>2045</v>
      </c>
      <c r="C740" s="344">
        <v>90.0</v>
      </c>
      <c r="D740" s="369"/>
      <c r="E740" s="344" t="str">
        <f t="shared" si="2"/>
        <v>Saturday</v>
      </c>
      <c r="F740" s="344" t="s">
        <v>554</v>
      </c>
      <c r="G740" s="370"/>
      <c r="H740" s="370"/>
      <c r="I740" s="357">
        <f t="shared" si="3"/>
        <v>0</v>
      </c>
      <c r="J740" s="346">
        <f t="shared" si="4"/>
        <v>0</v>
      </c>
      <c r="K740" s="312"/>
      <c r="L740" s="312"/>
      <c r="M740" s="312"/>
      <c r="N740" s="362"/>
      <c r="O740" s="312"/>
      <c r="P740" s="312"/>
      <c r="S740" s="2">
        <f t="shared" si="5"/>
        <v>0</v>
      </c>
      <c r="AA740" s="312"/>
      <c r="AB740" s="312"/>
      <c r="AC740" s="312"/>
      <c r="AD740" s="312"/>
    </row>
    <row r="741">
      <c r="A741" s="312"/>
      <c r="B741" s="344">
        <f t="shared" si="1"/>
        <v>2045</v>
      </c>
      <c r="C741" s="344">
        <v>90.0</v>
      </c>
      <c r="D741" s="369"/>
      <c r="E741" s="344" t="str">
        <f t="shared" si="2"/>
        <v>Saturday</v>
      </c>
      <c r="F741" s="344" t="s">
        <v>554</v>
      </c>
      <c r="G741" s="370"/>
      <c r="H741" s="370"/>
      <c r="I741" s="357">
        <f t="shared" si="3"/>
        <v>0</v>
      </c>
      <c r="J741" s="346">
        <f t="shared" si="4"/>
        <v>0</v>
      </c>
      <c r="K741" s="312"/>
      <c r="L741" s="312"/>
      <c r="M741" s="312"/>
      <c r="N741" s="362"/>
      <c r="O741" s="312"/>
      <c r="P741" s="312"/>
      <c r="S741" s="2">
        <f t="shared" si="5"/>
        <v>0</v>
      </c>
      <c r="AA741" s="312"/>
      <c r="AB741" s="312"/>
      <c r="AC741" s="312"/>
      <c r="AD741" s="312"/>
    </row>
    <row r="742">
      <c r="A742" s="312"/>
      <c r="B742" s="344">
        <f t="shared" si="1"/>
        <v>2045</v>
      </c>
      <c r="C742" s="344">
        <v>90.0</v>
      </c>
      <c r="D742" s="369"/>
      <c r="E742" s="344" t="str">
        <f t="shared" si="2"/>
        <v>Saturday</v>
      </c>
      <c r="F742" s="344" t="s">
        <v>554</v>
      </c>
      <c r="G742" s="370"/>
      <c r="H742" s="370"/>
      <c r="I742" s="357">
        <f t="shared" si="3"/>
        <v>0</v>
      </c>
      <c r="J742" s="346">
        <f t="shared" si="4"/>
        <v>0</v>
      </c>
      <c r="K742" s="312"/>
      <c r="L742" s="312"/>
      <c r="M742" s="312"/>
      <c r="N742" s="362"/>
      <c r="O742" s="312"/>
      <c r="P742" s="312"/>
      <c r="S742" s="2">
        <f t="shared" si="5"/>
        <v>0</v>
      </c>
      <c r="AA742" s="312"/>
      <c r="AB742" s="312"/>
      <c r="AC742" s="312"/>
      <c r="AD742" s="312"/>
    </row>
    <row r="743">
      <c r="A743" s="312"/>
      <c r="B743" s="344">
        <f t="shared" si="1"/>
        <v>2045</v>
      </c>
      <c r="C743" s="344">
        <v>90.0</v>
      </c>
      <c r="D743" s="369"/>
      <c r="E743" s="344" t="str">
        <f t="shared" si="2"/>
        <v>Saturday</v>
      </c>
      <c r="F743" s="344" t="s">
        <v>554</v>
      </c>
      <c r="G743" s="370"/>
      <c r="H743" s="370"/>
      <c r="I743" s="357">
        <f t="shared" si="3"/>
        <v>0</v>
      </c>
      <c r="J743" s="346">
        <f t="shared" si="4"/>
        <v>0</v>
      </c>
      <c r="K743" s="312"/>
      <c r="L743" s="312"/>
      <c r="M743" s="312"/>
      <c r="N743" s="362"/>
      <c r="O743" s="312"/>
      <c r="P743" s="312"/>
      <c r="S743" s="2">
        <f t="shared" si="5"/>
        <v>0</v>
      </c>
      <c r="AA743" s="312"/>
      <c r="AB743" s="312"/>
      <c r="AC743" s="312"/>
      <c r="AD743" s="312"/>
    </row>
    <row r="744">
      <c r="A744" s="312"/>
      <c r="B744" s="344">
        <f t="shared" si="1"/>
        <v>2045</v>
      </c>
      <c r="C744" s="344">
        <v>90.0</v>
      </c>
      <c r="D744" s="369"/>
      <c r="E744" s="344" t="str">
        <f t="shared" si="2"/>
        <v>Saturday</v>
      </c>
      <c r="F744" s="344" t="s">
        <v>554</v>
      </c>
      <c r="G744" s="370"/>
      <c r="H744" s="370"/>
      <c r="I744" s="357">
        <f t="shared" si="3"/>
        <v>0</v>
      </c>
      <c r="J744" s="346">
        <f t="shared" si="4"/>
        <v>0</v>
      </c>
      <c r="K744" s="312"/>
      <c r="L744" s="312"/>
      <c r="M744" s="312"/>
      <c r="N744" s="362"/>
      <c r="O744" s="312"/>
      <c r="P744" s="312"/>
      <c r="S744" s="2">
        <f t="shared" si="5"/>
        <v>0</v>
      </c>
      <c r="AA744" s="312"/>
      <c r="AB744" s="312"/>
      <c r="AC744" s="312"/>
      <c r="AD744" s="312"/>
    </row>
    <row r="745">
      <c r="A745" s="312"/>
      <c r="B745" s="344">
        <f t="shared" si="1"/>
        <v>2045</v>
      </c>
      <c r="C745" s="344">
        <v>90.0</v>
      </c>
      <c r="D745" s="369"/>
      <c r="E745" s="344" t="str">
        <f t="shared" si="2"/>
        <v>Saturday</v>
      </c>
      <c r="F745" s="344" t="s">
        <v>554</v>
      </c>
      <c r="G745" s="370"/>
      <c r="H745" s="370"/>
      <c r="I745" s="357">
        <f t="shared" si="3"/>
        <v>0</v>
      </c>
      <c r="J745" s="346">
        <f t="shared" si="4"/>
        <v>0</v>
      </c>
      <c r="K745" s="312"/>
      <c r="L745" s="312"/>
      <c r="M745" s="312"/>
      <c r="N745" s="362"/>
      <c r="O745" s="312"/>
      <c r="P745" s="312"/>
      <c r="S745" s="2">
        <f t="shared" si="5"/>
        <v>0</v>
      </c>
      <c r="AA745" s="312"/>
      <c r="AB745" s="312"/>
      <c r="AC745" s="312"/>
      <c r="AD745" s="312"/>
    </row>
    <row r="746">
      <c r="A746" s="312"/>
      <c r="B746" s="344">
        <f t="shared" si="1"/>
        <v>2045</v>
      </c>
      <c r="C746" s="344">
        <v>90.0</v>
      </c>
      <c r="D746" s="369"/>
      <c r="E746" s="344" t="str">
        <f t="shared" si="2"/>
        <v>Saturday</v>
      </c>
      <c r="F746" s="344" t="s">
        <v>554</v>
      </c>
      <c r="G746" s="370"/>
      <c r="H746" s="370"/>
      <c r="I746" s="357">
        <f t="shared" si="3"/>
        <v>0</v>
      </c>
      <c r="J746" s="346">
        <f t="shared" si="4"/>
        <v>0</v>
      </c>
      <c r="K746" s="312"/>
      <c r="L746" s="312"/>
      <c r="M746" s="312"/>
      <c r="N746" s="362"/>
      <c r="O746" s="312"/>
      <c r="P746" s="312"/>
      <c r="S746" s="2">
        <f t="shared" si="5"/>
        <v>0</v>
      </c>
      <c r="AA746" s="312"/>
      <c r="AB746" s="312"/>
      <c r="AC746" s="312"/>
      <c r="AD746" s="312"/>
    </row>
    <row r="747">
      <c r="A747" s="312"/>
      <c r="B747" s="344">
        <f t="shared" si="1"/>
        <v>2045</v>
      </c>
      <c r="C747" s="344">
        <v>90.0</v>
      </c>
      <c r="D747" s="369"/>
      <c r="E747" s="344" t="str">
        <f t="shared" si="2"/>
        <v>Saturday</v>
      </c>
      <c r="F747" s="344" t="s">
        <v>554</v>
      </c>
      <c r="G747" s="370"/>
      <c r="H747" s="370"/>
      <c r="I747" s="357">
        <f t="shared" si="3"/>
        <v>0</v>
      </c>
      <c r="J747" s="346">
        <f t="shared" si="4"/>
        <v>0</v>
      </c>
      <c r="K747" s="312"/>
      <c r="L747" s="312"/>
      <c r="M747" s="312"/>
      <c r="N747" s="362"/>
      <c r="O747" s="312"/>
      <c r="P747" s="312"/>
      <c r="S747" s="2">
        <f t="shared" si="5"/>
        <v>0</v>
      </c>
      <c r="AA747" s="312"/>
      <c r="AB747" s="312"/>
      <c r="AC747" s="312"/>
      <c r="AD747" s="312"/>
    </row>
    <row r="748">
      <c r="A748" s="312"/>
      <c r="B748" s="344">
        <f t="shared" si="1"/>
        <v>2045</v>
      </c>
      <c r="C748" s="344">
        <v>90.0</v>
      </c>
      <c r="D748" s="369"/>
      <c r="E748" s="344" t="str">
        <f t="shared" si="2"/>
        <v>Saturday</v>
      </c>
      <c r="F748" s="344" t="s">
        <v>554</v>
      </c>
      <c r="G748" s="370"/>
      <c r="H748" s="370"/>
      <c r="I748" s="357">
        <f t="shared" si="3"/>
        <v>0</v>
      </c>
      <c r="J748" s="346">
        <f t="shared" si="4"/>
        <v>0</v>
      </c>
      <c r="K748" s="312"/>
      <c r="L748" s="312"/>
      <c r="M748" s="312"/>
      <c r="N748" s="362"/>
      <c r="O748" s="312"/>
      <c r="P748" s="312"/>
      <c r="S748" s="2">
        <f t="shared" si="5"/>
        <v>0</v>
      </c>
      <c r="AA748" s="312"/>
      <c r="AB748" s="312"/>
      <c r="AC748" s="312"/>
      <c r="AD748" s="312"/>
    </row>
    <row r="749">
      <c r="A749" s="312"/>
      <c r="B749" s="344">
        <f t="shared" si="1"/>
        <v>2045</v>
      </c>
      <c r="C749" s="344">
        <v>90.0</v>
      </c>
      <c r="D749" s="369"/>
      <c r="E749" s="344" t="str">
        <f t="shared" si="2"/>
        <v>Saturday</v>
      </c>
      <c r="F749" s="344" t="s">
        <v>554</v>
      </c>
      <c r="G749" s="370"/>
      <c r="H749" s="370"/>
      <c r="I749" s="357">
        <f t="shared" si="3"/>
        <v>0</v>
      </c>
      <c r="J749" s="346">
        <f t="shared" si="4"/>
        <v>0</v>
      </c>
      <c r="K749" s="312"/>
      <c r="L749" s="312"/>
      <c r="M749" s="312"/>
      <c r="N749" s="362"/>
      <c r="O749" s="312"/>
      <c r="P749" s="312"/>
      <c r="S749" s="2">
        <f t="shared" si="5"/>
        <v>0</v>
      </c>
      <c r="AA749" s="312"/>
      <c r="AB749" s="312"/>
      <c r="AC749" s="312"/>
      <c r="AD749" s="312"/>
    </row>
    <row r="750">
      <c r="A750" s="312"/>
      <c r="B750" s="344">
        <f t="shared" si="1"/>
        <v>2045</v>
      </c>
      <c r="C750" s="344">
        <v>90.0</v>
      </c>
      <c r="D750" s="369"/>
      <c r="E750" s="344" t="str">
        <f t="shared" si="2"/>
        <v>Saturday</v>
      </c>
      <c r="F750" s="344" t="s">
        <v>554</v>
      </c>
      <c r="G750" s="370"/>
      <c r="H750" s="370"/>
      <c r="I750" s="357">
        <f t="shared" si="3"/>
        <v>0</v>
      </c>
      <c r="J750" s="346">
        <f t="shared" si="4"/>
        <v>0</v>
      </c>
      <c r="K750" s="312"/>
      <c r="L750" s="312"/>
      <c r="M750" s="312"/>
      <c r="N750" s="362"/>
      <c r="O750" s="312"/>
      <c r="P750" s="312"/>
      <c r="S750" s="2">
        <f t="shared" si="5"/>
        <v>0</v>
      </c>
      <c r="AA750" s="312"/>
      <c r="AB750" s="312"/>
      <c r="AC750" s="312"/>
      <c r="AD750" s="312"/>
    </row>
    <row r="751">
      <c r="A751" s="312"/>
      <c r="B751" s="344">
        <f t="shared" si="1"/>
        <v>2045</v>
      </c>
      <c r="C751" s="344">
        <v>90.0</v>
      </c>
      <c r="D751" s="369"/>
      <c r="E751" s="344" t="str">
        <f t="shared" si="2"/>
        <v>Saturday</v>
      </c>
      <c r="F751" s="344" t="s">
        <v>554</v>
      </c>
      <c r="G751" s="370"/>
      <c r="H751" s="370"/>
      <c r="I751" s="357">
        <f t="shared" si="3"/>
        <v>0</v>
      </c>
      <c r="J751" s="346">
        <f t="shared" si="4"/>
        <v>0</v>
      </c>
      <c r="K751" s="312"/>
      <c r="L751" s="312"/>
      <c r="M751" s="312"/>
      <c r="N751" s="362"/>
      <c r="O751" s="312"/>
      <c r="P751" s="312"/>
      <c r="S751" s="2">
        <f t="shared" si="5"/>
        <v>0</v>
      </c>
      <c r="AA751" s="312"/>
      <c r="AB751" s="312"/>
      <c r="AC751" s="312"/>
      <c r="AD751" s="312"/>
    </row>
    <row r="752">
      <c r="A752" s="312"/>
      <c r="B752" s="344">
        <f t="shared" si="1"/>
        <v>2045</v>
      </c>
      <c r="C752" s="344">
        <v>90.0</v>
      </c>
      <c r="D752" s="369"/>
      <c r="E752" s="344" t="str">
        <f t="shared" si="2"/>
        <v>Saturday</v>
      </c>
      <c r="F752" s="344" t="s">
        <v>554</v>
      </c>
      <c r="G752" s="370"/>
      <c r="H752" s="370"/>
      <c r="I752" s="357">
        <f t="shared" si="3"/>
        <v>0</v>
      </c>
      <c r="J752" s="346">
        <f t="shared" si="4"/>
        <v>0</v>
      </c>
      <c r="K752" s="312"/>
      <c r="L752" s="312"/>
      <c r="M752" s="312"/>
      <c r="N752" s="362"/>
      <c r="O752" s="312"/>
      <c r="P752" s="312"/>
      <c r="S752" s="2">
        <f t="shared" si="5"/>
        <v>0</v>
      </c>
      <c r="AA752" s="312"/>
      <c r="AB752" s="312"/>
      <c r="AC752" s="312"/>
      <c r="AD752" s="312"/>
    </row>
    <row r="753">
      <c r="A753" s="312"/>
      <c r="B753" s="344">
        <f t="shared" si="1"/>
        <v>2045</v>
      </c>
      <c r="C753" s="344">
        <v>90.0</v>
      </c>
      <c r="D753" s="369"/>
      <c r="E753" s="344" t="str">
        <f t="shared" si="2"/>
        <v>Saturday</v>
      </c>
      <c r="F753" s="344" t="s">
        <v>554</v>
      </c>
      <c r="G753" s="370"/>
      <c r="H753" s="370"/>
      <c r="I753" s="357">
        <f t="shared" si="3"/>
        <v>0</v>
      </c>
      <c r="J753" s="346">
        <f t="shared" si="4"/>
        <v>0</v>
      </c>
      <c r="K753" s="312"/>
      <c r="L753" s="312"/>
      <c r="M753" s="312"/>
      <c r="N753" s="362"/>
      <c r="O753" s="312"/>
      <c r="P753" s="312"/>
      <c r="S753" s="2">
        <f t="shared" si="5"/>
        <v>0</v>
      </c>
      <c r="AA753" s="312"/>
      <c r="AB753" s="312"/>
      <c r="AC753" s="312"/>
      <c r="AD753" s="312"/>
    </row>
    <row r="754">
      <c r="A754" s="312"/>
      <c r="B754" s="344">
        <f t="shared" si="1"/>
        <v>2045</v>
      </c>
      <c r="C754" s="344">
        <v>90.0</v>
      </c>
      <c r="D754" s="369"/>
      <c r="E754" s="344" t="str">
        <f t="shared" si="2"/>
        <v>Saturday</v>
      </c>
      <c r="F754" s="344" t="s">
        <v>554</v>
      </c>
      <c r="G754" s="370"/>
      <c r="H754" s="370"/>
      <c r="I754" s="357">
        <f t="shared" si="3"/>
        <v>0</v>
      </c>
      <c r="J754" s="346">
        <f t="shared" si="4"/>
        <v>0</v>
      </c>
      <c r="K754" s="312"/>
      <c r="L754" s="312"/>
      <c r="M754" s="312"/>
      <c r="N754" s="362"/>
      <c r="O754" s="312"/>
      <c r="P754" s="312"/>
      <c r="S754" s="2">
        <f t="shared" si="5"/>
        <v>0</v>
      </c>
      <c r="AA754" s="312"/>
      <c r="AB754" s="312"/>
      <c r="AC754" s="312"/>
      <c r="AD754" s="312"/>
    </row>
    <row r="755">
      <c r="A755" s="312"/>
      <c r="B755" s="344">
        <f t="shared" si="1"/>
        <v>2045</v>
      </c>
      <c r="C755" s="344">
        <v>90.0</v>
      </c>
      <c r="D755" s="369"/>
      <c r="E755" s="344" t="str">
        <f t="shared" si="2"/>
        <v>Saturday</v>
      </c>
      <c r="F755" s="344" t="s">
        <v>554</v>
      </c>
      <c r="G755" s="370"/>
      <c r="H755" s="370"/>
      <c r="I755" s="357">
        <f t="shared" si="3"/>
        <v>0</v>
      </c>
      <c r="J755" s="346">
        <f t="shared" si="4"/>
        <v>0</v>
      </c>
      <c r="K755" s="312"/>
      <c r="L755" s="312"/>
      <c r="M755" s="312"/>
      <c r="N755" s="362"/>
      <c r="O755" s="312"/>
      <c r="P755" s="312"/>
      <c r="S755" s="2">
        <f t="shared" si="5"/>
        <v>0</v>
      </c>
      <c r="AA755" s="312"/>
      <c r="AB755" s="312"/>
      <c r="AC755" s="312"/>
      <c r="AD755" s="312"/>
    </row>
    <row r="756">
      <c r="A756" s="312"/>
      <c r="B756" s="344">
        <f t="shared" si="1"/>
        <v>2045</v>
      </c>
      <c r="C756" s="344">
        <v>90.0</v>
      </c>
      <c r="D756" s="369"/>
      <c r="E756" s="344" t="str">
        <f t="shared" si="2"/>
        <v>Saturday</v>
      </c>
      <c r="F756" s="344" t="s">
        <v>554</v>
      </c>
      <c r="G756" s="370"/>
      <c r="H756" s="370"/>
      <c r="I756" s="357">
        <f t="shared" si="3"/>
        <v>0</v>
      </c>
      <c r="J756" s="346">
        <f t="shared" si="4"/>
        <v>0</v>
      </c>
      <c r="K756" s="312"/>
      <c r="L756" s="312"/>
      <c r="M756" s="312"/>
      <c r="N756" s="362"/>
      <c r="O756" s="312"/>
      <c r="P756" s="312"/>
      <c r="S756" s="2">
        <f t="shared" si="5"/>
        <v>0</v>
      </c>
      <c r="AA756" s="312"/>
      <c r="AB756" s="312"/>
      <c r="AC756" s="312"/>
      <c r="AD756" s="312"/>
    </row>
    <row r="757">
      <c r="A757" s="312"/>
      <c r="B757" s="344">
        <f t="shared" si="1"/>
        <v>2045</v>
      </c>
      <c r="C757" s="344">
        <v>90.0</v>
      </c>
      <c r="D757" s="369"/>
      <c r="E757" s="344" t="str">
        <f t="shared" si="2"/>
        <v>Saturday</v>
      </c>
      <c r="F757" s="344" t="s">
        <v>554</v>
      </c>
      <c r="G757" s="370"/>
      <c r="H757" s="370"/>
      <c r="I757" s="357">
        <f t="shared" si="3"/>
        <v>0</v>
      </c>
      <c r="J757" s="346">
        <f t="shared" si="4"/>
        <v>0</v>
      </c>
      <c r="K757" s="312"/>
      <c r="L757" s="312"/>
      <c r="M757" s="312"/>
      <c r="N757" s="362"/>
      <c r="O757" s="312"/>
      <c r="P757" s="312"/>
      <c r="S757" s="2">
        <f t="shared" si="5"/>
        <v>0</v>
      </c>
      <c r="AA757" s="312"/>
      <c r="AB757" s="312"/>
      <c r="AC757" s="312"/>
      <c r="AD757" s="312"/>
    </row>
    <row r="758">
      <c r="A758" s="312"/>
      <c r="B758" s="344">
        <f t="shared" si="1"/>
        <v>2045</v>
      </c>
      <c r="C758" s="344">
        <v>90.0</v>
      </c>
      <c r="D758" s="369"/>
      <c r="E758" s="344" t="str">
        <f t="shared" si="2"/>
        <v>Saturday</v>
      </c>
      <c r="F758" s="344" t="s">
        <v>554</v>
      </c>
      <c r="G758" s="370"/>
      <c r="H758" s="370"/>
      <c r="I758" s="357">
        <f t="shared" si="3"/>
        <v>0</v>
      </c>
      <c r="J758" s="346">
        <f t="shared" si="4"/>
        <v>0</v>
      </c>
      <c r="K758" s="312"/>
      <c r="L758" s="312"/>
      <c r="M758" s="312"/>
      <c r="N758" s="362"/>
      <c r="O758" s="312"/>
      <c r="P758" s="312"/>
      <c r="S758" s="2">
        <f t="shared" si="5"/>
        <v>0</v>
      </c>
      <c r="AA758" s="312"/>
      <c r="AB758" s="312"/>
      <c r="AC758" s="312"/>
      <c r="AD758" s="312"/>
    </row>
    <row r="759">
      <c r="A759" s="312"/>
      <c r="B759" s="344">
        <f t="shared" si="1"/>
        <v>2045</v>
      </c>
      <c r="C759" s="344">
        <v>90.0</v>
      </c>
      <c r="D759" s="369"/>
      <c r="E759" s="344" t="str">
        <f t="shared" si="2"/>
        <v>Saturday</v>
      </c>
      <c r="F759" s="344" t="s">
        <v>554</v>
      </c>
      <c r="G759" s="370"/>
      <c r="H759" s="370"/>
      <c r="I759" s="357">
        <f t="shared" si="3"/>
        <v>0</v>
      </c>
      <c r="J759" s="346">
        <f t="shared" si="4"/>
        <v>0</v>
      </c>
      <c r="K759" s="312"/>
      <c r="L759" s="312"/>
      <c r="M759" s="312"/>
      <c r="N759" s="362"/>
      <c r="O759" s="312"/>
      <c r="P759" s="312"/>
      <c r="S759" s="2">
        <f t="shared" si="5"/>
        <v>0</v>
      </c>
      <c r="AA759" s="312"/>
      <c r="AB759" s="312"/>
      <c r="AC759" s="312"/>
      <c r="AD759" s="312"/>
    </row>
    <row r="760">
      <c r="A760" s="312"/>
      <c r="B760" s="344">
        <f t="shared" si="1"/>
        <v>2045</v>
      </c>
      <c r="C760" s="344">
        <v>90.0</v>
      </c>
      <c r="D760" s="369"/>
      <c r="E760" s="344" t="str">
        <f t="shared" si="2"/>
        <v>Saturday</v>
      </c>
      <c r="F760" s="344" t="s">
        <v>554</v>
      </c>
      <c r="G760" s="370"/>
      <c r="H760" s="370"/>
      <c r="I760" s="357">
        <f t="shared" si="3"/>
        <v>0</v>
      </c>
      <c r="J760" s="346">
        <f t="shared" si="4"/>
        <v>0</v>
      </c>
      <c r="K760" s="312"/>
      <c r="L760" s="312"/>
      <c r="M760" s="312"/>
      <c r="N760" s="362"/>
      <c r="O760" s="312"/>
      <c r="P760" s="312"/>
      <c r="S760" s="2">
        <f t="shared" si="5"/>
        <v>0</v>
      </c>
      <c r="AA760" s="312"/>
      <c r="AB760" s="312"/>
      <c r="AC760" s="312"/>
      <c r="AD760" s="312"/>
    </row>
    <row r="761">
      <c r="A761" s="312"/>
      <c r="B761" s="344">
        <f t="shared" si="1"/>
        <v>2045</v>
      </c>
      <c r="C761" s="344">
        <v>90.0</v>
      </c>
      <c r="D761" s="369"/>
      <c r="E761" s="344" t="str">
        <f t="shared" si="2"/>
        <v>Saturday</v>
      </c>
      <c r="F761" s="344" t="s">
        <v>554</v>
      </c>
      <c r="G761" s="370"/>
      <c r="H761" s="370"/>
      <c r="I761" s="357">
        <f t="shared" si="3"/>
        <v>0</v>
      </c>
      <c r="J761" s="346">
        <f t="shared" si="4"/>
        <v>0</v>
      </c>
      <c r="K761" s="312"/>
      <c r="L761" s="312"/>
      <c r="M761" s="312"/>
      <c r="N761" s="362"/>
      <c r="O761" s="312"/>
      <c r="P761" s="312"/>
      <c r="S761" s="2">
        <f t="shared" si="5"/>
        <v>0</v>
      </c>
      <c r="AA761" s="312"/>
      <c r="AB761" s="312"/>
      <c r="AC761" s="312"/>
      <c r="AD761" s="312"/>
    </row>
    <row r="762">
      <c r="A762" s="312"/>
      <c r="B762" s="344">
        <f t="shared" si="1"/>
        <v>2045</v>
      </c>
      <c r="C762" s="344">
        <v>90.0</v>
      </c>
      <c r="D762" s="369"/>
      <c r="E762" s="344" t="str">
        <f t="shared" si="2"/>
        <v>Saturday</v>
      </c>
      <c r="F762" s="344" t="s">
        <v>554</v>
      </c>
      <c r="G762" s="370"/>
      <c r="H762" s="370"/>
      <c r="I762" s="357">
        <f t="shared" si="3"/>
        <v>0</v>
      </c>
      <c r="J762" s="346">
        <f t="shared" si="4"/>
        <v>0</v>
      </c>
      <c r="K762" s="312"/>
      <c r="L762" s="312"/>
      <c r="M762" s="312"/>
      <c r="N762" s="362"/>
      <c r="O762" s="312"/>
      <c r="P762" s="312"/>
      <c r="S762" s="2">
        <f t="shared" si="5"/>
        <v>0</v>
      </c>
      <c r="AA762" s="312"/>
      <c r="AB762" s="312"/>
      <c r="AC762" s="312"/>
      <c r="AD762" s="312"/>
    </row>
    <row r="763">
      <c r="A763" s="312"/>
      <c r="B763" s="344">
        <f t="shared" si="1"/>
        <v>2045</v>
      </c>
      <c r="C763" s="344">
        <v>90.0</v>
      </c>
      <c r="D763" s="369"/>
      <c r="E763" s="344" t="str">
        <f t="shared" si="2"/>
        <v>Saturday</v>
      </c>
      <c r="F763" s="344" t="s">
        <v>554</v>
      </c>
      <c r="G763" s="370"/>
      <c r="H763" s="370"/>
      <c r="I763" s="357">
        <f t="shared" si="3"/>
        <v>0</v>
      </c>
      <c r="J763" s="346">
        <f t="shared" si="4"/>
        <v>0</v>
      </c>
      <c r="K763" s="312"/>
      <c r="L763" s="312"/>
      <c r="M763" s="312"/>
      <c r="N763" s="362"/>
      <c r="O763" s="312"/>
      <c r="P763" s="312"/>
      <c r="S763" s="2">
        <f t="shared" si="5"/>
        <v>0</v>
      </c>
      <c r="AA763" s="312"/>
      <c r="AB763" s="312"/>
      <c r="AC763" s="312"/>
      <c r="AD763" s="312"/>
    </row>
    <row r="764">
      <c r="A764" s="312"/>
      <c r="B764" s="344">
        <f t="shared" si="1"/>
        <v>2045</v>
      </c>
      <c r="C764" s="344">
        <v>90.0</v>
      </c>
      <c r="D764" s="369"/>
      <c r="E764" s="344" t="str">
        <f t="shared" si="2"/>
        <v>Saturday</v>
      </c>
      <c r="F764" s="344" t="s">
        <v>554</v>
      </c>
      <c r="G764" s="370"/>
      <c r="H764" s="370"/>
      <c r="I764" s="357">
        <f t="shared" si="3"/>
        <v>0</v>
      </c>
      <c r="J764" s="346">
        <f t="shared" si="4"/>
        <v>0</v>
      </c>
      <c r="K764" s="312"/>
      <c r="L764" s="312"/>
      <c r="M764" s="312"/>
      <c r="N764" s="362"/>
      <c r="O764" s="312"/>
      <c r="P764" s="312"/>
      <c r="S764" s="2">
        <f t="shared" si="5"/>
        <v>0</v>
      </c>
      <c r="AA764" s="312"/>
      <c r="AB764" s="312"/>
      <c r="AC764" s="312"/>
      <c r="AD764" s="312"/>
    </row>
    <row r="765">
      <c r="A765" s="312"/>
      <c r="B765" s="344">
        <f t="shared" si="1"/>
        <v>2045</v>
      </c>
      <c r="C765" s="344">
        <v>90.0</v>
      </c>
      <c r="D765" s="369"/>
      <c r="E765" s="344" t="str">
        <f t="shared" si="2"/>
        <v>Saturday</v>
      </c>
      <c r="F765" s="344" t="s">
        <v>554</v>
      </c>
      <c r="G765" s="370"/>
      <c r="H765" s="370"/>
      <c r="I765" s="357">
        <f t="shared" si="3"/>
        <v>0</v>
      </c>
      <c r="J765" s="346">
        <f t="shared" si="4"/>
        <v>0</v>
      </c>
      <c r="K765" s="312"/>
      <c r="L765" s="312"/>
      <c r="M765" s="312"/>
      <c r="N765" s="362"/>
      <c r="O765" s="312"/>
      <c r="P765" s="312"/>
      <c r="S765" s="2">
        <f t="shared" si="5"/>
        <v>0</v>
      </c>
      <c r="AA765" s="312"/>
      <c r="AB765" s="312"/>
      <c r="AC765" s="312"/>
      <c r="AD765" s="312"/>
    </row>
    <row r="766">
      <c r="A766" s="312"/>
      <c r="B766" s="344">
        <f t="shared" si="1"/>
        <v>2045</v>
      </c>
      <c r="C766" s="344">
        <v>90.0</v>
      </c>
      <c r="D766" s="369"/>
      <c r="E766" s="344" t="str">
        <f t="shared" si="2"/>
        <v>Saturday</v>
      </c>
      <c r="F766" s="344" t="s">
        <v>554</v>
      </c>
      <c r="G766" s="370"/>
      <c r="H766" s="370"/>
      <c r="I766" s="357">
        <f t="shared" si="3"/>
        <v>0</v>
      </c>
      <c r="J766" s="346">
        <f t="shared" si="4"/>
        <v>0</v>
      </c>
      <c r="K766" s="312"/>
      <c r="L766" s="312"/>
      <c r="M766" s="312"/>
      <c r="N766" s="362"/>
      <c r="O766" s="312"/>
      <c r="P766" s="312"/>
      <c r="S766" s="2">
        <f t="shared" si="5"/>
        <v>0</v>
      </c>
      <c r="AA766" s="312"/>
      <c r="AB766" s="312"/>
      <c r="AC766" s="312"/>
      <c r="AD766" s="312"/>
    </row>
    <row r="767">
      <c r="A767" s="312"/>
      <c r="B767" s="344">
        <f t="shared" si="1"/>
        <v>2045</v>
      </c>
      <c r="C767" s="344">
        <v>90.0</v>
      </c>
      <c r="D767" s="369"/>
      <c r="E767" s="344" t="str">
        <f t="shared" si="2"/>
        <v>Saturday</v>
      </c>
      <c r="F767" s="344" t="s">
        <v>554</v>
      </c>
      <c r="G767" s="370"/>
      <c r="H767" s="370"/>
      <c r="I767" s="357">
        <f t="shared" si="3"/>
        <v>0</v>
      </c>
      <c r="J767" s="346">
        <f t="shared" si="4"/>
        <v>0</v>
      </c>
      <c r="K767" s="312"/>
      <c r="L767" s="312"/>
      <c r="M767" s="312"/>
      <c r="N767" s="362"/>
      <c r="O767" s="312"/>
      <c r="P767" s="312"/>
      <c r="S767" s="2">
        <f t="shared" si="5"/>
        <v>0</v>
      </c>
      <c r="AA767" s="312"/>
      <c r="AB767" s="312"/>
      <c r="AC767" s="312"/>
      <c r="AD767" s="312"/>
    </row>
    <row r="768">
      <c r="A768" s="312"/>
      <c r="B768" s="344">
        <f t="shared" si="1"/>
        <v>2045</v>
      </c>
      <c r="C768" s="344">
        <v>90.0</v>
      </c>
      <c r="D768" s="369"/>
      <c r="E768" s="344" t="str">
        <f t="shared" si="2"/>
        <v>Saturday</v>
      </c>
      <c r="F768" s="344" t="s">
        <v>554</v>
      </c>
      <c r="G768" s="370"/>
      <c r="H768" s="370"/>
      <c r="I768" s="357">
        <f t="shared" si="3"/>
        <v>0</v>
      </c>
      <c r="J768" s="346">
        <f t="shared" si="4"/>
        <v>0</v>
      </c>
      <c r="K768" s="312"/>
      <c r="L768" s="312"/>
      <c r="M768" s="312"/>
      <c r="N768" s="362"/>
      <c r="O768" s="312"/>
      <c r="P768" s="312"/>
      <c r="S768" s="2">
        <f t="shared" si="5"/>
        <v>0</v>
      </c>
      <c r="AA768" s="312"/>
      <c r="AB768" s="312"/>
      <c r="AC768" s="312"/>
      <c r="AD768" s="312"/>
    </row>
    <row r="769">
      <c r="A769" s="312"/>
      <c r="B769" s="344">
        <f t="shared" si="1"/>
        <v>2045</v>
      </c>
      <c r="C769" s="344">
        <v>90.0</v>
      </c>
      <c r="D769" s="369"/>
      <c r="E769" s="344" t="str">
        <f t="shared" si="2"/>
        <v>Saturday</v>
      </c>
      <c r="F769" s="344" t="s">
        <v>554</v>
      </c>
      <c r="G769" s="370"/>
      <c r="H769" s="370"/>
      <c r="I769" s="357">
        <f t="shared" si="3"/>
        <v>0</v>
      </c>
      <c r="J769" s="346">
        <f t="shared" si="4"/>
        <v>0</v>
      </c>
      <c r="K769" s="312"/>
      <c r="L769" s="312"/>
      <c r="M769" s="312"/>
      <c r="N769" s="362"/>
      <c r="O769" s="312"/>
      <c r="P769" s="312"/>
      <c r="S769" s="2">
        <f t="shared" si="5"/>
        <v>0</v>
      </c>
      <c r="AA769" s="312"/>
      <c r="AB769" s="312"/>
      <c r="AC769" s="312"/>
      <c r="AD769" s="312"/>
    </row>
    <row r="770">
      <c r="A770" s="312"/>
      <c r="B770" s="344">
        <f t="shared" si="1"/>
        <v>2045</v>
      </c>
      <c r="C770" s="344">
        <v>90.0</v>
      </c>
      <c r="D770" s="369"/>
      <c r="E770" s="344" t="str">
        <f t="shared" si="2"/>
        <v>Saturday</v>
      </c>
      <c r="F770" s="344" t="s">
        <v>554</v>
      </c>
      <c r="G770" s="370"/>
      <c r="H770" s="370"/>
      <c r="I770" s="357">
        <f t="shared" si="3"/>
        <v>0</v>
      </c>
      <c r="J770" s="346">
        <f t="shared" si="4"/>
        <v>0</v>
      </c>
      <c r="K770" s="312"/>
      <c r="L770" s="312"/>
      <c r="M770" s="312"/>
      <c r="N770" s="362"/>
      <c r="O770" s="312"/>
      <c r="P770" s="312"/>
      <c r="S770" s="2">
        <f t="shared" si="5"/>
        <v>0</v>
      </c>
      <c r="AA770" s="312"/>
      <c r="AB770" s="312"/>
      <c r="AC770" s="312"/>
      <c r="AD770" s="312"/>
    </row>
    <row r="771">
      <c r="A771" s="312"/>
      <c r="B771" s="344">
        <f t="shared" si="1"/>
        <v>2045</v>
      </c>
      <c r="C771" s="344">
        <v>90.0</v>
      </c>
      <c r="D771" s="369"/>
      <c r="E771" s="344" t="str">
        <f t="shared" si="2"/>
        <v>Saturday</v>
      </c>
      <c r="F771" s="344" t="s">
        <v>554</v>
      </c>
      <c r="G771" s="370"/>
      <c r="H771" s="370"/>
      <c r="I771" s="357">
        <f t="shared" si="3"/>
        <v>0</v>
      </c>
      <c r="J771" s="346">
        <f t="shared" si="4"/>
        <v>0</v>
      </c>
      <c r="K771" s="312"/>
      <c r="L771" s="312"/>
      <c r="M771" s="312"/>
      <c r="N771" s="362"/>
      <c r="O771" s="312"/>
      <c r="P771" s="312"/>
      <c r="S771" s="2">
        <f t="shared" si="5"/>
        <v>0</v>
      </c>
      <c r="AA771" s="312"/>
      <c r="AB771" s="312"/>
      <c r="AC771" s="312"/>
      <c r="AD771" s="312"/>
    </row>
    <row r="772">
      <c r="A772" s="312"/>
      <c r="B772" s="344">
        <f t="shared" si="1"/>
        <v>2045</v>
      </c>
      <c r="C772" s="344">
        <v>90.0</v>
      </c>
      <c r="D772" s="369"/>
      <c r="E772" s="344" t="str">
        <f t="shared" si="2"/>
        <v>Saturday</v>
      </c>
      <c r="F772" s="344" t="s">
        <v>554</v>
      </c>
      <c r="G772" s="370"/>
      <c r="H772" s="370"/>
      <c r="I772" s="357">
        <f t="shared" si="3"/>
        <v>0</v>
      </c>
      <c r="J772" s="346">
        <f t="shared" si="4"/>
        <v>0</v>
      </c>
      <c r="K772" s="312"/>
      <c r="L772" s="312"/>
      <c r="M772" s="312"/>
      <c r="N772" s="362"/>
      <c r="O772" s="312"/>
      <c r="P772" s="312"/>
      <c r="S772" s="2">
        <f t="shared" si="5"/>
        <v>0</v>
      </c>
      <c r="AA772" s="312"/>
      <c r="AB772" s="312"/>
      <c r="AC772" s="312"/>
      <c r="AD772" s="312"/>
    </row>
    <row r="773">
      <c r="A773" s="312"/>
      <c r="B773" s="344">
        <f t="shared" si="1"/>
        <v>2045</v>
      </c>
      <c r="C773" s="344">
        <v>90.0</v>
      </c>
      <c r="D773" s="369"/>
      <c r="E773" s="344" t="str">
        <f t="shared" si="2"/>
        <v>Saturday</v>
      </c>
      <c r="F773" s="344" t="s">
        <v>554</v>
      </c>
      <c r="G773" s="370"/>
      <c r="H773" s="370"/>
      <c r="I773" s="357">
        <f t="shared" si="3"/>
        <v>0</v>
      </c>
      <c r="J773" s="346">
        <f t="shared" si="4"/>
        <v>0</v>
      </c>
      <c r="K773" s="312"/>
      <c r="L773" s="312"/>
      <c r="M773" s="312"/>
      <c r="N773" s="362"/>
      <c r="O773" s="312"/>
      <c r="P773" s="312"/>
      <c r="S773" s="2">
        <f t="shared" si="5"/>
        <v>0</v>
      </c>
      <c r="AA773" s="312"/>
      <c r="AB773" s="312"/>
      <c r="AC773" s="312"/>
      <c r="AD773" s="312"/>
    </row>
    <row r="774">
      <c r="A774" s="312"/>
      <c r="B774" s="344">
        <f t="shared" si="1"/>
        <v>2045</v>
      </c>
      <c r="C774" s="344">
        <v>90.0</v>
      </c>
      <c r="D774" s="369"/>
      <c r="E774" s="344" t="str">
        <f t="shared" si="2"/>
        <v>Saturday</v>
      </c>
      <c r="F774" s="344" t="s">
        <v>554</v>
      </c>
      <c r="G774" s="370"/>
      <c r="H774" s="370"/>
      <c r="I774" s="357">
        <f t="shared" si="3"/>
        <v>0</v>
      </c>
      <c r="J774" s="346">
        <f t="shared" si="4"/>
        <v>0</v>
      </c>
      <c r="K774" s="312"/>
      <c r="L774" s="312"/>
      <c r="M774" s="312"/>
      <c r="N774" s="362"/>
      <c r="O774" s="312"/>
      <c r="P774" s="312"/>
      <c r="S774" s="2">
        <f t="shared" si="5"/>
        <v>0</v>
      </c>
      <c r="AA774" s="312"/>
      <c r="AB774" s="312"/>
      <c r="AC774" s="312"/>
      <c r="AD774" s="312"/>
    </row>
    <row r="775">
      <c r="A775" s="312"/>
      <c r="B775" s="344">
        <f t="shared" si="1"/>
        <v>2045</v>
      </c>
      <c r="C775" s="344">
        <v>90.0</v>
      </c>
      <c r="D775" s="369"/>
      <c r="E775" s="344" t="str">
        <f t="shared" si="2"/>
        <v>Saturday</v>
      </c>
      <c r="F775" s="344" t="s">
        <v>554</v>
      </c>
      <c r="G775" s="370"/>
      <c r="H775" s="370"/>
      <c r="I775" s="357">
        <f t="shared" si="3"/>
        <v>0</v>
      </c>
      <c r="J775" s="346">
        <f t="shared" si="4"/>
        <v>0</v>
      </c>
      <c r="K775" s="312"/>
      <c r="L775" s="312"/>
      <c r="M775" s="312"/>
      <c r="N775" s="362"/>
      <c r="O775" s="312"/>
      <c r="P775" s="312"/>
      <c r="S775" s="2">
        <f t="shared" si="5"/>
        <v>0</v>
      </c>
      <c r="AA775" s="312"/>
      <c r="AB775" s="312"/>
      <c r="AC775" s="312"/>
      <c r="AD775" s="312"/>
    </row>
    <row r="776">
      <c r="A776" s="312"/>
      <c r="B776" s="344">
        <f t="shared" si="1"/>
        <v>2045</v>
      </c>
      <c r="C776" s="344">
        <v>90.0</v>
      </c>
      <c r="D776" s="369"/>
      <c r="E776" s="344" t="str">
        <f t="shared" si="2"/>
        <v>Saturday</v>
      </c>
      <c r="F776" s="344" t="s">
        <v>554</v>
      </c>
      <c r="G776" s="370"/>
      <c r="H776" s="370"/>
      <c r="I776" s="357">
        <f t="shared" si="3"/>
        <v>0</v>
      </c>
      <c r="J776" s="346">
        <f t="shared" si="4"/>
        <v>0</v>
      </c>
      <c r="K776" s="312"/>
      <c r="L776" s="312"/>
      <c r="M776" s="312"/>
      <c r="N776" s="362"/>
      <c r="O776" s="312"/>
      <c r="P776" s="312"/>
      <c r="S776" s="2">
        <f t="shared" si="5"/>
        <v>0</v>
      </c>
      <c r="AA776" s="312"/>
      <c r="AB776" s="312"/>
      <c r="AC776" s="312"/>
      <c r="AD776" s="312"/>
    </row>
    <row r="777">
      <c r="A777" s="312"/>
      <c r="B777" s="344">
        <f t="shared" si="1"/>
        <v>2045</v>
      </c>
      <c r="C777" s="344">
        <v>90.0</v>
      </c>
      <c r="D777" s="369"/>
      <c r="E777" s="344" t="str">
        <f t="shared" si="2"/>
        <v>Saturday</v>
      </c>
      <c r="F777" s="344" t="s">
        <v>554</v>
      </c>
      <c r="G777" s="370"/>
      <c r="H777" s="370"/>
      <c r="I777" s="357">
        <f t="shared" si="3"/>
        <v>0</v>
      </c>
      <c r="J777" s="346">
        <f t="shared" si="4"/>
        <v>0</v>
      </c>
      <c r="K777" s="312"/>
      <c r="L777" s="312"/>
      <c r="M777" s="312"/>
      <c r="N777" s="362"/>
      <c r="O777" s="312"/>
      <c r="P777" s="312"/>
      <c r="S777" s="2">
        <f t="shared" si="5"/>
        <v>0</v>
      </c>
      <c r="AA777" s="312"/>
      <c r="AB777" s="312"/>
      <c r="AC777" s="312"/>
      <c r="AD777" s="312"/>
    </row>
    <row r="778">
      <c r="A778" s="312"/>
      <c r="B778" s="344">
        <f t="shared" si="1"/>
        <v>2045</v>
      </c>
      <c r="C778" s="344">
        <v>90.0</v>
      </c>
      <c r="D778" s="369"/>
      <c r="E778" s="344" t="str">
        <f t="shared" si="2"/>
        <v>Saturday</v>
      </c>
      <c r="F778" s="344" t="s">
        <v>554</v>
      </c>
      <c r="G778" s="370"/>
      <c r="H778" s="370"/>
      <c r="I778" s="357">
        <f t="shared" si="3"/>
        <v>0</v>
      </c>
      <c r="J778" s="346">
        <f t="shared" si="4"/>
        <v>0</v>
      </c>
      <c r="K778" s="312"/>
      <c r="L778" s="312"/>
      <c r="M778" s="312"/>
      <c r="N778" s="362"/>
      <c r="O778" s="312"/>
      <c r="P778" s="312"/>
      <c r="S778" s="2">
        <f t="shared" si="5"/>
        <v>0</v>
      </c>
      <c r="AA778" s="312"/>
      <c r="AB778" s="312"/>
      <c r="AC778" s="312"/>
      <c r="AD778" s="312"/>
    </row>
    <row r="779">
      <c r="A779" s="312"/>
      <c r="B779" s="344">
        <f t="shared" si="1"/>
        <v>2045</v>
      </c>
      <c r="C779" s="344">
        <v>90.0</v>
      </c>
      <c r="D779" s="369"/>
      <c r="E779" s="344" t="str">
        <f t="shared" si="2"/>
        <v>Saturday</v>
      </c>
      <c r="F779" s="344" t="s">
        <v>554</v>
      </c>
      <c r="G779" s="370"/>
      <c r="H779" s="370"/>
      <c r="I779" s="357">
        <f t="shared" si="3"/>
        <v>0</v>
      </c>
      <c r="J779" s="346">
        <f t="shared" si="4"/>
        <v>0</v>
      </c>
      <c r="K779" s="312"/>
      <c r="L779" s="312"/>
      <c r="M779" s="312"/>
      <c r="N779" s="362"/>
      <c r="O779" s="312"/>
      <c r="P779" s="312"/>
      <c r="S779" s="2">
        <f t="shared" si="5"/>
        <v>0</v>
      </c>
      <c r="AA779" s="312"/>
      <c r="AB779" s="312"/>
      <c r="AC779" s="312"/>
      <c r="AD779" s="312"/>
    </row>
    <row r="780">
      <c r="A780" s="312"/>
      <c r="B780" s="344">
        <f t="shared" si="1"/>
        <v>2045</v>
      </c>
      <c r="C780" s="344">
        <v>90.0</v>
      </c>
      <c r="D780" s="369"/>
      <c r="E780" s="344" t="str">
        <f t="shared" si="2"/>
        <v>Saturday</v>
      </c>
      <c r="F780" s="344" t="s">
        <v>554</v>
      </c>
      <c r="G780" s="370"/>
      <c r="H780" s="370"/>
      <c r="I780" s="357">
        <f t="shared" si="3"/>
        <v>0</v>
      </c>
      <c r="J780" s="346">
        <f t="shared" si="4"/>
        <v>0</v>
      </c>
      <c r="K780" s="312"/>
      <c r="L780" s="312"/>
      <c r="M780" s="312"/>
      <c r="N780" s="362"/>
      <c r="O780" s="312"/>
      <c r="P780" s="312"/>
      <c r="S780" s="2">
        <f t="shared" si="5"/>
        <v>0</v>
      </c>
      <c r="AA780" s="312"/>
      <c r="AB780" s="312"/>
      <c r="AC780" s="312"/>
      <c r="AD780" s="312"/>
    </row>
    <row r="781">
      <c r="A781" s="312"/>
      <c r="B781" s="344">
        <f t="shared" si="1"/>
        <v>2045</v>
      </c>
      <c r="C781" s="344">
        <v>90.0</v>
      </c>
      <c r="D781" s="369"/>
      <c r="E781" s="344" t="str">
        <f t="shared" si="2"/>
        <v>Saturday</v>
      </c>
      <c r="F781" s="344" t="s">
        <v>554</v>
      </c>
      <c r="G781" s="370"/>
      <c r="H781" s="370"/>
      <c r="I781" s="357">
        <f t="shared" si="3"/>
        <v>0</v>
      </c>
      <c r="J781" s="346">
        <f t="shared" si="4"/>
        <v>0</v>
      </c>
      <c r="K781" s="312"/>
      <c r="L781" s="312"/>
      <c r="M781" s="312"/>
      <c r="N781" s="362"/>
      <c r="O781" s="312"/>
      <c r="P781" s="312"/>
      <c r="S781" s="2">
        <f t="shared" si="5"/>
        <v>0</v>
      </c>
      <c r="AA781" s="312"/>
      <c r="AB781" s="312"/>
      <c r="AC781" s="312"/>
      <c r="AD781" s="312"/>
    </row>
    <row r="782">
      <c r="A782" s="312"/>
      <c r="B782" s="344">
        <f t="shared" si="1"/>
        <v>2045</v>
      </c>
      <c r="C782" s="344">
        <v>90.0</v>
      </c>
      <c r="D782" s="369"/>
      <c r="E782" s="344" t="str">
        <f t="shared" si="2"/>
        <v>Saturday</v>
      </c>
      <c r="F782" s="344" t="s">
        <v>554</v>
      </c>
      <c r="G782" s="370"/>
      <c r="H782" s="370"/>
      <c r="I782" s="357">
        <f t="shared" si="3"/>
        <v>0</v>
      </c>
      <c r="J782" s="346">
        <f t="shared" si="4"/>
        <v>0</v>
      </c>
      <c r="K782" s="312"/>
      <c r="L782" s="312"/>
      <c r="M782" s="312"/>
      <c r="N782" s="362"/>
      <c r="O782" s="312"/>
      <c r="P782" s="312"/>
      <c r="S782" s="2">
        <f t="shared" si="5"/>
        <v>0</v>
      </c>
      <c r="AA782" s="312"/>
      <c r="AB782" s="312"/>
      <c r="AC782" s="312"/>
      <c r="AD782" s="312"/>
    </row>
    <row r="783">
      <c r="A783" s="312"/>
      <c r="B783" s="344">
        <f t="shared" si="1"/>
        <v>2045</v>
      </c>
      <c r="C783" s="344">
        <v>90.0</v>
      </c>
      <c r="D783" s="369"/>
      <c r="E783" s="344" t="str">
        <f t="shared" si="2"/>
        <v>Saturday</v>
      </c>
      <c r="F783" s="344" t="s">
        <v>554</v>
      </c>
      <c r="G783" s="370"/>
      <c r="H783" s="370"/>
      <c r="I783" s="357">
        <f t="shared" si="3"/>
        <v>0</v>
      </c>
      <c r="J783" s="346">
        <f t="shared" si="4"/>
        <v>0</v>
      </c>
      <c r="K783" s="312"/>
      <c r="L783" s="312"/>
      <c r="M783" s="312"/>
      <c r="N783" s="362"/>
      <c r="O783" s="312"/>
      <c r="P783" s="312"/>
      <c r="S783" s="2">
        <f t="shared" si="5"/>
        <v>0</v>
      </c>
      <c r="AA783" s="312"/>
      <c r="AB783" s="312"/>
      <c r="AC783" s="312"/>
      <c r="AD783" s="312"/>
    </row>
    <row r="784">
      <c r="A784" s="312"/>
      <c r="B784" s="344">
        <f t="shared" si="1"/>
        <v>2045</v>
      </c>
      <c r="C784" s="344">
        <v>90.0</v>
      </c>
      <c r="D784" s="369"/>
      <c r="E784" s="344" t="str">
        <f t="shared" si="2"/>
        <v>Saturday</v>
      </c>
      <c r="F784" s="344" t="s">
        <v>554</v>
      </c>
      <c r="G784" s="370"/>
      <c r="H784" s="370"/>
      <c r="I784" s="357">
        <f t="shared" si="3"/>
        <v>0</v>
      </c>
      <c r="J784" s="346">
        <f t="shared" si="4"/>
        <v>0</v>
      </c>
      <c r="K784" s="312"/>
      <c r="L784" s="312"/>
      <c r="M784" s="312"/>
      <c r="N784" s="362"/>
      <c r="O784" s="312"/>
      <c r="P784" s="312"/>
      <c r="S784" s="2">
        <f t="shared" si="5"/>
        <v>0</v>
      </c>
      <c r="AA784" s="312"/>
      <c r="AB784" s="312"/>
      <c r="AC784" s="312"/>
      <c r="AD784" s="312"/>
    </row>
    <row r="785">
      <c r="A785" s="312"/>
      <c r="B785" s="344">
        <f t="shared" si="1"/>
        <v>2045</v>
      </c>
      <c r="C785" s="344">
        <v>90.0</v>
      </c>
      <c r="D785" s="369"/>
      <c r="E785" s="344" t="str">
        <f t="shared" si="2"/>
        <v>Saturday</v>
      </c>
      <c r="F785" s="344" t="s">
        <v>554</v>
      </c>
      <c r="G785" s="370"/>
      <c r="H785" s="370"/>
      <c r="I785" s="357">
        <f t="shared" si="3"/>
        <v>0</v>
      </c>
      <c r="J785" s="346">
        <f t="shared" si="4"/>
        <v>0</v>
      </c>
      <c r="K785" s="312"/>
      <c r="L785" s="312"/>
      <c r="M785" s="312"/>
      <c r="N785" s="362"/>
      <c r="O785" s="312"/>
      <c r="P785" s="312"/>
      <c r="S785" s="2">
        <f t="shared" si="5"/>
        <v>0</v>
      </c>
      <c r="AA785" s="312"/>
      <c r="AB785" s="312"/>
      <c r="AC785" s="312"/>
      <c r="AD785" s="312"/>
    </row>
    <row r="786">
      <c r="A786" s="312"/>
      <c r="B786" s="344">
        <f t="shared" si="1"/>
        <v>2045</v>
      </c>
      <c r="C786" s="344">
        <v>90.0</v>
      </c>
      <c r="D786" s="369"/>
      <c r="E786" s="344" t="str">
        <f t="shared" si="2"/>
        <v>Saturday</v>
      </c>
      <c r="F786" s="344" t="s">
        <v>554</v>
      </c>
      <c r="G786" s="370"/>
      <c r="H786" s="370"/>
      <c r="I786" s="357">
        <f t="shared" si="3"/>
        <v>0</v>
      </c>
      <c r="J786" s="346">
        <f t="shared" si="4"/>
        <v>0</v>
      </c>
      <c r="K786" s="312"/>
      <c r="L786" s="312"/>
      <c r="M786" s="312"/>
      <c r="N786" s="362"/>
      <c r="O786" s="312"/>
      <c r="P786" s="312"/>
      <c r="S786" s="2">
        <f t="shared" si="5"/>
        <v>0</v>
      </c>
      <c r="AA786" s="312"/>
      <c r="AB786" s="312"/>
      <c r="AC786" s="312"/>
      <c r="AD786" s="312"/>
    </row>
    <row r="787">
      <c r="A787" s="312"/>
      <c r="B787" s="344">
        <f t="shared" si="1"/>
        <v>2045</v>
      </c>
      <c r="C787" s="344">
        <v>90.0</v>
      </c>
      <c r="D787" s="369"/>
      <c r="E787" s="344" t="str">
        <f t="shared" si="2"/>
        <v>Saturday</v>
      </c>
      <c r="F787" s="344" t="s">
        <v>554</v>
      </c>
      <c r="G787" s="370"/>
      <c r="H787" s="370"/>
      <c r="I787" s="357">
        <f t="shared" si="3"/>
        <v>0</v>
      </c>
      <c r="J787" s="346">
        <f t="shared" si="4"/>
        <v>0</v>
      </c>
      <c r="K787" s="312"/>
      <c r="L787" s="312"/>
      <c r="M787" s="312"/>
      <c r="N787" s="362"/>
      <c r="O787" s="312"/>
      <c r="P787" s="312"/>
      <c r="S787" s="2">
        <f t="shared" si="5"/>
        <v>0</v>
      </c>
      <c r="AA787" s="312"/>
      <c r="AB787" s="312"/>
      <c r="AC787" s="312"/>
      <c r="AD787" s="312"/>
    </row>
    <row r="788">
      <c r="A788" s="312"/>
      <c r="B788" s="344">
        <f t="shared" si="1"/>
        <v>2045</v>
      </c>
      <c r="C788" s="344">
        <v>90.0</v>
      </c>
      <c r="D788" s="369"/>
      <c r="E788" s="344" t="str">
        <f t="shared" si="2"/>
        <v>Saturday</v>
      </c>
      <c r="F788" s="344" t="s">
        <v>554</v>
      </c>
      <c r="G788" s="370"/>
      <c r="H788" s="370"/>
      <c r="I788" s="357">
        <f t="shared" si="3"/>
        <v>0</v>
      </c>
      <c r="J788" s="346">
        <f t="shared" si="4"/>
        <v>0</v>
      </c>
      <c r="K788" s="312"/>
      <c r="L788" s="312"/>
      <c r="M788" s="312"/>
      <c r="N788" s="362"/>
      <c r="O788" s="312"/>
      <c r="P788" s="312"/>
      <c r="S788" s="2">
        <f t="shared" si="5"/>
        <v>0</v>
      </c>
      <c r="AA788" s="312"/>
      <c r="AB788" s="312"/>
      <c r="AC788" s="312"/>
      <c r="AD788" s="312"/>
    </row>
    <row r="789">
      <c r="A789" s="312"/>
      <c r="B789" s="344">
        <f t="shared" si="1"/>
        <v>2045</v>
      </c>
      <c r="C789" s="344">
        <v>90.0</v>
      </c>
      <c r="D789" s="369"/>
      <c r="E789" s="344" t="str">
        <f t="shared" si="2"/>
        <v>Saturday</v>
      </c>
      <c r="F789" s="344" t="s">
        <v>554</v>
      </c>
      <c r="G789" s="370"/>
      <c r="H789" s="370"/>
      <c r="I789" s="357">
        <f t="shared" si="3"/>
        <v>0</v>
      </c>
      <c r="J789" s="346">
        <f t="shared" si="4"/>
        <v>0</v>
      </c>
      <c r="K789" s="312"/>
      <c r="L789" s="312"/>
      <c r="M789" s="312"/>
      <c r="N789" s="362"/>
      <c r="O789" s="312"/>
      <c r="P789" s="312"/>
      <c r="S789" s="2">
        <f t="shared" si="5"/>
        <v>0</v>
      </c>
      <c r="AA789" s="312"/>
      <c r="AB789" s="312"/>
      <c r="AC789" s="312"/>
      <c r="AD789" s="312"/>
    </row>
    <row r="790">
      <c r="A790" s="312"/>
      <c r="B790" s="344">
        <f t="shared" si="1"/>
        <v>2045</v>
      </c>
      <c r="C790" s="344">
        <v>90.0</v>
      </c>
      <c r="D790" s="369"/>
      <c r="E790" s="344" t="str">
        <f t="shared" si="2"/>
        <v>Saturday</v>
      </c>
      <c r="F790" s="344" t="s">
        <v>554</v>
      </c>
      <c r="G790" s="370"/>
      <c r="H790" s="370"/>
      <c r="I790" s="357">
        <f t="shared" si="3"/>
        <v>0</v>
      </c>
      <c r="J790" s="346">
        <f t="shared" si="4"/>
        <v>0</v>
      </c>
      <c r="K790" s="312"/>
      <c r="L790" s="312"/>
      <c r="M790" s="312"/>
      <c r="N790" s="362"/>
      <c r="O790" s="312"/>
      <c r="P790" s="312"/>
      <c r="S790" s="2">
        <f t="shared" si="5"/>
        <v>0</v>
      </c>
      <c r="AA790" s="312"/>
      <c r="AB790" s="312"/>
      <c r="AC790" s="312"/>
      <c r="AD790" s="312"/>
    </row>
    <row r="791">
      <c r="A791" s="312"/>
      <c r="B791" s="344">
        <f t="shared" si="1"/>
        <v>2045</v>
      </c>
      <c r="C791" s="344">
        <v>90.0</v>
      </c>
      <c r="D791" s="369"/>
      <c r="E791" s="344" t="str">
        <f t="shared" si="2"/>
        <v>Saturday</v>
      </c>
      <c r="F791" s="344" t="s">
        <v>554</v>
      </c>
      <c r="G791" s="370"/>
      <c r="H791" s="370"/>
      <c r="I791" s="357">
        <f t="shared" si="3"/>
        <v>0</v>
      </c>
      <c r="J791" s="346">
        <f t="shared" si="4"/>
        <v>0</v>
      </c>
      <c r="K791" s="312"/>
      <c r="L791" s="312"/>
      <c r="M791" s="312"/>
      <c r="N791" s="362"/>
      <c r="O791" s="312"/>
      <c r="P791" s="312"/>
      <c r="S791" s="2">
        <f t="shared" si="5"/>
        <v>0</v>
      </c>
      <c r="AA791" s="312"/>
      <c r="AB791" s="312"/>
      <c r="AC791" s="312"/>
      <c r="AD791" s="312"/>
    </row>
    <row r="792">
      <c r="A792" s="312"/>
      <c r="B792" s="344">
        <f t="shared" si="1"/>
        <v>2045</v>
      </c>
      <c r="C792" s="344">
        <v>90.0</v>
      </c>
      <c r="D792" s="369"/>
      <c r="E792" s="344" t="str">
        <f t="shared" si="2"/>
        <v>Saturday</v>
      </c>
      <c r="F792" s="344" t="s">
        <v>554</v>
      </c>
      <c r="G792" s="370"/>
      <c r="H792" s="370"/>
      <c r="I792" s="357">
        <f t="shared" si="3"/>
        <v>0</v>
      </c>
      <c r="J792" s="346">
        <f t="shared" si="4"/>
        <v>0</v>
      </c>
      <c r="K792" s="312"/>
      <c r="L792" s="312"/>
      <c r="M792" s="312"/>
      <c r="N792" s="362"/>
      <c r="O792" s="312"/>
      <c r="P792" s="312"/>
      <c r="S792" s="2">
        <f t="shared" si="5"/>
        <v>0</v>
      </c>
      <c r="AA792" s="312"/>
      <c r="AB792" s="312"/>
      <c r="AC792" s="312"/>
      <c r="AD792" s="312"/>
    </row>
    <row r="793">
      <c r="A793" s="312"/>
      <c r="B793" s="344">
        <f t="shared" si="1"/>
        <v>2045</v>
      </c>
      <c r="C793" s="344">
        <v>90.0</v>
      </c>
      <c r="D793" s="369"/>
      <c r="E793" s="344" t="str">
        <f t="shared" si="2"/>
        <v>Saturday</v>
      </c>
      <c r="F793" s="344" t="s">
        <v>554</v>
      </c>
      <c r="G793" s="370"/>
      <c r="H793" s="370"/>
      <c r="I793" s="357">
        <f t="shared" si="3"/>
        <v>0</v>
      </c>
      <c r="J793" s="346">
        <f t="shared" si="4"/>
        <v>0</v>
      </c>
      <c r="K793" s="312"/>
      <c r="L793" s="312"/>
      <c r="M793" s="312"/>
      <c r="N793" s="362"/>
      <c r="O793" s="312"/>
      <c r="P793" s="312"/>
      <c r="S793" s="2">
        <f t="shared" si="5"/>
        <v>0</v>
      </c>
      <c r="AA793" s="312"/>
      <c r="AB793" s="312"/>
      <c r="AC793" s="312"/>
      <c r="AD793" s="312"/>
    </row>
    <row r="794">
      <c r="A794" s="312"/>
      <c r="B794" s="344">
        <f t="shared" si="1"/>
        <v>2045</v>
      </c>
      <c r="C794" s="344">
        <v>90.0</v>
      </c>
      <c r="D794" s="369"/>
      <c r="E794" s="344" t="str">
        <f t="shared" si="2"/>
        <v>Saturday</v>
      </c>
      <c r="F794" s="344" t="s">
        <v>554</v>
      </c>
      <c r="G794" s="370"/>
      <c r="H794" s="370"/>
      <c r="I794" s="357">
        <f t="shared" si="3"/>
        <v>0</v>
      </c>
      <c r="J794" s="346">
        <f t="shared" si="4"/>
        <v>0</v>
      </c>
      <c r="K794" s="312"/>
      <c r="L794" s="312"/>
      <c r="M794" s="312"/>
      <c r="N794" s="362"/>
      <c r="O794" s="312"/>
      <c r="P794" s="312"/>
      <c r="S794" s="2">
        <f t="shared" si="5"/>
        <v>0</v>
      </c>
      <c r="AA794" s="312"/>
      <c r="AB794" s="312"/>
      <c r="AC794" s="312"/>
      <c r="AD794" s="312"/>
    </row>
    <row r="795">
      <c r="A795" s="312"/>
      <c r="B795" s="344">
        <f t="shared" si="1"/>
        <v>2045</v>
      </c>
      <c r="C795" s="344">
        <v>90.0</v>
      </c>
      <c r="D795" s="369"/>
      <c r="E795" s="344" t="str">
        <f t="shared" si="2"/>
        <v>Saturday</v>
      </c>
      <c r="F795" s="344" t="s">
        <v>554</v>
      </c>
      <c r="G795" s="370"/>
      <c r="H795" s="370"/>
      <c r="I795" s="357">
        <f t="shared" si="3"/>
        <v>0</v>
      </c>
      <c r="J795" s="346">
        <f t="shared" si="4"/>
        <v>0</v>
      </c>
      <c r="K795" s="312"/>
      <c r="L795" s="312"/>
      <c r="M795" s="312"/>
      <c r="N795" s="362"/>
      <c r="O795" s="312"/>
      <c r="P795" s="312"/>
      <c r="S795" s="2">
        <f t="shared" si="5"/>
        <v>0</v>
      </c>
      <c r="AA795" s="312"/>
      <c r="AB795" s="312"/>
      <c r="AC795" s="312"/>
      <c r="AD795" s="312"/>
    </row>
    <row r="796">
      <c r="A796" s="312"/>
      <c r="B796" s="344">
        <f t="shared" si="1"/>
        <v>2045</v>
      </c>
      <c r="C796" s="344">
        <v>90.0</v>
      </c>
      <c r="D796" s="369"/>
      <c r="E796" s="344" t="str">
        <f t="shared" si="2"/>
        <v>Saturday</v>
      </c>
      <c r="F796" s="344" t="s">
        <v>554</v>
      </c>
      <c r="G796" s="370"/>
      <c r="H796" s="370"/>
      <c r="I796" s="357">
        <f t="shared" si="3"/>
        <v>0</v>
      </c>
      <c r="J796" s="346">
        <f t="shared" si="4"/>
        <v>0</v>
      </c>
      <c r="K796" s="312"/>
      <c r="L796" s="312"/>
      <c r="M796" s="312"/>
      <c r="N796" s="362"/>
      <c r="O796" s="312"/>
      <c r="P796" s="312"/>
      <c r="S796" s="2">
        <f t="shared" si="5"/>
        <v>0</v>
      </c>
      <c r="AA796" s="312"/>
      <c r="AB796" s="312"/>
      <c r="AC796" s="312"/>
      <c r="AD796" s="312"/>
    </row>
    <row r="797">
      <c r="A797" s="312"/>
      <c r="B797" s="344">
        <f t="shared" si="1"/>
        <v>2045</v>
      </c>
      <c r="C797" s="344">
        <v>90.0</v>
      </c>
      <c r="D797" s="369"/>
      <c r="E797" s="344" t="str">
        <f t="shared" si="2"/>
        <v>Saturday</v>
      </c>
      <c r="F797" s="344" t="s">
        <v>554</v>
      </c>
      <c r="G797" s="370"/>
      <c r="H797" s="370"/>
      <c r="I797" s="357">
        <f t="shared" si="3"/>
        <v>0</v>
      </c>
      <c r="J797" s="346">
        <f t="shared" si="4"/>
        <v>0</v>
      </c>
      <c r="K797" s="312"/>
      <c r="L797" s="312"/>
      <c r="M797" s="312"/>
      <c r="N797" s="362"/>
      <c r="O797" s="312"/>
      <c r="P797" s="312"/>
      <c r="S797" s="2">
        <f t="shared" si="5"/>
        <v>0</v>
      </c>
      <c r="AA797" s="312"/>
      <c r="AB797" s="312"/>
      <c r="AC797" s="312"/>
      <c r="AD797" s="312"/>
    </row>
    <row r="798">
      <c r="A798" s="312"/>
      <c r="B798" s="344">
        <f t="shared" si="1"/>
        <v>2045</v>
      </c>
      <c r="C798" s="344">
        <v>90.0</v>
      </c>
      <c r="D798" s="369"/>
      <c r="E798" s="344" t="str">
        <f t="shared" si="2"/>
        <v>Saturday</v>
      </c>
      <c r="F798" s="344" t="s">
        <v>554</v>
      </c>
      <c r="G798" s="370"/>
      <c r="H798" s="370"/>
      <c r="I798" s="357">
        <f t="shared" si="3"/>
        <v>0</v>
      </c>
      <c r="J798" s="346">
        <f t="shared" si="4"/>
        <v>0</v>
      </c>
      <c r="K798" s="312"/>
      <c r="L798" s="312"/>
      <c r="M798" s="312"/>
      <c r="N798" s="362"/>
      <c r="O798" s="312"/>
      <c r="P798" s="312"/>
      <c r="S798" s="2">
        <f t="shared" si="5"/>
        <v>0</v>
      </c>
      <c r="AA798" s="312"/>
      <c r="AB798" s="312"/>
      <c r="AC798" s="312"/>
      <c r="AD798" s="312"/>
    </row>
    <row r="799">
      <c r="A799" s="312"/>
      <c r="B799" s="344">
        <f t="shared" si="1"/>
        <v>2045</v>
      </c>
      <c r="C799" s="344">
        <v>90.0</v>
      </c>
      <c r="D799" s="369"/>
      <c r="E799" s="344" t="str">
        <f t="shared" si="2"/>
        <v>Saturday</v>
      </c>
      <c r="F799" s="344" t="s">
        <v>554</v>
      </c>
      <c r="G799" s="370"/>
      <c r="H799" s="370"/>
      <c r="I799" s="357">
        <f t="shared" si="3"/>
        <v>0</v>
      </c>
      <c r="J799" s="346">
        <f t="shared" si="4"/>
        <v>0</v>
      </c>
      <c r="K799" s="312"/>
      <c r="L799" s="312"/>
      <c r="M799" s="312"/>
      <c r="N799" s="362"/>
      <c r="O799" s="312"/>
      <c r="P799" s="312"/>
      <c r="S799" s="2">
        <f t="shared" si="5"/>
        <v>0</v>
      </c>
      <c r="AA799" s="312"/>
      <c r="AB799" s="312"/>
      <c r="AC799" s="312"/>
      <c r="AD799" s="312"/>
    </row>
    <row r="800">
      <c r="A800" s="312"/>
      <c r="B800" s="344">
        <f t="shared" si="1"/>
        <v>2045</v>
      </c>
      <c r="C800" s="344">
        <v>90.0</v>
      </c>
      <c r="D800" s="369"/>
      <c r="E800" s="344" t="str">
        <f t="shared" si="2"/>
        <v>Saturday</v>
      </c>
      <c r="F800" s="344" t="s">
        <v>554</v>
      </c>
      <c r="G800" s="370"/>
      <c r="H800" s="370"/>
      <c r="I800" s="357">
        <f t="shared" si="3"/>
        <v>0</v>
      </c>
      <c r="J800" s="346">
        <f t="shared" si="4"/>
        <v>0</v>
      </c>
      <c r="K800" s="312"/>
      <c r="L800" s="312"/>
      <c r="M800" s="312"/>
      <c r="N800" s="362"/>
      <c r="O800" s="312"/>
      <c r="P800" s="312"/>
      <c r="S800" s="2">
        <f t="shared" si="5"/>
        <v>0</v>
      </c>
      <c r="AA800" s="312"/>
      <c r="AB800" s="312"/>
      <c r="AC800" s="312"/>
      <c r="AD800" s="312"/>
    </row>
    <row r="801">
      <c r="A801" s="312"/>
      <c r="B801" s="344">
        <f t="shared" si="1"/>
        <v>2045</v>
      </c>
      <c r="C801" s="344">
        <v>90.0</v>
      </c>
      <c r="D801" s="369"/>
      <c r="E801" s="344" t="str">
        <f t="shared" si="2"/>
        <v>Saturday</v>
      </c>
      <c r="F801" s="344" t="s">
        <v>554</v>
      </c>
      <c r="G801" s="370"/>
      <c r="H801" s="370"/>
      <c r="I801" s="357">
        <f t="shared" si="3"/>
        <v>0</v>
      </c>
      <c r="J801" s="346">
        <f t="shared" si="4"/>
        <v>0</v>
      </c>
      <c r="K801" s="312"/>
      <c r="L801" s="312"/>
      <c r="M801" s="312"/>
      <c r="N801" s="362"/>
      <c r="O801" s="312"/>
      <c r="P801" s="312"/>
      <c r="S801" s="2">
        <f t="shared" si="5"/>
        <v>0</v>
      </c>
      <c r="AA801" s="312"/>
      <c r="AB801" s="312"/>
      <c r="AC801" s="312"/>
      <c r="AD801" s="312"/>
    </row>
    <row r="802">
      <c r="A802" s="312"/>
      <c r="B802" s="344">
        <f t="shared" si="1"/>
        <v>2045</v>
      </c>
      <c r="C802" s="344">
        <v>90.0</v>
      </c>
      <c r="D802" s="369"/>
      <c r="E802" s="344" t="str">
        <f t="shared" si="2"/>
        <v>Saturday</v>
      </c>
      <c r="F802" s="344" t="s">
        <v>554</v>
      </c>
      <c r="G802" s="370"/>
      <c r="H802" s="370"/>
      <c r="I802" s="357">
        <f t="shared" si="3"/>
        <v>0</v>
      </c>
      <c r="J802" s="346">
        <f t="shared" si="4"/>
        <v>0</v>
      </c>
      <c r="K802" s="312"/>
      <c r="L802" s="312"/>
      <c r="M802" s="312"/>
      <c r="N802" s="362"/>
      <c r="O802" s="312"/>
      <c r="P802" s="312"/>
      <c r="S802" s="2">
        <f t="shared" si="5"/>
        <v>0</v>
      </c>
      <c r="AA802" s="312"/>
      <c r="AB802" s="312"/>
      <c r="AC802" s="312"/>
      <c r="AD802" s="312"/>
    </row>
    <row r="803">
      <c r="A803" s="312"/>
      <c r="B803" s="344">
        <f t="shared" si="1"/>
        <v>2045</v>
      </c>
      <c r="C803" s="344">
        <v>90.0</v>
      </c>
      <c r="D803" s="369"/>
      <c r="E803" s="344" t="str">
        <f t="shared" si="2"/>
        <v>Saturday</v>
      </c>
      <c r="F803" s="344" t="s">
        <v>554</v>
      </c>
      <c r="G803" s="370"/>
      <c r="H803" s="370"/>
      <c r="I803" s="357">
        <f t="shared" si="3"/>
        <v>0</v>
      </c>
      <c r="J803" s="346">
        <f t="shared" si="4"/>
        <v>0</v>
      </c>
      <c r="K803" s="312"/>
      <c r="L803" s="312"/>
      <c r="M803" s="312"/>
      <c r="N803" s="362"/>
      <c r="O803" s="312"/>
      <c r="P803" s="312"/>
      <c r="S803" s="2">
        <f t="shared" si="5"/>
        <v>0</v>
      </c>
      <c r="AA803" s="312"/>
      <c r="AB803" s="312"/>
      <c r="AC803" s="312"/>
      <c r="AD803" s="312"/>
    </row>
    <row r="804">
      <c r="A804" s="312"/>
      <c r="B804" s="344">
        <f t="shared" si="1"/>
        <v>2045</v>
      </c>
      <c r="C804" s="344">
        <v>90.0</v>
      </c>
      <c r="D804" s="369"/>
      <c r="E804" s="344" t="str">
        <f t="shared" si="2"/>
        <v>Saturday</v>
      </c>
      <c r="F804" s="344" t="s">
        <v>554</v>
      </c>
      <c r="G804" s="370"/>
      <c r="H804" s="370"/>
      <c r="I804" s="357">
        <f t="shared" si="3"/>
        <v>0</v>
      </c>
      <c r="J804" s="346">
        <f t="shared" si="4"/>
        <v>0</v>
      </c>
      <c r="K804" s="312"/>
      <c r="L804" s="312"/>
      <c r="M804" s="312"/>
      <c r="N804" s="362"/>
      <c r="O804" s="312"/>
      <c r="P804" s="312"/>
      <c r="S804" s="2">
        <f t="shared" si="5"/>
        <v>0</v>
      </c>
      <c r="AA804" s="312"/>
      <c r="AB804" s="312"/>
      <c r="AC804" s="312"/>
      <c r="AD804" s="312"/>
    </row>
    <row r="805">
      <c r="A805" s="312"/>
      <c r="B805" s="344">
        <f t="shared" si="1"/>
        <v>2045</v>
      </c>
      <c r="C805" s="344">
        <v>90.0</v>
      </c>
      <c r="D805" s="369"/>
      <c r="E805" s="344" t="str">
        <f t="shared" si="2"/>
        <v>Saturday</v>
      </c>
      <c r="F805" s="344" t="s">
        <v>554</v>
      </c>
      <c r="G805" s="370"/>
      <c r="H805" s="370"/>
      <c r="I805" s="357">
        <f t="shared" si="3"/>
        <v>0</v>
      </c>
      <c r="J805" s="346">
        <f t="shared" si="4"/>
        <v>0</v>
      </c>
      <c r="K805" s="312"/>
      <c r="L805" s="312"/>
      <c r="M805" s="312"/>
      <c r="N805" s="362"/>
      <c r="O805" s="312"/>
      <c r="P805" s="312"/>
      <c r="S805" s="2">
        <f t="shared" si="5"/>
        <v>0</v>
      </c>
      <c r="AA805" s="312"/>
      <c r="AB805" s="312"/>
      <c r="AC805" s="312"/>
      <c r="AD805" s="312"/>
    </row>
    <row r="806">
      <c r="A806" s="312"/>
      <c r="B806" s="344">
        <f t="shared" si="1"/>
        <v>2045</v>
      </c>
      <c r="C806" s="344">
        <v>90.0</v>
      </c>
      <c r="D806" s="369"/>
      <c r="E806" s="344" t="str">
        <f t="shared" si="2"/>
        <v>Saturday</v>
      </c>
      <c r="F806" s="344" t="s">
        <v>554</v>
      </c>
      <c r="G806" s="370"/>
      <c r="H806" s="370"/>
      <c r="I806" s="357">
        <f t="shared" si="3"/>
        <v>0</v>
      </c>
      <c r="J806" s="346">
        <f t="shared" si="4"/>
        <v>0</v>
      </c>
      <c r="K806" s="312"/>
      <c r="L806" s="312"/>
      <c r="M806" s="312"/>
      <c r="N806" s="362"/>
      <c r="O806" s="312"/>
      <c r="P806" s="312"/>
      <c r="S806" s="2">
        <f t="shared" si="5"/>
        <v>0</v>
      </c>
      <c r="AA806" s="312"/>
      <c r="AB806" s="312"/>
      <c r="AC806" s="312"/>
      <c r="AD806" s="312"/>
    </row>
    <row r="807">
      <c r="A807" s="312"/>
      <c r="B807" s="344">
        <f t="shared" si="1"/>
        <v>2045</v>
      </c>
      <c r="C807" s="344">
        <v>90.0</v>
      </c>
      <c r="D807" s="369"/>
      <c r="E807" s="344" t="str">
        <f t="shared" si="2"/>
        <v>Saturday</v>
      </c>
      <c r="F807" s="344" t="s">
        <v>554</v>
      </c>
      <c r="G807" s="370"/>
      <c r="H807" s="370"/>
      <c r="I807" s="357">
        <f t="shared" si="3"/>
        <v>0</v>
      </c>
      <c r="J807" s="346">
        <f t="shared" si="4"/>
        <v>0</v>
      </c>
      <c r="K807" s="312"/>
      <c r="L807" s="312"/>
      <c r="M807" s="312"/>
      <c r="N807" s="362"/>
      <c r="O807" s="312"/>
      <c r="P807" s="312"/>
      <c r="S807" s="2">
        <f t="shared" si="5"/>
        <v>0</v>
      </c>
      <c r="AA807" s="312"/>
      <c r="AB807" s="312"/>
      <c r="AC807" s="312"/>
      <c r="AD807" s="312"/>
    </row>
    <row r="808">
      <c r="A808" s="312"/>
      <c r="B808" s="344">
        <f t="shared" si="1"/>
        <v>2045</v>
      </c>
      <c r="C808" s="344">
        <v>90.0</v>
      </c>
      <c r="D808" s="369"/>
      <c r="E808" s="344" t="str">
        <f t="shared" si="2"/>
        <v>Saturday</v>
      </c>
      <c r="F808" s="344" t="s">
        <v>554</v>
      </c>
      <c r="G808" s="370"/>
      <c r="H808" s="370"/>
      <c r="I808" s="357">
        <f t="shared" si="3"/>
        <v>0</v>
      </c>
      <c r="J808" s="346">
        <f t="shared" si="4"/>
        <v>0</v>
      </c>
      <c r="K808" s="312"/>
      <c r="L808" s="312"/>
      <c r="M808" s="312"/>
      <c r="N808" s="362"/>
      <c r="O808" s="312"/>
      <c r="P808" s="312"/>
      <c r="S808" s="2">
        <f t="shared" si="5"/>
        <v>0</v>
      </c>
      <c r="AA808" s="312"/>
      <c r="AB808" s="312"/>
      <c r="AC808" s="312"/>
      <c r="AD808" s="312"/>
    </row>
    <row r="809">
      <c r="A809" s="312"/>
      <c r="B809" s="344">
        <f t="shared" si="1"/>
        <v>2045</v>
      </c>
      <c r="C809" s="344">
        <v>90.0</v>
      </c>
      <c r="D809" s="369"/>
      <c r="E809" s="344" t="str">
        <f t="shared" si="2"/>
        <v>Saturday</v>
      </c>
      <c r="F809" s="344" t="s">
        <v>554</v>
      </c>
      <c r="G809" s="370"/>
      <c r="H809" s="370"/>
      <c r="I809" s="357">
        <f t="shared" si="3"/>
        <v>0</v>
      </c>
      <c r="J809" s="346">
        <f t="shared" si="4"/>
        <v>0</v>
      </c>
      <c r="K809" s="312"/>
      <c r="L809" s="312"/>
      <c r="M809" s="312"/>
      <c r="N809" s="362"/>
      <c r="O809" s="312"/>
      <c r="P809" s="312"/>
      <c r="S809" s="2">
        <f t="shared" si="5"/>
        <v>0</v>
      </c>
      <c r="AA809" s="312"/>
      <c r="AB809" s="312"/>
      <c r="AC809" s="312"/>
      <c r="AD809" s="312"/>
    </row>
    <row r="810">
      <c r="A810" s="312"/>
      <c r="B810" s="344">
        <f t="shared" si="1"/>
        <v>2045</v>
      </c>
      <c r="C810" s="344">
        <v>90.0</v>
      </c>
      <c r="D810" s="369"/>
      <c r="E810" s="344" t="str">
        <f t="shared" si="2"/>
        <v>Saturday</v>
      </c>
      <c r="F810" s="344" t="s">
        <v>554</v>
      </c>
      <c r="G810" s="370"/>
      <c r="H810" s="370"/>
      <c r="I810" s="357">
        <f t="shared" si="3"/>
        <v>0</v>
      </c>
      <c r="J810" s="346">
        <f t="shared" si="4"/>
        <v>0</v>
      </c>
      <c r="K810" s="312"/>
      <c r="L810" s="312"/>
      <c r="M810" s="312"/>
      <c r="N810" s="362"/>
      <c r="O810" s="312"/>
      <c r="P810" s="312"/>
      <c r="S810" s="2">
        <f t="shared" si="5"/>
        <v>0</v>
      </c>
      <c r="AA810" s="312"/>
      <c r="AB810" s="312"/>
      <c r="AC810" s="312"/>
      <c r="AD810" s="312"/>
    </row>
    <row r="811">
      <c r="A811" s="312"/>
      <c r="B811" s="344">
        <f t="shared" si="1"/>
        <v>2045</v>
      </c>
      <c r="C811" s="344">
        <v>90.0</v>
      </c>
      <c r="D811" s="369"/>
      <c r="E811" s="344" t="str">
        <f t="shared" si="2"/>
        <v>Saturday</v>
      </c>
      <c r="F811" s="344" t="s">
        <v>554</v>
      </c>
      <c r="G811" s="370"/>
      <c r="H811" s="370"/>
      <c r="I811" s="357">
        <f t="shared" si="3"/>
        <v>0</v>
      </c>
      <c r="J811" s="346">
        <f t="shared" si="4"/>
        <v>0</v>
      </c>
      <c r="K811" s="312"/>
      <c r="L811" s="312"/>
      <c r="M811" s="312"/>
      <c r="N811" s="362"/>
      <c r="O811" s="312"/>
      <c r="P811" s="312"/>
      <c r="S811" s="2">
        <f t="shared" si="5"/>
        <v>0</v>
      </c>
      <c r="AA811" s="312"/>
      <c r="AB811" s="312"/>
      <c r="AC811" s="312"/>
      <c r="AD811" s="312"/>
    </row>
    <row r="812">
      <c r="A812" s="312"/>
      <c r="B812" s="344">
        <f t="shared" si="1"/>
        <v>2045</v>
      </c>
      <c r="C812" s="344">
        <v>90.0</v>
      </c>
      <c r="D812" s="369"/>
      <c r="E812" s="344" t="str">
        <f t="shared" si="2"/>
        <v>Saturday</v>
      </c>
      <c r="F812" s="344" t="s">
        <v>554</v>
      </c>
      <c r="G812" s="370"/>
      <c r="H812" s="370"/>
      <c r="I812" s="357">
        <f t="shared" si="3"/>
        <v>0</v>
      </c>
      <c r="J812" s="346">
        <f t="shared" si="4"/>
        <v>0</v>
      </c>
      <c r="K812" s="312"/>
      <c r="L812" s="312"/>
      <c r="M812" s="312"/>
      <c r="N812" s="362"/>
      <c r="O812" s="312"/>
      <c r="P812" s="312"/>
      <c r="S812" s="2">
        <f t="shared" si="5"/>
        <v>0</v>
      </c>
      <c r="AA812" s="312"/>
      <c r="AB812" s="312"/>
      <c r="AC812" s="312"/>
      <c r="AD812" s="312"/>
    </row>
    <row r="813">
      <c r="A813" s="312"/>
      <c r="B813" s="344">
        <f t="shared" si="1"/>
        <v>2045</v>
      </c>
      <c r="C813" s="344">
        <v>90.0</v>
      </c>
      <c r="D813" s="369"/>
      <c r="E813" s="344" t="str">
        <f t="shared" si="2"/>
        <v>Saturday</v>
      </c>
      <c r="F813" s="344" t="s">
        <v>554</v>
      </c>
      <c r="G813" s="370"/>
      <c r="H813" s="370"/>
      <c r="I813" s="357">
        <f t="shared" si="3"/>
        <v>0</v>
      </c>
      <c r="J813" s="346">
        <f t="shared" si="4"/>
        <v>0</v>
      </c>
      <c r="K813" s="312"/>
      <c r="L813" s="312"/>
      <c r="M813" s="312"/>
      <c r="N813" s="362"/>
      <c r="O813" s="312"/>
      <c r="P813" s="312"/>
      <c r="S813" s="2">
        <f t="shared" si="5"/>
        <v>0</v>
      </c>
      <c r="AA813" s="312"/>
      <c r="AB813" s="312"/>
      <c r="AC813" s="312"/>
      <c r="AD813" s="312"/>
    </row>
    <row r="814">
      <c r="A814" s="312"/>
      <c r="B814" s="344">
        <f t="shared" si="1"/>
        <v>2045</v>
      </c>
      <c r="C814" s="344">
        <v>90.0</v>
      </c>
      <c r="D814" s="369"/>
      <c r="E814" s="344" t="str">
        <f t="shared" si="2"/>
        <v>Saturday</v>
      </c>
      <c r="F814" s="344" t="s">
        <v>554</v>
      </c>
      <c r="G814" s="370"/>
      <c r="H814" s="370"/>
      <c r="I814" s="357">
        <f t="shared" si="3"/>
        <v>0</v>
      </c>
      <c r="J814" s="346">
        <f t="shared" si="4"/>
        <v>0</v>
      </c>
      <c r="K814" s="312"/>
      <c r="L814" s="312"/>
      <c r="M814" s="312"/>
      <c r="N814" s="362"/>
      <c r="O814" s="312"/>
      <c r="P814" s="312"/>
      <c r="S814" s="2">
        <f t="shared" si="5"/>
        <v>0</v>
      </c>
      <c r="AA814" s="312"/>
      <c r="AB814" s="312"/>
      <c r="AC814" s="312"/>
      <c r="AD814" s="312"/>
    </row>
    <row r="815">
      <c r="A815" s="312"/>
      <c r="B815" s="344">
        <f t="shared" si="1"/>
        <v>2045</v>
      </c>
      <c r="C815" s="344">
        <v>90.0</v>
      </c>
      <c r="D815" s="369"/>
      <c r="E815" s="344" t="str">
        <f t="shared" si="2"/>
        <v>Saturday</v>
      </c>
      <c r="F815" s="344" t="s">
        <v>554</v>
      </c>
      <c r="G815" s="370"/>
      <c r="H815" s="370"/>
      <c r="I815" s="357">
        <f t="shared" si="3"/>
        <v>0</v>
      </c>
      <c r="J815" s="346">
        <f t="shared" si="4"/>
        <v>0</v>
      </c>
      <c r="K815" s="312"/>
      <c r="L815" s="312"/>
      <c r="M815" s="312"/>
      <c r="N815" s="362"/>
      <c r="O815" s="312"/>
      <c r="P815" s="312"/>
      <c r="S815" s="2">
        <f t="shared" si="5"/>
        <v>0</v>
      </c>
      <c r="AA815" s="312"/>
      <c r="AB815" s="312"/>
      <c r="AC815" s="312"/>
      <c r="AD815" s="312"/>
    </row>
    <row r="816">
      <c r="A816" s="312"/>
      <c r="B816" s="344">
        <f t="shared" si="1"/>
        <v>2045</v>
      </c>
      <c r="C816" s="344">
        <v>90.0</v>
      </c>
      <c r="D816" s="369"/>
      <c r="E816" s="344" t="str">
        <f t="shared" si="2"/>
        <v>Saturday</v>
      </c>
      <c r="F816" s="344" t="s">
        <v>554</v>
      </c>
      <c r="G816" s="370"/>
      <c r="H816" s="370"/>
      <c r="I816" s="357">
        <f t="shared" si="3"/>
        <v>0</v>
      </c>
      <c r="J816" s="346">
        <f t="shared" si="4"/>
        <v>0</v>
      </c>
      <c r="K816" s="312"/>
      <c r="L816" s="312"/>
      <c r="M816" s="312"/>
      <c r="N816" s="362"/>
      <c r="O816" s="312"/>
      <c r="P816" s="312"/>
      <c r="S816" s="2">
        <f t="shared" si="5"/>
        <v>0</v>
      </c>
      <c r="AA816" s="312"/>
      <c r="AB816" s="312"/>
      <c r="AC816" s="312"/>
      <c r="AD816" s="312"/>
    </row>
    <row r="817">
      <c r="A817" s="312"/>
      <c r="B817" s="344">
        <f t="shared" si="1"/>
        <v>2045</v>
      </c>
      <c r="C817" s="344">
        <v>90.0</v>
      </c>
      <c r="D817" s="369"/>
      <c r="E817" s="344" t="str">
        <f t="shared" si="2"/>
        <v>Saturday</v>
      </c>
      <c r="F817" s="344" t="s">
        <v>554</v>
      </c>
      <c r="G817" s="370"/>
      <c r="H817" s="370"/>
      <c r="I817" s="357">
        <f t="shared" si="3"/>
        <v>0</v>
      </c>
      <c r="J817" s="346">
        <f t="shared" si="4"/>
        <v>0</v>
      </c>
      <c r="K817" s="312"/>
      <c r="L817" s="312"/>
      <c r="M817" s="312"/>
      <c r="N817" s="362"/>
      <c r="O817" s="312"/>
      <c r="P817" s="312"/>
      <c r="S817" s="2">
        <f t="shared" si="5"/>
        <v>0</v>
      </c>
      <c r="AA817" s="312"/>
      <c r="AB817" s="312"/>
      <c r="AC817" s="312"/>
      <c r="AD817" s="312"/>
    </row>
    <row r="818">
      <c r="A818" s="312"/>
      <c r="B818" s="344">
        <f t="shared" si="1"/>
        <v>2045</v>
      </c>
      <c r="C818" s="344">
        <v>90.0</v>
      </c>
      <c r="D818" s="369"/>
      <c r="E818" s="344" t="str">
        <f t="shared" si="2"/>
        <v>Saturday</v>
      </c>
      <c r="F818" s="344" t="s">
        <v>554</v>
      </c>
      <c r="G818" s="370"/>
      <c r="H818" s="370"/>
      <c r="I818" s="357">
        <f t="shared" si="3"/>
        <v>0</v>
      </c>
      <c r="J818" s="346">
        <f t="shared" si="4"/>
        <v>0</v>
      </c>
      <c r="K818" s="312"/>
      <c r="L818" s="312"/>
      <c r="M818" s="312"/>
      <c r="N818" s="362"/>
      <c r="O818" s="312"/>
      <c r="P818" s="312"/>
      <c r="S818" s="2">
        <f t="shared" si="5"/>
        <v>0</v>
      </c>
      <c r="AA818" s="312"/>
      <c r="AB818" s="312"/>
      <c r="AC818" s="312"/>
      <c r="AD818" s="312"/>
    </row>
    <row r="819">
      <c r="A819" s="312"/>
      <c r="B819" s="344">
        <f t="shared" si="1"/>
        <v>2045</v>
      </c>
      <c r="C819" s="344">
        <v>90.0</v>
      </c>
      <c r="D819" s="369"/>
      <c r="E819" s="344" t="str">
        <f t="shared" si="2"/>
        <v>Saturday</v>
      </c>
      <c r="F819" s="344" t="s">
        <v>554</v>
      </c>
      <c r="G819" s="370"/>
      <c r="H819" s="370"/>
      <c r="I819" s="357">
        <f t="shared" si="3"/>
        <v>0</v>
      </c>
      <c r="J819" s="346">
        <f t="shared" si="4"/>
        <v>0</v>
      </c>
      <c r="K819" s="312"/>
      <c r="L819" s="312"/>
      <c r="M819" s="312"/>
      <c r="N819" s="362"/>
      <c r="O819" s="312"/>
      <c r="P819" s="312"/>
      <c r="S819" s="2">
        <f t="shared" si="5"/>
        <v>0</v>
      </c>
      <c r="AA819" s="312"/>
      <c r="AB819" s="312"/>
      <c r="AC819" s="312"/>
      <c r="AD819" s="312"/>
    </row>
    <row r="820">
      <c r="A820" s="312"/>
      <c r="B820" s="344">
        <f t="shared" si="1"/>
        <v>2045</v>
      </c>
      <c r="C820" s="344">
        <v>90.0</v>
      </c>
      <c r="D820" s="369"/>
      <c r="E820" s="344" t="str">
        <f t="shared" si="2"/>
        <v>Saturday</v>
      </c>
      <c r="F820" s="344" t="s">
        <v>554</v>
      </c>
      <c r="G820" s="370"/>
      <c r="H820" s="370"/>
      <c r="I820" s="357">
        <f t="shared" si="3"/>
        <v>0</v>
      </c>
      <c r="J820" s="346">
        <f t="shared" si="4"/>
        <v>0</v>
      </c>
      <c r="K820" s="312"/>
      <c r="L820" s="312"/>
      <c r="M820" s="312"/>
      <c r="N820" s="362"/>
      <c r="O820" s="312"/>
      <c r="P820" s="312"/>
      <c r="S820" s="2">
        <f t="shared" si="5"/>
        <v>0</v>
      </c>
      <c r="AA820" s="312"/>
      <c r="AB820" s="312"/>
      <c r="AC820" s="312"/>
      <c r="AD820" s="312"/>
    </row>
    <row r="821">
      <c r="A821" s="312"/>
      <c r="B821" s="344">
        <f t="shared" si="1"/>
        <v>2045</v>
      </c>
      <c r="C821" s="344">
        <v>90.0</v>
      </c>
      <c r="D821" s="369"/>
      <c r="E821" s="344" t="str">
        <f t="shared" si="2"/>
        <v>Saturday</v>
      </c>
      <c r="F821" s="344" t="s">
        <v>554</v>
      </c>
      <c r="G821" s="370"/>
      <c r="H821" s="370"/>
      <c r="I821" s="357">
        <f t="shared" si="3"/>
        <v>0</v>
      </c>
      <c r="J821" s="346">
        <f t="shared" si="4"/>
        <v>0</v>
      </c>
      <c r="K821" s="312"/>
      <c r="L821" s="312"/>
      <c r="M821" s="312"/>
      <c r="N821" s="362"/>
      <c r="O821" s="312"/>
      <c r="P821" s="312"/>
      <c r="S821" s="2">
        <f t="shared" si="5"/>
        <v>0</v>
      </c>
      <c r="AA821" s="312"/>
      <c r="AB821" s="312"/>
      <c r="AC821" s="312"/>
      <c r="AD821" s="312"/>
    </row>
    <row r="822">
      <c r="A822" s="312"/>
      <c r="B822" s="344">
        <f t="shared" si="1"/>
        <v>2045</v>
      </c>
      <c r="C822" s="344">
        <v>90.0</v>
      </c>
      <c r="D822" s="369"/>
      <c r="E822" s="344" t="str">
        <f t="shared" si="2"/>
        <v>Saturday</v>
      </c>
      <c r="F822" s="344" t="s">
        <v>554</v>
      </c>
      <c r="G822" s="370"/>
      <c r="H822" s="370"/>
      <c r="I822" s="357">
        <f t="shared" si="3"/>
        <v>0</v>
      </c>
      <c r="J822" s="346">
        <f t="shared" si="4"/>
        <v>0</v>
      </c>
      <c r="K822" s="312"/>
      <c r="L822" s="312"/>
      <c r="M822" s="312"/>
      <c r="N822" s="362"/>
      <c r="O822" s="312"/>
      <c r="P822" s="312"/>
      <c r="S822" s="2">
        <f t="shared" si="5"/>
        <v>0</v>
      </c>
      <c r="AA822" s="312"/>
      <c r="AB822" s="312"/>
      <c r="AC822" s="312"/>
      <c r="AD822" s="312"/>
    </row>
    <row r="823">
      <c r="A823" s="312"/>
      <c r="B823" s="344">
        <f t="shared" si="1"/>
        <v>2045</v>
      </c>
      <c r="C823" s="344">
        <v>90.0</v>
      </c>
      <c r="D823" s="369"/>
      <c r="E823" s="344" t="str">
        <f t="shared" si="2"/>
        <v>Saturday</v>
      </c>
      <c r="F823" s="344" t="s">
        <v>554</v>
      </c>
      <c r="G823" s="370"/>
      <c r="H823" s="370"/>
      <c r="I823" s="357">
        <f t="shared" si="3"/>
        <v>0</v>
      </c>
      <c r="J823" s="346">
        <f t="shared" si="4"/>
        <v>0</v>
      </c>
      <c r="K823" s="312"/>
      <c r="L823" s="312"/>
      <c r="M823" s="312"/>
      <c r="N823" s="362"/>
      <c r="O823" s="312"/>
      <c r="P823" s="312"/>
      <c r="S823" s="2">
        <f t="shared" si="5"/>
        <v>0</v>
      </c>
      <c r="AA823" s="312"/>
      <c r="AB823" s="312"/>
      <c r="AC823" s="312"/>
      <c r="AD823" s="312"/>
    </row>
    <row r="824">
      <c r="A824" s="312"/>
      <c r="B824" s="344">
        <f t="shared" si="1"/>
        <v>2045</v>
      </c>
      <c r="C824" s="344">
        <v>90.0</v>
      </c>
      <c r="D824" s="369"/>
      <c r="E824" s="344" t="str">
        <f t="shared" si="2"/>
        <v>Saturday</v>
      </c>
      <c r="F824" s="344" t="s">
        <v>554</v>
      </c>
      <c r="G824" s="370"/>
      <c r="H824" s="370"/>
      <c r="I824" s="357">
        <f t="shared" si="3"/>
        <v>0</v>
      </c>
      <c r="J824" s="346">
        <f t="shared" si="4"/>
        <v>0</v>
      </c>
      <c r="K824" s="312"/>
      <c r="L824" s="312"/>
      <c r="M824" s="312"/>
      <c r="N824" s="362"/>
      <c r="O824" s="312"/>
      <c r="P824" s="312"/>
      <c r="S824" s="2">
        <f t="shared" si="5"/>
        <v>0</v>
      </c>
      <c r="AA824" s="312"/>
      <c r="AB824" s="312"/>
      <c r="AC824" s="312"/>
      <c r="AD824" s="312"/>
    </row>
    <row r="825">
      <c r="A825" s="312"/>
      <c r="B825" s="344">
        <f t="shared" si="1"/>
        <v>2045</v>
      </c>
      <c r="C825" s="344">
        <v>90.0</v>
      </c>
      <c r="D825" s="369"/>
      <c r="E825" s="344" t="str">
        <f t="shared" si="2"/>
        <v>Saturday</v>
      </c>
      <c r="F825" s="344" t="s">
        <v>554</v>
      </c>
      <c r="G825" s="370"/>
      <c r="H825" s="370"/>
      <c r="I825" s="357">
        <f t="shared" si="3"/>
        <v>0</v>
      </c>
      <c r="J825" s="346">
        <f t="shared" si="4"/>
        <v>0</v>
      </c>
      <c r="K825" s="312"/>
      <c r="L825" s="312"/>
      <c r="M825" s="312"/>
      <c r="N825" s="362"/>
      <c r="O825" s="312"/>
      <c r="P825" s="312"/>
      <c r="S825" s="2">
        <f t="shared" si="5"/>
        <v>0</v>
      </c>
      <c r="AA825" s="312"/>
      <c r="AB825" s="312"/>
      <c r="AC825" s="312"/>
      <c r="AD825" s="312"/>
    </row>
    <row r="826">
      <c r="A826" s="312"/>
      <c r="B826" s="344">
        <f t="shared" si="1"/>
        <v>2045</v>
      </c>
      <c r="C826" s="344">
        <v>90.0</v>
      </c>
      <c r="D826" s="369"/>
      <c r="E826" s="344" t="str">
        <f t="shared" si="2"/>
        <v>Saturday</v>
      </c>
      <c r="F826" s="344" t="s">
        <v>554</v>
      </c>
      <c r="G826" s="370"/>
      <c r="H826" s="370"/>
      <c r="I826" s="357">
        <f t="shared" si="3"/>
        <v>0</v>
      </c>
      <c r="J826" s="346">
        <f t="shared" si="4"/>
        <v>0</v>
      </c>
      <c r="K826" s="312"/>
      <c r="L826" s="312"/>
      <c r="M826" s="312"/>
      <c r="N826" s="362"/>
      <c r="O826" s="312"/>
      <c r="P826" s="312"/>
      <c r="S826" s="2">
        <f t="shared" si="5"/>
        <v>0</v>
      </c>
      <c r="AA826" s="312"/>
      <c r="AB826" s="312"/>
      <c r="AC826" s="312"/>
      <c r="AD826" s="312"/>
    </row>
    <row r="827">
      <c r="A827" s="312"/>
      <c r="B827" s="344">
        <f t="shared" si="1"/>
        <v>2045</v>
      </c>
      <c r="C827" s="344">
        <v>90.0</v>
      </c>
      <c r="D827" s="369"/>
      <c r="E827" s="344" t="str">
        <f t="shared" si="2"/>
        <v>Saturday</v>
      </c>
      <c r="F827" s="344" t="s">
        <v>554</v>
      </c>
      <c r="G827" s="370"/>
      <c r="H827" s="370"/>
      <c r="I827" s="357">
        <f t="shared" si="3"/>
        <v>0</v>
      </c>
      <c r="J827" s="346">
        <f t="shared" si="4"/>
        <v>0</v>
      </c>
      <c r="K827" s="312"/>
      <c r="L827" s="312"/>
      <c r="M827" s="312"/>
      <c r="N827" s="362"/>
      <c r="O827" s="312"/>
      <c r="P827" s="312"/>
      <c r="S827" s="2">
        <f t="shared" si="5"/>
        <v>0</v>
      </c>
      <c r="AA827" s="312"/>
      <c r="AB827" s="312"/>
      <c r="AC827" s="312"/>
      <c r="AD827" s="312"/>
    </row>
    <row r="828">
      <c r="A828" s="312"/>
      <c r="B828" s="344">
        <f t="shared" si="1"/>
        <v>2045</v>
      </c>
      <c r="C828" s="344">
        <v>90.0</v>
      </c>
      <c r="D828" s="369"/>
      <c r="E828" s="344" t="str">
        <f t="shared" si="2"/>
        <v>Saturday</v>
      </c>
      <c r="F828" s="344" t="s">
        <v>554</v>
      </c>
      <c r="G828" s="370"/>
      <c r="H828" s="370"/>
      <c r="I828" s="357">
        <f t="shared" si="3"/>
        <v>0</v>
      </c>
      <c r="J828" s="346">
        <f t="shared" si="4"/>
        <v>0</v>
      </c>
      <c r="K828" s="312"/>
      <c r="L828" s="312"/>
      <c r="M828" s="312"/>
      <c r="N828" s="362"/>
      <c r="O828" s="312"/>
      <c r="P828" s="312"/>
      <c r="S828" s="2">
        <f t="shared" si="5"/>
        <v>0</v>
      </c>
      <c r="AA828" s="312"/>
      <c r="AB828" s="312"/>
      <c r="AC828" s="312"/>
      <c r="AD828" s="312"/>
    </row>
    <row r="829">
      <c r="A829" s="312"/>
      <c r="B829" s="344">
        <f t="shared" si="1"/>
        <v>2045</v>
      </c>
      <c r="C829" s="344">
        <v>90.0</v>
      </c>
      <c r="D829" s="369"/>
      <c r="E829" s="344" t="str">
        <f t="shared" si="2"/>
        <v>Saturday</v>
      </c>
      <c r="F829" s="344" t="s">
        <v>554</v>
      </c>
      <c r="G829" s="370"/>
      <c r="H829" s="370"/>
      <c r="I829" s="357">
        <f t="shared" si="3"/>
        <v>0</v>
      </c>
      <c r="J829" s="346">
        <f t="shared" si="4"/>
        <v>0</v>
      </c>
      <c r="K829" s="312"/>
      <c r="L829" s="312"/>
      <c r="M829" s="312"/>
      <c r="N829" s="362"/>
      <c r="O829" s="312"/>
      <c r="P829" s="312"/>
      <c r="S829" s="2">
        <f t="shared" si="5"/>
        <v>0</v>
      </c>
      <c r="AA829" s="312"/>
      <c r="AB829" s="312"/>
      <c r="AC829" s="312"/>
      <c r="AD829" s="312"/>
    </row>
    <row r="830">
      <c r="A830" s="312"/>
      <c r="B830" s="344">
        <f t="shared" si="1"/>
        <v>2045</v>
      </c>
      <c r="C830" s="344">
        <v>90.0</v>
      </c>
      <c r="D830" s="369"/>
      <c r="E830" s="344" t="str">
        <f t="shared" si="2"/>
        <v>Saturday</v>
      </c>
      <c r="F830" s="344" t="s">
        <v>554</v>
      </c>
      <c r="G830" s="370"/>
      <c r="H830" s="370"/>
      <c r="I830" s="357">
        <f t="shared" si="3"/>
        <v>0</v>
      </c>
      <c r="J830" s="346">
        <f t="shared" si="4"/>
        <v>0</v>
      </c>
      <c r="K830" s="312"/>
      <c r="L830" s="312"/>
      <c r="M830" s="312"/>
      <c r="N830" s="362"/>
      <c r="O830" s="312"/>
      <c r="P830" s="312"/>
      <c r="S830" s="2">
        <f t="shared" si="5"/>
        <v>0</v>
      </c>
      <c r="AA830" s="312"/>
      <c r="AB830" s="312"/>
      <c r="AC830" s="312"/>
      <c r="AD830" s="312"/>
    </row>
    <row r="831">
      <c r="A831" s="312"/>
      <c r="B831" s="344">
        <f t="shared" si="1"/>
        <v>2045</v>
      </c>
      <c r="C831" s="344">
        <v>90.0</v>
      </c>
      <c r="D831" s="369"/>
      <c r="E831" s="344" t="str">
        <f t="shared" si="2"/>
        <v>Saturday</v>
      </c>
      <c r="F831" s="344" t="s">
        <v>554</v>
      </c>
      <c r="G831" s="370"/>
      <c r="H831" s="370"/>
      <c r="I831" s="357">
        <f t="shared" si="3"/>
        <v>0</v>
      </c>
      <c r="J831" s="346">
        <f t="shared" si="4"/>
        <v>0</v>
      </c>
      <c r="K831" s="312"/>
      <c r="L831" s="312"/>
      <c r="M831" s="312"/>
      <c r="N831" s="362"/>
      <c r="O831" s="312"/>
      <c r="P831" s="312"/>
      <c r="S831" s="2">
        <f t="shared" si="5"/>
        <v>0</v>
      </c>
      <c r="AA831" s="312"/>
      <c r="AB831" s="312"/>
      <c r="AC831" s="312"/>
      <c r="AD831" s="312"/>
    </row>
    <row r="832">
      <c r="A832" s="312"/>
      <c r="B832" s="344">
        <f t="shared" si="1"/>
        <v>2045</v>
      </c>
      <c r="C832" s="344">
        <v>90.0</v>
      </c>
      <c r="D832" s="369"/>
      <c r="E832" s="344" t="str">
        <f t="shared" si="2"/>
        <v>Saturday</v>
      </c>
      <c r="F832" s="344" t="s">
        <v>554</v>
      </c>
      <c r="G832" s="370"/>
      <c r="H832" s="370"/>
      <c r="I832" s="357">
        <f t="shared" si="3"/>
        <v>0</v>
      </c>
      <c r="J832" s="346">
        <f t="shared" si="4"/>
        <v>0</v>
      </c>
      <c r="K832" s="312"/>
      <c r="L832" s="312"/>
      <c r="M832" s="312"/>
      <c r="N832" s="362"/>
      <c r="O832" s="312"/>
      <c r="P832" s="312"/>
      <c r="S832" s="2">
        <f t="shared" si="5"/>
        <v>0</v>
      </c>
      <c r="AA832" s="312"/>
      <c r="AB832" s="312"/>
      <c r="AC832" s="312"/>
      <c r="AD832" s="312"/>
    </row>
    <row r="833">
      <c r="A833" s="312"/>
      <c r="B833" s="344">
        <f t="shared" si="1"/>
        <v>2045</v>
      </c>
      <c r="C833" s="344">
        <v>90.0</v>
      </c>
      <c r="D833" s="369"/>
      <c r="E833" s="344" t="str">
        <f t="shared" si="2"/>
        <v>Saturday</v>
      </c>
      <c r="F833" s="344" t="s">
        <v>554</v>
      </c>
      <c r="G833" s="370"/>
      <c r="H833" s="370"/>
      <c r="I833" s="357">
        <f t="shared" si="3"/>
        <v>0</v>
      </c>
      <c r="J833" s="346">
        <f t="shared" si="4"/>
        <v>0</v>
      </c>
      <c r="K833" s="312"/>
      <c r="L833" s="312"/>
      <c r="M833" s="312"/>
      <c r="N833" s="362"/>
      <c r="O833" s="312"/>
      <c r="P833" s="312"/>
      <c r="S833" s="2">
        <f t="shared" si="5"/>
        <v>0</v>
      </c>
      <c r="AA833" s="312"/>
      <c r="AB833" s="312"/>
      <c r="AC833" s="312"/>
      <c r="AD833" s="312"/>
    </row>
    <row r="834">
      <c r="A834" s="312"/>
      <c r="B834" s="344">
        <f t="shared" si="1"/>
        <v>2045</v>
      </c>
      <c r="C834" s="344">
        <v>90.0</v>
      </c>
      <c r="D834" s="369"/>
      <c r="E834" s="344" t="str">
        <f t="shared" si="2"/>
        <v>Saturday</v>
      </c>
      <c r="F834" s="344" t="s">
        <v>554</v>
      </c>
      <c r="G834" s="370"/>
      <c r="H834" s="370"/>
      <c r="I834" s="357">
        <f t="shared" si="3"/>
        <v>0</v>
      </c>
      <c r="J834" s="346">
        <f t="shared" si="4"/>
        <v>0</v>
      </c>
      <c r="K834" s="312"/>
      <c r="L834" s="312"/>
      <c r="M834" s="312"/>
      <c r="N834" s="362"/>
      <c r="O834" s="312"/>
      <c r="P834" s="312"/>
      <c r="S834" s="2">
        <f t="shared" si="5"/>
        <v>0</v>
      </c>
      <c r="AA834" s="312"/>
      <c r="AB834" s="312"/>
      <c r="AC834" s="312"/>
      <c r="AD834" s="312"/>
    </row>
    <row r="835">
      <c r="A835" s="312"/>
      <c r="B835" s="344">
        <f t="shared" si="1"/>
        <v>2045</v>
      </c>
      <c r="C835" s="344">
        <v>90.0</v>
      </c>
      <c r="D835" s="369"/>
      <c r="E835" s="344" t="str">
        <f t="shared" si="2"/>
        <v>Saturday</v>
      </c>
      <c r="F835" s="344" t="s">
        <v>554</v>
      </c>
      <c r="G835" s="370"/>
      <c r="H835" s="370"/>
      <c r="I835" s="357">
        <f t="shared" si="3"/>
        <v>0</v>
      </c>
      <c r="J835" s="346">
        <f t="shared" si="4"/>
        <v>0</v>
      </c>
      <c r="K835" s="312"/>
      <c r="L835" s="312"/>
      <c r="M835" s="312"/>
      <c r="N835" s="362"/>
      <c r="O835" s="312"/>
      <c r="P835" s="312"/>
      <c r="S835" s="2">
        <f t="shared" si="5"/>
        <v>0</v>
      </c>
      <c r="AA835" s="312"/>
      <c r="AB835" s="312"/>
      <c r="AC835" s="312"/>
      <c r="AD835" s="312"/>
    </row>
    <row r="836">
      <c r="A836" s="312"/>
      <c r="B836" s="344">
        <f t="shared" si="1"/>
        <v>2045</v>
      </c>
      <c r="C836" s="344">
        <v>90.0</v>
      </c>
      <c r="D836" s="369"/>
      <c r="E836" s="344" t="str">
        <f t="shared" si="2"/>
        <v>Saturday</v>
      </c>
      <c r="F836" s="344" t="s">
        <v>554</v>
      </c>
      <c r="G836" s="370"/>
      <c r="H836" s="370"/>
      <c r="I836" s="357">
        <f t="shared" si="3"/>
        <v>0</v>
      </c>
      <c r="J836" s="346">
        <f t="shared" si="4"/>
        <v>0</v>
      </c>
      <c r="K836" s="312"/>
      <c r="L836" s="312"/>
      <c r="M836" s="312"/>
      <c r="N836" s="362"/>
      <c r="O836" s="312"/>
      <c r="P836" s="312"/>
      <c r="S836" s="2">
        <f t="shared" si="5"/>
        <v>0</v>
      </c>
      <c r="AA836" s="312"/>
      <c r="AB836" s="312"/>
      <c r="AC836" s="312"/>
      <c r="AD836" s="312"/>
    </row>
    <row r="837">
      <c r="A837" s="312"/>
      <c r="B837" s="344">
        <f t="shared" si="1"/>
        <v>2045</v>
      </c>
      <c r="C837" s="344">
        <v>90.0</v>
      </c>
      <c r="D837" s="369"/>
      <c r="E837" s="344" t="str">
        <f t="shared" si="2"/>
        <v>Saturday</v>
      </c>
      <c r="F837" s="344" t="s">
        <v>554</v>
      </c>
      <c r="G837" s="370"/>
      <c r="H837" s="370"/>
      <c r="I837" s="357">
        <f t="shared" si="3"/>
        <v>0</v>
      </c>
      <c r="J837" s="346">
        <f t="shared" si="4"/>
        <v>0</v>
      </c>
      <c r="K837" s="312"/>
      <c r="L837" s="312"/>
      <c r="M837" s="312"/>
      <c r="N837" s="362"/>
      <c r="O837" s="312"/>
      <c r="P837" s="312"/>
      <c r="S837" s="2">
        <f t="shared" si="5"/>
        <v>0</v>
      </c>
      <c r="AA837" s="312"/>
      <c r="AB837" s="312"/>
      <c r="AC837" s="312"/>
      <c r="AD837" s="312"/>
    </row>
    <row r="838">
      <c r="A838" s="312"/>
      <c r="B838" s="344">
        <f t="shared" si="1"/>
        <v>2045</v>
      </c>
      <c r="C838" s="344">
        <v>90.0</v>
      </c>
      <c r="D838" s="369"/>
      <c r="E838" s="344" t="str">
        <f t="shared" si="2"/>
        <v>Saturday</v>
      </c>
      <c r="F838" s="344" t="s">
        <v>554</v>
      </c>
      <c r="G838" s="370"/>
      <c r="H838" s="370"/>
      <c r="I838" s="357">
        <f t="shared" si="3"/>
        <v>0</v>
      </c>
      <c r="J838" s="346">
        <f t="shared" si="4"/>
        <v>0</v>
      </c>
      <c r="K838" s="312"/>
      <c r="L838" s="312"/>
      <c r="M838" s="312"/>
      <c r="N838" s="362"/>
      <c r="O838" s="312"/>
      <c r="P838" s="312"/>
      <c r="S838" s="2">
        <f t="shared" si="5"/>
        <v>0</v>
      </c>
      <c r="AA838" s="312"/>
      <c r="AB838" s="312"/>
      <c r="AC838" s="312"/>
      <c r="AD838" s="312"/>
    </row>
    <row r="839">
      <c r="A839" s="312"/>
      <c r="B839" s="344">
        <f t="shared" si="1"/>
        <v>2045</v>
      </c>
      <c r="C839" s="344">
        <v>90.0</v>
      </c>
      <c r="D839" s="369"/>
      <c r="E839" s="344" t="str">
        <f t="shared" si="2"/>
        <v>Saturday</v>
      </c>
      <c r="F839" s="344" t="s">
        <v>554</v>
      </c>
      <c r="G839" s="370"/>
      <c r="H839" s="370"/>
      <c r="I839" s="357">
        <f t="shared" si="3"/>
        <v>0</v>
      </c>
      <c r="J839" s="346">
        <f t="shared" si="4"/>
        <v>0</v>
      </c>
      <c r="K839" s="312"/>
      <c r="L839" s="312"/>
      <c r="M839" s="312"/>
      <c r="N839" s="362"/>
      <c r="O839" s="312"/>
      <c r="P839" s="312"/>
      <c r="S839" s="2">
        <f t="shared" si="5"/>
        <v>0</v>
      </c>
      <c r="AA839" s="312"/>
      <c r="AB839" s="312"/>
      <c r="AC839" s="312"/>
      <c r="AD839" s="312"/>
    </row>
    <row r="840">
      <c r="A840" s="312"/>
      <c r="B840" s="344">
        <f t="shared" si="1"/>
        <v>2045</v>
      </c>
      <c r="C840" s="344">
        <v>90.0</v>
      </c>
      <c r="D840" s="369"/>
      <c r="E840" s="344" t="str">
        <f t="shared" si="2"/>
        <v>Saturday</v>
      </c>
      <c r="F840" s="344" t="s">
        <v>554</v>
      </c>
      <c r="G840" s="370"/>
      <c r="H840" s="370"/>
      <c r="I840" s="357">
        <f t="shared" si="3"/>
        <v>0</v>
      </c>
      <c r="J840" s="346">
        <f t="shared" si="4"/>
        <v>0</v>
      </c>
      <c r="K840" s="312"/>
      <c r="L840" s="312"/>
      <c r="M840" s="312"/>
      <c r="N840" s="362"/>
      <c r="O840" s="312"/>
      <c r="P840" s="312"/>
      <c r="S840" s="2">
        <f t="shared" si="5"/>
        <v>0</v>
      </c>
      <c r="AA840" s="312"/>
      <c r="AB840" s="312"/>
      <c r="AC840" s="312"/>
      <c r="AD840" s="312"/>
    </row>
    <row r="841">
      <c r="A841" s="312"/>
      <c r="B841" s="344">
        <f t="shared" si="1"/>
        <v>2045</v>
      </c>
      <c r="C841" s="344">
        <v>90.0</v>
      </c>
      <c r="D841" s="369"/>
      <c r="E841" s="344" t="str">
        <f t="shared" si="2"/>
        <v>Saturday</v>
      </c>
      <c r="F841" s="344" t="s">
        <v>554</v>
      </c>
      <c r="G841" s="370"/>
      <c r="H841" s="370"/>
      <c r="I841" s="357">
        <f t="shared" si="3"/>
        <v>0</v>
      </c>
      <c r="J841" s="346">
        <f t="shared" si="4"/>
        <v>0</v>
      </c>
      <c r="K841" s="312"/>
      <c r="L841" s="312"/>
      <c r="M841" s="312"/>
      <c r="N841" s="362"/>
      <c r="O841" s="312"/>
      <c r="P841" s="312"/>
      <c r="S841" s="2">
        <f t="shared" si="5"/>
        <v>0</v>
      </c>
      <c r="AA841" s="312"/>
      <c r="AB841" s="312"/>
      <c r="AC841" s="312"/>
      <c r="AD841" s="312"/>
    </row>
    <row r="842">
      <c r="A842" s="312"/>
      <c r="B842" s="344">
        <f t="shared" si="1"/>
        <v>2045</v>
      </c>
      <c r="C842" s="344">
        <v>90.0</v>
      </c>
      <c r="D842" s="369"/>
      <c r="E842" s="344" t="str">
        <f t="shared" si="2"/>
        <v>Saturday</v>
      </c>
      <c r="F842" s="344" t="s">
        <v>554</v>
      </c>
      <c r="G842" s="370"/>
      <c r="H842" s="370"/>
      <c r="I842" s="357">
        <f t="shared" si="3"/>
        <v>0</v>
      </c>
      <c r="J842" s="346">
        <f t="shared" si="4"/>
        <v>0</v>
      </c>
      <c r="K842" s="312"/>
      <c r="L842" s="312"/>
      <c r="M842" s="312"/>
      <c r="N842" s="362"/>
      <c r="O842" s="312"/>
      <c r="P842" s="312"/>
      <c r="S842" s="2">
        <f t="shared" si="5"/>
        <v>0</v>
      </c>
      <c r="AA842" s="312"/>
      <c r="AB842" s="312"/>
      <c r="AC842" s="312"/>
      <c r="AD842" s="312"/>
    </row>
    <row r="843">
      <c r="A843" s="312"/>
      <c r="B843" s="344">
        <f t="shared" si="1"/>
        <v>2045</v>
      </c>
      <c r="C843" s="344">
        <v>90.0</v>
      </c>
      <c r="D843" s="369"/>
      <c r="E843" s="344" t="str">
        <f t="shared" si="2"/>
        <v>Saturday</v>
      </c>
      <c r="F843" s="344" t="s">
        <v>554</v>
      </c>
      <c r="G843" s="370"/>
      <c r="H843" s="370"/>
      <c r="I843" s="357">
        <f t="shared" si="3"/>
        <v>0</v>
      </c>
      <c r="J843" s="346">
        <f t="shared" si="4"/>
        <v>0</v>
      </c>
      <c r="K843" s="312"/>
      <c r="L843" s="312"/>
      <c r="M843" s="312"/>
      <c r="N843" s="362"/>
      <c r="O843" s="312"/>
      <c r="P843" s="312"/>
      <c r="S843" s="2">
        <f t="shared" si="5"/>
        <v>0</v>
      </c>
      <c r="AA843" s="312"/>
      <c r="AB843" s="312"/>
      <c r="AC843" s="312"/>
      <c r="AD843" s="312"/>
    </row>
    <row r="844">
      <c r="A844" s="312"/>
      <c r="B844" s="344">
        <f t="shared" si="1"/>
        <v>2045</v>
      </c>
      <c r="C844" s="344">
        <v>90.0</v>
      </c>
      <c r="D844" s="369"/>
      <c r="E844" s="344" t="str">
        <f t="shared" si="2"/>
        <v>Saturday</v>
      </c>
      <c r="F844" s="344" t="s">
        <v>554</v>
      </c>
      <c r="G844" s="370"/>
      <c r="H844" s="370"/>
      <c r="I844" s="357">
        <f t="shared" si="3"/>
        <v>0</v>
      </c>
      <c r="J844" s="346">
        <f t="shared" si="4"/>
        <v>0</v>
      </c>
      <c r="K844" s="312"/>
      <c r="L844" s="312"/>
      <c r="M844" s="312"/>
      <c r="N844" s="362"/>
      <c r="O844" s="312"/>
      <c r="P844" s="312"/>
      <c r="S844" s="2">
        <f t="shared" si="5"/>
        <v>0</v>
      </c>
      <c r="AA844" s="312"/>
      <c r="AB844" s="312"/>
      <c r="AC844" s="312"/>
      <c r="AD844" s="312"/>
    </row>
    <row r="845">
      <c r="A845" s="312"/>
      <c r="B845" s="344">
        <f t="shared" si="1"/>
        <v>2045</v>
      </c>
      <c r="C845" s="344">
        <v>90.0</v>
      </c>
      <c r="D845" s="369"/>
      <c r="E845" s="344" t="str">
        <f t="shared" si="2"/>
        <v>Saturday</v>
      </c>
      <c r="F845" s="344" t="s">
        <v>554</v>
      </c>
      <c r="G845" s="370"/>
      <c r="H845" s="370"/>
      <c r="I845" s="357">
        <f t="shared" si="3"/>
        <v>0</v>
      </c>
      <c r="J845" s="346">
        <f t="shared" si="4"/>
        <v>0</v>
      </c>
      <c r="K845" s="312"/>
      <c r="L845" s="312"/>
      <c r="M845" s="312"/>
      <c r="N845" s="362"/>
      <c r="O845" s="312"/>
      <c r="P845" s="312"/>
      <c r="S845" s="2">
        <f t="shared" si="5"/>
        <v>0</v>
      </c>
      <c r="AA845" s="312"/>
      <c r="AB845" s="312"/>
      <c r="AC845" s="312"/>
      <c r="AD845" s="312"/>
    </row>
    <row r="846">
      <c r="A846" s="312"/>
      <c r="B846" s="344">
        <f t="shared" si="1"/>
        <v>2045</v>
      </c>
      <c r="C846" s="344">
        <v>90.0</v>
      </c>
      <c r="D846" s="369"/>
      <c r="E846" s="344" t="str">
        <f t="shared" si="2"/>
        <v>Saturday</v>
      </c>
      <c r="F846" s="344" t="s">
        <v>554</v>
      </c>
      <c r="G846" s="370"/>
      <c r="H846" s="370"/>
      <c r="I846" s="357">
        <f t="shared" si="3"/>
        <v>0</v>
      </c>
      <c r="J846" s="346">
        <f t="shared" si="4"/>
        <v>0</v>
      </c>
      <c r="K846" s="312"/>
      <c r="L846" s="312"/>
      <c r="M846" s="312"/>
      <c r="N846" s="362"/>
      <c r="O846" s="312"/>
      <c r="P846" s="312"/>
      <c r="S846" s="2">
        <f t="shared" si="5"/>
        <v>0</v>
      </c>
      <c r="AA846" s="312"/>
      <c r="AB846" s="312"/>
      <c r="AC846" s="312"/>
      <c r="AD846" s="312"/>
    </row>
    <row r="847">
      <c r="A847" s="312"/>
      <c r="B847" s="344">
        <f t="shared" si="1"/>
        <v>2045</v>
      </c>
      <c r="C847" s="344">
        <v>90.0</v>
      </c>
      <c r="D847" s="369"/>
      <c r="E847" s="344" t="str">
        <f t="shared" si="2"/>
        <v>Saturday</v>
      </c>
      <c r="F847" s="344" t="s">
        <v>554</v>
      </c>
      <c r="G847" s="370"/>
      <c r="H847" s="370"/>
      <c r="I847" s="357">
        <f t="shared" si="3"/>
        <v>0</v>
      </c>
      <c r="J847" s="346">
        <f t="shared" si="4"/>
        <v>0</v>
      </c>
      <c r="K847" s="312"/>
      <c r="L847" s="312"/>
      <c r="M847" s="312"/>
      <c r="N847" s="362"/>
      <c r="O847" s="312"/>
      <c r="P847" s="312"/>
      <c r="S847" s="2">
        <f t="shared" si="5"/>
        <v>0</v>
      </c>
      <c r="AA847" s="312"/>
      <c r="AB847" s="312"/>
      <c r="AC847" s="312"/>
      <c r="AD847" s="312"/>
    </row>
    <row r="848">
      <c r="A848" s="312"/>
      <c r="B848" s="344">
        <f t="shared" si="1"/>
        <v>2045</v>
      </c>
      <c r="C848" s="344">
        <v>90.0</v>
      </c>
      <c r="D848" s="369"/>
      <c r="E848" s="344" t="str">
        <f t="shared" si="2"/>
        <v>Saturday</v>
      </c>
      <c r="F848" s="344" t="s">
        <v>554</v>
      </c>
      <c r="G848" s="370"/>
      <c r="H848" s="370"/>
      <c r="I848" s="357">
        <f t="shared" si="3"/>
        <v>0</v>
      </c>
      <c r="J848" s="346">
        <f t="shared" si="4"/>
        <v>0</v>
      </c>
      <c r="K848" s="312"/>
      <c r="L848" s="312"/>
      <c r="M848" s="312"/>
      <c r="N848" s="362"/>
      <c r="O848" s="312"/>
      <c r="P848" s="312"/>
      <c r="S848" s="2">
        <f t="shared" si="5"/>
        <v>0</v>
      </c>
      <c r="AA848" s="312"/>
      <c r="AB848" s="312"/>
      <c r="AC848" s="312"/>
      <c r="AD848" s="312"/>
    </row>
    <row r="849">
      <c r="A849" s="312"/>
      <c r="B849" s="344">
        <f t="shared" si="1"/>
        <v>2045</v>
      </c>
      <c r="C849" s="344">
        <v>90.0</v>
      </c>
      <c r="D849" s="369"/>
      <c r="E849" s="344" t="str">
        <f t="shared" si="2"/>
        <v>Saturday</v>
      </c>
      <c r="F849" s="344" t="s">
        <v>554</v>
      </c>
      <c r="G849" s="370"/>
      <c r="H849" s="370"/>
      <c r="I849" s="357">
        <f t="shared" si="3"/>
        <v>0</v>
      </c>
      <c r="J849" s="346">
        <f t="shared" si="4"/>
        <v>0</v>
      </c>
      <c r="K849" s="312"/>
      <c r="L849" s="312"/>
      <c r="M849" s="312"/>
      <c r="N849" s="362"/>
      <c r="O849" s="312"/>
      <c r="P849" s="312"/>
      <c r="S849" s="2">
        <f t="shared" si="5"/>
        <v>0</v>
      </c>
      <c r="AA849" s="312"/>
      <c r="AB849" s="312"/>
      <c r="AC849" s="312"/>
      <c r="AD849" s="312"/>
    </row>
    <row r="850">
      <c r="A850" s="312"/>
      <c r="B850" s="344">
        <f t="shared" si="1"/>
        <v>2045</v>
      </c>
      <c r="C850" s="344">
        <v>90.0</v>
      </c>
      <c r="D850" s="369"/>
      <c r="E850" s="344" t="str">
        <f t="shared" si="2"/>
        <v>Saturday</v>
      </c>
      <c r="F850" s="344" t="s">
        <v>554</v>
      </c>
      <c r="G850" s="370"/>
      <c r="H850" s="370"/>
      <c r="I850" s="357">
        <f t="shared" si="3"/>
        <v>0</v>
      </c>
      <c r="J850" s="346">
        <f t="shared" si="4"/>
        <v>0</v>
      </c>
      <c r="K850" s="312"/>
      <c r="L850" s="312"/>
      <c r="M850" s="312"/>
      <c r="N850" s="362"/>
      <c r="O850" s="312"/>
      <c r="P850" s="312"/>
      <c r="S850" s="2">
        <f t="shared" si="5"/>
        <v>0</v>
      </c>
      <c r="AA850" s="312"/>
      <c r="AB850" s="312"/>
      <c r="AC850" s="312"/>
      <c r="AD850" s="312"/>
    </row>
    <row r="851">
      <c r="A851" s="312"/>
      <c r="B851" s="344">
        <f t="shared" si="1"/>
        <v>2045</v>
      </c>
      <c r="C851" s="344">
        <v>90.0</v>
      </c>
      <c r="D851" s="369"/>
      <c r="E851" s="344" t="str">
        <f t="shared" si="2"/>
        <v>Saturday</v>
      </c>
      <c r="F851" s="344" t="s">
        <v>554</v>
      </c>
      <c r="G851" s="370"/>
      <c r="H851" s="370"/>
      <c r="I851" s="357">
        <f t="shared" si="3"/>
        <v>0</v>
      </c>
      <c r="J851" s="346">
        <f t="shared" si="4"/>
        <v>0</v>
      </c>
      <c r="K851" s="312"/>
      <c r="L851" s="312"/>
      <c r="M851" s="312"/>
      <c r="N851" s="362"/>
      <c r="O851" s="312"/>
      <c r="P851" s="312"/>
      <c r="S851" s="2">
        <f t="shared" si="5"/>
        <v>0</v>
      </c>
      <c r="AA851" s="312"/>
      <c r="AB851" s="312"/>
      <c r="AC851" s="312"/>
      <c r="AD851" s="312"/>
    </row>
    <row r="852">
      <c r="A852" s="312"/>
      <c r="B852" s="344">
        <f t="shared" si="1"/>
        <v>2045</v>
      </c>
      <c r="C852" s="344">
        <v>90.0</v>
      </c>
      <c r="D852" s="369"/>
      <c r="E852" s="344" t="str">
        <f t="shared" si="2"/>
        <v>Saturday</v>
      </c>
      <c r="F852" s="344" t="s">
        <v>554</v>
      </c>
      <c r="G852" s="370"/>
      <c r="H852" s="370"/>
      <c r="I852" s="357">
        <f t="shared" si="3"/>
        <v>0</v>
      </c>
      <c r="J852" s="346">
        <f t="shared" si="4"/>
        <v>0</v>
      </c>
      <c r="K852" s="312"/>
      <c r="L852" s="312"/>
      <c r="M852" s="312"/>
      <c r="N852" s="362"/>
      <c r="O852" s="312"/>
      <c r="P852" s="312"/>
      <c r="S852" s="2">
        <f t="shared" si="5"/>
        <v>0</v>
      </c>
      <c r="AA852" s="312"/>
      <c r="AB852" s="312"/>
      <c r="AC852" s="312"/>
      <c r="AD852" s="312"/>
    </row>
    <row r="853">
      <c r="A853" s="312"/>
      <c r="B853" s="344">
        <f t="shared" si="1"/>
        <v>2045</v>
      </c>
      <c r="C853" s="344">
        <v>90.0</v>
      </c>
      <c r="D853" s="369"/>
      <c r="E853" s="344" t="str">
        <f t="shared" si="2"/>
        <v>Saturday</v>
      </c>
      <c r="F853" s="344" t="s">
        <v>554</v>
      </c>
      <c r="G853" s="370"/>
      <c r="H853" s="370"/>
      <c r="I853" s="357">
        <f t="shared" si="3"/>
        <v>0</v>
      </c>
      <c r="J853" s="346">
        <f t="shared" si="4"/>
        <v>0</v>
      </c>
      <c r="K853" s="312"/>
      <c r="L853" s="312"/>
      <c r="M853" s="312"/>
      <c r="N853" s="362"/>
      <c r="O853" s="312"/>
      <c r="P853" s="312"/>
      <c r="S853" s="2">
        <f t="shared" si="5"/>
        <v>0</v>
      </c>
      <c r="AA853" s="312"/>
      <c r="AB853" s="312"/>
      <c r="AC853" s="312"/>
      <c r="AD853" s="312"/>
    </row>
    <row r="854">
      <c r="A854" s="312"/>
      <c r="B854" s="344">
        <f t="shared" si="1"/>
        <v>2045</v>
      </c>
      <c r="C854" s="344">
        <v>90.0</v>
      </c>
      <c r="D854" s="369"/>
      <c r="E854" s="344" t="str">
        <f t="shared" si="2"/>
        <v>Saturday</v>
      </c>
      <c r="F854" s="344" t="s">
        <v>554</v>
      </c>
      <c r="G854" s="370"/>
      <c r="H854" s="370"/>
      <c r="I854" s="357">
        <f t="shared" si="3"/>
        <v>0</v>
      </c>
      <c r="J854" s="346">
        <f t="shared" si="4"/>
        <v>0</v>
      </c>
      <c r="K854" s="312"/>
      <c r="L854" s="312"/>
      <c r="M854" s="312"/>
      <c r="N854" s="362"/>
      <c r="O854" s="312"/>
      <c r="P854" s="312"/>
      <c r="S854" s="2">
        <f t="shared" si="5"/>
        <v>0</v>
      </c>
      <c r="AA854" s="312"/>
      <c r="AB854" s="312"/>
      <c r="AC854" s="312"/>
      <c r="AD854" s="312"/>
    </row>
    <row r="855">
      <c r="A855" s="312"/>
      <c r="B855" s="344">
        <f t="shared" si="1"/>
        <v>2045</v>
      </c>
      <c r="C855" s="344">
        <v>90.0</v>
      </c>
      <c r="D855" s="369"/>
      <c r="E855" s="344" t="str">
        <f t="shared" si="2"/>
        <v>Saturday</v>
      </c>
      <c r="F855" s="344" t="s">
        <v>554</v>
      </c>
      <c r="G855" s="370"/>
      <c r="H855" s="370"/>
      <c r="I855" s="357">
        <f t="shared" si="3"/>
        <v>0</v>
      </c>
      <c r="J855" s="346">
        <f t="shared" si="4"/>
        <v>0</v>
      </c>
      <c r="K855" s="312"/>
      <c r="L855" s="312"/>
      <c r="M855" s="312"/>
      <c r="N855" s="362"/>
      <c r="O855" s="312"/>
      <c r="P855" s="312"/>
      <c r="S855" s="2">
        <f t="shared" si="5"/>
        <v>0</v>
      </c>
      <c r="AA855" s="312"/>
      <c r="AB855" s="312"/>
      <c r="AC855" s="312"/>
      <c r="AD855" s="312"/>
    </row>
    <row r="856">
      <c r="A856" s="312"/>
      <c r="B856" s="344">
        <f t="shared" si="1"/>
        <v>2045</v>
      </c>
      <c r="C856" s="344">
        <v>90.0</v>
      </c>
      <c r="D856" s="369"/>
      <c r="E856" s="344" t="str">
        <f t="shared" si="2"/>
        <v>Saturday</v>
      </c>
      <c r="F856" s="344" t="s">
        <v>554</v>
      </c>
      <c r="G856" s="370"/>
      <c r="H856" s="370"/>
      <c r="I856" s="357">
        <f t="shared" si="3"/>
        <v>0</v>
      </c>
      <c r="J856" s="346">
        <f t="shared" si="4"/>
        <v>0</v>
      </c>
      <c r="K856" s="312"/>
      <c r="L856" s="312"/>
      <c r="M856" s="312"/>
      <c r="N856" s="362"/>
      <c r="O856" s="312"/>
      <c r="P856" s="312"/>
      <c r="S856" s="2">
        <f t="shared" si="5"/>
        <v>0</v>
      </c>
      <c r="AA856" s="312"/>
      <c r="AB856" s="312"/>
      <c r="AC856" s="312"/>
      <c r="AD856" s="312"/>
    </row>
    <row r="857">
      <c r="A857" s="312"/>
      <c r="B857" s="344">
        <f t="shared" si="1"/>
        <v>2045</v>
      </c>
      <c r="C857" s="344">
        <v>90.0</v>
      </c>
      <c r="D857" s="369"/>
      <c r="E857" s="344" t="str">
        <f t="shared" si="2"/>
        <v>Saturday</v>
      </c>
      <c r="F857" s="344" t="s">
        <v>554</v>
      </c>
      <c r="G857" s="370"/>
      <c r="H857" s="370"/>
      <c r="I857" s="357">
        <f t="shared" si="3"/>
        <v>0</v>
      </c>
      <c r="J857" s="346">
        <f t="shared" si="4"/>
        <v>0</v>
      </c>
      <c r="K857" s="312"/>
      <c r="L857" s="312"/>
      <c r="M857" s="312"/>
      <c r="N857" s="362"/>
      <c r="O857" s="312"/>
      <c r="P857" s="312"/>
      <c r="S857" s="2">
        <f t="shared" si="5"/>
        <v>0</v>
      </c>
      <c r="AA857" s="312"/>
      <c r="AB857" s="312"/>
      <c r="AC857" s="312"/>
      <c r="AD857" s="312"/>
    </row>
    <row r="858">
      <c r="A858" s="312"/>
      <c r="B858" s="344">
        <f t="shared" si="1"/>
        <v>2045</v>
      </c>
      <c r="C858" s="344">
        <v>90.0</v>
      </c>
      <c r="D858" s="369"/>
      <c r="E858" s="344" t="str">
        <f t="shared" si="2"/>
        <v>Saturday</v>
      </c>
      <c r="F858" s="344" t="s">
        <v>554</v>
      </c>
      <c r="G858" s="370"/>
      <c r="H858" s="370"/>
      <c r="I858" s="357">
        <f t="shared" si="3"/>
        <v>0</v>
      </c>
      <c r="J858" s="346">
        <f t="shared" si="4"/>
        <v>0</v>
      </c>
      <c r="K858" s="312"/>
      <c r="L858" s="312"/>
      <c r="M858" s="312"/>
      <c r="N858" s="362"/>
      <c r="O858" s="312"/>
      <c r="P858" s="312"/>
      <c r="S858" s="2">
        <f t="shared" si="5"/>
        <v>0</v>
      </c>
      <c r="AA858" s="312"/>
      <c r="AB858" s="312"/>
      <c r="AC858" s="312"/>
      <c r="AD858" s="312"/>
    </row>
    <row r="859">
      <c r="A859" s="312"/>
      <c r="B859" s="344">
        <f t="shared" si="1"/>
        <v>2045</v>
      </c>
      <c r="C859" s="344">
        <v>90.0</v>
      </c>
      <c r="D859" s="369"/>
      <c r="E859" s="344" t="str">
        <f t="shared" si="2"/>
        <v>Saturday</v>
      </c>
      <c r="F859" s="344" t="s">
        <v>554</v>
      </c>
      <c r="G859" s="370"/>
      <c r="H859" s="370"/>
      <c r="I859" s="357">
        <f t="shared" si="3"/>
        <v>0</v>
      </c>
      <c r="J859" s="346">
        <f t="shared" si="4"/>
        <v>0</v>
      </c>
      <c r="K859" s="312"/>
      <c r="L859" s="312"/>
      <c r="M859" s="312"/>
      <c r="N859" s="362"/>
      <c r="O859" s="312"/>
      <c r="P859" s="312"/>
      <c r="S859" s="2">
        <f t="shared" si="5"/>
        <v>0</v>
      </c>
      <c r="AA859" s="312"/>
      <c r="AB859" s="312"/>
      <c r="AC859" s="312"/>
      <c r="AD859" s="312"/>
    </row>
    <row r="860">
      <c r="A860" s="312"/>
      <c r="B860" s="344">
        <f t="shared" si="1"/>
        <v>2045</v>
      </c>
      <c r="C860" s="344">
        <v>90.0</v>
      </c>
      <c r="D860" s="369"/>
      <c r="E860" s="344" t="str">
        <f t="shared" si="2"/>
        <v>Saturday</v>
      </c>
      <c r="F860" s="344" t="s">
        <v>554</v>
      </c>
      <c r="G860" s="370"/>
      <c r="H860" s="370"/>
      <c r="I860" s="357">
        <f t="shared" si="3"/>
        <v>0</v>
      </c>
      <c r="J860" s="346">
        <f t="shared" si="4"/>
        <v>0</v>
      </c>
      <c r="K860" s="312"/>
      <c r="L860" s="312"/>
      <c r="M860" s="312"/>
      <c r="N860" s="362"/>
      <c r="O860" s="312"/>
      <c r="P860" s="312"/>
      <c r="S860" s="2">
        <f t="shared" si="5"/>
        <v>0</v>
      </c>
      <c r="AA860" s="312"/>
      <c r="AB860" s="312"/>
      <c r="AC860" s="312"/>
      <c r="AD860" s="312"/>
    </row>
    <row r="861">
      <c r="A861" s="312"/>
      <c r="B861" s="344">
        <f t="shared" si="1"/>
        <v>2045</v>
      </c>
      <c r="C861" s="344">
        <v>90.0</v>
      </c>
      <c r="D861" s="369"/>
      <c r="E861" s="344" t="str">
        <f t="shared" si="2"/>
        <v>Saturday</v>
      </c>
      <c r="F861" s="344" t="s">
        <v>554</v>
      </c>
      <c r="G861" s="370"/>
      <c r="H861" s="370"/>
      <c r="I861" s="357">
        <f t="shared" si="3"/>
        <v>0</v>
      </c>
      <c r="J861" s="346">
        <f t="shared" si="4"/>
        <v>0</v>
      </c>
      <c r="K861" s="312"/>
      <c r="L861" s="312"/>
      <c r="M861" s="312"/>
      <c r="N861" s="362"/>
      <c r="O861" s="312"/>
      <c r="P861" s="312"/>
      <c r="S861" s="2">
        <f t="shared" si="5"/>
        <v>0</v>
      </c>
      <c r="AA861" s="312"/>
      <c r="AB861" s="312"/>
      <c r="AC861" s="312"/>
      <c r="AD861" s="312"/>
    </row>
    <row r="862">
      <c r="A862" s="312"/>
      <c r="B862" s="344">
        <f t="shared" si="1"/>
        <v>2045</v>
      </c>
      <c r="C862" s="344">
        <v>90.0</v>
      </c>
      <c r="D862" s="369"/>
      <c r="E862" s="344" t="str">
        <f t="shared" si="2"/>
        <v>Saturday</v>
      </c>
      <c r="F862" s="344" t="s">
        <v>554</v>
      </c>
      <c r="G862" s="370"/>
      <c r="H862" s="370"/>
      <c r="I862" s="357">
        <f t="shared" si="3"/>
        <v>0</v>
      </c>
      <c r="J862" s="346">
        <f t="shared" si="4"/>
        <v>0</v>
      </c>
      <c r="K862" s="312"/>
      <c r="L862" s="312"/>
      <c r="M862" s="312"/>
      <c r="N862" s="362"/>
      <c r="O862" s="312"/>
      <c r="P862" s="312"/>
      <c r="S862" s="2">
        <f t="shared" si="5"/>
        <v>0</v>
      </c>
      <c r="AA862" s="312"/>
      <c r="AB862" s="312"/>
      <c r="AC862" s="312"/>
      <c r="AD862" s="312"/>
    </row>
    <row r="863">
      <c r="A863" s="312"/>
      <c r="B863" s="344">
        <f t="shared" si="1"/>
        <v>2045</v>
      </c>
      <c r="C863" s="344">
        <v>90.0</v>
      </c>
      <c r="D863" s="369"/>
      <c r="E863" s="344" t="str">
        <f t="shared" si="2"/>
        <v>Saturday</v>
      </c>
      <c r="F863" s="344" t="s">
        <v>554</v>
      </c>
      <c r="G863" s="370"/>
      <c r="H863" s="370"/>
      <c r="I863" s="357">
        <f t="shared" si="3"/>
        <v>0</v>
      </c>
      <c r="J863" s="346">
        <f t="shared" si="4"/>
        <v>0</v>
      </c>
      <c r="K863" s="312"/>
      <c r="L863" s="312"/>
      <c r="M863" s="312"/>
      <c r="N863" s="362"/>
      <c r="O863" s="312"/>
      <c r="P863" s="312"/>
      <c r="S863" s="2">
        <f t="shared" si="5"/>
        <v>0</v>
      </c>
      <c r="AA863" s="312"/>
      <c r="AB863" s="312"/>
      <c r="AC863" s="312"/>
      <c r="AD863" s="312"/>
    </row>
    <row r="864">
      <c r="A864" s="312"/>
      <c r="B864" s="344">
        <f t="shared" si="1"/>
        <v>2045</v>
      </c>
      <c r="C864" s="344">
        <v>90.0</v>
      </c>
      <c r="D864" s="369"/>
      <c r="E864" s="344" t="str">
        <f t="shared" si="2"/>
        <v>Saturday</v>
      </c>
      <c r="F864" s="344" t="s">
        <v>554</v>
      </c>
      <c r="G864" s="370"/>
      <c r="H864" s="370"/>
      <c r="I864" s="357">
        <f t="shared" si="3"/>
        <v>0</v>
      </c>
      <c r="J864" s="346">
        <f t="shared" si="4"/>
        <v>0</v>
      </c>
      <c r="K864" s="312"/>
      <c r="L864" s="312"/>
      <c r="M864" s="312"/>
      <c r="N864" s="362"/>
      <c r="O864" s="312"/>
      <c r="P864" s="312"/>
      <c r="S864" s="2">
        <f t="shared" si="5"/>
        <v>0</v>
      </c>
      <c r="AA864" s="312"/>
      <c r="AB864" s="312"/>
      <c r="AC864" s="312"/>
      <c r="AD864" s="312"/>
    </row>
    <row r="865">
      <c r="A865" s="312"/>
      <c r="B865" s="344">
        <f t="shared" si="1"/>
        <v>2045</v>
      </c>
      <c r="C865" s="344">
        <v>90.0</v>
      </c>
      <c r="D865" s="369"/>
      <c r="E865" s="344" t="str">
        <f t="shared" si="2"/>
        <v>Saturday</v>
      </c>
      <c r="F865" s="344" t="s">
        <v>554</v>
      </c>
      <c r="G865" s="370"/>
      <c r="H865" s="370"/>
      <c r="I865" s="357">
        <f t="shared" si="3"/>
        <v>0</v>
      </c>
      <c r="J865" s="346">
        <f t="shared" si="4"/>
        <v>0</v>
      </c>
      <c r="K865" s="312"/>
      <c r="L865" s="312"/>
      <c r="M865" s="312"/>
      <c r="N865" s="362"/>
      <c r="O865" s="312"/>
      <c r="P865" s="312"/>
      <c r="S865" s="2">
        <f t="shared" si="5"/>
        <v>0</v>
      </c>
      <c r="AA865" s="312"/>
      <c r="AB865" s="312"/>
      <c r="AC865" s="312"/>
      <c r="AD865" s="312"/>
    </row>
    <row r="866">
      <c r="A866" s="312"/>
      <c r="B866" s="344">
        <f t="shared" si="1"/>
        <v>2045</v>
      </c>
      <c r="C866" s="344">
        <v>90.0</v>
      </c>
      <c r="D866" s="369"/>
      <c r="E866" s="344" t="str">
        <f t="shared" si="2"/>
        <v>Saturday</v>
      </c>
      <c r="F866" s="344" t="s">
        <v>554</v>
      </c>
      <c r="G866" s="370"/>
      <c r="H866" s="370"/>
      <c r="I866" s="357">
        <f t="shared" si="3"/>
        <v>0</v>
      </c>
      <c r="J866" s="346">
        <f t="shared" si="4"/>
        <v>0</v>
      </c>
      <c r="K866" s="312"/>
      <c r="L866" s="312"/>
      <c r="M866" s="312"/>
      <c r="N866" s="362"/>
      <c r="O866" s="312"/>
      <c r="P866" s="312"/>
      <c r="S866" s="2">
        <f t="shared" si="5"/>
        <v>0</v>
      </c>
      <c r="AA866" s="312"/>
      <c r="AB866" s="312"/>
      <c r="AC866" s="312"/>
      <c r="AD866" s="312"/>
    </row>
    <row r="867">
      <c r="A867" s="312"/>
      <c r="B867" s="344">
        <f t="shared" si="1"/>
        <v>2045</v>
      </c>
      <c r="C867" s="344">
        <v>90.0</v>
      </c>
      <c r="D867" s="369"/>
      <c r="E867" s="344" t="str">
        <f t="shared" si="2"/>
        <v>Saturday</v>
      </c>
      <c r="F867" s="344" t="s">
        <v>554</v>
      </c>
      <c r="G867" s="370"/>
      <c r="H867" s="370"/>
      <c r="I867" s="357">
        <f t="shared" si="3"/>
        <v>0</v>
      </c>
      <c r="J867" s="346">
        <f t="shared" si="4"/>
        <v>0</v>
      </c>
      <c r="K867" s="312"/>
      <c r="L867" s="312"/>
      <c r="M867" s="312"/>
      <c r="N867" s="362"/>
      <c r="O867" s="312"/>
      <c r="P867" s="312"/>
      <c r="S867" s="2">
        <f t="shared" si="5"/>
        <v>0</v>
      </c>
      <c r="AA867" s="312"/>
      <c r="AB867" s="312"/>
      <c r="AC867" s="312"/>
      <c r="AD867" s="312"/>
    </row>
    <row r="868">
      <c r="A868" s="312"/>
      <c r="B868" s="344">
        <f t="shared" si="1"/>
        <v>2045</v>
      </c>
      <c r="C868" s="344">
        <v>90.0</v>
      </c>
      <c r="D868" s="369"/>
      <c r="E868" s="344" t="str">
        <f t="shared" si="2"/>
        <v>Saturday</v>
      </c>
      <c r="F868" s="344" t="s">
        <v>554</v>
      </c>
      <c r="G868" s="370"/>
      <c r="H868" s="370"/>
      <c r="I868" s="357">
        <f t="shared" si="3"/>
        <v>0</v>
      </c>
      <c r="J868" s="346">
        <f t="shared" si="4"/>
        <v>0</v>
      </c>
      <c r="K868" s="312"/>
      <c r="L868" s="312"/>
      <c r="M868" s="312"/>
      <c r="N868" s="362"/>
      <c r="O868" s="312"/>
      <c r="P868" s="312"/>
      <c r="S868" s="2">
        <f t="shared" si="5"/>
        <v>0</v>
      </c>
      <c r="AA868" s="312"/>
      <c r="AB868" s="312"/>
      <c r="AC868" s="312"/>
      <c r="AD868" s="312"/>
    </row>
    <row r="869">
      <c r="A869" s="312"/>
      <c r="B869" s="344">
        <f t="shared" si="1"/>
        <v>2045</v>
      </c>
      <c r="C869" s="344">
        <v>90.0</v>
      </c>
      <c r="D869" s="369"/>
      <c r="E869" s="344" t="str">
        <f t="shared" si="2"/>
        <v>Saturday</v>
      </c>
      <c r="F869" s="344" t="s">
        <v>554</v>
      </c>
      <c r="G869" s="370"/>
      <c r="H869" s="370"/>
      <c r="I869" s="357">
        <f t="shared" si="3"/>
        <v>0</v>
      </c>
      <c r="J869" s="346">
        <f t="shared" si="4"/>
        <v>0</v>
      </c>
      <c r="K869" s="312"/>
      <c r="L869" s="312"/>
      <c r="M869" s="312"/>
      <c r="N869" s="362"/>
      <c r="O869" s="312"/>
      <c r="P869" s="312"/>
      <c r="S869" s="2">
        <f t="shared" si="5"/>
        <v>0</v>
      </c>
      <c r="AA869" s="312"/>
      <c r="AB869" s="312"/>
      <c r="AC869" s="312"/>
      <c r="AD869" s="312"/>
    </row>
    <row r="870">
      <c r="A870" s="312"/>
      <c r="B870" s="344">
        <f t="shared" si="1"/>
        <v>2045</v>
      </c>
      <c r="C870" s="344">
        <v>90.0</v>
      </c>
      <c r="D870" s="369"/>
      <c r="E870" s="344" t="str">
        <f t="shared" si="2"/>
        <v>Saturday</v>
      </c>
      <c r="F870" s="344" t="s">
        <v>554</v>
      </c>
      <c r="G870" s="370"/>
      <c r="H870" s="370"/>
      <c r="I870" s="357">
        <f t="shared" si="3"/>
        <v>0</v>
      </c>
      <c r="J870" s="346">
        <f t="shared" si="4"/>
        <v>0</v>
      </c>
      <c r="K870" s="312"/>
      <c r="L870" s="312"/>
      <c r="M870" s="312"/>
      <c r="N870" s="362"/>
      <c r="O870" s="312"/>
      <c r="P870" s="312"/>
      <c r="S870" s="2">
        <f t="shared" si="5"/>
        <v>0</v>
      </c>
      <c r="AA870" s="312"/>
      <c r="AB870" s="312"/>
      <c r="AC870" s="312"/>
      <c r="AD870" s="312"/>
    </row>
    <row r="871">
      <c r="A871" s="312"/>
      <c r="B871" s="344">
        <f t="shared" si="1"/>
        <v>2045</v>
      </c>
      <c r="C871" s="344">
        <v>90.0</v>
      </c>
      <c r="D871" s="369"/>
      <c r="E871" s="344" t="str">
        <f t="shared" si="2"/>
        <v>Saturday</v>
      </c>
      <c r="F871" s="344" t="s">
        <v>554</v>
      </c>
      <c r="G871" s="370"/>
      <c r="H871" s="370"/>
      <c r="I871" s="357">
        <f t="shared" si="3"/>
        <v>0</v>
      </c>
      <c r="J871" s="346">
        <f t="shared" si="4"/>
        <v>0</v>
      </c>
      <c r="K871" s="312"/>
      <c r="L871" s="312"/>
      <c r="M871" s="312"/>
      <c r="N871" s="362"/>
      <c r="O871" s="312"/>
      <c r="P871" s="312"/>
      <c r="S871" s="2">
        <f t="shared" si="5"/>
        <v>0</v>
      </c>
      <c r="AA871" s="312"/>
      <c r="AB871" s="312"/>
      <c r="AC871" s="312"/>
      <c r="AD871" s="312"/>
    </row>
    <row r="872">
      <c r="A872" s="312"/>
      <c r="B872" s="344">
        <f t="shared" si="1"/>
        <v>2045</v>
      </c>
      <c r="C872" s="344">
        <v>90.0</v>
      </c>
      <c r="D872" s="369"/>
      <c r="E872" s="344" t="str">
        <f t="shared" si="2"/>
        <v>Saturday</v>
      </c>
      <c r="F872" s="344" t="s">
        <v>554</v>
      </c>
      <c r="G872" s="370"/>
      <c r="H872" s="370"/>
      <c r="I872" s="357">
        <f t="shared" si="3"/>
        <v>0</v>
      </c>
      <c r="J872" s="346">
        <f t="shared" si="4"/>
        <v>0</v>
      </c>
      <c r="K872" s="312"/>
      <c r="L872" s="312"/>
      <c r="M872" s="312"/>
      <c r="N872" s="362"/>
      <c r="O872" s="312"/>
      <c r="P872" s="312"/>
      <c r="S872" s="2">
        <f t="shared" si="5"/>
        <v>0</v>
      </c>
      <c r="AA872" s="312"/>
      <c r="AB872" s="312"/>
      <c r="AC872" s="312"/>
      <c r="AD872" s="312"/>
    </row>
    <row r="873">
      <c r="A873" s="312"/>
      <c r="B873" s="344">
        <f t="shared" si="1"/>
        <v>2045</v>
      </c>
      <c r="C873" s="344">
        <v>90.0</v>
      </c>
      <c r="D873" s="369"/>
      <c r="E873" s="344" t="str">
        <f t="shared" si="2"/>
        <v>Saturday</v>
      </c>
      <c r="F873" s="344" t="s">
        <v>554</v>
      </c>
      <c r="G873" s="370"/>
      <c r="H873" s="370"/>
      <c r="I873" s="357">
        <f t="shared" si="3"/>
        <v>0</v>
      </c>
      <c r="J873" s="346">
        <f t="shared" si="4"/>
        <v>0</v>
      </c>
      <c r="K873" s="312"/>
      <c r="L873" s="312"/>
      <c r="M873" s="312"/>
      <c r="N873" s="362"/>
      <c r="O873" s="312"/>
      <c r="P873" s="312"/>
      <c r="S873" s="2">
        <f t="shared" si="5"/>
        <v>0</v>
      </c>
      <c r="AA873" s="312"/>
      <c r="AB873" s="312"/>
      <c r="AC873" s="312"/>
      <c r="AD873" s="312"/>
    </row>
    <row r="874">
      <c r="A874" s="312"/>
      <c r="B874" s="344">
        <f t="shared" si="1"/>
        <v>2045</v>
      </c>
      <c r="C874" s="344">
        <v>90.0</v>
      </c>
      <c r="D874" s="369"/>
      <c r="E874" s="344" t="str">
        <f t="shared" si="2"/>
        <v>Saturday</v>
      </c>
      <c r="F874" s="344" t="s">
        <v>554</v>
      </c>
      <c r="G874" s="370"/>
      <c r="H874" s="370"/>
      <c r="I874" s="357">
        <f t="shared" si="3"/>
        <v>0</v>
      </c>
      <c r="J874" s="346">
        <f t="shared" si="4"/>
        <v>0</v>
      </c>
      <c r="K874" s="312"/>
      <c r="L874" s="312"/>
      <c r="M874" s="312"/>
      <c r="N874" s="362"/>
      <c r="O874" s="312"/>
      <c r="P874" s="312"/>
      <c r="S874" s="2">
        <f t="shared" si="5"/>
        <v>0</v>
      </c>
      <c r="AA874" s="312"/>
      <c r="AB874" s="312"/>
      <c r="AC874" s="312"/>
      <c r="AD874" s="312"/>
    </row>
    <row r="875">
      <c r="A875" s="312"/>
      <c r="B875" s="344">
        <f t="shared" si="1"/>
        <v>2045</v>
      </c>
      <c r="C875" s="344">
        <v>90.0</v>
      </c>
      <c r="D875" s="369"/>
      <c r="E875" s="344" t="str">
        <f t="shared" si="2"/>
        <v>Saturday</v>
      </c>
      <c r="F875" s="344" t="s">
        <v>554</v>
      </c>
      <c r="G875" s="370"/>
      <c r="H875" s="370"/>
      <c r="I875" s="357">
        <f t="shared" si="3"/>
        <v>0</v>
      </c>
      <c r="J875" s="346">
        <f t="shared" si="4"/>
        <v>0</v>
      </c>
      <c r="K875" s="312"/>
      <c r="L875" s="312"/>
      <c r="M875" s="312"/>
      <c r="N875" s="362"/>
      <c r="O875" s="312"/>
      <c r="P875" s="312"/>
      <c r="S875" s="2">
        <f t="shared" si="5"/>
        <v>0</v>
      </c>
      <c r="AA875" s="312"/>
      <c r="AB875" s="312"/>
      <c r="AC875" s="312"/>
      <c r="AD875" s="312"/>
    </row>
    <row r="876">
      <c r="A876" s="312"/>
      <c r="B876" s="344">
        <f t="shared" si="1"/>
        <v>2045</v>
      </c>
      <c r="C876" s="344">
        <v>90.0</v>
      </c>
      <c r="D876" s="369"/>
      <c r="E876" s="344" t="str">
        <f t="shared" si="2"/>
        <v>Saturday</v>
      </c>
      <c r="F876" s="344" t="s">
        <v>554</v>
      </c>
      <c r="G876" s="370"/>
      <c r="H876" s="370"/>
      <c r="I876" s="357">
        <f t="shared" si="3"/>
        <v>0</v>
      </c>
      <c r="J876" s="346">
        <f t="shared" si="4"/>
        <v>0</v>
      </c>
      <c r="K876" s="312"/>
      <c r="L876" s="312"/>
      <c r="M876" s="312"/>
      <c r="N876" s="362"/>
      <c r="O876" s="312"/>
      <c r="P876" s="312"/>
      <c r="S876" s="2">
        <f t="shared" si="5"/>
        <v>0</v>
      </c>
      <c r="AA876" s="312"/>
      <c r="AB876" s="312"/>
      <c r="AC876" s="312"/>
      <c r="AD876" s="312"/>
    </row>
    <row r="877">
      <c r="A877" s="312"/>
      <c r="B877" s="344">
        <f t="shared" si="1"/>
        <v>2045</v>
      </c>
      <c r="C877" s="344">
        <v>90.0</v>
      </c>
      <c r="D877" s="369"/>
      <c r="E877" s="344" t="str">
        <f t="shared" si="2"/>
        <v>Saturday</v>
      </c>
      <c r="F877" s="344" t="s">
        <v>554</v>
      </c>
      <c r="G877" s="370"/>
      <c r="H877" s="370"/>
      <c r="I877" s="357">
        <f t="shared" si="3"/>
        <v>0</v>
      </c>
      <c r="J877" s="346">
        <f t="shared" si="4"/>
        <v>0</v>
      </c>
      <c r="K877" s="312"/>
      <c r="L877" s="312"/>
      <c r="M877" s="312"/>
      <c r="N877" s="362"/>
      <c r="O877" s="312"/>
      <c r="P877" s="312"/>
      <c r="S877" s="2">
        <f t="shared" si="5"/>
        <v>0</v>
      </c>
      <c r="AA877" s="312"/>
      <c r="AB877" s="312"/>
      <c r="AC877" s="312"/>
      <c r="AD877" s="312"/>
    </row>
    <row r="878">
      <c r="A878" s="312"/>
      <c r="B878" s="344">
        <f t="shared" si="1"/>
        <v>2045</v>
      </c>
      <c r="C878" s="344">
        <v>90.0</v>
      </c>
      <c r="D878" s="369"/>
      <c r="E878" s="344" t="str">
        <f t="shared" si="2"/>
        <v>Saturday</v>
      </c>
      <c r="F878" s="344" t="s">
        <v>554</v>
      </c>
      <c r="G878" s="370"/>
      <c r="H878" s="370"/>
      <c r="I878" s="357">
        <f t="shared" si="3"/>
        <v>0</v>
      </c>
      <c r="J878" s="346">
        <f t="shared" si="4"/>
        <v>0</v>
      </c>
      <c r="K878" s="312"/>
      <c r="L878" s="312"/>
      <c r="M878" s="312"/>
      <c r="N878" s="362"/>
      <c r="O878" s="312"/>
      <c r="P878" s="312"/>
      <c r="S878" s="2">
        <f t="shared" si="5"/>
        <v>0</v>
      </c>
      <c r="AA878" s="312"/>
      <c r="AB878" s="312"/>
      <c r="AC878" s="312"/>
      <c r="AD878" s="312"/>
    </row>
    <row r="879">
      <c r="A879" s="312"/>
      <c r="B879" s="344">
        <f t="shared" si="1"/>
        <v>2045</v>
      </c>
      <c r="C879" s="344">
        <v>90.0</v>
      </c>
      <c r="D879" s="369"/>
      <c r="E879" s="344" t="str">
        <f t="shared" si="2"/>
        <v>Saturday</v>
      </c>
      <c r="F879" s="344" t="s">
        <v>554</v>
      </c>
      <c r="G879" s="370"/>
      <c r="H879" s="370"/>
      <c r="I879" s="357">
        <f t="shared" si="3"/>
        <v>0</v>
      </c>
      <c r="J879" s="346">
        <f t="shared" si="4"/>
        <v>0</v>
      </c>
      <c r="K879" s="312"/>
      <c r="L879" s="312"/>
      <c r="M879" s="312"/>
      <c r="N879" s="362"/>
      <c r="O879" s="312"/>
      <c r="P879" s="312"/>
      <c r="S879" s="2">
        <f t="shared" si="5"/>
        <v>0</v>
      </c>
      <c r="AA879" s="312"/>
      <c r="AB879" s="312"/>
      <c r="AC879" s="312"/>
      <c r="AD879" s="312"/>
    </row>
    <row r="880">
      <c r="A880" s="312"/>
      <c r="B880" s="344">
        <f t="shared" si="1"/>
        <v>2045</v>
      </c>
      <c r="C880" s="344">
        <v>90.0</v>
      </c>
      <c r="D880" s="369"/>
      <c r="E880" s="344" t="str">
        <f t="shared" si="2"/>
        <v>Saturday</v>
      </c>
      <c r="F880" s="344" t="s">
        <v>554</v>
      </c>
      <c r="G880" s="370"/>
      <c r="H880" s="370"/>
      <c r="I880" s="357">
        <f t="shared" si="3"/>
        <v>0</v>
      </c>
      <c r="J880" s="346">
        <f t="shared" si="4"/>
        <v>0</v>
      </c>
      <c r="K880" s="312"/>
      <c r="L880" s="312"/>
      <c r="M880" s="312"/>
      <c r="N880" s="362"/>
      <c r="O880" s="312"/>
      <c r="P880" s="312"/>
      <c r="S880" s="2">
        <f t="shared" si="5"/>
        <v>0</v>
      </c>
      <c r="AA880" s="312"/>
      <c r="AB880" s="312"/>
      <c r="AC880" s="312"/>
      <c r="AD880" s="312"/>
    </row>
    <row r="881">
      <c r="A881" s="312"/>
      <c r="B881" s="344">
        <f t="shared" si="1"/>
        <v>2045</v>
      </c>
      <c r="C881" s="344">
        <v>90.0</v>
      </c>
      <c r="D881" s="369"/>
      <c r="E881" s="344" t="str">
        <f t="shared" si="2"/>
        <v>Saturday</v>
      </c>
      <c r="F881" s="344" t="s">
        <v>554</v>
      </c>
      <c r="G881" s="370"/>
      <c r="H881" s="370"/>
      <c r="I881" s="357">
        <f t="shared" si="3"/>
        <v>0</v>
      </c>
      <c r="J881" s="346">
        <f t="shared" si="4"/>
        <v>0</v>
      </c>
      <c r="K881" s="312"/>
      <c r="L881" s="312"/>
      <c r="M881" s="312"/>
      <c r="N881" s="362"/>
      <c r="O881" s="312"/>
      <c r="P881" s="312"/>
      <c r="S881" s="2">
        <f t="shared" si="5"/>
        <v>0</v>
      </c>
      <c r="AA881" s="312"/>
      <c r="AB881" s="312"/>
      <c r="AC881" s="312"/>
      <c r="AD881" s="312"/>
    </row>
    <row r="882">
      <c r="A882" s="312"/>
      <c r="B882" s="344">
        <f t="shared" si="1"/>
        <v>2045</v>
      </c>
      <c r="C882" s="344">
        <v>90.0</v>
      </c>
      <c r="D882" s="369"/>
      <c r="E882" s="344" t="str">
        <f t="shared" si="2"/>
        <v>Saturday</v>
      </c>
      <c r="F882" s="344" t="s">
        <v>554</v>
      </c>
      <c r="G882" s="370"/>
      <c r="H882" s="370"/>
      <c r="I882" s="357">
        <f t="shared" si="3"/>
        <v>0</v>
      </c>
      <c r="J882" s="346">
        <f t="shared" si="4"/>
        <v>0</v>
      </c>
      <c r="K882" s="312"/>
      <c r="L882" s="312"/>
      <c r="M882" s="312"/>
      <c r="N882" s="362"/>
      <c r="O882" s="312"/>
      <c r="P882" s="312"/>
      <c r="S882" s="2">
        <f t="shared" si="5"/>
        <v>0</v>
      </c>
      <c r="AA882" s="312"/>
      <c r="AB882" s="312"/>
      <c r="AC882" s="312"/>
      <c r="AD882" s="312"/>
    </row>
    <row r="883">
      <c r="A883" s="312"/>
      <c r="B883" s="344">
        <f t="shared" si="1"/>
        <v>2045</v>
      </c>
      <c r="C883" s="344">
        <v>90.0</v>
      </c>
      <c r="D883" s="369"/>
      <c r="E883" s="344" t="str">
        <f t="shared" si="2"/>
        <v>Saturday</v>
      </c>
      <c r="F883" s="344" t="s">
        <v>554</v>
      </c>
      <c r="G883" s="370"/>
      <c r="H883" s="370"/>
      <c r="I883" s="357">
        <f t="shared" si="3"/>
        <v>0</v>
      </c>
      <c r="J883" s="346">
        <f t="shared" si="4"/>
        <v>0</v>
      </c>
      <c r="K883" s="312"/>
      <c r="L883" s="312"/>
      <c r="M883" s="312"/>
      <c r="N883" s="362"/>
      <c r="O883" s="312"/>
      <c r="P883" s="312"/>
      <c r="S883" s="2">
        <f t="shared" si="5"/>
        <v>0</v>
      </c>
      <c r="AA883" s="312"/>
      <c r="AB883" s="312"/>
      <c r="AC883" s="312"/>
      <c r="AD883" s="312"/>
    </row>
    <row r="884">
      <c r="A884" s="312"/>
      <c r="B884" s="344">
        <f t="shared" si="1"/>
        <v>2045</v>
      </c>
      <c r="C884" s="344">
        <v>90.0</v>
      </c>
      <c r="D884" s="369"/>
      <c r="E884" s="344" t="str">
        <f t="shared" si="2"/>
        <v>Saturday</v>
      </c>
      <c r="F884" s="344" t="s">
        <v>554</v>
      </c>
      <c r="G884" s="370"/>
      <c r="H884" s="370"/>
      <c r="I884" s="357">
        <f t="shared" si="3"/>
        <v>0</v>
      </c>
      <c r="J884" s="346">
        <f t="shared" si="4"/>
        <v>0</v>
      </c>
      <c r="K884" s="312"/>
      <c r="L884" s="312"/>
      <c r="M884" s="312"/>
      <c r="N884" s="362"/>
      <c r="O884" s="312"/>
      <c r="P884" s="312"/>
      <c r="S884" s="2">
        <f t="shared" si="5"/>
        <v>0</v>
      </c>
      <c r="AA884" s="312"/>
      <c r="AB884" s="312"/>
      <c r="AC884" s="312"/>
      <c r="AD884" s="312"/>
    </row>
    <row r="885">
      <c r="A885" s="312"/>
      <c r="B885" s="344">
        <f t="shared" si="1"/>
        <v>2045</v>
      </c>
      <c r="C885" s="344">
        <v>90.0</v>
      </c>
      <c r="D885" s="369"/>
      <c r="E885" s="344" t="str">
        <f t="shared" si="2"/>
        <v>Saturday</v>
      </c>
      <c r="F885" s="344" t="s">
        <v>554</v>
      </c>
      <c r="G885" s="370"/>
      <c r="H885" s="370"/>
      <c r="I885" s="357">
        <f t="shared" si="3"/>
        <v>0</v>
      </c>
      <c r="J885" s="346">
        <f t="shared" si="4"/>
        <v>0</v>
      </c>
      <c r="K885" s="312"/>
      <c r="L885" s="312"/>
      <c r="M885" s="312"/>
      <c r="N885" s="362"/>
      <c r="O885" s="312"/>
      <c r="P885" s="312"/>
      <c r="S885" s="2">
        <f t="shared" si="5"/>
        <v>0</v>
      </c>
      <c r="AA885" s="312"/>
      <c r="AB885" s="312"/>
      <c r="AC885" s="312"/>
      <c r="AD885" s="312"/>
    </row>
    <row r="886">
      <c r="A886" s="312"/>
      <c r="B886" s="344">
        <f t="shared" si="1"/>
        <v>2045</v>
      </c>
      <c r="C886" s="344">
        <v>90.0</v>
      </c>
      <c r="D886" s="369"/>
      <c r="E886" s="344" t="str">
        <f t="shared" si="2"/>
        <v>Saturday</v>
      </c>
      <c r="F886" s="344" t="s">
        <v>554</v>
      </c>
      <c r="G886" s="370"/>
      <c r="H886" s="370"/>
      <c r="I886" s="357">
        <f t="shared" si="3"/>
        <v>0</v>
      </c>
      <c r="J886" s="346">
        <f t="shared" si="4"/>
        <v>0</v>
      </c>
      <c r="K886" s="312"/>
      <c r="L886" s="312"/>
      <c r="M886" s="312"/>
      <c r="N886" s="362"/>
      <c r="O886" s="312"/>
      <c r="P886" s="312"/>
      <c r="S886" s="2">
        <f t="shared" si="5"/>
        <v>0</v>
      </c>
      <c r="AA886" s="312"/>
      <c r="AB886" s="312"/>
      <c r="AC886" s="312"/>
      <c r="AD886" s="312"/>
    </row>
    <row r="887">
      <c r="A887" s="312"/>
      <c r="B887" s="344">
        <f t="shared" si="1"/>
        <v>2045</v>
      </c>
      <c r="C887" s="344">
        <v>90.0</v>
      </c>
      <c r="D887" s="369"/>
      <c r="E887" s="344" t="str">
        <f t="shared" si="2"/>
        <v>Saturday</v>
      </c>
      <c r="F887" s="344" t="s">
        <v>554</v>
      </c>
      <c r="G887" s="370"/>
      <c r="H887" s="370"/>
      <c r="I887" s="357">
        <f t="shared" si="3"/>
        <v>0</v>
      </c>
      <c r="J887" s="346">
        <f t="shared" si="4"/>
        <v>0</v>
      </c>
      <c r="K887" s="312"/>
      <c r="L887" s="312"/>
      <c r="M887" s="312"/>
      <c r="N887" s="362"/>
      <c r="O887" s="312"/>
      <c r="P887" s="312"/>
      <c r="S887" s="2">
        <f t="shared" si="5"/>
        <v>0</v>
      </c>
      <c r="AA887" s="312"/>
      <c r="AB887" s="312"/>
      <c r="AC887" s="312"/>
      <c r="AD887" s="312"/>
    </row>
    <row r="888">
      <c r="A888" s="312"/>
      <c r="B888" s="344">
        <f t="shared" si="1"/>
        <v>2045</v>
      </c>
      <c r="C888" s="344">
        <v>90.0</v>
      </c>
      <c r="D888" s="369"/>
      <c r="E888" s="344" t="str">
        <f t="shared" si="2"/>
        <v>Saturday</v>
      </c>
      <c r="F888" s="344" t="s">
        <v>554</v>
      </c>
      <c r="G888" s="370"/>
      <c r="H888" s="370"/>
      <c r="I888" s="357">
        <f t="shared" si="3"/>
        <v>0</v>
      </c>
      <c r="J888" s="346">
        <f t="shared" si="4"/>
        <v>0</v>
      </c>
      <c r="K888" s="312"/>
      <c r="L888" s="312"/>
      <c r="M888" s="312"/>
      <c r="N888" s="362"/>
      <c r="O888" s="312"/>
      <c r="P888" s="312"/>
      <c r="S888" s="2">
        <f t="shared" si="5"/>
        <v>0</v>
      </c>
      <c r="AA888" s="312"/>
      <c r="AB888" s="312"/>
      <c r="AC888" s="312"/>
      <c r="AD888" s="312"/>
    </row>
    <row r="889">
      <c r="A889" s="312"/>
      <c r="B889" s="344">
        <f t="shared" si="1"/>
        <v>2045</v>
      </c>
      <c r="C889" s="344">
        <v>90.0</v>
      </c>
      <c r="D889" s="369"/>
      <c r="E889" s="344" t="str">
        <f t="shared" si="2"/>
        <v>Saturday</v>
      </c>
      <c r="F889" s="344" t="s">
        <v>554</v>
      </c>
      <c r="G889" s="370"/>
      <c r="H889" s="370"/>
      <c r="I889" s="357">
        <f t="shared" si="3"/>
        <v>0</v>
      </c>
      <c r="J889" s="346">
        <f t="shared" si="4"/>
        <v>0</v>
      </c>
      <c r="K889" s="312"/>
      <c r="L889" s="312"/>
      <c r="M889" s="312"/>
      <c r="N889" s="362"/>
      <c r="O889" s="312"/>
      <c r="P889" s="312"/>
      <c r="S889" s="2">
        <f t="shared" si="5"/>
        <v>0</v>
      </c>
      <c r="AA889" s="312"/>
      <c r="AB889" s="312"/>
      <c r="AC889" s="312"/>
      <c r="AD889" s="312"/>
    </row>
    <row r="890">
      <c r="A890" s="312"/>
      <c r="B890" s="344">
        <f t="shared" si="1"/>
        <v>2045</v>
      </c>
      <c r="C890" s="344">
        <v>90.0</v>
      </c>
      <c r="D890" s="369"/>
      <c r="E890" s="344" t="str">
        <f t="shared" si="2"/>
        <v>Saturday</v>
      </c>
      <c r="F890" s="344" t="s">
        <v>554</v>
      </c>
      <c r="G890" s="370"/>
      <c r="H890" s="370"/>
      <c r="I890" s="357">
        <f t="shared" si="3"/>
        <v>0</v>
      </c>
      <c r="J890" s="346">
        <f t="shared" si="4"/>
        <v>0</v>
      </c>
      <c r="K890" s="312"/>
      <c r="L890" s="312"/>
      <c r="M890" s="312"/>
      <c r="N890" s="362"/>
      <c r="O890" s="312"/>
      <c r="P890" s="312"/>
      <c r="S890" s="2">
        <f t="shared" si="5"/>
        <v>0</v>
      </c>
      <c r="AA890" s="312"/>
      <c r="AB890" s="312"/>
      <c r="AC890" s="312"/>
      <c r="AD890" s="312"/>
    </row>
    <row r="891">
      <c r="A891" s="312"/>
      <c r="B891" s="344">
        <f t="shared" si="1"/>
        <v>2045</v>
      </c>
      <c r="C891" s="344">
        <v>90.0</v>
      </c>
      <c r="D891" s="369"/>
      <c r="E891" s="344" t="str">
        <f t="shared" si="2"/>
        <v>Saturday</v>
      </c>
      <c r="F891" s="344" t="s">
        <v>554</v>
      </c>
      <c r="G891" s="370"/>
      <c r="H891" s="370"/>
      <c r="I891" s="357">
        <f t="shared" si="3"/>
        <v>0</v>
      </c>
      <c r="J891" s="346">
        <f t="shared" si="4"/>
        <v>0</v>
      </c>
      <c r="K891" s="312"/>
      <c r="L891" s="312"/>
      <c r="M891" s="312"/>
      <c r="N891" s="362"/>
      <c r="O891" s="312"/>
      <c r="P891" s="312"/>
      <c r="S891" s="2">
        <f t="shared" si="5"/>
        <v>0</v>
      </c>
      <c r="AA891" s="312"/>
      <c r="AB891" s="312"/>
      <c r="AC891" s="312"/>
      <c r="AD891" s="312"/>
    </row>
    <row r="892">
      <c r="A892" s="312"/>
      <c r="B892" s="344">
        <f t="shared" si="1"/>
        <v>2045</v>
      </c>
      <c r="C892" s="344">
        <v>90.0</v>
      </c>
      <c r="D892" s="369"/>
      <c r="E892" s="344" t="str">
        <f t="shared" si="2"/>
        <v>Saturday</v>
      </c>
      <c r="F892" s="344" t="s">
        <v>554</v>
      </c>
      <c r="G892" s="370"/>
      <c r="H892" s="370"/>
      <c r="I892" s="357">
        <f t="shared" si="3"/>
        <v>0</v>
      </c>
      <c r="J892" s="346">
        <f t="shared" si="4"/>
        <v>0</v>
      </c>
      <c r="K892" s="312"/>
      <c r="L892" s="312"/>
      <c r="M892" s="312"/>
      <c r="N892" s="362"/>
      <c r="O892" s="312"/>
      <c r="P892" s="312"/>
      <c r="S892" s="2">
        <f t="shared" si="5"/>
        <v>0</v>
      </c>
      <c r="AA892" s="312"/>
      <c r="AB892" s="312"/>
      <c r="AC892" s="312"/>
      <c r="AD892" s="312"/>
    </row>
    <row r="893">
      <c r="A893" s="312"/>
      <c r="B893" s="344">
        <f t="shared" si="1"/>
        <v>2045</v>
      </c>
      <c r="C893" s="344">
        <v>90.0</v>
      </c>
      <c r="D893" s="369"/>
      <c r="E893" s="344" t="str">
        <f t="shared" si="2"/>
        <v>Saturday</v>
      </c>
      <c r="F893" s="344" t="s">
        <v>554</v>
      </c>
      <c r="G893" s="370"/>
      <c r="H893" s="370"/>
      <c r="I893" s="357">
        <f t="shared" si="3"/>
        <v>0</v>
      </c>
      <c r="J893" s="346">
        <f t="shared" si="4"/>
        <v>0</v>
      </c>
      <c r="K893" s="312"/>
      <c r="L893" s="312"/>
      <c r="M893" s="312"/>
      <c r="N893" s="362"/>
      <c r="O893" s="312"/>
      <c r="P893" s="312"/>
      <c r="S893" s="2">
        <f t="shared" si="5"/>
        <v>0</v>
      </c>
      <c r="AA893" s="312"/>
      <c r="AB893" s="312"/>
      <c r="AC893" s="312"/>
      <c r="AD893" s="312"/>
    </row>
    <row r="894">
      <c r="A894" s="312"/>
      <c r="B894" s="344">
        <f t="shared" si="1"/>
        <v>2045</v>
      </c>
      <c r="C894" s="344">
        <v>90.0</v>
      </c>
      <c r="D894" s="369"/>
      <c r="E894" s="344" t="str">
        <f t="shared" si="2"/>
        <v>Saturday</v>
      </c>
      <c r="F894" s="344" t="s">
        <v>554</v>
      </c>
      <c r="G894" s="370"/>
      <c r="H894" s="370"/>
      <c r="I894" s="357">
        <f t="shared" si="3"/>
        <v>0</v>
      </c>
      <c r="J894" s="346">
        <f t="shared" si="4"/>
        <v>0</v>
      </c>
      <c r="K894" s="312"/>
      <c r="L894" s="312"/>
      <c r="M894" s="312"/>
      <c r="N894" s="362"/>
      <c r="O894" s="312"/>
      <c r="P894" s="312"/>
      <c r="S894" s="2">
        <f t="shared" si="5"/>
        <v>0</v>
      </c>
      <c r="AA894" s="312"/>
      <c r="AB894" s="312"/>
      <c r="AC894" s="312"/>
      <c r="AD894" s="312"/>
    </row>
    <row r="895">
      <c r="A895" s="312"/>
      <c r="B895" s="344">
        <f t="shared" si="1"/>
        <v>2045</v>
      </c>
      <c r="C895" s="344">
        <v>90.0</v>
      </c>
      <c r="D895" s="369"/>
      <c r="E895" s="344" t="str">
        <f t="shared" si="2"/>
        <v>Saturday</v>
      </c>
      <c r="F895" s="344" t="s">
        <v>554</v>
      </c>
      <c r="G895" s="370"/>
      <c r="H895" s="370"/>
      <c r="I895" s="357">
        <f t="shared" si="3"/>
        <v>0</v>
      </c>
      <c r="J895" s="346">
        <f t="shared" si="4"/>
        <v>0</v>
      </c>
      <c r="K895" s="312"/>
      <c r="L895" s="312"/>
      <c r="M895" s="312"/>
      <c r="N895" s="362"/>
      <c r="O895" s="312"/>
      <c r="P895" s="312"/>
      <c r="S895" s="2">
        <f t="shared" si="5"/>
        <v>0</v>
      </c>
      <c r="AA895" s="312"/>
      <c r="AB895" s="312"/>
      <c r="AC895" s="312"/>
      <c r="AD895" s="312"/>
    </row>
    <row r="896">
      <c r="A896" s="312"/>
      <c r="B896" s="344">
        <f t="shared" si="1"/>
        <v>2045</v>
      </c>
      <c r="C896" s="344">
        <v>90.0</v>
      </c>
      <c r="D896" s="369"/>
      <c r="E896" s="344" t="str">
        <f t="shared" si="2"/>
        <v>Saturday</v>
      </c>
      <c r="F896" s="344" t="s">
        <v>554</v>
      </c>
      <c r="G896" s="370"/>
      <c r="H896" s="370"/>
      <c r="I896" s="357">
        <f t="shared" si="3"/>
        <v>0</v>
      </c>
      <c r="J896" s="346">
        <f t="shared" si="4"/>
        <v>0</v>
      </c>
      <c r="K896" s="312"/>
      <c r="L896" s="312"/>
      <c r="M896" s="312"/>
      <c r="N896" s="362"/>
      <c r="O896" s="312"/>
      <c r="P896" s="312"/>
      <c r="S896" s="2">
        <f t="shared" si="5"/>
        <v>0</v>
      </c>
      <c r="AA896" s="312"/>
      <c r="AB896" s="312"/>
      <c r="AC896" s="312"/>
      <c r="AD896" s="312"/>
    </row>
    <row r="897">
      <c r="A897" s="312"/>
      <c r="B897" s="344">
        <f t="shared" si="1"/>
        <v>2045</v>
      </c>
      <c r="C897" s="344">
        <v>90.0</v>
      </c>
      <c r="D897" s="369"/>
      <c r="E897" s="344" t="str">
        <f t="shared" si="2"/>
        <v>Saturday</v>
      </c>
      <c r="F897" s="344" t="s">
        <v>554</v>
      </c>
      <c r="G897" s="370"/>
      <c r="H897" s="370"/>
      <c r="I897" s="357">
        <f t="shared" si="3"/>
        <v>0</v>
      </c>
      <c r="J897" s="346">
        <f t="shared" si="4"/>
        <v>0</v>
      </c>
      <c r="K897" s="312"/>
      <c r="L897" s="312"/>
      <c r="M897" s="312"/>
      <c r="N897" s="362"/>
      <c r="O897" s="312"/>
      <c r="P897" s="312"/>
      <c r="S897" s="2">
        <f t="shared" si="5"/>
        <v>0</v>
      </c>
      <c r="AA897" s="312"/>
      <c r="AB897" s="312"/>
      <c r="AC897" s="312"/>
      <c r="AD897" s="312"/>
    </row>
    <row r="898">
      <c r="A898" s="312"/>
      <c r="B898" s="344">
        <f t="shared" si="1"/>
        <v>2045</v>
      </c>
      <c r="C898" s="344">
        <v>90.0</v>
      </c>
      <c r="D898" s="369"/>
      <c r="E898" s="344" t="str">
        <f t="shared" si="2"/>
        <v>Saturday</v>
      </c>
      <c r="F898" s="344" t="s">
        <v>554</v>
      </c>
      <c r="G898" s="370"/>
      <c r="H898" s="370"/>
      <c r="I898" s="357">
        <f t="shared" si="3"/>
        <v>0</v>
      </c>
      <c r="J898" s="346">
        <f t="shared" si="4"/>
        <v>0</v>
      </c>
      <c r="K898" s="312"/>
      <c r="L898" s="312"/>
      <c r="M898" s="312"/>
      <c r="N898" s="362"/>
      <c r="O898" s="312"/>
      <c r="P898" s="312"/>
      <c r="S898" s="2">
        <f t="shared" si="5"/>
        <v>0</v>
      </c>
      <c r="AA898" s="312"/>
      <c r="AB898" s="312"/>
      <c r="AC898" s="312"/>
      <c r="AD898" s="312"/>
    </row>
    <row r="899">
      <c r="A899" s="312"/>
      <c r="B899" s="344">
        <f t="shared" si="1"/>
        <v>2045</v>
      </c>
      <c r="C899" s="344">
        <v>90.0</v>
      </c>
      <c r="D899" s="369"/>
      <c r="E899" s="344" t="str">
        <f t="shared" si="2"/>
        <v>Saturday</v>
      </c>
      <c r="F899" s="344" t="s">
        <v>554</v>
      </c>
      <c r="G899" s="370"/>
      <c r="H899" s="370"/>
      <c r="I899" s="357">
        <f t="shared" si="3"/>
        <v>0</v>
      </c>
      <c r="J899" s="346">
        <f t="shared" si="4"/>
        <v>0</v>
      </c>
      <c r="K899" s="312"/>
      <c r="L899" s="312"/>
      <c r="M899" s="312"/>
      <c r="N899" s="362"/>
      <c r="O899" s="312"/>
      <c r="P899" s="312"/>
      <c r="S899" s="2">
        <f t="shared" si="5"/>
        <v>0</v>
      </c>
      <c r="AA899" s="312"/>
      <c r="AB899" s="312"/>
      <c r="AC899" s="312"/>
      <c r="AD899" s="312"/>
    </row>
    <row r="900">
      <c r="A900" s="312"/>
      <c r="B900" s="344">
        <f t="shared" si="1"/>
        <v>2045</v>
      </c>
      <c r="C900" s="344">
        <v>90.0</v>
      </c>
      <c r="D900" s="369"/>
      <c r="E900" s="344" t="str">
        <f t="shared" si="2"/>
        <v>Saturday</v>
      </c>
      <c r="F900" s="344" t="s">
        <v>554</v>
      </c>
      <c r="G900" s="370"/>
      <c r="H900" s="370"/>
      <c r="I900" s="357">
        <f t="shared" si="3"/>
        <v>0</v>
      </c>
      <c r="J900" s="346">
        <f t="shared" si="4"/>
        <v>0</v>
      </c>
      <c r="K900" s="312"/>
      <c r="L900" s="312"/>
      <c r="M900" s="312"/>
      <c r="N900" s="362"/>
      <c r="O900" s="312"/>
      <c r="P900" s="312"/>
      <c r="S900" s="2">
        <f t="shared" si="5"/>
        <v>0</v>
      </c>
      <c r="AA900" s="312"/>
      <c r="AB900" s="312"/>
      <c r="AC900" s="312"/>
      <c r="AD900" s="312"/>
    </row>
    <row r="901">
      <c r="A901" s="312"/>
      <c r="B901" s="344">
        <f t="shared" si="1"/>
        <v>2045</v>
      </c>
      <c r="C901" s="344">
        <v>90.0</v>
      </c>
      <c r="D901" s="369"/>
      <c r="E901" s="344" t="str">
        <f t="shared" si="2"/>
        <v>Saturday</v>
      </c>
      <c r="F901" s="344" t="s">
        <v>554</v>
      </c>
      <c r="G901" s="370"/>
      <c r="H901" s="370"/>
      <c r="I901" s="357">
        <f t="shared" si="3"/>
        <v>0</v>
      </c>
      <c r="J901" s="346">
        <f t="shared" si="4"/>
        <v>0</v>
      </c>
      <c r="K901" s="312"/>
      <c r="L901" s="312"/>
      <c r="M901" s="312"/>
      <c r="N901" s="362"/>
      <c r="O901" s="312"/>
      <c r="P901" s="312"/>
      <c r="S901" s="2">
        <f t="shared" si="5"/>
        <v>0</v>
      </c>
      <c r="AA901" s="312"/>
      <c r="AB901" s="312"/>
      <c r="AC901" s="312"/>
      <c r="AD901" s="312"/>
    </row>
    <row r="902">
      <c r="A902" s="312"/>
      <c r="B902" s="344">
        <f t="shared" si="1"/>
        <v>2045</v>
      </c>
      <c r="C902" s="344">
        <v>90.0</v>
      </c>
      <c r="D902" s="369"/>
      <c r="E902" s="344" t="str">
        <f t="shared" si="2"/>
        <v>Saturday</v>
      </c>
      <c r="F902" s="344" t="s">
        <v>554</v>
      </c>
      <c r="G902" s="370"/>
      <c r="H902" s="370"/>
      <c r="I902" s="357">
        <f t="shared" si="3"/>
        <v>0</v>
      </c>
      <c r="J902" s="346">
        <f t="shared" si="4"/>
        <v>0</v>
      </c>
      <c r="K902" s="312"/>
      <c r="L902" s="312"/>
      <c r="M902" s="312"/>
      <c r="N902" s="362"/>
      <c r="O902" s="312"/>
      <c r="P902" s="312"/>
      <c r="S902" s="2">
        <f t="shared" si="5"/>
        <v>0</v>
      </c>
      <c r="AA902" s="312"/>
      <c r="AB902" s="312"/>
      <c r="AC902" s="312"/>
      <c r="AD902" s="312"/>
    </row>
    <row r="903">
      <c r="A903" s="312"/>
      <c r="B903" s="344">
        <f t="shared" si="1"/>
        <v>2045</v>
      </c>
      <c r="C903" s="344">
        <v>90.0</v>
      </c>
      <c r="D903" s="369"/>
      <c r="E903" s="344" t="str">
        <f t="shared" si="2"/>
        <v>Saturday</v>
      </c>
      <c r="F903" s="344" t="s">
        <v>554</v>
      </c>
      <c r="G903" s="370"/>
      <c r="H903" s="370"/>
      <c r="I903" s="357">
        <f t="shared" si="3"/>
        <v>0</v>
      </c>
      <c r="J903" s="346">
        <f t="shared" si="4"/>
        <v>0</v>
      </c>
      <c r="K903" s="312"/>
      <c r="L903" s="312"/>
      <c r="M903" s="312"/>
      <c r="N903" s="362"/>
      <c r="O903" s="312"/>
      <c r="P903" s="312"/>
      <c r="S903" s="2">
        <f t="shared" si="5"/>
        <v>0</v>
      </c>
      <c r="AA903" s="312"/>
      <c r="AB903" s="312"/>
      <c r="AC903" s="312"/>
      <c r="AD903" s="312"/>
    </row>
    <row r="904">
      <c r="A904" s="312"/>
      <c r="B904" s="344">
        <f t="shared" si="1"/>
        <v>2045</v>
      </c>
      <c r="C904" s="344">
        <v>90.0</v>
      </c>
      <c r="D904" s="369"/>
      <c r="E904" s="344" t="str">
        <f t="shared" si="2"/>
        <v>Saturday</v>
      </c>
      <c r="F904" s="344" t="s">
        <v>554</v>
      </c>
      <c r="G904" s="370"/>
      <c r="H904" s="370"/>
      <c r="I904" s="357">
        <f t="shared" si="3"/>
        <v>0</v>
      </c>
      <c r="J904" s="346">
        <f t="shared" si="4"/>
        <v>0</v>
      </c>
      <c r="K904" s="312"/>
      <c r="L904" s="312"/>
      <c r="M904" s="312"/>
      <c r="N904" s="362"/>
      <c r="O904" s="312"/>
      <c r="P904" s="312"/>
      <c r="S904" s="2">
        <f t="shared" si="5"/>
        <v>0</v>
      </c>
      <c r="AA904" s="312"/>
      <c r="AB904" s="312"/>
      <c r="AC904" s="312"/>
      <c r="AD904" s="312"/>
    </row>
    <row r="905">
      <c r="A905" s="312"/>
      <c r="B905" s="344">
        <f t="shared" si="1"/>
        <v>2045</v>
      </c>
      <c r="C905" s="344">
        <v>90.0</v>
      </c>
      <c r="D905" s="369"/>
      <c r="E905" s="344" t="str">
        <f t="shared" si="2"/>
        <v>Saturday</v>
      </c>
      <c r="F905" s="344" t="s">
        <v>554</v>
      </c>
      <c r="G905" s="370"/>
      <c r="H905" s="370"/>
      <c r="I905" s="357">
        <f t="shared" si="3"/>
        <v>0</v>
      </c>
      <c r="J905" s="346">
        <f t="shared" si="4"/>
        <v>0</v>
      </c>
      <c r="K905" s="312"/>
      <c r="L905" s="312"/>
      <c r="M905" s="312"/>
      <c r="N905" s="362"/>
      <c r="O905" s="312"/>
      <c r="P905" s="312"/>
      <c r="S905" s="2">
        <f t="shared" si="5"/>
        <v>0</v>
      </c>
      <c r="AA905" s="312"/>
      <c r="AB905" s="312"/>
      <c r="AC905" s="312"/>
      <c r="AD905" s="312"/>
    </row>
    <row r="906">
      <c r="A906" s="312"/>
      <c r="B906" s="344">
        <f t="shared" si="1"/>
        <v>2045</v>
      </c>
      <c r="C906" s="344">
        <v>90.0</v>
      </c>
      <c r="D906" s="369"/>
      <c r="E906" s="344" t="str">
        <f t="shared" si="2"/>
        <v>Saturday</v>
      </c>
      <c r="F906" s="344" t="s">
        <v>554</v>
      </c>
      <c r="G906" s="370"/>
      <c r="H906" s="370"/>
      <c r="I906" s="357">
        <f t="shared" si="3"/>
        <v>0</v>
      </c>
      <c r="J906" s="346">
        <f t="shared" si="4"/>
        <v>0</v>
      </c>
      <c r="K906" s="312"/>
      <c r="L906" s="312"/>
      <c r="M906" s="312"/>
      <c r="N906" s="362"/>
      <c r="O906" s="312"/>
      <c r="P906" s="312"/>
      <c r="S906" s="2">
        <f t="shared" si="5"/>
        <v>0</v>
      </c>
      <c r="AA906" s="312"/>
      <c r="AB906" s="312"/>
      <c r="AC906" s="312"/>
      <c r="AD906" s="312"/>
    </row>
    <row r="907">
      <c r="A907" s="312"/>
      <c r="B907" s="344">
        <f t="shared" si="1"/>
        <v>2045</v>
      </c>
      <c r="C907" s="344">
        <v>90.0</v>
      </c>
      <c r="D907" s="369"/>
      <c r="E907" s="344" t="str">
        <f t="shared" si="2"/>
        <v>Saturday</v>
      </c>
      <c r="F907" s="344" t="s">
        <v>554</v>
      </c>
      <c r="G907" s="370"/>
      <c r="H907" s="370"/>
      <c r="I907" s="357">
        <f t="shared" si="3"/>
        <v>0</v>
      </c>
      <c r="J907" s="346">
        <f t="shared" si="4"/>
        <v>0</v>
      </c>
      <c r="K907" s="312"/>
      <c r="L907" s="312"/>
      <c r="M907" s="312"/>
      <c r="N907" s="362"/>
      <c r="O907" s="312"/>
      <c r="P907" s="312"/>
      <c r="S907" s="2">
        <f t="shared" si="5"/>
        <v>0</v>
      </c>
      <c r="AA907" s="312"/>
      <c r="AB907" s="312"/>
      <c r="AC907" s="312"/>
      <c r="AD907" s="312"/>
    </row>
    <row r="908">
      <c r="A908" s="312"/>
      <c r="B908" s="344">
        <f t="shared" si="1"/>
        <v>2045</v>
      </c>
      <c r="C908" s="344">
        <v>90.0</v>
      </c>
      <c r="D908" s="369"/>
      <c r="E908" s="344" t="str">
        <f t="shared" si="2"/>
        <v>Saturday</v>
      </c>
      <c r="F908" s="344" t="s">
        <v>554</v>
      </c>
      <c r="G908" s="370"/>
      <c r="H908" s="370"/>
      <c r="I908" s="357">
        <f t="shared" si="3"/>
        <v>0</v>
      </c>
      <c r="J908" s="346">
        <f t="shared" si="4"/>
        <v>0</v>
      </c>
      <c r="K908" s="312"/>
      <c r="L908" s="312"/>
      <c r="M908" s="312"/>
      <c r="N908" s="362"/>
      <c r="O908" s="312"/>
      <c r="P908" s="312"/>
      <c r="S908" s="2">
        <f t="shared" si="5"/>
        <v>0</v>
      </c>
      <c r="AA908" s="312"/>
      <c r="AB908" s="312"/>
      <c r="AC908" s="312"/>
      <c r="AD908" s="312"/>
    </row>
    <row r="909">
      <c r="A909" s="312"/>
      <c r="B909" s="344">
        <f t="shared" si="1"/>
        <v>2045</v>
      </c>
      <c r="C909" s="344">
        <v>90.0</v>
      </c>
      <c r="D909" s="369"/>
      <c r="E909" s="344" t="str">
        <f t="shared" si="2"/>
        <v>Saturday</v>
      </c>
      <c r="F909" s="344" t="s">
        <v>554</v>
      </c>
      <c r="G909" s="370"/>
      <c r="H909" s="370"/>
      <c r="I909" s="357">
        <f t="shared" si="3"/>
        <v>0</v>
      </c>
      <c r="J909" s="346">
        <f t="shared" si="4"/>
        <v>0</v>
      </c>
      <c r="K909" s="312"/>
      <c r="L909" s="312"/>
      <c r="M909" s="312"/>
      <c r="N909" s="362"/>
      <c r="O909" s="312"/>
      <c r="P909" s="312"/>
      <c r="S909" s="2">
        <f t="shared" si="5"/>
        <v>0</v>
      </c>
      <c r="AA909" s="312"/>
      <c r="AB909" s="312"/>
      <c r="AC909" s="312"/>
      <c r="AD909" s="312"/>
    </row>
    <row r="910">
      <c r="A910" s="312"/>
      <c r="B910" s="344">
        <f t="shared" si="1"/>
        <v>2045</v>
      </c>
      <c r="C910" s="344">
        <v>90.0</v>
      </c>
      <c r="D910" s="369"/>
      <c r="E910" s="344" t="str">
        <f t="shared" si="2"/>
        <v>Saturday</v>
      </c>
      <c r="F910" s="344" t="s">
        <v>554</v>
      </c>
      <c r="G910" s="370"/>
      <c r="H910" s="370"/>
      <c r="I910" s="357">
        <f t="shared" si="3"/>
        <v>0</v>
      </c>
      <c r="J910" s="346">
        <f t="shared" si="4"/>
        <v>0</v>
      </c>
      <c r="K910" s="312"/>
      <c r="L910" s="312"/>
      <c r="M910" s="312"/>
      <c r="N910" s="362"/>
      <c r="O910" s="312"/>
      <c r="P910" s="312"/>
      <c r="S910" s="2">
        <f t="shared" si="5"/>
        <v>0</v>
      </c>
      <c r="AA910" s="312"/>
      <c r="AB910" s="312"/>
      <c r="AC910" s="312"/>
      <c r="AD910" s="312"/>
    </row>
    <row r="911">
      <c r="A911" s="312"/>
      <c r="B911" s="344">
        <f t="shared" si="1"/>
        <v>2045</v>
      </c>
      <c r="C911" s="344">
        <v>90.0</v>
      </c>
      <c r="D911" s="369"/>
      <c r="E911" s="344" t="str">
        <f t="shared" si="2"/>
        <v>Saturday</v>
      </c>
      <c r="F911" s="344" t="s">
        <v>554</v>
      </c>
      <c r="G911" s="370"/>
      <c r="H911" s="370"/>
      <c r="I911" s="357">
        <f t="shared" si="3"/>
        <v>0</v>
      </c>
      <c r="J911" s="346">
        <f t="shared" si="4"/>
        <v>0</v>
      </c>
      <c r="K911" s="312"/>
      <c r="L911" s="312"/>
      <c r="M911" s="312"/>
      <c r="N911" s="362"/>
      <c r="O911" s="312"/>
      <c r="P911" s="312"/>
      <c r="S911" s="2">
        <f t="shared" si="5"/>
        <v>0</v>
      </c>
      <c r="AA911" s="312"/>
      <c r="AB911" s="312"/>
      <c r="AC911" s="312"/>
      <c r="AD911" s="312"/>
    </row>
    <row r="912">
      <c r="A912" s="312"/>
      <c r="B912" s="344">
        <f t="shared" si="1"/>
        <v>2045</v>
      </c>
      <c r="C912" s="344">
        <v>90.0</v>
      </c>
      <c r="D912" s="369"/>
      <c r="E912" s="344" t="str">
        <f t="shared" si="2"/>
        <v>Saturday</v>
      </c>
      <c r="F912" s="344" t="s">
        <v>554</v>
      </c>
      <c r="G912" s="370"/>
      <c r="H912" s="370"/>
      <c r="I912" s="357">
        <f t="shared" si="3"/>
        <v>0</v>
      </c>
      <c r="J912" s="346">
        <f t="shared" si="4"/>
        <v>0</v>
      </c>
      <c r="K912" s="312"/>
      <c r="L912" s="312"/>
      <c r="M912" s="312"/>
      <c r="N912" s="362"/>
      <c r="O912" s="312"/>
      <c r="P912" s="312"/>
      <c r="S912" s="2">
        <f t="shared" si="5"/>
        <v>0</v>
      </c>
      <c r="AA912" s="312"/>
      <c r="AB912" s="312"/>
      <c r="AC912" s="312"/>
      <c r="AD912" s="312"/>
    </row>
    <row r="913">
      <c r="A913" s="312"/>
      <c r="B913" s="344">
        <f t="shared" si="1"/>
        <v>2045</v>
      </c>
      <c r="C913" s="344">
        <v>90.0</v>
      </c>
      <c r="D913" s="369"/>
      <c r="E913" s="344" t="str">
        <f t="shared" si="2"/>
        <v>Saturday</v>
      </c>
      <c r="F913" s="344" t="s">
        <v>554</v>
      </c>
      <c r="G913" s="370"/>
      <c r="H913" s="370"/>
      <c r="I913" s="357">
        <f t="shared" si="3"/>
        <v>0</v>
      </c>
      <c r="J913" s="346">
        <f t="shared" si="4"/>
        <v>0</v>
      </c>
      <c r="K913" s="312"/>
      <c r="L913" s="312"/>
      <c r="M913" s="312"/>
      <c r="N913" s="362"/>
      <c r="O913" s="312"/>
      <c r="P913" s="312"/>
      <c r="S913" s="2">
        <f t="shared" si="5"/>
        <v>0</v>
      </c>
      <c r="AA913" s="312"/>
      <c r="AB913" s="312"/>
      <c r="AC913" s="312"/>
      <c r="AD913" s="312"/>
    </row>
    <row r="914">
      <c r="A914" s="312"/>
      <c r="B914" s="344">
        <f t="shared" si="1"/>
        <v>2045</v>
      </c>
      <c r="C914" s="344">
        <v>90.0</v>
      </c>
      <c r="D914" s="369"/>
      <c r="E914" s="344" t="str">
        <f t="shared" si="2"/>
        <v>Saturday</v>
      </c>
      <c r="F914" s="344" t="s">
        <v>554</v>
      </c>
      <c r="G914" s="370"/>
      <c r="H914" s="370"/>
      <c r="I914" s="357">
        <f t="shared" si="3"/>
        <v>0</v>
      </c>
      <c r="J914" s="346">
        <f t="shared" si="4"/>
        <v>0</v>
      </c>
      <c r="K914" s="312"/>
      <c r="L914" s="312"/>
      <c r="M914" s="312"/>
      <c r="N914" s="362"/>
      <c r="O914" s="312"/>
      <c r="P914" s="312"/>
      <c r="S914" s="2">
        <f t="shared" si="5"/>
        <v>0</v>
      </c>
      <c r="AA914" s="312"/>
      <c r="AB914" s="312"/>
      <c r="AC914" s="312"/>
      <c r="AD914" s="312"/>
    </row>
    <row r="915">
      <c r="A915" s="312"/>
      <c r="B915" s="344">
        <f t="shared" si="1"/>
        <v>2045</v>
      </c>
      <c r="C915" s="344">
        <v>90.0</v>
      </c>
      <c r="D915" s="369"/>
      <c r="E915" s="344" t="str">
        <f t="shared" si="2"/>
        <v>Saturday</v>
      </c>
      <c r="F915" s="344" t="s">
        <v>554</v>
      </c>
      <c r="G915" s="370"/>
      <c r="H915" s="370"/>
      <c r="I915" s="357">
        <f t="shared" si="3"/>
        <v>0</v>
      </c>
      <c r="J915" s="346">
        <f t="shared" si="4"/>
        <v>0</v>
      </c>
      <c r="K915" s="312"/>
      <c r="L915" s="312"/>
      <c r="M915" s="312"/>
      <c r="N915" s="362"/>
      <c r="O915" s="312"/>
      <c r="P915" s="312"/>
      <c r="S915" s="2">
        <f t="shared" si="5"/>
        <v>0</v>
      </c>
      <c r="AA915" s="312"/>
      <c r="AB915" s="312"/>
      <c r="AC915" s="312"/>
      <c r="AD915" s="312"/>
    </row>
    <row r="916">
      <c r="A916" s="312"/>
      <c r="B916" s="344">
        <f t="shared" si="1"/>
        <v>2045</v>
      </c>
      <c r="C916" s="344">
        <v>90.0</v>
      </c>
      <c r="D916" s="369"/>
      <c r="E916" s="344" t="str">
        <f t="shared" si="2"/>
        <v>Saturday</v>
      </c>
      <c r="F916" s="344" t="s">
        <v>554</v>
      </c>
      <c r="G916" s="370"/>
      <c r="H916" s="370"/>
      <c r="I916" s="357">
        <f t="shared" si="3"/>
        <v>0</v>
      </c>
      <c r="J916" s="346">
        <f t="shared" si="4"/>
        <v>0</v>
      </c>
      <c r="K916" s="312"/>
      <c r="L916" s="312"/>
      <c r="M916" s="312"/>
      <c r="N916" s="362"/>
      <c r="O916" s="312"/>
      <c r="P916" s="312"/>
      <c r="S916" s="2">
        <f t="shared" si="5"/>
        <v>0</v>
      </c>
      <c r="AA916" s="312"/>
      <c r="AB916" s="312"/>
      <c r="AC916" s="312"/>
      <c r="AD916" s="312"/>
    </row>
    <row r="917">
      <c r="A917" s="312"/>
      <c r="B917" s="344">
        <f t="shared" si="1"/>
        <v>2045</v>
      </c>
      <c r="C917" s="344">
        <v>90.0</v>
      </c>
      <c r="D917" s="369"/>
      <c r="E917" s="344" t="str">
        <f t="shared" si="2"/>
        <v>Saturday</v>
      </c>
      <c r="F917" s="344" t="s">
        <v>554</v>
      </c>
      <c r="G917" s="370"/>
      <c r="H917" s="370"/>
      <c r="I917" s="357">
        <f t="shared" si="3"/>
        <v>0</v>
      </c>
      <c r="J917" s="346">
        <f t="shared" si="4"/>
        <v>0</v>
      </c>
      <c r="K917" s="312"/>
      <c r="L917" s="312"/>
      <c r="M917" s="312"/>
      <c r="N917" s="362"/>
      <c r="O917" s="312"/>
      <c r="P917" s="312"/>
      <c r="S917" s="2">
        <f t="shared" si="5"/>
        <v>0</v>
      </c>
      <c r="AA917" s="312"/>
      <c r="AB917" s="312"/>
      <c r="AC917" s="312"/>
      <c r="AD917" s="312"/>
    </row>
    <row r="918">
      <c r="A918" s="312"/>
      <c r="B918" s="344">
        <f t="shared" si="1"/>
        <v>2045</v>
      </c>
      <c r="C918" s="344">
        <v>90.0</v>
      </c>
      <c r="D918" s="369"/>
      <c r="E918" s="344" t="str">
        <f t="shared" si="2"/>
        <v>Saturday</v>
      </c>
      <c r="F918" s="344" t="s">
        <v>554</v>
      </c>
      <c r="G918" s="370"/>
      <c r="H918" s="370"/>
      <c r="I918" s="357">
        <f t="shared" si="3"/>
        <v>0</v>
      </c>
      <c r="J918" s="346">
        <f t="shared" si="4"/>
        <v>0</v>
      </c>
      <c r="K918" s="312"/>
      <c r="L918" s="312"/>
      <c r="M918" s="312"/>
      <c r="N918" s="362"/>
      <c r="O918" s="312"/>
      <c r="P918" s="312"/>
      <c r="S918" s="2">
        <f t="shared" si="5"/>
        <v>0</v>
      </c>
      <c r="AA918" s="312"/>
      <c r="AB918" s="312"/>
      <c r="AC918" s="312"/>
      <c r="AD918" s="312"/>
    </row>
    <row r="919">
      <c r="A919" s="312"/>
      <c r="B919" s="344">
        <f t="shared" si="1"/>
        <v>2045</v>
      </c>
      <c r="C919" s="344">
        <v>90.0</v>
      </c>
      <c r="D919" s="369"/>
      <c r="E919" s="344" t="str">
        <f t="shared" si="2"/>
        <v>Saturday</v>
      </c>
      <c r="F919" s="344" t="s">
        <v>554</v>
      </c>
      <c r="G919" s="370"/>
      <c r="H919" s="370"/>
      <c r="I919" s="357">
        <f t="shared" si="3"/>
        <v>0</v>
      </c>
      <c r="J919" s="346">
        <f t="shared" si="4"/>
        <v>0</v>
      </c>
      <c r="K919" s="312"/>
      <c r="L919" s="312"/>
      <c r="M919" s="312"/>
      <c r="N919" s="362"/>
      <c r="O919" s="312"/>
      <c r="P919" s="312"/>
      <c r="S919" s="2">
        <f t="shared" si="5"/>
        <v>0</v>
      </c>
      <c r="AA919" s="312"/>
      <c r="AB919" s="312"/>
      <c r="AC919" s="312"/>
      <c r="AD919" s="312"/>
    </row>
    <row r="920">
      <c r="A920" s="312"/>
      <c r="B920" s="344">
        <f t="shared" si="1"/>
        <v>2045</v>
      </c>
      <c r="C920" s="344">
        <v>90.0</v>
      </c>
      <c r="D920" s="369"/>
      <c r="E920" s="344" t="str">
        <f t="shared" si="2"/>
        <v>Saturday</v>
      </c>
      <c r="F920" s="344" t="s">
        <v>554</v>
      </c>
      <c r="G920" s="370"/>
      <c r="H920" s="370"/>
      <c r="I920" s="357">
        <f t="shared" si="3"/>
        <v>0</v>
      </c>
      <c r="J920" s="346">
        <f t="shared" si="4"/>
        <v>0</v>
      </c>
      <c r="K920" s="312"/>
      <c r="L920" s="312"/>
      <c r="M920" s="312"/>
      <c r="N920" s="362"/>
      <c r="O920" s="312"/>
      <c r="P920" s="312"/>
      <c r="S920" s="2">
        <f t="shared" si="5"/>
        <v>0</v>
      </c>
      <c r="AA920" s="312"/>
      <c r="AB920" s="312"/>
      <c r="AC920" s="312"/>
      <c r="AD920" s="312"/>
    </row>
    <row r="921">
      <c r="A921" s="312"/>
      <c r="B921" s="344">
        <f t="shared" si="1"/>
        <v>2045</v>
      </c>
      <c r="C921" s="344">
        <v>90.0</v>
      </c>
      <c r="D921" s="369"/>
      <c r="E921" s="344" t="str">
        <f t="shared" si="2"/>
        <v>Saturday</v>
      </c>
      <c r="F921" s="344" t="s">
        <v>554</v>
      </c>
      <c r="G921" s="370"/>
      <c r="H921" s="370"/>
      <c r="I921" s="357">
        <f t="shared" si="3"/>
        <v>0</v>
      </c>
      <c r="J921" s="346">
        <f t="shared" si="4"/>
        <v>0</v>
      </c>
      <c r="K921" s="312"/>
      <c r="L921" s="312"/>
      <c r="M921" s="312"/>
      <c r="N921" s="362"/>
      <c r="O921" s="312"/>
      <c r="P921" s="312"/>
      <c r="S921" s="2">
        <f t="shared" si="5"/>
        <v>0</v>
      </c>
      <c r="AA921" s="312"/>
      <c r="AB921" s="312"/>
      <c r="AC921" s="312"/>
      <c r="AD921" s="312"/>
    </row>
    <row r="922">
      <c r="A922" s="312"/>
      <c r="B922" s="344">
        <f t="shared" si="1"/>
        <v>2045</v>
      </c>
      <c r="C922" s="344">
        <v>90.0</v>
      </c>
      <c r="D922" s="369"/>
      <c r="E922" s="344" t="str">
        <f t="shared" si="2"/>
        <v>Saturday</v>
      </c>
      <c r="F922" s="344" t="s">
        <v>554</v>
      </c>
      <c r="G922" s="370"/>
      <c r="H922" s="370"/>
      <c r="I922" s="357">
        <f t="shared" si="3"/>
        <v>0</v>
      </c>
      <c r="J922" s="346">
        <f t="shared" si="4"/>
        <v>0</v>
      </c>
      <c r="K922" s="312"/>
      <c r="L922" s="312"/>
      <c r="M922" s="312"/>
      <c r="N922" s="362"/>
      <c r="O922" s="312"/>
      <c r="P922" s="312"/>
      <c r="S922" s="2">
        <f t="shared" si="5"/>
        <v>0</v>
      </c>
      <c r="AA922" s="312"/>
      <c r="AB922" s="312"/>
      <c r="AC922" s="312"/>
      <c r="AD922" s="312"/>
    </row>
    <row r="923">
      <c r="A923" s="312"/>
      <c r="B923" s="344">
        <f t="shared" si="1"/>
        <v>2045</v>
      </c>
      <c r="C923" s="344">
        <v>90.0</v>
      </c>
      <c r="D923" s="369"/>
      <c r="E923" s="344" t="str">
        <f t="shared" si="2"/>
        <v>Saturday</v>
      </c>
      <c r="F923" s="344" t="s">
        <v>554</v>
      </c>
      <c r="G923" s="370"/>
      <c r="H923" s="370"/>
      <c r="I923" s="357">
        <f t="shared" si="3"/>
        <v>0</v>
      </c>
      <c r="J923" s="346">
        <f t="shared" si="4"/>
        <v>0</v>
      </c>
      <c r="K923" s="312"/>
      <c r="L923" s="312"/>
      <c r="M923" s="312"/>
      <c r="N923" s="362"/>
      <c r="O923" s="312"/>
      <c r="P923" s="312"/>
      <c r="S923" s="2">
        <f t="shared" si="5"/>
        <v>0</v>
      </c>
      <c r="AA923" s="312"/>
      <c r="AB923" s="312"/>
      <c r="AC923" s="312"/>
      <c r="AD923" s="312"/>
    </row>
    <row r="924">
      <c r="A924" s="312"/>
      <c r="B924" s="344">
        <f t="shared" si="1"/>
        <v>2045</v>
      </c>
      <c r="C924" s="344">
        <v>90.0</v>
      </c>
      <c r="D924" s="369"/>
      <c r="E924" s="344" t="str">
        <f t="shared" si="2"/>
        <v>Saturday</v>
      </c>
      <c r="F924" s="344" t="s">
        <v>554</v>
      </c>
      <c r="G924" s="370"/>
      <c r="H924" s="370"/>
      <c r="I924" s="357">
        <f t="shared" si="3"/>
        <v>0</v>
      </c>
      <c r="J924" s="346">
        <f t="shared" si="4"/>
        <v>0</v>
      </c>
      <c r="K924" s="312"/>
      <c r="L924" s="312"/>
      <c r="M924" s="312"/>
      <c r="N924" s="362"/>
      <c r="O924" s="312"/>
      <c r="P924" s="312"/>
      <c r="S924" s="2">
        <f t="shared" si="5"/>
        <v>0</v>
      </c>
      <c r="AA924" s="312"/>
      <c r="AB924" s="312"/>
      <c r="AC924" s="312"/>
      <c r="AD924" s="312"/>
    </row>
    <row r="925">
      <c r="A925" s="312"/>
      <c r="B925" s="344">
        <f t="shared" si="1"/>
        <v>2045</v>
      </c>
      <c r="C925" s="344">
        <v>90.0</v>
      </c>
      <c r="D925" s="369"/>
      <c r="E925" s="344" t="str">
        <f t="shared" si="2"/>
        <v>Saturday</v>
      </c>
      <c r="F925" s="344" t="s">
        <v>554</v>
      </c>
      <c r="G925" s="370"/>
      <c r="H925" s="370"/>
      <c r="I925" s="357">
        <f t="shared" si="3"/>
        <v>0</v>
      </c>
      <c r="J925" s="346">
        <f t="shared" si="4"/>
        <v>0</v>
      </c>
      <c r="K925" s="312"/>
      <c r="L925" s="312"/>
      <c r="M925" s="312"/>
      <c r="N925" s="362"/>
      <c r="O925" s="312"/>
      <c r="P925" s="312"/>
      <c r="S925" s="2">
        <f t="shared" si="5"/>
        <v>0</v>
      </c>
      <c r="AA925" s="312"/>
      <c r="AB925" s="312"/>
      <c r="AC925" s="312"/>
      <c r="AD925" s="312"/>
    </row>
    <row r="926">
      <c r="A926" s="312"/>
      <c r="B926" s="344">
        <f t="shared" si="1"/>
        <v>2045</v>
      </c>
      <c r="C926" s="344">
        <v>90.0</v>
      </c>
      <c r="D926" s="369"/>
      <c r="E926" s="344" t="str">
        <f t="shared" si="2"/>
        <v>Saturday</v>
      </c>
      <c r="F926" s="344" t="s">
        <v>554</v>
      </c>
      <c r="G926" s="370"/>
      <c r="H926" s="370"/>
      <c r="I926" s="357">
        <f t="shared" si="3"/>
        <v>0</v>
      </c>
      <c r="J926" s="346">
        <f t="shared" si="4"/>
        <v>0</v>
      </c>
      <c r="K926" s="312"/>
      <c r="L926" s="312"/>
      <c r="M926" s="312"/>
      <c r="N926" s="362"/>
      <c r="O926" s="312"/>
      <c r="P926" s="312"/>
      <c r="S926" s="2">
        <f t="shared" si="5"/>
        <v>0</v>
      </c>
      <c r="AA926" s="312"/>
      <c r="AB926" s="312"/>
      <c r="AC926" s="312"/>
      <c r="AD926" s="312"/>
    </row>
    <row r="927">
      <c r="A927" s="312"/>
      <c r="B927" s="344">
        <f t="shared" si="1"/>
        <v>2045</v>
      </c>
      <c r="C927" s="344">
        <v>90.0</v>
      </c>
      <c r="D927" s="369"/>
      <c r="E927" s="344" t="str">
        <f t="shared" si="2"/>
        <v>Saturday</v>
      </c>
      <c r="F927" s="344" t="s">
        <v>554</v>
      </c>
      <c r="G927" s="370"/>
      <c r="H927" s="370"/>
      <c r="I927" s="357">
        <f t="shared" si="3"/>
        <v>0</v>
      </c>
      <c r="J927" s="346">
        <f t="shared" si="4"/>
        <v>0</v>
      </c>
      <c r="K927" s="312"/>
      <c r="L927" s="312"/>
      <c r="M927" s="312"/>
      <c r="N927" s="362"/>
      <c r="O927" s="312"/>
      <c r="P927" s="312"/>
      <c r="S927" s="2">
        <f t="shared" si="5"/>
        <v>0</v>
      </c>
      <c r="AA927" s="312"/>
      <c r="AB927" s="312"/>
      <c r="AC927" s="312"/>
      <c r="AD927" s="312"/>
    </row>
    <row r="928">
      <c r="A928" s="312"/>
      <c r="B928" s="344">
        <f t="shared" si="1"/>
        <v>2045</v>
      </c>
      <c r="C928" s="344">
        <v>90.0</v>
      </c>
      <c r="D928" s="369"/>
      <c r="E928" s="344" t="str">
        <f t="shared" si="2"/>
        <v>Saturday</v>
      </c>
      <c r="F928" s="344" t="s">
        <v>554</v>
      </c>
      <c r="G928" s="370"/>
      <c r="H928" s="370"/>
      <c r="I928" s="357">
        <f t="shared" si="3"/>
        <v>0</v>
      </c>
      <c r="J928" s="346">
        <f t="shared" si="4"/>
        <v>0</v>
      </c>
      <c r="K928" s="312"/>
      <c r="L928" s="312"/>
      <c r="M928" s="312"/>
      <c r="N928" s="362"/>
      <c r="O928" s="312"/>
      <c r="P928" s="312"/>
      <c r="S928" s="2">
        <f t="shared" si="5"/>
        <v>0</v>
      </c>
      <c r="AA928" s="312"/>
      <c r="AB928" s="312"/>
      <c r="AC928" s="312"/>
      <c r="AD928" s="312"/>
    </row>
    <row r="929">
      <c r="A929" s="312"/>
      <c r="B929" s="344">
        <f t="shared" si="1"/>
        <v>2045</v>
      </c>
      <c r="C929" s="344">
        <v>90.0</v>
      </c>
      <c r="D929" s="369"/>
      <c r="E929" s="344" t="str">
        <f t="shared" si="2"/>
        <v>Saturday</v>
      </c>
      <c r="F929" s="344" t="s">
        <v>554</v>
      </c>
      <c r="G929" s="370"/>
      <c r="H929" s="370"/>
      <c r="I929" s="357">
        <f t="shared" si="3"/>
        <v>0</v>
      </c>
      <c r="J929" s="346">
        <f t="shared" si="4"/>
        <v>0</v>
      </c>
      <c r="K929" s="312"/>
      <c r="L929" s="312"/>
      <c r="M929" s="312"/>
      <c r="N929" s="362"/>
      <c r="O929" s="312"/>
      <c r="P929" s="312"/>
      <c r="S929" s="2">
        <f t="shared" si="5"/>
        <v>0</v>
      </c>
      <c r="AA929" s="312"/>
      <c r="AB929" s="312"/>
      <c r="AC929" s="312"/>
      <c r="AD929" s="312"/>
    </row>
    <row r="930">
      <c r="A930" s="312"/>
      <c r="B930" s="344">
        <f t="shared" si="1"/>
        <v>2045</v>
      </c>
      <c r="C930" s="344">
        <v>90.0</v>
      </c>
      <c r="D930" s="369"/>
      <c r="E930" s="344" t="str">
        <f t="shared" si="2"/>
        <v>Saturday</v>
      </c>
      <c r="F930" s="344" t="s">
        <v>554</v>
      </c>
      <c r="G930" s="370"/>
      <c r="H930" s="370"/>
      <c r="I930" s="357">
        <f t="shared" si="3"/>
        <v>0</v>
      </c>
      <c r="J930" s="346">
        <f t="shared" si="4"/>
        <v>0</v>
      </c>
      <c r="K930" s="312"/>
      <c r="L930" s="312"/>
      <c r="M930" s="312"/>
      <c r="N930" s="362"/>
      <c r="O930" s="312"/>
      <c r="P930" s="312"/>
      <c r="S930" s="2">
        <f t="shared" si="5"/>
        <v>0</v>
      </c>
      <c r="AA930" s="312"/>
      <c r="AB930" s="312"/>
      <c r="AC930" s="312"/>
      <c r="AD930" s="312"/>
    </row>
    <row r="931">
      <c r="A931" s="312"/>
      <c r="B931" s="344">
        <f t="shared" si="1"/>
        <v>2045</v>
      </c>
      <c r="C931" s="344">
        <v>90.0</v>
      </c>
      <c r="D931" s="369"/>
      <c r="E931" s="344" t="str">
        <f t="shared" si="2"/>
        <v>Saturday</v>
      </c>
      <c r="F931" s="344" t="s">
        <v>554</v>
      </c>
      <c r="G931" s="370"/>
      <c r="H931" s="370"/>
      <c r="I931" s="357">
        <f t="shared" si="3"/>
        <v>0</v>
      </c>
      <c r="J931" s="346">
        <f t="shared" si="4"/>
        <v>0</v>
      </c>
      <c r="K931" s="312"/>
      <c r="L931" s="312"/>
      <c r="M931" s="312"/>
      <c r="N931" s="362"/>
      <c r="O931" s="312"/>
      <c r="P931" s="312"/>
      <c r="S931" s="2">
        <f t="shared" si="5"/>
        <v>0</v>
      </c>
      <c r="AA931" s="312"/>
      <c r="AB931" s="312"/>
      <c r="AC931" s="312"/>
      <c r="AD931" s="312"/>
    </row>
    <row r="932">
      <c r="A932" s="312"/>
      <c r="B932" s="344">
        <f t="shared" si="1"/>
        <v>2045</v>
      </c>
      <c r="C932" s="344">
        <v>90.0</v>
      </c>
      <c r="D932" s="369"/>
      <c r="E932" s="344" t="str">
        <f t="shared" si="2"/>
        <v>Saturday</v>
      </c>
      <c r="F932" s="344" t="s">
        <v>554</v>
      </c>
      <c r="G932" s="370"/>
      <c r="H932" s="370"/>
      <c r="I932" s="357">
        <f t="shared" si="3"/>
        <v>0</v>
      </c>
      <c r="J932" s="346">
        <f t="shared" si="4"/>
        <v>0</v>
      </c>
      <c r="K932" s="312"/>
      <c r="L932" s="312"/>
      <c r="M932" s="312"/>
      <c r="N932" s="362"/>
      <c r="O932" s="312"/>
      <c r="P932" s="312"/>
      <c r="S932" s="2">
        <f t="shared" si="5"/>
        <v>0</v>
      </c>
      <c r="AA932" s="312"/>
      <c r="AB932" s="312"/>
      <c r="AC932" s="312"/>
      <c r="AD932" s="312"/>
    </row>
    <row r="933">
      <c r="A933" s="312"/>
      <c r="B933" s="344">
        <f t="shared" si="1"/>
        <v>2045</v>
      </c>
      <c r="C933" s="344">
        <v>90.0</v>
      </c>
      <c r="D933" s="369"/>
      <c r="E933" s="344" t="str">
        <f t="shared" si="2"/>
        <v>Saturday</v>
      </c>
      <c r="F933" s="344" t="s">
        <v>554</v>
      </c>
      <c r="G933" s="370"/>
      <c r="H933" s="370"/>
      <c r="I933" s="357">
        <f t="shared" si="3"/>
        <v>0</v>
      </c>
      <c r="J933" s="346">
        <f t="shared" si="4"/>
        <v>0</v>
      </c>
      <c r="K933" s="312"/>
      <c r="L933" s="312"/>
      <c r="M933" s="312"/>
      <c r="N933" s="362"/>
      <c r="O933" s="312"/>
      <c r="P933" s="312"/>
      <c r="S933" s="2">
        <f t="shared" si="5"/>
        <v>0</v>
      </c>
      <c r="AA933" s="312"/>
      <c r="AB933" s="312"/>
      <c r="AC933" s="312"/>
      <c r="AD933" s="312"/>
    </row>
    <row r="934">
      <c r="A934" s="312"/>
      <c r="B934" s="344">
        <f t="shared" si="1"/>
        <v>2045</v>
      </c>
      <c r="C934" s="344">
        <v>90.0</v>
      </c>
      <c r="D934" s="369"/>
      <c r="E934" s="344" t="str">
        <f t="shared" si="2"/>
        <v>Saturday</v>
      </c>
      <c r="F934" s="344" t="s">
        <v>554</v>
      </c>
      <c r="G934" s="370"/>
      <c r="H934" s="370"/>
      <c r="I934" s="357">
        <f t="shared" si="3"/>
        <v>0</v>
      </c>
      <c r="J934" s="346">
        <f t="shared" si="4"/>
        <v>0</v>
      </c>
      <c r="K934" s="312"/>
      <c r="L934" s="312"/>
      <c r="M934" s="312"/>
      <c r="N934" s="362"/>
      <c r="O934" s="312"/>
      <c r="P934" s="312"/>
      <c r="S934" s="2">
        <f t="shared" si="5"/>
        <v>0</v>
      </c>
      <c r="AA934" s="312"/>
      <c r="AB934" s="312"/>
      <c r="AC934" s="312"/>
      <c r="AD934" s="312"/>
    </row>
    <row r="935">
      <c r="A935" s="312"/>
      <c r="B935" s="344">
        <f t="shared" si="1"/>
        <v>2045</v>
      </c>
      <c r="C935" s="344">
        <v>90.0</v>
      </c>
      <c r="D935" s="369"/>
      <c r="E935" s="344" t="str">
        <f t="shared" si="2"/>
        <v>Saturday</v>
      </c>
      <c r="F935" s="344" t="s">
        <v>554</v>
      </c>
      <c r="G935" s="370"/>
      <c r="H935" s="370"/>
      <c r="I935" s="357">
        <f t="shared" si="3"/>
        <v>0</v>
      </c>
      <c r="J935" s="346">
        <f t="shared" si="4"/>
        <v>0</v>
      </c>
      <c r="K935" s="312"/>
      <c r="L935" s="312"/>
      <c r="M935" s="312"/>
      <c r="N935" s="362"/>
      <c r="O935" s="312"/>
      <c r="P935" s="312"/>
      <c r="S935" s="2">
        <f t="shared" si="5"/>
        <v>0</v>
      </c>
      <c r="AA935" s="312"/>
      <c r="AB935" s="312"/>
      <c r="AC935" s="312"/>
      <c r="AD935" s="312"/>
    </row>
    <row r="936">
      <c r="A936" s="312"/>
      <c r="B936" s="344">
        <f t="shared" si="1"/>
        <v>2045</v>
      </c>
      <c r="C936" s="344">
        <v>90.0</v>
      </c>
      <c r="D936" s="369"/>
      <c r="E936" s="344" t="str">
        <f t="shared" si="2"/>
        <v>Saturday</v>
      </c>
      <c r="F936" s="344" t="s">
        <v>554</v>
      </c>
      <c r="G936" s="370"/>
      <c r="H936" s="370"/>
      <c r="I936" s="357">
        <f t="shared" si="3"/>
        <v>0</v>
      </c>
      <c r="J936" s="346">
        <f t="shared" si="4"/>
        <v>0</v>
      </c>
      <c r="K936" s="312"/>
      <c r="L936" s="312"/>
      <c r="M936" s="312"/>
      <c r="N936" s="362"/>
      <c r="O936" s="312"/>
      <c r="P936" s="312"/>
      <c r="S936" s="2">
        <f t="shared" si="5"/>
        <v>0</v>
      </c>
      <c r="AA936" s="312"/>
      <c r="AB936" s="312"/>
      <c r="AC936" s="312"/>
      <c r="AD936" s="312"/>
    </row>
    <row r="937">
      <c r="A937" s="312"/>
      <c r="B937" s="344">
        <f t="shared" si="1"/>
        <v>2045</v>
      </c>
      <c r="C937" s="344">
        <v>90.0</v>
      </c>
      <c r="D937" s="369"/>
      <c r="E937" s="344" t="str">
        <f t="shared" si="2"/>
        <v>Saturday</v>
      </c>
      <c r="F937" s="344" t="s">
        <v>554</v>
      </c>
      <c r="G937" s="370"/>
      <c r="H937" s="370"/>
      <c r="I937" s="357">
        <f t="shared" si="3"/>
        <v>0</v>
      </c>
      <c r="J937" s="346">
        <f t="shared" si="4"/>
        <v>0</v>
      </c>
      <c r="K937" s="312"/>
      <c r="L937" s="312"/>
      <c r="M937" s="312"/>
      <c r="N937" s="362"/>
      <c r="O937" s="312"/>
      <c r="P937" s="312"/>
      <c r="S937" s="2">
        <f t="shared" si="5"/>
        <v>0</v>
      </c>
      <c r="AA937" s="312"/>
      <c r="AB937" s="312"/>
      <c r="AC937" s="312"/>
      <c r="AD937" s="312"/>
    </row>
    <row r="938">
      <c r="A938" s="312"/>
      <c r="B938" s="344">
        <f t="shared" si="1"/>
        <v>2045</v>
      </c>
      <c r="C938" s="344">
        <v>90.0</v>
      </c>
      <c r="D938" s="369"/>
      <c r="E938" s="344" t="str">
        <f t="shared" si="2"/>
        <v>Saturday</v>
      </c>
      <c r="F938" s="344" t="s">
        <v>554</v>
      </c>
      <c r="G938" s="370"/>
      <c r="H938" s="370"/>
      <c r="I938" s="357">
        <f t="shared" si="3"/>
        <v>0</v>
      </c>
      <c r="J938" s="346">
        <f t="shared" si="4"/>
        <v>0</v>
      </c>
      <c r="K938" s="312"/>
      <c r="L938" s="312"/>
      <c r="M938" s="312"/>
      <c r="N938" s="362"/>
      <c r="O938" s="312"/>
      <c r="P938" s="312"/>
      <c r="S938" s="2">
        <f t="shared" si="5"/>
        <v>0</v>
      </c>
      <c r="AA938" s="312"/>
      <c r="AB938" s="312"/>
      <c r="AC938" s="312"/>
      <c r="AD938" s="312"/>
    </row>
    <row r="939">
      <c r="A939" s="312"/>
      <c r="B939" s="344">
        <f t="shared" si="1"/>
        <v>2045</v>
      </c>
      <c r="C939" s="344">
        <v>90.0</v>
      </c>
      <c r="D939" s="369"/>
      <c r="E939" s="344" t="str">
        <f t="shared" si="2"/>
        <v>Saturday</v>
      </c>
      <c r="F939" s="344" t="s">
        <v>554</v>
      </c>
      <c r="G939" s="370"/>
      <c r="H939" s="370"/>
      <c r="I939" s="357">
        <f t="shared" si="3"/>
        <v>0</v>
      </c>
      <c r="J939" s="346">
        <f t="shared" si="4"/>
        <v>0</v>
      </c>
      <c r="K939" s="312"/>
      <c r="L939" s="312"/>
      <c r="M939" s="312"/>
      <c r="N939" s="362"/>
      <c r="O939" s="312"/>
      <c r="P939" s="312"/>
      <c r="S939" s="2">
        <f t="shared" si="5"/>
        <v>0</v>
      </c>
      <c r="AA939" s="312"/>
      <c r="AB939" s="312"/>
      <c r="AC939" s="312"/>
      <c r="AD939" s="312"/>
    </row>
    <row r="940">
      <c r="A940" s="312"/>
      <c r="B940" s="344">
        <f t="shared" si="1"/>
        <v>2045</v>
      </c>
      <c r="C940" s="344">
        <v>90.0</v>
      </c>
      <c r="D940" s="369"/>
      <c r="E940" s="344" t="str">
        <f t="shared" si="2"/>
        <v>Saturday</v>
      </c>
      <c r="F940" s="344" t="s">
        <v>554</v>
      </c>
      <c r="G940" s="370"/>
      <c r="H940" s="370"/>
      <c r="I940" s="357">
        <f t="shared" si="3"/>
        <v>0</v>
      </c>
      <c r="J940" s="346">
        <f t="shared" si="4"/>
        <v>0</v>
      </c>
      <c r="K940" s="312"/>
      <c r="L940" s="312"/>
      <c r="M940" s="312"/>
      <c r="N940" s="362"/>
      <c r="O940" s="312"/>
      <c r="P940" s="312"/>
      <c r="S940" s="2">
        <f t="shared" si="5"/>
        <v>0</v>
      </c>
      <c r="AA940" s="312"/>
      <c r="AB940" s="312"/>
      <c r="AC940" s="312"/>
      <c r="AD940" s="312"/>
    </row>
    <row r="941">
      <c r="A941" s="312"/>
      <c r="B941" s="344">
        <f t="shared" si="1"/>
        <v>2045</v>
      </c>
      <c r="C941" s="344">
        <v>90.0</v>
      </c>
      <c r="D941" s="369"/>
      <c r="E941" s="344" t="str">
        <f t="shared" si="2"/>
        <v>Saturday</v>
      </c>
      <c r="F941" s="344" t="s">
        <v>554</v>
      </c>
      <c r="G941" s="370"/>
      <c r="H941" s="370"/>
      <c r="I941" s="357">
        <f t="shared" si="3"/>
        <v>0</v>
      </c>
      <c r="J941" s="346">
        <f t="shared" si="4"/>
        <v>0</v>
      </c>
      <c r="K941" s="312"/>
      <c r="L941" s="312"/>
      <c r="M941" s="312"/>
      <c r="N941" s="362"/>
      <c r="O941" s="312"/>
      <c r="P941" s="312"/>
      <c r="S941" s="2">
        <f t="shared" si="5"/>
        <v>0</v>
      </c>
      <c r="AA941" s="312"/>
      <c r="AB941" s="312"/>
      <c r="AC941" s="312"/>
      <c r="AD941" s="312"/>
    </row>
    <row r="942">
      <c r="A942" s="312"/>
      <c r="B942" s="344">
        <f t="shared" si="1"/>
        <v>2045</v>
      </c>
      <c r="C942" s="344">
        <v>90.0</v>
      </c>
      <c r="D942" s="369"/>
      <c r="E942" s="344" t="str">
        <f t="shared" si="2"/>
        <v>Saturday</v>
      </c>
      <c r="F942" s="344" t="s">
        <v>554</v>
      </c>
      <c r="G942" s="370"/>
      <c r="H942" s="370"/>
      <c r="I942" s="357">
        <f t="shared" si="3"/>
        <v>0</v>
      </c>
      <c r="J942" s="346">
        <f t="shared" si="4"/>
        <v>0</v>
      </c>
      <c r="K942" s="312"/>
      <c r="L942" s="312"/>
      <c r="M942" s="312"/>
      <c r="N942" s="362"/>
      <c r="O942" s="312"/>
      <c r="P942" s="312"/>
      <c r="S942" s="2">
        <f t="shared" si="5"/>
        <v>0</v>
      </c>
      <c r="AA942" s="312"/>
      <c r="AB942" s="312"/>
      <c r="AC942" s="312"/>
      <c r="AD942" s="312"/>
    </row>
    <row r="943">
      <c r="A943" s="312"/>
      <c r="B943" s="344">
        <f t="shared" si="1"/>
        <v>2045</v>
      </c>
      <c r="C943" s="344">
        <v>90.0</v>
      </c>
      <c r="D943" s="369"/>
      <c r="E943" s="344" t="str">
        <f t="shared" si="2"/>
        <v>Saturday</v>
      </c>
      <c r="F943" s="344" t="s">
        <v>554</v>
      </c>
      <c r="G943" s="370"/>
      <c r="H943" s="370"/>
      <c r="I943" s="357">
        <f t="shared" si="3"/>
        <v>0</v>
      </c>
      <c r="J943" s="346">
        <f t="shared" si="4"/>
        <v>0</v>
      </c>
      <c r="K943" s="312"/>
      <c r="L943" s="312"/>
      <c r="M943" s="312"/>
      <c r="N943" s="362"/>
      <c r="O943" s="312"/>
      <c r="P943" s="312"/>
      <c r="S943" s="2">
        <f t="shared" si="5"/>
        <v>0</v>
      </c>
      <c r="AA943" s="312"/>
      <c r="AB943" s="312"/>
      <c r="AC943" s="312"/>
      <c r="AD943" s="312"/>
    </row>
    <row r="944">
      <c r="A944" s="312"/>
      <c r="B944" s="344">
        <f t="shared" si="1"/>
        <v>2045</v>
      </c>
      <c r="C944" s="344">
        <v>90.0</v>
      </c>
      <c r="D944" s="369"/>
      <c r="E944" s="344" t="str">
        <f t="shared" si="2"/>
        <v>Saturday</v>
      </c>
      <c r="F944" s="344" t="s">
        <v>554</v>
      </c>
      <c r="G944" s="370"/>
      <c r="H944" s="370"/>
      <c r="I944" s="357">
        <f t="shared" si="3"/>
        <v>0</v>
      </c>
      <c r="J944" s="346">
        <f t="shared" si="4"/>
        <v>0</v>
      </c>
      <c r="K944" s="312"/>
      <c r="L944" s="312"/>
      <c r="M944" s="312"/>
      <c r="N944" s="362"/>
      <c r="O944" s="312"/>
      <c r="P944" s="312"/>
      <c r="S944" s="2">
        <f t="shared" si="5"/>
        <v>0</v>
      </c>
      <c r="AA944" s="312"/>
      <c r="AB944" s="312"/>
      <c r="AC944" s="312"/>
      <c r="AD944" s="312"/>
    </row>
    <row r="945">
      <c r="A945" s="312"/>
      <c r="B945" s="344">
        <f t="shared" si="1"/>
        <v>2045</v>
      </c>
      <c r="C945" s="344">
        <v>90.0</v>
      </c>
      <c r="D945" s="369"/>
      <c r="E945" s="344" t="str">
        <f t="shared" si="2"/>
        <v>Saturday</v>
      </c>
      <c r="F945" s="344" t="s">
        <v>554</v>
      </c>
      <c r="G945" s="370"/>
      <c r="H945" s="370"/>
      <c r="I945" s="357">
        <f t="shared" si="3"/>
        <v>0</v>
      </c>
      <c r="J945" s="346">
        <f t="shared" si="4"/>
        <v>0</v>
      </c>
      <c r="K945" s="312"/>
      <c r="L945" s="312"/>
      <c r="M945" s="312"/>
      <c r="N945" s="362"/>
      <c r="O945" s="312"/>
      <c r="P945" s="312"/>
      <c r="S945" s="2">
        <f t="shared" si="5"/>
        <v>0</v>
      </c>
      <c r="AA945" s="312"/>
      <c r="AB945" s="312"/>
      <c r="AC945" s="312"/>
      <c r="AD945" s="312"/>
    </row>
    <row r="946">
      <c r="A946" s="312"/>
      <c r="B946" s="344">
        <f t="shared" si="1"/>
        <v>2045</v>
      </c>
      <c r="C946" s="344">
        <v>90.0</v>
      </c>
      <c r="D946" s="369"/>
      <c r="E946" s="344" t="str">
        <f t="shared" si="2"/>
        <v>Saturday</v>
      </c>
      <c r="F946" s="344" t="s">
        <v>554</v>
      </c>
      <c r="G946" s="370"/>
      <c r="H946" s="370"/>
      <c r="I946" s="357">
        <f t="shared" si="3"/>
        <v>0</v>
      </c>
      <c r="J946" s="346">
        <f t="shared" si="4"/>
        <v>0</v>
      </c>
      <c r="K946" s="312"/>
      <c r="L946" s="312"/>
      <c r="M946" s="312"/>
      <c r="N946" s="362"/>
      <c r="O946" s="312"/>
      <c r="P946" s="312"/>
      <c r="S946" s="2">
        <f t="shared" si="5"/>
        <v>0</v>
      </c>
      <c r="AA946" s="312"/>
      <c r="AB946" s="312"/>
      <c r="AC946" s="312"/>
      <c r="AD946" s="312"/>
    </row>
    <row r="947">
      <c r="A947" s="312"/>
      <c r="B947" s="344">
        <f t="shared" si="1"/>
        <v>2045</v>
      </c>
      <c r="C947" s="344">
        <v>90.0</v>
      </c>
      <c r="D947" s="369"/>
      <c r="E947" s="344" t="str">
        <f t="shared" si="2"/>
        <v>Saturday</v>
      </c>
      <c r="F947" s="344" t="s">
        <v>554</v>
      </c>
      <c r="G947" s="370"/>
      <c r="H947" s="370"/>
      <c r="I947" s="357">
        <f t="shared" si="3"/>
        <v>0</v>
      </c>
      <c r="J947" s="346">
        <f t="shared" si="4"/>
        <v>0</v>
      </c>
      <c r="K947" s="312"/>
      <c r="L947" s="312"/>
      <c r="M947" s="312"/>
      <c r="N947" s="362"/>
      <c r="O947" s="312"/>
      <c r="P947" s="312"/>
      <c r="S947" s="2">
        <f t="shared" si="5"/>
        <v>0</v>
      </c>
      <c r="AA947" s="312"/>
      <c r="AB947" s="312"/>
      <c r="AC947" s="312"/>
      <c r="AD947" s="312"/>
    </row>
  </sheetData>
  <conditionalFormatting sqref="B1:P947 AA1:AD947 Q2:X8 A14:A947">
    <cfRule type="cellIs" dxfId="2" priority="1" operator="equal">
      <formula>"Soujanya"</formula>
    </cfRule>
  </conditionalFormatting>
  <conditionalFormatting sqref="B1:P947 AA1:AD947 Q2:X8 A14:A947">
    <cfRule type="cellIs" dxfId="5" priority="2" operator="equal">
      <formula>"Jaya"</formula>
    </cfRule>
  </conditionalFormatting>
  <conditionalFormatting sqref="B1:P947 AA1:AD947 Q2:X8 A14:A947">
    <cfRule type="cellIs" dxfId="20" priority="3" operator="equal">
      <formula>"NA"</formula>
    </cfRule>
  </conditionalFormatting>
  <conditionalFormatting sqref="A1:AD947">
    <cfRule type="cellIs" dxfId="21" priority="4" operator="equal">
      <formula>0</formula>
    </cfRule>
  </conditionalFormatting>
  <dataValidations>
    <dataValidation type="list" allowBlank="1" showErrorMessage="1" sqref="F9:F947">
      <formula1>"Jaya,Jaya Friend"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6.5"/>
    <col customWidth="1" min="2" max="2" width="13.5"/>
    <col customWidth="1" min="3" max="3" width="15.75"/>
    <col customWidth="1" min="4" max="4" width="10.63"/>
    <col customWidth="1" min="5" max="5" width="9.75"/>
    <col customWidth="1" min="6" max="6" width="10.25"/>
    <col customWidth="1" min="7" max="7" width="14.25"/>
    <col customWidth="1" min="8" max="8" width="13.63"/>
    <col customWidth="1" min="9" max="9" width="14.75"/>
    <col customWidth="1" min="10" max="10" width="13.5"/>
    <col customWidth="1" min="11" max="11" width="10.75"/>
    <col customWidth="1" min="12" max="12" width="13.38"/>
    <col customWidth="1" min="13" max="13" width="10.63"/>
    <col customWidth="1" min="14" max="14" width="9.25"/>
    <col customWidth="1" min="15" max="15" width="11.38"/>
    <col customWidth="1" min="16" max="16" width="13.13"/>
    <col customWidth="1" min="17" max="17" width="10.5"/>
    <col customWidth="1" min="18" max="18" width="10.13"/>
    <col customWidth="1" min="19" max="19" width="4.75"/>
    <col customWidth="1" min="23" max="23" width="14.0"/>
    <col customWidth="1" min="24" max="24" width="10.75"/>
    <col customWidth="1" min="27" max="30" width="16.5"/>
  </cols>
  <sheetData>
    <row r="1">
      <c r="A1" s="344">
        <f>$U$5</f>
        <v>1714.918281</v>
      </c>
      <c r="H1" s="6" t="s">
        <v>617</v>
      </c>
      <c r="I1" s="6" t="s">
        <v>618</v>
      </c>
      <c r="J1" s="6" t="s">
        <v>575</v>
      </c>
      <c r="K1" s="313" t="s">
        <v>619</v>
      </c>
      <c r="L1" s="312"/>
      <c r="N1" s="313" t="s">
        <v>576</v>
      </c>
      <c r="P1" s="312"/>
      <c r="U1" s="6" t="s">
        <v>620</v>
      </c>
      <c r="AA1" s="312"/>
      <c r="AB1" s="333"/>
      <c r="AC1" s="334"/>
      <c r="AD1" s="313"/>
    </row>
    <row r="2">
      <c r="A2" s="312"/>
      <c r="B2" s="371" t="str">
        <f>$R$7</f>
        <v/>
      </c>
      <c r="C2" s="372" t="str">
        <f>$R$4</f>
        <v/>
      </c>
      <c r="D2" s="279"/>
      <c r="E2" s="279"/>
      <c r="F2" s="279"/>
      <c r="G2" s="279"/>
      <c r="H2" s="324">
        <f>N2</f>
        <v>150339.5</v>
      </c>
      <c r="I2" s="2">
        <f>H2-J2</f>
        <v>36012.5</v>
      </c>
      <c r="J2" s="339">
        <f>sum(J9:J947)</f>
        <v>114327</v>
      </c>
      <c r="K2" s="2">
        <f>I2/U5</f>
        <v>20.99954289</v>
      </c>
      <c r="N2" s="312">
        <f>sum(N9:N947)</f>
        <v>150339.5</v>
      </c>
      <c r="P2" s="313" t="s">
        <v>621</v>
      </c>
      <c r="Q2" s="312">
        <f>H2</f>
        <v>150339.5</v>
      </c>
      <c r="R2" s="312"/>
      <c r="S2" s="312"/>
      <c r="T2" s="313" t="s">
        <v>622</v>
      </c>
      <c r="U2" s="350">
        <f>sum(I9:I75)</f>
        <v>5935</v>
      </c>
      <c r="V2" s="340"/>
      <c r="W2" s="334"/>
      <c r="X2" s="340"/>
      <c r="AA2" s="312"/>
      <c r="AB2" s="333"/>
      <c r="AC2" s="334"/>
      <c r="AD2" s="313"/>
    </row>
    <row r="3">
      <c r="A3" s="312"/>
      <c r="B3" s="341" t="s">
        <v>623</v>
      </c>
      <c r="C3" s="373">
        <v>45776.0</v>
      </c>
      <c r="D3" s="333"/>
      <c r="E3" s="333"/>
      <c r="F3" s="333"/>
      <c r="G3" s="312"/>
      <c r="H3" s="312"/>
      <c r="I3" s="312"/>
      <c r="J3" s="312"/>
      <c r="K3" s="312"/>
      <c r="L3" s="312"/>
      <c r="P3" s="313" t="s">
        <v>624</v>
      </c>
      <c r="Q3" s="313">
        <f>I7/60</f>
        <v>133.3833333</v>
      </c>
      <c r="R3" s="334"/>
      <c r="S3" s="6"/>
      <c r="T3" s="305" t="s">
        <v>625</v>
      </c>
      <c r="U3" s="2">
        <f>sum(N9:N12)</f>
        <v>84817</v>
      </c>
      <c r="AA3" s="312"/>
      <c r="AB3" s="333"/>
      <c r="AC3" s="334"/>
      <c r="AD3" s="313"/>
    </row>
    <row r="4">
      <c r="A4" s="312"/>
      <c r="B4" s="343" t="s">
        <v>578</v>
      </c>
      <c r="C4" s="343" t="s">
        <v>579</v>
      </c>
      <c r="D4" s="343" t="s">
        <v>275</v>
      </c>
      <c r="E4" s="343" t="s">
        <v>580</v>
      </c>
      <c r="F4" s="343" t="s">
        <v>626</v>
      </c>
      <c r="G4" s="343" t="s">
        <v>581</v>
      </c>
      <c r="H4" s="343" t="s">
        <v>582</v>
      </c>
      <c r="I4" s="343" t="s">
        <v>583</v>
      </c>
      <c r="J4" s="343" t="s">
        <v>584</v>
      </c>
      <c r="K4" s="313"/>
      <c r="L4" s="313"/>
      <c r="M4" s="312"/>
      <c r="N4" s="343" t="s">
        <v>584</v>
      </c>
      <c r="O4" s="343"/>
      <c r="P4" s="313" t="s">
        <v>627</v>
      </c>
      <c r="Q4" s="313">
        <v>2.0</v>
      </c>
      <c r="R4" s="334"/>
      <c r="S4" s="313"/>
      <c r="T4" s="334" t="s">
        <v>628</v>
      </c>
      <c r="U4" s="2">
        <f>U3/U2</f>
        <v>14.29098568</v>
      </c>
      <c r="V4" s="334"/>
      <c r="W4" s="334"/>
      <c r="X4" s="334"/>
      <c r="AA4" s="313"/>
      <c r="AB4" s="312"/>
      <c r="AC4" s="312"/>
      <c r="AD4" s="312"/>
    </row>
    <row r="5">
      <c r="A5" s="312"/>
      <c r="B5" s="344" t="s">
        <v>317</v>
      </c>
      <c r="C5" s="344">
        <f>sum(N9:N947)</f>
        <v>150339.5</v>
      </c>
      <c r="D5" s="342">
        <f>min(D9:D947)</f>
        <v>45463</v>
      </c>
      <c r="E5" s="344" t="str">
        <f>text(WEEKDAY(D5),"dddd")</f>
        <v>Thursday</v>
      </c>
      <c r="F5" s="342">
        <f>max(D9:D947)</f>
        <v>45969</v>
      </c>
      <c r="G5" s="345">
        <f>I7</f>
        <v>8003</v>
      </c>
      <c r="H5" s="346">
        <f>J2</f>
        <v>114327</v>
      </c>
      <c r="I5" s="344">
        <f>IFERROR(__xludf.DUMMYFUNCTION("COUNTUNIQUE(D9:D947)"),88.0)</f>
        <v>88</v>
      </c>
      <c r="J5" s="346">
        <f>ceiling(H5/I5,1)</f>
        <v>1300</v>
      </c>
      <c r="K5" s="312"/>
      <c r="L5" s="312"/>
      <c r="M5" s="312"/>
      <c r="N5" s="346">
        <f>floor(N2/I5,1)</f>
        <v>1708</v>
      </c>
      <c r="O5" s="346"/>
      <c r="P5" s="313" t="s">
        <v>629</v>
      </c>
      <c r="Q5" s="6">
        <f>Q3/Q4</f>
        <v>66.69166667</v>
      </c>
      <c r="R5" s="304"/>
      <c r="S5" s="313"/>
      <c r="T5" s="334" t="s">
        <v>630</v>
      </c>
      <c r="U5" s="2">
        <f>U4*120</f>
        <v>1714.918281</v>
      </c>
      <c r="W5" s="347"/>
      <c r="X5" s="312"/>
      <c r="AA5" s="312"/>
      <c r="AB5" s="312"/>
      <c r="AC5" s="312"/>
      <c r="AD5" s="312"/>
    </row>
    <row r="6">
      <c r="A6" s="312"/>
      <c r="B6" s="348"/>
      <c r="C6" s="312"/>
      <c r="D6" s="313"/>
      <c r="E6" s="313"/>
      <c r="F6" s="313"/>
      <c r="G6" s="313"/>
      <c r="H6" s="313"/>
      <c r="I6" s="312"/>
      <c r="J6" s="349"/>
      <c r="K6" s="312"/>
      <c r="L6" s="312"/>
      <c r="M6" s="312"/>
      <c r="N6" s="312"/>
      <c r="O6" s="312"/>
      <c r="P6" s="313" t="s">
        <v>631</v>
      </c>
      <c r="Q6" s="6">
        <f>Q2/Q5</f>
        <v>2254.247157</v>
      </c>
      <c r="R6" s="305"/>
      <c r="S6" s="313"/>
      <c r="T6" s="312"/>
      <c r="V6" s="334"/>
      <c r="W6" s="334"/>
      <c r="X6" s="334"/>
      <c r="AA6" s="312"/>
      <c r="AB6" s="312"/>
      <c r="AC6" s="312"/>
      <c r="AD6" s="312"/>
    </row>
    <row r="7">
      <c r="A7" s="312"/>
      <c r="B7" s="348" t="s">
        <v>632</v>
      </c>
      <c r="C7" s="350">
        <f>I7/I5</f>
        <v>90.94318182</v>
      </c>
      <c r="D7" s="313"/>
      <c r="E7" s="313"/>
      <c r="F7" s="313"/>
      <c r="G7" s="313"/>
      <c r="H7" s="313"/>
      <c r="I7" s="351">
        <f>sum(I9:I947)</f>
        <v>8003</v>
      </c>
      <c r="J7" s="349"/>
      <c r="K7" s="312"/>
      <c r="L7" s="312"/>
      <c r="M7" s="312"/>
      <c r="N7" s="312"/>
      <c r="O7" s="312"/>
      <c r="P7" s="312"/>
      <c r="Q7" s="6"/>
      <c r="R7" s="305"/>
      <c r="S7" s="313"/>
      <c r="T7" s="312"/>
      <c r="V7" s="334"/>
      <c r="W7" s="334"/>
      <c r="X7" s="334"/>
      <c r="AA7" s="312"/>
      <c r="AB7" s="312"/>
      <c r="AC7" s="312"/>
      <c r="AD7" s="312"/>
    </row>
    <row r="8">
      <c r="A8" s="352"/>
      <c r="B8" s="353" t="s">
        <v>585</v>
      </c>
      <c r="C8" s="353" t="s">
        <v>586</v>
      </c>
      <c r="D8" s="353" t="s">
        <v>129</v>
      </c>
      <c r="E8" s="353"/>
      <c r="F8" s="353" t="s">
        <v>587</v>
      </c>
      <c r="G8" s="353" t="s">
        <v>588</v>
      </c>
      <c r="H8" s="353" t="s">
        <v>589</v>
      </c>
      <c r="I8" s="353" t="s">
        <v>590</v>
      </c>
      <c r="J8" s="353" t="s">
        <v>591</v>
      </c>
      <c r="K8" s="353" t="s">
        <v>592</v>
      </c>
      <c r="L8" s="312"/>
      <c r="M8" s="354" t="s">
        <v>129</v>
      </c>
      <c r="N8" s="343" t="s">
        <v>593</v>
      </c>
      <c r="O8" s="354" t="s">
        <v>594</v>
      </c>
      <c r="P8" s="312"/>
      <c r="Q8" s="6"/>
      <c r="R8" s="304"/>
      <c r="S8" s="312"/>
      <c r="T8" s="312"/>
      <c r="W8" s="312"/>
      <c r="X8" s="312"/>
      <c r="AA8" s="312"/>
      <c r="AB8" s="312"/>
      <c r="AC8" s="312"/>
      <c r="AD8" s="312"/>
    </row>
    <row r="9">
      <c r="A9" s="312"/>
      <c r="B9" s="344">
        <f t="shared" ref="B9:B947" si="1">$U$5</f>
        <v>1714.918281</v>
      </c>
      <c r="C9" s="344">
        <v>120.0</v>
      </c>
      <c r="D9" s="355">
        <v>45776.0</v>
      </c>
      <c r="E9" s="344" t="str">
        <f t="shared" ref="E9:E947" si="2">text(WEEKDAY(D9),"dddd")</f>
        <v>Tuesday</v>
      </c>
      <c r="F9" s="344" t="s">
        <v>554</v>
      </c>
      <c r="G9" s="356"/>
      <c r="H9" s="356"/>
      <c r="I9" s="357">
        <f t="shared" ref="I9:I947" si="3">(H9-G9)*1440</f>
        <v>0</v>
      </c>
      <c r="J9" s="346">
        <f t="shared" ref="J9:J947" si="4">FLOOR(B9*I9/C9,1)</f>
        <v>0</v>
      </c>
      <c r="K9" s="312"/>
      <c r="L9" s="312"/>
      <c r="M9" s="358">
        <v>45776.0</v>
      </c>
      <c r="N9" s="343">
        <v>21000.0</v>
      </c>
      <c r="O9" s="359" t="s">
        <v>633</v>
      </c>
      <c r="P9" s="312"/>
      <c r="R9" s="360">
        <f t="array" ref="R9:R97">UNIQUE(D9:D947)</f>
        <v>45776</v>
      </c>
      <c r="S9" s="2">
        <f>sumifs(J9:J947,D9:D947,R9)</f>
        <v>0</v>
      </c>
      <c r="AA9" s="312"/>
      <c r="AB9" s="312"/>
      <c r="AC9" s="312"/>
      <c r="AD9" s="312"/>
    </row>
    <row r="10">
      <c r="A10" s="312"/>
      <c r="B10" s="344">
        <f t="shared" si="1"/>
        <v>1714.918281</v>
      </c>
      <c r="C10" s="344">
        <v>120.0</v>
      </c>
      <c r="D10" s="355">
        <v>45777.0</v>
      </c>
      <c r="E10" s="344" t="str">
        <f t="shared" si="2"/>
        <v>Wednesday</v>
      </c>
      <c r="F10" s="344" t="s">
        <v>554</v>
      </c>
      <c r="G10" s="356">
        <v>0.3576388888888889</v>
      </c>
      <c r="H10" s="356">
        <v>0.42986111111111114</v>
      </c>
      <c r="I10" s="357">
        <f t="shared" si="3"/>
        <v>104</v>
      </c>
      <c r="J10" s="346">
        <f t="shared" si="4"/>
        <v>1486</v>
      </c>
      <c r="K10" s="312"/>
      <c r="L10" s="312"/>
      <c r="M10" s="358">
        <v>45807.0</v>
      </c>
      <c r="N10" s="343">
        <v>21095.0</v>
      </c>
      <c r="O10" s="359" t="s">
        <v>633</v>
      </c>
      <c r="P10" s="312"/>
      <c r="R10" s="360">
        <v>45777.0</v>
      </c>
      <c r="S10" s="2">
        <f t="shared" ref="S10:S947" si="5">sumifs(J:J,D:D,R10)</f>
        <v>1486</v>
      </c>
      <c r="AA10" s="312"/>
      <c r="AB10" s="312"/>
      <c r="AC10" s="312"/>
      <c r="AD10" s="312"/>
    </row>
    <row r="11">
      <c r="A11" s="312"/>
      <c r="B11" s="344">
        <f t="shared" si="1"/>
        <v>1714.918281</v>
      </c>
      <c r="C11" s="344">
        <v>120.0</v>
      </c>
      <c r="D11" s="361">
        <v>45778.0</v>
      </c>
      <c r="E11" s="344" t="str">
        <f t="shared" si="2"/>
        <v>Thursday</v>
      </c>
      <c r="F11" s="344" t="s">
        <v>554</v>
      </c>
      <c r="G11" s="356">
        <v>0.32569444444444445</v>
      </c>
      <c r="H11" s="356">
        <v>0.40694444444444444</v>
      </c>
      <c r="I11" s="357">
        <f t="shared" si="3"/>
        <v>117</v>
      </c>
      <c r="J11" s="346">
        <f t="shared" si="4"/>
        <v>1672</v>
      </c>
      <c r="K11" s="312"/>
      <c r="L11" s="312"/>
      <c r="M11" s="358">
        <v>45838.0</v>
      </c>
      <c r="N11" s="343">
        <v>21145.0</v>
      </c>
      <c r="O11" s="359" t="s">
        <v>633</v>
      </c>
      <c r="P11" s="312"/>
      <c r="R11" s="360">
        <v>45778.0</v>
      </c>
      <c r="S11" s="2">
        <f t="shared" si="5"/>
        <v>1672</v>
      </c>
      <c r="AA11" s="312"/>
      <c r="AB11" s="312"/>
      <c r="AC11" s="312"/>
      <c r="AD11" s="312"/>
    </row>
    <row r="12">
      <c r="A12" s="312"/>
      <c r="B12" s="344">
        <f t="shared" si="1"/>
        <v>1714.918281</v>
      </c>
      <c r="C12" s="344">
        <v>120.0</v>
      </c>
      <c r="D12" s="361">
        <v>45783.0</v>
      </c>
      <c r="E12" s="344" t="str">
        <f t="shared" si="2"/>
        <v>Tuesday</v>
      </c>
      <c r="F12" s="344" t="s">
        <v>554</v>
      </c>
      <c r="G12" s="356">
        <v>0.36180555555555555</v>
      </c>
      <c r="H12" s="356">
        <v>0.4166666666666667</v>
      </c>
      <c r="I12" s="357">
        <f t="shared" si="3"/>
        <v>79</v>
      </c>
      <c r="J12" s="346">
        <f t="shared" si="4"/>
        <v>1128</v>
      </c>
      <c r="K12" s="312"/>
      <c r="L12" s="312"/>
      <c r="M12" s="358">
        <v>45869.0</v>
      </c>
      <c r="N12" s="343">
        <v>21577.0</v>
      </c>
      <c r="O12" s="359" t="s">
        <v>633</v>
      </c>
      <c r="P12" s="312"/>
      <c r="R12" s="360">
        <v>45783.0</v>
      </c>
      <c r="S12" s="2">
        <f t="shared" si="5"/>
        <v>1128</v>
      </c>
      <c r="AA12" s="312"/>
      <c r="AB12" s="312"/>
      <c r="AC12" s="312"/>
      <c r="AD12" s="312"/>
    </row>
    <row r="13">
      <c r="A13" s="312"/>
      <c r="B13" s="344">
        <f t="shared" si="1"/>
        <v>1714.918281</v>
      </c>
      <c r="C13" s="344">
        <v>120.0</v>
      </c>
      <c r="D13" s="355">
        <v>45785.0</v>
      </c>
      <c r="E13" s="344" t="str">
        <f t="shared" si="2"/>
        <v>Thursday</v>
      </c>
      <c r="F13" s="344" t="s">
        <v>554</v>
      </c>
      <c r="G13" s="356">
        <v>0.3402777777777778</v>
      </c>
      <c r="H13" s="356">
        <v>0.4166666666666667</v>
      </c>
      <c r="I13" s="357">
        <f t="shared" si="3"/>
        <v>110</v>
      </c>
      <c r="J13" s="346">
        <f t="shared" si="4"/>
        <v>1572</v>
      </c>
      <c r="K13" s="312"/>
      <c r="L13" s="312"/>
      <c r="M13" s="358">
        <v>45900.0</v>
      </c>
      <c r="N13" s="343">
        <v>21737.5</v>
      </c>
      <c r="O13" s="359" t="s">
        <v>633</v>
      </c>
      <c r="P13" s="312"/>
      <c r="R13" s="360">
        <v>45785.0</v>
      </c>
      <c r="S13" s="2">
        <f t="shared" si="5"/>
        <v>1572</v>
      </c>
      <c r="AA13" s="312"/>
      <c r="AB13" s="312"/>
      <c r="AC13" s="312"/>
      <c r="AD13" s="312"/>
    </row>
    <row r="14">
      <c r="A14" s="312"/>
      <c r="B14" s="344">
        <f t="shared" si="1"/>
        <v>1714.918281</v>
      </c>
      <c r="C14" s="344">
        <v>120.0</v>
      </c>
      <c r="D14" s="355">
        <v>45786.0</v>
      </c>
      <c r="E14" s="344" t="str">
        <f t="shared" si="2"/>
        <v>Friday</v>
      </c>
      <c r="F14" s="344" t="s">
        <v>554</v>
      </c>
      <c r="G14" s="356">
        <v>0.8958333333333334</v>
      </c>
      <c r="H14" s="356">
        <v>0.9583333333333334</v>
      </c>
      <c r="I14" s="357">
        <f t="shared" si="3"/>
        <v>90</v>
      </c>
      <c r="J14" s="346">
        <f t="shared" si="4"/>
        <v>1286</v>
      </c>
      <c r="K14" s="312"/>
      <c r="L14" s="312"/>
      <c r="M14" s="359" t="s">
        <v>634</v>
      </c>
      <c r="N14" s="343">
        <v>21900.0</v>
      </c>
      <c r="O14" s="359" t="s">
        <v>633</v>
      </c>
      <c r="P14" s="312"/>
      <c r="R14" s="360">
        <v>45786.0</v>
      </c>
      <c r="S14" s="2">
        <f t="shared" si="5"/>
        <v>1286</v>
      </c>
      <c r="AA14" s="312"/>
      <c r="AB14" s="312"/>
      <c r="AC14" s="312"/>
      <c r="AD14" s="312"/>
    </row>
    <row r="15">
      <c r="A15" s="312"/>
      <c r="B15" s="344">
        <f t="shared" si="1"/>
        <v>1714.918281</v>
      </c>
      <c r="C15" s="344">
        <v>120.0</v>
      </c>
      <c r="D15" s="355">
        <v>45789.0</v>
      </c>
      <c r="E15" s="344" t="str">
        <f t="shared" si="2"/>
        <v>Monday</v>
      </c>
      <c r="F15" s="344" t="s">
        <v>554</v>
      </c>
      <c r="G15" s="356">
        <v>0.3402777777777778</v>
      </c>
      <c r="H15" s="356">
        <v>0.4166666666666667</v>
      </c>
      <c r="I15" s="357">
        <f t="shared" si="3"/>
        <v>110</v>
      </c>
      <c r="J15" s="346">
        <f t="shared" si="4"/>
        <v>1572</v>
      </c>
      <c r="K15" s="312"/>
      <c r="L15" s="312"/>
      <c r="M15" s="358">
        <v>45962.0</v>
      </c>
      <c r="N15" s="343">
        <v>21885.0</v>
      </c>
      <c r="O15" s="359" t="s">
        <v>633</v>
      </c>
      <c r="P15" s="312"/>
      <c r="R15" s="360">
        <v>45789.0</v>
      </c>
      <c r="S15" s="2">
        <f t="shared" si="5"/>
        <v>1572</v>
      </c>
      <c r="AA15" s="312"/>
      <c r="AB15" s="312"/>
      <c r="AC15" s="312"/>
      <c r="AD15" s="312"/>
    </row>
    <row r="16">
      <c r="A16" s="312"/>
      <c r="B16" s="344">
        <f t="shared" si="1"/>
        <v>1714.918281</v>
      </c>
      <c r="C16" s="344">
        <v>120.0</v>
      </c>
      <c r="D16" s="361">
        <v>45790.0</v>
      </c>
      <c r="E16" s="344" t="str">
        <f t="shared" si="2"/>
        <v>Tuesday</v>
      </c>
      <c r="F16" s="344" t="s">
        <v>554</v>
      </c>
      <c r="G16" s="356">
        <v>0.3472222222222222</v>
      </c>
      <c r="H16" s="356">
        <v>0.4166666666666667</v>
      </c>
      <c r="I16" s="357">
        <f t="shared" si="3"/>
        <v>100</v>
      </c>
      <c r="J16" s="346">
        <f t="shared" si="4"/>
        <v>1429</v>
      </c>
      <c r="K16" s="312"/>
      <c r="L16" s="312"/>
      <c r="M16" s="358"/>
      <c r="N16" s="343"/>
      <c r="O16" s="359"/>
      <c r="P16" s="312"/>
      <c r="R16" s="360">
        <v>45790.0</v>
      </c>
      <c r="S16" s="2">
        <f t="shared" si="5"/>
        <v>1429</v>
      </c>
      <c r="W16" s="6" t="s">
        <v>441</v>
      </c>
      <c r="X16" s="6">
        <v>21000.0</v>
      </c>
      <c r="AA16" s="312"/>
      <c r="AB16" s="312"/>
      <c r="AC16" s="312"/>
      <c r="AD16" s="312"/>
    </row>
    <row r="17">
      <c r="A17" s="312"/>
      <c r="B17" s="344">
        <f t="shared" si="1"/>
        <v>1714.918281</v>
      </c>
      <c r="C17" s="344">
        <v>120.0</v>
      </c>
      <c r="D17" s="361">
        <v>45791.0</v>
      </c>
      <c r="E17" s="344" t="str">
        <f t="shared" si="2"/>
        <v>Wednesday</v>
      </c>
      <c r="F17" s="344" t="s">
        <v>554</v>
      </c>
      <c r="G17" s="356">
        <v>0.3263888888888889</v>
      </c>
      <c r="H17" s="356">
        <v>0.4166666666666667</v>
      </c>
      <c r="I17" s="357">
        <f t="shared" si="3"/>
        <v>130</v>
      </c>
      <c r="J17" s="346">
        <f t="shared" si="4"/>
        <v>1857</v>
      </c>
      <c r="K17" s="312"/>
      <c r="L17" s="312"/>
      <c r="M17" s="358"/>
      <c r="N17" s="343"/>
      <c r="O17" s="359"/>
      <c r="P17" s="312"/>
      <c r="R17" s="360">
        <v>45791.0</v>
      </c>
      <c r="S17" s="2">
        <f t="shared" si="5"/>
        <v>3900</v>
      </c>
      <c r="W17" s="6" t="s">
        <v>576</v>
      </c>
      <c r="X17" s="2">
        <f>N2</f>
        <v>150339.5</v>
      </c>
      <c r="AA17" s="312"/>
      <c r="AB17" s="312"/>
      <c r="AC17" s="312"/>
      <c r="AD17" s="312"/>
    </row>
    <row r="18">
      <c r="A18" s="312"/>
      <c r="B18" s="344">
        <f t="shared" si="1"/>
        <v>1714.918281</v>
      </c>
      <c r="C18" s="344">
        <v>120.0</v>
      </c>
      <c r="D18" s="361">
        <v>45791.0</v>
      </c>
      <c r="E18" s="344" t="str">
        <f t="shared" si="2"/>
        <v>Wednesday</v>
      </c>
      <c r="F18" s="344" t="s">
        <v>554</v>
      </c>
      <c r="G18" s="356">
        <v>0.7777777777777778</v>
      </c>
      <c r="H18" s="356">
        <v>0.8541666666666666</v>
      </c>
      <c r="I18" s="357">
        <f t="shared" si="3"/>
        <v>110</v>
      </c>
      <c r="J18" s="346">
        <f t="shared" si="4"/>
        <v>1572</v>
      </c>
      <c r="K18" s="312"/>
      <c r="L18" s="312"/>
      <c r="M18" s="312"/>
      <c r="N18" s="362"/>
      <c r="O18" s="312"/>
      <c r="P18" s="312"/>
      <c r="R18" s="360">
        <v>45793.0</v>
      </c>
      <c r="S18" s="2">
        <f t="shared" si="5"/>
        <v>1500</v>
      </c>
      <c r="W18" s="6" t="s">
        <v>275</v>
      </c>
      <c r="X18" s="206">
        <v>45776.0</v>
      </c>
      <c r="AA18" s="312"/>
      <c r="AB18" s="312"/>
      <c r="AC18" s="312"/>
      <c r="AD18" s="312"/>
    </row>
    <row r="19">
      <c r="A19" s="312"/>
      <c r="B19" s="344">
        <f t="shared" si="1"/>
        <v>1714.918281</v>
      </c>
      <c r="C19" s="344">
        <v>120.0</v>
      </c>
      <c r="D19" s="361">
        <v>45791.0</v>
      </c>
      <c r="E19" s="344" t="str">
        <f t="shared" si="2"/>
        <v>Wednesday</v>
      </c>
      <c r="F19" s="344" t="s">
        <v>554</v>
      </c>
      <c r="G19" s="356">
        <v>0.8666666666666667</v>
      </c>
      <c r="H19" s="356">
        <v>0.8895833333333333</v>
      </c>
      <c r="I19" s="357">
        <f t="shared" si="3"/>
        <v>33</v>
      </c>
      <c r="J19" s="346">
        <f t="shared" si="4"/>
        <v>471</v>
      </c>
      <c r="K19" s="312"/>
      <c r="L19" s="312"/>
      <c r="M19" s="312"/>
      <c r="N19" s="362"/>
      <c r="O19" s="312"/>
      <c r="P19" s="312"/>
      <c r="R19" s="360">
        <v>45798.0</v>
      </c>
      <c r="S19" s="2">
        <f t="shared" si="5"/>
        <v>1672</v>
      </c>
      <c r="W19" s="6" t="s">
        <v>181</v>
      </c>
      <c r="X19" s="206">
        <v>45805.0</v>
      </c>
      <c r="AA19" s="312"/>
      <c r="AB19" s="312"/>
      <c r="AC19" s="312"/>
      <c r="AD19" s="312"/>
    </row>
    <row r="20">
      <c r="A20" s="312"/>
      <c r="B20" s="344">
        <f t="shared" si="1"/>
        <v>1714.918281</v>
      </c>
      <c r="C20" s="344">
        <v>120.0</v>
      </c>
      <c r="D20" s="361">
        <v>45793.0</v>
      </c>
      <c r="E20" s="344" t="str">
        <f t="shared" si="2"/>
        <v>Friday</v>
      </c>
      <c r="F20" s="344" t="s">
        <v>554</v>
      </c>
      <c r="G20" s="356">
        <v>0.34375</v>
      </c>
      <c r="H20" s="356">
        <v>0.4166666666666667</v>
      </c>
      <c r="I20" s="357">
        <f t="shared" si="3"/>
        <v>105</v>
      </c>
      <c r="J20" s="346">
        <f t="shared" si="4"/>
        <v>1500</v>
      </c>
      <c r="K20" s="312"/>
      <c r="L20" s="312"/>
      <c r="M20" s="312"/>
      <c r="N20" s="362"/>
      <c r="O20" s="312"/>
      <c r="P20" s="312"/>
      <c r="R20" s="360">
        <v>45799.0</v>
      </c>
      <c r="S20" s="2">
        <f t="shared" si="5"/>
        <v>1614</v>
      </c>
      <c r="W20" s="6" t="s">
        <v>635</v>
      </c>
      <c r="X20" s="3"/>
      <c r="AA20" s="312"/>
      <c r="AB20" s="312"/>
      <c r="AC20" s="312"/>
      <c r="AD20" s="312"/>
    </row>
    <row r="21">
      <c r="A21" s="312"/>
      <c r="B21" s="344">
        <f t="shared" si="1"/>
        <v>1714.918281</v>
      </c>
      <c r="C21" s="344">
        <v>120.0</v>
      </c>
      <c r="D21" s="361">
        <v>45798.0</v>
      </c>
      <c r="E21" s="344" t="str">
        <f t="shared" si="2"/>
        <v>Wednesday</v>
      </c>
      <c r="F21" s="344" t="s">
        <v>554</v>
      </c>
      <c r="G21" s="356">
        <v>0.29583333333333334</v>
      </c>
      <c r="H21" s="356">
        <v>0.3770833333333333</v>
      </c>
      <c r="I21" s="357">
        <f t="shared" si="3"/>
        <v>117</v>
      </c>
      <c r="J21" s="346">
        <f t="shared" si="4"/>
        <v>1672</v>
      </c>
      <c r="K21" s="312"/>
      <c r="L21" s="312"/>
      <c r="M21" s="312"/>
      <c r="N21" s="362"/>
      <c r="O21" s="312"/>
      <c r="P21" s="312"/>
      <c r="R21" s="360">
        <v>45800.0</v>
      </c>
      <c r="S21" s="2">
        <f t="shared" si="5"/>
        <v>1714</v>
      </c>
      <c r="W21" s="6" t="s">
        <v>160</v>
      </c>
      <c r="X21" s="6">
        <v>1100.0</v>
      </c>
      <c r="AA21" s="312"/>
      <c r="AB21" s="312"/>
      <c r="AC21" s="312"/>
      <c r="AD21" s="312"/>
    </row>
    <row r="22">
      <c r="A22" s="312"/>
      <c r="B22" s="344">
        <f t="shared" si="1"/>
        <v>1714.918281</v>
      </c>
      <c r="C22" s="344">
        <v>120.0</v>
      </c>
      <c r="D22" s="361">
        <v>45799.0</v>
      </c>
      <c r="E22" s="344" t="str">
        <f t="shared" si="2"/>
        <v>Thursday</v>
      </c>
      <c r="F22" s="344" t="s">
        <v>554</v>
      </c>
      <c r="G22" s="356">
        <v>0.3368055555555556</v>
      </c>
      <c r="H22" s="356">
        <v>0.4152777777777778</v>
      </c>
      <c r="I22" s="357">
        <f t="shared" si="3"/>
        <v>113</v>
      </c>
      <c r="J22" s="346">
        <f t="shared" si="4"/>
        <v>1614</v>
      </c>
      <c r="K22" s="312"/>
      <c r="L22" s="312"/>
      <c r="M22" s="312"/>
      <c r="N22" s="362"/>
      <c r="O22" s="312"/>
      <c r="P22" s="312"/>
      <c r="R22" s="360">
        <v>45801.0</v>
      </c>
      <c r="S22" s="2">
        <f t="shared" si="5"/>
        <v>2143</v>
      </c>
      <c r="W22" s="6" t="s">
        <v>597</v>
      </c>
      <c r="X22" s="2">
        <f>X17*30%</f>
        <v>45101.85</v>
      </c>
      <c r="AA22" s="312"/>
      <c r="AB22" s="312"/>
      <c r="AC22" s="312"/>
      <c r="AD22" s="312"/>
    </row>
    <row r="23">
      <c r="A23" s="312"/>
      <c r="B23" s="344">
        <f t="shared" si="1"/>
        <v>1714.918281</v>
      </c>
      <c r="C23" s="344">
        <v>120.0</v>
      </c>
      <c r="D23" s="361">
        <v>45800.0</v>
      </c>
      <c r="E23" s="344" t="str">
        <f t="shared" si="2"/>
        <v>Friday</v>
      </c>
      <c r="F23" s="344" t="s">
        <v>554</v>
      </c>
      <c r="G23" s="356">
        <v>0.3333333333333333</v>
      </c>
      <c r="H23" s="356">
        <v>0.4166666666666667</v>
      </c>
      <c r="I23" s="357">
        <f t="shared" si="3"/>
        <v>120</v>
      </c>
      <c r="J23" s="346">
        <f t="shared" si="4"/>
        <v>1714</v>
      </c>
      <c r="K23" s="312"/>
      <c r="L23" s="312"/>
      <c r="M23" s="312"/>
      <c r="N23" s="362"/>
      <c r="O23" s="312"/>
      <c r="P23" s="312"/>
      <c r="R23" s="360">
        <v>45803.0</v>
      </c>
      <c r="S23" s="2">
        <f t="shared" si="5"/>
        <v>1600</v>
      </c>
      <c r="AA23" s="312"/>
      <c r="AB23" s="312"/>
      <c r="AC23" s="312"/>
      <c r="AD23" s="312"/>
    </row>
    <row r="24">
      <c r="A24" s="312"/>
      <c r="B24" s="344">
        <f t="shared" si="1"/>
        <v>1714.918281</v>
      </c>
      <c r="C24" s="344">
        <v>120.0</v>
      </c>
      <c r="D24" s="361">
        <v>45801.0</v>
      </c>
      <c r="E24" s="344" t="str">
        <f t="shared" si="2"/>
        <v>Saturday</v>
      </c>
      <c r="F24" s="344" t="s">
        <v>554</v>
      </c>
      <c r="G24" s="356">
        <v>0.375</v>
      </c>
      <c r="H24" s="356">
        <v>0.4791666666666667</v>
      </c>
      <c r="I24" s="357">
        <f t="shared" si="3"/>
        <v>150</v>
      </c>
      <c r="J24" s="346">
        <f t="shared" si="4"/>
        <v>2143</v>
      </c>
      <c r="K24" s="312"/>
      <c r="L24" s="312"/>
      <c r="M24" s="312"/>
      <c r="N24" s="362"/>
      <c r="O24" s="312"/>
      <c r="P24" s="312"/>
      <c r="R24" s="360">
        <v>45804.0</v>
      </c>
      <c r="S24" s="2">
        <f t="shared" si="5"/>
        <v>2757</v>
      </c>
      <c r="AA24" s="312"/>
      <c r="AB24" s="312"/>
      <c r="AC24" s="312"/>
      <c r="AD24" s="312"/>
    </row>
    <row r="25">
      <c r="A25" s="312"/>
      <c r="B25" s="344">
        <f t="shared" si="1"/>
        <v>1714.918281</v>
      </c>
      <c r="C25" s="344">
        <v>120.0</v>
      </c>
      <c r="D25" s="361">
        <v>45803.0</v>
      </c>
      <c r="E25" s="344" t="str">
        <f t="shared" si="2"/>
        <v>Monday</v>
      </c>
      <c r="F25" s="344" t="s">
        <v>554</v>
      </c>
      <c r="G25" s="356">
        <v>0.34444444444444444</v>
      </c>
      <c r="H25" s="356">
        <v>0.4222222222222222</v>
      </c>
      <c r="I25" s="357">
        <f t="shared" si="3"/>
        <v>112</v>
      </c>
      <c r="J25" s="346">
        <f t="shared" si="4"/>
        <v>1600</v>
      </c>
      <c r="K25" s="312"/>
      <c r="L25" s="312"/>
      <c r="M25" s="312"/>
      <c r="N25" s="362"/>
      <c r="O25" s="312"/>
      <c r="P25" s="312"/>
      <c r="R25" s="360">
        <v>45806.0</v>
      </c>
      <c r="S25" s="2">
        <f t="shared" si="5"/>
        <v>2399</v>
      </c>
      <c r="W25" s="6">
        <v>90.0</v>
      </c>
      <c r="X25" s="2">
        <f>X21/W25</f>
        <v>12.22222222</v>
      </c>
      <c r="AA25" s="312"/>
      <c r="AB25" s="312"/>
      <c r="AC25" s="312"/>
      <c r="AD25" s="312"/>
    </row>
    <row r="26">
      <c r="A26" s="312"/>
      <c r="B26" s="344">
        <f t="shared" si="1"/>
        <v>1714.918281</v>
      </c>
      <c r="C26" s="344">
        <v>120.0</v>
      </c>
      <c r="D26" s="361">
        <v>45804.0</v>
      </c>
      <c r="E26" s="344" t="str">
        <f t="shared" si="2"/>
        <v>Tuesday</v>
      </c>
      <c r="F26" s="344" t="s">
        <v>554</v>
      </c>
      <c r="G26" s="356">
        <v>0.3333333333333333</v>
      </c>
      <c r="H26" s="356">
        <v>0.4166666666666667</v>
      </c>
      <c r="I26" s="357">
        <f t="shared" si="3"/>
        <v>120</v>
      </c>
      <c r="J26" s="346">
        <f t="shared" si="4"/>
        <v>1714</v>
      </c>
      <c r="K26" s="312"/>
      <c r="L26" s="312"/>
      <c r="M26" s="312"/>
      <c r="N26" s="362"/>
      <c r="O26" s="312"/>
      <c r="P26" s="312"/>
      <c r="R26" s="360">
        <v>45807.0</v>
      </c>
      <c r="S26" s="2">
        <f t="shared" si="5"/>
        <v>1143</v>
      </c>
      <c r="W26" s="6">
        <v>60.0</v>
      </c>
      <c r="X26" s="2">
        <f>X25*W26</f>
        <v>733.3333333</v>
      </c>
      <c r="AA26" s="312"/>
      <c r="AB26" s="312"/>
      <c r="AC26" s="312"/>
      <c r="AD26" s="312"/>
    </row>
    <row r="27">
      <c r="A27" s="312"/>
      <c r="B27" s="344">
        <f t="shared" si="1"/>
        <v>1714.918281</v>
      </c>
      <c r="C27" s="344">
        <v>120.0</v>
      </c>
      <c r="D27" s="361">
        <v>45804.0</v>
      </c>
      <c r="E27" s="344" t="str">
        <f t="shared" si="2"/>
        <v>Tuesday</v>
      </c>
      <c r="F27" s="344" t="s">
        <v>554</v>
      </c>
      <c r="G27" s="356">
        <v>0.9423611111111111</v>
      </c>
      <c r="H27" s="356">
        <v>0.9930555555555556</v>
      </c>
      <c r="I27" s="357">
        <f t="shared" si="3"/>
        <v>73</v>
      </c>
      <c r="J27" s="346">
        <f t="shared" si="4"/>
        <v>1043</v>
      </c>
      <c r="K27" s="312"/>
      <c r="L27" s="312"/>
      <c r="M27" s="312"/>
      <c r="N27" s="362"/>
      <c r="O27" s="312"/>
      <c r="P27" s="312"/>
      <c r="R27" s="360">
        <v>45812.0</v>
      </c>
      <c r="S27" s="2">
        <f t="shared" si="5"/>
        <v>1243</v>
      </c>
      <c r="W27" s="6" t="s">
        <v>598</v>
      </c>
      <c r="X27" s="2">
        <f>X26*X20</f>
        <v>0</v>
      </c>
      <c r="AA27" s="312"/>
      <c r="AB27" s="312"/>
      <c r="AC27" s="312"/>
      <c r="AD27" s="312"/>
    </row>
    <row r="28">
      <c r="A28" s="312"/>
      <c r="B28" s="344">
        <f t="shared" si="1"/>
        <v>1714.918281</v>
      </c>
      <c r="C28" s="344">
        <v>120.0</v>
      </c>
      <c r="D28" s="361">
        <v>45806.0</v>
      </c>
      <c r="E28" s="344" t="str">
        <f t="shared" si="2"/>
        <v>Thursday</v>
      </c>
      <c r="F28" s="344" t="s">
        <v>554</v>
      </c>
      <c r="G28" s="356">
        <v>0.3333333333333333</v>
      </c>
      <c r="H28" s="356">
        <v>0.4166666666666667</v>
      </c>
      <c r="I28" s="357">
        <f t="shared" si="3"/>
        <v>120</v>
      </c>
      <c r="J28" s="346">
        <f t="shared" si="4"/>
        <v>1714</v>
      </c>
      <c r="K28" s="312"/>
      <c r="L28" s="312"/>
      <c r="M28" s="312"/>
      <c r="N28" s="362"/>
      <c r="O28" s="312"/>
      <c r="P28" s="312"/>
      <c r="R28" s="360">
        <v>45813.0</v>
      </c>
      <c r="S28" s="2">
        <f t="shared" si="5"/>
        <v>1714</v>
      </c>
      <c r="W28" s="6" t="s">
        <v>599</v>
      </c>
      <c r="X28" s="2">
        <f>X27/12</f>
        <v>0</v>
      </c>
      <c r="AA28" s="312"/>
      <c r="AB28" s="312"/>
      <c r="AC28" s="312"/>
      <c r="AD28" s="312"/>
    </row>
    <row r="29">
      <c r="A29" s="312"/>
      <c r="B29" s="344">
        <f t="shared" si="1"/>
        <v>1714.918281</v>
      </c>
      <c r="C29" s="344">
        <v>120.0</v>
      </c>
      <c r="D29" s="361">
        <v>45806.0</v>
      </c>
      <c r="E29" s="344" t="str">
        <f t="shared" si="2"/>
        <v>Thursday</v>
      </c>
      <c r="F29" s="344" t="s">
        <v>554</v>
      </c>
      <c r="G29" s="356">
        <v>0.6875</v>
      </c>
      <c r="H29" s="356">
        <v>0.7083333333333334</v>
      </c>
      <c r="I29" s="357">
        <f t="shared" si="3"/>
        <v>30</v>
      </c>
      <c r="J29" s="346">
        <f t="shared" si="4"/>
        <v>428</v>
      </c>
      <c r="K29" s="312"/>
      <c r="L29" s="312"/>
      <c r="M29" s="312"/>
      <c r="N29" s="362"/>
      <c r="O29" s="312"/>
      <c r="P29" s="312"/>
      <c r="R29" s="360">
        <v>45814.0</v>
      </c>
      <c r="S29" s="2">
        <f t="shared" si="5"/>
        <v>1286</v>
      </c>
      <c r="AA29" s="312"/>
      <c r="AB29" s="312"/>
      <c r="AC29" s="312"/>
      <c r="AD29" s="312"/>
    </row>
    <row r="30">
      <c r="A30" s="312"/>
      <c r="B30" s="344">
        <f t="shared" si="1"/>
        <v>1714.918281</v>
      </c>
      <c r="C30" s="344">
        <v>120.0</v>
      </c>
      <c r="D30" s="361">
        <v>45806.0</v>
      </c>
      <c r="E30" s="344" t="str">
        <f t="shared" si="2"/>
        <v>Thursday</v>
      </c>
      <c r="F30" s="344" t="s">
        <v>554</v>
      </c>
      <c r="G30" s="356">
        <v>0.7902777777777777</v>
      </c>
      <c r="H30" s="356">
        <v>0.8027777777777778</v>
      </c>
      <c r="I30" s="357">
        <f t="shared" si="3"/>
        <v>18</v>
      </c>
      <c r="J30" s="346">
        <f t="shared" si="4"/>
        <v>257</v>
      </c>
      <c r="K30" s="312"/>
      <c r="L30" s="312"/>
      <c r="M30" s="312"/>
      <c r="N30" s="362"/>
      <c r="O30" s="312"/>
      <c r="P30" s="312"/>
      <c r="R30" s="360">
        <v>45817.0</v>
      </c>
      <c r="S30" s="2">
        <f t="shared" si="5"/>
        <v>257</v>
      </c>
      <c r="W30" s="6">
        <v>120.0</v>
      </c>
      <c r="X30" s="2">
        <f>X21/W30</f>
        <v>9.166666667</v>
      </c>
      <c r="AA30" s="312"/>
      <c r="AB30" s="312"/>
      <c r="AC30" s="312"/>
      <c r="AD30" s="312"/>
    </row>
    <row r="31">
      <c r="A31" s="312"/>
      <c r="B31" s="344">
        <f t="shared" si="1"/>
        <v>1714.918281</v>
      </c>
      <c r="C31" s="344">
        <v>120.0</v>
      </c>
      <c r="D31" s="365">
        <v>45807.0</v>
      </c>
      <c r="E31" s="344" t="str">
        <f t="shared" si="2"/>
        <v>Friday</v>
      </c>
      <c r="F31" s="344" t="s">
        <v>554</v>
      </c>
      <c r="G31" s="366">
        <v>0.3333333333333333</v>
      </c>
      <c r="H31" s="366">
        <v>0.3888888888888889</v>
      </c>
      <c r="I31" s="357">
        <f t="shared" si="3"/>
        <v>80</v>
      </c>
      <c r="J31" s="346">
        <f t="shared" si="4"/>
        <v>1143</v>
      </c>
      <c r="K31" s="312"/>
      <c r="L31" s="312"/>
      <c r="M31" s="312"/>
      <c r="N31" s="362"/>
      <c r="O31" s="312"/>
      <c r="P31" s="312"/>
      <c r="R31" s="360">
        <v>45818.0</v>
      </c>
      <c r="S31" s="2">
        <f t="shared" si="5"/>
        <v>1186</v>
      </c>
      <c r="W31" s="6">
        <v>90.0</v>
      </c>
      <c r="X31" s="2">
        <f>X30*W31</f>
        <v>825</v>
      </c>
      <c r="AA31" s="312"/>
      <c r="AB31" s="312"/>
      <c r="AC31" s="312"/>
      <c r="AD31" s="312"/>
    </row>
    <row r="32">
      <c r="A32" s="312"/>
      <c r="B32" s="344">
        <f t="shared" si="1"/>
        <v>1714.918281</v>
      </c>
      <c r="C32" s="344">
        <v>120.0</v>
      </c>
      <c r="D32" s="365">
        <v>45812.0</v>
      </c>
      <c r="E32" s="344" t="str">
        <f t="shared" si="2"/>
        <v>Wednesday</v>
      </c>
      <c r="F32" s="344" t="s">
        <v>554</v>
      </c>
      <c r="G32" s="367">
        <v>0.35625</v>
      </c>
      <c r="H32" s="367">
        <v>0.4166666666666667</v>
      </c>
      <c r="I32" s="357">
        <f t="shared" si="3"/>
        <v>87</v>
      </c>
      <c r="J32" s="346">
        <f t="shared" si="4"/>
        <v>1243</v>
      </c>
      <c r="K32" s="312"/>
      <c r="L32" s="312"/>
      <c r="M32" s="312"/>
      <c r="N32" s="362"/>
      <c r="O32" s="312"/>
      <c r="P32" s="312"/>
      <c r="R32" s="360">
        <v>45819.0</v>
      </c>
      <c r="S32" s="2">
        <f t="shared" si="5"/>
        <v>1229</v>
      </c>
      <c r="W32" s="6" t="s">
        <v>598</v>
      </c>
      <c r="X32" s="2">
        <f>X31*X20</f>
        <v>0</v>
      </c>
      <c r="AA32" s="312"/>
      <c r="AB32" s="312"/>
      <c r="AC32" s="312"/>
      <c r="AD32" s="312"/>
    </row>
    <row r="33">
      <c r="A33" s="312"/>
      <c r="B33" s="344">
        <f t="shared" si="1"/>
        <v>1714.918281</v>
      </c>
      <c r="C33" s="344">
        <v>120.0</v>
      </c>
      <c r="D33" s="365">
        <v>45813.0</v>
      </c>
      <c r="E33" s="344" t="str">
        <f t="shared" si="2"/>
        <v>Thursday</v>
      </c>
      <c r="F33" s="344" t="s">
        <v>554</v>
      </c>
      <c r="G33" s="367">
        <v>0.3333333333333333</v>
      </c>
      <c r="H33" s="367">
        <v>0.4166666666666667</v>
      </c>
      <c r="I33" s="357">
        <f t="shared" si="3"/>
        <v>120</v>
      </c>
      <c r="J33" s="346">
        <f t="shared" si="4"/>
        <v>1714</v>
      </c>
      <c r="K33" s="312"/>
      <c r="L33" s="312"/>
      <c r="M33" s="312"/>
      <c r="N33" s="362"/>
      <c r="O33" s="312"/>
      <c r="P33" s="312"/>
      <c r="R33" s="360">
        <v>45820.0</v>
      </c>
      <c r="S33" s="2">
        <f t="shared" si="5"/>
        <v>1471</v>
      </c>
      <c r="W33" s="6" t="s">
        <v>599</v>
      </c>
      <c r="X33" s="2">
        <f>X32/12</f>
        <v>0</v>
      </c>
      <c r="AA33" s="312"/>
      <c r="AB33" s="312"/>
      <c r="AC33" s="312"/>
      <c r="AD33" s="312"/>
    </row>
    <row r="34">
      <c r="A34" s="312"/>
      <c r="B34" s="344">
        <f t="shared" si="1"/>
        <v>1714.918281</v>
      </c>
      <c r="C34" s="344">
        <v>120.0</v>
      </c>
      <c r="D34" s="365">
        <v>45814.0</v>
      </c>
      <c r="E34" s="344" t="str">
        <f t="shared" si="2"/>
        <v>Friday</v>
      </c>
      <c r="F34" s="344" t="s">
        <v>554</v>
      </c>
      <c r="G34" s="366">
        <v>0.3333333333333333</v>
      </c>
      <c r="H34" s="366">
        <v>0.3958333333333333</v>
      </c>
      <c r="I34" s="357">
        <f t="shared" si="3"/>
        <v>90</v>
      </c>
      <c r="J34" s="346">
        <f t="shared" si="4"/>
        <v>1286</v>
      </c>
      <c r="K34" s="312"/>
      <c r="L34" s="312"/>
      <c r="M34" s="312"/>
      <c r="N34" s="362"/>
      <c r="O34" s="312"/>
      <c r="P34" s="312"/>
      <c r="R34" s="360">
        <v>45821.0</v>
      </c>
      <c r="S34" s="2">
        <f t="shared" si="5"/>
        <v>643</v>
      </c>
      <c r="AA34" s="312"/>
      <c r="AB34" s="312"/>
      <c r="AC34" s="312"/>
      <c r="AD34" s="312"/>
    </row>
    <row r="35">
      <c r="A35" s="312"/>
      <c r="B35" s="344">
        <f t="shared" si="1"/>
        <v>1714.918281</v>
      </c>
      <c r="C35" s="344">
        <v>120.0</v>
      </c>
      <c r="D35" s="365">
        <v>45817.0</v>
      </c>
      <c r="E35" s="344" t="str">
        <f t="shared" si="2"/>
        <v>Monday</v>
      </c>
      <c r="F35" s="344" t="s">
        <v>554</v>
      </c>
      <c r="G35" s="367">
        <v>0.3402777777777778</v>
      </c>
      <c r="H35" s="367">
        <v>0.3527777777777778</v>
      </c>
      <c r="I35" s="357">
        <f t="shared" si="3"/>
        <v>18</v>
      </c>
      <c r="J35" s="346">
        <f t="shared" si="4"/>
        <v>257</v>
      </c>
      <c r="K35" s="312"/>
      <c r="L35" s="312"/>
      <c r="M35" s="312"/>
      <c r="N35" s="362"/>
      <c r="O35" s="312"/>
      <c r="P35" s="312"/>
      <c r="R35" s="360">
        <v>45825.0</v>
      </c>
      <c r="S35" s="2">
        <f t="shared" si="5"/>
        <v>1600</v>
      </c>
      <c r="AA35" s="312"/>
      <c r="AB35" s="312"/>
      <c r="AC35" s="312"/>
      <c r="AD35" s="312"/>
    </row>
    <row r="36">
      <c r="A36" s="312"/>
      <c r="B36" s="344">
        <f t="shared" si="1"/>
        <v>1714.918281</v>
      </c>
      <c r="C36" s="344">
        <v>120.0</v>
      </c>
      <c r="D36" s="368">
        <v>45818.0</v>
      </c>
      <c r="E36" s="344" t="str">
        <f t="shared" si="2"/>
        <v>Tuesday</v>
      </c>
      <c r="F36" s="344" t="s">
        <v>554</v>
      </c>
      <c r="G36" s="367">
        <v>0.3368055555555556</v>
      </c>
      <c r="H36" s="367">
        <v>0.39444444444444443</v>
      </c>
      <c r="I36" s="357">
        <f t="shared" si="3"/>
        <v>83</v>
      </c>
      <c r="J36" s="346">
        <f t="shared" si="4"/>
        <v>1186</v>
      </c>
      <c r="K36" s="312"/>
      <c r="L36" s="312"/>
      <c r="M36" s="312"/>
      <c r="N36" s="362"/>
      <c r="O36" s="312"/>
      <c r="P36" s="312"/>
      <c r="R36" s="360">
        <v>45826.0</v>
      </c>
      <c r="S36" s="2">
        <f t="shared" si="5"/>
        <v>1500</v>
      </c>
      <c r="AA36" s="312"/>
      <c r="AB36" s="312"/>
      <c r="AC36" s="312"/>
      <c r="AD36" s="312"/>
    </row>
    <row r="37">
      <c r="A37" s="312"/>
      <c r="B37" s="344">
        <f t="shared" si="1"/>
        <v>1714.918281</v>
      </c>
      <c r="C37" s="344">
        <v>120.0</v>
      </c>
      <c r="D37" s="368">
        <v>45819.0</v>
      </c>
      <c r="E37" s="344" t="str">
        <f t="shared" si="2"/>
        <v>Wednesday</v>
      </c>
      <c r="F37" s="344" t="s">
        <v>554</v>
      </c>
      <c r="G37" s="367">
        <v>0.3347222222222222</v>
      </c>
      <c r="H37" s="367">
        <v>0.39444444444444443</v>
      </c>
      <c r="I37" s="357">
        <f t="shared" si="3"/>
        <v>86</v>
      </c>
      <c r="J37" s="346">
        <f t="shared" si="4"/>
        <v>1229</v>
      </c>
      <c r="K37" s="312"/>
      <c r="L37" s="312"/>
      <c r="M37" s="313"/>
      <c r="N37" s="362"/>
      <c r="O37" s="312"/>
      <c r="P37" s="312"/>
      <c r="R37" s="360">
        <v>45827.0</v>
      </c>
      <c r="S37" s="2">
        <f t="shared" si="5"/>
        <v>1457</v>
      </c>
      <c r="AA37" s="312"/>
      <c r="AB37" s="313"/>
      <c r="AC37" s="312"/>
      <c r="AD37" s="312"/>
    </row>
    <row r="38">
      <c r="A38" s="312"/>
      <c r="B38" s="344">
        <f t="shared" si="1"/>
        <v>1714.918281</v>
      </c>
      <c r="C38" s="344">
        <v>120.0</v>
      </c>
      <c r="D38" s="368">
        <v>45820.0</v>
      </c>
      <c r="E38" s="344" t="str">
        <f t="shared" si="2"/>
        <v>Thursday</v>
      </c>
      <c r="F38" s="344" t="s">
        <v>554</v>
      </c>
      <c r="G38" s="367">
        <v>0.33819444444444446</v>
      </c>
      <c r="H38" s="367">
        <v>0.4097222222222222</v>
      </c>
      <c r="I38" s="357">
        <f t="shared" si="3"/>
        <v>103</v>
      </c>
      <c r="J38" s="346">
        <f t="shared" si="4"/>
        <v>1471</v>
      </c>
      <c r="K38" s="312"/>
      <c r="L38" s="312"/>
      <c r="M38" s="312"/>
      <c r="N38" s="362"/>
      <c r="O38" s="312"/>
      <c r="P38" s="312"/>
      <c r="R38" s="360">
        <v>45463.0</v>
      </c>
      <c r="S38" s="2">
        <f t="shared" si="5"/>
        <v>2829</v>
      </c>
      <c r="AA38" s="312"/>
      <c r="AB38" s="312"/>
      <c r="AC38" s="312"/>
      <c r="AD38" s="312"/>
    </row>
    <row r="39">
      <c r="A39" s="312"/>
      <c r="B39" s="344">
        <f t="shared" si="1"/>
        <v>1714.918281</v>
      </c>
      <c r="C39" s="344">
        <v>120.0</v>
      </c>
      <c r="D39" s="368">
        <v>45821.0</v>
      </c>
      <c r="E39" s="344" t="str">
        <f t="shared" si="2"/>
        <v>Friday</v>
      </c>
      <c r="F39" s="344" t="s">
        <v>554</v>
      </c>
      <c r="G39" s="367">
        <v>0.3333333333333333</v>
      </c>
      <c r="H39" s="367">
        <v>0.3645833333333333</v>
      </c>
      <c r="I39" s="357">
        <f t="shared" si="3"/>
        <v>45</v>
      </c>
      <c r="J39" s="346">
        <f t="shared" si="4"/>
        <v>643</v>
      </c>
      <c r="K39" s="312"/>
      <c r="L39" s="312"/>
      <c r="M39" s="312"/>
      <c r="N39" s="362"/>
      <c r="O39" s="312"/>
      <c r="P39" s="312"/>
      <c r="R39" s="360">
        <v>45832.0</v>
      </c>
      <c r="S39" s="2">
        <f t="shared" si="5"/>
        <v>1257</v>
      </c>
      <c r="AA39" s="312"/>
      <c r="AB39" s="312"/>
      <c r="AC39" s="312"/>
      <c r="AD39" s="312"/>
    </row>
    <row r="40">
      <c r="A40" s="312"/>
      <c r="B40" s="344">
        <f t="shared" si="1"/>
        <v>1714.918281</v>
      </c>
      <c r="C40" s="344">
        <v>120.0</v>
      </c>
      <c r="D40" s="368">
        <v>45825.0</v>
      </c>
      <c r="E40" s="344" t="str">
        <f t="shared" si="2"/>
        <v>Tuesday</v>
      </c>
      <c r="F40" s="344" t="s">
        <v>554</v>
      </c>
      <c r="G40" s="367">
        <v>0.3333333333333333</v>
      </c>
      <c r="H40" s="367">
        <v>0.4111111111111111</v>
      </c>
      <c r="I40" s="357">
        <f t="shared" si="3"/>
        <v>112</v>
      </c>
      <c r="J40" s="346">
        <f t="shared" si="4"/>
        <v>1600</v>
      </c>
      <c r="K40" s="312"/>
      <c r="L40" s="312"/>
      <c r="M40" s="312"/>
      <c r="N40" s="362"/>
      <c r="O40" s="312"/>
      <c r="P40" s="312"/>
      <c r="R40" s="360">
        <v>45833.0</v>
      </c>
      <c r="S40" s="2">
        <f t="shared" si="5"/>
        <v>1529</v>
      </c>
      <c r="AA40" s="312"/>
      <c r="AB40" s="312"/>
      <c r="AC40" s="312"/>
      <c r="AD40" s="312"/>
    </row>
    <row r="41">
      <c r="A41" s="312"/>
      <c r="B41" s="344">
        <f t="shared" si="1"/>
        <v>1714.918281</v>
      </c>
      <c r="C41" s="344">
        <v>120.0</v>
      </c>
      <c r="D41" s="368">
        <v>45826.0</v>
      </c>
      <c r="E41" s="344" t="str">
        <f t="shared" si="2"/>
        <v>Wednesday</v>
      </c>
      <c r="F41" s="344" t="s">
        <v>554</v>
      </c>
      <c r="G41" s="367">
        <v>0.33541666666666664</v>
      </c>
      <c r="H41" s="367">
        <v>0.4083333333333333</v>
      </c>
      <c r="I41" s="357">
        <f t="shared" si="3"/>
        <v>105</v>
      </c>
      <c r="J41" s="346">
        <f t="shared" si="4"/>
        <v>1500</v>
      </c>
      <c r="K41" s="312"/>
      <c r="L41" s="312"/>
      <c r="M41" s="312"/>
      <c r="N41" s="362"/>
      <c r="O41" s="312"/>
      <c r="P41" s="312"/>
      <c r="R41" s="360">
        <v>45834.0</v>
      </c>
      <c r="S41" s="2">
        <f t="shared" si="5"/>
        <v>943</v>
      </c>
      <c r="AA41" s="312"/>
      <c r="AB41" s="312"/>
      <c r="AC41" s="312"/>
      <c r="AD41" s="312"/>
    </row>
    <row r="42">
      <c r="A42" s="312"/>
      <c r="B42" s="344">
        <f t="shared" si="1"/>
        <v>1714.918281</v>
      </c>
      <c r="C42" s="344">
        <v>120.0</v>
      </c>
      <c r="D42" s="368">
        <v>45827.0</v>
      </c>
      <c r="E42" s="344" t="str">
        <f t="shared" si="2"/>
        <v>Thursday</v>
      </c>
      <c r="F42" s="344" t="s">
        <v>554</v>
      </c>
      <c r="G42" s="367">
        <v>0.34444444444444444</v>
      </c>
      <c r="H42" s="367">
        <v>0.4152777777777778</v>
      </c>
      <c r="I42" s="357">
        <f t="shared" si="3"/>
        <v>102</v>
      </c>
      <c r="J42" s="346">
        <f t="shared" si="4"/>
        <v>1457</v>
      </c>
      <c r="K42" s="312"/>
      <c r="L42" s="312"/>
      <c r="M42" s="312"/>
      <c r="N42" s="362"/>
      <c r="O42" s="312"/>
      <c r="P42" s="312"/>
      <c r="R42" s="360">
        <v>45835.0</v>
      </c>
      <c r="S42" s="2">
        <f t="shared" si="5"/>
        <v>1200</v>
      </c>
      <c r="AA42" s="312"/>
      <c r="AB42" s="312"/>
      <c r="AC42" s="312"/>
      <c r="AD42" s="312"/>
    </row>
    <row r="43">
      <c r="A43" s="312"/>
      <c r="B43" s="344">
        <f t="shared" si="1"/>
        <v>1714.918281</v>
      </c>
      <c r="C43" s="344">
        <v>120.0</v>
      </c>
      <c r="D43" s="368">
        <v>45463.0</v>
      </c>
      <c r="E43" s="344" t="str">
        <f t="shared" si="2"/>
        <v>Thursday</v>
      </c>
      <c r="F43" s="344" t="s">
        <v>554</v>
      </c>
      <c r="G43" s="367">
        <v>0.3402777777777778</v>
      </c>
      <c r="H43" s="367">
        <v>0.41458333333333336</v>
      </c>
      <c r="I43" s="357">
        <f t="shared" si="3"/>
        <v>107</v>
      </c>
      <c r="J43" s="346">
        <f t="shared" si="4"/>
        <v>1529</v>
      </c>
      <c r="K43" s="312"/>
      <c r="L43" s="312"/>
      <c r="M43" s="312"/>
      <c r="N43" s="362"/>
      <c r="O43" s="312"/>
      <c r="P43" s="312"/>
      <c r="R43" s="360">
        <v>45840.0</v>
      </c>
      <c r="S43" s="2">
        <f t="shared" si="5"/>
        <v>1714</v>
      </c>
      <c r="AA43" s="312"/>
      <c r="AB43" s="312"/>
      <c r="AC43" s="312"/>
      <c r="AD43" s="312"/>
    </row>
    <row r="44">
      <c r="A44" s="312"/>
      <c r="B44" s="344">
        <f t="shared" si="1"/>
        <v>1714.918281</v>
      </c>
      <c r="C44" s="344">
        <v>120.0</v>
      </c>
      <c r="D44" s="368">
        <v>45832.0</v>
      </c>
      <c r="E44" s="344" t="str">
        <f t="shared" si="2"/>
        <v>Tuesday</v>
      </c>
      <c r="F44" s="344" t="s">
        <v>554</v>
      </c>
      <c r="G44" s="367">
        <v>0.33541666666666664</v>
      </c>
      <c r="H44" s="367">
        <v>0.39652777777777776</v>
      </c>
      <c r="I44" s="357">
        <f t="shared" si="3"/>
        <v>88</v>
      </c>
      <c r="J44" s="346">
        <f t="shared" si="4"/>
        <v>1257</v>
      </c>
      <c r="K44" s="312"/>
      <c r="L44" s="312"/>
      <c r="M44" s="312"/>
      <c r="N44" s="362"/>
      <c r="O44" s="312"/>
      <c r="P44" s="312"/>
      <c r="R44" s="360">
        <v>45842.0</v>
      </c>
      <c r="S44" s="2">
        <f t="shared" si="5"/>
        <v>1572</v>
      </c>
      <c r="AA44" s="312"/>
      <c r="AB44" s="312"/>
      <c r="AC44" s="312"/>
      <c r="AD44" s="312"/>
    </row>
    <row r="45">
      <c r="A45" s="312"/>
      <c r="B45" s="344">
        <f t="shared" si="1"/>
        <v>1714.918281</v>
      </c>
      <c r="C45" s="344">
        <v>120.0</v>
      </c>
      <c r="D45" s="368">
        <v>45833.0</v>
      </c>
      <c r="E45" s="344" t="str">
        <f t="shared" si="2"/>
        <v>Wednesday</v>
      </c>
      <c r="F45" s="344" t="s">
        <v>554</v>
      </c>
      <c r="G45" s="367">
        <v>0.3416666666666667</v>
      </c>
      <c r="H45" s="367">
        <v>0.41597222222222224</v>
      </c>
      <c r="I45" s="357">
        <f t="shared" si="3"/>
        <v>107</v>
      </c>
      <c r="J45" s="346">
        <f t="shared" si="4"/>
        <v>1529</v>
      </c>
      <c r="K45" s="312"/>
      <c r="L45" s="312"/>
      <c r="M45" s="312"/>
      <c r="N45" s="362"/>
      <c r="O45" s="312"/>
      <c r="P45" s="312"/>
      <c r="R45" s="360">
        <v>45845.0</v>
      </c>
      <c r="S45" s="2">
        <f t="shared" si="5"/>
        <v>1572</v>
      </c>
      <c r="AA45" s="312"/>
      <c r="AB45" s="312"/>
      <c r="AC45" s="312"/>
      <c r="AD45" s="312"/>
    </row>
    <row r="46">
      <c r="A46" s="312"/>
      <c r="B46" s="344">
        <f t="shared" si="1"/>
        <v>1714.918281</v>
      </c>
      <c r="C46" s="344">
        <v>120.0</v>
      </c>
      <c r="D46" s="368">
        <v>45834.0</v>
      </c>
      <c r="E46" s="344" t="str">
        <f t="shared" si="2"/>
        <v>Thursday</v>
      </c>
      <c r="F46" s="344" t="s">
        <v>554</v>
      </c>
      <c r="G46" s="367">
        <v>0.3548611111111111</v>
      </c>
      <c r="H46" s="367">
        <v>0.40069444444444446</v>
      </c>
      <c r="I46" s="357">
        <f t="shared" si="3"/>
        <v>66</v>
      </c>
      <c r="J46" s="346">
        <f t="shared" si="4"/>
        <v>943</v>
      </c>
      <c r="K46" s="312"/>
      <c r="L46" s="312"/>
      <c r="M46" s="312"/>
      <c r="N46" s="362"/>
      <c r="O46" s="312"/>
      <c r="P46" s="312"/>
      <c r="R46" s="360">
        <v>45846.0</v>
      </c>
      <c r="S46" s="2">
        <f t="shared" si="5"/>
        <v>1071</v>
      </c>
      <c r="AA46" s="312"/>
      <c r="AB46" s="312"/>
      <c r="AC46" s="312"/>
      <c r="AD46" s="312"/>
    </row>
    <row r="47">
      <c r="A47" s="312"/>
      <c r="B47" s="344">
        <f t="shared" si="1"/>
        <v>1714.918281</v>
      </c>
      <c r="C47" s="344">
        <v>120.0</v>
      </c>
      <c r="D47" s="368">
        <v>45835.0</v>
      </c>
      <c r="E47" s="344" t="str">
        <f t="shared" si="2"/>
        <v>Friday</v>
      </c>
      <c r="F47" s="344" t="s">
        <v>554</v>
      </c>
      <c r="G47" s="367">
        <v>0.3333333333333333</v>
      </c>
      <c r="H47" s="367">
        <v>0.39166666666666666</v>
      </c>
      <c r="I47" s="357">
        <f t="shared" si="3"/>
        <v>84</v>
      </c>
      <c r="J47" s="346">
        <f t="shared" si="4"/>
        <v>1200</v>
      </c>
      <c r="K47" s="312"/>
      <c r="L47" s="312"/>
      <c r="M47" s="312"/>
      <c r="N47" s="362"/>
      <c r="O47" s="312"/>
      <c r="P47" s="312"/>
      <c r="R47" s="360">
        <v>45847.0</v>
      </c>
      <c r="S47" s="2">
        <f t="shared" si="5"/>
        <v>1529</v>
      </c>
      <c r="AA47" s="312"/>
      <c r="AB47" s="312"/>
      <c r="AC47" s="312"/>
      <c r="AD47" s="312"/>
    </row>
    <row r="48">
      <c r="A48" s="312"/>
      <c r="B48" s="344">
        <f t="shared" si="1"/>
        <v>1714.918281</v>
      </c>
      <c r="C48" s="344">
        <v>120.0</v>
      </c>
      <c r="D48" s="368">
        <v>45840.0</v>
      </c>
      <c r="E48" s="344" t="str">
        <f t="shared" si="2"/>
        <v>Wednesday</v>
      </c>
      <c r="F48" s="344" t="s">
        <v>554</v>
      </c>
      <c r="G48" s="367">
        <v>0.3333333333333333</v>
      </c>
      <c r="H48" s="367">
        <v>0.4166666666666667</v>
      </c>
      <c r="I48" s="357">
        <f t="shared" si="3"/>
        <v>120</v>
      </c>
      <c r="J48" s="346">
        <f t="shared" si="4"/>
        <v>1714</v>
      </c>
      <c r="K48" s="312"/>
      <c r="L48" s="312"/>
      <c r="M48" s="312"/>
      <c r="N48" s="362"/>
      <c r="O48" s="312"/>
      <c r="P48" s="312"/>
      <c r="R48" s="360">
        <v>45848.0</v>
      </c>
      <c r="S48" s="2">
        <f t="shared" si="5"/>
        <v>1643</v>
      </c>
      <c r="AA48" s="312"/>
      <c r="AB48" s="312"/>
      <c r="AC48" s="312"/>
      <c r="AD48" s="312"/>
    </row>
    <row r="49">
      <c r="A49" s="312"/>
      <c r="B49" s="344">
        <f t="shared" si="1"/>
        <v>1714.918281</v>
      </c>
      <c r="C49" s="344">
        <v>120.0</v>
      </c>
      <c r="D49" s="368">
        <v>45842.0</v>
      </c>
      <c r="E49" s="344" t="str">
        <f t="shared" si="2"/>
        <v>Friday</v>
      </c>
      <c r="F49" s="344" t="s">
        <v>554</v>
      </c>
      <c r="G49" s="367">
        <v>0.3402777777777778</v>
      </c>
      <c r="H49" s="367">
        <v>0.4166666666666667</v>
      </c>
      <c r="I49" s="357">
        <f t="shared" si="3"/>
        <v>110</v>
      </c>
      <c r="J49" s="346">
        <f t="shared" si="4"/>
        <v>1572</v>
      </c>
      <c r="K49" s="312"/>
      <c r="L49" s="312"/>
      <c r="M49" s="312"/>
      <c r="N49" s="362"/>
      <c r="O49" s="312"/>
      <c r="P49" s="312"/>
      <c r="R49" s="360">
        <v>45852.0</v>
      </c>
      <c r="S49" s="2">
        <f t="shared" si="5"/>
        <v>1514</v>
      </c>
      <c r="AA49" s="312"/>
      <c r="AB49" s="312"/>
      <c r="AC49" s="312"/>
      <c r="AD49" s="312"/>
    </row>
    <row r="50">
      <c r="A50" s="312"/>
      <c r="B50" s="344">
        <f t="shared" si="1"/>
        <v>1714.918281</v>
      </c>
      <c r="C50" s="344">
        <v>120.0</v>
      </c>
      <c r="D50" s="368">
        <v>45845.0</v>
      </c>
      <c r="E50" s="344" t="str">
        <f t="shared" si="2"/>
        <v>Monday</v>
      </c>
      <c r="F50" s="344" t="s">
        <v>554</v>
      </c>
      <c r="G50" s="367">
        <v>0.3368055555555556</v>
      </c>
      <c r="H50" s="367">
        <v>0.4131944444444444</v>
      </c>
      <c r="I50" s="357">
        <f t="shared" si="3"/>
        <v>110</v>
      </c>
      <c r="J50" s="346">
        <f t="shared" si="4"/>
        <v>1572</v>
      </c>
      <c r="K50" s="312"/>
      <c r="L50" s="312"/>
      <c r="M50" s="312"/>
      <c r="N50" s="362"/>
      <c r="O50" s="312"/>
      <c r="P50" s="312"/>
      <c r="R50" s="360">
        <v>45853.0</v>
      </c>
      <c r="S50" s="2">
        <f t="shared" si="5"/>
        <v>1429</v>
      </c>
      <c r="AA50" s="312"/>
      <c r="AB50" s="312"/>
      <c r="AC50" s="312"/>
      <c r="AD50" s="312"/>
    </row>
    <row r="51">
      <c r="A51" s="312"/>
      <c r="B51" s="344">
        <f t="shared" si="1"/>
        <v>1714.918281</v>
      </c>
      <c r="C51" s="344">
        <v>120.0</v>
      </c>
      <c r="D51" s="368">
        <v>45846.0</v>
      </c>
      <c r="E51" s="344" t="str">
        <f t="shared" si="2"/>
        <v>Tuesday</v>
      </c>
      <c r="F51" s="344" t="s">
        <v>554</v>
      </c>
      <c r="G51" s="367">
        <v>0.3625</v>
      </c>
      <c r="H51" s="367">
        <v>0.41458333333333336</v>
      </c>
      <c r="I51" s="357">
        <f t="shared" si="3"/>
        <v>75</v>
      </c>
      <c r="J51" s="346">
        <f t="shared" si="4"/>
        <v>1071</v>
      </c>
      <c r="K51" s="312"/>
      <c r="L51" s="312"/>
      <c r="M51" s="312"/>
      <c r="N51" s="362"/>
      <c r="O51" s="312"/>
      <c r="P51" s="312"/>
      <c r="R51" s="360">
        <v>45854.0</v>
      </c>
      <c r="S51" s="2">
        <f t="shared" si="5"/>
        <v>1714</v>
      </c>
      <c r="AA51" s="312"/>
      <c r="AB51" s="312"/>
      <c r="AC51" s="312"/>
      <c r="AD51" s="312"/>
    </row>
    <row r="52">
      <c r="A52" s="312"/>
      <c r="B52" s="344">
        <f t="shared" si="1"/>
        <v>1714.918281</v>
      </c>
      <c r="C52" s="344">
        <v>120.0</v>
      </c>
      <c r="D52" s="368">
        <v>45847.0</v>
      </c>
      <c r="E52" s="344" t="str">
        <f t="shared" si="2"/>
        <v>Wednesday</v>
      </c>
      <c r="F52" s="344" t="s">
        <v>554</v>
      </c>
      <c r="G52" s="367">
        <v>0.3368055555555556</v>
      </c>
      <c r="H52" s="367">
        <v>0.4111111111111111</v>
      </c>
      <c r="I52" s="357">
        <f t="shared" si="3"/>
        <v>107</v>
      </c>
      <c r="J52" s="346">
        <f t="shared" si="4"/>
        <v>1529</v>
      </c>
      <c r="K52" s="312"/>
      <c r="L52" s="312"/>
      <c r="M52" s="312"/>
      <c r="N52" s="362"/>
      <c r="O52" s="312"/>
      <c r="P52" s="312"/>
      <c r="R52" s="360">
        <v>45859.0</v>
      </c>
      <c r="S52" s="2">
        <f t="shared" si="5"/>
        <v>857</v>
      </c>
      <c r="AA52" s="312"/>
      <c r="AB52" s="312"/>
      <c r="AC52" s="312"/>
      <c r="AD52" s="312"/>
    </row>
    <row r="53">
      <c r="A53" s="312"/>
      <c r="B53" s="344">
        <f t="shared" si="1"/>
        <v>1714.918281</v>
      </c>
      <c r="C53" s="344">
        <v>120.0</v>
      </c>
      <c r="D53" s="368">
        <v>45848.0</v>
      </c>
      <c r="E53" s="344" t="str">
        <f t="shared" si="2"/>
        <v>Thursday</v>
      </c>
      <c r="F53" s="344" t="s">
        <v>554</v>
      </c>
      <c r="G53" s="367">
        <v>0.3333333333333333</v>
      </c>
      <c r="H53" s="367">
        <v>0.4131944444444444</v>
      </c>
      <c r="I53" s="357">
        <f t="shared" si="3"/>
        <v>115</v>
      </c>
      <c r="J53" s="346">
        <f t="shared" si="4"/>
        <v>1643</v>
      </c>
      <c r="K53" s="312"/>
      <c r="L53" s="312"/>
      <c r="M53" s="312"/>
      <c r="N53" s="362"/>
      <c r="O53" s="312"/>
      <c r="P53" s="312"/>
      <c r="R53" s="360">
        <v>45860.0</v>
      </c>
      <c r="S53" s="2">
        <f t="shared" si="5"/>
        <v>1600</v>
      </c>
      <c r="AA53" s="312"/>
      <c r="AB53" s="312"/>
      <c r="AC53" s="312"/>
      <c r="AD53" s="312"/>
    </row>
    <row r="54">
      <c r="A54" s="312"/>
      <c r="B54" s="344">
        <f t="shared" si="1"/>
        <v>1714.918281</v>
      </c>
      <c r="C54" s="344">
        <v>120.0</v>
      </c>
      <c r="D54" s="368">
        <v>45852.0</v>
      </c>
      <c r="E54" s="344" t="str">
        <f t="shared" si="2"/>
        <v>Monday</v>
      </c>
      <c r="F54" s="344" t="s">
        <v>554</v>
      </c>
      <c r="G54" s="367">
        <v>0.3402777777777778</v>
      </c>
      <c r="H54" s="367">
        <v>0.41388888888888886</v>
      </c>
      <c r="I54" s="357">
        <f t="shared" si="3"/>
        <v>106</v>
      </c>
      <c r="J54" s="346">
        <f t="shared" si="4"/>
        <v>1514</v>
      </c>
      <c r="K54" s="312"/>
      <c r="L54" s="312"/>
      <c r="M54" s="312"/>
      <c r="N54" s="362"/>
      <c r="O54" s="312"/>
      <c r="P54" s="312"/>
      <c r="R54" s="360">
        <v>45861.0</v>
      </c>
      <c r="S54" s="2">
        <f t="shared" si="5"/>
        <v>1714</v>
      </c>
      <c r="AA54" s="312"/>
      <c r="AB54" s="312"/>
      <c r="AC54" s="312"/>
      <c r="AD54" s="312"/>
    </row>
    <row r="55">
      <c r="A55" s="312"/>
      <c r="B55" s="344">
        <f t="shared" si="1"/>
        <v>1714.918281</v>
      </c>
      <c r="C55" s="344">
        <v>120.0</v>
      </c>
      <c r="D55" s="368">
        <v>45853.0</v>
      </c>
      <c r="E55" s="344" t="str">
        <f t="shared" si="2"/>
        <v>Tuesday</v>
      </c>
      <c r="F55" s="344" t="s">
        <v>554</v>
      </c>
      <c r="G55" s="367">
        <v>0.34375</v>
      </c>
      <c r="H55" s="367">
        <v>0.4131944444444444</v>
      </c>
      <c r="I55" s="357">
        <f t="shared" si="3"/>
        <v>100</v>
      </c>
      <c r="J55" s="346">
        <f t="shared" si="4"/>
        <v>1429</v>
      </c>
      <c r="K55" s="312"/>
      <c r="L55" s="312"/>
      <c r="M55" s="312"/>
      <c r="N55" s="362"/>
      <c r="O55" s="312"/>
      <c r="P55" s="312"/>
      <c r="R55" s="360">
        <v>45862.0</v>
      </c>
      <c r="S55" s="2">
        <f t="shared" si="5"/>
        <v>857</v>
      </c>
      <c r="AA55" s="312"/>
      <c r="AB55" s="312"/>
      <c r="AC55" s="312"/>
      <c r="AD55" s="312"/>
    </row>
    <row r="56">
      <c r="A56" s="312"/>
      <c r="B56" s="344">
        <f t="shared" si="1"/>
        <v>1714.918281</v>
      </c>
      <c r="C56" s="344">
        <v>120.0</v>
      </c>
      <c r="D56" s="368">
        <v>45854.0</v>
      </c>
      <c r="E56" s="344" t="str">
        <f t="shared" si="2"/>
        <v>Wednesday</v>
      </c>
      <c r="F56" s="344" t="s">
        <v>554</v>
      </c>
      <c r="G56" s="367">
        <v>0.3333333333333333</v>
      </c>
      <c r="H56" s="367">
        <v>0.4166666666666667</v>
      </c>
      <c r="I56" s="357">
        <f t="shared" si="3"/>
        <v>120</v>
      </c>
      <c r="J56" s="346">
        <f t="shared" si="4"/>
        <v>1714</v>
      </c>
      <c r="K56" s="312"/>
      <c r="L56" s="312"/>
      <c r="M56" s="312"/>
      <c r="N56" s="362"/>
      <c r="O56" s="312"/>
      <c r="P56" s="312"/>
      <c r="R56" s="360">
        <v>45863.0</v>
      </c>
      <c r="S56" s="2">
        <f t="shared" si="5"/>
        <v>1357</v>
      </c>
      <c r="AA56" s="312"/>
      <c r="AB56" s="312"/>
      <c r="AC56" s="312"/>
      <c r="AD56" s="312"/>
    </row>
    <row r="57">
      <c r="A57" s="312"/>
      <c r="B57" s="344">
        <f t="shared" si="1"/>
        <v>1714.918281</v>
      </c>
      <c r="C57" s="344">
        <v>120.0</v>
      </c>
      <c r="D57" s="368">
        <v>45859.0</v>
      </c>
      <c r="E57" s="344" t="str">
        <f t="shared" si="2"/>
        <v>Monday</v>
      </c>
      <c r="F57" s="344" t="s">
        <v>554</v>
      </c>
      <c r="G57" s="367">
        <v>0.375</v>
      </c>
      <c r="H57" s="367">
        <v>0.4166666666666667</v>
      </c>
      <c r="I57" s="357">
        <f t="shared" si="3"/>
        <v>60</v>
      </c>
      <c r="J57" s="346">
        <f t="shared" si="4"/>
        <v>857</v>
      </c>
      <c r="K57" s="312"/>
      <c r="L57" s="312"/>
      <c r="M57" s="312"/>
      <c r="N57" s="362"/>
      <c r="O57" s="312"/>
      <c r="P57" s="312"/>
      <c r="R57" s="360">
        <v>45874.0</v>
      </c>
      <c r="S57" s="2">
        <f t="shared" si="5"/>
        <v>1714</v>
      </c>
      <c r="AA57" s="312"/>
      <c r="AB57" s="312"/>
      <c r="AC57" s="312"/>
      <c r="AD57" s="312"/>
    </row>
    <row r="58">
      <c r="A58" s="312"/>
      <c r="B58" s="344">
        <f t="shared" si="1"/>
        <v>1714.918281</v>
      </c>
      <c r="C58" s="344">
        <v>120.0</v>
      </c>
      <c r="D58" s="368">
        <v>45860.0</v>
      </c>
      <c r="E58" s="344" t="str">
        <f t="shared" si="2"/>
        <v>Tuesday</v>
      </c>
      <c r="F58" s="344" t="s">
        <v>554</v>
      </c>
      <c r="G58" s="367">
        <v>0.3333333333333333</v>
      </c>
      <c r="H58" s="367">
        <v>0.4111111111111111</v>
      </c>
      <c r="I58" s="357">
        <f t="shared" si="3"/>
        <v>112</v>
      </c>
      <c r="J58" s="346">
        <f t="shared" si="4"/>
        <v>1600</v>
      </c>
      <c r="K58" s="312"/>
      <c r="L58" s="312"/>
      <c r="M58" s="312"/>
      <c r="N58" s="362"/>
      <c r="O58" s="312"/>
      <c r="P58" s="312"/>
      <c r="R58" s="360">
        <v>45875.0</v>
      </c>
      <c r="S58" s="2">
        <f t="shared" si="5"/>
        <v>428</v>
      </c>
      <c r="AA58" s="312"/>
      <c r="AB58" s="312"/>
      <c r="AC58" s="312"/>
      <c r="AD58" s="312"/>
    </row>
    <row r="59">
      <c r="A59" s="312"/>
      <c r="B59" s="344">
        <f t="shared" si="1"/>
        <v>1714.918281</v>
      </c>
      <c r="C59" s="344">
        <v>120.0</v>
      </c>
      <c r="D59" s="368">
        <v>45861.0</v>
      </c>
      <c r="E59" s="344" t="str">
        <f t="shared" si="2"/>
        <v>Wednesday</v>
      </c>
      <c r="F59" s="344" t="s">
        <v>554</v>
      </c>
      <c r="G59" s="367">
        <v>0.3333333333333333</v>
      </c>
      <c r="H59" s="367">
        <v>0.4166666666666667</v>
      </c>
      <c r="I59" s="357">
        <f t="shared" si="3"/>
        <v>120</v>
      </c>
      <c r="J59" s="346">
        <f t="shared" si="4"/>
        <v>1714</v>
      </c>
      <c r="K59" s="312"/>
      <c r="L59" s="312"/>
      <c r="M59" s="312"/>
      <c r="N59" s="362"/>
      <c r="O59" s="312"/>
      <c r="P59" s="312"/>
      <c r="R59" s="360">
        <v>45876.0</v>
      </c>
      <c r="S59" s="2">
        <f t="shared" si="5"/>
        <v>685</v>
      </c>
      <c r="AA59" s="312"/>
      <c r="AB59" s="312"/>
      <c r="AC59" s="312"/>
      <c r="AD59" s="312"/>
    </row>
    <row r="60">
      <c r="A60" s="312"/>
      <c r="B60" s="344">
        <f t="shared" si="1"/>
        <v>1714.918281</v>
      </c>
      <c r="C60" s="344">
        <v>120.0</v>
      </c>
      <c r="D60" s="368">
        <v>45862.0</v>
      </c>
      <c r="E60" s="344" t="str">
        <f t="shared" si="2"/>
        <v>Thursday</v>
      </c>
      <c r="F60" s="344" t="s">
        <v>554</v>
      </c>
      <c r="G60" s="367">
        <v>0.375</v>
      </c>
      <c r="H60" s="367">
        <v>0.4166666666666667</v>
      </c>
      <c r="I60" s="357">
        <f t="shared" si="3"/>
        <v>60</v>
      </c>
      <c r="J60" s="346">
        <f t="shared" si="4"/>
        <v>857</v>
      </c>
      <c r="K60" s="312"/>
      <c r="L60" s="312"/>
      <c r="M60" s="312"/>
      <c r="N60" s="362"/>
      <c r="O60" s="312"/>
      <c r="P60" s="312"/>
      <c r="R60" s="360">
        <v>45880.0</v>
      </c>
      <c r="S60" s="2">
        <f t="shared" si="5"/>
        <v>1500</v>
      </c>
      <c r="AA60" s="312"/>
      <c r="AB60" s="312"/>
      <c r="AC60" s="312"/>
      <c r="AD60" s="312"/>
    </row>
    <row r="61">
      <c r="A61" s="312"/>
      <c r="B61" s="344">
        <f t="shared" si="1"/>
        <v>1714.918281</v>
      </c>
      <c r="C61" s="344">
        <v>120.0</v>
      </c>
      <c r="D61" s="368">
        <v>45863.0</v>
      </c>
      <c r="E61" s="344" t="str">
        <f t="shared" si="2"/>
        <v>Friday</v>
      </c>
      <c r="F61" s="344" t="s">
        <v>554</v>
      </c>
      <c r="G61" s="367">
        <v>0.3263888888888889</v>
      </c>
      <c r="H61" s="367">
        <v>0.3923611111111111</v>
      </c>
      <c r="I61" s="357">
        <f t="shared" si="3"/>
        <v>95</v>
      </c>
      <c r="J61" s="346">
        <f t="shared" si="4"/>
        <v>1357</v>
      </c>
      <c r="K61" s="312"/>
      <c r="L61" s="312"/>
      <c r="M61" s="312"/>
      <c r="N61" s="362"/>
      <c r="O61" s="312"/>
      <c r="P61" s="312"/>
      <c r="R61" s="360">
        <v>45881.0</v>
      </c>
      <c r="S61" s="2">
        <f t="shared" si="5"/>
        <v>857</v>
      </c>
      <c r="AA61" s="312"/>
      <c r="AB61" s="312"/>
      <c r="AC61" s="312"/>
      <c r="AD61" s="312"/>
    </row>
    <row r="62">
      <c r="A62" s="312"/>
      <c r="B62" s="344">
        <f t="shared" si="1"/>
        <v>1714.918281</v>
      </c>
      <c r="C62" s="344">
        <v>120.0</v>
      </c>
      <c r="D62" s="368">
        <v>45874.0</v>
      </c>
      <c r="E62" s="344" t="str">
        <f t="shared" si="2"/>
        <v>Tuesday</v>
      </c>
      <c r="F62" s="344" t="s">
        <v>554</v>
      </c>
      <c r="G62" s="367">
        <v>0.3333333333333333</v>
      </c>
      <c r="H62" s="367">
        <v>0.4166666666666667</v>
      </c>
      <c r="I62" s="357">
        <f t="shared" si="3"/>
        <v>120</v>
      </c>
      <c r="J62" s="346">
        <f t="shared" si="4"/>
        <v>1714</v>
      </c>
      <c r="K62" s="312"/>
      <c r="L62" s="312"/>
      <c r="M62" s="312"/>
      <c r="N62" s="362"/>
      <c r="O62" s="312"/>
      <c r="P62" s="312"/>
      <c r="R62" s="360">
        <v>45882.0</v>
      </c>
      <c r="S62" s="2">
        <f t="shared" si="5"/>
        <v>1429</v>
      </c>
      <c r="AA62" s="312"/>
      <c r="AB62" s="312"/>
      <c r="AC62" s="312"/>
      <c r="AD62" s="312"/>
    </row>
    <row r="63">
      <c r="A63" s="312"/>
      <c r="B63" s="344">
        <f t="shared" si="1"/>
        <v>1714.918281</v>
      </c>
      <c r="C63" s="344">
        <v>120.0</v>
      </c>
      <c r="D63" s="368">
        <v>45875.0</v>
      </c>
      <c r="E63" s="344" t="str">
        <f t="shared" si="2"/>
        <v>Wednesday</v>
      </c>
      <c r="F63" s="344" t="s">
        <v>554</v>
      </c>
      <c r="G63" s="367">
        <v>0.3333333333333333</v>
      </c>
      <c r="H63" s="367">
        <v>0.3541666666666667</v>
      </c>
      <c r="I63" s="357">
        <f t="shared" si="3"/>
        <v>30</v>
      </c>
      <c r="J63" s="346">
        <f t="shared" si="4"/>
        <v>428</v>
      </c>
      <c r="K63" s="312"/>
      <c r="L63" s="312"/>
      <c r="M63" s="312"/>
      <c r="N63" s="362"/>
      <c r="O63" s="312"/>
      <c r="P63" s="312"/>
      <c r="R63" s="360">
        <v>45883.0</v>
      </c>
      <c r="S63" s="2">
        <f t="shared" si="5"/>
        <v>1572</v>
      </c>
      <c r="AA63" s="312"/>
      <c r="AB63" s="312"/>
      <c r="AC63" s="312"/>
      <c r="AD63" s="312"/>
    </row>
    <row r="64">
      <c r="A64" s="312"/>
      <c r="B64" s="344">
        <f t="shared" si="1"/>
        <v>1714.918281</v>
      </c>
      <c r="C64" s="344">
        <v>120.0</v>
      </c>
      <c r="D64" s="368">
        <v>45876.0</v>
      </c>
      <c r="E64" s="344" t="str">
        <f t="shared" si="2"/>
        <v>Thursday</v>
      </c>
      <c r="F64" s="344" t="s">
        <v>554</v>
      </c>
      <c r="G64" s="367">
        <v>0.3402777777777778</v>
      </c>
      <c r="H64" s="367">
        <v>0.3736111111111111</v>
      </c>
      <c r="I64" s="357">
        <f t="shared" si="3"/>
        <v>48</v>
      </c>
      <c r="J64" s="346">
        <f t="shared" si="4"/>
        <v>685</v>
      </c>
      <c r="K64" s="312"/>
      <c r="L64" s="312"/>
      <c r="M64" s="312"/>
      <c r="N64" s="362"/>
      <c r="O64" s="312"/>
      <c r="P64" s="312"/>
      <c r="R64" s="360">
        <v>45884.0</v>
      </c>
      <c r="S64" s="2">
        <f t="shared" si="5"/>
        <v>857</v>
      </c>
      <c r="AA64" s="312"/>
      <c r="AB64" s="312"/>
      <c r="AC64" s="312"/>
      <c r="AD64" s="312"/>
    </row>
    <row r="65">
      <c r="A65" s="312"/>
      <c r="B65" s="344">
        <f t="shared" si="1"/>
        <v>1714.918281</v>
      </c>
      <c r="C65" s="344">
        <v>120.0</v>
      </c>
      <c r="D65" s="368">
        <v>45880.0</v>
      </c>
      <c r="E65" s="344" t="str">
        <f t="shared" si="2"/>
        <v>Monday</v>
      </c>
      <c r="F65" s="344" t="s">
        <v>554</v>
      </c>
      <c r="G65" s="367">
        <v>0.2986111111111111</v>
      </c>
      <c r="H65" s="367">
        <v>0.3715277777777778</v>
      </c>
      <c r="I65" s="357">
        <f t="shared" si="3"/>
        <v>105</v>
      </c>
      <c r="J65" s="346">
        <f t="shared" si="4"/>
        <v>1500</v>
      </c>
      <c r="K65" s="312"/>
      <c r="L65" s="312"/>
      <c r="M65" s="312"/>
      <c r="N65" s="362"/>
      <c r="O65" s="312"/>
      <c r="P65" s="312"/>
      <c r="R65" s="360">
        <v>45887.0</v>
      </c>
      <c r="S65" s="2">
        <f t="shared" si="5"/>
        <v>428</v>
      </c>
      <c r="AA65" s="312"/>
      <c r="AB65" s="312"/>
      <c r="AC65" s="312"/>
      <c r="AD65" s="312"/>
    </row>
    <row r="66">
      <c r="A66" s="312"/>
      <c r="B66" s="344">
        <f t="shared" si="1"/>
        <v>1714.918281</v>
      </c>
      <c r="C66" s="344">
        <v>120.0</v>
      </c>
      <c r="D66" s="368">
        <v>45881.0</v>
      </c>
      <c r="E66" s="344" t="str">
        <f t="shared" si="2"/>
        <v>Tuesday</v>
      </c>
      <c r="F66" s="344" t="s">
        <v>554</v>
      </c>
      <c r="G66" s="367">
        <v>0.375</v>
      </c>
      <c r="H66" s="367">
        <v>0.4166666666666667</v>
      </c>
      <c r="I66" s="357">
        <f t="shared" si="3"/>
        <v>60</v>
      </c>
      <c r="J66" s="346">
        <f t="shared" si="4"/>
        <v>857</v>
      </c>
      <c r="K66" s="312"/>
      <c r="L66" s="312"/>
      <c r="M66" s="312"/>
      <c r="N66" s="362"/>
      <c r="O66" s="312"/>
      <c r="P66" s="312"/>
      <c r="R66" s="360">
        <v>45888.0</v>
      </c>
      <c r="S66" s="2">
        <f t="shared" si="5"/>
        <v>1814</v>
      </c>
      <c r="AA66" s="312"/>
      <c r="AB66" s="312"/>
      <c r="AC66" s="312"/>
      <c r="AD66" s="312"/>
    </row>
    <row r="67">
      <c r="A67" s="312"/>
      <c r="B67" s="344">
        <f t="shared" si="1"/>
        <v>1714.918281</v>
      </c>
      <c r="C67" s="344">
        <v>120.0</v>
      </c>
      <c r="D67" s="368">
        <v>45882.0</v>
      </c>
      <c r="E67" s="344" t="str">
        <f t="shared" si="2"/>
        <v>Wednesday</v>
      </c>
      <c r="F67" s="344" t="s">
        <v>554</v>
      </c>
      <c r="G67" s="367">
        <v>0.3472222222222222</v>
      </c>
      <c r="H67" s="367">
        <v>0.4166666666666667</v>
      </c>
      <c r="I67" s="357">
        <f t="shared" si="3"/>
        <v>100</v>
      </c>
      <c r="J67" s="346">
        <f t="shared" si="4"/>
        <v>1429</v>
      </c>
      <c r="K67" s="312"/>
      <c r="L67" s="312"/>
      <c r="M67" s="312"/>
      <c r="N67" s="362"/>
      <c r="O67" s="312"/>
      <c r="P67" s="312"/>
      <c r="R67" s="360">
        <v>45889.0</v>
      </c>
      <c r="S67" s="2">
        <f t="shared" si="5"/>
        <v>1214</v>
      </c>
      <c r="AA67" s="312"/>
      <c r="AB67" s="312"/>
      <c r="AC67" s="312"/>
      <c r="AD67" s="312"/>
    </row>
    <row r="68">
      <c r="A68" s="312"/>
      <c r="B68" s="344">
        <f t="shared" si="1"/>
        <v>1714.918281</v>
      </c>
      <c r="C68" s="344">
        <v>120.0</v>
      </c>
      <c r="D68" s="368">
        <v>45883.0</v>
      </c>
      <c r="E68" s="344" t="str">
        <f t="shared" si="2"/>
        <v>Thursday</v>
      </c>
      <c r="F68" s="344" t="s">
        <v>554</v>
      </c>
      <c r="G68" s="367">
        <v>0.3402777777777778</v>
      </c>
      <c r="H68" s="367">
        <v>0.4166666666666667</v>
      </c>
      <c r="I68" s="357">
        <f t="shared" si="3"/>
        <v>110</v>
      </c>
      <c r="J68" s="346">
        <f t="shared" si="4"/>
        <v>1572</v>
      </c>
      <c r="K68" s="312"/>
      <c r="L68" s="312"/>
      <c r="M68" s="312"/>
      <c r="N68" s="362"/>
      <c r="O68" s="312"/>
      <c r="P68" s="312"/>
      <c r="R68" s="360">
        <v>45890.0</v>
      </c>
      <c r="S68" s="2">
        <f t="shared" si="5"/>
        <v>300</v>
      </c>
      <c r="AA68" s="312"/>
      <c r="AB68" s="312"/>
      <c r="AC68" s="312"/>
      <c r="AD68" s="312"/>
    </row>
    <row r="69">
      <c r="A69" s="312"/>
      <c r="B69" s="344">
        <f t="shared" si="1"/>
        <v>1714.918281</v>
      </c>
      <c r="C69" s="344">
        <v>120.0</v>
      </c>
      <c r="D69" s="368">
        <v>45884.0</v>
      </c>
      <c r="E69" s="344" t="str">
        <f t="shared" si="2"/>
        <v>Friday</v>
      </c>
      <c r="F69" s="344" t="s">
        <v>554</v>
      </c>
      <c r="G69" s="367">
        <v>0.8125</v>
      </c>
      <c r="H69" s="367">
        <v>0.8541666666666666</v>
      </c>
      <c r="I69" s="357">
        <f t="shared" si="3"/>
        <v>60</v>
      </c>
      <c r="J69" s="346">
        <f t="shared" si="4"/>
        <v>857</v>
      </c>
      <c r="K69" s="312"/>
      <c r="L69" s="312"/>
      <c r="M69" s="312"/>
      <c r="N69" s="362"/>
      <c r="O69" s="312"/>
      <c r="P69" s="312"/>
      <c r="R69" s="360">
        <v>45897.0</v>
      </c>
      <c r="S69" s="2">
        <f t="shared" si="5"/>
        <v>1214</v>
      </c>
      <c r="AA69" s="312"/>
      <c r="AB69" s="312"/>
      <c r="AC69" s="312"/>
      <c r="AD69" s="312"/>
    </row>
    <row r="70">
      <c r="A70" s="312"/>
      <c r="B70" s="344">
        <f t="shared" si="1"/>
        <v>1714.918281</v>
      </c>
      <c r="C70" s="344">
        <v>120.0</v>
      </c>
      <c r="D70" s="368">
        <v>45887.0</v>
      </c>
      <c r="E70" s="344" t="str">
        <f t="shared" si="2"/>
        <v>Monday</v>
      </c>
      <c r="F70" s="344" t="s">
        <v>554</v>
      </c>
      <c r="G70" s="367">
        <v>0.3576388888888889</v>
      </c>
      <c r="H70" s="367">
        <v>0.3784722222222222</v>
      </c>
      <c r="I70" s="357">
        <f t="shared" si="3"/>
        <v>30</v>
      </c>
      <c r="J70" s="346">
        <f t="shared" si="4"/>
        <v>428</v>
      </c>
      <c r="K70" s="312"/>
      <c r="L70" s="312"/>
      <c r="M70" s="312"/>
      <c r="N70" s="362"/>
      <c r="O70" s="312"/>
      <c r="P70" s="312"/>
      <c r="R70" s="360">
        <v>45903.0</v>
      </c>
      <c r="S70" s="2">
        <f t="shared" si="5"/>
        <v>1572</v>
      </c>
      <c r="AA70" s="312"/>
      <c r="AB70" s="312"/>
      <c r="AC70" s="312"/>
      <c r="AD70" s="312"/>
    </row>
    <row r="71">
      <c r="A71" s="312"/>
      <c r="B71" s="344">
        <f t="shared" si="1"/>
        <v>1714.918281</v>
      </c>
      <c r="C71" s="344">
        <v>120.0</v>
      </c>
      <c r="D71" s="368">
        <v>45888.0</v>
      </c>
      <c r="E71" s="344" t="str">
        <f t="shared" si="2"/>
        <v>Tuesday</v>
      </c>
      <c r="F71" s="344" t="s">
        <v>554</v>
      </c>
      <c r="G71" s="367">
        <v>0.34375</v>
      </c>
      <c r="H71" s="367">
        <v>0.4236111111111111</v>
      </c>
      <c r="I71" s="357">
        <f t="shared" si="3"/>
        <v>115</v>
      </c>
      <c r="J71" s="346">
        <f t="shared" si="4"/>
        <v>1643</v>
      </c>
      <c r="K71" s="312"/>
      <c r="L71" s="312"/>
      <c r="M71" s="312"/>
      <c r="N71" s="362"/>
      <c r="O71" s="312"/>
      <c r="P71" s="312"/>
      <c r="R71" s="360">
        <v>45904.0</v>
      </c>
      <c r="S71" s="2">
        <f t="shared" si="5"/>
        <v>1186</v>
      </c>
      <c r="AA71" s="312"/>
      <c r="AB71" s="312"/>
      <c r="AC71" s="312"/>
      <c r="AD71" s="312"/>
    </row>
    <row r="72">
      <c r="A72" s="312"/>
      <c r="B72" s="344">
        <f t="shared" si="1"/>
        <v>1714.918281</v>
      </c>
      <c r="C72" s="344">
        <v>120.0</v>
      </c>
      <c r="D72" s="368">
        <v>45888.0</v>
      </c>
      <c r="E72" s="344" t="str">
        <f t="shared" si="2"/>
        <v>Tuesday</v>
      </c>
      <c r="F72" s="344" t="s">
        <v>554</v>
      </c>
      <c r="G72" s="367">
        <v>0.4270833333333333</v>
      </c>
      <c r="H72" s="367">
        <v>0.4354166666666667</v>
      </c>
      <c r="I72" s="357">
        <f t="shared" si="3"/>
        <v>12</v>
      </c>
      <c r="J72" s="346">
        <f t="shared" si="4"/>
        <v>171</v>
      </c>
      <c r="K72" s="312"/>
      <c r="L72" s="312"/>
      <c r="M72" s="312"/>
      <c r="N72" s="362"/>
      <c r="O72" s="312"/>
      <c r="P72" s="312"/>
      <c r="R72" s="360">
        <v>45908.0</v>
      </c>
      <c r="S72" s="2">
        <f t="shared" si="5"/>
        <v>1457</v>
      </c>
      <c r="AA72" s="312"/>
      <c r="AB72" s="312"/>
      <c r="AC72" s="312"/>
      <c r="AD72" s="312"/>
    </row>
    <row r="73">
      <c r="A73" s="312"/>
      <c r="B73" s="344">
        <f t="shared" si="1"/>
        <v>1714.918281</v>
      </c>
      <c r="C73" s="344">
        <v>120.0</v>
      </c>
      <c r="D73" s="368">
        <v>45889.0</v>
      </c>
      <c r="E73" s="344" t="str">
        <f t="shared" si="2"/>
        <v>Wednesday</v>
      </c>
      <c r="F73" s="344" t="s">
        <v>554</v>
      </c>
      <c r="G73" s="367">
        <v>0.3402777777777778</v>
      </c>
      <c r="H73" s="367">
        <v>0.3993055555555556</v>
      </c>
      <c r="I73" s="357">
        <f t="shared" si="3"/>
        <v>85</v>
      </c>
      <c r="J73" s="346">
        <f t="shared" si="4"/>
        <v>1214</v>
      </c>
      <c r="K73" s="312"/>
      <c r="L73" s="312"/>
      <c r="M73" s="312"/>
      <c r="N73" s="362"/>
      <c r="O73" s="312"/>
      <c r="P73" s="312"/>
      <c r="R73" s="360">
        <v>45911.0</v>
      </c>
      <c r="S73" s="2">
        <f t="shared" si="5"/>
        <v>1071</v>
      </c>
      <c r="AA73" s="312"/>
      <c r="AB73" s="312"/>
      <c r="AC73" s="312"/>
      <c r="AD73" s="312"/>
    </row>
    <row r="74">
      <c r="A74" s="312"/>
      <c r="B74" s="344">
        <f t="shared" si="1"/>
        <v>1714.918281</v>
      </c>
      <c r="C74" s="344">
        <v>120.0</v>
      </c>
      <c r="D74" s="368">
        <v>45890.0</v>
      </c>
      <c r="E74" s="344" t="str">
        <f t="shared" si="2"/>
        <v>Thursday</v>
      </c>
      <c r="F74" s="344" t="s">
        <v>554</v>
      </c>
      <c r="G74" s="367">
        <v>0.34375</v>
      </c>
      <c r="H74" s="367">
        <v>0.35833333333333334</v>
      </c>
      <c r="I74" s="357">
        <f t="shared" si="3"/>
        <v>21</v>
      </c>
      <c r="J74" s="346">
        <f t="shared" si="4"/>
        <v>300</v>
      </c>
      <c r="K74" s="312"/>
      <c r="L74" s="312"/>
      <c r="M74" s="312"/>
      <c r="N74" s="362"/>
      <c r="O74" s="312"/>
      <c r="P74" s="312"/>
      <c r="R74" s="360">
        <v>45912.0</v>
      </c>
      <c r="S74" s="2">
        <f t="shared" si="5"/>
        <v>1357</v>
      </c>
      <c r="AA74" s="312"/>
      <c r="AB74" s="312"/>
      <c r="AC74" s="312"/>
      <c r="AD74" s="312"/>
    </row>
    <row r="75">
      <c r="A75" s="312"/>
      <c r="B75" s="344">
        <f t="shared" si="1"/>
        <v>1714.918281</v>
      </c>
      <c r="C75" s="344">
        <v>120.0</v>
      </c>
      <c r="D75" s="368">
        <v>45897.0</v>
      </c>
      <c r="E75" s="344" t="str">
        <f t="shared" si="2"/>
        <v>Thursday</v>
      </c>
      <c r="F75" s="344" t="s">
        <v>554</v>
      </c>
      <c r="G75" s="367">
        <v>0.3541666666666667</v>
      </c>
      <c r="H75" s="367">
        <v>0.4131944444444444</v>
      </c>
      <c r="I75" s="357">
        <f t="shared" si="3"/>
        <v>85</v>
      </c>
      <c r="J75" s="346">
        <f t="shared" si="4"/>
        <v>1214</v>
      </c>
      <c r="K75" s="312"/>
      <c r="L75" s="312"/>
      <c r="M75" s="312"/>
      <c r="N75" s="362"/>
      <c r="O75" s="312"/>
      <c r="P75" s="312"/>
      <c r="R75" s="360">
        <v>45916.0</v>
      </c>
      <c r="S75" s="2">
        <f t="shared" si="5"/>
        <v>500</v>
      </c>
      <c r="AA75" s="312"/>
      <c r="AB75" s="312"/>
      <c r="AC75" s="312"/>
      <c r="AD75" s="312"/>
    </row>
    <row r="76">
      <c r="A76" s="312"/>
      <c r="B76" s="344">
        <f t="shared" si="1"/>
        <v>1714.918281</v>
      </c>
      <c r="C76" s="344">
        <v>120.0</v>
      </c>
      <c r="D76" s="368">
        <v>45903.0</v>
      </c>
      <c r="E76" s="344" t="str">
        <f t="shared" si="2"/>
        <v>Wednesday</v>
      </c>
      <c r="F76" s="344" t="s">
        <v>554</v>
      </c>
      <c r="G76" s="367">
        <v>0.34375</v>
      </c>
      <c r="H76" s="367">
        <v>0.4201388888888889</v>
      </c>
      <c r="I76" s="357">
        <f t="shared" si="3"/>
        <v>110</v>
      </c>
      <c r="J76" s="346">
        <f t="shared" si="4"/>
        <v>1572</v>
      </c>
      <c r="K76" s="312"/>
      <c r="L76" s="312"/>
      <c r="M76" s="312"/>
      <c r="N76" s="362"/>
      <c r="O76" s="312"/>
      <c r="P76" s="312"/>
      <c r="R76" s="360">
        <v>45917.0</v>
      </c>
      <c r="S76" s="2">
        <f t="shared" si="5"/>
        <v>628</v>
      </c>
      <c r="AA76" s="312"/>
      <c r="AB76" s="312"/>
      <c r="AC76" s="312"/>
      <c r="AD76" s="312"/>
    </row>
    <row r="77">
      <c r="A77" s="312"/>
      <c r="B77" s="344">
        <f t="shared" si="1"/>
        <v>1714.918281</v>
      </c>
      <c r="C77" s="344">
        <v>120.0</v>
      </c>
      <c r="D77" s="368">
        <v>45904.0</v>
      </c>
      <c r="E77" s="344" t="str">
        <f t="shared" si="2"/>
        <v>Thursday</v>
      </c>
      <c r="F77" s="344" t="s">
        <v>554</v>
      </c>
      <c r="G77" s="367">
        <v>0.31527777777777777</v>
      </c>
      <c r="H77" s="367">
        <v>0.3729166666666667</v>
      </c>
      <c r="I77" s="357">
        <f t="shared" si="3"/>
        <v>83</v>
      </c>
      <c r="J77" s="346">
        <f t="shared" si="4"/>
        <v>1186</v>
      </c>
      <c r="K77" s="312"/>
      <c r="L77" s="312"/>
      <c r="M77" s="312"/>
      <c r="N77" s="362"/>
      <c r="O77" s="312"/>
      <c r="P77" s="312"/>
      <c r="R77" s="360">
        <v>45924.0</v>
      </c>
      <c r="S77" s="2">
        <f t="shared" si="5"/>
        <v>142</v>
      </c>
      <c r="AA77" s="312"/>
      <c r="AB77" s="312"/>
      <c r="AC77" s="312"/>
      <c r="AD77" s="312"/>
    </row>
    <row r="78">
      <c r="A78" s="312"/>
      <c r="B78" s="344">
        <f t="shared" si="1"/>
        <v>1714.918281</v>
      </c>
      <c r="C78" s="344">
        <v>120.0</v>
      </c>
      <c r="D78" s="368">
        <v>45908.0</v>
      </c>
      <c r="E78" s="344" t="str">
        <f t="shared" si="2"/>
        <v>Monday</v>
      </c>
      <c r="F78" s="344" t="s">
        <v>554</v>
      </c>
      <c r="G78" s="367">
        <v>0.3125</v>
      </c>
      <c r="H78" s="367">
        <v>0.38333333333333336</v>
      </c>
      <c r="I78" s="357">
        <f t="shared" si="3"/>
        <v>102</v>
      </c>
      <c r="J78" s="346">
        <f t="shared" si="4"/>
        <v>1457</v>
      </c>
      <c r="K78" s="312"/>
      <c r="L78" s="312"/>
      <c r="M78" s="312"/>
      <c r="N78" s="362"/>
      <c r="O78" s="312"/>
      <c r="P78" s="312"/>
      <c r="R78" s="360">
        <v>45925.0</v>
      </c>
      <c r="S78" s="2">
        <f t="shared" si="5"/>
        <v>643</v>
      </c>
      <c r="AA78" s="312"/>
      <c r="AB78" s="312"/>
      <c r="AC78" s="312"/>
      <c r="AD78" s="312"/>
    </row>
    <row r="79">
      <c r="A79" s="312"/>
      <c r="B79" s="344">
        <f t="shared" si="1"/>
        <v>1714.918281</v>
      </c>
      <c r="C79" s="344">
        <v>120.0</v>
      </c>
      <c r="D79" s="368">
        <v>45911.0</v>
      </c>
      <c r="E79" s="344" t="str">
        <f t="shared" si="2"/>
        <v>Thursday</v>
      </c>
      <c r="F79" s="344" t="s">
        <v>554</v>
      </c>
      <c r="G79" s="367">
        <v>0.3229166666666667</v>
      </c>
      <c r="H79" s="367">
        <v>0.375</v>
      </c>
      <c r="I79" s="357">
        <f t="shared" si="3"/>
        <v>75</v>
      </c>
      <c r="J79" s="346">
        <f t="shared" si="4"/>
        <v>1071</v>
      </c>
      <c r="K79" s="312"/>
      <c r="L79" s="312"/>
      <c r="M79" s="312"/>
      <c r="N79" s="362"/>
      <c r="O79" s="312"/>
      <c r="P79" s="312"/>
      <c r="R79" s="360">
        <v>45926.0</v>
      </c>
      <c r="S79" s="2">
        <f t="shared" si="5"/>
        <v>1500</v>
      </c>
      <c r="AA79" s="312"/>
      <c r="AB79" s="312"/>
      <c r="AC79" s="312"/>
      <c r="AD79" s="312"/>
    </row>
    <row r="80">
      <c r="A80" s="312"/>
      <c r="B80" s="344">
        <f t="shared" si="1"/>
        <v>1714.918281</v>
      </c>
      <c r="C80" s="344">
        <v>120.0</v>
      </c>
      <c r="D80" s="368">
        <v>45912.0</v>
      </c>
      <c r="E80" s="344" t="str">
        <f t="shared" si="2"/>
        <v>Friday</v>
      </c>
      <c r="F80" s="344" t="s">
        <v>554</v>
      </c>
      <c r="G80" s="367">
        <v>0.3333333333333333</v>
      </c>
      <c r="H80" s="367">
        <v>0.3993055555555556</v>
      </c>
      <c r="I80" s="357">
        <f t="shared" si="3"/>
        <v>95</v>
      </c>
      <c r="J80" s="346">
        <f t="shared" si="4"/>
        <v>1357</v>
      </c>
      <c r="K80" s="312"/>
      <c r="L80" s="312"/>
      <c r="M80" s="312"/>
      <c r="N80" s="362"/>
      <c r="O80" s="312"/>
      <c r="P80" s="312"/>
      <c r="R80" s="360">
        <v>45928.0</v>
      </c>
      <c r="S80" s="2">
        <f t="shared" si="5"/>
        <v>428</v>
      </c>
      <c r="AA80" s="312"/>
      <c r="AB80" s="312"/>
      <c r="AC80" s="312"/>
      <c r="AD80" s="312"/>
    </row>
    <row r="81">
      <c r="A81" s="312"/>
      <c r="B81" s="344">
        <f t="shared" si="1"/>
        <v>1714.918281</v>
      </c>
      <c r="C81" s="344">
        <v>120.0</v>
      </c>
      <c r="D81" s="368">
        <v>45916.0</v>
      </c>
      <c r="E81" s="344" t="str">
        <f t="shared" si="2"/>
        <v>Tuesday</v>
      </c>
      <c r="F81" s="344" t="s">
        <v>554</v>
      </c>
      <c r="G81" s="367">
        <v>0.3125</v>
      </c>
      <c r="H81" s="367">
        <v>0.3368055555555556</v>
      </c>
      <c r="I81" s="357">
        <f t="shared" si="3"/>
        <v>35</v>
      </c>
      <c r="J81" s="346">
        <f t="shared" si="4"/>
        <v>500</v>
      </c>
      <c r="K81" s="312"/>
      <c r="L81" s="312"/>
      <c r="M81" s="312"/>
      <c r="N81" s="362"/>
      <c r="O81" s="312"/>
      <c r="P81" s="312"/>
      <c r="R81" s="360">
        <v>45929.0</v>
      </c>
      <c r="S81" s="2">
        <f t="shared" si="5"/>
        <v>743</v>
      </c>
      <c r="AA81" s="312"/>
      <c r="AB81" s="312"/>
      <c r="AC81" s="312"/>
      <c r="AD81" s="312"/>
    </row>
    <row r="82">
      <c r="A82" s="312"/>
      <c r="B82" s="344">
        <f t="shared" si="1"/>
        <v>1714.918281</v>
      </c>
      <c r="C82" s="344">
        <v>120.0</v>
      </c>
      <c r="D82" s="368">
        <v>45917.0</v>
      </c>
      <c r="E82" s="344" t="str">
        <f t="shared" si="2"/>
        <v>Wednesday</v>
      </c>
      <c r="F82" s="344" t="s">
        <v>554</v>
      </c>
      <c r="G82" s="367">
        <v>0.35833333333333334</v>
      </c>
      <c r="H82" s="367">
        <v>0.3888888888888889</v>
      </c>
      <c r="I82" s="357">
        <f t="shared" si="3"/>
        <v>44</v>
      </c>
      <c r="J82" s="346">
        <f t="shared" si="4"/>
        <v>628</v>
      </c>
      <c r="K82" s="312"/>
      <c r="L82" s="312"/>
      <c r="M82" s="312"/>
      <c r="N82" s="362"/>
      <c r="O82" s="312"/>
      <c r="P82" s="312"/>
      <c r="R82" s="360">
        <v>45931.0</v>
      </c>
      <c r="S82" s="2">
        <f t="shared" si="5"/>
        <v>2557</v>
      </c>
      <c r="AA82" s="312"/>
      <c r="AB82" s="312"/>
      <c r="AC82" s="312"/>
      <c r="AD82" s="312"/>
    </row>
    <row r="83">
      <c r="A83" s="312"/>
      <c r="B83" s="344">
        <f t="shared" si="1"/>
        <v>1714.918281</v>
      </c>
      <c r="C83" s="344">
        <v>120.0</v>
      </c>
      <c r="D83" s="368">
        <v>45924.0</v>
      </c>
      <c r="E83" s="344" t="str">
        <f t="shared" si="2"/>
        <v>Wednesday</v>
      </c>
      <c r="F83" s="344" t="s">
        <v>554</v>
      </c>
      <c r="G83" s="367">
        <v>0.32916666666666666</v>
      </c>
      <c r="H83" s="367">
        <v>0.33611111111111114</v>
      </c>
      <c r="I83" s="357">
        <f t="shared" si="3"/>
        <v>10</v>
      </c>
      <c r="J83" s="346">
        <f t="shared" si="4"/>
        <v>142</v>
      </c>
      <c r="K83" s="312"/>
      <c r="L83" s="312"/>
      <c r="M83" s="312"/>
      <c r="N83" s="362"/>
      <c r="O83" s="312"/>
      <c r="P83" s="312"/>
      <c r="R83" s="360">
        <v>45932.0</v>
      </c>
      <c r="S83" s="2">
        <f t="shared" si="5"/>
        <v>1500</v>
      </c>
      <c r="AA83" s="312"/>
      <c r="AB83" s="312"/>
      <c r="AC83" s="312"/>
      <c r="AD83" s="312"/>
    </row>
    <row r="84">
      <c r="A84" s="312"/>
      <c r="B84" s="344">
        <f t="shared" si="1"/>
        <v>1714.918281</v>
      </c>
      <c r="C84" s="344">
        <v>120.0</v>
      </c>
      <c r="D84" s="368">
        <v>45925.0</v>
      </c>
      <c r="E84" s="344" t="str">
        <f t="shared" si="2"/>
        <v>Thursday</v>
      </c>
      <c r="F84" s="344" t="s">
        <v>554</v>
      </c>
      <c r="G84" s="367">
        <v>0.3541666666666667</v>
      </c>
      <c r="H84" s="367">
        <v>0.3854166666666667</v>
      </c>
      <c r="I84" s="357">
        <f t="shared" si="3"/>
        <v>45</v>
      </c>
      <c r="J84" s="346">
        <f t="shared" si="4"/>
        <v>643</v>
      </c>
      <c r="K84" s="312"/>
      <c r="L84" s="312"/>
      <c r="M84" s="312"/>
      <c r="N84" s="362"/>
      <c r="O84" s="312"/>
      <c r="P84" s="312"/>
      <c r="R84" s="360">
        <v>45933.0</v>
      </c>
      <c r="S84" s="2">
        <f t="shared" si="5"/>
        <v>1300</v>
      </c>
      <c r="AA84" s="312"/>
      <c r="AB84" s="312"/>
      <c r="AC84" s="312"/>
      <c r="AD84" s="312"/>
    </row>
    <row r="85">
      <c r="A85" s="312"/>
      <c r="B85" s="344">
        <f t="shared" si="1"/>
        <v>1714.918281</v>
      </c>
      <c r="C85" s="344">
        <v>120.0</v>
      </c>
      <c r="D85" s="368">
        <v>45926.0</v>
      </c>
      <c r="E85" s="344" t="str">
        <f t="shared" si="2"/>
        <v>Friday</v>
      </c>
      <c r="F85" s="344" t="s">
        <v>554</v>
      </c>
      <c r="G85" s="367">
        <v>0.3194444444444444</v>
      </c>
      <c r="H85" s="367">
        <v>0.3923611111111111</v>
      </c>
      <c r="I85" s="357">
        <f t="shared" si="3"/>
        <v>105</v>
      </c>
      <c r="J85" s="346">
        <f t="shared" si="4"/>
        <v>1500</v>
      </c>
      <c r="K85" s="312"/>
      <c r="L85" s="312"/>
      <c r="M85" s="312"/>
      <c r="N85" s="362"/>
      <c r="O85" s="312"/>
      <c r="P85" s="312"/>
      <c r="R85" s="360">
        <v>45938.0</v>
      </c>
      <c r="S85" s="2">
        <f t="shared" si="5"/>
        <v>1000</v>
      </c>
      <c r="AA85" s="312"/>
      <c r="AB85" s="312"/>
      <c r="AC85" s="312"/>
      <c r="AD85" s="312"/>
    </row>
    <row r="86">
      <c r="A86" s="312"/>
      <c r="B86" s="344">
        <f t="shared" si="1"/>
        <v>1714.918281</v>
      </c>
      <c r="C86" s="344">
        <v>120.0</v>
      </c>
      <c r="D86" s="368">
        <v>45928.0</v>
      </c>
      <c r="E86" s="344" t="str">
        <f t="shared" si="2"/>
        <v>Sunday</v>
      </c>
      <c r="F86" s="344" t="s">
        <v>554</v>
      </c>
      <c r="G86" s="367">
        <v>0.3597222222222222</v>
      </c>
      <c r="H86" s="367">
        <v>0.38055555555555554</v>
      </c>
      <c r="I86" s="357">
        <f t="shared" si="3"/>
        <v>30</v>
      </c>
      <c r="J86" s="346">
        <f t="shared" si="4"/>
        <v>428</v>
      </c>
      <c r="K86" s="312"/>
      <c r="L86" s="312"/>
      <c r="M86" s="312"/>
      <c r="N86" s="362"/>
      <c r="O86" s="312"/>
      <c r="P86" s="312"/>
      <c r="R86" s="360">
        <v>45943.0</v>
      </c>
      <c r="S86" s="2">
        <f t="shared" si="5"/>
        <v>1529</v>
      </c>
      <c r="AA86" s="312"/>
      <c r="AB86" s="312"/>
      <c r="AC86" s="312"/>
      <c r="AD86" s="312"/>
    </row>
    <row r="87">
      <c r="A87" s="312"/>
      <c r="B87" s="344">
        <f t="shared" si="1"/>
        <v>1714.918281</v>
      </c>
      <c r="C87" s="344">
        <v>120.0</v>
      </c>
      <c r="D87" s="368">
        <v>45929.0</v>
      </c>
      <c r="E87" s="344" t="str">
        <f t="shared" si="2"/>
        <v>Monday</v>
      </c>
      <c r="F87" s="344" t="s">
        <v>554</v>
      </c>
      <c r="G87" s="367">
        <v>0.36319444444444443</v>
      </c>
      <c r="H87" s="367">
        <v>0.3993055555555556</v>
      </c>
      <c r="I87" s="357">
        <f t="shared" si="3"/>
        <v>52</v>
      </c>
      <c r="J87" s="346">
        <f t="shared" si="4"/>
        <v>743</v>
      </c>
      <c r="K87" s="312"/>
      <c r="L87" s="312"/>
      <c r="M87" s="312"/>
      <c r="N87" s="362"/>
      <c r="O87" s="312"/>
      <c r="P87" s="312"/>
      <c r="R87" s="360">
        <v>45944.0</v>
      </c>
      <c r="S87" s="2">
        <f t="shared" si="5"/>
        <v>1529</v>
      </c>
      <c r="AA87" s="312"/>
      <c r="AB87" s="312"/>
      <c r="AC87" s="312"/>
      <c r="AD87" s="312"/>
    </row>
    <row r="88">
      <c r="A88" s="312"/>
      <c r="B88" s="344">
        <f t="shared" si="1"/>
        <v>1714.918281</v>
      </c>
      <c r="C88" s="344">
        <v>120.0</v>
      </c>
      <c r="D88" s="368">
        <v>45931.0</v>
      </c>
      <c r="E88" s="344" t="str">
        <f t="shared" si="2"/>
        <v>Wednesday</v>
      </c>
      <c r="F88" s="344" t="s">
        <v>554</v>
      </c>
      <c r="G88" s="367">
        <v>0.3194444444444444</v>
      </c>
      <c r="H88" s="367">
        <v>0.39305555555555555</v>
      </c>
      <c r="I88" s="357">
        <f t="shared" si="3"/>
        <v>106</v>
      </c>
      <c r="J88" s="346">
        <f t="shared" si="4"/>
        <v>1514</v>
      </c>
      <c r="K88" s="312"/>
      <c r="L88" s="312"/>
      <c r="M88" s="312"/>
      <c r="N88" s="362"/>
      <c r="O88" s="312"/>
      <c r="P88" s="312"/>
      <c r="R88" s="360">
        <v>45945.0</v>
      </c>
      <c r="S88" s="2">
        <f t="shared" si="5"/>
        <v>1486</v>
      </c>
      <c r="AA88" s="312"/>
      <c r="AB88" s="312"/>
      <c r="AC88" s="312"/>
      <c r="AD88" s="312"/>
    </row>
    <row r="89">
      <c r="A89" s="312"/>
      <c r="B89" s="344">
        <f t="shared" si="1"/>
        <v>1714.918281</v>
      </c>
      <c r="C89" s="344">
        <v>120.0</v>
      </c>
      <c r="D89" s="368">
        <v>45931.0</v>
      </c>
      <c r="E89" s="344" t="str">
        <f t="shared" si="2"/>
        <v>Wednesday</v>
      </c>
      <c r="F89" s="344" t="s">
        <v>554</v>
      </c>
      <c r="G89" s="367">
        <v>0.7826388888888889</v>
      </c>
      <c r="H89" s="367">
        <v>0.8333333333333334</v>
      </c>
      <c r="I89" s="357">
        <f t="shared" si="3"/>
        <v>73</v>
      </c>
      <c r="J89" s="346">
        <f t="shared" si="4"/>
        <v>1043</v>
      </c>
      <c r="K89" s="312"/>
      <c r="L89" s="312"/>
      <c r="M89" s="312"/>
      <c r="N89" s="362"/>
      <c r="O89" s="312"/>
      <c r="P89" s="312"/>
      <c r="R89" s="360">
        <v>45947.0</v>
      </c>
      <c r="S89" s="2">
        <f t="shared" si="5"/>
        <v>1143</v>
      </c>
      <c r="AA89" s="312"/>
      <c r="AB89" s="312"/>
      <c r="AC89" s="312"/>
      <c r="AD89" s="312"/>
    </row>
    <row r="90">
      <c r="A90" s="312"/>
      <c r="B90" s="344">
        <f t="shared" si="1"/>
        <v>1714.918281</v>
      </c>
      <c r="C90" s="344">
        <v>120.0</v>
      </c>
      <c r="D90" s="368">
        <v>45932.0</v>
      </c>
      <c r="E90" s="344" t="str">
        <f t="shared" si="2"/>
        <v>Thursday</v>
      </c>
      <c r="F90" s="344" t="s">
        <v>554</v>
      </c>
      <c r="G90" s="367">
        <v>0.3402777777777778</v>
      </c>
      <c r="H90" s="367">
        <v>0.4131944444444444</v>
      </c>
      <c r="I90" s="357">
        <f t="shared" si="3"/>
        <v>105</v>
      </c>
      <c r="J90" s="346">
        <f t="shared" si="4"/>
        <v>1500</v>
      </c>
      <c r="K90" s="312"/>
      <c r="L90" s="312"/>
      <c r="M90" s="312"/>
      <c r="N90" s="362"/>
      <c r="O90" s="312"/>
      <c r="P90" s="312"/>
      <c r="R90" s="360">
        <v>45957.0</v>
      </c>
      <c r="S90" s="2">
        <f t="shared" si="5"/>
        <v>1300</v>
      </c>
      <c r="AA90" s="312"/>
      <c r="AB90" s="312"/>
      <c r="AC90" s="312"/>
      <c r="AD90" s="312"/>
    </row>
    <row r="91">
      <c r="A91" s="312"/>
      <c r="B91" s="344">
        <f t="shared" si="1"/>
        <v>1714.918281</v>
      </c>
      <c r="C91" s="344">
        <v>120.0</v>
      </c>
      <c r="D91" s="368">
        <v>45933.0</v>
      </c>
      <c r="E91" s="344" t="str">
        <f t="shared" si="2"/>
        <v>Friday</v>
      </c>
      <c r="F91" s="344" t="s">
        <v>554</v>
      </c>
      <c r="G91" s="367">
        <v>0.3506944444444444</v>
      </c>
      <c r="H91" s="367">
        <v>0.41388888888888886</v>
      </c>
      <c r="I91" s="357">
        <f t="shared" si="3"/>
        <v>91</v>
      </c>
      <c r="J91" s="346">
        <f t="shared" si="4"/>
        <v>1300</v>
      </c>
      <c r="K91" s="312"/>
      <c r="L91" s="312"/>
      <c r="M91" s="312"/>
      <c r="N91" s="362"/>
      <c r="O91" s="312"/>
      <c r="P91" s="312"/>
      <c r="R91" s="360">
        <v>45958.0</v>
      </c>
      <c r="S91" s="2">
        <f t="shared" si="5"/>
        <v>914</v>
      </c>
      <c r="AA91" s="312"/>
      <c r="AB91" s="312"/>
      <c r="AC91" s="312"/>
      <c r="AD91" s="312"/>
    </row>
    <row r="92">
      <c r="A92" s="312"/>
      <c r="B92" s="344">
        <f t="shared" si="1"/>
        <v>1714.918281</v>
      </c>
      <c r="C92" s="344">
        <v>120.0</v>
      </c>
      <c r="D92" s="368">
        <v>45938.0</v>
      </c>
      <c r="E92" s="344" t="str">
        <f t="shared" si="2"/>
        <v>Wednesday</v>
      </c>
      <c r="F92" s="344" t="s">
        <v>554</v>
      </c>
      <c r="G92" s="367">
        <v>0.33541666666666664</v>
      </c>
      <c r="H92" s="367">
        <v>0.3840277777777778</v>
      </c>
      <c r="I92" s="357">
        <f t="shared" si="3"/>
        <v>70</v>
      </c>
      <c r="J92" s="346">
        <f t="shared" si="4"/>
        <v>1000</v>
      </c>
      <c r="K92" s="312"/>
      <c r="L92" s="312"/>
      <c r="M92" s="312"/>
      <c r="N92" s="362"/>
      <c r="O92" s="312"/>
      <c r="P92" s="312"/>
      <c r="R92" s="360">
        <v>45959.0</v>
      </c>
      <c r="S92" s="2">
        <f t="shared" si="5"/>
        <v>328</v>
      </c>
      <c r="AA92" s="312"/>
      <c r="AB92" s="312"/>
      <c r="AC92" s="312"/>
      <c r="AD92" s="312"/>
    </row>
    <row r="93">
      <c r="A93" s="312"/>
      <c r="B93" s="344">
        <f t="shared" si="1"/>
        <v>1714.918281</v>
      </c>
      <c r="C93" s="344">
        <v>120.0</v>
      </c>
      <c r="D93" s="368">
        <v>45943.0</v>
      </c>
      <c r="E93" s="344" t="str">
        <f t="shared" si="2"/>
        <v>Monday</v>
      </c>
      <c r="F93" s="344" t="s">
        <v>554</v>
      </c>
      <c r="G93" s="367">
        <v>0.3125</v>
      </c>
      <c r="H93" s="367">
        <v>0.38680555555555557</v>
      </c>
      <c r="I93" s="357">
        <f t="shared" si="3"/>
        <v>107</v>
      </c>
      <c r="J93" s="346">
        <f t="shared" si="4"/>
        <v>1529</v>
      </c>
      <c r="K93" s="312"/>
      <c r="L93" s="312"/>
      <c r="M93" s="312"/>
      <c r="N93" s="362"/>
      <c r="O93" s="312"/>
      <c r="P93" s="312"/>
      <c r="R93" s="360">
        <v>45960.0</v>
      </c>
      <c r="S93" s="2">
        <f t="shared" si="5"/>
        <v>1343</v>
      </c>
      <c r="AA93" s="312"/>
      <c r="AB93" s="312"/>
      <c r="AC93" s="312"/>
      <c r="AD93" s="312"/>
    </row>
    <row r="94">
      <c r="A94" s="312"/>
      <c r="B94" s="344">
        <f t="shared" si="1"/>
        <v>1714.918281</v>
      </c>
      <c r="C94" s="344">
        <v>120.0</v>
      </c>
      <c r="D94" s="368">
        <v>45944.0</v>
      </c>
      <c r="E94" s="344" t="str">
        <f t="shared" si="2"/>
        <v>Tuesday</v>
      </c>
      <c r="F94" s="344" t="s">
        <v>554</v>
      </c>
      <c r="G94" s="367">
        <v>0.3159722222222222</v>
      </c>
      <c r="H94" s="367">
        <v>0.3902777777777778</v>
      </c>
      <c r="I94" s="357">
        <f t="shared" si="3"/>
        <v>107</v>
      </c>
      <c r="J94" s="346">
        <f t="shared" si="4"/>
        <v>1529</v>
      </c>
      <c r="K94" s="312"/>
      <c r="L94" s="312"/>
      <c r="M94" s="312"/>
      <c r="N94" s="362"/>
      <c r="O94" s="312"/>
      <c r="P94" s="312"/>
      <c r="R94" s="360">
        <v>45961.0</v>
      </c>
      <c r="S94" s="2">
        <f t="shared" si="5"/>
        <v>357</v>
      </c>
      <c r="AA94" s="312"/>
      <c r="AB94" s="312"/>
      <c r="AC94" s="312"/>
      <c r="AD94" s="312"/>
    </row>
    <row r="95">
      <c r="A95" s="312"/>
      <c r="B95" s="344">
        <f t="shared" si="1"/>
        <v>1714.918281</v>
      </c>
      <c r="C95" s="344">
        <v>120.0</v>
      </c>
      <c r="D95" s="368">
        <v>45945.0</v>
      </c>
      <c r="E95" s="344" t="str">
        <f t="shared" si="2"/>
        <v>Wednesday</v>
      </c>
      <c r="F95" s="344" t="s">
        <v>554</v>
      </c>
      <c r="G95" s="367">
        <v>0.3229166666666667</v>
      </c>
      <c r="H95" s="367">
        <v>0.3951388888888889</v>
      </c>
      <c r="I95" s="357">
        <f t="shared" si="3"/>
        <v>104</v>
      </c>
      <c r="J95" s="346">
        <f t="shared" si="4"/>
        <v>1486</v>
      </c>
      <c r="K95" s="312"/>
      <c r="L95" s="312"/>
      <c r="M95" s="312"/>
      <c r="N95" s="362"/>
      <c r="O95" s="312"/>
      <c r="P95" s="312"/>
      <c r="R95" s="360">
        <v>45965.0</v>
      </c>
      <c r="S95" s="2">
        <f t="shared" si="5"/>
        <v>1028</v>
      </c>
      <c r="AA95" s="312"/>
      <c r="AB95" s="312"/>
      <c r="AC95" s="312"/>
      <c r="AD95" s="312"/>
    </row>
    <row r="96">
      <c r="A96" s="312"/>
      <c r="B96" s="344">
        <f t="shared" si="1"/>
        <v>1714.918281</v>
      </c>
      <c r="C96" s="344">
        <v>120.0</v>
      </c>
      <c r="D96" s="368">
        <v>45947.0</v>
      </c>
      <c r="E96" s="344" t="str">
        <f t="shared" si="2"/>
        <v>Friday</v>
      </c>
      <c r="F96" s="344" t="s">
        <v>554</v>
      </c>
      <c r="G96" s="367">
        <v>0.3194444444444444</v>
      </c>
      <c r="H96" s="367">
        <v>0.375</v>
      </c>
      <c r="I96" s="357">
        <f t="shared" si="3"/>
        <v>80</v>
      </c>
      <c r="J96" s="346">
        <f t="shared" si="4"/>
        <v>1143</v>
      </c>
      <c r="K96" s="312"/>
      <c r="L96" s="312"/>
      <c r="M96" s="312"/>
      <c r="N96" s="362"/>
      <c r="O96" s="312"/>
      <c r="P96" s="312"/>
      <c r="R96" s="360">
        <v>45969.0</v>
      </c>
      <c r="S96" s="2">
        <f t="shared" si="5"/>
        <v>1000</v>
      </c>
      <c r="AA96" s="312"/>
      <c r="AB96" s="312"/>
      <c r="AC96" s="312"/>
      <c r="AD96" s="312"/>
    </row>
    <row r="97">
      <c r="A97" s="312"/>
      <c r="B97" s="344">
        <f t="shared" si="1"/>
        <v>1714.918281</v>
      </c>
      <c r="C97" s="344">
        <v>120.0</v>
      </c>
      <c r="D97" s="368">
        <v>45957.0</v>
      </c>
      <c r="E97" s="344" t="str">
        <f t="shared" si="2"/>
        <v>Monday</v>
      </c>
      <c r="F97" s="344" t="s">
        <v>554</v>
      </c>
      <c r="G97" s="367">
        <v>0.3347222222222222</v>
      </c>
      <c r="H97" s="367">
        <v>0.39791666666666664</v>
      </c>
      <c r="I97" s="357">
        <f t="shared" si="3"/>
        <v>91</v>
      </c>
      <c r="J97" s="346">
        <f t="shared" si="4"/>
        <v>1300</v>
      </c>
      <c r="K97" s="312"/>
      <c r="L97" s="312"/>
      <c r="M97" s="312"/>
      <c r="N97" s="362"/>
      <c r="O97" s="312"/>
      <c r="P97" s="312"/>
      <c r="R97" s="360"/>
      <c r="S97" s="2">
        <f t="shared" si="5"/>
        <v>0</v>
      </c>
      <c r="AA97" s="312"/>
      <c r="AB97" s="312"/>
      <c r="AC97" s="312"/>
      <c r="AD97" s="312"/>
    </row>
    <row r="98">
      <c r="A98" s="312"/>
      <c r="B98" s="344">
        <f t="shared" si="1"/>
        <v>1714.918281</v>
      </c>
      <c r="C98" s="344">
        <v>120.0</v>
      </c>
      <c r="D98" s="368">
        <v>45958.0</v>
      </c>
      <c r="E98" s="344" t="str">
        <f t="shared" si="2"/>
        <v>Tuesday</v>
      </c>
      <c r="F98" s="344" t="s">
        <v>554</v>
      </c>
      <c r="G98" s="367">
        <v>0.31527777777777777</v>
      </c>
      <c r="H98" s="367">
        <v>0.3597222222222222</v>
      </c>
      <c r="I98" s="357">
        <f t="shared" si="3"/>
        <v>64</v>
      </c>
      <c r="J98" s="346">
        <f t="shared" si="4"/>
        <v>914</v>
      </c>
      <c r="K98" s="312"/>
      <c r="L98" s="312"/>
      <c r="M98" s="312"/>
      <c r="N98" s="362"/>
      <c r="O98" s="312"/>
      <c r="P98" s="312"/>
      <c r="S98" s="2">
        <f t="shared" si="5"/>
        <v>0</v>
      </c>
      <c r="AA98" s="312"/>
      <c r="AB98" s="312"/>
      <c r="AC98" s="312"/>
      <c r="AD98" s="312"/>
    </row>
    <row r="99">
      <c r="A99" s="312"/>
      <c r="B99" s="344">
        <f t="shared" si="1"/>
        <v>1714.918281</v>
      </c>
      <c r="C99" s="344">
        <v>120.0</v>
      </c>
      <c r="D99" s="368">
        <v>45959.0</v>
      </c>
      <c r="E99" s="344" t="str">
        <f t="shared" si="2"/>
        <v>Wednesday</v>
      </c>
      <c r="F99" s="344" t="s">
        <v>554</v>
      </c>
      <c r="G99" s="367">
        <v>0.8159722222222222</v>
      </c>
      <c r="H99" s="367">
        <v>0.8319444444444445</v>
      </c>
      <c r="I99" s="357">
        <f t="shared" si="3"/>
        <v>23</v>
      </c>
      <c r="J99" s="346">
        <f t="shared" si="4"/>
        <v>328</v>
      </c>
      <c r="K99" s="312"/>
      <c r="L99" s="312"/>
      <c r="M99" s="312"/>
      <c r="N99" s="362"/>
      <c r="O99" s="312"/>
      <c r="P99" s="312"/>
      <c r="S99" s="2">
        <f t="shared" si="5"/>
        <v>0</v>
      </c>
      <c r="AA99" s="312"/>
      <c r="AB99" s="312"/>
      <c r="AC99" s="312"/>
      <c r="AD99" s="312"/>
    </row>
    <row r="100">
      <c r="A100" s="312"/>
      <c r="B100" s="344">
        <f t="shared" si="1"/>
        <v>1714.918281</v>
      </c>
      <c r="C100" s="344">
        <v>120.0</v>
      </c>
      <c r="D100" s="368">
        <v>45960.0</v>
      </c>
      <c r="E100" s="344" t="str">
        <f t="shared" si="2"/>
        <v>Thursday</v>
      </c>
      <c r="F100" s="344" t="s">
        <v>554</v>
      </c>
      <c r="G100" s="367">
        <v>0.33194444444444443</v>
      </c>
      <c r="H100" s="367">
        <v>0.3972222222222222</v>
      </c>
      <c r="I100" s="357">
        <f t="shared" si="3"/>
        <v>94</v>
      </c>
      <c r="J100" s="346">
        <f t="shared" si="4"/>
        <v>1343</v>
      </c>
      <c r="K100" s="312"/>
      <c r="L100" s="312"/>
      <c r="M100" s="312"/>
      <c r="N100" s="362"/>
      <c r="O100" s="312"/>
      <c r="P100" s="312"/>
      <c r="S100" s="2">
        <f t="shared" si="5"/>
        <v>0</v>
      </c>
      <c r="AA100" s="312"/>
      <c r="AB100" s="312"/>
      <c r="AC100" s="312"/>
      <c r="AD100" s="312"/>
    </row>
    <row r="101">
      <c r="A101" s="312"/>
      <c r="B101" s="344">
        <f t="shared" si="1"/>
        <v>1714.918281</v>
      </c>
      <c r="C101" s="344">
        <v>120.0</v>
      </c>
      <c r="D101" s="368">
        <v>45961.0</v>
      </c>
      <c r="E101" s="344" t="str">
        <f t="shared" si="2"/>
        <v>Friday</v>
      </c>
      <c r="F101" s="344" t="s">
        <v>554</v>
      </c>
      <c r="G101" s="367">
        <v>0.3368055555555556</v>
      </c>
      <c r="H101" s="367">
        <v>0.3541666666666667</v>
      </c>
      <c r="I101" s="357">
        <f t="shared" si="3"/>
        <v>25</v>
      </c>
      <c r="J101" s="346">
        <f t="shared" si="4"/>
        <v>357</v>
      </c>
      <c r="K101" s="312"/>
      <c r="L101" s="312"/>
      <c r="M101" s="312"/>
      <c r="N101" s="362"/>
      <c r="O101" s="312"/>
      <c r="P101" s="312"/>
      <c r="S101" s="2">
        <f t="shared" si="5"/>
        <v>0</v>
      </c>
      <c r="AA101" s="312"/>
      <c r="AB101" s="312"/>
      <c r="AC101" s="312"/>
      <c r="AD101" s="312"/>
    </row>
    <row r="102">
      <c r="A102" s="312"/>
      <c r="B102" s="344">
        <f t="shared" si="1"/>
        <v>1714.918281</v>
      </c>
      <c r="C102" s="344">
        <v>120.0</v>
      </c>
      <c r="D102" s="368">
        <v>45965.0</v>
      </c>
      <c r="E102" s="344" t="str">
        <f t="shared" si="2"/>
        <v>Tuesday</v>
      </c>
      <c r="F102" s="344" t="s">
        <v>554</v>
      </c>
      <c r="G102" s="367">
        <v>0.34305555555555556</v>
      </c>
      <c r="H102" s="367">
        <v>0.39305555555555555</v>
      </c>
      <c r="I102" s="357">
        <f t="shared" si="3"/>
        <v>72</v>
      </c>
      <c r="J102" s="346">
        <f t="shared" si="4"/>
        <v>1028</v>
      </c>
      <c r="K102" s="313"/>
      <c r="L102" s="313"/>
      <c r="M102" s="312"/>
      <c r="N102" s="362"/>
      <c r="O102" s="312"/>
      <c r="P102" s="312"/>
      <c r="S102" s="2">
        <f t="shared" si="5"/>
        <v>0</v>
      </c>
      <c r="AA102" s="312"/>
      <c r="AB102" s="312"/>
      <c r="AC102" s="312"/>
      <c r="AD102" s="312"/>
    </row>
    <row r="103">
      <c r="A103" s="312"/>
      <c r="B103" s="344">
        <f t="shared" si="1"/>
        <v>1714.918281</v>
      </c>
      <c r="C103" s="344">
        <v>120.0</v>
      </c>
      <c r="D103" s="368">
        <v>45969.0</v>
      </c>
      <c r="E103" s="344" t="str">
        <f t="shared" si="2"/>
        <v>Saturday</v>
      </c>
      <c r="F103" s="344" t="s">
        <v>554</v>
      </c>
      <c r="G103" s="367">
        <v>0.2916666666666667</v>
      </c>
      <c r="H103" s="367">
        <v>0.3402777777777778</v>
      </c>
      <c r="I103" s="357">
        <f t="shared" si="3"/>
        <v>70</v>
      </c>
      <c r="J103" s="346">
        <f t="shared" si="4"/>
        <v>1000</v>
      </c>
      <c r="K103" s="313"/>
      <c r="L103" s="313"/>
      <c r="M103" s="312"/>
      <c r="N103" s="362"/>
      <c r="O103" s="312"/>
      <c r="P103" s="312"/>
      <c r="S103" s="2">
        <f t="shared" si="5"/>
        <v>0</v>
      </c>
      <c r="AA103" s="312"/>
      <c r="AB103" s="312"/>
      <c r="AC103" s="312"/>
      <c r="AD103" s="312"/>
    </row>
    <row r="104">
      <c r="A104" s="312"/>
      <c r="B104" s="344">
        <f t="shared" si="1"/>
        <v>1714.918281</v>
      </c>
      <c r="C104" s="344">
        <v>120.0</v>
      </c>
      <c r="D104" s="368"/>
      <c r="E104" s="344" t="str">
        <f t="shared" si="2"/>
        <v>Saturday</v>
      </c>
      <c r="F104" s="344" t="s">
        <v>554</v>
      </c>
      <c r="G104" s="367"/>
      <c r="H104" s="367"/>
      <c r="I104" s="357">
        <f t="shared" si="3"/>
        <v>0</v>
      </c>
      <c r="J104" s="346">
        <f t="shared" si="4"/>
        <v>0</v>
      </c>
      <c r="K104" s="312"/>
      <c r="L104" s="312"/>
      <c r="M104" s="312"/>
      <c r="N104" s="362"/>
      <c r="O104" s="312"/>
      <c r="P104" s="312"/>
      <c r="S104" s="2">
        <f t="shared" si="5"/>
        <v>0</v>
      </c>
      <c r="AA104" s="312"/>
      <c r="AB104" s="312"/>
      <c r="AC104" s="312"/>
      <c r="AD104" s="312"/>
    </row>
    <row r="105">
      <c r="A105" s="312"/>
      <c r="B105" s="344">
        <f t="shared" si="1"/>
        <v>1714.918281</v>
      </c>
      <c r="C105" s="344">
        <v>120.0</v>
      </c>
      <c r="D105" s="368"/>
      <c r="E105" s="344" t="str">
        <f t="shared" si="2"/>
        <v>Saturday</v>
      </c>
      <c r="F105" s="344" t="s">
        <v>554</v>
      </c>
      <c r="G105" s="367"/>
      <c r="H105" s="367"/>
      <c r="I105" s="357">
        <f t="shared" si="3"/>
        <v>0</v>
      </c>
      <c r="J105" s="346">
        <f t="shared" si="4"/>
        <v>0</v>
      </c>
      <c r="K105" s="312"/>
      <c r="L105" s="312"/>
      <c r="M105" s="312"/>
      <c r="N105" s="362"/>
      <c r="O105" s="312"/>
      <c r="P105" s="312"/>
      <c r="S105" s="2">
        <f t="shared" si="5"/>
        <v>0</v>
      </c>
      <c r="AA105" s="312"/>
      <c r="AB105" s="312"/>
      <c r="AC105" s="312"/>
      <c r="AD105" s="312"/>
    </row>
    <row r="106">
      <c r="A106" s="312"/>
      <c r="B106" s="344">
        <f t="shared" si="1"/>
        <v>1714.918281</v>
      </c>
      <c r="C106" s="344">
        <v>120.0</v>
      </c>
      <c r="D106" s="368"/>
      <c r="E106" s="344" t="str">
        <f t="shared" si="2"/>
        <v>Saturday</v>
      </c>
      <c r="F106" s="344" t="s">
        <v>554</v>
      </c>
      <c r="G106" s="367"/>
      <c r="H106" s="367"/>
      <c r="I106" s="357">
        <f t="shared" si="3"/>
        <v>0</v>
      </c>
      <c r="J106" s="346">
        <f t="shared" si="4"/>
        <v>0</v>
      </c>
      <c r="K106" s="312"/>
      <c r="L106" s="312"/>
      <c r="M106" s="312"/>
      <c r="N106" s="362"/>
      <c r="O106" s="312"/>
      <c r="P106" s="312"/>
      <c r="S106" s="2">
        <f t="shared" si="5"/>
        <v>0</v>
      </c>
      <c r="AA106" s="312"/>
      <c r="AB106" s="312"/>
      <c r="AC106" s="312"/>
      <c r="AD106" s="312"/>
    </row>
    <row r="107">
      <c r="A107" s="312"/>
      <c r="B107" s="344">
        <f t="shared" si="1"/>
        <v>1714.918281</v>
      </c>
      <c r="C107" s="344">
        <v>120.0</v>
      </c>
      <c r="D107" s="368"/>
      <c r="E107" s="344" t="str">
        <f t="shared" si="2"/>
        <v>Saturday</v>
      </c>
      <c r="F107" s="344" t="s">
        <v>554</v>
      </c>
      <c r="G107" s="367"/>
      <c r="H107" s="367"/>
      <c r="I107" s="357">
        <f t="shared" si="3"/>
        <v>0</v>
      </c>
      <c r="J107" s="346">
        <f t="shared" si="4"/>
        <v>0</v>
      </c>
      <c r="K107" s="312"/>
      <c r="L107" s="312"/>
      <c r="M107" s="312"/>
      <c r="N107" s="362"/>
      <c r="O107" s="312"/>
      <c r="P107" s="312"/>
      <c r="S107" s="2">
        <f t="shared" si="5"/>
        <v>0</v>
      </c>
      <c r="AA107" s="312"/>
      <c r="AB107" s="312"/>
      <c r="AC107" s="312"/>
      <c r="AD107" s="312"/>
    </row>
    <row r="108">
      <c r="A108" s="312"/>
      <c r="B108" s="344">
        <f t="shared" si="1"/>
        <v>1714.918281</v>
      </c>
      <c r="C108" s="344">
        <v>120.0</v>
      </c>
      <c r="D108" s="368"/>
      <c r="E108" s="344" t="str">
        <f t="shared" si="2"/>
        <v>Saturday</v>
      </c>
      <c r="F108" s="344" t="s">
        <v>554</v>
      </c>
      <c r="G108" s="367"/>
      <c r="H108" s="367"/>
      <c r="I108" s="357">
        <f t="shared" si="3"/>
        <v>0</v>
      </c>
      <c r="J108" s="346">
        <f t="shared" si="4"/>
        <v>0</v>
      </c>
      <c r="K108" s="313"/>
      <c r="L108" s="312"/>
      <c r="M108" s="312"/>
      <c r="N108" s="362"/>
      <c r="O108" s="312"/>
      <c r="P108" s="312"/>
      <c r="S108" s="2">
        <f t="shared" si="5"/>
        <v>0</v>
      </c>
      <c r="AA108" s="312"/>
      <c r="AB108" s="312"/>
      <c r="AC108" s="312"/>
      <c r="AD108" s="312"/>
    </row>
    <row r="109">
      <c r="A109" s="312"/>
      <c r="B109" s="344">
        <f t="shared" si="1"/>
        <v>1714.918281</v>
      </c>
      <c r="C109" s="344">
        <v>120.0</v>
      </c>
      <c r="D109" s="368"/>
      <c r="E109" s="344" t="str">
        <f t="shared" si="2"/>
        <v>Saturday</v>
      </c>
      <c r="F109" s="344" t="s">
        <v>554</v>
      </c>
      <c r="G109" s="367"/>
      <c r="H109" s="367"/>
      <c r="I109" s="357">
        <f t="shared" si="3"/>
        <v>0</v>
      </c>
      <c r="J109" s="346">
        <f t="shared" si="4"/>
        <v>0</v>
      </c>
      <c r="K109" s="313"/>
      <c r="L109" s="312"/>
      <c r="M109" s="312"/>
      <c r="N109" s="362"/>
      <c r="O109" s="312"/>
      <c r="P109" s="312"/>
      <c r="S109" s="2">
        <f t="shared" si="5"/>
        <v>0</v>
      </c>
      <c r="AA109" s="312"/>
      <c r="AB109" s="312"/>
      <c r="AC109" s="312"/>
      <c r="AD109" s="312"/>
    </row>
    <row r="110">
      <c r="A110" s="312"/>
      <c r="B110" s="344">
        <f t="shared" si="1"/>
        <v>1714.918281</v>
      </c>
      <c r="C110" s="344">
        <v>120.0</v>
      </c>
      <c r="D110" s="368"/>
      <c r="E110" s="344" t="str">
        <f t="shared" si="2"/>
        <v>Saturday</v>
      </c>
      <c r="F110" s="344" t="s">
        <v>554</v>
      </c>
      <c r="G110" s="367"/>
      <c r="H110" s="367"/>
      <c r="I110" s="357">
        <f t="shared" si="3"/>
        <v>0</v>
      </c>
      <c r="J110" s="346">
        <f t="shared" si="4"/>
        <v>0</v>
      </c>
      <c r="K110" s="313"/>
      <c r="L110" s="312"/>
      <c r="M110" s="312"/>
      <c r="N110" s="362"/>
      <c r="O110" s="312"/>
      <c r="P110" s="312"/>
      <c r="S110" s="2">
        <f t="shared" si="5"/>
        <v>0</v>
      </c>
      <c r="AA110" s="312"/>
      <c r="AB110" s="312"/>
      <c r="AC110" s="312"/>
      <c r="AD110" s="312"/>
    </row>
    <row r="111">
      <c r="A111" s="312"/>
      <c r="B111" s="344">
        <f t="shared" si="1"/>
        <v>1714.918281</v>
      </c>
      <c r="C111" s="344">
        <v>120.0</v>
      </c>
      <c r="D111" s="368"/>
      <c r="E111" s="344" t="str">
        <f t="shared" si="2"/>
        <v>Saturday</v>
      </c>
      <c r="F111" s="344" t="s">
        <v>554</v>
      </c>
      <c r="G111" s="367"/>
      <c r="H111" s="367"/>
      <c r="I111" s="357">
        <f t="shared" si="3"/>
        <v>0</v>
      </c>
      <c r="J111" s="346">
        <f t="shared" si="4"/>
        <v>0</v>
      </c>
      <c r="K111" s="313"/>
      <c r="L111" s="312"/>
      <c r="M111" s="312"/>
      <c r="N111" s="362"/>
      <c r="O111" s="312"/>
      <c r="P111" s="312"/>
      <c r="S111" s="2">
        <f t="shared" si="5"/>
        <v>0</v>
      </c>
      <c r="AA111" s="312"/>
      <c r="AB111" s="312"/>
      <c r="AC111" s="312"/>
      <c r="AD111" s="312"/>
    </row>
    <row r="112">
      <c r="A112" s="312"/>
      <c r="B112" s="344">
        <f t="shared" si="1"/>
        <v>1714.918281</v>
      </c>
      <c r="C112" s="344">
        <v>120.0</v>
      </c>
      <c r="D112" s="368"/>
      <c r="E112" s="344" t="str">
        <f t="shared" si="2"/>
        <v>Saturday</v>
      </c>
      <c r="F112" s="344" t="s">
        <v>554</v>
      </c>
      <c r="G112" s="367"/>
      <c r="H112" s="367"/>
      <c r="I112" s="357">
        <f t="shared" si="3"/>
        <v>0</v>
      </c>
      <c r="J112" s="346">
        <f t="shared" si="4"/>
        <v>0</v>
      </c>
      <c r="K112" s="313"/>
      <c r="L112" s="312"/>
      <c r="M112" s="312"/>
      <c r="N112" s="362"/>
      <c r="O112" s="312"/>
      <c r="P112" s="312"/>
      <c r="S112" s="2">
        <f t="shared" si="5"/>
        <v>0</v>
      </c>
      <c r="AA112" s="312"/>
      <c r="AB112" s="312"/>
      <c r="AC112" s="312"/>
      <c r="AD112" s="312"/>
    </row>
    <row r="113">
      <c r="A113" s="312"/>
      <c r="B113" s="344">
        <f t="shared" si="1"/>
        <v>1714.918281</v>
      </c>
      <c r="C113" s="344">
        <v>120.0</v>
      </c>
      <c r="D113" s="368"/>
      <c r="E113" s="344" t="str">
        <f t="shared" si="2"/>
        <v>Saturday</v>
      </c>
      <c r="F113" s="344" t="s">
        <v>554</v>
      </c>
      <c r="G113" s="367"/>
      <c r="H113" s="367"/>
      <c r="I113" s="357">
        <f t="shared" si="3"/>
        <v>0</v>
      </c>
      <c r="J113" s="346">
        <f t="shared" si="4"/>
        <v>0</v>
      </c>
      <c r="K113" s="313"/>
      <c r="L113" s="312"/>
      <c r="M113" s="312"/>
      <c r="N113" s="362"/>
      <c r="O113" s="312"/>
      <c r="P113" s="312"/>
      <c r="S113" s="2">
        <f t="shared" si="5"/>
        <v>0</v>
      </c>
      <c r="AA113" s="312"/>
      <c r="AB113" s="312"/>
      <c r="AC113" s="312"/>
      <c r="AD113" s="312"/>
    </row>
    <row r="114">
      <c r="A114" s="312"/>
      <c r="B114" s="344">
        <f t="shared" si="1"/>
        <v>1714.918281</v>
      </c>
      <c r="C114" s="344">
        <v>120.0</v>
      </c>
      <c r="D114" s="368"/>
      <c r="E114" s="344" t="str">
        <f t="shared" si="2"/>
        <v>Saturday</v>
      </c>
      <c r="F114" s="344" t="s">
        <v>554</v>
      </c>
      <c r="G114" s="367"/>
      <c r="H114" s="367"/>
      <c r="I114" s="357">
        <f t="shared" si="3"/>
        <v>0</v>
      </c>
      <c r="J114" s="346">
        <f t="shared" si="4"/>
        <v>0</v>
      </c>
      <c r="K114" s="313"/>
      <c r="L114" s="312"/>
      <c r="M114" s="312"/>
      <c r="N114" s="362"/>
      <c r="O114" s="312"/>
      <c r="P114" s="312"/>
      <c r="S114" s="2">
        <f t="shared" si="5"/>
        <v>0</v>
      </c>
      <c r="AA114" s="312"/>
      <c r="AB114" s="312"/>
      <c r="AC114" s="312"/>
      <c r="AD114" s="312"/>
    </row>
    <row r="115">
      <c r="A115" s="312"/>
      <c r="B115" s="344">
        <f t="shared" si="1"/>
        <v>1714.918281</v>
      </c>
      <c r="C115" s="344">
        <v>120.0</v>
      </c>
      <c r="D115" s="368"/>
      <c r="E115" s="344" t="str">
        <f t="shared" si="2"/>
        <v>Saturday</v>
      </c>
      <c r="F115" s="344" t="s">
        <v>554</v>
      </c>
      <c r="G115" s="367"/>
      <c r="H115" s="367"/>
      <c r="I115" s="357">
        <f t="shared" si="3"/>
        <v>0</v>
      </c>
      <c r="J115" s="346">
        <f t="shared" si="4"/>
        <v>0</v>
      </c>
      <c r="K115" s="313"/>
      <c r="L115" s="312"/>
      <c r="M115" s="312"/>
      <c r="N115" s="362"/>
      <c r="O115" s="312"/>
      <c r="P115" s="312"/>
      <c r="S115" s="2">
        <f t="shared" si="5"/>
        <v>0</v>
      </c>
      <c r="AA115" s="312"/>
      <c r="AB115" s="312"/>
      <c r="AC115" s="312"/>
      <c r="AD115" s="312"/>
    </row>
    <row r="116">
      <c r="A116" s="312"/>
      <c r="B116" s="344">
        <f t="shared" si="1"/>
        <v>1714.918281</v>
      </c>
      <c r="C116" s="344">
        <v>120.0</v>
      </c>
      <c r="D116" s="368"/>
      <c r="E116" s="344" t="str">
        <f t="shared" si="2"/>
        <v>Saturday</v>
      </c>
      <c r="F116" s="344" t="s">
        <v>554</v>
      </c>
      <c r="G116" s="367"/>
      <c r="H116" s="367"/>
      <c r="I116" s="357">
        <f t="shared" si="3"/>
        <v>0</v>
      </c>
      <c r="J116" s="346">
        <f t="shared" si="4"/>
        <v>0</v>
      </c>
      <c r="K116" s="312"/>
      <c r="L116" s="312"/>
      <c r="M116" s="312"/>
      <c r="N116" s="362"/>
      <c r="O116" s="312"/>
      <c r="P116" s="312"/>
      <c r="S116" s="2">
        <f t="shared" si="5"/>
        <v>0</v>
      </c>
      <c r="AA116" s="312"/>
      <c r="AB116" s="312"/>
      <c r="AC116" s="312"/>
      <c r="AD116" s="312"/>
    </row>
    <row r="117">
      <c r="A117" s="312"/>
      <c r="B117" s="344">
        <f t="shared" si="1"/>
        <v>1714.918281</v>
      </c>
      <c r="C117" s="344">
        <v>120.0</v>
      </c>
      <c r="D117" s="368"/>
      <c r="E117" s="344" t="str">
        <f t="shared" si="2"/>
        <v>Saturday</v>
      </c>
      <c r="F117" s="344" t="s">
        <v>554</v>
      </c>
      <c r="G117" s="367"/>
      <c r="H117" s="367"/>
      <c r="I117" s="357">
        <f t="shared" si="3"/>
        <v>0</v>
      </c>
      <c r="J117" s="346">
        <f t="shared" si="4"/>
        <v>0</v>
      </c>
      <c r="K117" s="312"/>
      <c r="L117" s="312"/>
      <c r="M117" s="312"/>
      <c r="N117" s="362"/>
      <c r="O117" s="312"/>
      <c r="P117" s="312"/>
      <c r="S117" s="2">
        <f t="shared" si="5"/>
        <v>0</v>
      </c>
      <c r="AA117" s="312"/>
      <c r="AB117" s="312"/>
      <c r="AC117" s="312"/>
      <c r="AD117" s="312"/>
    </row>
    <row r="118">
      <c r="A118" s="312"/>
      <c r="B118" s="344">
        <f t="shared" si="1"/>
        <v>1714.918281</v>
      </c>
      <c r="C118" s="344">
        <v>120.0</v>
      </c>
      <c r="D118" s="368"/>
      <c r="E118" s="344" t="str">
        <f t="shared" si="2"/>
        <v>Saturday</v>
      </c>
      <c r="F118" s="344" t="s">
        <v>554</v>
      </c>
      <c r="G118" s="367"/>
      <c r="H118" s="367"/>
      <c r="I118" s="357">
        <f t="shared" si="3"/>
        <v>0</v>
      </c>
      <c r="J118" s="346">
        <f t="shared" si="4"/>
        <v>0</v>
      </c>
      <c r="K118" s="313"/>
      <c r="L118" s="312"/>
      <c r="M118" s="312"/>
      <c r="N118" s="362"/>
      <c r="O118" s="312"/>
      <c r="P118" s="312"/>
      <c r="S118" s="2">
        <f t="shared" si="5"/>
        <v>0</v>
      </c>
      <c r="AA118" s="312"/>
      <c r="AB118" s="312"/>
      <c r="AC118" s="312"/>
      <c r="AD118" s="312"/>
    </row>
    <row r="119">
      <c r="A119" s="312"/>
      <c r="B119" s="344">
        <f t="shared" si="1"/>
        <v>1714.918281</v>
      </c>
      <c r="C119" s="344">
        <v>120.0</v>
      </c>
      <c r="D119" s="368"/>
      <c r="E119" s="344" t="str">
        <f t="shared" si="2"/>
        <v>Saturday</v>
      </c>
      <c r="F119" s="344" t="s">
        <v>554</v>
      </c>
      <c r="G119" s="367"/>
      <c r="H119" s="367"/>
      <c r="I119" s="357">
        <f t="shared" si="3"/>
        <v>0</v>
      </c>
      <c r="J119" s="346">
        <f t="shared" si="4"/>
        <v>0</v>
      </c>
      <c r="K119" s="313"/>
      <c r="L119" s="312"/>
      <c r="M119" s="312"/>
      <c r="N119" s="362"/>
      <c r="O119" s="312"/>
      <c r="P119" s="312"/>
      <c r="S119" s="2">
        <f t="shared" si="5"/>
        <v>0</v>
      </c>
      <c r="AA119" s="312"/>
      <c r="AB119" s="312"/>
      <c r="AC119" s="312"/>
      <c r="AD119" s="312"/>
    </row>
    <row r="120">
      <c r="A120" s="312"/>
      <c r="B120" s="344">
        <f t="shared" si="1"/>
        <v>1714.918281</v>
      </c>
      <c r="C120" s="344">
        <v>120.0</v>
      </c>
      <c r="D120" s="368"/>
      <c r="E120" s="344" t="str">
        <f t="shared" si="2"/>
        <v>Saturday</v>
      </c>
      <c r="F120" s="344" t="s">
        <v>554</v>
      </c>
      <c r="G120" s="367"/>
      <c r="H120" s="367"/>
      <c r="I120" s="357">
        <f t="shared" si="3"/>
        <v>0</v>
      </c>
      <c r="J120" s="346">
        <f t="shared" si="4"/>
        <v>0</v>
      </c>
      <c r="K120" s="313"/>
      <c r="L120" s="312"/>
      <c r="M120" s="312"/>
      <c r="N120" s="362"/>
      <c r="O120" s="312"/>
      <c r="P120" s="312"/>
      <c r="S120" s="2">
        <f t="shared" si="5"/>
        <v>0</v>
      </c>
      <c r="AA120" s="312"/>
      <c r="AB120" s="312"/>
      <c r="AC120" s="312"/>
      <c r="AD120" s="312"/>
    </row>
    <row r="121">
      <c r="A121" s="312"/>
      <c r="B121" s="344">
        <f t="shared" si="1"/>
        <v>1714.918281</v>
      </c>
      <c r="C121" s="344">
        <v>120.0</v>
      </c>
      <c r="D121" s="368"/>
      <c r="E121" s="344" t="str">
        <f t="shared" si="2"/>
        <v>Saturday</v>
      </c>
      <c r="F121" s="344" t="s">
        <v>554</v>
      </c>
      <c r="G121" s="367"/>
      <c r="H121" s="367"/>
      <c r="I121" s="357">
        <f t="shared" si="3"/>
        <v>0</v>
      </c>
      <c r="J121" s="346">
        <f t="shared" si="4"/>
        <v>0</v>
      </c>
      <c r="K121" s="313"/>
      <c r="L121" s="312"/>
      <c r="M121" s="312"/>
      <c r="N121" s="362"/>
      <c r="O121" s="312"/>
      <c r="P121" s="312"/>
      <c r="S121" s="2">
        <f t="shared" si="5"/>
        <v>0</v>
      </c>
      <c r="AA121" s="312"/>
      <c r="AB121" s="312"/>
      <c r="AC121" s="312"/>
      <c r="AD121" s="312"/>
    </row>
    <row r="122">
      <c r="A122" s="312"/>
      <c r="B122" s="344">
        <f t="shared" si="1"/>
        <v>1714.918281</v>
      </c>
      <c r="C122" s="344">
        <v>120.0</v>
      </c>
      <c r="D122" s="368"/>
      <c r="E122" s="344" t="str">
        <f t="shared" si="2"/>
        <v>Saturday</v>
      </c>
      <c r="F122" s="344" t="s">
        <v>554</v>
      </c>
      <c r="G122" s="367"/>
      <c r="H122" s="367"/>
      <c r="I122" s="357">
        <f t="shared" si="3"/>
        <v>0</v>
      </c>
      <c r="J122" s="346">
        <f t="shared" si="4"/>
        <v>0</v>
      </c>
      <c r="K122" s="313"/>
      <c r="L122" s="312"/>
      <c r="M122" s="312"/>
      <c r="N122" s="362"/>
      <c r="O122" s="312"/>
      <c r="P122" s="312"/>
      <c r="S122" s="2">
        <f t="shared" si="5"/>
        <v>0</v>
      </c>
      <c r="AA122" s="312"/>
      <c r="AB122" s="312"/>
      <c r="AC122" s="312"/>
      <c r="AD122" s="312"/>
    </row>
    <row r="123">
      <c r="A123" s="312"/>
      <c r="B123" s="344">
        <f t="shared" si="1"/>
        <v>1714.918281</v>
      </c>
      <c r="C123" s="344">
        <v>120.0</v>
      </c>
      <c r="D123" s="368"/>
      <c r="E123" s="344" t="str">
        <f t="shared" si="2"/>
        <v>Saturday</v>
      </c>
      <c r="F123" s="344" t="s">
        <v>554</v>
      </c>
      <c r="G123" s="367"/>
      <c r="H123" s="367"/>
      <c r="I123" s="357">
        <f t="shared" si="3"/>
        <v>0</v>
      </c>
      <c r="J123" s="346">
        <f t="shared" si="4"/>
        <v>0</v>
      </c>
      <c r="K123" s="313"/>
      <c r="L123" s="312"/>
      <c r="M123" s="312"/>
      <c r="N123" s="362"/>
      <c r="O123" s="312"/>
      <c r="P123" s="312"/>
      <c r="S123" s="2">
        <f t="shared" si="5"/>
        <v>0</v>
      </c>
      <c r="AA123" s="312"/>
      <c r="AB123" s="312"/>
      <c r="AC123" s="312"/>
      <c r="AD123" s="312"/>
    </row>
    <row r="124">
      <c r="A124" s="312"/>
      <c r="B124" s="344">
        <f t="shared" si="1"/>
        <v>1714.918281</v>
      </c>
      <c r="C124" s="344">
        <v>120.0</v>
      </c>
      <c r="D124" s="368"/>
      <c r="E124" s="344" t="str">
        <f t="shared" si="2"/>
        <v>Saturday</v>
      </c>
      <c r="F124" s="344" t="s">
        <v>554</v>
      </c>
      <c r="G124" s="367"/>
      <c r="H124" s="367"/>
      <c r="I124" s="357">
        <f t="shared" si="3"/>
        <v>0</v>
      </c>
      <c r="J124" s="346">
        <f t="shared" si="4"/>
        <v>0</v>
      </c>
      <c r="K124" s="313"/>
      <c r="L124" s="312"/>
      <c r="M124" s="312"/>
      <c r="N124" s="362"/>
      <c r="O124" s="312"/>
      <c r="P124" s="312"/>
      <c r="S124" s="2">
        <f t="shared" si="5"/>
        <v>0</v>
      </c>
      <c r="AA124" s="312"/>
      <c r="AB124" s="312"/>
      <c r="AC124" s="312"/>
      <c r="AD124" s="312"/>
    </row>
    <row r="125">
      <c r="A125" s="312"/>
      <c r="B125" s="344">
        <f t="shared" si="1"/>
        <v>1714.918281</v>
      </c>
      <c r="C125" s="344">
        <v>120.0</v>
      </c>
      <c r="D125" s="369"/>
      <c r="E125" s="344" t="str">
        <f t="shared" si="2"/>
        <v>Saturday</v>
      </c>
      <c r="F125" s="344" t="s">
        <v>554</v>
      </c>
      <c r="G125" s="370"/>
      <c r="H125" s="370"/>
      <c r="I125" s="357">
        <f t="shared" si="3"/>
        <v>0</v>
      </c>
      <c r="J125" s="346">
        <f t="shared" si="4"/>
        <v>0</v>
      </c>
      <c r="K125" s="312"/>
      <c r="L125" s="312"/>
      <c r="M125" s="312"/>
      <c r="N125" s="362"/>
      <c r="O125" s="312"/>
      <c r="P125" s="312"/>
      <c r="S125" s="2">
        <f t="shared" si="5"/>
        <v>0</v>
      </c>
      <c r="AA125" s="312"/>
      <c r="AB125" s="312"/>
      <c r="AC125" s="312"/>
      <c r="AD125" s="312"/>
    </row>
    <row r="126">
      <c r="A126" s="312"/>
      <c r="B126" s="344">
        <f t="shared" si="1"/>
        <v>1714.918281</v>
      </c>
      <c r="C126" s="344">
        <v>120.0</v>
      </c>
      <c r="D126" s="369"/>
      <c r="E126" s="344" t="str">
        <f t="shared" si="2"/>
        <v>Saturday</v>
      </c>
      <c r="F126" s="344" t="s">
        <v>554</v>
      </c>
      <c r="G126" s="370"/>
      <c r="H126" s="370"/>
      <c r="I126" s="357">
        <f t="shared" si="3"/>
        <v>0</v>
      </c>
      <c r="J126" s="346">
        <f t="shared" si="4"/>
        <v>0</v>
      </c>
      <c r="K126" s="312"/>
      <c r="L126" s="312"/>
      <c r="M126" s="312"/>
      <c r="N126" s="362"/>
      <c r="O126" s="312"/>
      <c r="P126" s="312"/>
      <c r="S126" s="2">
        <f t="shared" si="5"/>
        <v>0</v>
      </c>
      <c r="AA126" s="312"/>
      <c r="AB126" s="312"/>
      <c r="AC126" s="312"/>
      <c r="AD126" s="312"/>
    </row>
    <row r="127">
      <c r="A127" s="312"/>
      <c r="B127" s="344">
        <f t="shared" si="1"/>
        <v>1714.918281</v>
      </c>
      <c r="C127" s="344">
        <v>120.0</v>
      </c>
      <c r="D127" s="369"/>
      <c r="E127" s="344" t="str">
        <f t="shared" si="2"/>
        <v>Saturday</v>
      </c>
      <c r="F127" s="344" t="s">
        <v>554</v>
      </c>
      <c r="G127" s="370"/>
      <c r="H127" s="370"/>
      <c r="I127" s="357">
        <f t="shared" si="3"/>
        <v>0</v>
      </c>
      <c r="J127" s="346">
        <f t="shared" si="4"/>
        <v>0</v>
      </c>
      <c r="K127" s="312"/>
      <c r="L127" s="312"/>
      <c r="M127" s="312"/>
      <c r="N127" s="362"/>
      <c r="O127" s="312"/>
      <c r="P127" s="312"/>
      <c r="S127" s="2">
        <f t="shared" si="5"/>
        <v>0</v>
      </c>
      <c r="AA127" s="312"/>
      <c r="AB127" s="312"/>
      <c r="AC127" s="312"/>
      <c r="AD127" s="312"/>
    </row>
    <row r="128">
      <c r="A128" s="312"/>
      <c r="B128" s="344">
        <f t="shared" si="1"/>
        <v>1714.918281</v>
      </c>
      <c r="C128" s="344">
        <v>120.0</v>
      </c>
      <c r="D128" s="369"/>
      <c r="E128" s="344" t="str">
        <f t="shared" si="2"/>
        <v>Saturday</v>
      </c>
      <c r="F128" s="344" t="s">
        <v>554</v>
      </c>
      <c r="G128" s="370"/>
      <c r="H128" s="370"/>
      <c r="I128" s="357">
        <f t="shared" si="3"/>
        <v>0</v>
      </c>
      <c r="J128" s="346">
        <f t="shared" si="4"/>
        <v>0</v>
      </c>
      <c r="K128" s="312"/>
      <c r="L128" s="312"/>
      <c r="M128" s="312"/>
      <c r="N128" s="362"/>
      <c r="O128" s="312"/>
      <c r="P128" s="312"/>
      <c r="S128" s="2">
        <f t="shared" si="5"/>
        <v>0</v>
      </c>
      <c r="AA128" s="312"/>
      <c r="AB128" s="312"/>
      <c r="AC128" s="312"/>
      <c r="AD128" s="312"/>
    </row>
    <row r="129">
      <c r="A129" s="312"/>
      <c r="B129" s="344">
        <f t="shared" si="1"/>
        <v>1714.918281</v>
      </c>
      <c r="C129" s="344">
        <v>120.0</v>
      </c>
      <c r="D129" s="369"/>
      <c r="E129" s="344" t="str">
        <f t="shared" si="2"/>
        <v>Saturday</v>
      </c>
      <c r="F129" s="344" t="s">
        <v>554</v>
      </c>
      <c r="G129" s="370"/>
      <c r="H129" s="370"/>
      <c r="I129" s="357">
        <f t="shared" si="3"/>
        <v>0</v>
      </c>
      <c r="J129" s="346">
        <f t="shared" si="4"/>
        <v>0</v>
      </c>
      <c r="K129" s="312"/>
      <c r="L129" s="312"/>
      <c r="M129" s="312"/>
      <c r="N129" s="362"/>
      <c r="O129" s="312"/>
      <c r="P129" s="312"/>
      <c r="S129" s="2">
        <f t="shared" si="5"/>
        <v>0</v>
      </c>
      <c r="AA129" s="312"/>
      <c r="AB129" s="312"/>
      <c r="AC129" s="312"/>
      <c r="AD129" s="312"/>
    </row>
    <row r="130">
      <c r="A130" s="312"/>
      <c r="B130" s="344">
        <f t="shared" si="1"/>
        <v>1714.918281</v>
      </c>
      <c r="C130" s="344">
        <v>120.0</v>
      </c>
      <c r="D130" s="369"/>
      <c r="E130" s="344" t="str">
        <f t="shared" si="2"/>
        <v>Saturday</v>
      </c>
      <c r="F130" s="344" t="s">
        <v>554</v>
      </c>
      <c r="G130" s="370"/>
      <c r="H130" s="370"/>
      <c r="I130" s="357">
        <f t="shared" si="3"/>
        <v>0</v>
      </c>
      <c r="J130" s="346">
        <f t="shared" si="4"/>
        <v>0</v>
      </c>
      <c r="K130" s="312"/>
      <c r="L130" s="312"/>
      <c r="M130" s="312"/>
      <c r="N130" s="362"/>
      <c r="O130" s="312"/>
      <c r="P130" s="312"/>
      <c r="S130" s="2">
        <f t="shared" si="5"/>
        <v>0</v>
      </c>
      <c r="AA130" s="312"/>
      <c r="AB130" s="312"/>
      <c r="AC130" s="312"/>
      <c r="AD130" s="312"/>
    </row>
    <row r="131">
      <c r="A131" s="312"/>
      <c r="B131" s="344">
        <f t="shared" si="1"/>
        <v>1714.918281</v>
      </c>
      <c r="C131" s="344">
        <v>120.0</v>
      </c>
      <c r="D131" s="369"/>
      <c r="E131" s="344" t="str">
        <f t="shared" si="2"/>
        <v>Saturday</v>
      </c>
      <c r="F131" s="344" t="s">
        <v>554</v>
      </c>
      <c r="G131" s="370"/>
      <c r="H131" s="370"/>
      <c r="I131" s="357">
        <f t="shared" si="3"/>
        <v>0</v>
      </c>
      <c r="J131" s="346">
        <f t="shared" si="4"/>
        <v>0</v>
      </c>
      <c r="K131" s="312"/>
      <c r="L131" s="312"/>
      <c r="M131" s="312"/>
      <c r="N131" s="362"/>
      <c r="O131" s="312"/>
      <c r="P131" s="312"/>
      <c r="S131" s="2">
        <f t="shared" si="5"/>
        <v>0</v>
      </c>
      <c r="AA131" s="312"/>
      <c r="AB131" s="312"/>
      <c r="AC131" s="312"/>
      <c r="AD131" s="312"/>
    </row>
    <row r="132">
      <c r="A132" s="312"/>
      <c r="B132" s="344">
        <f t="shared" si="1"/>
        <v>1714.918281</v>
      </c>
      <c r="C132" s="344">
        <v>120.0</v>
      </c>
      <c r="D132" s="369"/>
      <c r="E132" s="344" t="str">
        <f t="shared" si="2"/>
        <v>Saturday</v>
      </c>
      <c r="F132" s="344" t="s">
        <v>554</v>
      </c>
      <c r="G132" s="370"/>
      <c r="H132" s="370"/>
      <c r="I132" s="357">
        <f t="shared" si="3"/>
        <v>0</v>
      </c>
      <c r="J132" s="346">
        <f t="shared" si="4"/>
        <v>0</v>
      </c>
      <c r="K132" s="312"/>
      <c r="L132" s="312"/>
      <c r="M132" s="312"/>
      <c r="N132" s="362"/>
      <c r="O132" s="312"/>
      <c r="P132" s="312"/>
      <c r="S132" s="2">
        <f t="shared" si="5"/>
        <v>0</v>
      </c>
      <c r="AA132" s="312"/>
      <c r="AB132" s="312"/>
      <c r="AC132" s="312"/>
      <c r="AD132" s="312"/>
    </row>
    <row r="133">
      <c r="A133" s="312"/>
      <c r="B133" s="344">
        <f t="shared" si="1"/>
        <v>1714.918281</v>
      </c>
      <c r="C133" s="344">
        <v>120.0</v>
      </c>
      <c r="D133" s="369"/>
      <c r="E133" s="344" t="str">
        <f t="shared" si="2"/>
        <v>Saturday</v>
      </c>
      <c r="F133" s="344" t="s">
        <v>554</v>
      </c>
      <c r="G133" s="370"/>
      <c r="H133" s="370"/>
      <c r="I133" s="357">
        <f t="shared" si="3"/>
        <v>0</v>
      </c>
      <c r="J133" s="346">
        <f t="shared" si="4"/>
        <v>0</v>
      </c>
      <c r="K133" s="312"/>
      <c r="L133" s="312"/>
      <c r="M133" s="312"/>
      <c r="N133" s="362"/>
      <c r="O133" s="312"/>
      <c r="P133" s="312"/>
      <c r="S133" s="2">
        <f t="shared" si="5"/>
        <v>0</v>
      </c>
      <c r="AA133" s="312"/>
      <c r="AB133" s="312"/>
      <c r="AC133" s="312"/>
      <c r="AD133" s="312"/>
    </row>
    <row r="134">
      <c r="A134" s="312"/>
      <c r="B134" s="344">
        <f t="shared" si="1"/>
        <v>1714.918281</v>
      </c>
      <c r="C134" s="344">
        <v>120.0</v>
      </c>
      <c r="D134" s="369"/>
      <c r="E134" s="344" t="str">
        <f t="shared" si="2"/>
        <v>Saturday</v>
      </c>
      <c r="F134" s="344" t="s">
        <v>554</v>
      </c>
      <c r="G134" s="370"/>
      <c r="H134" s="370"/>
      <c r="I134" s="357">
        <f t="shared" si="3"/>
        <v>0</v>
      </c>
      <c r="J134" s="346">
        <f t="shared" si="4"/>
        <v>0</v>
      </c>
      <c r="K134" s="312"/>
      <c r="L134" s="312"/>
      <c r="M134" s="312"/>
      <c r="N134" s="362"/>
      <c r="O134" s="312"/>
      <c r="P134" s="312"/>
      <c r="S134" s="2">
        <f t="shared" si="5"/>
        <v>0</v>
      </c>
      <c r="AA134" s="312"/>
      <c r="AB134" s="312"/>
      <c r="AC134" s="312"/>
      <c r="AD134" s="312"/>
    </row>
    <row r="135">
      <c r="A135" s="312"/>
      <c r="B135" s="344">
        <f t="shared" si="1"/>
        <v>1714.918281</v>
      </c>
      <c r="C135" s="344">
        <v>120.0</v>
      </c>
      <c r="D135" s="369"/>
      <c r="E135" s="344" t="str">
        <f t="shared" si="2"/>
        <v>Saturday</v>
      </c>
      <c r="F135" s="344" t="s">
        <v>554</v>
      </c>
      <c r="G135" s="370"/>
      <c r="H135" s="370"/>
      <c r="I135" s="357">
        <f t="shared" si="3"/>
        <v>0</v>
      </c>
      <c r="J135" s="346">
        <f t="shared" si="4"/>
        <v>0</v>
      </c>
      <c r="K135" s="312"/>
      <c r="L135" s="312"/>
      <c r="M135" s="312"/>
      <c r="N135" s="362"/>
      <c r="O135" s="312"/>
      <c r="P135" s="312"/>
      <c r="S135" s="2">
        <f t="shared" si="5"/>
        <v>0</v>
      </c>
      <c r="AA135" s="312"/>
      <c r="AB135" s="312"/>
      <c r="AC135" s="312"/>
      <c r="AD135" s="312"/>
    </row>
    <row r="136">
      <c r="A136" s="312"/>
      <c r="B136" s="344">
        <f t="shared" si="1"/>
        <v>1714.918281</v>
      </c>
      <c r="C136" s="344">
        <v>120.0</v>
      </c>
      <c r="D136" s="369"/>
      <c r="E136" s="344" t="str">
        <f t="shared" si="2"/>
        <v>Saturday</v>
      </c>
      <c r="F136" s="344" t="s">
        <v>554</v>
      </c>
      <c r="G136" s="370"/>
      <c r="H136" s="370"/>
      <c r="I136" s="357">
        <f t="shared" si="3"/>
        <v>0</v>
      </c>
      <c r="J136" s="346">
        <f t="shared" si="4"/>
        <v>0</v>
      </c>
      <c r="K136" s="312"/>
      <c r="L136" s="312"/>
      <c r="M136" s="312"/>
      <c r="N136" s="362"/>
      <c r="O136" s="312"/>
      <c r="P136" s="312"/>
      <c r="S136" s="2">
        <f t="shared" si="5"/>
        <v>0</v>
      </c>
      <c r="AA136" s="312"/>
      <c r="AB136" s="312"/>
      <c r="AC136" s="312"/>
      <c r="AD136" s="312"/>
    </row>
    <row r="137">
      <c r="A137" s="312"/>
      <c r="B137" s="344">
        <f t="shared" si="1"/>
        <v>1714.918281</v>
      </c>
      <c r="C137" s="344">
        <v>120.0</v>
      </c>
      <c r="D137" s="369"/>
      <c r="E137" s="344" t="str">
        <f t="shared" si="2"/>
        <v>Saturday</v>
      </c>
      <c r="F137" s="344" t="s">
        <v>554</v>
      </c>
      <c r="G137" s="370"/>
      <c r="H137" s="370"/>
      <c r="I137" s="357">
        <f t="shared" si="3"/>
        <v>0</v>
      </c>
      <c r="J137" s="346">
        <f t="shared" si="4"/>
        <v>0</v>
      </c>
      <c r="K137" s="312"/>
      <c r="L137" s="312"/>
      <c r="M137" s="312"/>
      <c r="N137" s="362"/>
      <c r="O137" s="312"/>
      <c r="P137" s="312"/>
      <c r="S137" s="2">
        <f t="shared" si="5"/>
        <v>0</v>
      </c>
      <c r="AA137" s="312"/>
      <c r="AB137" s="312"/>
      <c r="AC137" s="312"/>
      <c r="AD137" s="312"/>
    </row>
    <row r="138">
      <c r="A138" s="312"/>
      <c r="B138" s="344">
        <f t="shared" si="1"/>
        <v>1714.918281</v>
      </c>
      <c r="C138" s="344">
        <v>120.0</v>
      </c>
      <c r="D138" s="369"/>
      <c r="E138" s="344" t="str">
        <f t="shared" si="2"/>
        <v>Saturday</v>
      </c>
      <c r="F138" s="344" t="s">
        <v>554</v>
      </c>
      <c r="G138" s="370"/>
      <c r="H138" s="370"/>
      <c r="I138" s="357">
        <f t="shared" si="3"/>
        <v>0</v>
      </c>
      <c r="J138" s="346">
        <f t="shared" si="4"/>
        <v>0</v>
      </c>
      <c r="K138" s="312"/>
      <c r="L138" s="312"/>
      <c r="M138" s="312"/>
      <c r="N138" s="362"/>
      <c r="O138" s="312"/>
      <c r="P138" s="312"/>
      <c r="S138" s="2">
        <f t="shared" si="5"/>
        <v>0</v>
      </c>
      <c r="AA138" s="312"/>
      <c r="AB138" s="312"/>
      <c r="AC138" s="312"/>
      <c r="AD138" s="312"/>
    </row>
    <row r="139">
      <c r="A139" s="312"/>
      <c r="B139" s="344">
        <f t="shared" si="1"/>
        <v>1714.918281</v>
      </c>
      <c r="C139" s="344">
        <v>120.0</v>
      </c>
      <c r="D139" s="369"/>
      <c r="E139" s="344" t="str">
        <f t="shared" si="2"/>
        <v>Saturday</v>
      </c>
      <c r="F139" s="344" t="s">
        <v>554</v>
      </c>
      <c r="G139" s="370"/>
      <c r="H139" s="370"/>
      <c r="I139" s="357">
        <f t="shared" si="3"/>
        <v>0</v>
      </c>
      <c r="J139" s="346">
        <f t="shared" si="4"/>
        <v>0</v>
      </c>
      <c r="K139" s="312"/>
      <c r="L139" s="312"/>
      <c r="M139" s="312"/>
      <c r="N139" s="362"/>
      <c r="O139" s="312"/>
      <c r="P139" s="312"/>
      <c r="S139" s="2">
        <f t="shared" si="5"/>
        <v>0</v>
      </c>
      <c r="AA139" s="312"/>
      <c r="AB139" s="312"/>
      <c r="AC139" s="312"/>
      <c r="AD139" s="312"/>
    </row>
    <row r="140">
      <c r="A140" s="312"/>
      <c r="B140" s="344">
        <f t="shared" si="1"/>
        <v>1714.918281</v>
      </c>
      <c r="C140" s="344">
        <v>120.0</v>
      </c>
      <c r="D140" s="369"/>
      <c r="E140" s="344" t="str">
        <f t="shared" si="2"/>
        <v>Saturday</v>
      </c>
      <c r="F140" s="344" t="s">
        <v>554</v>
      </c>
      <c r="G140" s="370"/>
      <c r="H140" s="370"/>
      <c r="I140" s="357">
        <f t="shared" si="3"/>
        <v>0</v>
      </c>
      <c r="J140" s="346">
        <f t="shared" si="4"/>
        <v>0</v>
      </c>
      <c r="K140" s="312"/>
      <c r="L140" s="312"/>
      <c r="M140" s="312"/>
      <c r="N140" s="362"/>
      <c r="O140" s="312"/>
      <c r="P140" s="312"/>
      <c r="S140" s="2">
        <f t="shared" si="5"/>
        <v>0</v>
      </c>
      <c r="AA140" s="312"/>
      <c r="AB140" s="312"/>
      <c r="AC140" s="312"/>
      <c r="AD140" s="312"/>
    </row>
    <row r="141">
      <c r="A141" s="312"/>
      <c r="B141" s="344">
        <f t="shared" si="1"/>
        <v>1714.918281</v>
      </c>
      <c r="C141" s="344">
        <v>120.0</v>
      </c>
      <c r="D141" s="369"/>
      <c r="E141" s="344" t="str">
        <f t="shared" si="2"/>
        <v>Saturday</v>
      </c>
      <c r="F141" s="344" t="s">
        <v>554</v>
      </c>
      <c r="G141" s="370"/>
      <c r="H141" s="370"/>
      <c r="I141" s="357">
        <f t="shared" si="3"/>
        <v>0</v>
      </c>
      <c r="J141" s="346">
        <f t="shared" si="4"/>
        <v>0</v>
      </c>
      <c r="K141" s="312"/>
      <c r="L141" s="312"/>
      <c r="M141" s="312"/>
      <c r="N141" s="362"/>
      <c r="O141" s="312"/>
      <c r="P141" s="312"/>
      <c r="S141" s="2">
        <f t="shared" si="5"/>
        <v>0</v>
      </c>
      <c r="AA141" s="312"/>
      <c r="AB141" s="312"/>
      <c r="AC141" s="312"/>
      <c r="AD141" s="312"/>
    </row>
    <row r="142">
      <c r="A142" s="312"/>
      <c r="B142" s="344">
        <f t="shared" si="1"/>
        <v>1714.918281</v>
      </c>
      <c r="C142" s="344">
        <v>120.0</v>
      </c>
      <c r="D142" s="369"/>
      <c r="E142" s="344" t="str">
        <f t="shared" si="2"/>
        <v>Saturday</v>
      </c>
      <c r="F142" s="344" t="s">
        <v>554</v>
      </c>
      <c r="G142" s="370"/>
      <c r="H142" s="370"/>
      <c r="I142" s="357">
        <f t="shared" si="3"/>
        <v>0</v>
      </c>
      <c r="J142" s="346">
        <f t="shared" si="4"/>
        <v>0</v>
      </c>
      <c r="K142" s="312"/>
      <c r="L142" s="312"/>
      <c r="M142" s="312"/>
      <c r="N142" s="362"/>
      <c r="O142" s="312"/>
      <c r="P142" s="312"/>
      <c r="S142" s="2">
        <f t="shared" si="5"/>
        <v>0</v>
      </c>
      <c r="AA142" s="312"/>
      <c r="AB142" s="312"/>
      <c r="AC142" s="312"/>
      <c r="AD142" s="312"/>
    </row>
    <row r="143">
      <c r="A143" s="312"/>
      <c r="B143" s="344">
        <f t="shared" si="1"/>
        <v>1714.918281</v>
      </c>
      <c r="C143" s="344">
        <v>120.0</v>
      </c>
      <c r="D143" s="369"/>
      <c r="E143" s="344" t="str">
        <f t="shared" si="2"/>
        <v>Saturday</v>
      </c>
      <c r="F143" s="344" t="s">
        <v>554</v>
      </c>
      <c r="G143" s="370"/>
      <c r="H143" s="370"/>
      <c r="I143" s="357">
        <f t="shared" si="3"/>
        <v>0</v>
      </c>
      <c r="J143" s="346">
        <f t="shared" si="4"/>
        <v>0</v>
      </c>
      <c r="K143" s="312"/>
      <c r="L143" s="312"/>
      <c r="M143" s="312"/>
      <c r="N143" s="362"/>
      <c r="O143" s="312"/>
      <c r="P143" s="312"/>
      <c r="S143" s="2">
        <f t="shared" si="5"/>
        <v>0</v>
      </c>
      <c r="AA143" s="312"/>
      <c r="AB143" s="312"/>
      <c r="AC143" s="312"/>
      <c r="AD143" s="312"/>
    </row>
    <row r="144">
      <c r="A144" s="312"/>
      <c r="B144" s="344">
        <f t="shared" si="1"/>
        <v>1714.918281</v>
      </c>
      <c r="C144" s="344">
        <v>120.0</v>
      </c>
      <c r="D144" s="369"/>
      <c r="E144" s="344" t="str">
        <f t="shared" si="2"/>
        <v>Saturday</v>
      </c>
      <c r="F144" s="344" t="s">
        <v>554</v>
      </c>
      <c r="G144" s="370"/>
      <c r="H144" s="370"/>
      <c r="I144" s="357">
        <f t="shared" si="3"/>
        <v>0</v>
      </c>
      <c r="J144" s="346">
        <f t="shared" si="4"/>
        <v>0</v>
      </c>
      <c r="K144" s="312"/>
      <c r="L144" s="312"/>
      <c r="M144" s="312"/>
      <c r="N144" s="362"/>
      <c r="O144" s="312"/>
      <c r="P144" s="312"/>
      <c r="S144" s="2">
        <f t="shared" si="5"/>
        <v>0</v>
      </c>
      <c r="AA144" s="312"/>
      <c r="AB144" s="312"/>
      <c r="AC144" s="312"/>
      <c r="AD144" s="312"/>
    </row>
    <row r="145">
      <c r="A145" s="312"/>
      <c r="B145" s="344">
        <f t="shared" si="1"/>
        <v>1714.918281</v>
      </c>
      <c r="C145" s="344">
        <v>120.0</v>
      </c>
      <c r="D145" s="369"/>
      <c r="E145" s="344" t="str">
        <f t="shared" si="2"/>
        <v>Saturday</v>
      </c>
      <c r="F145" s="344" t="s">
        <v>554</v>
      </c>
      <c r="G145" s="370"/>
      <c r="H145" s="370"/>
      <c r="I145" s="357">
        <f t="shared" si="3"/>
        <v>0</v>
      </c>
      <c r="J145" s="346">
        <f t="shared" si="4"/>
        <v>0</v>
      </c>
      <c r="K145" s="312"/>
      <c r="L145" s="312"/>
      <c r="M145" s="312"/>
      <c r="N145" s="362"/>
      <c r="O145" s="312"/>
      <c r="P145" s="312"/>
      <c r="S145" s="2">
        <f t="shared" si="5"/>
        <v>0</v>
      </c>
      <c r="AA145" s="312"/>
      <c r="AB145" s="312"/>
      <c r="AC145" s="312"/>
      <c r="AD145" s="312"/>
    </row>
    <row r="146">
      <c r="A146" s="312"/>
      <c r="B146" s="344">
        <f t="shared" si="1"/>
        <v>1714.918281</v>
      </c>
      <c r="C146" s="344">
        <v>120.0</v>
      </c>
      <c r="D146" s="369"/>
      <c r="E146" s="344" t="str">
        <f t="shared" si="2"/>
        <v>Saturday</v>
      </c>
      <c r="F146" s="344" t="s">
        <v>554</v>
      </c>
      <c r="G146" s="370"/>
      <c r="H146" s="370"/>
      <c r="I146" s="357">
        <f t="shared" si="3"/>
        <v>0</v>
      </c>
      <c r="J146" s="346">
        <f t="shared" si="4"/>
        <v>0</v>
      </c>
      <c r="K146" s="312"/>
      <c r="L146" s="312"/>
      <c r="M146" s="312"/>
      <c r="N146" s="362"/>
      <c r="O146" s="312"/>
      <c r="P146" s="312"/>
      <c r="S146" s="2">
        <f t="shared" si="5"/>
        <v>0</v>
      </c>
      <c r="AA146" s="312"/>
      <c r="AB146" s="312"/>
      <c r="AC146" s="312"/>
      <c r="AD146" s="312"/>
    </row>
    <row r="147">
      <c r="A147" s="312"/>
      <c r="B147" s="344">
        <f t="shared" si="1"/>
        <v>1714.918281</v>
      </c>
      <c r="C147" s="344">
        <v>120.0</v>
      </c>
      <c r="D147" s="369"/>
      <c r="E147" s="344" t="str">
        <f t="shared" si="2"/>
        <v>Saturday</v>
      </c>
      <c r="F147" s="344" t="s">
        <v>554</v>
      </c>
      <c r="G147" s="370"/>
      <c r="H147" s="370"/>
      <c r="I147" s="357">
        <f t="shared" si="3"/>
        <v>0</v>
      </c>
      <c r="J147" s="346">
        <f t="shared" si="4"/>
        <v>0</v>
      </c>
      <c r="K147" s="312"/>
      <c r="L147" s="312"/>
      <c r="M147" s="312"/>
      <c r="N147" s="362"/>
      <c r="O147" s="312"/>
      <c r="P147" s="312"/>
      <c r="S147" s="2">
        <f t="shared" si="5"/>
        <v>0</v>
      </c>
      <c r="AA147" s="312"/>
      <c r="AB147" s="312"/>
      <c r="AC147" s="312"/>
      <c r="AD147" s="312"/>
    </row>
    <row r="148">
      <c r="A148" s="312"/>
      <c r="B148" s="344">
        <f t="shared" si="1"/>
        <v>1714.918281</v>
      </c>
      <c r="C148" s="344">
        <v>120.0</v>
      </c>
      <c r="D148" s="369"/>
      <c r="E148" s="344" t="str">
        <f t="shared" si="2"/>
        <v>Saturday</v>
      </c>
      <c r="F148" s="344" t="s">
        <v>554</v>
      </c>
      <c r="G148" s="370"/>
      <c r="H148" s="370"/>
      <c r="I148" s="357">
        <f t="shared" si="3"/>
        <v>0</v>
      </c>
      <c r="J148" s="346">
        <f t="shared" si="4"/>
        <v>0</v>
      </c>
      <c r="K148" s="312"/>
      <c r="L148" s="312"/>
      <c r="M148" s="312"/>
      <c r="N148" s="362"/>
      <c r="O148" s="312"/>
      <c r="P148" s="312"/>
      <c r="S148" s="2">
        <f t="shared" si="5"/>
        <v>0</v>
      </c>
      <c r="AA148" s="312"/>
      <c r="AB148" s="312"/>
      <c r="AC148" s="312"/>
      <c r="AD148" s="312"/>
    </row>
    <row r="149">
      <c r="A149" s="312"/>
      <c r="B149" s="344">
        <f t="shared" si="1"/>
        <v>1714.918281</v>
      </c>
      <c r="C149" s="344">
        <v>120.0</v>
      </c>
      <c r="D149" s="369"/>
      <c r="E149" s="344" t="str">
        <f t="shared" si="2"/>
        <v>Saturday</v>
      </c>
      <c r="F149" s="344" t="s">
        <v>554</v>
      </c>
      <c r="G149" s="370"/>
      <c r="H149" s="370"/>
      <c r="I149" s="357">
        <f t="shared" si="3"/>
        <v>0</v>
      </c>
      <c r="J149" s="346">
        <f t="shared" si="4"/>
        <v>0</v>
      </c>
      <c r="K149" s="312"/>
      <c r="L149" s="312"/>
      <c r="M149" s="312"/>
      <c r="N149" s="362"/>
      <c r="O149" s="312"/>
      <c r="P149" s="312"/>
      <c r="S149" s="2">
        <f t="shared" si="5"/>
        <v>0</v>
      </c>
      <c r="AA149" s="312"/>
      <c r="AB149" s="312"/>
      <c r="AC149" s="312"/>
      <c r="AD149" s="312"/>
    </row>
    <row r="150">
      <c r="A150" s="312"/>
      <c r="B150" s="344">
        <f t="shared" si="1"/>
        <v>1714.918281</v>
      </c>
      <c r="C150" s="344">
        <v>120.0</v>
      </c>
      <c r="D150" s="369"/>
      <c r="E150" s="344" t="str">
        <f t="shared" si="2"/>
        <v>Saturday</v>
      </c>
      <c r="F150" s="344" t="s">
        <v>554</v>
      </c>
      <c r="G150" s="370"/>
      <c r="H150" s="370"/>
      <c r="I150" s="357">
        <f t="shared" si="3"/>
        <v>0</v>
      </c>
      <c r="J150" s="346">
        <f t="shared" si="4"/>
        <v>0</v>
      </c>
      <c r="K150" s="312"/>
      <c r="L150" s="312"/>
      <c r="M150" s="312"/>
      <c r="N150" s="362"/>
      <c r="O150" s="312"/>
      <c r="P150" s="312"/>
      <c r="S150" s="2">
        <f t="shared" si="5"/>
        <v>0</v>
      </c>
      <c r="AA150" s="312"/>
      <c r="AB150" s="312"/>
      <c r="AC150" s="312"/>
      <c r="AD150" s="312"/>
    </row>
    <row r="151">
      <c r="A151" s="312"/>
      <c r="B151" s="344">
        <f t="shared" si="1"/>
        <v>1714.918281</v>
      </c>
      <c r="C151" s="344">
        <v>120.0</v>
      </c>
      <c r="D151" s="369"/>
      <c r="E151" s="344" t="str">
        <f t="shared" si="2"/>
        <v>Saturday</v>
      </c>
      <c r="F151" s="344" t="s">
        <v>554</v>
      </c>
      <c r="G151" s="370"/>
      <c r="H151" s="370"/>
      <c r="I151" s="357">
        <f t="shared" si="3"/>
        <v>0</v>
      </c>
      <c r="J151" s="346">
        <f t="shared" si="4"/>
        <v>0</v>
      </c>
      <c r="K151" s="312"/>
      <c r="L151" s="312"/>
      <c r="M151" s="312"/>
      <c r="N151" s="362"/>
      <c r="O151" s="312"/>
      <c r="P151" s="312"/>
      <c r="S151" s="2">
        <f t="shared" si="5"/>
        <v>0</v>
      </c>
      <c r="AA151" s="312"/>
      <c r="AB151" s="312"/>
      <c r="AC151" s="312"/>
      <c r="AD151" s="312"/>
    </row>
    <row r="152">
      <c r="A152" s="312"/>
      <c r="B152" s="344">
        <f t="shared" si="1"/>
        <v>1714.918281</v>
      </c>
      <c r="C152" s="344">
        <v>120.0</v>
      </c>
      <c r="D152" s="369"/>
      <c r="E152" s="344" t="str">
        <f t="shared" si="2"/>
        <v>Saturday</v>
      </c>
      <c r="F152" s="344" t="s">
        <v>554</v>
      </c>
      <c r="G152" s="370"/>
      <c r="H152" s="370"/>
      <c r="I152" s="357">
        <f t="shared" si="3"/>
        <v>0</v>
      </c>
      <c r="J152" s="346">
        <f t="shared" si="4"/>
        <v>0</v>
      </c>
      <c r="K152" s="312"/>
      <c r="L152" s="312"/>
      <c r="M152" s="312"/>
      <c r="N152" s="362"/>
      <c r="O152" s="312"/>
      <c r="P152" s="312"/>
      <c r="S152" s="2">
        <f t="shared" si="5"/>
        <v>0</v>
      </c>
      <c r="AA152" s="312"/>
      <c r="AB152" s="312"/>
      <c r="AC152" s="312"/>
      <c r="AD152" s="312"/>
    </row>
    <row r="153">
      <c r="A153" s="312"/>
      <c r="B153" s="344">
        <f t="shared" si="1"/>
        <v>1714.918281</v>
      </c>
      <c r="C153" s="344">
        <v>120.0</v>
      </c>
      <c r="D153" s="369"/>
      <c r="E153" s="344" t="str">
        <f t="shared" si="2"/>
        <v>Saturday</v>
      </c>
      <c r="F153" s="344" t="s">
        <v>554</v>
      </c>
      <c r="G153" s="370"/>
      <c r="H153" s="370"/>
      <c r="I153" s="357">
        <f t="shared" si="3"/>
        <v>0</v>
      </c>
      <c r="J153" s="346">
        <f t="shared" si="4"/>
        <v>0</v>
      </c>
      <c r="K153" s="312"/>
      <c r="L153" s="312"/>
      <c r="M153" s="312"/>
      <c r="N153" s="362"/>
      <c r="O153" s="312"/>
      <c r="P153" s="312"/>
      <c r="S153" s="2">
        <f t="shared" si="5"/>
        <v>0</v>
      </c>
      <c r="AA153" s="312"/>
      <c r="AB153" s="312"/>
      <c r="AC153" s="312"/>
      <c r="AD153" s="312"/>
    </row>
    <row r="154">
      <c r="A154" s="312"/>
      <c r="B154" s="344">
        <f t="shared" si="1"/>
        <v>1714.918281</v>
      </c>
      <c r="C154" s="344">
        <v>120.0</v>
      </c>
      <c r="D154" s="369"/>
      <c r="E154" s="344" t="str">
        <f t="shared" si="2"/>
        <v>Saturday</v>
      </c>
      <c r="F154" s="344" t="s">
        <v>554</v>
      </c>
      <c r="G154" s="370"/>
      <c r="H154" s="370"/>
      <c r="I154" s="357">
        <f t="shared" si="3"/>
        <v>0</v>
      </c>
      <c r="J154" s="346">
        <f t="shared" si="4"/>
        <v>0</v>
      </c>
      <c r="K154" s="312"/>
      <c r="L154" s="312"/>
      <c r="M154" s="312"/>
      <c r="N154" s="362"/>
      <c r="O154" s="312"/>
      <c r="P154" s="312"/>
      <c r="S154" s="2">
        <f t="shared" si="5"/>
        <v>0</v>
      </c>
      <c r="AA154" s="312"/>
      <c r="AB154" s="312"/>
      <c r="AC154" s="312"/>
      <c r="AD154" s="312"/>
    </row>
    <row r="155">
      <c r="A155" s="312"/>
      <c r="B155" s="344">
        <f t="shared" si="1"/>
        <v>1714.918281</v>
      </c>
      <c r="C155" s="344">
        <v>120.0</v>
      </c>
      <c r="D155" s="369"/>
      <c r="E155" s="344" t="str">
        <f t="shared" si="2"/>
        <v>Saturday</v>
      </c>
      <c r="F155" s="344" t="s">
        <v>554</v>
      </c>
      <c r="G155" s="370"/>
      <c r="H155" s="370"/>
      <c r="I155" s="357">
        <f t="shared" si="3"/>
        <v>0</v>
      </c>
      <c r="J155" s="346">
        <f t="shared" si="4"/>
        <v>0</v>
      </c>
      <c r="K155" s="312"/>
      <c r="L155" s="312"/>
      <c r="M155" s="312"/>
      <c r="N155" s="362"/>
      <c r="O155" s="312"/>
      <c r="P155" s="312"/>
      <c r="S155" s="2">
        <f t="shared" si="5"/>
        <v>0</v>
      </c>
      <c r="AA155" s="312"/>
      <c r="AB155" s="312"/>
      <c r="AC155" s="312"/>
      <c r="AD155" s="312"/>
    </row>
    <row r="156">
      <c r="A156" s="312"/>
      <c r="B156" s="344">
        <f t="shared" si="1"/>
        <v>1714.918281</v>
      </c>
      <c r="C156" s="344">
        <v>120.0</v>
      </c>
      <c r="D156" s="369"/>
      <c r="E156" s="344" t="str">
        <f t="shared" si="2"/>
        <v>Saturday</v>
      </c>
      <c r="F156" s="344" t="s">
        <v>554</v>
      </c>
      <c r="G156" s="370"/>
      <c r="H156" s="370"/>
      <c r="I156" s="357">
        <f t="shared" si="3"/>
        <v>0</v>
      </c>
      <c r="J156" s="346">
        <f t="shared" si="4"/>
        <v>0</v>
      </c>
      <c r="K156" s="312"/>
      <c r="L156" s="312"/>
      <c r="M156" s="312"/>
      <c r="N156" s="362"/>
      <c r="O156" s="312"/>
      <c r="P156" s="312"/>
      <c r="S156" s="2">
        <f t="shared" si="5"/>
        <v>0</v>
      </c>
      <c r="AA156" s="312"/>
      <c r="AB156" s="312"/>
      <c r="AC156" s="312"/>
      <c r="AD156" s="312"/>
    </row>
    <row r="157">
      <c r="A157" s="312"/>
      <c r="B157" s="344">
        <f t="shared" si="1"/>
        <v>1714.918281</v>
      </c>
      <c r="C157" s="344">
        <v>120.0</v>
      </c>
      <c r="D157" s="369"/>
      <c r="E157" s="344" t="str">
        <f t="shared" si="2"/>
        <v>Saturday</v>
      </c>
      <c r="F157" s="344" t="s">
        <v>554</v>
      </c>
      <c r="G157" s="370"/>
      <c r="H157" s="370"/>
      <c r="I157" s="357">
        <f t="shared" si="3"/>
        <v>0</v>
      </c>
      <c r="J157" s="346">
        <f t="shared" si="4"/>
        <v>0</v>
      </c>
      <c r="K157" s="312"/>
      <c r="L157" s="312"/>
      <c r="M157" s="312"/>
      <c r="N157" s="362"/>
      <c r="O157" s="312"/>
      <c r="P157" s="312"/>
      <c r="S157" s="2">
        <f t="shared" si="5"/>
        <v>0</v>
      </c>
      <c r="AA157" s="312"/>
      <c r="AB157" s="312"/>
      <c r="AC157" s="312"/>
      <c r="AD157" s="312"/>
    </row>
    <row r="158">
      <c r="A158" s="312"/>
      <c r="B158" s="344">
        <f t="shared" si="1"/>
        <v>1714.918281</v>
      </c>
      <c r="C158" s="344">
        <v>120.0</v>
      </c>
      <c r="D158" s="369"/>
      <c r="E158" s="344" t="str">
        <f t="shared" si="2"/>
        <v>Saturday</v>
      </c>
      <c r="F158" s="344" t="s">
        <v>554</v>
      </c>
      <c r="G158" s="370"/>
      <c r="H158" s="370"/>
      <c r="I158" s="357">
        <f t="shared" si="3"/>
        <v>0</v>
      </c>
      <c r="J158" s="346">
        <f t="shared" si="4"/>
        <v>0</v>
      </c>
      <c r="K158" s="312"/>
      <c r="L158" s="312"/>
      <c r="M158" s="312"/>
      <c r="N158" s="362"/>
      <c r="O158" s="312"/>
      <c r="P158" s="312"/>
      <c r="S158" s="2">
        <f t="shared" si="5"/>
        <v>0</v>
      </c>
      <c r="AA158" s="312"/>
      <c r="AB158" s="312"/>
      <c r="AC158" s="312"/>
      <c r="AD158" s="312"/>
    </row>
    <row r="159">
      <c r="A159" s="312"/>
      <c r="B159" s="344">
        <f t="shared" si="1"/>
        <v>1714.918281</v>
      </c>
      <c r="C159" s="344">
        <v>120.0</v>
      </c>
      <c r="D159" s="369"/>
      <c r="E159" s="344" t="str">
        <f t="shared" si="2"/>
        <v>Saturday</v>
      </c>
      <c r="F159" s="344" t="s">
        <v>554</v>
      </c>
      <c r="G159" s="370"/>
      <c r="H159" s="370"/>
      <c r="I159" s="357">
        <f t="shared" si="3"/>
        <v>0</v>
      </c>
      <c r="J159" s="346">
        <f t="shared" si="4"/>
        <v>0</v>
      </c>
      <c r="K159" s="312"/>
      <c r="L159" s="312"/>
      <c r="M159" s="312"/>
      <c r="N159" s="362"/>
      <c r="O159" s="312"/>
      <c r="P159" s="312"/>
      <c r="S159" s="2">
        <f t="shared" si="5"/>
        <v>0</v>
      </c>
      <c r="AA159" s="312"/>
      <c r="AB159" s="312"/>
      <c r="AC159" s="312"/>
      <c r="AD159" s="312"/>
    </row>
    <row r="160">
      <c r="A160" s="312"/>
      <c r="B160" s="344">
        <f t="shared" si="1"/>
        <v>1714.918281</v>
      </c>
      <c r="C160" s="344">
        <v>120.0</v>
      </c>
      <c r="D160" s="369"/>
      <c r="E160" s="344" t="str">
        <f t="shared" si="2"/>
        <v>Saturday</v>
      </c>
      <c r="F160" s="344" t="s">
        <v>554</v>
      </c>
      <c r="G160" s="370"/>
      <c r="H160" s="370"/>
      <c r="I160" s="357">
        <f t="shared" si="3"/>
        <v>0</v>
      </c>
      <c r="J160" s="346">
        <f t="shared" si="4"/>
        <v>0</v>
      </c>
      <c r="K160" s="312"/>
      <c r="L160" s="312"/>
      <c r="M160" s="312"/>
      <c r="N160" s="362"/>
      <c r="O160" s="312"/>
      <c r="P160" s="312"/>
      <c r="S160" s="2">
        <f t="shared" si="5"/>
        <v>0</v>
      </c>
      <c r="AA160" s="312"/>
      <c r="AB160" s="312"/>
      <c r="AC160" s="312"/>
      <c r="AD160" s="312"/>
    </row>
    <row r="161">
      <c r="A161" s="312"/>
      <c r="B161" s="344">
        <f t="shared" si="1"/>
        <v>1714.918281</v>
      </c>
      <c r="C161" s="344">
        <v>120.0</v>
      </c>
      <c r="D161" s="369"/>
      <c r="E161" s="344" t="str">
        <f t="shared" si="2"/>
        <v>Saturday</v>
      </c>
      <c r="F161" s="344" t="s">
        <v>554</v>
      </c>
      <c r="G161" s="370"/>
      <c r="H161" s="370"/>
      <c r="I161" s="357">
        <f t="shared" si="3"/>
        <v>0</v>
      </c>
      <c r="J161" s="346">
        <f t="shared" si="4"/>
        <v>0</v>
      </c>
      <c r="K161" s="312"/>
      <c r="L161" s="312"/>
      <c r="M161" s="312"/>
      <c r="N161" s="362"/>
      <c r="O161" s="312"/>
      <c r="P161" s="312"/>
      <c r="S161" s="2">
        <f t="shared" si="5"/>
        <v>0</v>
      </c>
      <c r="AA161" s="312"/>
      <c r="AB161" s="312"/>
      <c r="AC161" s="312"/>
      <c r="AD161" s="312"/>
    </row>
    <row r="162">
      <c r="A162" s="312"/>
      <c r="B162" s="344">
        <f t="shared" si="1"/>
        <v>1714.918281</v>
      </c>
      <c r="C162" s="344">
        <v>120.0</v>
      </c>
      <c r="D162" s="369"/>
      <c r="E162" s="344" t="str">
        <f t="shared" si="2"/>
        <v>Saturday</v>
      </c>
      <c r="F162" s="344" t="s">
        <v>554</v>
      </c>
      <c r="G162" s="370"/>
      <c r="H162" s="370"/>
      <c r="I162" s="357">
        <f t="shared" si="3"/>
        <v>0</v>
      </c>
      <c r="J162" s="346">
        <f t="shared" si="4"/>
        <v>0</v>
      </c>
      <c r="K162" s="312"/>
      <c r="L162" s="312"/>
      <c r="M162" s="312"/>
      <c r="N162" s="362"/>
      <c r="O162" s="312"/>
      <c r="P162" s="312"/>
      <c r="S162" s="2">
        <f t="shared" si="5"/>
        <v>0</v>
      </c>
      <c r="AA162" s="312"/>
      <c r="AB162" s="312"/>
      <c r="AC162" s="312"/>
      <c r="AD162" s="312"/>
    </row>
    <row r="163">
      <c r="A163" s="312"/>
      <c r="B163" s="344">
        <f t="shared" si="1"/>
        <v>1714.918281</v>
      </c>
      <c r="C163" s="344">
        <v>120.0</v>
      </c>
      <c r="D163" s="369"/>
      <c r="E163" s="344" t="str">
        <f t="shared" si="2"/>
        <v>Saturday</v>
      </c>
      <c r="F163" s="344" t="s">
        <v>554</v>
      </c>
      <c r="G163" s="370"/>
      <c r="H163" s="370"/>
      <c r="I163" s="357">
        <f t="shared" si="3"/>
        <v>0</v>
      </c>
      <c r="J163" s="346">
        <f t="shared" si="4"/>
        <v>0</v>
      </c>
      <c r="K163" s="312"/>
      <c r="L163" s="312"/>
      <c r="M163" s="312"/>
      <c r="N163" s="362"/>
      <c r="O163" s="312"/>
      <c r="P163" s="312"/>
      <c r="S163" s="2">
        <f t="shared" si="5"/>
        <v>0</v>
      </c>
      <c r="AA163" s="312"/>
      <c r="AB163" s="312"/>
      <c r="AC163" s="312"/>
      <c r="AD163" s="312"/>
    </row>
    <row r="164">
      <c r="A164" s="312"/>
      <c r="B164" s="344">
        <f t="shared" si="1"/>
        <v>1714.918281</v>
      </c>
      <c r="C164" s="344">
        <v>120.0</v>
      </c>
      <c r="D164" s="369"/>
      <c r="E164" s="344" t="str">
        <f t="shared" si="2"/>
        <v>Saturday</v>
      </c>
      <c r="F164" s="344" t="s">
        <v>554</v>
      </c>
      <c r="G164" s="370"/>
      <c r="H164" s="370"/>
      <c r="I164" s="357">
        <f t="shared" si="3"/>
        <v>0</v>
      </c>
      <c r="J164" s="346">
        <f t="shared" si="4"/>
        <v>0</v>
      </c>
      <c r="K164" s="312"/>
      <c r="L164" s="312"/>
      <c r="M164" s="312"/>
      <c r="N164" s="362"/>
      <c r="O164" s="312"/>
      <c r="P164" s="312"/>
      <c r="S164" s="2">
        <f t="shared" si="5"/>
        <v>0</v>
      </c>
      <c r="AA164" s="312"/>
      <c r="AB164" s="312"/>
      <c r="AC164" s="312"/>
      <c r="AD164" s="312"/>
    </row>
    <row r="165">
      <c r="A165" s="312"/>
      <c r="B165" s="344">
        <f t="shared" si="1"/>
        <v>1714.918281</v>
      </c>
      <c r="C165" s="344">
        <v>120.0</v>
      </c>
      <c r="D165" s="369"/>
      <c r="E165" s="344" t="str">
        <f t="shared" si="2"/>
        <v>Saturday</v>
      </c>
      <c r="F165" s="344" t="s">
        <v>554</v>
      </c>
      <c r="G165" s="370"/>
      <c r="H165" s="370"/>
      <c r="I165" s="357">
        <f t="shared" si="3"/>
        <v>0</v>
      </c>
      <c r="J165" s="346">
        <f t="shared" si="4"/>
        <v>0</v>
      </c>
      <c r="K165" s="312"/>
      <c r="L165" s="312"/>
      <c r="M165" s="312"/>
      <c r="N165" s="362"/>
      <c r="O165" s="312"/>
      <c r="P165" s="312"/>
      <c r="S165" s="2">
        <f t="shared" si="5"/>
        <v>0</v>
      </c>
      <c r="AA165" s="312"/>
      <c r="AB165" s="312"/>
      <c r="AC165" s="312"/>
      <c r="AD165" s="312"/>
    </row>
    <row r="166">
      <c r="A166" s="312"/>
      <c r="B166" s="344">
        <f t="shared" si="1"/>
        <v>1714.918281</v>
      </c>
      <c r="C166" s="344">
        <v>120.0</v>
      </c>
      <c r="D166" s="369"/>
      <c r="E166" s="344" t="str">
        <f t="shared" si="2"/>
        <v>Saturday</v>
      </c>
      <c r="F166" s="344" t="s">
        <v>554</v>
      </c>
      <c r="G166" s="370"/>
      <c r="H166" s="370"/>
      <c r="I166" s="357">
        <f t="shared" si="3"/>
        <v>0</v>
      </c>
      <c r="J166" s="346">
        <f t="shared" si="4"/>
        <v>0</v>
      </c>
      <c r="K166" s="312"/>
      <c r="L166" s="312"/>
      <c r="M166" s="312"/>
      <c r="N166" s="362"/>
      <c r="O166" s="312"/>
      <c r="P166" s="312"/>
      <c r="S166" s="2">
        <f t="shared" si="5"/>
        <v>0</v>
      </c>
      <c r="AA166" s="312"/>
      <c r="AB166" s="312"/>
      <c r="AC166" s="312"/>
      <c r="AD166" s="312"/>
    </row>
    <row r="167">
      <c r="A167" s="312"/>
      <c r="B167" s="344">
        <f t="shared" si="1"/>
        <v>1714.918281</v>
      </c>
      <c r="C167" s="344">
        <v>120.0</v>
      </c>
      <c r="D167" s="369"/>
      <c r="E167" s="344" t="str">
        <f t="shared" si="2"/>
        <v>Saturday</v>
      </c>
      <c r="F167" s="344" t="s">
        <v>554</v>
      </c>
      <c r="G167" s="370"/>
      <c r="H167" s="370"/>
      <c r="I167" s="357">
        <f t="shared" si="3"/>
        <v>0</v>
      </c>
      <c r="J167" s="346">
        <f t="shared" si="4"/>
        <v>0</v>
      </c>
      <c r="K167" s="312"/>
      <c r="L167" s="312"/>
      <c r="M167" s="312"/>
      <c r="N167" s="362"/>
      <c r="O167" s="312"/>
      <c r="P167" s="312"/>
      <c r="S167" s="2">
        <f t="shared" si="5"/>
        <v>0</v>
      </c>
      <c r="AA167" s="312"/>
      <c r="AB167" s="312"/>
      <c r="AC167" s="312"/>
      <c r="AD167" s="312"/>
    </row>
    <row r="168">
      <c r="A168" s="312"/>
      <c r="B168" s="344">
        <f t="shared" si="1"/>
        <v>1714.918281</v>
      </c>
      <c r="C168" s="344">
        <v>120.0</v>
      </c>
      <c r="D168" s="369"/>
      <c r="E168" s="344" t="str">
        <f t="shared" si="2"/>
        <v>Saturday</v>
      </c>
      <c r="F168" s="344" t="s">
        <v>554</v>
      </c>
      <c r="G168" s="370"/>
      <c r="H168" s="370"/>
      <c r="I168" s="357">
        <f t="shared" si="3"/>
        <v>0</v>
      </c>
      <c r="J168" s="346">
        <f t="shared" si="4"/>
        <v>0</v>
      </c>
      <c r="K168" s="312"/>
      <c r="L168" s="312"/>
      <c r="M168" s="312"/>
      <c r="N168" s="362"/>
      <c r="O168" s="312"/>
      <c r="P168" s="312"/>
      <c r="S168" s="2">
        <f t="shared" si="5"/>
        <v>0</v>
      </c>
      <c r="AA168" s="312"/>
      <c r="AB168" s="312"/>
      <c r="AC168" s="312"/>
      <c r="AD168" s="312"/>
    </row>
    <row r="169">
      <c r="A169" s="312"/>
      <c r="B169" s="344">
        <f t="shared" si="1"/>
        <v>1714.918281</v>
      </c>
      <c r="C169" s="344">
        <v>120.0</v>
      </c>
      <c r="D169" s="369"/>
      <c r="E169" s="344" t="str">
        <f t="shared" si="2"/>
        <v>Saturday</v>
      </c>
      <c r="F169" s="344" t="s">
        <v>554</v>
      </c>
      <c r="G169" s="370"/>
      <c r="H169" s="370"/>
      <c r="I169" s="357">
        <f t="shared" si="3"/>
        <v>0</v>
      </c>
      <c r="J169" s="346">
        <f t="shared" si="4"/>
        <v>0</v>
      </c>
      <c r="K169" s="312"/>
      <c r="L169" s="312"/>
      <c r="M169" s="312"/>
      <c r="N169" s="362"/>
      <c r="O169" s="312"/>
      <c r="P169" s="312"/>
      <c r="S169" s="2">
        <f t="shared" si="5"/>
        <v>0</v>
      </c>
      <c r="AA169" s="312"/>
      <c r="AB169" s="312"/>
      <c r="AC169" s="312"/>
      <c r="AD169" s="312"/>
    </row>
    <row r="170">
      <c r="A170" s="312"/>
      <c r="B170" s="344">
        <f t="shared" si="1"/>
        <v>1714.918281</v>
      </c>
      <c r="C170" s="344">
        <v>120.0</v>
      </c>
      <c r="D170" s="369"/>
      <c r="E170" s="344" t="str">
        <f t="shared" si="2"/>
        <v>Saturday</v>
      </c>
      <c r="F170" s="344" t="s">
        <v>554</v>
      </c>
      <c r="G170" s="370"/>
      <c r="H170" s="370"/>
      <c r="I170" s="357">
        <f t="shared" si="3"/>
        <v>0</v>
      </c>
      <c r="J170" s="346">
        <f t="shared" si="4"/>
        <v>0</v>
      </c>
      <c r="K170" s="312"/>
      <c r="L170" s="312"/>
      <c r="M170" s="312"/>
      <c r="N170" s="362"/>
      <c r="O170" s="312"/>
      <c r="P170" s="312"/>
      <c r="S170" s="2">
        <f t="shared" si="5"/>
        <v>0</v>
      </c>
      <c r="AA170" s="312"/>
      <c r="AB170" s="312"/>
      <c r="AC170" s="312"/>
      <c r="AD170" s="312"/>
    </row>
    <row r="171">
      <c r="A171" s="312"/>
      <c r="B171" s="344">
        <f t="shared" si="1"/>
        <v>1714.918281</v>
      </c>
      <c r="C171" s="344">
        <v>120.0</v>
      </c>
      <c r="D171" s="369"/>
      <c r="E171" s="344" t="str">
        <f t="shared" si="2"/>
        <v>Saturday</v>
      </c>
      <c r="F171" s="344" t="s">
        <v>554</v>
      </c>
      <c r="G171" s="370"/>
      <c r="H171" s="370"/>
      <c r="I171" s="357">
        <f t="shared" si="3"/>
        <v>0</v>
      </c>
      <c r="J171" s="346">
        <f t="shared" si="4"/>
        <v>0</v>
      </c>
      <c r="K171" s="312"/>
      <c r="L171" s="312"/>
      <c r="M171" s="312"/>
      <c r="N171" s="362"/>
      <c r="O171" s="312"/>
      <c r="P171" s="312"/>
      <c r="S171" s="2">
        <f t="shared" si="5"/>
        <v>0</v>
      </c>
      <c r="AA171" s="312"/>
      <c r="AB171" s="312"/>
      <c r="AC171" s="312"/>
      <c r="AD171" s="312"/>
    </row>
    <row r="172">
      <c r="A172" s="312"/>
      <c r="B172" s="344">
        <f t="shared" si="1"/>
        <v>1714.918281</v>
      </c>
      <c r="C172" s="344">
        <v>120.0</v>
      </c>
      <c r="D172" s="369"/>
      <c r="E172" s="344" t="str">
        <f t="shared" si="2"/>
        <v>Saturday</v>
      </c>
      <c r="F172" s="344" t="s">
        <v>554</v>
      </c>
      <c r="G172" s="370"/>
      <c r="H172" s="370"/>
      <c r="I172" s="357">
        <f t="shared" si="3"/>
        <v>0</v>
      </c>
      <c r="J172" s="346">
        <f t="shared" si="4"/>
        <v>0</v>
      </c>
      <c r="K172" s="312"/>
      <c r="L172" s="312"/>
      <c r="M172" s="312"/>
      <c r="N172" s="362"/>
      <c r="O172" s="312"/>
      <c r="P172" s="312"/>
      <c r="S172" s="2">
        <f t="shared" si="5"/>
        <v>0</v>
      </c>
      <c r="AA172" s="312"/>
      <c r="AB172" s="312"/>
      <c r="AC172" s="312"/>
      <c r="AD172" s="312"/>
    </row>
    <row r="173">
      <c r="A173" s="312"/>
      <c r="B173" s="344">
        <f t="shared" si="1"/>
        <v>1714.918281</v>
      </c>
      <c r="C173" s="344">
        <v>120.0</v>
      </c>
      <c r="D173" s="369"/>
      <c r="E173" s="344" t="str">
        <f t="shared" si="2"/>
        <v>Saturday</v>
      </c>
      <c r="F173" s="344" t="s">
        <v>554</v>
      </c>
      <c r="G173" s="370"/>
      <c r="H173" s="370"/>
      <c r="I173" s="357">
        <f t="shared" si="3"/>
        <v>0</v>
      </c>
      <c r="J173" s="346">
        <f t="shared" si="4"/>
        <v>0</v>
      </c>
      <c r="K173" s="312"/>
      <c r="L173" s="312"/>
      <c r="M173" s="312"/>
      <c r="N173" s="362"/>
      <c r="O173" s="312"/>
      <c r="P173" s="312"/>
      <c r="S173" s="2">
        <f t="shared" si="5"/>
        <v>0</v>
      </c>
      <c r="AA173" s="312"/>
      <c r="AB173" s="312"/>
      <c r="AC173" s="312"/>
      <c r="AD173" s="312"/>
    </row>
    <row r="174">
      <c r="A174" s="312"/>
      <c r="B174" s="344">
        <f t="shared" si="1"/>
        <v>1714.918281</v>
      </c>
      <c r="C174" s="344">
        <v>120.0</v>
      </c>
      <c r="D174" s="369"/>
      <c r="E174" s="344" t="str">
        <f t="shared" si="2"/>
        <v>Saturday</v>
      </c>
      <c r="F174" s="344" t="s">
        <v>554</v>
      </c>
      <c r="G174" s="370"/>
      <c r="H174" s="370"/>
      <c r="I174" s="357">
        <f t="shared" si="3"/>
        <v>0</v>
      </c>
      <c r="J174" s="346">
        <f t="shared" si="4"/>
        <v>0</v>
      </c>
      <c r="K174" s="312"/>
      <c r="L174" s="312"/>
      <c r="M174" s="312"/>
      <c r="N174" s="362"/>
      <c r="O174" s="312"/>
      <c r="P174" s="312"/>
      <c r="S174" s="2">
        <f t="shared" si="5"/>
        <v>0</v>
      </c>
      <c r="AA174" s="312"/>
      <c r="AB174" s="312"/>
      <c r="AC174" s="312"/>
      <c r="AD174" s="312"/>
    </row>
    <row r="175">
      <c r="A175" s="312"/>
      <c r="B175" s="344">
        <f t="shared" si="1"/>
        <v>1714.918281</v>
      </c>
      <c r="C175" s="344">
        <v>120.0</v>
      </c>
      <c r="D175" s="369"/>
      <c r="E175" s="344" t="str">
        <f t="shared" si="2"/>
        <v>Saturday</v>
      </c>
      <c r="F175" s="344" t="s">
        <v>554</v>
      </c>
      <c r="G175" s="370"/>
      <c r="H175" s="370"/>
      <c r="I175" s="357">
        <f t="shared" si="3"/>
        <v>0</v>
      </c>
      <c r="J175" s="346">
        <f t="shared" si="4"/>
        <v>0</v>
      </c>
      <c r="K175" s="312"/>
      <c r="L175" s="312"/>
      <c r="M175" s="312"/>
      <c r="N175" s="362"/>
      <c r="O175" s="312"/>
      <c r="P175" s="312"/>
      <c r="S175" s="2">
        <f t="shared" si="5"/>
        <v>0</v>
      </c>
      <c r="AA175" s="312"/>
      <c r="AB175" s="312"/>
      <c r="AC175" s="312"/>
      <c r="AD175" s="312"/>
    </row>
    <row r="176">
      <c r="A176" s="312"/>
      <c r="B176" s="344">
        <f t="shared" si="1"/>
        <v>1714.918281</v>
      </c>
      <c r="C176" s="344">
        <v>120.0</v>
      </c>
      <c r="D176" s="369"/>
      <c r="E176" s="344" t="str">
        <f t="shared" si="2"/>
        <v>Saturday</v>
      </c>
      <c r="F176" s="344" t="s">
        <v>554</v>
      </c>
      <c r="G176" s="370"/>
      <c r="H176" s="370"/>
      <c r="I176" s="357">
        <f t="shared" si="3"/>
        <v>0</v>
      </c>
      <c r="J176" s="346">
        <f t="shared" si="4"/>
        <v>0</v>
      </c>
      <c r="K176" s="312"/>
      <c r="L176" s="312"/>
      <c r="M176" s="312"/>
      <c r="N176" s="362"/>
      <c r="O176" s="312"/>
      <c r="P176" s="312"/>
      <c r="S176" s="2">
        <f t="shared" si="5"/>
        <v>0</v>
      </c>
      <c r="AA176" s="312"/>
      <c r="AB176" s="312"/>
      <c r="AC176" s="312"/>
      <c r="AD176" s="312"/>
    </row>
    <row r="177">
      <c r="A177" s="312"/>
      <c r="B177" s="344">
        <f t="shared" si="1"/>
        <v>1714.918281</v>
      </c>
      <c r="C177" s="344">
        <v>120.0</v>
      </c>
      <c r="D177" s="369"/>
      <c r="E177" s="344" t="str">
        <f t="shared" si="2"/>
        <v>Saturday</v>
      </c>
      <c r="F177" s="344" t="s">
        <v>554</v>
      </c>
      <c r="G177" s="370"/>
      <c r="H177" s="370"/>
      <c r="I177" s="357">
        <f t="shared" si="3"/>
        <v>0</v>
      </c>
      <c r="J177" s="346">
        <f t="shared" si="4"/>
        <v>0</v>
      </c>
      <c r="K177" s="312"/>
      <c r="L177" s="312"/>
      <c r="M177" s="312"/>
      <c r="N177" s="362"/>
      <c r="O177" s="312"/>
      <c r="P177" s="312"/>
      <c r="S177" s="2">
        <f t="shared" si="5"/>
        <v>0</v>
      </c>
      <c r="AA177" s="312"/>
      <c r="AB177" s="312"/>
      <c r="AC177" s="312"/>
      <c r="AD177" s="312"/>
    </row>
    <row r="178">
      <c r="A178" s="312"/>
      <c r="B178" s="344">
        <f t="shared" si="1"/>
        <v>1714.918281</v>
      </c>
      <c r="C178" s="344">
        <v>120.0</v>
      </c>
      <c r="D178" s="369"/>
      <c r="E178" s="344" t="str">
        <f t="shared" si="2"/>
        <v>Saturday</v>
      </c>
      <c r="F178" s="344" t="s">
        <v>554</v>
      </c>
      <c r="G178" s="370"/>
      <c r="H178" s="370"/>
      <c r="I178" s="357">
        <f t="shared" si="3"/>
        <v>0</v>
      </c>
      <c r="J178" s="346">
        <f t="shared" si="4"/>
        <v>0</v>
      </c>
      <c r="K178" s="312"/>
      <c r="L178" s="312"/>
      <c r="M178" s="312"/>
      <c r="N178" s="362"/>
      <c r="O178" s="312"/>
      <c r="P178" s="312"/>
      <c r="S178" s="2">
        <f t="shared" si="5"/>
        <v>0</v>
      </c>
      <c r="AA178" s="312"/>
      <c r="AB178" s="312"/>
      <c r="AC178" s="312"/>
      <c r="AD178" s="312"/>
    </row>
    <row r="179">
      <c r="A179" s="312"/>
      <c r="B179" s="344">
        <f t="shared" si="1"/>
        <v>1714.918281</v>
      </c>
      <c r="C179" s="344">
        <v>120.0</v>
      </c>
      <c r="D179" s="369"/>
      <c r="E179" s="344" t="str">
        <f t="shared" si="2"/>
        <v>Saturday</v>
      </c>
      <c r="F179" s="344" t="s">
        <v>554</v>
      </c>
      <c r="G179" s="370"/>
      <c r="H179" s="370"/>
      <c r="I179" s="357">
        <f t="shared" si="3"/>
        <v>0</v>
      </c>
      <c r="J179" s="346">
        <f t="shared" si="4"/>
        <v>0</v>
      </c>
      <c r="K179" s="312"/>
      <c r="L179" s="312"/>
      <c r="M179" s="312"/>
      <c r="N179" s="362"/>
      <c r="O179" s="312"/>
      <c r="P179" s="312"/>
      <c r="S179" s="2">
        <f t="shared" si="5"/>
        <v>0</v>
      </c>
      <c r="AA179" s="312"/>
      <c r="AB179" s="312"/>
      <c r="AC179" s="312"/>
      <c r="AD179" s="312"/>
    </row>
    <row r="180">
      <c r="A180" s="312"/>
      <c r="B180" s="344">
        <f t="shared" si="1"/>
        <v>1714.918281</v>
      </c>
      <c r="C180" s="344">
        <v>120.0</v>
      </c>
      <c r="D180" s="369"/>
      <c r="E180" s="344" t="str">
        <f t="shared" si="2"/>
        <v>Saturday</v>
      </c>
      <c r="F180" s="344" t="s">
        <v>554</v>
      </c>
      <c r="G180" s="370"/>
      <c r="H180" s="370"/>
      <c r="I180" s="357">
        <f t="shared" si="3"/>
        <v>0</v>
      </c>
      <c r="J180" s="346">
        <f t="shared" si="4"/>
        <v>0</v>
      </c>
      <c r="K180" s="312"/>
      <c r="L180" s="312"/>
      <c r="M180" s="312"/>
      <c r="N180" s="362"/>
      <c r="O180" s="312"/>
      <c r="P180" s="312"/>
      <c r="S180" s="2">
        <f t="shared" si="5"/>
        <v>0</v>
      </c>
      <c r="AA180" s="312"/>
      <c r="AB180" s="312"/>
      <c r="AC180" s="312"/>
      <c r="AD180" s="312"/>
    </row>
    <row r="181">
      <c r="A181" s="312"/>
      <c r="B181" s="344">
        <f t="shared" si="1"/>
        <v>1714.918281</v>
      </c>
      <c r="C181" s="344">
        <v>120.0</v>
      </c>
      <c r="D181" s="369"/>
      <c r="E181" s="344" t="str">
        <f t="shared" si="2"/>
        <v>Saturday</v>
      </c>
      <c r="F181" s="344" t="s">
        <v>554</v>
      </c>
      <c r="G181" s="370"/>
      <c r="H181" s="370"/>
      <c r="I181" s="357">
        <f t="shared" si="3"/>
        <v>0</v>
      </c>
      <c r="J181" s="346">
        <f t="shared" si="4"/>
        <v>0</v>
      </c>
      <c r="K181" s="312"/>
      <c r="L181" s="312"/>
      <c r="M181" s="312"/>
      <c r="N181" s="362"/>
      <c r="O181" s="312"/>
      <c r="P181" s="312"/>
      <c r="S181" s="2">
        <f t="shared" si="5"/>
        <v>0</v>
      </c>
      <c r="AA181" s="312"/>
      <c r="AB181" s="312"/>
      <c r="AC181" s="312"/>
      <c r="AD181" s="312"/>
    </row>
    <row r="182">
      <c r="A182" s="312"/>
      <c r="B182" s="344">
        <f t="shared" si="1"/>
        <v>1714.918281</v>
      </c>
      <c r="C182" s="344">
        <v>120.0</v>
      </c>
      <c r="D182" s="369"/>
      <c r="E182" s="344" t="str">
        <f t="shared" si="2"/>
        <v>Saturday</v>
      </c>
      <c r="F182" s="344" t="s">
        <v>554</v>
      </c>
      <c r="G182" s="370"/>
      <c r="H182" s="370"/>
      <c r="I182" s="357">
        <f t="shared" si="3"/>
        <v>0</v>
      </c>
      <c r="J182" s="346">
        <f t="shared" si="4"/>
        <v>0</v>
      </c>
      <c r="K182" s="312"/>
      <c r="L182" s="312"/>
      <c r="M182" s="312"/>
      <c r="N182" s="362"/>
      <c r="O182" s="312"/>
      <c r="P182" s="312"/>
      <c r="S182" s="2">
        <f t="shared" si="5"/>
        <v>0</v>
      </c>
      <c r="AA182" s="312"/>
      <c r="AB182" s="312"/>
      <c r="AC182" s="312"/>
      <c r="AD182" s="312"/>
    </row>
    <row r="183">
      <c r="A183" s="312"/>
      <c r="B183" s="344">
        <f t="shared" si="1"/>
        <v>1714.918281</v>
      </c>
      <c r="C183" s="344">
        <v>120.0</v>
      </c>
      <c r="D183" s="369"/>
      <c r="E183" s="344" t="str">
        <f t="shared" si="2"/>
        <v>Saturday</v>
      </c>
      <c r="F183" s="344" t="s">
        <v>554</v>
      </c>
      <c r="G183" s="370"/>
      <c r="H183" s="370"/>
      <c r="I183" s="357">
        <f t="shared" si="3"/>
        <v>0</v>
      </c>
      <c r="J183" s="346">
        <f t="shared" si="4"/>
        <v>0</v>
      </c>
      <c r="K183" s="312"/>
      <c r="L183" s="312"/>
      <c r="M183" s="312"/>
      <c r="N183" s="362"/>
      <c r="O183" s="312"/>
      <c r="P183" s="312"/>
      <c r="S183" s="2">
        <f t="shared" si="5"/>
        <v>0</v>
      </c>
      <c r="AA183" s="312"/>
      <c r="AB183" s="312"/>
      <c r="AC183" s="312"/>
      <c r="AD183" s="312"/>
    </row>
    <row r="184">
      <c r="A184" s="312"/>
      <c r="B184" s="344">
        <f t="shared" si="1"/>
        <v>1714.918281</v>
      </c>
      <c r="C184" s="344">
        <v>120.0</v>
      </c>
      <c r="D184" s="369"/>
      <c r="E184" s="344" t="str">
        <f t="shared" si="2"/>
        <v>Saturday</v>
      </c>
      <c r="F184" s="344" t="s">
        <v>554</v>
      </c>
      <c r="G184" s="370"/>
      <c r="H184" s="370"/>
      <c r="I184" s="357">
        <f t="shared" si="3"/>
        <v>0</v>
      </c>
      <c r="J184" s="346">
        <f t="shared" si="4"/>
        <v>0</v>
      </c>
      <c r="K184" s="312"/>
      <c r="L184" s="312"/>
      <c r="M184" s="312"/>
      <c r="N184" s="362"/>
      <c r="O184" s="312"/>
      <c r="P184" s="312"/>
      <c r="S184" s="2">
        <f t="shared" si="5"/>
        <v>0</v>
      </c>
      <c r="AA184" s="312"/>
      <c r="AB184" s="312"/>
      <c r="AC184" s="312"/>
      <c r="AD184" s="312"/>
    </row>
    <row r="185">
      <c r="A185" s="312"/>
      <c r="B185" s="344">
        <f t="shared" si="1"/>
        <v>1714.918281</v>
      </c>
      <c r="C185" s="344">
        <v>120.0</v>
      </c>
      <c r="D185" s="369"/>
      <c r="E185" s="344" t="str">
        <f t="shared" si="2"/>
        <v>Saturday</v>
      </c>
      <c r="F185" s="344" t="s">
        <v>554</v>
      </c>
      <c r="G185" s="370"/>
      <c r="H185" s="370"/>
      <c r="I185" s="357">
        <f t="shared" si="3"/>
        <v>0</v>
      </c>
      <c r="J185" s="346">
        <f t="shared" si="4"/>
        <v>0</v>
      </c>
      <c r="K185" s="312"/>
      <c r="L185" s="312"/>
      <c r="M185" s="312"/>
      <c r="N185" s="362"/>
      <c r="O185" s="312"/>
      <c r="P185" s="312"/>
      <c r="S185" s="2">
        <f t="shared" si="5"/>
        <v>0</v>
      </c>
      <c r="AA185" s="312"/>
      <c r="AB185" s="312"/>
      <c r="AC185" s="312"/>
      <c r="AD185" s="312"/>
    </row>
    <row r="186">
      <c r="A186" s="312"/>
      <c r="B186" s="344">
        <f t="shared" si="1"/>
        <v>1714.918281</v>
      </c>
      <c r="C186" s="344">
        <v>120.0</v>
      </c>
      <c r="D186" s="369"/>
      <c r="E186" s="344" t="str">
        <f t="shared" si="2"/>
        <v>Saturday</v>
      </c>
      <c r="F186" s="344" t="s">
        <v>554</v>
      </c>
      <c r="G186" s="370"/>
      <c r="H186" s="370"/>
      <c r="I186" s="357">
        <f t="shared" si="3"/>
        <v>0</v>
      </c>
      <c r="J186" s="346">
        <f t="shared" si="4"/>
        <v>0</v>
      </c>
      <c r="K186" s="312"/>
      <c r="L186" s="312"/>
      <c r="M186" s="312"/>
      <c r="N186" s="362"/>
      <c r="O186" s="312"/>
      <c r="P186" s="312"/>
      <c r="S186" s="2">
        <f t="shared" si="5"/>
        <v>0</v>
      </c>
      <c r="AA186" s="312"/>
      <c r="AB186" s="312"/>
      <c r="AC186" s="312"/>
      <c r="AD186" s="312"/>
    </row>
    <row r="187">
      <c r="A187" s="312"/>
      <c r="B187" s="344">
        <f t="shared" si="1"/>
        <v>1714.918281</v>
      </c>
      <c r="C187" s="344">
        <v>120.0</v>
      </c>
      <c r="D187" s="369"/>
      <c r="E187" s="344" t="str">
        <f t="shared" si="2"/>
        <v>Saturday</v>
      </c>
      <c r="F187" s="344" t="s">
        <v>554</v>
      </c>
      <c r="G187" s="370"/>
      <c r="H187" s="370"/>
      <c r="I187" s="357">
        <f t="shared" si="3"/>
        <v>0</v>
      </c>
      <c r="J187" s="346">
        <f t="shared" si="4"/>
        <v>0</v>
      </c>
      <c r="K187" s="312"/>
      <c r="L187" s="312"/>
      <c r="M187" s="312"/>
      <c r="N187" s="362"/>
      <c r="O187" s="312"/>
      <c r="P187" s="312"/>
      <c r="S187" s="2">
        <f t="shared" si="5"/>
        <v>0</v>
      </c>
      <c r="AA187" s="312"/>
      <c r="AB187" s="312"/>
      <c r="AC187" s="312"/>
      <c r="AD187" s="312"/>
    </row>
    <row r="188">
      <c r="A188" s="312"/>
      <c r="B188" s="344">
        <f t="shared" si="1"/>
        <v>1714.918281</v>
      </c>
      <c r="C188" s="344">
        <v>120.0</v>
      </c>
      <c r="D188" s="369"/>
      <c r="E188" s="344" t="str">
        <f t="shared" si="2"/>
        <v>Saturday</v>
      </c>
      <c r="F188" s="344" t="s">
        <v>554</v>
      </c>
      <c r="G188" s="370"/>
      <c r="H188" s="370"/>
      <c r="I188" s="357">
        <f t="shared" si="3"/>
        <v>0</v>
      </c>
      <c r="J188" s="346">
        <f t="shared" si="4"/>
        <v>0</v>
      </c>
      <c r="K188" s="312"/>
      <c r="L188" s="312"/>
      <c r="M188" s="312"/>
      <c r="N188" s="362"/>
      <c r="O188" s="312"/>
      <c r="P188" s="312"/>
      <c r="S188" s="2">
        <f t="shared" si="5"/>
        <v>0</v>
      </c>
      <c r="AA188" s="312"/>
      <c r="AB188" s="312"/>
      <c r="AC188" s="312"/>
      <c r="AD188" s="312"/>
    </row>
    <row r="189">
      <c r="A189" s="312"/>
      <c r="B189" s="344">
        <f t="shared" si="1"/>
        <v>1714.918281</v>
      </c>
      <c r="C189" s="344">
        <v>120.0</v>
      </c>
      <c r="D189" s="369"/>
      <c r="E189" s="344" t="str">
        <f t="shared" si="2"/>
        <v>Saturday</v>
      </c>
      <c r="F189" s="344" t="s">
        <v>554</v>
      </c>
      <c r="G189" s="370"/>
      <c r="H189" s="370"/>
      <c r="I189" s="357">
        <f t="shared" si="3"/>
        <v>0</v>
      </c>
      <c r="J189" s="346">
        <f t="shared" si="4"/>
        <v>0</v>
      </c>
      <c r="K189" s="312"/>
      <c r="L189" s="312"/>
      <c r="M189" s="312"/>
      <c r="N189" s="362"/>
      <c r="O189" s="312"/>
      <c r="P189" s="312"/>
      <c r="S189" s="2">
        <f t="shared" si="5"/>
        <v>0</v>
      </c>
      <c r="AA189" s="312"/>
      <c r="AB189" s="312"/>
      <c r="AC189" s="312"/>
      <c r="AD189" s="312"/>
    </row>
    <row r="190">
      <c r="A190" s="312"/>
      <c r="B190" s="344">
        <f t="shared" si="1"/>
        <v>1714.918281</v>
      </c>
      <c r="C190" s="344">
        <v>120.0</v>
      </c>
      <c r="D190" s="369"/>
      <c r="E190" s="344" t="str">
        <f t="shared" si="2"/>
        <v>Saturday</v>
      </c>
      <c r="F190" s="344" t="s">
        <v>554</v>
      </c>
      <c r="G190" s="370"/>
      <c r="H190" s="370"/>
      <c r="I190" s="357">
        <f t="shared" si="3"/>
        <v>0</v>
      </c>
      <c r="J190" s="346">
        <f t="shared" si="4"/>
        <v>0</v>
      </c>
      <c r="K190" s="312"/>
      <c r="L190" s="312"/>
      <c r="M190" s="312"/>
      <c r="N190" s="362"/>
      <c r="O190" s="312"/>
      <c r="P190" s="312"/>
      <c r="S190" s="2">
        <f t="shared" si="5"/>
        <v>0</v>
      </c>
      <c r="AA190" s="312"/>
      <c r="AB190" s="312"/>
      <c r="AC190" s="312"/>
      <c r="AD190" s="312"/>
    </row>
    <row r="191">
      <c r="A191" s="312"/>
      <c r="B191" s="344">
        <f t="shared" si="1"/>
        <v>1714.918281</v>
      </c>
      <c r="C191" s="344">
        <v>120.0</v>
      </c>
      <c r="D191" s="369"/>
      <c r="E191" s="344" t="str">
        <f t="shared" si="2"/>
        <v>Saturday</v>
      </c>
      <c r="F191" s="344" t="s">
        <v>554</v>
      </c>
      <c r="G191" s="370"/>
      <c r="H191" s="370"/>
      <c r="I191" s="357">
        <f t="shared" si="3"/>
        <v>0</v>
      </c>
      <c r="J191" s="346">
        <f t="shared" si="4"/>
        <v>0</v>
      </c>
      <c r="K191" s="312"/>
      <c r="L191" s="312"/>
      <c r="M191" s="312"/>
      <c r="N191" s="362"/>
      <c r="O191" s="312"/>
      <c r="P191" s="312"/>
      <c r="S191" s="2">
        <f t="shared" si="5"/>
        <v>0</v>
      </c>
      <c r="AA191" s="312"/>
      <c r="AB191" s="312"/>
      <c r="AC191" s="312"/>
      <c r="AD191" s="312"/>
    </row>
    <row r="192">
      <c r="A192" s="312"/>
      <c r="B192" s="344">
        <f t="shared" si="1"/>
        <v>1714.918281</v>
      </c>
      <c r="C192" s="344">
        <v>120.0</v>
      </c>
      <c r="D192" s="369"/>
      <c r="E192" s="344" t="str">
        <f t="shared" si="2"/>
        <v>Saturday</v>
      </c>
      <c r="F192" s="344" t="s">
        <v>554</v>
      </c>
      <c r="G192" s="370"/>
      <c r="H192" s="370"/>
      <c r="I192" s="357">
        <f t="shared" si="3"/>
        <v>0</v>
      </c>
      <c r="J192" s="346">
        <f t="shared" si="4"/>
        <v>0</v>
      </c>
      <c r="K192" s="312"/>
      <c r="L192" s="312"/>
      <c r="M192" s="312"/>
      <c r="N192" s="362"/>
      <c r="O192" s="312"/>
      <c r="P192" s="312"/>
      <c r="S192" s="2">
        <f t="shared" si="5"/>
        <v>0</v>
      </c>
      <c r="AA192" s="312"/>
      <c r="AB192" s="312"/>
      <c r="AC192" s="312"/>
      <c r="AD192" s="312"/>
    </row>
    <row r="193">
      <c r="A193" s="312"/>
      <c r="B193" s="344">
        <f t="shared" si="1"/>
        <v>1714.918281</v>
      </c>
      <c r="C193" s="344">
        <v>120.0</v>
      </c>
      <c r="D193" s="369"/>
      <c r="E193" s="344" t="str">
        <f t="shared" si="2"/>
        <v>Saturday</v>
      </c>
      <c r="F193" s="344" t="s">
        <v>554</v>
      </c>
      <c r="G193" s="370"/>
      <c r="H193" s="370"/>
      <c r="I193" s="357">
        <f t="shared" si="3"/>
        <v>0</v>
      </c>
      <c r="J193" s="346">
        <f t="shared" si="4"/>
        <v>0</v>
      </c>
      <c r="K193" s="312"/>
      <c r="L193" s="312"/>
      <c r="M193" s="312"/>
      <c r="N193" s="362"/>
      <c r="O193" s="312"/>
      <c r="P193" s="312"/>
      <c r="S193" s="2">
        <f t="shared" si="5"/>
        <v>0</v>
      </c>
      <c r="AA193" s="312"/>
      <c r="AB193" s="312"/>
      <c r="AC193" s="312"/>
      <c r="AD193" s="312"/>
    </row>
    <row r="194">
      <c r="A194" s="312"/>
      <c r="B194" s="344">
        <f t="shared" si="1"/>
        <v>1714.918281</v>
      </c>
      <c r="C194" s="344">
        <v>120.0</v>
      </c>
      <c r="D194" s="369"/>
      <c r="E194" s="344" t="str">
        <f t="shared" si="2"/>
        <v>Saturday</v>
      </c>
      <c r="F194" s="344" t="s">
        <v>554</v>
      </c>
      <c r="G194" s="370"/>
      <c r="H194" s="370"/>
      <c r="I194" s="357">
        <f t="shared" si="3"/>
        <v>0</v>
      </c>
      <c r="J194" s="346">
        <f t="shared" si="4"/>
        <v>0</v>
      </c>
      <c r="K194" s="312"/>
      <c r="L194" s="312"/>
      <c r="M194" s="312"/>
      <c r="N194" s="362"/>
      <c r="O194" s="312"/>
      <c r="P194" s="312"/>
      <c r="S194" s="2">
        <f t="shared" si="5"/>
        <v>0</v>
      </c>
      <c r="AA194" s="312"/>
      <c r="AB194" s="312"/>
      <c r="AC194" s="312"/>
      <c r="AD194" s="312"/>
    </row>
    <row r="195">
      <c r="A195" s="312"/>
      <c r="B195" s="344">
        <f t="shared" si="1"/>
        <v>1714.918281</v>
      </c>
      <c r="C195" s="344">
        <v>120.0</v>
      </c>
      <c r="D195" s="369"/>
      <c r="E195" s="344" t="str">
        <f t="shared" si="2"/>
        <v>Saturday</v>
      </c>
      <c r="F195" s="344" t="s">
        <v>554</v>
      </c>
      <c r="G195" s="370"/>
      <c r="H195" s="370"/>
      <c r="I195" s="357">
        <f t="shared" si="3"/>
        <v>0</v>
      </c>
      <c r="J195" s="346">
        <f t="shared" si="4"/>
        <v>0</v>
      </c>
      <c r="K195" s="312"/>
      <c r="L195" s="312"/>
      <c r="M195" s="312"/>
      <c r="N195" s="362"/>
      <c r="O195" s="312"/>
      <c r="P195" s="312"/>
      <c r="S195" s="2">
        <f t="shared" si="5"/>
        <v>0</v>
      </c>
      <c r="AA195" s="312"/>
      <c r="AB195" s="312"/>
      <c r="AC195" s="312"/>
      <c r="AD195" s="312"/>
    </row>
    <row r="196">
      <c r="A196" s="312"/>
      <c r="B196" s="344">
        <f t="shared" si="1"/>
        <v>1714.918281</v>
      </c>
      <c r="C196" s="344">
        <v>120.0</v>
      </c>
      <c r="D196" s="369"/>
      <c r="E196" s="344" t="str">
        <f t="shared" si="2"/>
        <v>Saturday</v>
      </c>
      <c r="F196" s="344" t="s">
        <v>554</v>
      </c>
      <c r="G196" s="370"/>
      <c r="H196" s="370"/>
      <c r="I196" s="357">
        <f t="shared" si="3"/>
        <v>0</v>
      </c>
      <c r="J196" s="346">
        <f t="shared" si="4"/>
        <v>0</v>
      </c>
      <c r="K196" s="312"/>
      <c r="L196" s="312"/>
      <c r="M196" s="312"/>
      <c r="N196" s="362"/>
      <c r="O196" s="312"/>
      <c r="P196" s="312"/>
      <c r="S196" s="2">
        <f t="shared" si="5"/>
        <v>0</v>
      </c>
      <c r="AA196" s="312"/>
      <c r="AB196" s="312"/>
      <c r="AC196" s="312"/>
      <c r="AD196" s="312"/>
    </row>
    <row r="197">
      <c r="A197" s="312"/>
      <c r="B197" s="344">
        <f t="shared" si="1"/>
        <v>1714.918281</v>
      </c>
      <c r="C197" s="344">
        <v>120.0</v>
      </c>
      <c r="D197" s="369"/>
      <c r="E197" s="344" t="str">
        <f t="shared" si="2"/>
        <v>Saturday</v>
      </c>
      <c r="F197" s="344" t="s">
        <v>554</v>
      </c>
      <c r="G197" s="370"/>
      <c r="H197" s="370"/>
      <c r="I197" s="357">
        <f t="shared" si="3"/>
        <v>0</v>
      </c>
      <c r="J197" s="346">
        <f t="shared" si="4"/>
        <v>0</v>
      </c>
      <c r="K197" s="312"/>
      <c r="L197" s="312"/>
      <c r="M197" s="312"/>
      <c r="N197" s="362"/>
      <c r="O197" s="312"/>
      <c r="P197" s="312"/>
      <c r="S197" s="2">
        <f t="shared" si="5"/>
        <v>0</v>
      </c>
      <c r="AA197" s="312"/>
      <c r="AB197" s="312"/>
      <c r="AC197" s="312"/>
      <c r="AD197" s="312"/>
    </row>
    <row r="198">
      <c r="A198" s="312"/>
      <c r="B198" s="344">
        <f t="shared" si="1"/>
        <v>1714.918281</v>
      </c>
      <c r="C198" s="344">
        <v>120.0</v>
      </c>
      <c r="D198" s="369"/>
      <c r="E198" s="344" t="str">
        <f t="shared" si="2"/>
        <v>Saturday</v>
      </c>
      <c r="F198" s="344" t="s">
        <v>554</v>
      </c>
      <c r="G198" s="370"/>
      <c r="H198" s="370"/>
      <c r="I198" s="357">
        <f t="shared" si="3"/>
        <v>0</v>
      </c>
      <c r="J198" s="346">
        <f t="shared" si="4"/>
        <v>0</v>
      </c>
      <c r="K198" s="312"/>
      <c r="L198" s="312"/>
      <c r="M198" s="312"/>
      <c r="N198" s="362"/>
      <c r="O198" s="312"/>
      <c r="P198" s="312"/>
      <c r="S198" s="2">
        <f t="shared" si="5"/>
        <v>0</v>
      </c>
      <c r="AA198" s="312"/>
      <c r="AB198" s="312"/>
      <c r="AC198" s="312"/>
      <c r="AD198" s="312"/>
    </row>
    <row r="199">
      <c r="A199" s="312"/>
      <c r="B199" s="344">
        <f t="shared" si="1"/>
        <v>1714.918281</v>
      </c>
      <c r="C199" s="344">
        <v>120.0</v>
      </c>
      <c r="D199" s="369"/>
      <c r="E199" s="344" t="str">
        <f t="shared" si="2"/>
        <v>Saturday</v>
      </c>
      <c r="F199" s="344" t="s">
        <v>554</v>
      </c>
      <c r="G199" s="370"/>
      <c r="H199" s="370"/>
      <c r="I199" s="357">
        <f t="shared" si="3"/>
        <v>0</v>
      </c>
      <c r="J199" s="346">
        <f t="shared" si="4"/>
        <v>0</v>
      </c>
      <c r="K199" s="312"/>
      <c r="L199" s="312"/>
      <c r="M199" s="312"/>
      <c r="N199" s="362"/>
      <c r="O199" s="312"/>
      <c r="P199" s="312"/>
      <c r="S199" s="2">
        <f t="shared" si="5"/>
        <v>0</v>
      </c>
      <c r="AA199" s="312"/>
      <c r="AB199" s="312"/>
      <c r="AC199" s="312"/>
      <c r="AD199" s="312"/>
    </row>
    <row r="200">
      <c r="A200" s="312"/>
      <c r="B200" s="344">
        <f t="shared" si="1"/>
        <v>1714.918281</v>
      </c>
      <c r="C200" s="344">
        <v>120.0</v>
      </c>
      <c r="D200" s="369"/>
      <c r="E200" s="344" t="str">
        <f t="shared" si="2"/>
        <v>Saturday</v>
      </c>
      <c r="F200" s="344" t="s">
        <v>554</v>
      </c>
      <c r="G200" s="370"/>
      <c r="H200" s="370"/>
      <c r="I200" s="357">
        <f t="shared" si="3"/>
        <v>0</v>
      </c>
      <c r="J200" s="346">
        <f t="shared" si="4"/>
        <v>0</v>
      </c>
      <c r="K200" s="312"/>
      <c r="L200" s="312"/>
      <c r="M200" s="312"/>
      <c r="N200" s="362"/>
      <c r="O200" s="312"/>
      <c r="P200" s="312"/>
      <c r="S200" s="2">
        <f t="shared" si="5"/>
        <v>0</v>
      </c>
      <c r="AA200" s="312"/>
      <c r="AB200" s="312"/>
      <c r="AC200" s="312"/>
      <c r="AD200" s="312"/>
    </row>
    <row r="201">
      <c r="A201" s="312"/>
      <c r="B201" s="344">
        <f t="shared" si="1"/>
        <v>1714.918281</v>
      </c>
      <c r="C201" s="344">
        <v>120.0</v>
      </c>
      <c r="D201" s="369"/>
      <c r="E201" s="344" t="str">
        <f t="shared" si="2"/>
        <v>Saturday</v>
      </c>
      <c r="F201" s="344" t="s">
        <v>554</v>
      </c>
      <c r="G201" s="370"/>
      <c r="H201" s="370"/>
      <c r="I201" s="357">
        <f t="shared" si="3"/>
        <v>0</v>
      </c>
      <c r="J201" s="346">
        <f t="shared" si="4"/>
        <v>0</v>
      </c>
      <c r="K201" s="312"/>
      <c r="L201" s="312"/>
      <c r="M201" s="312"/>
      <c r="N201" s="362"/>
      <c r="O201" s="312"/>
      <c r="P201" s="312"/>
      <c r="S201" s="2">
        <f t="shared" si="5"/>
        <v>0</v>
      </c>
      <c r="AA201" s="312"/>
      <c r="AB201" s="312"/>
      <c r="AC201" s="312"/>
      <c r="AD201" s="312"/>
    </row>
    <row r="202">
      <c r="A202" s="312"/>
      <c r="B202" s="344">
        <f t="shared" si="1"/>
        <v>1714.918281</v>
      </c>
      <c r="C202" s="344">
        <v>120.0</v>
      </c>
      <c r="D202" s="369"/>
      <c r="E202" s="344" t="str">
        <f t="shared" si="2"/>
        <v>Saturday</v>
      </c>
      <c r="F202" s="344" t="s">
        <v>554</v>
      </c>
      <c r="G202" s="370"/>
      <c r="H202" s="370"/>
      <c r="I202" s="357">
        <f t="shared" si="3"/>
        <v>0</v>
      </c>
      <c r="J202" s="346">
        <f t="shared" si="4"/>
        <v>0</v>
      </c>
      <c r="K202" s="312"/>
      <c r="L202" s="312"/>
      <c r="M202" s="312"/>
      <c r="N202" s="362"/>
      <c r="O202" s="312"/>
      <c r="P202" s="312"/>
      <c r="S202" s="2">
        <f t="shared" si="5"/>
        <v>0</v>
      </c>
      <c r="AA202" s="312"/>
      <c r="AB202" s="312"/>
      <c r="AC202" s="312"/>
      <c r="AD202" s="312"/>
    </row>
    <row r="203">
      <c r="A203" s="312"/>
      <c r="B203" s="344">
        <f t="shared" si="1"/>
        <v>1714.918281</v>
      </c>
      <c r="C203" s="344">
        <v>120.0</v>
      </c>
      <c r="D203" s="369"/>
      <c r="E203" s="344" t="str">
        <f t="shared" si="2"/>
        <v>Saturday</v>
      </c>
      <c r="F203" s="344" t="s">
        <v>554</v>
      </c>
      <c r="G203" s="370"/>
      <c r="H203" s="370"/>
      <c r="I203" s="357">
        <f t="shared" si="3"/>
        <v>0</v>
      </c>
      <c r="J203" s="346">
        <f t="shared" si="4"/>
        <v>0</v>
      </c>
      <c r="K203" s="312"/>
      <c r="L203" s="312"/>
      <c r="M203" s="312"/>
      <c r="N203" s="362"/>
      <c r="O203" s="312"/>
      <c r="P203" s="312"/>
      <c r="S203" s="2">
        <f t="shared" si="5"/>
        <v>0</v>
      </c>
      <c r="AA203" s="312"/>
      <c r="AB203" s="312"/>
      <c r="AC203" s="312"/>
      <c r="AD203" s="312"/>
    </row>
    <row r="204">
      <c r="A204" s="312"/>
      <c r="B204" s="344">
        <f t="shared" si="1"/>
        <v>1714.918281</v>
      </c>
      <c r="C204" s="344">
        <v>120.0</v>
      </c>
      <c r="D204" s="369"/>
      <c r="E204" s="344" t="str">
        <f t="shared" si="2"/>
        <v>Saturday</v>
      </c>
      <c r="F204" s="344" t="s">
        <v>554</v>
      </c>
      <c r="G204" s="370"/>
      <c r="H204" s="370"/>
      <c r="I204" s="357">
        <f t="shared" si="3"/>
        <v>0</v>
      </c>
      <c r="J204" s="346">
        <f t="shared" si="4"/>
        <v>0</v>
      </c>
      <c r="K204" s="312"/>
      <c r="L204" s="312"/>
      <c r="M204" s="312"/>
      <c r="N204" s="362"/>
      <c r="O204" s="312"/>
      <c r="P204" s="312"/>
      <c r="S204" s="2">
        <f t="shared" si="5"/>
        <v>0</v>
      </c>
      <c r="AA204" s="312"/>
      <c r="AB204" s="312"/>
      <c r="AC204" s="312"/>
      <c r="AD204" s="312"/>
    </row>
    <row r="205">
      <c r="A205" s="312"/>
      <c r="B205" s="344">
        <f t="shared" si="1"/>
        <v>1714.918281</v>
      </c>
      <c r="C205" s="344">
        <v>120.0</v>
      </c>
      <c r="D205" s="369"/>
      <c r="E205" s="344" t="str">
        <f t="shared" si="2"/>
        <v>Saturday</v>
      </c>
      <c r="F205" s="344" t="s">
        <v>554</v>
      </c>
      <c r="G205" s="370"/>
      <c r="H205" s="370"/>
      <c r="I205" s="357">
        <f t="shared" si="3"/>
        <v>0</v>
      </c>
      <c r="J205" s="346">
        <f t="shared" si="4"/>
        <v>0</v>
      </c>
      <c r="K205" s="312"/>
      <c r="L205" s="312"/>
      <c r="M205" s="312"/>
      <c r="N205" s="362"/>
      <c r="O205" s="312"/>
      <c r="P205" s="312"/>
      <c r="S205" s="2">
        <f t="shared" si="5"/>
        <v>0</v>
      </c>
      <c r="AA205" s="312"/>
      <c r="AB205" s="312"/>
      <c r="AC205" s="312"/>
      <c r="AD205" s="312"/>
    </row>
    <row r="206">
      <c r="A206" s="312"/>
      <c r="B206" s="344">
        <f t="shared" si="1"/>
        <v>1714.918281</v>
      </c>
      <c r="C206" s="344">
        <v>120.0</v>
      </c>
      <c r="D206" s="369"/>
      <c r="E206" s="344" t="str">
        <f t="shared" si="2"/>
        <v>Saturday</v>
      </c>
      <c r="F206" s="344" t="s">
        <v>554</v>
      </c>
      <c r="G206" s="370"/>
      <c r="H206" s="370"/>
      <c r="I206" s="357">
        <f t="shared" si="3"/>
        <v>0</v>
      </c>
      <c r="J206" s="346">
        <f t="shared" si="4"/>
        <v>0</v>
      </c>
      <c r="K206" s="312"/>
      <c r="L206" s="312"/>
      <c r="M206" s="312"/>
      <c r="N206" s="362"/>
      <c r="O206" s="312"/>
      <c r="P206" s="312"/>
      <c r="S206" s="2">
        <f t="shared" si="5"/>
        <v>0</v>
      </c>
      <c r="AA206" s="312"/>
      <c r="AB206" s="312"/>
      <c r="AC206" s="312"/>
      <c r="AD206" s="312"/>
    </row>
    <row r="207">
      <c r="A207" s="312"/>
      <c r="B207" s="344">
        <f t="shared" si="1"/>
        <v>1714.918281</v>
      </c>
      <c r="C207" s="344">
        <v>120.0</v>
      </c>
      <c r="D207" s="369"/>
      <c r="E207" s="344" t="str">
        <f t="shared" si="2"/>
        <v>Saturday</v>
      </c>
      <c r="F207" s="344" t="s">
        <v>554</v>
      </c>
      <c r="G207" s="370"/>
      <c r="H207" s="370"/>
      <c r="I207" s="357">
        <f t="shared" si="3"/>
        <v>0</v>
      </c>
      <c r="J207" s="346">
        <f t="shared" si="4"/>
        <v>0</v>
      </c>
      <c r="K207" s="312"/>
      <c r="L207" s="312"/>
      <c r="M207" s="312"/>
      <c r="N207" s="362"/>
      <c r="O207" s="312"/>
      <c r="P207" s="312"/>
      <c r="S207" s="2">
        <f t="shared" si="5"/>
        <v>0</v>
      </c>
      <c r="AA207" s="312"/>
      <c r="AB207" s="312"/>
      <c r="AC207" s="312"/>
      <c r="AD207" s="312"/>
    </row>
    <row r="208">
      <c r="A208" s="312"/>
      <c r="B208" s="344">
        <f t="shared" si="1"/>
        <v>1714.918281</v>
      </c>
      <c r="C208" s="344">
        <v>120.0</v>
      </c>
      <c r="D208" s="369"/>
      <c r="E208" s="344" t="str">
        <f t="shared" si="2"/>
        <v>Saturday</v>
      </c>
      <c r="F208" s="344" t="s">
        <v>554</v>
      </c>
      <c r="G208" s="370"/>
      <c r="H208" s="370"/>
      <c r="I208" s="357">
        <f t="shared" si="3"/>
        <v>0</v>
      </c>
      <c r="J208" s="346">
        <f t="shared" si="4"/>
        <v>0</v>
      </c>
      <c r="K208" s="312"/>
      <c r="L208" s="312"/>
      <c r="M208" s="312"/>
      <c r="N208" s="362"/>
      <c r="O208" s="312"/>
      <c r="P208" s="312"/>
      <c r="S208" s="2">
        <f t="shared" si="5"/>
        <v>0</v>
      </c>
      <c r="AA208" s="312"/>
      <c r="AB208" s="312"/>
      <c r="AC208" s="312"/>
      <c r="AD208" s="312"/>
    </row>
    <row r="209">
      <c r="A209" s="312"/>
      <c r="B209" s="344">
        <f t="shared" si="1"/>
        <v>1714.918281</v>
      </c>
      <c r="C209" s="344">
        <v>120.0</v>
      </c>
      <c r="D209" s="369"/>
      <c r="E209" s="344" t="str">
        <f t="shared" si="2"/>
        <v>Saturday</v>
      </c>
      <c r="F209" s="344" t="s">
        <v>554</v>
      </c>
      <c r="G209" s="370"/>
      <c r="H209" s="370"/>
      <c r="I209" s="357">
        <f t="shared" si="3"/>
        <v>0</v>
      </c>
      <c r="J209" s="346">
        <f t="shared" si="4"/>
        <v>0</v>
      </c>
      <c r="K209" s="312"/>
      <c r="L209" s="312"/>
      <c r="M209" s="312"/>
      <c r="N209" s="362"/>
      <c r="O209" s="312"/>
      <c r="P209" s="312"/>
      <c r="S209" s="2">
        <f t="shared" si="5"/>
        <v>0</v>
      </c>
      <c r="AA209" s="312"/>
      <c r="AB209" s="312"/>
      <c r="AC209" s="312"/>
      <c r="AD209" s="312"/>
    </row>
    <row r="210">
      <c r="A210" s="312"/>
      <c r="B210" s="344">
        <f t="shared" si="1"/>
        <v>1714.918281</v>
      </c>
      <c r="C210" s="344">
        <v>120.0</v>
      </c>
      <c r="D210" s="369"/>
      <c r="E210" s="344" t="str">
        <f t="shared" si="2"/>
        <v>Saturday</v>
      </c>
      <c r="F210" s="344" t="s">
        <v>554</v>
      </c>
      <c r="G210" s="370"/>
      <c r="H210" s="370"/>
      <c r="I210" s="357">
        <f t="shared" si="3"/>
        <v>0</v>
      </c>
      <c r="J210" s="346">
        <f t="shared" si="4"/>
        <v>0</v>
      </c>
      <c r="K210" s="312"/>
      <c r="L210" s="312"/>
      <c r="M210" s="312"/>
      <c r="N210" s="362"/>
      <c r="O210" s="312"/>
      <c r="P210" s="312"/>
      <c r="S210" s="2">
        <f t="shared" si="5"/>
        <v>0</v>
      </c>
      <c r="AA210" s="312"/>
      <c r="AB210" s="312"/>
      <c r="AC210" s="312"/>
      <c r="AD210" s="312"/>
    </row>
    <row r="211">
      <c r="A211" s="312"/>
      <c r="B211" s="344">
        <f t="shared" si="1"/>
        <v>1714.918281</v>
      </c>
      <c r="C211" s="344">
        <v>120.0</v>
      </c>
      <c r="D211" s="369"/>
      <c r="E211" s="344" t="str">
        <f t="shared" si="2"/>
        <v>Saturday</v>
      </c>
      <c r="F211" s="344" t="s">
        <v>554</v>
      </c>
      <c r="G211" s="370"/>
      <c r="H211" s="370"/>
      <c r="I211" s="357">
        <f t="shared" si="3"/>
        <v>0</v>
      </c>
      <c r="J211" s="346">
        <f t="shared" si="4"/>
        <v>0</v>
      </c>
      <c r="K211" s="312"/>
      <c r="L211" s="312"/>
      <c r="M211" s="312"/>
      <c r="N211" s="362"/>
      <c r="O211" s="312"/>
      <c r="P211" s="312"/>
      <c r="S211" s="2">
        <f t="shared" si="5"/>
        <v>0</v>
      </c>
      <c r="AA211" s="312"/>
      <c r="AB211" s="312"/>
      <c r="AC211" s="312"/>
      <c r="AD211" s="312"/>
    </row>
    <row r="212">
      <c r="A212" s="312"/>
      <c r="B212" s="344">
        <f t="shared" si="1"/>
        <v>1714.918281</v>
      </c>
      <c r="C212" s="344">
        <v>120.0</v>
      </c>
      <c r="D212" s="369"/>
      <c r="E212" s="344" t="str">
        <f t="shared" si="2"/>
        <v>Saturday</v>
      </c>
      <c r="F212" s="344" t="s">
        <v>554</v>
      </c>
      <c r="G212" s="370"/>
      <c r="H212" s="370"/>
      <c r="I212" s="357">
        <f t="shared" si="3"/>
        <v>0</v>
      </c>
      <c r="J212" s="346">
        <f t="shared" si="4"/>
        <v>0</v>
      </c>
      <c r="K212" s="312"/>
      <c r="L212" s="312"/>
      <c r="M212" s="312"/>
      <c r="N212" s="362"/>
      <c r="O212" s="312"/>
      <c r="P212" s="312"/>
      <c r="S212" s="2">
        <f t="shared" si="5"/>
        <v>0</v>
      </c>
      <c r="AA212" s="312"/>
      <c r="AB212" s="312"/>
      <c r="AC212" s="312"/>
      <c r="AD212" s="312"/>
    </row>
    <row r="213">
      <c r="A213" s="312"/>
      <c r="B213" s="344">
        <f t="shared" si="1"/>
        <v>1714.918281</v>
      </c>
      <c r="C213" s="344">
        <v>120.0</v>
      </c>
      <c r="D213" s="369"/>
      <c r="E213" s="344" t="str">
        <f t="shared" si="2"/>
        <v>Saturday</v>
      </c>
      <c r="F213" s="344" t="s">
        <v>554</v>
      </c>
      <c r="G213" s="370"/>
      <c r="H213" s="370"/>
      <c r="I213" s="357">
        <f t="shared" si="3"/>
        <v>0</v>
      </c>
      <c r="J213" s="346">
        <f t="shared" si="4"/>
        <v>0</v>
      </c>
      <c r="K213" s="312"/>
      <c r="L213" s="312"/>
      <c r="M213" s="312"/>
      <c r="N213" s="362"/>
      <c r="O213" s="312"/>
      <c r="P213" s="312"/>
      <c r="S213" s="2">
        <f t="shared" si="5"/>
        <v>0</v>
      </c>
      <c r="AA213" s="312"/>
      <c r="AB213" s="312"/>
      <c r="AC213" s="312"/>
      <c r="AD213" s="312"/>
    </row>
    <row r="214">
      <c r="A214" s="312"/>
      <c r="B214" s="344">
        <f t="shared" si="1"/>
        <v>1714.918281</v>
      </c>
      <c r="C214" s="344">
        <v>120.0</v>
      </c>
      <c r="D214" s="369"/>
      <c r="E214" s="344" t="str">
        <f t="shared" si="2"/>
        <v>Saturday</v>
      </c>
      <c r="F214" s="344" t="s">
        <v>554</v>
      </c>
      <c r="G214" s="370"/>
      <c r="H214" s="370"/>
      <c r="I214" s="357">
        <f t="shared" si="3"/>
        <v>0</v>
      </c>
      <c r="J214" s="346">
        <f t="shared" si="4"/>
        <v>0</v>
      </c>
      <c r="K214" s="312"/>
      <c r="L214" s="312"/>
      <c r="M214" s="312"/>
      <c r="N214" s="362"/>
      <c r="O214" s="312"/>
      <c r="P214" s="312"/>
      <c r="S214" s="2">
        <f t="shared" si="5"/>
        <v>0</v>
      </c>
      <c r="AA214" s="312"/>
      <c r="AB214" s="312"/>
      <c r="AC214" s="312"/>
      <c r="AD214" s="312"/>
    </row>
    <row r="215">
      <c r="A215" s="312"/>
      <c r="B215" s="344">
        <f t="shared" si="1"/>
        <v>1714.918281</v>
      </c>
      <c r="C215" s="344">
        <v>120.0</v>
      </c>
      <c r="D215" s="369"/>
      <c r="E215" s="344" t="str">
        <f t="shared" si="2"/>
        <v>Saturday</v>
      </c>
      <c r="F215" s="344" t="s">
        <v>554</v>
      </c>
      <c r="G215" s="370"/>
      <c r="H215" s="370"/>
      <c r="I215" s="357">
        <f t="shared" si="3"/>
        <v>0</v>
      </c>
      <c r="J215" s="346">
        <f t="shared" si="4"/>
        <v>0</v>
      </c>
      <c r="K215" s="312"/>
      <c r="L215" s="312"/>
      <c r="M215" s="312"/>
      <c r="N215" s="362"/>
      <c r="O215" s="312"/>
      <c r="P215" s="312"/>
      <c r="S215" s="2">
        <f t="shared" si="5"/>
        <v>0</v>
      </c>
      <c r="AA215" s="312"/>
      <c r="AB215" s="312"/>
      <c r="AC215" s="312"/>
      <c r="AD215" s="312"/>
    </row>
    <row r="216">
      <c r="A216" s="312"/>
      <c r="B216" s="344">
        <f t="shared" si="1"/>
        <v>1714.918281</v>
      </c>
      <c r="C216" s="344">
        <v>120.0</v>
      </c>
      <c r="D216" s="369"/>
      <c r="E216" s="344" t="str">
        <f t="shared" si="2"/>
        <v>Saturday</v>
      </c>
      <c r="F216" s="344" t="s">
        <v>554</v>
      </c>
      <c r="G216" s="370"/>
      <c r="H216" s="370"/>
      <c r="I216" s="357">
        <f t="shared" si="3"/>
        <v>0</v>
      </c>
      <c r="J216" s="346">
        <f t="shared" si="4"/>
        <v>0</v>
      </c>
      <c r="K216" s="312"/>
      <c r="L216" s="312"/>
      <c r="M216" s="312"/>
      <c r="N216" s="362"/>
      <c r="O216" s="312"/>
      <c r="P216" s="312"/>
      <c r="S216" s="2">
        <f t="shared" si="5"/>
        <v>0</v>
      </c>
      <c r="AA216" s="312"/>
      <c r="AB216" s="312"/>
      <c r="AC216" s="312"/>
      <c r="AD216" s="312"/>
    </row>
    <row r="217">
      <c r="A217" s="312"/>
      <c r="B217" s="344">
        <f t="shared" si="1"/>
        <v>1714.918281</v>
      </c>
      <c r="C217" s="344">
        <v>120.0</v>
      </c>
      <c r="D217" s="369"/>
      <c r="E217" s="344" t="str">
        <f t="shared" si="2"/>
        <v>Saturday</v>
      </c>
      <c r="F217" s="344" t="s">
        <v>554</v>
      </c>
      <c r="G217" s="370"/>
      <c r="H217" s="370"/>
      <c r="I217" s="357">
        <f t="shared" si="3"/>
        <v>0</v>
      </c>
      <c r="J217" s="346">
        <f t="shared" si="4"/>
        <v>0</v>
      </c>
      <c r="K217" s="312"/>
      <c r="L217" s="312"/>
      <c r="M217" s="312"/>
      <c r="N217" s="362"/>
      <c r="O217" s="312"/>
      <c r="P217" s="312"/>
      <c r="S217" s="2">
        <f t="shared" si="5"/>
        <v>0</v>
      </c>
      <c r="AA217" s="312"/>
      <c r="AB217" s="312"/>
      <c r="AC217" s="312"/>
      <c r="AD217" s="312"/>
    </row>
    <row r="218">
      <c r="A218" s="312"/>
      <c r="B218" s="344">
        <f t="shared" si="1"/>
        <v>1714.918281</v>
      </c>
      <c r="C218" s="344">
        <v>120.0</v>
      </c>
      <c r="D218" s="369"/>
      <c r="E218" s="344" t="str">
        <f t="shared" si="2"/>
        <v>Saturday</v>
      </c>
      <c r="F218" s="344" t="s">
        <v>554</v>
      </c>
      <c r="G218" s="370"/>
      <c r="H218" s="370"/>
      <c r="I218" s="357">
        <f t="shared" si="3"/>
        <v>0</v>
      </c>
      <c r="J218" s="346">
        <f t="shared" si="4"/>
        <v>0</v>
      </c>
      <c r="K218" s="312"/>
      <c r="L218" s="312"/>
      <c r="M218" s="312"/>
      <c r="N218" s="362"/>
      <c r="O218" s="312"/>
      <c r="P218" s="312"/>
      <c r="S218" s="2">
        <f t="shared" si="5"/>
        <v>0</v>
      </c>
      <c r="AA218" s="312"/>
      <c r="AB218" s="312"/>
      <c r="AC218" s="312"/>
      <c r="AD218" s="312"/>
    </row>
    <row r="219">
      <c r="A219" s="312"/>
      <c r="B219" s="344">
        <f t="shared" si="1"/>
        <v>1714.918281</v>
      </c>
      <c r="C219" s="344">
        <v>120.0</v>
      </c>
      <c r="D219" s="369"/>
      <c r="E219" s="344" t="str">
        <f t="shared" si="2"/>
        <v>Saturday</v>
      </c>
      <c r="F219" s="344" t="s">
        <v>554</v>
      </c>
      <c r="G219" s="370"/>
      <c r="H219" s="370"/>
      <c r="I219" s="357">
        <f t="shared" si="3"/>
        <v>0</v>
      </c>
      <c r="J219" s="346">
        <f t="shared" si="4"/>
        <v>0</v>
      </c>
      <c r="K219" s="312"/>
      <c r="L219" s="312"/>
      <c r="M219" s="312"/>
      <c r="N219" s="362"/>
      <c r="O219" s="312"/>
      <c r="P219" s="312"/>
      <c r="S219" s="2">
        <f t="shared" si="5"/>
        <v>0</v>
      </c>
      <c r="AA219" s="312"/>
      <c r="AB219" s="312"/>
      <c r="AC219" s="312"/>
      <c r="AD219" s="312"/>
    </row>
    <row r="220">
      <c r="A220" s="312"/>
      <c r="B220" s="344">
        <f t="shared" si="1"/>
        <v>1714.918281</v>
      </c>
      <c r="C220" s="344">
        <v>120.0</v>
      </c>
      <c r="D220" s="369"/>
      <c r="E220" s="344" t="str">
        <f t="shared" si="2"/>
        <v>Saturday</v>
      </c>
      <c r="F220" s="344" t="s">
        <v>554</v>
      </c>
      <c r="G220" s="370"/>
      <c r="H220" s="370"/>
      <c r="I220" s="357">
        <f t="shared" si="3"/>
        <v>0</v>
      </c>
      <c r="J220" s="346">
        <f t="shared" si="4"/>
        <v>0</v>
      </c>
      <c r="K220" s="312"/>
      <c r="L220" s="312"/>
      <c r="M220" s="312"/>
      <c r="N220" s="362"/>
      <c r="O220" s="312"/>
      <c r="P220" s="312"/>
      <c r="S220" s="2">
        <f t="shared" si="5"/>
        <v>0</v>
      </c>
      <c r="AA220" s="312"/>
      <c r="AB220" s="312"/>
      <c r="AC220" s="312"/>
      <c r="AD220" s="312"/>
    </row>
    <row r="221">
      <c r="A221" s="312"/>
      <c r="B221" s="344">
        <f t="shared" si="1"/>
        <v>1714.918281</v>
      </c>
      <c r="C221" s="344">
        <v>120.0</v>
      </c>
      <c r="D221" s="369"/>
      <c r="E221" s="344" t="str">
        <f t="shared" si="2"/>
        <v>Saturday</v>
      </c>
      <c r="F221" s="344" t="s">
        <v>554</v>
      </c>
      <c r="G221" s="370"/>
      <c r="H221" s="370"/>
      <c r="I221" s="357">
        <f t="shared" si="3"/>
        <v>0</v>
      </c>
      <c r="J221" s="346">
        <f t="shared" si="4"/>
        <v>0</v>
      </c>
      <c r="K221" s="312"/>
      <c r="L221" s="312"/>
      <c r="M221" s="312"/>
      <c r="N221" s="362"/>
      <c r="O221" s="312"/>
      <c r="P221" s="312"/>
      <c r="S221" s="2">
        <f t="shared" si="5"/>
        <v>0</v>
      </c>
      <c r="AA221" s="312"/>
      <c r="AB221" s="312"/>
      <c r="AC221" s="312"/>
      <c r="AD221" s="312"/>
    </row>
    <row r="222">
      <c r="A222" s="312"/>
      <c r="B222" s="344">
        <f t="shared" si="1"/>
        <v>1714.918281</v>
      </c>
      <c r="C222" s="344">
        <v>120.0</v>
      </c>
      <c r="D222" s="369"/>
      <c r="E222" s="344" t="str">
        <f t="shared" si="2"/>
        <v>Saturday</v>
      </c>
      <c r="F222" s="344" t="s">
        <v>554</v>
      </c>
      <c r="G222" s="370"/>
      <c r="H222" s="370"/>
      <c r="I222" s="357">
        <f t="shared" si="3"/>
        <v>0</v>
      </c>
      <c r="J222" s="346">
        <f t="shared" si="4"/>
        <v>0</v>
      </c>
      <c r="K222" s="312"/>
      <c r="L222" s="312"/>
      <c r="M222" s="312"/>
      <c r="N222" s="362"/>
      <c r="O222" s="312"/>
      <c r="P222" s="312"/>
      <c r="S222" s="2">
        <f t="shared" si="5"/>
        <v>0</v>
      </c>
      <c r="AA222" s="312"/>
      <c r="AB222" s="312"/>
      <c r="AC222" s="312"/>
      <c r="AD222" s="312"/>
    </row>
    <row r="223">
      <c r="A223" s="312"/>
      <c r="B223" s="344">
        <f t="shared" si="1"/>
        <v>1714.918281</v>
      </c>
      <c r="C223" s="344">
        <v>120.0</v>
      </c>
      <c r="D223" s="369"/>
      <c r="E223" s="344" t="str">
        <f t="shared" si="2"/>
        <v>Saturday</v>
      </c>
      <c r="F223" s="344" t="s">
        <v>554</v>
      </c>
      <c r="G223" s="370"/>
      <c r="H223" s="370"/>
      <c r="I223" s="357">
        <f t="shared" si="3"/>
        <v>0</v>
      </c>
      <c r="J223" s="346">
        <f t="shared" si="4"/>
        <v>0</v>
      </c>
      <c r="K223" s="312"/>
      <c r="L223" s="312"/>
      <c r="M223" s="312"/>
      <c r="N223" s="362"/>
      <c r="O223" s="312"/>
      <c r="P223" s="312"/>
      <c r="S223" s="2">
        <f t="shared" si="5"/>
        <v>0</v>
      </c>
      <c r="AA223" s="312"/>
      <c r="AB223" s="312"/>
      <c r="AC223" s="312"/>
      <c r="AD223" s="312"/>
    </row>
    <row r="224">
      <c r="A224" s="312"/>
      <c r="B224" s="344">
        <f t="shared" si="1"/>
        <v>1714.918281</v>
      </c>
      <c r="C224" s="344">
        <v>120.0</v>
      </c>
      <c r="D224" s="369"/>
      <c r="E224" s="344" t="str">
        <f t="shared" si="2"/>
        <v>Saturday</v>
      </c>
      <c r="F224" s="344" t="s">
        <v>554</v>
      </c>
      <c r="G224" s="370"/>
      <c r="H224" s="370"/>
      <c r="I224" s="357">
        <f t="shared" si="3"/>
        <v>0</v>
      </c>
      <c r="J224" s="346">
        <f t="shared" si="4"/>
        <v>0</v>
      </c>
      <c r="K224" s="312"/>
      <c r="L224" s="312"/>
      <c r="M224" s="312"/>
      <c r="N224" s="362"/>
      <c r="O224" s="312"/>
      <c r="P224" s="312"/>
      <c r="S224" s="2">
        <f t="shared" si="5"/>
        <v>0</v>
      </c>
      <c r="AA224" s="312"/>
      <c r="AB224" s="312"/>
      <c r="AC224" s="312"/>
      <c r="AD224" s="312"/>
    </row>
    <row r="225">
      <c r="A225" s="312"/>
      <c r="B225" s="344">
        <f t="shared" si="1"/>
        <v>1714.918281</v>
      </c>
      <c r="C225" s="344">
        <v>120.0</v>
      </c>
      <c r="D225" s="369"/>
      <c r="E225" s="344" t="str">
        <f t="shared" si="2"/>
        <v>Saturday</v>
      </c>
      <c r="F225" s="344" t="s">
        <v>554</v>
      </c>
      <c r="G225" s="370"/>
      <c r="H225" s="370"/>
      <c r="I225" s="357">
        <f t="shared" si="3"/>
        <v>0</v>
      </c>
      <c r="J225" s="346">
        <f t="shared" si="4"/>
        <v>0</v>
      </c>
      <c r="K225" s="312"/>
      <c r="L225" s="312"/>
      <c r="M225" s="312"/>
      <c r="N225" s="362"/>
      <c r="O225" s="312"/>
      <c r="P225" s="312"/>
      <c r="S225" s="2">
        <f t="shared" si="5"/>
        <v>0</v>
      </c>
      <c r="AA225" s="312"/>
      <c r="AB225" s="312"/>
      <c r="AC225" s="312"/>
      <c r="AD225" s="312"/>
    </row>
    <row r="226">
      <c r="A226" s="312"/>
      <c r="B226" s="344">
        <f t="shared" si="1"/>
        <v>1714.918281</v>
      </c>
      <c r="C226" s="344">
        <v>120.0</v>
      </c>
      <c r="D226" s="369"/>
      <c r="E226" s="344" t="str">
        <f t="shared" si="2"/>
        <v>Saturday</v>
      </c>
      <c r="F226" s="344" t="s">
        <v>554</v>
      </c>
      <c r="G226" s="370"/>
      <c r="H226" s="370"/>
      <c r="I226" s="357">
        <f t="shared" si="3"/>
        <v>0</v>
      </c>
      <c r="J226" s="346">
        <f t="shared" si="4"/>
        <v>0</v>
      </c>
      <c r="K226" s="312"/>
      <c r="L226" s="312"/>
      <c r="M226" s="312"/>
      <c r="N226" s="362"/>
      <c r="O226" s="312"/>
      <c r="P226" s="312"/>
      <c r="S226" s="2">
        <f t="shared" si="5"/>
        <v>0</v>
      </c>
      <c r="AA226" s="312"/>
      <c r="AB226" s="312"/>
      <c r="AC226" s="312"/>
      <c r="AD226" s="312"/>
    </row>
    <row r="227">
      <c r="A227" s="312"/>
      <c r="B227" s="344">
        <f t="shared" si="1"/>
        <v>1714.918281</v>
      </c>
      <c r="C227" s="344">
        <v>120.0</v>
      </c>
      <c r="D227" s="369"/>
      <c r="E227" s="344" t="str">
        <f t="shared" si="2"/>
        <v>Saturday</v>
      </c>
      <c r="F227" s="344" t="s">
        <v>554</v>
      </c>
      <c r="G227" s="370"/>
      <c r="H227" s="370"/>
      <c r="I227" s="357">
        <f t="shared" si="3"/>
        <v>0</v>
      </c>
      <c r="J227" s="346">
        <f t="shared" si="4"/>
        <v>0</v>
      </c>
      <c r="K227" s="312"/>
      <c r="L227" s="312"/>
      <c r="M227" s="312"/>
      <c r="N227" s="362"/>
      <c r="O227" s="312"/>
      <c r="P227" s="312"/>
      <c r="S227" s="2">
        <f t="shared" si="5"/>
        <v>0</v>
      </c>
      <c r="AA227" s="312"/>
      <c r="AB227" s="312"/>
      <c r="AC227" s="312"/>
      <c r="AD227" s="312"/>
    </row>
    <row r="228">
      <c r="A228" s="312"/>
      <c r="B228" s="344">
        <f t="shared" si="1"/>
        <v>1714.918281</v>
      </c>
      <c r="C228" s="344">
        <v>120.0</v>
      </c>
      <c r="D228" s="369"/>
      <c r="E228" s="344" t="str">
        <f t="shared" si="2"/>
        <v>Saturday</v>
      </c>
      <c r="F228" s="344" t="s">
        <v>554</v>
      </c>
      <c r="G228" s="370"/>
      <c r="H228" s="370"/>
      <c r="I228" s="357">
        <f t="shared" si="3"/>
        <v>0</v>
      </c>
      <c r="J228" s="346">
        <f t="shared" si="4"/>
        <v>0</v>
      </c>
      <c r="K228" s="312"/>
      <c r="L228" s="312"/>
      <c r="M228" s="312"/>
      <c r="N228" s="362"/>
      <c r="O228" s="312"/>
      <c r="P228" s="312"/>
      <c r="S228" s="2">
        <f t="shared" si="5"/>
        <v>0</v>
      </c>
      <c r="AA228" s="312"/>
      <c r="AB228" s="312"/>
      <c r="AC228" s="312"/>
      <c r="AD228" s="312"/>
    </row>
    <row r="229">
      <c r="A229" s="312"/>
      <c r="B229" s="344">
        <f t="shared" si="1"/>
        <v>1714.918281</v>
      </c>
      <c r="C229" s="344">
        <v>120.0</v>
      </c>
      <c r="D229" s="369"/>
      <c r="E229" s="344" t="str">
        <f t="shared" si="2"/>
        <v>Saturday</v>
      </c>
      <c r="F229" s="344" t="s">
        <v>554</v>
      </c>
      <c r="G229" s="370"/>
      <c r="H229" s="370"/>
      <c r="I229" s="357">
        <f t="shared" si="3"/>
        <v>0</v>
      </c>
      <c r="J229" s="346">
        <f t="shared" si="4"/>
        <v>0</v>
      </c>
      <c r="K229" s="312"/>
      <c r="L229" s="312"/>
      <c r="M229" s="312"/>
      <c r="N229" s="362"/>
      <c r="O229" s="312"/>
      <c r="P229" s="312"/>
      <c r="S229" s="2">
        <f t="shared" si="5"/>
        <v>0</v>
      </c>
      <c r="AA229" s="312"/>
      <c r="AB229" s="312"/>
      <c r="AC229" s="312"/>
      <c r="AD229" s="312"/>
    </row>
    <row r="230">
      <c r="A230" s="312"/>
      <c r="B230" s="344">
        <f t="shared" si="1"/>
        <v>1714.918281</v>
      </c>
      <c r="C230" s="344">
        <v>120.0</v>
      </c>
      <c r="D230" s="369"/>
      <c r="E230" s="344" t="str">
        <f t="shared" si="2"/>
        <v>Saturday</v>
      </c>
      <c r="F230" s="344" t="s">
        <v>554</v>
      </c>
      <c r="G230" s="370"/>
      <c r="H230" s="370"/>
      <c r="I230" s="357">
        <f t="shared" si="3"/>
        <v>0</v>
      </c>
      <c r="J230" s="346">
        <f t="shared" si="4"/>
        <v>0</v>
      </c>
      <c r="K230" s="312"/>
      <c r="L230" s="312"/>
      <c r="M230" s="312"/>
      <c r="N230" s="362"/>
      <c r="O230" s="312"/>
      <c r="P230" s="312"/>
      <c r="S230" s="2">
        <f t="shared" si="5"/>
        <v>0</v>
      </c>
      <c r="AA230" s="312"/>
      <c r="AB230" s="312"/>
      <c r="AC230" s="312"/>
      <c r="AD230" s="312"/>
    </row>
    <row r="231">
      <c r="A231" s="312"/>
      <c r="B231" s="344">
        <f t="shared" si="1"/>
        <v>1714.918281</v>
      </c>
      <c r="C231" s="344">
        <v>120.0</v>
      </c>
      <c r="D231" s="369"/>
      <c r="E231" s="344" t="str">
        <f t="shared" si="2"/>
        <v>Saturday</v>
      </c>
      <c r="F231" s="344" t="s">
        <v>554</v>
      </c>
      <c r="G231" s="370"/>
      <c r="H231" s="370"/>
      <c r="I231" s="357">
        <f t="shared" si="3"/>
        <v>0</v>
      </c>
      <c r="J231" s="346">
        <f t="shared" si="4"/>
        <v>0</v>
      </c>
      <c r="K231" s="312"/>
      <c r="L231" s="312"/>
      <c r="M231" s="312"/>
      <c r="N231" s="362"/>
      <c r="O231" s="312"/>
      <c r="P231" s="312"/>
      <c r="S231" s="2">
        <f t="shared" si="5"/>
        <v>0</v>
      </c>
      <c r="AA231" s="312"/>
      <c r="AB231" s="312"/>
      <c r="AC231" s="312"/>
      <c r="AD231" s="312"/>
    </row>
    <row r="232">
      <c r="A232" s="312"/>
      <c r="B232" s="344">
        <f t="shared" si="1"/>
        <v>1714.918281</v>
      </c>
      <c r="C232" s="344">
        <v>120.0</v>
      </c>
      <c r="D232" s="369"/>
      <c r="E232" s="344" t="str">
        <f t="shared" si="2"/>
        <v>Saturday</v>
      </c>
      <c r="F232" s="344" t="s">
        <v>554</v>
      </c>
      <c r="G232" s="370"/>
      <c r="H232" s="370"/>
      <c r="I232" s="357">
        <f t="shared" si="3"/>
        <v>0</v>
      </c>
      <c r="J232" s="346">
        <f t="shared" si="4"/>
        <v>0</v>
      </c>
      <c r="K232" s="312"/>
      <c r="L232" s="312"/>
      <c r="M232" s="312"/>
      <c r="N232" s="362"/>
      <c r="O232" s="312"/>
      <c r="P232" s="312"/>
      <c r="S232" s="2">
        <f t="shared" si="5"/>
        <v>0</v>
      </c>
      <c r="AA232" s="312"/>
      <c r="AB232" s="312"/>
      <c r="AC232" s="312"/>
      <c r="AD232" s="312"/>
    </row>
    <row r="233">
      <c r="A233" s="312"/>
      <c r="B233" s="344">
        <f t="shared" si="1"/>
        <v>1714.918281</v>
      </c>
      <c r="C233" s="344">
        <v>120.0</v>
      </c>
      <c r="D233" s="369"/>
      <c r="E233" s="344" t="str">
        <f t="shared" si="2"/>
        <v>Saturday</v>
      </c>
      <c r="F233" s="344" t="s">
        <v>554</v>
      </c>
      <c r="G233" s="370"/>
      <c r="H233" s="370"/>
      <c r="I233" s="357">
        <f t="shared" si="3"/>
        <v>0</v>
      </c>
      <c r="J233" s="346">
        <f t="shared" si="4"/>
        <v>0</v>
      </c>
      <c r="K233" s="312"/>
      <c r="L233" s="312"/>
      <c r="M233" s="312"/>
      <c r="N233" s="362"/>
      <c r="O233" s="312"/>
      <c r="P233" s="312"/>
      <c r="S233" s="2">
        <f t="shared" si="5"/>
        <v>0</v>
      </c>
      <c r="AA233" s="312"/>
      <c r="AB233" s="312"/>
      <c r="AC233" s="312"/>
      <c r="AD233" s="312"/>
    </row>
    <row r="234">
      <c r="A234" s="312"/>
      <c r="B234" s="344">
        <f t="shared" si="1"/>
        <v>1714.918281</v>
      </c>
      <c r="C234" s="344">
        <v>120.0</v>
      </c>
      <c r="D234" s="369"/>
      <c r="E234" s="344" t="str">
        <f t="shared" si="2"/>
        <v>Saturday</v>
      </c>
      <c r="F234" s="344" t="s">
        <v>554</v>
      </c>
      <c r="G234" s="370"/>
      <c r="H234" s="370"/>
      <c r="I234" s="357">
        <f t="shared" si="3"/>
        <v>0</v>
      </c>
      <c r="J234" s="346">
        <f t="shared" si="4"/>
        <v>0</v>
      </c>
      <c r="K234" s="312"/>
      <c r="L234" s="312"/>
      <c r="M234" s="312"/>
      <c r="N234" s="362"/>
      <c r="O234" s="312"/>
      <c r="P234" s="312"/>
      <c r="S234" s="2">
        <f t="shared" si="5"/>
        <v>0</v>
      </c>
      <c r="AA234" s="312"/>
      <c r="AB234" s="312"/>
      <c r="AC234" s="312"/>
      <c r="AD234" s="312"/>
    </row>
    <row r="235">
      <c r="A235" s="312"/>
      <c r="B235" s="344">
        <f t="shared" si="1"/>
        <v>1714.918281</v>
      </c>
      <c r="C235" s="344">
        <v>120.0</v>
      </c>
      <c r="D235" s="369"/>
      <c r="E235" s="344" t="str">
        <f t="shared" si="2"/>
        <v>Saturday</v>
      </c>
      <c r="F235" s="344" t="s">
        <v>554</v>
      </c>
      <c r="G235" s="370"/>
      <c r="H235" s="370"/>
      <c r="I235" s="357">
        <f t="shared" si="3"/>
        <v>0</v>
      </c>
      <c r="J235" s="346">
        <f t="shared" si="4"/>
        <v>0</v>
      </c>
      <c r="K235" s="312"/>
      <c r="L235" s="312"/>
      <c r="M235" s="312"/>
      <c r="N235" s="362"/>
      <c r="O235" s="312"/>
      <c r="P235" s="312"/>
      <c r="S235" s="2">
        <f t="shared" si="5"/>
        <v>0</v>
      </c>
      <c r="AA235" s="312"/>
      <c r="AB235" s="312"/>
      <c r="AC235" s="312"/>
      <c r="AD235" s="312"/>
    </row>
    <row r="236">
      <c r="A236" s="312"/>
      <c r="B236" s="344">
        <f t="shared" si="1"/>
        <v>1714.918281</v>
      </c>
      <c r="C236" s="344">
        <v>120.0</v>
      </c>
      <c r="D236" s="369"/>
      <c r="E236" s="344" t="str">
        <f t="shared" si="2"/>
        <v>Saturday</v>
      </c>
      <c r="F236" s="344" t="s">
        <v>554</v>
      </c>
      <c r="G236" s="370"/>
      <c r="H236" s="370"/>
      <c r="I236" s="357">
        <f t="shared" si="3"/>
        <v>0</v>
      </c>
      <c r="J236" s="346">
        <f t="shared" si="4"/>
        <v>0</v>
      </c>
      <c r="K236" s="312"/>
      <c r="L236" s="312"/>
      <c r="M236" s="312"/>
      <c r="N236" s="362"/>
      <c r="O236" s="312"/>
      <c r="P236" s="312"/>
      <c r="S236" s="2">
        <f t="shared" si="5"/>
        <v>0</v>
      </c>
      <c r="AA236" s="312"/>
      <c r="AB236" s="312"/>
      <c r="AC236" s="312"/>
      <c r="AD236" s="312"/>
    </row>
    <row r="237">
      <c r="A237" s="312"/>
      <c r="B237" s="344">
        <f t="shared" si="1"/>
        <v>1714.918281</v>
      </c>
      <c r="C237" s="344">
        <v>120.0</v>
      </c>
      <c r="D237" s="369"/>
      <c r="E237" s="344" t="str">
        <f t="shared" si="2"/>
        <v>Saturday</v>
      </c>
      <c r="F237" s="344" t="s">
        <v>554</v>
      </c>
      <c r="G237" s="370"/>
      <c r="H237" s="370"/>
      <c r="I237" s="357">
        <f t="shared" si="3"/>
        <v>0</v>
      </c>
      <c r="J237" s="346">
        <f t="shared" si="4"/>
        <v>0</v>
      </c>
      <c r="K237" s="312"/>
      <c r="L237" s="312"/>
      <c r="M237" s="312"/>
      <c r="N237" s="362"/>
      <c r="O237" s="312"/>
      <c r="P237" s="312"/>
      <c r="S237" s="2">
        <f t="shared" si="5"/>
        <v>0</v>
      </c>
      <c r="AA237" s="312"/>
      <c r="AB237" s="312"/>
      <c r="AC237" s="312"/>
      <c r="AD237" s="312"/>
    </row>
    <row r="238">
      <c r="A238" s="312"/>
      <c r="B238" s="344">
        <f t="shared" si="1"/>
        <v>1714.918281</v>
      </c>
      <c r="C238" s="344">
        <v>120.0</v>
      </c>
      <c r="D238" s="369"/>
      <c r="E238" s="344" t="str">
        <f t="shared" si="2"/>
        <v>Saturday</v>
      </c>
      <c r="F238" s="344" t="s">
        <v>554</v>
      </c>
      <c r="G238" s="370"/>
      <c r="H238" s="370"/>
      <c r="I238" s="357">
        <f t="shared" si="3"/>
        <v>0</v>
      </c>
      <c r="J238" s="346">
        <f t="shared" si="4"/>
        <v>0</v>
      </c>
      <c r="K238" s="312"/>
      <c r="L238" s="312"/>
      <c r="M238" s="312"/>
      <c r="N238" s="362"/>
      <c r="O238" s="312"/>
      <c r="P238" s="312"/>
      <c r="S238" s="2">
        <f t="shared" si="5"/>
        <v>0</v>
      </c>
      <c r="AA238" s="312"/>
      <c r="AB238" s="312"/>
      <c r="AC238" s="312"/>
      <c r="AD238" s="312"/>
    </row>
    <row r="239">
      <c r="A239" s="312"/>
      <c r="B239" s="344">
        <f t="shared" si="1"/>
        <v>1714.918281</v>
      </c>
      <c r="C239" s="344">
        <v>120.0</v>
      </c>
      <c r="D239" s="369"/>
      <c r="E239" s="344" t="str">
        <f t="shared" si="2"/>
        <v>Saturday</v>
      </c>
      <c r="F239" s="344" t="s">
        <v>554</v>
      </c>
      <c r="G239" s="370"/>
      <c r="H239" s="370"/>
      <c r="I239" s="357">
        <f t="shared" si="3"/>
        <v>0</v>
      </c>
      <c r="J239" s="346">
        <f t="shared" si="4"/>
        <v>0</v>
      </c>
      <c r="K239" s="312"/>
      <c r="L239" s="312"/>
      <c r="M239" s="312"/>
      <c r="N239" s="362"/>
      <c r="O239" s="312"/>
      <c r="P239" s="312"/>
      <c r="S239" s="2">
        <f t="shared" si="5"/>
        <v>0</v>
      </c>
      <c r="AA239" s="312"/>
      <c r="AB239" s="312"/>
      <c r="AC239" s="312"/>
      <c r="AD239" s="312"/>
    </row>
    <row r="240">
      <c r="A240" s="312"/>
      <c r="B240" s="344">
        <f t="shared" si="1"/>
        <v>1714.918281</v>
      </c>
      <c r="C240" s="344">
        <v>120.0</v>
      </c>
      <c r="D240" s="369"/>
      <c r="E240" s="344" t="str">
        <f t="shared" si="2"/>
        <v>Saturday</v>
      </c>
      <c r="F240" s="344" t="s">
        <v>554</v>
      </c>
      <c r="G240" s="370"/>
      <c r="H240" s="370"/>
      <c r="I240" s="357">
        <f t="shared" si="3"/>
        <v>0</v>
      </c>
      <c r="J240" s="346">
        <f t="shared" si="4"/>
        <v>0</v>
      </c>
      <c r="K240" s="312"/>
      <c r="L240" s="312"/>
      <c r="M240" s="312"/>
      <c r="N240" s="362"/>
      <c r="O240" s="312"/>
      <c r="P240" s="312"/>
      <c r="S240" s="2">
        <f t="shared" si="5"/>
        <v>0</v>
      </c>
      <c r="AA240" s="312"/>
      <c r="AB240" s="312"/>
      <c r="AC240" s="312"/>
      <c r="AD240" s="312"/>
    </row>
    <row r="241">
      <c r="A241" s="312"/>
      <c r="B241" s="344">
        <f t="shared" si="1"/>
        <v>1714.918281</v>
      </c>
      <c r="C241" s="344">
        <v>120.0</v>
      </c>
      <c r="D241" s="369"/>
      <c r="E241" s="344" t="str">
        <f t="shared" si="2"/>
        <v>Saturday</v>
      </c>
      <c r="F241" s="344" t="s">
        <v>554</v>
      </c>
      <c r="G241" s="370"/>
      <c r="H241" s="370"/>
      <c r="I241" s="357">
        <f t="shared" si="3"/>
        <v>0</v>
      </c>
      <c r="J241" s="346">
        <f t="shared" si="4"/>
        <v>0</v>
      </c>
      <c r="K241" s="312"/>
      <c r="L241" s="312"/>
      <c r="M241" s="312"/>
      <c r="N241" s="362"/>
      <c r="O241" s="312"/>
      <c r="P241" s="312"/>
      <c r="S241" s="2">
        <f t="shared" si="5"/>
        <v>0</v>
      </c>
      <c r="AA241" s="312"/>
      <c r="AB241" s="312"/>
      <c r="AC241" s="312"/>
      <c r="AD241" s="312"/>
    </row>
    <row r="242">
      <c r="A242" s="312"/>
      <c r="B242" s="344">
        <f t="shared" si="1"/>
        <v>1714.918281</v>
      </c>
      <c r="C242" s="344">
        <v>120.0</v>
      </c>
      <c r="D242" s="369"/>
      <c r="E242" s="344" t="str">
        <f t="shared" si="2"/>
        <v>Saturday</v>
      </c>
      <c r="F242" s="344" t="s">
        <v>554</v>
      </c>
      <c r="G242" s="370"/>
      <c r="H242" s="370"/>
      <c r="I242" s="357">
        <f t="shared" si="3"/>
        <v>0</v>
      </c>
      <c r="J242" s="346">
        <f t="shared" si="4"/>
        <v>0</v>
      </c>
      <c r="K242" s="312"/>
      <c r="L242" s="312"/>
      <c r="M242" s="312"/>
      <c r="N242" s="362"/>
      <c r="O242" s="312"/>
      <c r="P242" s="312"/>
      <c r="S242" s="2">
        <f t="shared" si="5"/>
        <v>0</v>
      </c>
      <c r="AA242" s="312"/>
      <c r="AB242" s="312"/>
      <c r="AC242" s="312"/>
      <c r="AD242" s="312"/>
    </row>
    <row r="243">
      <c r="A243" s="312"/>
      <c r="B243" s="344">
        <f t="shared" si="1"/>
        <v>1714.918281</v>
      </c>
      <c r="C243" s="344">
        <v>120.0</v>
      </c>
      <c r="D243" s="369"/>
      <c r="E243" s="344" t="str">
        <f t="shared" si="2"/>
        <v>Saturday</v>
      </c>
      <c r="F243" s="344" t="s">
        <v>554</v>
      </c>
      <c r="G243" s="370"/>
      <c r="H243" s="370"/>
      <c r="I243" s="357">
        <f t="shared" si="3"/>
        <v>0</v>
      </c>
      <c r="J243" s="346">
        <f t="shared" si="4"/>
        <v>0</v>
      </c>
      <c r="K243" s="312"/>
      <c r="L243" s="312"/>
      <c r="M243" s="312"/>
      <c r="N243" s="362"/>
      <c r="O243" s="312"/>
      <c r="P243" s="312"/>
      <c r="S243" s="2">
        <f t="shared" si="5"/>
        <v>0</v>
      </c>
      <c r="AA243" s="312"/>
      <c r="AB243" s="312"/>
      <c r="AC243" s="312"/>
      <c r="AD243" s="312"/>
    </row>
    <row r="244">
      <c r="A244" s="312"/>
      <c r="B244" s="344">
        <f t="shared" si="1"/>
        <v>1714.918281</v>
      </c>
      <c r="C244" s="344">
        <v>120.0</v>
      </c>
      <c r="D244" s="369"/>
      <c r="E244" s="344" t="str">
        <f t="shared" si="2"/>
        <v>Saturday</v>
      </c>
      <c r="F244" s="344" t="s">
        <v>554</v>
      </c>
      <c r="G244" s="370"/>
      <c r="H244" s="370"/>
      <c r="I244" s="357">
        <f t="shared" si="3"/>
        <v>0</v>
      </c>
      <c r="J244" s="346">
        <f t="shared" si="4"/>
        <v>0</v>
      </c>
      <c r="K244" s="312"/>
      <c r="L244" s="312"/>
      <c r="M244" s="312"/>
      <c r="N244" s="362"/>
      <c r="O244" s="312"/>
      <c r="P244" s="312"/>
      <c r="S244" s="2">
        <f t="shared" si="5"/>
        <v>0</v>
      </c>
      <c r="AA244" s="312"/>
      <c r="AB244" s="312"/>
      <c r="AC244" s="312"/>
      <c r="AD244" s="312"/>
    </row>
    <row r="245">
      <c r="A245" s="312"/>
      <c r="B245" s="344">
        <f t="shared" si="1"/>
        <v>1714.918281</v>
      </c>
      <c r="C245" s="344">
        <v>120.0</v>
      </c>
      <c r="D245" s="369"/>
      <c r="E245" s="344" t="str">
        <f t="shared" si="2"/>
        <v>Saturday</v>
      </c>
      <c r="F245" s="344" t="s">
        <v>554</v>
      </c>
      <c r="G245" s="370"/>
      <c r="H245" s="370"/>
      <c r="I245" s="357">
        <f t="shared" si="3"/>
        <v>0</v>
      </c>
      <c r="J245" s="346">
        <f t="shared" si="4"/>
        <v>0</v>
      </c>
      <c r="K245" s="312"/>
      <c r="L245" s="312"/>
      <c r="M245" s="312"/>
      <c r="N245" s="362"/>
      <c r="O245" s="312"/>
      <c r="P245" s="312"/>
      <c r="S245" s="2">
        <f t="shared" si="5"/>
        <v>0</v>
      </c>
      <c r="AA245" s="312"/>
      <c r="AB245" s="312"/>
      <c r="AC245" s="312"/>
      <c r="AD245" s="312"/>
    </row>
    <row r="246">
      <c r="A246" s="312"/>
      <c r="B246" s="344">
        <f t="shared" si="1"/>
        <v>1714.918281</v>
      </c>
      <c r="C246" s="344">
        <v>120.0</v>
      </c>
      <c r="D246" s="369"/>
      <c r="E246" s="344" t="str">
        <f t="shared" si="2"/>
        <v>Saturday</v>
      </c>
      <c r="F246" s="344" t="s">
        <v>554</v>
      </c>
      <c r="G246" s="370"/>
      <c r="H246" s="370"/>
      <c r="I246" s="357">
        <f t="shared" si="3"/>
        <v>0</v>
      </c>
      <c r="J246" s="346">
        <f t="shared" si="4"/>
        <v>0</v>
      </c>
      <c r="K246" s="312"/>
      <c r="L246" s="312"/>
      <c r="M246" s="312"/>
      <c r="N246" s="362"/>
      <c r="O246" s="312"/>
      <c r="P246" s="312"/>
      <c r="S246" s="2">
        <f t="shared" si="5"/>
        <v>0</v>
      </c>
      <c r="AA246" s="312"/>
      <c r="AB246" s="312"/>
      <c r="AC246" s="312"/>
      <c r="AD246" s="312"/>
    </row>
    <row r="247">
      <c r="A247" s="312"/>
      <c r="B247" s="344">
        <f t="shared" si="1"/>
        <v>1714.918281</v>
      </c>
      <c r="C247" s="344">
        <v>120.0</v>
      </c>
      <c r="D247" s="369"/>
      <c r="E247" s="344" t="str">
        <f t="shared" si="2"/>
        <v>Saturday</v>
      </c>
      <c r="F247" s="344" t="s">
        <v>554</v>
      </c>
      <c r="G247" s="370"/>
      <c r="H247" s="370"/>
      <c r="I247" s="357">
        <f t="shared" si="3"/>
        <v>0</v>
      </c>
      <c r="J247" s="346">
        <f t="shared" si="4"/>
        <v>0</v>
      </c>
      <c r="K247" s="312"/>
      <c r="L247" s="312"/>
      <c r="M247" s="312"/>
      <c r="N247" s="362"/>
      <c r="O247" s="312"/>
      <c r="P247" s="312"/>
      <c r="S247" s="2">
        <f t="shared" si="5"/>
        <v>0</v>
      </c>
      <c r="AA247" s="312"/>
      <c r="AB247" s="312"/>
      <c r="AC247" s="312"/>
      <c r="AD247" s="312"/>
    </row>
    <row r="248">
      <c r="A248" s="312"/>
      <c r="B248" s="344">
        <f t="shared" si="1"/>
        <v>1714.918281</v>
      </c>
      <c r="C248" s="344">
        <v>120.0</v>
      </c>
      <c r="D248" s="369"/>
      <c r="E248" s="344" t="str">
        <f t="shared" si="2"/>
        <v>Saturday</v>
      </c>
      <c r="F248" s="344" t="s">
        <v>554</v>
      </c>
      <c r="G248" s="370"/>
      <c r="H248" s="370"/>
      <c r="I248" s="357">
        <f t="shared" si="3"/>
        <v>0</v>
      </c>
      <c r="J248" s="346">
        <f t="shared" si="4"/>
        <v>0</v>
      </c>
      <c r="K248" s="312"/>
      <c r="L248" s="312"/>
      <c r="M248" s="312"/>
      <c r="N248" s="362"/>
      <c r="O248" s="312"/>
      <c r="P248" s="312"/>
      <c r="S248" s="2">
        <f t="shared" si="5"/>
        <v>0</v>
      </c>
      <c r="AA248" s="312"/>
      <c r="AB248" s="312"/>
      <c r="AC248" s="312"/>
      <c r="AD248" s="312"/>
    </row>
    <row r="249">
      <c r="A249" s="312"/>
      <c r="B249" s="344">
        <f t="shared" si="1"/>
        <v>1714.918281</v>
      </c>
      <c r="C249" s="344">
        <v>120.0</v>
      </c>
      <c r="D249" s="369"/>
      <c r="E249" s="344" t="str">
        <f t="shared" si="2"/>
        <v>Saturday</v>
      </c>
      <c r="F249" s="344" t="s">
        <v>554</v>
      </c>
      <c r="G249" s="370"/>
      <c r="H249" s="370"/>
      <c r="I249" s="357">
        <f t="shared" si="3"/>
        <v>0</v>
      </c>
      <c r="J249" s="346">
        <f t="shared" si="4"/>
        <v>0</v>
      </c>
      <c r="K249" s="312"/>
      <c r="L249" s="312"/>
      <c r="M249" s="312"/>
      <c r="N249" s="362"/>
      <c r="O249" s="312"/>
      <c r="P249" s="312"/>
      <c r="S249" s="2">
        <f t="shared" si="5"/>
        <v>0</v>
      </c>
      <c r="AA249" s="312"/>
      <c r="AB249" s="312"/>
      <c r="AC249" s="312"/>
      <c r="AD249" s="312"/>
    </row>
    <row r="250">
      <c r="A250" s="312"/>
      <c r="B250" s="344">
        <f t="shared" si="1"/>
        <v>1714.918281</v>
      </c>
      <c r="C250" s="344">
        <v>120.0</v>
      </c>
      <c r="D250" s="369"/>
      <c r="E250" s="344" t="str">
        <f t="shared" si="2"/>
        <v>Saturday</v>
      </c>
      <c r="F250" s="344" t="s">
        <v>554</v>
      </c>
      <c r="G250" s="370"/>
      <c r="H250" s="370"/>
      <c r="I250" s="357">
        <f t="shared" si="3"/>
        <v>0</v>
      </c>
      <c r="J250" s="346">
        <f t="shared" si="4"/>
        <v>0</v>
      </c>
      <c r="K250" s="312"/>
      <c r="L250" s="312"/>
      <c r="M250" s="312"/>
      <c r="N250" s="362"/>
      <c r="O250" s="312"/>
      <c r="P250" s="312"/>
      <c r="S250" s="2">
        <f t="shared" si="5"/>
        <v>0</v>
      </c>
      <c r="AA250" s="312"/>
      <c r="AB250" s="312"/>
      <c r="AC250" s="312"/>
      <c r="AD250" s="312"/>
    </row>
    <row r="251">
      <c r="A251" s="312"/>
      <c r="B251" s="344">
        <f t="shared" si="1"/>
        <v>1714.918281</v>
      </c>
      <c r="C251" s="344">
        <v>120.0</v>
      </c>
      <c r="D251" s="369"/>
      <c r="E251" s="344" t="str">
        <f t="shared" si="2"/>
        <v>Saturday</v>
      </c>
      <c r="F251" s="344" t="s">
        <v>554</v>
      </c>
      <c r="G251" s="370"/>
      <c r="H251" s="370"/>
      <c r="I251" s="357">
        <f t="shared" si="3"/>
        <v>0</v>
      </c>
      <c r="J251" s="346">
        <f t="shared" si="4"/>
        <v>0</v>
      </c>
      <c r="K251" s="312"/>
      <c r="L251" s="312"/>
      <c r="M251" s="312"/>
      <c r="N251" s="362"/>
      <c r="O251" s="312"/>
      <c r="P251" s="312"/>
      <c r="S251" s="2">
        <f t="shared" si="5"/>
        <v>0</v>
      </c>
      <c r="AA251" s="312"/>
      <c r="AB251" s="312"/>
      <c r="AC251" s="312"/>
      <c r="AD251" s="312"/>
    </row>
    <row r="252">
      <c r="A252" s="312"/>
      <c r="B252" s="344">
        <f t="shared" si="1"/>
        <v>1714.918281</v>
      </c>
      <c r="C252" s="344">
        <v>120.0</v>
      </c>
      <c r="D252" s="369"/>
      <c r="E252" s="344" t="str">
        <f t="shared" si="2"/>
        <v>Saturday</v>
      </c>
      <c r="F252" s="344" t="s">
        <v>554</v>
      </c>
      <c r="G252" s="370"/>
      <c r="H252" s="370"/>
      <c r="I252" s="357">
        <f t="shared" si="3"/>
        <v>0</v>
      </c>
      <c r="J252" s="346">
        <f t="shared" si="4"/>
        <v>0</v>
      </c>
      <c r="K252" s="312"/>
      <c r="L252" s="312"/>
      <c r="M252" s="312"/>
      <c r="N252" s="362"/>
      <c r="O252" s="312"/>
      <c r="P252" s="312"/>
      <c r="S252" s="2">
        <f t="shared" si="5"/>
        <v>0</v>
      </c>
      <c r="AA252" s="312"/>
      <c r="AB252" s="312"/>
      <c r="AC252" s="312"/>
      <c r="AD252" s="312"/>
    </row>
    <row r="253">
      <c r="A253" s="312"/>
      <c r="B253" s="344">
        <f t="shared" si="1"/>
        <v>1714.918281</v>
      </c>
      <c r="C253" s="344">
        <v>120.0</v>
      </c>
      <c r="D253" s="369"/>
      <c r="E253" s="344" t="str">
        <f t="shared" si="2"/>
        <v>Saturday</v>
      </c>
      <c r="F253" s="344" t="s">
        <v>554</v>
      </c>
      <c r="G253" s="370"/>
      <c r="H253" s="370"/>
      <c r="I253" s="357">
        <f t="shared" si="3"/>
        <v>0</v>
      </c>
      <c r="J253" s="346">
        <f t="shared" si="4"/>
        <v>0</v>
      </c>
      <c r="K253" s="312"/>
      <c r="L253" s="312"/>
      <c r="M253" s="312"/>
      <c r="N253" s="362"/>
      <c r="O253" s="312"/>
      <c r="P253" s="312"/>
      <c r="S253" s="2">
        <f t="shared" si="5"/>
        <v>0</v>
      </c>
      <c r="AA253" s="312"/>
      <c r="AB253" s="312"/>
      <c r="AC253" s="312"/>
      <c r="AD253" s="312"/>
    </row>
    <row r="254">
      <c r="A254" s="312"/>
      <c r="B254" s="344">
        <f t="shared" si="1"/>
        <v>1714.918281</v>
      </c>
      <c r="C254" s="344">
        <v>120.0</v>
      </c>
      <c r="D254" s="369"/>
      <c r="E254" s="344" t="str">
        <f t="shared" si="2"/>
        <v>Saturday</v>
      </c>
      <c r="F254" s="344" t="s">
        <v>554</v>
      </c>
      <c r="G254" s="370"/>
      <c r="H254" s="370"/>
      <c r="I254" s="357">
        <f t="shared" si="3"/>
        <v>0</v>
      </c>
      <c r="J254" s="346">
        <f t="shared" si="4"/>
        <v>0</v>
      </c>
      <c r="K254" s="312"/>
      <c r="L254" s="312"/>
      <c r="M254" s="312"/>
      <c r="N254" s="362"/>
      <c r="O254" s="312"/>
      <c r="P254" s="312"/>
      <c r="S254" s="2">
        <f t="shared" si="5"/>
        <v>0</v>
      </c>
      <c r="AA254" s="312"/>
      <c r="AB254" s="312"/>
      <c r="AC254" s="312"/>
      <c r="AD254" s="312"/>
    </row>
    <row r="255">
      <c r="A255" s="312"/>
      <c r="B255" s="344">
        <f t="shared" si="1"/>
        <v>1714.918281</v>
      </c>
      <c r="C255" s="344">
        <v>120.0</v>
      </c>
      <c r="D255" s="369"/>
      <c r="E255" s="344" t="str">
        <f t="shared" si="2"/>
        <v>Saturday</v>
      </c>
      <c r="F255" s="344" t="s">
        <v>554</v>
      </c>
      <c r="G255" s="370"/>
      <c r="H255" s="370"/>
      <c r="I255" s="357">
        <f t="shared" si="3"/>
        <v>0</v>
      </c>
      <c r="J255" s="346">
        <f t="shared" si="4"/>
        <v>0</v>
      </c>
      <c r="K255" s="312"/>
      <c r="L255" s="312"/>
      <c r="M255" s="312"/>
      <c r="N255" s="362"/>
      <c r="O255" s="312"/>
      <c r="P255" s="312"/>
      <c r="S255" s="2">
        <f t="shared" si="5"/>
        <v>0</v>
      </c>
      <c r="AA255" s="312"/>
      <c r="AB255" s="312"/>
      <c r="AC255" s="312"/>
      <c r="AD255" s="312"/>
    </row>
    <row r="256">
      <c r="A256" s="312"/>
      <c r="B256" s="344">
        <f t="shared" si="1"/>
        <v>1714.918281</v>
      </c>
      <c r="C256" s="344">
        <v>120.0</v>
      </c>
      <c r="D256" s="369"/>
      <c r="E256" s="344" t="str">
        <f t="shared" si="2"/>
        <v>Saturday</v>
      </c>
      <c r="F256" s="344" t="s">
        <v>554</v>
      </c>
      <c r="G256" s="370"/>
      <c r="H256" s="370"/>
      <c r="I256" s="357">
        <f t="shared" si="3"/>
        <v>0</v>
      </c>
      <c r="J256" s="346">
        <f t="shared" si="4"/>
        <v>0</v>
      </c>
      <c r="K256" s="312"/>
      <c r="L256" s="312"/>
      <c r="M256" s="312"/>
      <c r="N256" s="362"/>
      <c r="O256" s="312"/>
      <c r="P256" s="312"/>
      <c r="S256" s="2">
        <f t="shared" si="5"/>
        <v>0</v>
      </c>
      <c r="AA256" s="312"/>
      <c r="AB256" s="312"/>
      <c r="AC256" s="312"/>
      <c r="AD256" s="312"/>
    </row>
    <row r="257">
      <c r="A257" s="312"/>
      <c r="B257" s="344">
        <f t="shared" si="1"/>
        <v>1714.918281</v>
      </c>
      <c r="C257" s="344">
        <v>120.0</v>
      </c>
      <c r="D257" s="369"/>
      <c r="E257" s="344" t="str">
        <f t="shared" si="2"/>
        <v>Saturday</v>
      </c>
      <c r="F257" s="344" t="s">
        <v>554</v>
      </c>
      <c r="G257" s="370"/>
      <c r="H257" s="370"/>
      <c r="I257" s="357">
        <f t="shared" si="3"/>
        <v>0</v>
      </c>
      <c r="J257" s="346">
        <f t="shared" si="4"/>
        <v>0</v>
      </c>
      <c r="K257" s="312"/>
      <c r="L257" s="312"/>
      <c r="M257" s="312"/>
      <c r="N257" s="362"/>
      <c r="O257" s="312"/>
      <c r="P257" s="312"/>
      <c r="S257" s="2">
        <f t="shared" si="5"/>
        <v>0</v>
      </c>
      <c r="AA257" s="312"/>
      <c r="AB257" s="312"/>
      <c r="AC257" s="312"/>
      <c r="AD257" s="312"/>
    </row>
    <row r="258">
      <c r="A258" s="312"/>
      <c r="B258" s="344">
        <f t="shared" si="1"/>
        <v>1714.918281</v>
      </c>
      <c r="C258" s="344">
        <v>120.0</v>
      </c>
      <c r="D258" s="369"/>
      <c r="E258" s="344" t="str">
        <f t="shared" si="2"/>
        <v>Saturday</v>
      </c>
      <c r="F258" s="344" t="s">
        <v>554</v>
      </c>
      <c r="G258" s="370"/>
      <c r="H258" s="370"/>
      <c r="I258" s="357">
        <f t="shared" si="3"/>
        <v>0</v>
      </c>
      <c r="J258" s="346">
        <f t="shared" si="4"/>
        <v>0</v>
      </c>
      <c r="K258" s="312"/>
      <c r="L258" s="312"/>
      <c r="M258" s="312"/>
      <c r="N258" s="362"/>
      <c r="O258" s="312"/>
      <c r="P258" s="312"/>
      <c r="S258" s="2">
        <f t="shared" si="5"/>
        <v>0</v>
      </c>
      <c r="AA258" s="312"/>
      <c r="AB258" s="312"/>
      <c r="AC258" s="312"/>
      <c r="AD258" s="312"/>
    </row>
    <row r="259">
      <c r="A259" s="312"/>
      <c r="B259" s="344">
        <f t="shared" si="1"/>
        <v>1714.918281</v>
      </c>
      <c r="C259" s="344">
        <v>120.0</v>
      </c>
      <c r="D259" s="369"/>
      <c r="E259" s="344" t="str">
        <f t="shared" si="2"/>
        <v>Saturday</v>
      </c>
      <c r="F259" s="344" t="s">
        <v>554</v>
      </c>
      <c r="G259" s="370"/>
      <c r="H259" s="370"/>
      <c r="I259" s="357">
        <f t="shared" si="3"/>
        <v>0</v>
      </c>
      <c r="J259" s="346">
        <f t="shared" si="4"/>
        <v>0</v>
      </c>
      <c r="K259" s="312"/>
      <c r="L259" s="312"/>
      <c r="M259" s="312"/>
      <c r="N259" s="362"/>
      <c r="O259" s="312"/>
      <c r="P259" s="312"/>
      <c r="S259" s="2">
        <f t="shared" si="5"/>
        <v>0</v>
      </c>
      <c r="AA259" s="312"/>
      <c r="AB259" s="312"/>
      <c r="AC259" s="312"/>
      <c r="AD259" s="312"/>
    </row>
    <row r="260">
      <c r="A260" s="312"/>
      <c r="B260" s="344">
        <f t="shared" si="1"/>
        <v>1714.918281</v>
      </c>
      <c r="C260" s="344">
        <v>120.0</v>
      </c>
      <c r="D260" s="369"/>
      <c r="E260" s="344" t="str">
        <f t="shared" si="2"/>
        <v>Saturday</v>
      </c>
      <c r="F260" s="344" t="s">
        <v>554</v>
      </c>
      <c r="G260" s="370"/>
      <c r="H260" s="370"/>
      <c r="I260" s="357">
        <f t="shared" si="3"/>
        <v>0</v>
      </c>
      <c r="J260" s="346">
        <f t="shared" si="4"/>
        <v>0</v>
      </c>
      <c r="K260" s="312"/>
      <c r="L260" s="312"/>
      <c r="M260" s="312"/>
      <c r="N260" s="362"/>
      <c r="O260" s="312"/>
      <c r="P260" s="312"/>
      <c r="S260" s="2">
        <f t="shared" si="5"/>
        <v>0</v>
      </c>
      <c r="AA260" s="312"/>
      <c r="AB260" s="312"/>
      <c r="AC260" s="312"/>
      <c r="AD260" s="312"/>
    </row>
    <row r="261">
      <c r="A261" s="312"/>
      <c r="B261" s="344">
        <f t="shared" si="1"/>
        <v>1714.918281</v>
      </c>
      <c r="C261" s="344">
        <v>120.0</v>
      </c>
      <c r="D261" s="369"/>
      <c r="E261" s="344" t="str">
        <f t="shared" si="2"/>
        <v>Saturday</v>
      </c>
      <c r="F261" s="344" t="s">
        <v>554</v>
      </c>
      <c r="G261" s="370"/>
      <c r="H261" s="370"/>
      <c r="I261" s="357">
        <f t="shared" si="3"/>
        <v>0</v>
      </c>
      <c r="J261" s="346">
        <f t="shared" si="4"/>
        <v>0</v>
      </c>
      <c r="K261" s="312"/>
      <c r="L261" s="312"/>
      <c r="M261" s="312"/>
      <c r="N261" s="362"/>
      <c r="O261" s="312"/>
      <c r="P261" s="312"/>
      <c r="S261" s="2">
        <f t="shared" si="5"/>
        <v>0</v>
      </c>
      <c r="AA261" s="312"/>
      <c r="AB261" s="312"/>
      <c r="AC261" s="312"/>
      <c r="AD261" s="312"/>
    </row>
    <row r="262">
      <c r="A262" s="312"/>
      <c r="B262" s="344">
        <f t="shared" si="1"/>
        <v>1714.918281</v>
      </c>
      <c r="C262" s="344">
        <v>120.0</v>
      </c>
      <c r="D262" s="369"/>
      <c r="E262" s="344" t="str">
        <f t="shared" si="2"/>
        <v>Saturday</v>
      </c>
      <c r="F262" s="344" t="s">
        <v>554</v>
      </c>
      <c r="G262" s="370"/>
      <c r="H262" s="370"/>
      <c r="I262" s="357">
        <f t="shared" si="3"/>
        <v>0</v>
      </c>
      <c r="J262" s="346">
        <f t="shared" si="4"/>
        <v>0</v>
      </c>
      <c r="K262" s="312"/>
      <c r="L262" s="312"/>
      <c r="M262" s="312"/>
      <c r="N262" s="362"/>
      <c r="O262" s="312"/>
      <c r="P262" s="312"/>
      <c r="S262" s="2">
        <f t="shared" si="5"/>
        <v>0</v>
      </c>
      <c r="AA262" s="312"/>
      <c r="AB262" s="312"/>
      <c r="AC262" s="312"/>
      <c r="AD262" s="312"/>
    </row>
    <row r="263">
      <c r="A263" s="312"/>
      <c r="B263" s="344">
        <f t="shared" si="1"/>
        <v>1714.918281</v>
      </c>
      <c r="C263" s="344">
        <v>120.0</v>
      </c>
      <c r="D263" s="369"/>
      <c r="E263" s="344" t="str">
        <f t="shared" si="2"/>
        <v>Saturday</v>
      </c>
      <c r="F263" s="344" t="s">
        <v>554</v>
      </c>
      <c r="G263" s="370"/>
      <c r="H263" s="370"/>
      <c r="I263" s="357">
        <f t="shared" si="3"/>
        <v>0</v>
      </c>
      <c r="J263" s="346">
        <f t="shared" si="4"/>
        <v>0</v>
      </c>
      <c r="K263" s="312"/>
      <c r="L263" s="312"/>
      <c r="M263" s="312"/>
      <c r="N263" s="362"/>
      <c r="O263" s="312"/>
      <c r="P263" s="312"/>
      <c r="S263" s="2">
        <f t="shared" si="5"/>
        <v>0</v>
      </c>
      <c r="AA263" s="312"/>
      <c r="AB263" s="312"/>
      <c r="AC263" s="312"/>
      <c r="AD263" s="312"/>
    </row>
    <row r="264">
      <c r="A264" s="312"/>
      <c r="B264" s="344">
        <f t="shared" si="1"/>
        <v>1714.918281</v>
      </c>
      <c r="C264" s="344">
        <v>120.0</v>
      </c>
      <c r="D264" s="369"/>
      <c r="E264" s="344" t="str">
        <f t="shared" si="2"/>
        <v>Saturday</v>
      </c>
      <c r="F264" s="344" t="s">
        <v>554</v>
      </c>
      <c r="G264" s="370"/>
      <c r="H264" s="370"/>
      <c r="I264" s="357">
        <f t="shared" si="3"/>
        <v>0</v>
      </c>
      <c r="J264" s="346">
        <f t="shared" si="4"/>
        <v>0</v>
      </c>
      <c r="K264" s="312"/>
      <c r="L264" s="312"/>
      <c r="M264" s="312"/>
      <c r="N264" s="362"/>
      <c r="O264" s="312"/>
      <c r="P264" s="312"/>
      <c r="S264" s="2">
        <f t="shared" si="5"/>
        <v>0</v>
      </c>
      <c r="AA264" s="312"/>
      <c r="AB264" s="312"/>
      <c r="AC264" s="312"/>
      <c r="AD264" s="312"/>
    </row>
    <row r="265">
      <c r="A265" s="312"/>
      <c r="B265" s="344">
        <f t="shared" si="1"/>
        <v>1714.918281</v>
      </c>
      <c r="C265" s="344">
        <v>120.0</v>
      </c>
      <c r="D265" s="369"/>
      <c r="E265" s="344" t="str">
        <f t="shared" si="2"/>
        <v>Saturday</v>
      </c>
      <c r="F265" s="344" t="s">
        <v>554</v>
      </c>
      <c r="G265" s="370"/>
      <c r="H265" s="370"/>
      <c r="I265" s="357">
        <f t="shared" si="3"/>
        <v>0</v>
      </c>
      <c r="J265" s="346">
        <f t="shared" si="4"/>
        <v>0</v>
      </c>
      <c r="K265" s="312"/>
      <c r="L265" s="312"/>
      <c r="M265" s="312"/>
      <c r="N265" s="362"/>
      <c r="O265" s="312"/>
      <c r="P265" s="312"/>
      <c r="S265" s="2">
        <f t="shared" si="5"/>
        <v>0</v>
      </c>
      <c r="AA265" s="312"/>
      <c r="AB265" s="312"/>
      <c r="AC265" s="312"/>
      <c r="AD265" s="312"/>
    </row>
    <row r="266">
      <c r="A266" s="312"/>
      <c r="B266" s="344">
        <f t="shared" si="1"/>
        <v>1714.918281</v>
      </c>
      <c r="C266" s="344">
        <v>120.0</v>
      </c>
      <c r="D266" s="369"/>
      <c r="E266" s="344" t="str">
        <f t="shared" si="2"/>
        <v>Saturday</v>
      </c>
      <c r="F266" s="344" t="s">
        <v>554</v>
      </c>
      <c r="G266" s="370"/>
      <c r="H266" s="370"/>
      <c r="I266" s="357">
        <f t="shared" si="3"/>
        <v>0</v>
      </c>
      <c r="J266" s="346">
        <f t="shared" si="4"/>
        <v>0</v>
      </c>
      <c r="K266" s="312"/>
      <c r="L266" s="312"/>
      <c r="M266" s="312"/>
      <c r="N266" s="362"/>
      <c r="O266" s="312"/>
      <c r="P266" s="312"/>
      <c r="S266" s="2">
        <f t="shared" si="5"/>
        <v>0</v>
      </c>
      <c r="AA266" s="312"/>
      <c r="AB266" s="312"/>
      <c r="AC266" s="312"/>
      <c r="AD266" s="312"/>
    </row>
    <row r="267">
      <c r="A267" s="312"/>
      <c r="B267" s="344">
        <f t="shared" si="1"/>
        <v>1714.918281</v>
      </c>
      <c r="C267" s="344">
        <v>120.0</v>
      </c>
      <c r="D267" s="369"/>
      <c r="E267" s="344" t="str">
        <f t="shared" si="2"/>
        <v>Saturday</v>
      </c>
      <c r="F267" s="344" t="s">
        <v>554</v>
      </c>
      <c r="G267" s="370"/>
      <c r="H267" s="370"/>
      <c r="I267" s="357">
        <f t="shared" si="3"/>
        <v>0</v>
      </c>
      <c r="J267" s="346">
        <f t="shared" si="4"/>
        <v>0</v>
      </c>
      <c r="K267" s="312"/>
      <c r="L267" s="312"/>
      <c r="M267" s="312"/>
      <c r="N267" s="362"/>
      <c r="O267" s="312"/>
      <c r="P267" s="312"/>
      <c r="S267" s="2">
        <f t="shared" si="5"/>
        <v>0</v>
      </c>
      <c r="AA267" s="312"/>
      <c r="AB267" s="312"/>
      <c r="AC267" s="312"/>
      <c r="AD267" s="312"/>
    </row>
    <row r="268">
      <c r="A268" s="312"/>
      <c r="B268" s="344">
        <f t="shared" si="1"/>
        <v>1714.918281</v>
      </c>
      <c r="C268" s="344">
        <v>120.0</v>
      </c>
      <c r="D268" s="369"/>
      <c r="E268" s="344" t="str">
        <f t="shared" si="2"/>
        <v>Saturday</v>
      </c>
      <c r="F268" s="344" t="s">
        <v>554</v>
      </c>
      <c r="G268" s="370"/>
      <c r="H268" s="370"/>
      <c r="I268" s="357">
        <f t="shared" si="3"/>
        <v>0</v>
      </c>
      <c r="J268" s="346">
        <f t="shared" si="4"/>
        <v>0</v>
      </c>
      <c r="K268" s="312"/>
      <c r="L268" s="312"/>
      <c r="M268" s="312"/>
      <c r="N268" s="362"/>
      <c r="O268" s="312"/>
      <c r="P268" s="312"/>
      <c r="S268" s="2">
        <f t="shared" si="5"/>
        <v>0</v>
      </c>
      <c r="AA268" s="312"/>
      <c r="AB268" s="312"/>
      <c r="AC268" s="312"/>
      <c r="AD268" s="312"/>
    </row>
    <row r="269">
      <c r="A269" s="312"/>
      <c r="B269" s="344">
        <f t="shared" si="1"/>
        <v>1714.918281</v>
      </c>
      <c r="C269" s="344">
        <v>120.0</v>
      </c>
      <c r="D269" s="369"/>
      <c r="E269" s="344" t="str">
        <f t="shared" si="2"/>
        <v>Saturday</v>
      </c>
      <c r="F269" s="344" t="s">
        <v>554</v>
      </c>
      <c r="G269" s="370"/>
      <c r="H269" s="370"/>
      <c r="I269" s="357">
        <f t="shared" si="3"/>
        <v>0</v>
      </c>
      <c r="J269" s="346">
        <f t="shared" si="4"/>
        <v>0</v>
      </c>
      <c r="K269" s="312"/>
      <c r="L269" s="312"/>
      <c r="M269" s="312"/>
      <c r="N269" s="362"/>
      <c r="O269" s="312"/>
      <c r="P269" s="312"/>
      <c r="S269" s="2">
        <f t="shared" si="5"/>
        <v>0</v>
      </c>
      <c r="AA269" s="312"/>
      <c r="AB269" s="312"/>
      <c r="AC269" s="312"/>
      <c r="AD269" s="312"/>
    </row>
    <row r="270">
      <c r="A270" s="312"/>
      <c r="B270" s="344">
        <f t="shared" si="1"/>
        <v>1714.918281</v>
      </c>
      <c r="C270" s="344">
        <v>120.0</v>
      </c>
      <c r="D270" s="369"/>
      <c r="E270" s="344" t="str">
        <f t="shared" si="2"/>
        <v>Saturday</v>
      </c>
      <c r="F270" s="344" t="s">
        <v>554</v>
      </c>
      <c r="G270" s="370"/>
      <c r="H270" s="370"/>
      <c r="I270" s="357">
        <f t="shared" si="3"/>
        <v>0</v>
      </c>
      <c r="J270" s="346">
        <f t="shared" si="4"/>
        <v>0</v>
      </c>
      <c r="K270" s="312"/>
      <c r="L270" s="312"/>
      <c r="M270" s="312"/>
      <c r="N270" s="362"/>
      <c r="O270" s="312"/>
      <c r="P270" s="312"/>
      <c r="S270" s="2">
        <f t="shared" si="5"/>
        <v>0</v>
      </c>
      <c r="AA270" s="312"/>
      <c r="AB270" s="312"/>
      <c r="AC270" s="312"/>
      <c r="AD270" s="312"/>
    </row>
    <row r="271">
      <c r="A271" s="312"/>
      <c r="B271" s="344">
        <f t="shared" si="1"/>
        <v>1714.918281</v>
      </c>
      <c r="C271" s="344">
        <v>120.0</v>
      </c>
      <c r="D271" s="369"/>
      <c r="E271" s="344" t="str">
        <f t="shared" si="2"/>
        <v>Saturday</v>
      </c>
      <c r="F271" s="344" t="s">
        <v>554</v>
      </c>
      <c r="G271" s="370"/>
      <c r="H271" s="370"/>
      <c r="I271" s="357">
        <f t="shared" si="3"/>
        <v>0</v>
      </c>
      <c r="J271" s="346">
        <f t="shared" si="4"/>
        <v>0</v>
      </c>
      <c r="K271" s="312"/>
      <c r="L271" s="312"/>
      <c r="M271" s="312"/>
      <c r="N271" s="362"/>
      <c r="O271" s="312"/>
      <c r="P271" s="312"/>
      <c r="S271" s="2">
        <f t="shared" si="5"/>
        <v>0</v>
      </c>
      <c r="AA271" s="312"/>
      <c r="AB271" s="312"/>
      <c r="AC271" s="312"/>
      <c r="AD271" s="312"/>
    </row>
    <row r="272">
      <c r="A272" s="312"/>
      <c r="B272" s="344">
        <f t="shared" si="1"/>
        <v>1714.918281</v>
      </c>
      <c r="C272" s="344">
        <v>120.0</v>
      </c>
      <c r="D272" s="369"/>
      <c r="E272" s="344" t="str">
        <f t="shared" si="2"/>
        <v>Saturday</v>
      </c>
      <c r="F272" s="344" t="s">
        <v>554</v>
      </c>
      <c r="G272" s="370"/>
      <c r="H272" s="370"/>
      <c r="I272" s="357">
        <f t="shared" si="3"/>
        <v>0</v>
      </c>
      <c r="J272" s="346">
        <f t="shared" si="4"/>
        <v>0</v>
      </c>
      <c r="K272" s="312"/>
      <c r="L272" s="312"/>
      <c r="M272" s="312"/>
      <c r="N272" s="362"/>
      <c r="O272" s="312"/>
      <c r="P272" s="312"/>
      <c r="S272" s="2">
        <f t="shared" si="5"/>
        <v>0</v>
      </c>
      <c r="AA272" s="312"/>
      <c r="AB272" s="312"/>
      <c r="AC272" s="312"/>
      <c r="AD272" s="312"/>
    </row>
    <row r="273">
      <c r="A273" s="312"/>
      <c r="B273" s="344">
        <f t="shared" si="1"/>
        <v>1714.918281</v>
      </c>
      <c r="C273" s="344">
        <v>120.0</v>
      </c>
      <c r="D273" s="369"/>
      <c r="E273" s="344" t="str">
        <f t="shared" si="2"/>
        <v>Saturday</v>
      </c>
      <c r="F273" s="344" t="s">
        <v>554</v>
      </c>
      <c r="G273" s="370"/>
      <c r="H273" s="370"/>
      <c r="I273" s="357">
        <f t="shared" si="3"/>
        <v>0</v>
      </c>
      <c r="J273" s="346">
        <f t="shared" si="4"/>
        <v>0</v>
      </c>
      <c r="K273" s="312"/>
      <c r="L273" s="312"/>
      <c r="M273" s="312"/>
      <c r="N273" s="362"/>
      <c r="O273" s="312"/>
      <c r="P273" s="312"/>
      <c r="S273" s="2">
        <f t="shared" si="5"/>
        <v>0</v>
      </c>
      <c r="AA273" s="312"/>
      <c r="AB273" s="312"/>
      <c r="AC273" s="312"/>
      <c r="AD273" s="312"/>
    </row>
    <row r="274">
      <c r="A274" s="312"/>
      <c r="B274" s="344">
        <f t="shared" si="1"/>
        <v>1714.918281</v>
      </c>
      <c r="C274" s="344">
        <v>120.0</v>
      </c>
      <c r="D274" s="369"/>
      <c r="E274" s="344" t="str">
        <f t="shared" si="2"/>
        <v>Saturday</v>
      </c>
      <c r="F274" s="344" t="s">
        <v>554</v>
      </c>
      <c r="G274" s="370"/>
      <c r="H274" s="370"/>
      <c r="I274" s="357">
        <f t="shared" si="3"/>
        <v>0</v>
      </c>
      <c r="J274" s="346">
        <f t="shared" si="4"/>
        <v>0</v>
      </c>
      <c r="K274" s="312"/>
      <c r="L274" s="312"/>
      <c r="M274" s="312"/>
      <c r="N274" s="362"/>
      <c r="O274" s="312"/>
      <c r="P274" s="312"/>
      <c r="S274" s="2">
        <f t="shared" si="5"/>
        <v>0</v>
      </c>
      <c r="AA274" s="312"/>
      <c r="AB274" s="312"/>
      <c r="AC274" s="312"/>
      <c r="AD274" s="312"/>
    </row>
    <row r="275">
      <c r="A275" s="312"/>
      <c r="B275" s="344">
        <f t="shared" si="1"/>
        <v>1714.918281</v>
      </c>
      <c r="C275" s="344">
        <v>120.0</v>
      </c>
      <c r="D275" s="369"/>
      <c r="E275" s="344" t="str">
        <f t="shared" si="2"/>
        <v>Saturday</v>
      </c>
      <c r="F275" s="344" t="s">
        <v>554</v>
      </c>
      <c r="G275" s="370"/>
      <c r="H275" s="370"/>
      <c r="I275" s="357">
        <f t="shared" si="3"/>
        <v>0</v>
      </c>
      <c r="J275" s="346">
        <f t="shared" si="4"/>
        <v>0</v>
      </c>
      <c r="K275" s="312"/>
      <c r="L275" s="312"/>
      <c r="M275" s="312"/>
      <c r="N275" s="362"/>
      <c r="O275" s="312"/>
      <c r="P275" s="312"/>
      <c r="S275" s="2">
        <f t="shared" si="5"/>
        <v>0</v>
      </c>
      <c r="AA275" s="312"/>
      <c r="AB275" s="312"/>
      <c r="AC275" s="312"/>
      <c r="AD275" s="312"/>
    </row>
    <row r="276">
      <c r="A276" s="312"/>
      <c r="B276" s="344">
        <f t="shared" si="1"/>
        <v>1714.918281</v>
      </c>
      <c r="C276" s="344">
        <v>120.0</v>
      </c>
      <c r="D276" s="369"/>
      <c r="E276" s="344" t="str">
        <f t="shared" si="2"/>
        <v>Saturday</v>
      </c>
      <c r="F276" s="344" t="s">
        <v>554</v>
      </c>
      <c r="G276" s="370"/>
      <c r="H276" s="370"/>
      <c r="I276" s="357">
        <f t="shared" si="3"/>
        <v>0</v>
      </c>
      <c r="J276" s="346">
        <f t="shared" si="4"/>
        <v>0</v>
      </c>
      <c r="K276" s="312"/>
      <c r="L276" s="312"/>
      <c r="M276" s="312"/>
      <c r="N276" s="362"/>
      <c r="O276" s="312"/>
      <c r="P276" s="312"/>
      <c r="S276" s="2">
        <f t="shared" si="5"/>
        <v>0</v>
      </c>
      <c r="AA276" s="312"/>
      <c r="AB276" s="312"/>
      <c r="AC276" s="312"/>
      <c r="AD276" s="312"/>
    </row>
    <row r="277">
      <c r="A277" s="312"/>
      <c r="B277" s="344">
        <f t="shared" si="1"/>
        <v>1714.918281</v>
      </c>
      <c r="C277" s="344">
        <v>120.0</v>
      </c>
      <c r="D277" s="369"/>
      <c r="E277" s="344" t="str">
        <f t="shared" si="2"/>
        <v>Saturday</v>
      </c>
      <c r="F277" s="344" t="s">
        <v>554</v>
      </c>
      <c r="G277" s="370"/>
      <c r="H277" s="370"/>
      <c r="I277" s="357">
        <f t="shared" si="3"/>
        <v>0</v>
      </c>
      <c r="J277" s="346">
        <f t="shared" si="4"/>
        <v>0</v>
      </c>
      <c r="K277" s="312"/>
      <c r="L277" s="312"/>
      <c r="M277" s="312"/>
      <c r="N277" s="362"/>
      <c r="O277" s="312"/>
      <c r="P277" s="312"/>
      <c r="S277" s="2">
        <f t="shared" si="5"/>
        <v>0</v>
      </c>
      <c r="AA277" s="312"/>
      <c r="AB277" s="312"/>
      <c r="AC277" s="312"/>
      <c r="AD277" s="312"/>
    </row>
    <row r="278">
      <c r="A278" s="312"/>
      <c r="B278" s="344">
        <f t="shared" si="1"/>
        <v>1714.918281</v>
      </c>
      <c r="C278" s="344">
        <v>120.0</v>
      </c>
      <c r="D278" s="369"/>
      <c r="E278" s="344" t="str">
        <f t="shared" si="2"/>
        <v>Saturday</v>
      </c>
      <c r="F278" s="344" t="s">
        <v>554</v>
      </c>
      <c r="G278" s="370"/>
      <c r="H278" s="370"/>
      <c r="I278" s="357">
        <f t="shared" si="3"/>
        <v>0</v>
      </c>
      <c r="J278" s="346">
        <f t="shared" si="4"/>
        <v>0</v>
      </c>
      <c r="K278" s="312"/>
      <c r="L278" s="312"/>
      <c r="M278" s="312"/>
      <c r="N278" s="362"/>
      <c r="O278" s="312"/>
      <c r="P278" s="312"/>
      <c r="S278" s="2">
        <f t="shared" si="5"/>
        <v>0</v>
      </c>
      <c r="AA278" s="312"/>
      <c r="AB278" s="312"/>
      <c r="AC278" s="312"/>
      <c r="AD278" s="312"/>
    </row>
    <row r="279">
      <c r="A279" s="312"/>
      <c r="B279" s="344">
        <f t="shared" si="1"/>
        <v>1714.918281</v>
      </c>
      <c r="C279" s="344">
        <v>120.0</v>
      </c>
      <c r="D279" s="369"/>
      <c r="E279" s="344" t="str">
        <f t="shared" si="2"/>
        <v>Saturday</v>
      </c>
      <c r="F279" s="344" t="s">
        <v>554</v>
      </c>
      <c r="G279" s="370"/>
      <c r="H279" s="370"/>
      <c r="I279" s="357">
        <f t="shared" si="3"/>
        <v>0</v>
      </c>
      <c r="J279" s="346">
        <f t="shared" si="4"/>
        <v>0</v>
      </c>
      <c r="K279" s="312"/>
      <c r="L279" s="312"/>
      <c r="M279" s="312"/>
      <c r="N279" s="362"/>
      <c r="O279" s="312"/>
      <c r="P279" s="312"/>
      <c r="S279" s="2">
        <f t="shared" si="5"/>
        <v>0</v>
      </c>
      <c r="AA279" s="312"/>
      <c r="AB279" s="312"/>
      <c r="AC279" s="312"/>
      <c r="AD279" s="312"/>
    </row>
    <row r="280">
      <c r="A280" s="312"/>
      <c r="B280" s="344">
        <f t="shared" si="1"/>
        <v>1714.918281</v>
      </c>
      <c r="C280" s="344">
        <v>120.0</v>
      </c>
      <c r="D280" s="369"/>
      <c r="E280" s="344" t="str">
        <f t="shared" si="2"/>
        <v>Saturday</v>
      </c>
      <c r="F280" s="344" t="s">
        <v>554</v>
      </c>
      <c r="G280" s="370"/>
      <c r="H280" s="370"/>
      <c r="I280" s="357">
        <f t="shared" si="3"/>
        <v>0</v>
      </c>
      <c r="J280" s="346">
        <f t="shared" si="4"/>
        <v>0</v>
      </c>
      <c r="K280" s="312"/>
      <c r="L280" s="312"/>
      <c r="M280" s="312"/>
      <c r="N280" s="362"/>
      <c r="O280" s="312"/>
      <c r="P280" s="312"/>
      <c r="S280" s="2">
        <f t="shared" si="5"/>
        <v>0</v>
      </c>
      <c r="AA280" s="312"/>
      <c r="AB280" s="312"/>
      <c r="AC280" s="312"/>
      <c r="AD280" s="312"/>
    </row>
    <row r="281">
      <c r="A281" s="312"/>
      <c r="B281" s="344">
        <f t="shared" si="1"/>
        <v>1714.918281</v>
      </c>
      <c r="C281" s="344">
        <v>120.0</v>
      </c>
      <c r="D281" s="369"/>
      <c r="E281" s="344" t="str">
        <f t="shared" si="2"/>
        <v>Saturday</v>
      </c>
      <c r="F281" s="344" t="s">
        <v>554</v>
      </c>
      <c r="G281" s="370"/>
      <c r="H281" s="370"/>
      <c r="I281" s="357">
        <f t="shared" si="3"/>
        <v>0</v>
      </c>
      <c r="J281" s="346">
        <f t="shared" si="4"/>
        <v>0</v>
      </c>
      <c r="K281" s="312"/>
      <c r="L281" s="312"/>
      <c r="M281" s="312"/>
      <c r="N281" s="362"/>
      <c r="O281" s="312"/>
      <c r="P281" s="312"/>
      <c r="S281" s="2">
        <f t="shared" si="5"/>
        <v>0</v>
      </c>
      <c r="AA281" s="312"/>
      <c r="AB281" s="312"/>
      <c r="AC281" s="312"/>
      <c r="AD281" s="312"/>
    </row>
    <row r="282">
      <c r="A282" s="312"/>
      <c r="B282" s="344">
        <f t="shared" si="1"/>
        <v>1714.918281</v>
      </c>
      <c r="C282" s="344">
        <v>120.0</v>
      </c>
      <c r="D282" s="369"/>
      <c r="E282" s="344" t="str">
        <f t="shared" si="2"/>
        <v>Saturday</v>
      </c>
      <c r="F282" s="344" t="s">
        <v>554</v>
      </c>
      <c r="G282" s="370"/>
      <c r="H282" s="370"/>
      <c r="I282" s="357">
        <f t="shared" si="3"/>
        <v>0</v>
      </c>
      <c r="J282" s="346">
        <f t="shared" si="4"/>
        <v>0</v>
      </c>
      <c r="K282" s="312"/>
      <c r="L282" s="312"/>
      <c r="M282" s="312"/>
      <c r="N282" s="362"/>
      <c r="O282" s="312"/>
      <c r="P282" s="312"/>
      <c r="S282" s="2">
        <f t="shared" si="5"/>
        <v>0</v>
      </c>
      <c r="AA282" s="312"/>
      <c r="AB282" s="312"/>
      <c r="AC282" s="312"/>
      <c r="AD282" s="312"/>
    </row>
    <row r="283">
      <c r="A283" s="312"/>
      <c r="B283" s="344">
        <f t="shared" si="1"/>
        <v>1714.918281</v>
      </c>
      <c r="C283" s="344">
        <v>120.0</v>
      </c>
      <c r="D283" s="369"/>
      <c r="E283" s="344" t="str">
        <f t="shared" si="2"/>
        <v>Saturday</v>
      </c>
      <c r="F283" s="344" t="s">
        <v>554</v>
      </c>
      <c r="G283" s="370"/>
      <c r="H283" s="370"/>
      <c r="I283" s="357">
        <f t="shared" si="3"/>
        <v>0</v>
      </c>
      <c r="J283" s="346">
        <f t="shared" si="4"/>
        <v>0</v>
      </c>
      <c r="K283" s="312"/>
      <c r="L283" s="312"/>
      <c r="M283" s="312"/>
      <c r="N283" s="362"/>
      <c r="O283" s="312"/>
      <c r="P283" s="312"/>
      <c r="S283" s="2">
        <f t="shared" si="5"/>
        <v>0</v>
      </c>
      <c r="AA283" s="312"/>
      <c r="AB283" s="312"/>
      <c r="AC283" s="312"/>
      <c r="AD283" s="312"/>
    </row>
    <row r="284">
      <c r="A284" s="312"/>
      <c r="B284" s="344">
        <f t="shared" si="1"/>
        <v>1714.918281</v>
      </c>
      <c r="C284" s="344">
        <v>120.0</v>
      </c>
      <c r="D284" s="369"/>
      <c r="E284" s="344" t="str">
        <f t="shared" si="2"/>
        <v>Saturday</v>
      </c>
      <c r="F284" s="344" t="s">
        <v>554</v>
      </c>
      <c r="G284" s="370"/>
      <c r="H284" s="370"/>
      <c r="I284" s="357">
        <f t="shared" si="3"/>
        <v>0</v>
      </c>
      <c r="J284" s="346">
        <f t="shared" si="4"/>
        <v>0</v>
      </c>
      <c r="K284" s="312"/>
      <c r="L284" s="312"/>
      <c r="M284" s="312"/>
      <c r="N284" s="362"/>
      <c r="O284" s="312"/>
      <c r="P284" s="312"/>
      <c r="S284" s="2">
        <f t="shared" si="5"/>
        <v>0</v>
      </c>
      <c r="AA284" s="312"/>
      <c r="AB284" s="312"/>
      <c r="AC284" s="312"/>
      <c r="AD284" s="312"/>
    </row>
    <row r="285">
      <c r="A285" s="312"/>
      <c r="B285" s="344">
        <f t="shared" si="1"/>
        <v>1714.918281</v>
      </c>
      <c r="C285" s="344">
        <v>120.0</v>
      </c>
      <c r="D285" s="369"/>
      <c r="E285" s="344" t="str">
        <f t="shared" si="2"/>
        <v>Saturday</v>
      </c>
      <c r="F285" s="344" t="s">
        <v>554</v>
      </c>
      <c r="G285" s="370"/>
      <c r="H285" s="370"/>
      <c r="I285" s="357">
        <f t="shared" si="3"/>
        <v>0</v>
      </c>
      <c r="J285" s="346">
        <f t="shared" si="4"/>
        <v>0</v>
      </c>
      <c r="K285" s="312"/>
      <c r="L285" s="312"/>
      <c r="M285" s="312"/>
      <c r="N285" s="362"/>
      <c r="O285" s="312"/>
      <c r="P285" s="312"/>
      <c r="S285" s="2">
        <f t="shared" si="5"/>
        <v>0</v>
      </c>
      <c r="AA285" s="312"/>
      <c r="AB285" s="312"/>
      <c r="AC285" s="312"/>
      <c r="AD285" s="312"/>
    </row>
    <row r="286">
      <c r="A286" s="312"/>
      <c r="B286" s="344">
        <f t="shared" si="1"/>
        <v>1714.918281</v>
      </c>
      <c r="C286" s="344">
        <v>120.0</v>
      </c>
      <c r="D286" s="369"/>
      <c r="E286" s="344" t="str">
        <f t="shared" si="2"/>
        <v>Saturday</v>
      </c>
      <c r="F286" s="344" t="s">
        <v>554</v>
      </c>
      <c r="G286" s="370"/>
      <c r="H286" s="370"/>
      <c r="I286" s="357">
        <f t="shared" si="3"/>
        <v>0</v>
      </c>
      <c r="J286" s="346">
        <f t="shared" si="4"/>
        <v>0</v>
      </c>
      <c r="K286" s="312"/>
      <c r="L286" s="312"/>
      <c r="M286" s="312"/>
      <c r="N286" s="362"/>
      <c r="O286" s="312"/>
      <c r="P286" s="312"/>
      <c r="S286" s="2">
        <f t="shared" si="5"/>
        <v>0</v>
      </c>
      <c r="AA286" s="312"/>
      <c r="AB286" s="312"/>
      <c r="AC286" s="312"/>
      <c r="AD286" s="312"/>
    </row>
    <row r="287">
      <c r="A287" s="312"/>
      <c r="B287" s="344">
        <f t="shared" si="1"/>
        <v>1714.918281</v>
      </c>
      <c r="C287" s="344">
        <v>120.0</v>
      </c>
      <c r="D287" s="369"/>
      <c r="E287" s="344" t="str">
        <f t="shared" si="2"/>
        <v>Saturday</v>
      </c>
      <c r="F287" s="344" t="s">
        <v>554</v>
      </c>
      <c r="G287" s="370"/>
      <c r="H287" s="370"/>
      <c r="I287" s="357">
        <f t="shared" si="3"/>
        <v>0</v>
      </c>
      <c r="J287" s="346">
        <f t="shared" si="4"/>
        <v>0</v>
      </c>
      <c r="K287" s="312"/>
      <c r="L287" s="312"/>
      <c r="M287" s="312"/>
      <c r="N287" s="362"/>
      <c r="O287" s="312"/>
      <c r="P287" s="312"/>
      <c r="S287" s="2">
        <f t="shared" si="5"/>
        <v>0</v>
      </c>
      <c r="AA287" s="312"/>
      <c r="AB287" s="312"/>
      <c r="AC287" s="312"/>
      <c r="AD287" s="312"/>
    </row>
    <row r="288">
      <c r="A288" s="312"/>
      <c r="B288" s="344">
        <f t="shared" si="1"/>
        <v>1714.918281</v>
      </c>
      <c r="C288" s="344">
        <v>120.0</v>
      </c>
      <c r="D288" s="369"/>
      <c r="E288" s="344" t="str">
        <f t="shared" si="2"/>
        <v>Saturday</v>
      </c>
      <c r="F288" s="344" t="s">
        <v>554</v>
      </c>
      <c r="G288" s="370"/>
      <c r="H288" s="370"/>
      <c r="I288" s="357">
        <f t="shared" si="3"/>
        <v>0</v>
      </c>
      <c r="J288" s="346">
        <f t="shared" si="4"/>
        <v>0</v>
      </c>
      <c r="K288" s="312"/>
      <c r="L288" s="312"/>
      <c r="M288" s="312"/>
      <c r="N288" s="362"/>
      <c r="O288" s="312"/>
      <c r="P288" s="312"/>
      <c r="S288" s="2">
        <f t="shared" si="5"/>
        <v>0</v>
      </c>
      <c r="AA288" s="312"/>
      <c r="AB288" s="312"/>
      <c r="AC288" s="312"/>
      <c r="AD288" s="312"/>
    </row>
    <row r="289">
      <c r="A289" s="312"/>
      <c r="B289" s="344">
        <f t="shared" si="1"/>
        <v>1714.918281</v>
      </c>
      <c r="C289" s="344">
        <v>120.0</v>
      </c>
      <c r="D289" s="369"/>
      <c r="E289" s="344" t="str">
        <f t="shared" si="2"/>
        <v>Saturday</v>
      </c>
      <c r="F289" s="344" t="s">
        <v>554</v>
      </c>
      <c r="G289" s="370"/>
      <c r="H289" s="370"/>
      <c r="I289" s="357">
        <f t="shared" si="3"/>
        <v>0</v>
      </c>
      <c r="J289" s="346">
        <f t="shared" si="4"/>
        <v>0</v>
      </c>
      <c r="K289" s="312"/>
      <c r="L289" s="312"/>
      <c r="M289" s="312"/>
      <c r="N289" s="362"/>
      <c r="O289" s="312"/>
      <c r="P289" s="312"/>
      <c r="S289" s="2">
        <f t="shared" si="5"/>
        <v>0</v>
      </c>
      <c r="AA289" s="312"/>
      <c r="AB289" s="312"/>
      <c r="AC289" s="312"/>
      <c r="AD289" s="312"/>
    </row>
    <row r="290">
      <c r="A290" s="312"/>
      <c r="B290" s="344">
        <f t="shared" si="1"/>
        <v>1714.918281</v>
      </c>
      <c r="C290" s="344">
        <v>120.0</v>
      </c>
      <c r="D290" s="369"/>
      <c r="E290" s="344" t="str">
        <f t="shared" si="2"/>
        <v>Saturday</v>
      </c>
      <c r="F290" s="344" t="s">
        <v>554</v>
      </c>
      <c r="G290" s="370"/>
      <c r="H290" s="370"/>
      <c r="I290" s="357">
        <f t="shared" si="3"/>
        <v>0</v>
      </c>
      <c r="J290" s="346">
        <f t="shared" si="4"/>
        <v>0</v>
      </c>
      <c r="K290" s="312"/>
      <c r="L290" s="312"/>
      <c r="M290" s="312"/>
      <c r="N290" s="362"/>
      <c r="O290" s="312"/>
      <c r="P290" s="312"/>
      <c r="S290" s="2">
        <f t="shared" si="5"/>
        <v>0</v>
      </c>
      <c r="AA290" s="312"/>
      <c r="AB290" s="312"/>
      <c r="AC290" s="312"/>
      <c r="AD290" s="312"/>
    </row>
    <row r="291">
      <c r="A291" s="312"/>
      <c r="B291" s="344">
        <f t="shared" si="1"/>
        <v>1714.918281</v>
      </c>
      <c r="C291" s="344">
        <v>120.0</v>
      </c>
      <c r="D291" s="369"/>
      <c r="E291" s="344" t="str">
        <f t="shared" si="2"/>
        <v>Saturday</v>
      </c>
      <c r="F291" s="344" t="s">
        <v>554</v>
      </c>
      <c r="G291" s="370"/>
      <c r="H291" s="370"/>
      <c r="I291" s="357">
        <f t="shared" si="3"/>
        <v>0</v>
      </c>
      <c r="J291" s="346">
        <f t="shared" si="4"/>
        <v>0</v>
      </c>
      <c r="K291" s="312"/>
      <c r="L291" s="312"/>
      <c r="M291" s="312"/>
      <c r="N291" s="362"/>
      <c r="O291" s="312"/>
      <c r="P291" s="312"/>
      <c r="S291" s="2">
        <f t="shared" si="5"/>
        <v>0</v>
      </c>
      <c r="AA291" s="312"/>
      <c r="AB291" s="312"/>
      <c r="AC291" s="312"/>
      <c r="AD291" s="312"/>
    </row>
    <row r="292">
      <c r="A292" s="312"/>
      <c r="B292" s="344">
        <f t="shared" si="1"/>
        <v>1714.918281</v>
      </c>
      <c r="C292" s="344">
        <v>120.0</v>
      </c>
      <c r="D292" s="369"/>
      <c r="E292" s="344" t="str">
        <f t="shared" si="2"/>
        <v>Saturday</v>
      </c>
      <c r="F292" s="344" t="s">
        <v>554</v>
      </c>
      <c r="G292" s="370"/>
      <c r="H292" s="370"/>
      <c r="I292" s="357">
        <f t="shared" si="3"/>
        <v>0</v>
      </c>
      <c r="J292" s="346">
        <f t="shared" si="4"/>
        <v>0</v>
      </c>
      <c r="K292" s="312"/>
      <c r="L292" s="312"/>
      <c r="M292" s="312"/>
      <c r="N292" s="362"/>
      <c r="O292" s="312"/>
      <c r="P292" s="312"/>
      <c r="S292" s="2">
        <f t="shared" si="5"/>
        <v>0</v>
      </c>
      <c r="AA292" s="312"/>
      <c r="AB292" s="312"/>
      <c r="AC292" s="312"/>
      <c r="AD292" s="312"/>
    </row>
    <row r="293">
      <c r="A293" s="312"/>
      <c r="B293" s="344">
        <f t="shared" si="1"/>
        <v>1714.918281</v>
      </c>
      <c r="C293" s="344">
        <v>120.0</v>
      </c>
      <c r="D293" s="369"/>
      <c r="E293" s="344" t="str">
        <f t="shared" si="2"/>
        <v>Saturday</v>
      </c>
      <c r="F293" s="344" t="s">
        <v>554</v>
      </c>
      <c r="G293" s="370"/>
      <c r="H293" s="370"/>
      <c r="I293" s="357">
        <f t="shared" si="3"/>
        <v>0</v>
      </c>
      <c r="J293" s="346">
        <f t="shared" si="4"/>
        <v>0</v>
      </c>
      <c r="K293" s="312"/>
      <c r="L293" s="312"/>
      <c r="M293" s="312"/>
      <c r="N293" s="362"/>
      <c r="O293" s="312"/>
      <c r="P293" s="312"/>
      <c r="S293" s="2">
        <f t="shared" si="5"/>
        <v>0</v>
      </c>
      <c r="AA293" s="312"/>
      <c r="AB293" s="312"/>
      <c r="AC293" s="312"/>
      <c r="AD293" s="312"/>
    </row>
    <row r="294">
      <c r="A294" s="312"/>
      <c r="B294" s="344">
        <f t="shared" si="1"/>
        <v>1714.918281</v>
      </c>
      <c r="C294" s="344">
        <v>120.0</v>
      </c>
      <c r="D294" s="369"/>
      <c r="E294" s="344" t="str">
        <f t="shared" si="2"/>
        <v>Saturday</v>
      </c>
      <c r="F294" s="344" t="s">
        <v>554</v>
      </c>
      <c r="G294" s="370"/>
      <c r="H294" s="370"/>
      <c r="I294" s="357">
        <f t="shared" si="3"/>
        <v>0</v>
      </c>
      <c r="J294" s="346">
        <f t="shared" si="4"/>
        <v>0</v>
      </c>
      <c r="K294" s="312"/>
      <c r="L294" s="312"/>
      <c r="M294" s="312"/>
      <c r="N294" s="362"/>
      <c r="O294" s="312"/>
      <c r="P294" s="312"/>
      <c r="S294" s="2">
        <f t="shared" si="5"/>
        <v>0</v>
      </c>
      <c r="AA294" s="312"/>
      <c r="AB294" s="312"/>
      <c r="AC294" s="312"/>
      <c r="AD294" s="312"/>
    </row>
    <row r="295">
      <c r="A295" s="312"/>
      <c r="B295" s="344">
        <f t="shared" si="1"/>
        <v>1714.918281</v>
      </c>
      <c r="C295" s="344">
        <v>120.0</v>
      </c>
      <c r="D295" s="369"/>
      <c r="E295" s="344" t="str">
        <f t="shared" si="2"/>
        <v>Saturday</v>
      </c>
      <c r="F295" s="344" t="s">
        <v>554</v>
      </c>
      <c r="G295" s="370"/>
      <c r="H295" s="370"/>
      <c r="I295" s="357">
        <f t="shared" si="3"/>
        <v>0</v>
      </c>
      <c r="J295" s="346">
        <f t="shared" si="4"/>
        <v>0</v>
      </c>
      <c r="K295" s="312"/>
      <c r="L295" s="312"/>
      <c r="M295" s="312"/>
      <c r="N295" s="362"/>
      <c r="O295" s="312"/>
      <c r="P295" s="312"/>
      <c r="S295" s="2">
        <f t="shared" si="5"/>
        <v>0</v>
      </c>
      <c r="AA295" s="312"/>
      <c r="AB295" s="312"/>
      <c r="AC295" s="312"/>
      <c r="AD295" s="312"/>
    </row>
    <row r="296">
      <c r="A296" s="312"/>
      <c r="B296" s="344">
        <f t="shared" si="1"/>
        <v>1714.918281</v>
      </c>
      <c r="C296" s="344">
        <v>120.0</v>
      </c>
      <c r="D296" s="369"/>
      <c r="E296" s="344" t="str">
        <f t="shared" si="2"/>
        <v>Saturday</v>
      </c>
      <c r="F296" s="344" t="s">
        <v>554</v>
      </c>
      <c r="G296" s="370"/>
      <c r="H296" s="370"/>
      <c r="I296" s="357">
        <f t="shared" si="3"/>
        <v>0</v>
      </c>
      <c r="J296" s="346">
        <f t="shared" si="4"/>
        <v>0</v>
      </c>
      <c r="K296" s="312"/>
      <c r="L296" s="312"/>
      <c r="M296" s="312"/>
      <c r="N296" s="362"/>
      <c r="O296" s="312"/>
      <c r="P296" s="312"/>
      <c r="S296" s="2">
        <f t="shared" si="5"/>
        <v>0</v>
      </c>
      <c r="AA296" s="312"/>
      <c r="AB296" s="312"/>
      <c r="AC296" s="312"/>
      <c r="AD296" s="312"/>
    </row>
    <row r="297">
      <c r="A297" s="312"/>
      <c r="B297" s="344">
        <f t="shared" si="1"/>
        <v>1714.918281</v>
      </c>
      <c r="C297" s="344">
        <v>120.0</v>
      </c>
      <c r="D297" s="369"/>
      <c r="E297" s="344" t="str">
        <f t="shared" si="2"/>
        <v>Saturday</v>
      </c>
      <c r="F297" s="344" t="s">
        <v>554</v>
      </c>
      <c r="G297" s="370"/>
      <c r="H297" s="370"/>
      <c r="I297" s="357">
        <f t="shared" si="3"/>
        <v>0</v>
      </c>
      <c r="J297" s="346">
        <f t="shared" si="4"/>
        <v>0</v>
      </c>
      <c r="K297" s="312"/>
      <c r="L297" s="312"/>
      <c r="M297" s="312"/>
      <c r="N297" s="362"/>
      <c r="O297" s="312"/>
      <c r="P297" s="312"/>
      <c r="S297" s="2">
        <f t="shared" si="5"/>
        <v>0</v>
      </c>
      <c r="AA297" s="312"/>
      <c r="AB297" s="312"/>
      <c r="AC297" s="312"/>
      <c r="AD297" s="312"/>
    </row>
    <row r="298">
      <c r="A298" s="312"/>
      <c r="B298" s="344">
        <f t="shared" si="1"/>
        <v>1714.918281</v>
      </c>
      <c r="C298" s="344">
        <v>120.0</v>
      </c>
      <c r="D298" s="369"/>
      <c r="E298" s="344" t="str">
        <f t="shared" si="2"/>
        <v>Saturday</v>
      </c>
      <c r="F298" s="344" t="s">
        <v>554</v>
      </c>
      <c r="G298" s="370"/>
      <c r="H298" s="370"/>
      <c r="I298" s="357">
        <f t="shared" si="3"/>
        <v>0</v>
      </c>
      <c r="J298" s="346">
        <f t="shared" si="4"/>
        <v>0</v>
      </c>
      <c r="K298" s="312"/>
      <c r="L298" s="312"/>
      <c r="M298" s="312"/>
      <c r="N298" s="362"/>
      <c r="O298" s="312"/>
      <c r="P298" s="312"/>
      <c r="S298" s="2">
        <f t="shared" si="5"/>
        <v>0</v>
      </c>
      <c r="AA298" s="312"/>
      <c r="AB298" s="312"/>
      <c r="AC298" s="312"/>
      <c r="AD298" s="312"/>
    </row>
    <row r="299">
      <c r="A299" s="312"/>
      <c r="B299" s="344">
        <f t="shared" si="1"/>
        <v>1714.918281</v>
      </c>
      <c r="C299" s="344">
        <v>120.0</v>
      </c>
      <c r="D299" s="369"/>
      <c r="E299" s="344" t="str">
        <f t="shared" si="2"/>
        <v>Saturday</v>
      </c>
      <c r="F299" s="344" t="s">
        <v>554</v>
      </c>
      <c r="G299" s="370"/>
      <c r="H299" s="370"/>
      <c r="I299" s="357">
        <f t="shared" si="3"/>
        <v>0</v>
      </c>
      <c r="J299" s="346">
        <f t="shared" si="4"/>
        <v>0</v>
      </c>
      <c r="K299" s="312"/>
      <c r="L299" s="312"/>
      <c r="M299" s="312"/>
      <c r="N299" s="362"/>
      <c r="O299" s="312"/>
      <c r="P299" s="312"/>
      <c r="S299" s="2">
        <f t="shared" si="5"/>
        <v>0</v>
      </c>
      <c r="AA299" s="312"/>
      <c r="AB299" s="312"/>
      <c r="AC299" s="312"/>
      <c r="AD299" s="312"/>
    </row>
    <row r="300">
      <c r="A300" s="312"/>
      <c r="B300" s="344">
        <f t="shared" si="1"/>
        <v>1714.918281</v>
      </c>
      <c r="C300" s="344">
        <v>120.0</v>
      </c>
      <c r="D300" s="369"/>
      <c r="E300" s="344" t="str">
        <f t="shared" si="2"/>
        <v>Saturday</v>
      </c>
      <c r="F300" s="344" t="s">
        <v>554</v>
      </c>
      <c r="G300" s="370"/>
      <c r="H300" s="370"/>
      <c r="I300" s="357">
        <f t="shared" si="3"/>
        <v>0</v>
      </c>
      <c r="J300" s="346">
        <f t="shared" si="4"/>
        <v>0</v>
      </c>
      <c r="K300" s="312"/>
      <c r="L300" s="312"/>
      <c r="M300" s="312"/>
      <c r="N300" s="362"/>
      <c r="O300" s="312"/>
      <c r="P300" s="312"/>
      <c r="S300" s="2">
        <f t="shared" si="5"/>
        <v>0</v>
      </c>
      <c r="AA300" s="312"/>
      <c r="AB300" s="312"/>
      <c r="AC300" s="312"/>
      <c r="AD300" s="312"/>
    </row>
    <row r="301">
      <c r="A301" s="312"/>
      <c r="B301" s="344">
        <f t="shared" si="1"/>
        <v>1714.918281</v>
      </c>
      <c r="C301" s="344">
        <v>120.0</v>
      </c>
      <c r="D301" s="369"/>
      <c r="E301" s="344" t="str">
        <f t="shared" si="2"/>
        <v>Saturday</v>
      </c>
      <c r="F301" s="344" t="s">
        <v>554</v>
      </c>
      <c r="G301" s="370"/>
      <c r="H301" s="370"/>
      <c r="I301" s="357">
        <f t="shared" si="3"/>
        <v>0</v>
      </c>
      <c r="J301" s="346">
        <f t="shared" si="4"/>
        <v>0</v>
      </c>
      <c r="K301" s="312"/>
      <c r="L301" s="312"/>
      <c r="M301" s="312"/>
      <c r="N301" s="362"/>
      <c r="O301" s="312"/>
      <c r="P301" s="312"/>
      <c r="S301" s="2">
        <f t="shared" si="5"/>
        <v>0</v>
      </c>
      <c r="AA301" s="312"/>
      <c r="AB301" s="312"/>
      <c r="AC301" s="312"/>
      <c r="AD301" s="312"/>
    </row>
    <row r="302">
      <c r="A302" s="312"/>
      <c r="B302" s="344">
        <f t="shared" si="1"/>
        <v>1714.918281</v>
      </c>
      <c r="C302" s="344">
        <v>120.0</v>
      </c>
      <c r="D302" s="369"/>
      <c r="E302" s="344" t="str">
        <f t="shared" si="2"/>
        <v>Saturday</v>
      </c>
      <c r="F302" s="344" t="s">
        <v>554</v>
      </c>
      <c r="G302" s="370"/>
      <c r="H302" s="370"/>
      <c r="I302" s="357">
        <f t="shared" si="3"/>
        <v>0</v>
      </c>
      <c r="J302" s="346">
        <f t="shared" si="4"/>
        <v>0</v>
      </c>
      <c r="K302" s="312"/>
      <c r="L302" s="312"/>
      <c r="M302" s="312"/>
      <c r="N302" s="362"/>
      <c r="O302" s="312"/>
      <c r="P302" s="312"/>
      <c r="S302" s="2">
        <f t="shared" si="5"/>
        <v>0</v>
      </c>
      <c r="AA302" s="312"/>
      <c r="AB302" s="312"/>
      <c r="AC302" s="312"/>
      <c r="AD302" s="312"/>
    </row>
    <row r="303">
      <c r="A303" s="312"/>
      <c r="B303" s="344">
        <f t="shared" si="1"/>
        <v>1714.918281</v>
      </c>
      <c r="C303" s="344">
        <v>120.0</v>
      </c>
      <c r="D303" s="369"/>
      <c r="E303" s="344" t="str">
        <f t="shared" si="2"/>
        <v>Saturday</v>
      </c>
      <c r="F303" s="344" t="s">
        <v>554</v>
      </c>
      <c r="G303" s="370"/>
      <c r="H303" s="370"/>
      <c r="I303" s="357">
        <f t="shared" si="3"/>
        <v>0</v>
      </c>
      <c r="J303" s="346">
        <f t="shared" si="4"/>
        <v>0</v>
      </c>
      <c r="K303" s="312"/>
      <c r="L303" s="312"/>
      <c r="M303" s="312"/>
      <c r="N303" s="362"/>
      <c r="O303" s="312"/>
      <c r="P303" s="312"/>
      <c r="S303" s="2">
        <f t="shared" si="5"/>
        <v>0</v>
      </c>
      <c r="AA303" s="312"/>
      <c r="AB303" s="312"/>
      <c r="AC303" s="312"/>
      <c r="AD303" s="312"/>
    </row>
    <row r="304">
      <c r="A304" s="312"/>
      <c r="B304" s="344">
        <f t="shared" si="1"/>
        <v>1714.918281</v>
      </c>
      <c r="C304" s="344">
        <v>120.0</v>
      </c>
      <c r="D304" s="369"/>
      <c r="E304" s="344" t="str">
        <f t="shared" si="2"/>
        <v>Saturday</v>
      </c>
      <c r="F304" s="344" t="s">
        <v>554</v>
      </c>
      <c r="G304" s="370"/>
      <c r="H304" s="370"/>
      <c r="I304" s="357">
        <f t="shared" si="3"/>
        <v>0</v>
      </c>
      <c r="J304" s="346">
        <f t="shared" si="4"/>
        <v>0</v>
      </c>
      <c r="K304" s="312"/>
      <c r="L304" s="312"/>
      <c r="M304" s="312"/>
      <c r="N304" s="362"/>
      <c r="O304" s="312"/>
      <c r="P304" s="312"/>
      <c r="S304" s="2">
        <f t="shared" si="5"/>
        <v>0</v>
      </c>
      <c r="AA304" s="312"/>
      <c r="AB304" s="312"/>
      <c r="AC304" s="312"/>
      <c r="AD304" s="312"/>
    </row>
    <row r="305">
      <c r="A305" s="312"/>
      <c r="B305" s="344">
        <f t="shared" si="1"/>
        <v>1714.918281</v>
      </c>
      <c r="C305" s="344">
        <v>120.0</v>
      </c>
      <c r="D305" s="369"/>
      <c r="E305" s="344" t="str">
        <f t="shared" si="2"/>
        <v>Saturday</v>
      </c>
      <c r="F305" s="344" t="s">
        <v>554</v>
      </c>
      <c r="G305" s="370"/>
      <c r="H305" s="370"/>
      <c r="I305" s="357">
        <f t="shared" si="3"/>
        <v>0</v>
      </c>
      <c r="J305" s="346">
        <f t="shared" si="4"/>
        <v>0</v>
      </c>
      <c r="K305" s="312"/>
      <c r="L305" s="312"/>
      <c r="M305" s="312"/>
      <c r="N305" s="362"/>
      <c r="O305" s="312"/>
      <c r="P305" s="312"/>
      <c r="S305" s="2">
        <f t="shared" si="5"/>
        <v>0</v>
      </c>
      <c r="AA305" s="312"/>
      <c r="AB305" s="312"/>
      <c r="AC305" s="312"/>
      <c r="AD305" s="312"/>
    </row>
    <row r="306">
      <c r="A306" s="312"/>
      <c r="B306" s="344">
        <f t="shared" si="1"/>
        <v>1714.918281</v>
      </c>
      <c r="C306" s="344">
        <v>120.0</v>
      </c>
      <c r="D306" s="369"/>
      <c r="E306" s="344" t="str">
        <f t="shared" si="2"/>
        <v>Saturday</v>
      </c>
      <c r="F306" s="344" t="s">
        <v>554</v>
      </c>
      <c r="G306" s="370"/>
      <c r="H306" s="370"/>
      <c r="I306" s="357">
        <f t="shared" si="3"/>
        <v>0</v>
      </c>
      <c r="J306" s="346">
        <f t="shared" si="4"/>
        <v>0</v>
      </c>
      <c r="K306" s="312"/>
      <c r="L306" s="312"/>
      <c r="M306" s="312"/>
      <c r="N306" s="362"/>
      <c r="O306" s="312"/>
      <c r="P306" s="312"/>
      <c r="S306" s="2">
        <f t="shared" si="5"/>
        <v>0</v>
      </c>
      <c r="AA306" s="312"/>
      <c r="AB306" s="312"/>
      <c r="AC306" s="312"/>
      <c r="AD306" s="312"/>
    </row>
    <row r="307">
      <c r="A307" s="312"/>
      <c r="B307" s="344">
        <f t="shared" si="1"/>
        <v>1714.918281</v>
      </c>
      <c r="C307" s="344">
        <v>120.0</v>
      </c>
      <c r="D307" s="369"/>
      <c r="E307" s="344" t="str">
        <f t="shared" si="2"/>
        <v>Saturday</v>
      </c>
      <c r="F307" s="344" t="s">
        <v>554</v>
      </c>
      <c r="G307" s="370"/>
      <c r="H307" s="370"/>
      <c r="I307" s="357">
        <f t="shared" si="3"/>
        <v>0</v>
      </c>
      <c r="J307" s="346">
        <f t="shared" si="4"/>
        <v>0</v>
      </c>
      <c r="K307" s="312"/>
      <c r="L307" s="312"/>
      <c r="M307" s="312"/>
      <c r="N307" s="362"/>
      <c r="O307" s="312"/>
      <c r="P307" s="312"/>
      <c r="S307" s="2">
        <f t="shared" si="5"/>
        <v>0</v>
      </c>
      <c r="AA307" s="312"/>
      <c r="AB307" s="312"/>
      <c r="AC307" s="312"/>
      <c r="AD307" s="312"/>
    </row>
    <row r="308">
      <c r="A308" s="312"/>
      <c r="B308" s="344">
        <f t="shared" si="1"/>
        <v>1714.918281</v>
      </c>
      <c r="C308" s="344">
        <v>120.0</v>
      </c>
      <c r="D308" s="369"/>
      <c r="E308" s="344" t="str">
        <f t="shared" si="2"/>
        <v>Saturday</v>
      </c>
      <c r="F308" s="344" t="s">
        <v>554</v>
      </c>
      <c r="G308" s="370"/>
      <c r="H308" s="370"/>
      <c r="I308" s="357">
        <f t="shared" si="3"/>
        <v>0</v>
      </c>
      <c r="J308" s="346">
        <f t="shared" si="4"/>
        <v>0</v>
      </c>
      <c r="K308" s="312"/>
      <c r="L308" s="312"/>
      <c r="M308" s="312"/>
      <c r="N308" s="362"/>
      <c r="O308" s="312"/>
      <c r="P308" s="312"/>
      <c r="S308" s="2">
        <f t="shared" si="5"/>
        <v>0</v>
      </c>
      <c r="AA308" s="312"/>
      <c r="AB308" s="312"/>
      <c r="AC308" s="312"/>
      <c r="AD308" s="312"/>
    </row>
    <row r="309">
      <c r="A309" s="312"/>
      <c r="B309" s="344">
        <f t="shared" si="1"/>
        <v>1714.918281</v>
      </c>
      <c r="C309" s="344">
        <v>120.0</v>
      </c>
      <c r="D309" s="369"/>
      <c r="E309" s="344" t="str">
        <f t="shared" si="2"/>
        <v>Saturday</v>
      </c>
      <c r="F309" s="344" t="s">
        <v>554</v>
      </c>
      <c r="G309" s="370"/>
      <c r="H309" s="370"/>
      <c r="I309" s="357">
        <f t="shared" si="3"/>
        <v>0</v>
      </c>
      <c r="J309" s="346">
        <f t="shared" si="4"/>
        <v>0</v>
      </c>
      <c r="K309" s="312"/>
      <c r="L309" s="312"/>
      <c r="M309" s="312"/>
      <c r="N309" s="362"/>
      <c r="O309" s="312"/>
      <c r="P309" s="312"/>
      <c r="S309" s="2">
        <f t="shared" si="5"/>
        <v>0</v>
      </c>
      <c r="AA309" s="312"/>
      <c r="AB309" s="312"/>
      <c r="AC309" s="312"/>
      <c r="AD309" s="312"/>
    </row>
    <row r="310">
      <c r="A310" s="312"/>
      <c r="B310" s="344">
        <f t="shared" si="1"/>
        <v>1714.918281</v>
      </c>
      <c r="C310" s="344">
        <v>120.0</v>
      </c>
      <c r="D310" s="369"/>
      <c r="E310" s="344" t="str">
        <f t="shared" si="2"/>
        <v>Saturday</v>
      </c>
      <c r="F310" s="344" t="s">
        <v>554</v>
      </c>
      <c r="G310" s="370"/>
      <c r="H310" s="370"/>
      <c r="I310" s="357">
        <f t="shared" si="3"/>
        <v>0</v>
      </c>
      <c r="J310" s="346">
        <f t="shared" si="4"/>
        <v>0</v>
      </c>
      <c r="K310" s="312"/>
      <c r="L310" s="312"/>
      <c r="M310" s="312"/>
      <c r="N310" s="362"/>
      <c r="O310" s="312"/>
      <c r="P310" s="312"/>
      <c r="S310" s="2">
        <f t="shared" si="5"/>
        <v>0</v>
      </c>
      <c r="AA310" s="312"/>
      <c r="AB310" s="312"/>
      <c r="AC310" s="312"/>
      <c r="AD310" s="312"/>
    </row>
    <row r="311">
      <c r="A311" s="312"/>
      <c r="B311" s="344">
        <f t="shared" si="1"/>
        <v>1714.918281</v>
      </c>
      <c r="C311" s="344">
        <v>120.0</v>
      </c>
      <c r="D311" s="369"/>
      <c r="E311" s="344" t="str">
        <f t="shared" si="2"/>
        <v>Saturday</v>
      </c>
      <c r="F311" s="344" t="s">
        <v>554</v>
      </c>
      <c r="G311" s="370"/>
      <c r="H311" s="370"/>
      <c r="I311" s="357">
        <f t="shared" si="3"/>
        <v>0</v>
      </c>
      <c r="J311" s="346">
        <f t="shared" si="4"/>
        <v>0</v>
      </c>
      <c r="K311" s="312"/>
      <c r="L311" s="312"/>
      <c r="M311" s="312"/>
      <c r="N311" s="362"/>
      <c r="O311" s="312"/>
      <c r="P311" s="312"/>
      <c r="S311" s="2">
        <f t="shared" si="5"/>
        <v>0</v>
      </c>
      <c r="AA311" s="312"/>
      <c r="AB311" s="312"/>
      <c r="AC311" s="312"/>
      <c r="AD311" s="312"/>
    </row>
    <row r="312">
      <c r="A312" s="312"/>
      <c r="B312" s="344">
        <f t="shared" si="1"/>
        <v>1714.918281</v>
      </c>
      <c r="C312" s="344">
        <v>120.0</v>
      </c>
      <c r="D312" s="369"/>
      <c r="E312" s="344" t="str">
        <f t="shared" si="2"/>
        <v>Saturday</v>
      </c>
      <c r="F312" s="344" t="s">
        <v>554</v>
      </c>
      <c r="G312" s="370"/>
      <c r="H312" s="370"/>
      <c r="I312" s="357">
        <f t="shared" si="3"/>
        <v>0</v>
      </c>
      <c r="J312" s="346">
        <f t="shared" si="4"/>
        <v>0</v>
      </c>
      <c r="K312" s="312"/>
      <c r="L312" s="312"/>
      <c r="M312" s="312"/>
      <c r="N312" s="362"/>
      <c r="O312" s="312"/>
      <c r="P312" s="312"/>
      <c r="S312" s="2">
        <f t="shared" si="5"/>
        <v>0</v>
      </c>
      <c r="AA312" s="312"/>
      <c r="AB312" s="312"/>
      <c r="AC312" s="312"/>
      <c r="AD312" s="312"/>
    </row>
    <row r="313">
      <c r="A313" s="312"/>
      <c r="B313" s="344">
        <f t="shared" si="1"/>
        <v>1714.918281</v>
      </c>
      <c r="C313" s="344">
        <v>120.0</v>
      </c>
      <c r="D313" s="369"/>
      <c r="E313" s="344" t="str">
        <f t="shared" si="2"/>
        <v>Saturday</v>
      </c>
      <c r="F313" s="344" t="s">
        <v>554</v>
      </c>
      <c r="G313" s="370"/>
      <c r="H313" s="370"/>
      <c r="I313" s="357">
        <f t="shared" si="3"/>
        <v>0</v>
      </c>
      <c r="J313" s="346">
        <f t="shared" si="4"/>
        <v>0</v>
      </c>
      <c r="K313" s="312"/>
      <c r="L313" s="312"/>
      <c r="M313" s="312"/>
      <c r="N313" s="362"/>
      <c r="O313" s="312"/>
      <c r="P313" s="312"/>
      <c r="S313" s="2">
        <f t="shared" si="5"/>
        <v>0</v>
      </c>
      <c r="AA313" s="312"/>
      <c r="AB313" s="312"/>
      <c r="AC313" s="312"/>
      <c r="AD313" s="312"/>
    </row>
    <row r="314">
      <c r="A314" s="312"/>
      <c r="B314" s="344">
        <f t="shared" si="1"/>
        <v>1714.918281</v>
      </c>
      <c r="C314" s="344">
        <v>120.0</v>
      </c>
      <c r="D314" s="369"/>
      <c r="E314" s="344" t="str">
        <f t="shared" si="2"/>
        <v>Saturday</v>
      </c>
      <c r="F314" s="344" t="s">
        <v>554</v>
      </c>
      <c r="G314" s="370"/>
      <c r="H314" s="370"/>
      <c r="I314" s="357">
        <f t="shared" si="3"/>
        <v>0</v>
      </c>
      <c r="J314" s="346">
        <f t="shared" si="4"/>
        <v>0</v>
      </c>
      <c r="K314" s="312"/>
      <c r="L314" s="312"/>
      <c r="M314" s="312"/>
      <c r="N314" s="362"/>
      <c r="O314" s="312"/>
      <c r="P314" s="312"/>
      <c r="S314" s="2">
        <f t="shared" si="5"/>
        <v>0</v>
      </c>
      <c r="AA314" s="312"/>
      <c r="AB314" s="312"/>
      <c r="AC314" s="312"/>
      <c r="AD314" s="312"/>
    </row>
    <row r="315">
      <c r="A315" s="312"/>
      <c r="B315" s="344">
        <f t="shared" si="1"/>
        <v>1714.918281</v>
      </c>
      <c r="C315" s="344">
        <v>120.0</v>
      </c>
      <c r="D315" s="369"/>
      <c r="E315" s="344" t="str">
        <f t="shared" si="2"/>
        <v>Saturday</v>
      </c>
      <c r="F315" s="344" t="s">
        <v>554</v>
      </c>
      <c r="G315" s="370"/>
      <c r="H315" s="370"/>
      <c r="I315" s="357">
        <f t="shared" si="3"/>
        <v>0</v>
      </c>
      <c r="J315" s="346">
        <f t="shared" si="4"/>
        <v>0</v>
      </c>
      <c r="K315" s="312"/>
      <c r="L315" s="312"/>
      <c r="M315" s="312"/>
      <c r="N315" s="362"/>
      <c r="O315" s="312"/>
      <c r="P315" s="312"/>
      <c r="S315" s="2">
        <f t="shared" si="5"/>
        <v>0</v>
      </c>
      <c r="AA315" s="312"/>
      <c r="AB315" s="312"/>
      <c r="AC315" s="312"/>
      <c r="AD315" s="312"/>
    </row>
    <row r="316">
      <c r="A316" s="312"/>
      <c r="B316" s="344">
        <f t="shared" si="1"/>
        <v>1714.918281</v>
      </c>
      <c r="C316" s="344">
        <v>120.0</v>
      </c>
      <c r="D316" s="369"/>
      <c r="E316" s="344" t="str">
        <f t="shared" si="2"/>
        <v>Saturday</v>
      </c>
      <c r="F316" s="344" t="s">
        <v>554</v>
      </c>
      <c r="G316" s="370"/>
      <c r="H316" s="370"/>
      <c r="I316" s="357">
        <f t="shared" si="3"/>
        <v>0</v>
      </c>
      <c r="J316" s="346">
        <f t="shared" si="4"/>
        <v>0</v>
      </c>
      <c r="K316" s="312"/>
      <c r="L316" s="312"/>
      <c r="M316" s="312"/>
      <c r="N316" s="362"/>
      <c r="O316" s="312"/>
      <c r="P316" s="312"/>
      <c r="S316" s="2">
        <f t="shared" si="5"/>
        <v>0</v>
      </c>
      <c r="AA316" s="312"/>
      <c r="AB316" s="312"/>
      <c r="AC316" s="312"/>
      <c r="AD316" s="312"/>
    </row>
    <row r="317">
      <c r="A317" s="312"/>
      <c r="B317" s="344">
        <f t="shared" si="1"/>
        <v>1714.918281</v>
      </c>
      <c r="C317" s="344">
        <v>120.0</v>
      </c>
      <c r="D317" s="369"/>
      <c r="E317" s="344" t="str">
        <f t="shared" si="2"/>
        <v>Saturday</v>
      </c>
      <c r="F317" s="344" t="s">
        <v>554</v>
      </c>
      <c r="G317" s="370"/>
      <c r="H317" s="370"/>
      <c r="I317" s="357">
        <f t="shared" si="3"/>
        <v>0</v>
      </c>
      <c r="J317" s="346">
        <f t="shared" si="4"/>
        <v>0</v>
      </c>
      <c r="K317" s="312"/>
      <c r="L317" s="312"/>
      <c r="M317" s="312"/>
      <c r="N317" s="362"/>
      <c r="O317" s="312"/>
      <c r="P317" s="312"/>
      <c r="S317" s="2">
        <f t="shared" si="5"/>
        <v>0</v>
      </c>
      <c r="AA317" s="312"/>
      <c r="AB317" s="312"/>
      <c r="AC317" s="312"/>
      <c r="AD317" s="312"/>
    </row>
    <row r="318">
      <c r="A318" s="312"/>
      <c r="B318" s="344">
        <f t="shared" si="1"/>
        <v>1714.918281</v>
      </c>
      <c r="C318" s="344">
        <v>120.0</v>
      </c>
      <c r="D318" s="369"/>
      <c r="E318" s="344" t="str">
        <f t="shared" si="2"/>
        <v>Saturday</v>
      </c>
      <c r="F318" s="344" t="s">
        <v>554</v>
      </c>
      <c r="G318" s="370"/>
      <c r="H318" s="370"/>
      <c r="I318" s="357">
        <f t="shared" si="3"/>
        <v>0</v>
      </c>
      <c r="J318" s="346">
        <f t="shared" si="4"/>
        <v>0</v>
      </c>
      <c r="K318" s="312"/>
      <c r="L318" s="312"/>
      <c r="M318" s="312"/>
      <c r="N318" s="362"/>
      <c r="O318" s="312"/>
      <c r="P318" s="312"/>
      <c r="S318" s="2">
        <f t="shared" si="5"/>
        <v>0</v>
      </c>
      <c r="AA318" s="312"/>
      <c r="AB318" s="312"/>
      <c r="AC318" s="312"/>
      <c r="AD318" s="312"/>
    </row>
    <row r="319">
      <c r="A319" s="312"/>
      <c r="B319" s="344">
        <f t="shared" si="1"/>
        <v>1714.918281</v>
      </c>
      <c r="C319" s="344">
        <v>120.0</v>
      </c>
      <c r="D319" s="369"/>
      <c r="E319" s="344" t="str">
        <f t="shared" si="2"/>
        <v>Saturday</v>
      </c>
      <c r="F319" s="344" t="s">
        <v>554</v>
      </c>
      <c r="G319" s="370"/>
      <c r="H319" s="370"/>
      <c r="I319" s="357">
        <f t="shared" si="3"/>
        <v>0</v>
      </c>
      <c r="J319" s="346">
        <f t="shared" si="4"/>
        <v>0</v>
      </c>
      <c r="K319" s="312"/>
      <c r="L319" s="312"/>
      <c r="M319" s="312"/>
      <c r="N319" s="362"/>
      <c r="O319" s="312"/>
      <c r="P319" s="312"/>
      <c r="S319" s="2">
        <f t="shared" si="5"/>
        <v>0</v>
      </c>
      <c r="AA319" s="312"/>
      <c r="AB319" s="312"/>
      <c r="AC319" s="312"/>
      <c r="AD319" s="312"/>
    </row>
    <row r="320">
      <c r="A320" s="312"/>
      <c r="B320" s="344">
        <f t="shared" si="1"/>
        <v>1714.918281</v>
      </c>
      <c r="C320" s="344">
        <v>120.0</v>
      </c>
      <c r="D320" s="369"/>
      <c r="E320" s="344" t="str">
        <f t="shared" si="2"/>
        <v>Saturday</v>
      </c>
      <c r="F320" s="344" t="s">
        <v>554</v>
      </c>
      <c r="G320" s="370"/>
      <c r="H320" s="370"/>
      <c r="I320" s="357">
        <f t="shared" si="3"/>
        <v>0</v>
      </c>
      <c r="J320" s="346">
        <f t="shared" si="4"/>
        <v>0</v>
      </c>
      <c r="K320" s="312"/>
      <c r="L320" s="312"/>
      <c r="M320" s="312"/>
      <c r="N320" s="362"/>
      <c r="O320" s="312"/>
      <c r="P320" s="312"/>
      <c r="S320" s="2">
        <f t="shared" si="5"/>
        <v>0</v>
      </c>
      <c r="AA320" s="312"/>
      <c r="AB320" s="312"/>
      <c r="AC320" s="312"/>
      <c r="AD320" s="312"/>
    </row>
    <row r="321">
      <c r="A321" s="312"/>
      <c r="B321" s="344">
        <f t="shared" si="1"/>
        <v>1714.918281</v>
      </c>
      <c r="C321" s="344">
        <v>120.0</v>
      </c>
      <c r="D321" s="369"/>
      <c r="E321" s="344" t="str">
        <f t="shared" si="2"/>
        <v>Saturday</v>
      </c>
      <c r="F321" s="344" t="s">
        <v>554</v>
      </c>
      <c r="G321" s="370"/>
      <c r="H321" s="370"/>
      <c r="I321" s="357">
        <f t="shared" si="3"/>
        <v>0</v>
      </c>
      <c r="J321" s="346">
        <f t="shared" si="4"/>
        <v>0</v>
      </c>
      <c r="K321" s="312"/>
      <c r="L321" s="312"/>
      <c r="M321" s="312"/>
      <c r="N321" s="362"/>
      <c r="O321" s="312"/>
      <c r="P321" s="312"/>
      <c r="S321" s="2">
        <f t="shared" si="5"/>
        <v>0</v>
      </c>
      <c r="AA321" s="312"/>
      <c r="AB321" s="312"/>
      <c r="AC321" s="312"/>
      <c r="AD321" s="312"/>
    </row>
    <row r="322">
      <c r="A322" s="312"/>
      <c r="B322" s="344">
        <f t="shared" si="1"/>
        <v>1714.918281</v>
      </c>
      <c r="C322" s="344">
        <v>120.0</v>
      </c>
      <c r="D322" s="369"/>
      <c r="E322" s="344" t="str">
        <f t="shared" si="2"/>
        <v>Saturday</v>
      </c>
      <c r="F322" s="344" t="s">
        <v>554</v>
      </c>
      <c r="G322" s="370"/>
      <c r="H322" s="370"/>
      <c r="I322" s="357">
        <f t="shared" si="3"/>
        <v>0</v>
      </c>
      <c r="J322" s="346">
        <f t="shared" si="4"/>
        <v>0</v>
      </c>
      <c r="K322" s="312"/>
      <c r="L322" s="312"/>
      <c r="M322" s="312"/>
      <c r="N322" s="362"/>
      <c r="O322" s="312"/>
      <c r="P322" s="312"/>
      <c r="S322" s="2">
        <f t="shared" si="5"/>
        <v>0</v>
      </c>
      <c r="AA322" s="312"/>
      <c r="AB322" s="312"/>
      <c r="AC322" s="312"/>
      <c r="AD322" s="312"/>
    </row>
    <row r="323">
      <c r="A323" s="312"/>
      <c r="B323" s="344">
        <f t="shared" si="1"/>
        <v>1714.918281</v>
      </c>
      <c r="C323" s="344">
        <v>120.0</v>
      </c>
      <c r="D323" s="369"/>
      <c r="E323" s="344" t="str">
        <f t="shared" si="2"/>
        <v>Saturday</v>
      </c>
      <c r="F323" s="344" t="s">
        <v>554</v>
      </c>
      <c r="G323" s="370"/>
      <c r="H323" s="370"/>
      <c r="I323" s="357">
        <f t="shared" si="3"/>
        <v>0</v>
      </c>
      <c r="J323" s="346">
        <f t="shared" si="4"/>
        <v>0</v>
      </c>
      <c r="K323" s="312"/>
      <c r="L323" s="312"/>
      <c r="M323" s="312"/>
      <c r="N323" s="362"/>
      <c r="O323" s="312"/>
      <c r="P323" s="312"/>
      <c r="S323" s="2">
        <f t="shared" si="5"/>
        <v>0</v>
      </c>
      <c r="AA323" s="312"/>
      <c r="AB323" s="312"/>
      <c r="AC323" s="312"/>
      <c r="AD323" s="312"/>
    </row>
    <row r="324">
      <c r="A324" s="312"/>
      <c r="B324" s="344">
        <f t="shared" si="1"/>
        <v>1714.918281</v>
      </c>
      <c r="C324" s="344">
        <v>120.0</v>
      </c>
      <c r="D324" s="369"/>
      <c r="E324" s="344" t="str">
        <f t="shared" si="2"/>
        <v>Saturday</v>
      </c>
      <c r="F324" s="344" t="s">
        <v>554</v>
      </c>
      <c r="G324" s="370"/>
      <c r="H324" s="370"/>
      <c r="I324" s="357">
        <f t="shared" si="3"/>
        <v>0</v>
      </c>
      <c r="J324" s="346">
        <f t="shared" si="4"/>
        <v>0</v>
      </c>
      <c r="K324" s="312"/>
      <c r="L324" s="312"/>
      <c r="M324" s="312"/>
      <c r="N324" s="362"/>
      <c r="O324" s="312"/>
      <c r="P324" s="312"/>
      <c r="S324" s="2">
        <f t="shared" si="5"/>
        <v>0</v>
      </c>
      <c r="AA324" s="312"/>
      <c r="AB324" s="312"/>
      <c r="AC324" s="312"/>
      <c r="AD324" s="312"/>
    </row>
    <row r="325">
      <c r="A325" s="312"/>
      <c r="B325" s="344">
        <f t="shared" si="1"/>
        <v>1714.918281</v>
      </c>
      <c r="C325" s="344">
        <v>120.0</v>
      </c>
      <c r="D325" s="369"/>
      <c r="E325" s="344" t="str">
        <f t="shared" si="2"/>
        <v>Saturday</v>
      </c>
      <c r="F325" s="344" t="s">
        <v>554</v>
      </c>
      <c r="G325" s="370"/>
      <c r="H325" s="370"/>
      <c r="I325" s="357">
        <f t="shared" si="3"/>
        <v>0</v>
      </c>
      <c r="J325" s="346">
        <f t="shared" si="4"/>
        <v>0</v>
      </c>
      <c r="K325" s="312"/>
      <c r="L325" s="312"/>
      <c r="M325" s="312"/>
      <c r="N325" s="362"/>
      <c r="O325" s="312"/>
      <c r="P325" s="312"/>
      <c r="S325" s="2">
        <f t="shared" si="5"/>
        <v>0</v>
      </c>
      <c r="AA325" s="312"/>
      <c r="AB325" s="312"/>
      <c r="AC325" s="312"/>
      <c r="AD325" s="312"/>
    </row>
    <row r="326">
      <c r="A326" s="312"/>
      <c r="B326" s="344">
        <f t="shared" si="1"/>
        <v>1714.918281</v>
      </c>
      <c r="C326" s="344">
        <v>120.0</v>
      </c>
      <c r="D326" s="369"/>
      <c r="E326" s="344" t="str">
        <f t="shared" si="2"/>
        <v>Saturday</v>
      </c>
      <c r="F326" s="344" t="s">
        <v>554</v>
      </c>
      <c r="G326" s="370"/>
      <c r="H326" s="370"/>
      <c r="I326" s="357">
        <f t="shared" si="3"/>
        <v>0</v>
      </c>
      <c r="J326" s="346">
        <f t="shared" si="4"/>
        <v>0</v>
      </c>
      <c r="K326" s="312"/>
      <c r="L326" s="312"/>
      <c r="M326" s="312"/>
      <c r="N326" s="362"/>
      <c r="O326" s="312"/>
      <c r="P326" s="312"/>
      <c r="S326" s="2">
        <f t="shared" si="5"/>
        <v>0</v>
      </c>
      <c r="AA326" s="312"/>
      <c r="AB326" s="312"/>
      <c r="AC326" s="312"/>
      <c r="AD326" s="312"/>
    </row>
    <row r="327">
      <c r="A327" s="312"/>
      <c r="B327" s="344">
        <f t="shared" si="1"/>
        <v>1714.918281</v>
      </c>
      <c r="C327" s="344">
        <v>120.0</v>
      </c>
      <c r="D327" s="369"/>
      <c r="E327" s="344" t="str">
        <f t="shared" si="2"/>
        <v>Saturday</v>
      </c>
      <c r="F327" s="344" t="s">
        <v>554</v>
      </c>
      <c r="G327" s="370"/>
      <c r="H327" s="370"/>
      <c r="I327" s="357">
        <f t="shared" si="3"/>
        <v>0</v>
      </c>
      <c r="J327" s="346">
        <f t="shared" si="4"/>
        <v>0</v>
      </c>
      <c r="K327" s="312"/>
      <c r="L327" s="312"/>
      <c r="M327" s="312"/>
      <c r="N327" s="362"/>
      <c r="O327" s="312"/>
      <c r="P327" s="312"/>
      <c r="S327" s="2">
        <f t="shared" si="5"/>
        <v>0</v>
      </c>
      <c r="AA327" s="312"/>
      <c r="AB327" s="312"/>
      <c r="AC327" s="312"/>
      <c r="AD327" s="312"/>
    </row>
    <row r="328">
      <c r="A328" s="312"/>
      <c r="B328" s="344">
        <f t="shared" si="1"/>
        <v>1714.918281</v>
      </c>
      <c r="C328" s="344">
        <v>120.0</v>
      </c>
      <c r="D328" s="369"/>
      <c r="E328" s="344" t="str">
        <f t="shared" si="2"/>
        <v>Saturday</v>
      </c>
      <c r="F328" s="344" t="s">
        <v>554</v>
      </c>
      <c r="G328" s="370"/>
      <c r="H328" s="370"/>
      <c r="I328" s="357">
        <f t="shared" si="3"/>
        <v>0</v>
      </c>
      <c r="J328" s="346">
        <f t="shared" si="4"/>
        <v>0</v>
      </c>
      <c r="K328" s="312"/>
      <c r="L328" s="312"/>
      <c r="M328" s="312"/>
      <c r="N328" s="362"/>
      <c r="O328" s="312"/>
      <c r="P328" s="312"/>
      <c r="S328" s="2">
        <f t="shared" si="5"/>
        <v>0</v>
      </c>
      <c r="AA328" s="312"/>
      <c r="AB328" s="312"/>
      <c r="AC328" s="312"/>
      <c r="AD328" s="312"/>
    </row>
    <row r="329">
      <c r="A329" s="312"/>
      <c r="B329" s="344">
        <f t="shared" si="1"/>
        <v>1714.918281</v>
      </c>
      <c r="C329" s="344">
        <v>120.0</v>
      </c>
      <c r="D329" s="369"/>
      <c r="E329" s="344" t="str">
        <f t="shared" si="2"/>
        <v>Saturday</v>
      </c>
      <c r="F329" s="344" t="s">
        <v>554</v>
      </c>
      <c r="G329" s="370"/>
      <c r="H329" s="370"/>
      <c r="I329" s="357">
        <f t="shared" si="3"/>
        <v>0</v>
      </c>
      <c r="J329" s="346">
        <f t="shared" si="4"/>
        <v>0</v>
      </c>
      <c r="K329" s="312"/>
      <c r="L329" s="312"/>
      <c r="M329" s="312"/>
      <c r="N329" s="362"/>
      <c r="O329" s="312"/>
      <c r="P329" s="312"/>
      <c r="S329" s="2">
        <f t="shared" si="5"/>
        <v>0</v>
      </c>
      <c r="AA329" s="312"/>
      <c r="AB329" s="312"/>
      <c r="AC329" s="312"/>
      <c r="AD329" s="312"/>
    </row>
    <row r="330">
      <c r="A330" s="312"/>
      <c r="B330" s="344">
        <f t="shared" si="1"/>
        <v>1714.918281</v>
      </c>
      <c r="C330" s="344">
        <v>120.0</v>
      </c>
      <c r="D330" s="369"/>
      <c r="E330" s="344" t="str">
        <f t="shared" si="2"/>
        <v>Saturday</v>
      </c>
      <c r="F330" s="344" t="s">
        <v>554</v>
      </c>
      <c r="G330" s="370"/>
      <c r="H330" s="370"/>
      <c r="I330" s="357">
        <f t="shared" si="3"/>
        <v>0</v>
      </c>
      <c r="J330" s="346">
        <f t="shared" si="4"/>
        <v>0</v>
      </c>
      <c r="K330" s="312"/>
      <c r="L330" s="312"/>
      <c r="M330" s="312"/>
      <c r="N330" s="362"/>
      <c r="O330" s="312"/>
      <c r="P330" s="312"/>
      <c r="S330" s="2">
        <f t="shared" si="5"/>
        <v>0</v>
      </c>
      <c r="AA330" s="312"/>
      <c r="AB330" s="312"/>
      <c r="AC330" s="312"/>
      <c r="AD330" s="312"/>
    </row>
    <row r="331">
      <c r="A331" s="312"/>
      <c r="B331" s="344">
        <f t="shared" si="1"/>
        <v>1714.918281</v>
      </c>
      <c r="C331" s="344">
        <v>120.0</v>
      </c>
      <c r="D331" s="369"/>
      <c r="E331" s="344" t="str">
        <f t="shared" si="2"/>
        <v>Saturday</v>
      </c>
      <c r="F331" s="344" t="s">
        <v>554</v>
      </c>
      <c r="G331" s="370"/>
      <c r="H331" s="370"/>
      <c r="I331" s="357">
        <f t="shared" si="3"/>
        <v>0</v>
      </c>
      <c r="J331" s="346">
        <f t="shared" si="4"/>
        <v>0</v>
      </c>
      <c r="K331" s="312"/>
      <c r="L331" s="312"/>
      <c r="M331" s="312"/>
      <c r="N331" s="362"/>
      <c r="O331" s="312"/>
      <c r="P331" s="312"/>
      <c r="S331" s="2">
        <f t="shared" si="5"/>
        <v>0</v>
      </c>
      <c r="AA331" s="312"/>
      <c r="AB331" s="312"/>
      <c r="AC331" s="312"/>
      <c r="AD331" s="312"/>
    </row>
    <row r="332">
      <c r="A332" s="312"/>
      <c r="B332" s="344">
        <f t="shared" si="1"/>
        <v>1714.918281</v>
      </c>
      <c r="C332" s="344">
        <v>120.0</v>
      </c>
      <c r="D332" s="369"/>
      <c r="E332" s="344" t="str">
        <f t="shared" si="2"/>
        <v>Saturday</v>
      </c>
      <c r="F332" s="344" t="s">
        <v>554</v>
      </c>
      <c r="G332" s="370"/>
      <c r="H332" s="370"/>
      <c r="I332" s="357">
        <f t="shared" si="3"/>
        <v>0</v>
      </c>
      <c r="J332" s="346">
        <f t="shared" si="4"/>
        <v>0</v>
      </c>
      <c r="K332" s="312"/>
      <c r="L332" s="312"/>
      <c r="M332" s="312"/>
      <c r="N332" s="362"/>
      <c r="O332" s="312"/>
      <c r="P332" s="312"/>
      <c r="S332" s="2">
        <f t="shared" si="5"/>
        <v>0</v>
      </c>
      <c r="AA332" s="312"/>
      <c r="AB332" s="312"/>
      <c r="AC332" s="312"/>
      <c r="AD332" s="312"/>
    </row>
    <row r="333">
      <c r="A333" s="312"/>
      <c r="B333" s="344">
        <f t="shared" si="1"/>
        <v>1714.918281</v>
      </c>
      <c r="C333" s="344">
        <v>120.0</v>
      </c>
      <c r="D333" s="369"/>
      <c r="E333" s="344" t="str">
        <f t="shared" si="2"/>
        <v>Saturday</v>
      </c>
      <c r="F333" s="344" t="s">
        <v>554</v>
      </c>
      <c r="G333" s="370"/>
      <c r="H333" s="370"/>
      <c r="I333" s="357">
        <f t="shared" si="3"/>
        <v>0</v>
      </c>
      <c r="J333" s="346">
        <f t="shared" si="4"/>
        <v>0</v>
      </c>
      <c r="K333" s="312"/>
      <c r="L333" s="312"/>
      <c r="M333" s="312"/>
      <c r="N333" s="362"/>
      <c r="O333" s="312"/>
      <c r="P333" s="312"/>
      <c r="S333" s="2">
        <f t="shared" si="5"/>
        <v>0</v>
      </c>
      <c r="AA333" s="312"/>
      <c r="AB333" s="312"/>
      <c r="AC333" s="312"/>
      <c r="AD333" s="312"/>
    </row>
    <row r="334">
      <c r="A334" s="312"/>
      <c r="B334" s="344">
        <f t="shared" si="1"/>
        <v>1714.918281</v>
      </c>
      <c r="C334" s="344">
        <v>120.0</v>
      </c>
      <c r="D334" s="369"/>
      <c r="E334" s="344" t="str">
        <f t="shared" si="2"/>
        <v>Saturday</v>
      </c>
      <c r="F334" s="344" t="s">
        <v>554</v>
      </c>
      <c r="G334" s="370"/>
      <c r="H334" s="370"/>
      <c r="I334" s="357">
        <f t="shared" si="3"/>
        <v>0</v>
      </c>
      <c r="J334" s="346">
        <f t="shared" si="4"/>
        <v>0</v>
      </c>
      <c r="K334" s="312"/>
      <c r="L334" s="312"/>
      <c r="M334" s="312"/>
      <c r="N334" s="362"/>
      <c r="O334" s="312"/>
      <c r="P334" s="312"/>
      <c r="S334" s="2">
        <f t="shared" si="5"/>
        <v>0</v>
      </c>
      <c r="AA334" s="312"/>
      <c r="AB334" s="312"/>
      <c r="AC334" s="312"/>
      <c r="AD334" s="312"/>
    </row>
    <row r="335">
      <c r="A335" s="312"/>
      <c r="B335" s="344">
        <f t="shared" si="1"/>
        <v>1714.918281</v>
      </c>
      <c r="C335" s="344">
        <v>120.0</v>
      </c>
      <c r="D335" s="369"/>
      <c r="E335" s="344" t="str">
        <f t="shared" si="2"/>
        <v>Saturday</v>
      </c>
      <c r="F335" s="344" t="s">
        <v>554</v>
      </c>
      <c r="G335" s="370"/>
      <c r="H335" s="370"/>
      <c r="I335" s="357">
        <f t="shared" si="3"/>
        <v>0</v>
      </c>
      <c r="J335" s="346">
        <f t="shared" si="4"/>
        <v>0</v>
      </c>
      <c r="K335" s="312"/>
      <c r="L335" s="312"/>
      <c r="M335" s="312"/>
      <c r="N335" s="362"/>
      <c r="O335" s="312"/>
      <c r="P335" s="312"/>
      <c r="S335" s="2">
        <f t="shared" si="5"/>
        <v>0</v>
      </c>
      <c r="AA335" s="312"/>
      <c r="AB335" s="312"/>
      <c r="AC335" s="312"/>
      <c r="AD335" s="312"/>
    </row>
    <row r="336">
      <c r="A336" s="312"/>
      <c r="B336" s="344">
        <f t="shared" si="1"/>
        <v>1714.918281</v>
      </c>
      <c r="C336" s="344">
        <v>120.0</v>
      </c>
      <c r="D336" s="369"/>
      <c r="E336" s="344" t="str">
        <f t="shared" si="2"/>
        <v>Saturday</v>
      </c>
      <c r="F336" s="344" t="s">
        <v>554</v>
      </c>
      <c r="G336" s="370"/>
      <c r="H336" s="370"/>
      <c r="I336" s="357">
        <f t="shared" si="3"/>
        <v>0</v>
      </c>
      <c r="J336" s="346">
        <f t="shared" si="4"/>
        <v>0</v>
      </c>
      <c r="K336" s="312"/>
      <c r="L336" s="312"/>
      <c r="M336" s="312"/>
      <c r="N336" s="362"/>
      <c r="O336" s="312"/>
      <c r="P336" s="312"/>
      <c r="S336" s="2">
        <f t="shared" si="5"/>
        <v>0</v>
      </c>
      <c r="AA336" s="312"/>
      <c r="AB336" s="312"/>
      <c r="AC336" s="312"/>
      <c r="AD336" s="312"/>
    </row>
    <row r="337">
      <c r="A337" s="312"/>
      <c r="B337" s="344">
        <f t="shared" si="1"/>
        <v>1714.918281</v>
      </c>
      <c r="C337" s="344">
        <v>120.0</v>
      </c>
      <c r="D337" s="369"/>
      <c r="E337" s="344" t="str">
        <f t="shared" si="2"/>
        <v>Saturday</v>
      </c>
      <c r="F337" s="344" t="s">
        <v>554</v>
      </c>
      <c r="G337" s="370"/>
      <c r="H337" s="370"/>
      <c r="I337" s="357">
        <f t="shared" si="3"/>
        <v>0</v>
      </c>
      <c r="J337" s="346">
        <f t="shared" si="4"/>
        <v>0</v>
      </c>
      <c r="K337" s="312"/>
      <c r="L337" s="312"/>
      <c r="M337" s="312"/>
      <c r="N337" s="362"/>
      <c r="O337" s="312"/>
      <c r="P337" s="312"/>
      <c r="S337" s="2">
        <f t="shared" si="5"/>
        <v>0</v>
      </c>
      <c r="AA337" s="312"/>
      <c r="AB337" s="312"/>
      <c r="AC337" s="312"/>
      <c r="AD337" s="312"/>
    </row>
    <row r="338">
      <c r="A338" s="312"/>
      <c r="B338" s="344">
        <f t="shared" si="1"/>
        <v>1714.918281</v>
      </c>
      <c r="C338" s="344">
        <v>120.0</v>
      </c>
      <c r="D338" s="369"/>
      <c r="E338" s="344" t="str">
        <f t="shared" si="2"/>
        <v>Saturday</v>
      </c>
      <c r="F338" s="344" t="s">
        <v>554</v>
      </c>
      <c r="G338" s="370"/>
      <c r="H338" s="370"/>
      <c r="I338" s="357">
        <f t="shared" si="3"/>
        <v>0</v>
      </c>
      <c r="J338" s="346">
        <f t="shared" si="4"/>
        <v>0</v>
      </c>
      <c r="K338" s="312"/>
      <c r="L338" s="312"/>
      <c r="M338" s="312"/>
      <c r="N338" s="362"/>
      <c r="O338" s="312"/>
      <c r="P338" s="312"/>
      <c r="S338" s="2">
        <f t="shared" si="5"/>
        <v>0</v>
      </c>
      <c r="AA338" s="312"/>
      <c r="AB338" s="312"/>
      <c r="AC338" s="312"/>
      <c r="AD338" s="312"/>
    </row>
    <row r="339">
      <c r="A339" s="312"/>
      <c r="B339" s="344">
        <f t="shared" si="1"/>
        <v>1714.918281</v>
      </c>
      <c r="C339" s="344">
        <v>120.0</v>
      </c>
      <c r="D339" s="369"/>
      <c r="E339" s="344" t="str">
        <f t="shared" si="2"/>
        <v>Saturday</v>
      </c>
      <c r="F339" s="344" t="s">
        <v>554</v>
      </c>
      <c r="G339" s="370"/>
      <c r="H339" s="370"/>
      <c r="I339" s="357">
        <f t="shared" si="3"/>
        <v>0</v>
      </c>
      <c r="J339" s="346">
        <f t="shared" si="4"/>
        <v>0</v>
      </c>
      <c r="K339" s="312"/>
      <c r="L339" s="312"/>
      <c r="M339" s="312"/>
      <c r="N339" s="362"/>
      <c r="O339" s="312"/>
      <c r="P339" s="312"/>
      <c r="S339" s="2">
        <f t="shared" si="5"/>
        <v>0</v>
      </c>
      <c r="AA339" s="312"/>
      <c r="AB339" s="312"/>
      <c r="AC339" s="312"/>
      <c r="AD339" s="312"/>
    </row>
    <row r="340">
      <c r="A340" s="312"/>
      <c r="B340" s="344">
        <f t="shared" si="1"/>
        <v>1714.918281</v>
      </c>
      <c r="C340" s="344">
        <v>120.0</v>
      </c>
      <c r="D340" s="369"/>
      <c r="E340" s="344" t="str">
        <f t="shared" si="2"/>
        <v>Saturday</v>
      </c>
      <c r="F340" s="344" t="s">
        <v>554</v>
      </c>
      <c r="G340" s="370"/>
      <c r="H340" s="370"/>
      <c r="I340" s="357">
        <f t="shared" si="3"/>
        <v>0</v>
      </c>
      <c r="J340" s="346">
        <f t="shared" si="4"/>
        <v>0</v>
      </c>
      <c r="K340" s="312"/>
      <c r="L340" s="312"/>
      <c r="M340" s="312"/>
      <c r="N340" s="362"/>
      <c r="O340" s="312"/>
      <c r="P340" s="312"/>
      <c r="S340" s="2">
        <f t="shared" si="5"/>
        <v>0</v>
      </c>
      <c r="AA340" s="312"/>
      <c r="AB340" s="312"/>
      <c r="AC340" s="312"/>
      <c r="AD340" s="312"/>
    </row>
    <row r="341">
      <c r="A341" s="312"/>
      <c r="B341" s="344">
        <f t="shared" si="1"/>
        <v>1714.918281</v>
      </c>
      <c r="C341" s="344">
        <v>120.0</v>
      </c>
      <c r="D341" s="369"/>
      <c r="E341" s="344" t="str">
        <f t="shared" si="2"/>
        <v>Saturday</v>
      </c>
      <c r="F341" s="344" t="s">
        <v>554</v>
      </c>
      <c r="G341" s="370"/>
      <c r="H341" s="370"/>
      <c r="I341" s="357">
        <f t="shared" si="3"/>
        <v>0</v>
      </c>
      <c r="J341" s="346">
        <f t="shared" si="4"/>
        <v>0</v>
      </c>
      <c r="K341" s="312"/>
      <c r="L341" s="312"/>
      <c r="M341" s="312"/>
      <c r="N341" s="362"/>
      <c r="O341" s="312"/>
      <c r="P341" s="312"/>
      <c r="S341" s="2">
        <f t="shared" si="5"/>
        <v>0</v>
      </c>
      <c r="AA341" s="312"/>
      <c r="AB341" s="312"/>
      <c r="AC341" s="312"/>
      <c r="AD341" s="312"/>
    </row>
    <row r="342">
      <c r="A342" s="312"/>
      <c r="B342" s="344">
        <f t="shared" si="1"/>
        <v>1714.918281</v>
      </c>
      <c r="C342" s="344">
        <v>120.0</v>
      </c>
      <c r="D342" s="369"/>
      <c r="E342" s="344" t="str">
        <f t="shared" si="2"/>
        <v>Saturday</v>
      </c>
      <c r="F342" s="344" t="s">
        <v>554</v>
      </c>
      <c r="G342" s="370"/>
      <c r="H342" s="370"/>
      <c r="I342" s="357">
        <f t="shared" si="3"/>
        <v>0</v>
      </c>
      <c r="J342" s="346">
        <f t="shared" si="4"/>
        <v>0</v>
      </c>
      <c r="K342" s="312"/>
      <c r="L342" s="312"/>
      <c r="M342" s="312"/>
      <c r="N342" s="362"/>
      <c r="O342" s="312"/>
      <c r="P342" s="312"/>
      <c r="S342" s="2">
        <f t="shared" si="5"/>
        <v>0</v>
      </c>
      <c r="AA342" s="312"/>
      <c r="AB342" s="312"/>
      <c r="AC342" s="312"/>
      <c r="AD342" s="312"/>
    </row>
    <row r="343">
      <c r="A343" s="312"/>
      <c r="B343" s="344">
        <f t="shared" si="1"/>
        <v>1714.918281</v>
      </c>
      <c r="C343" s="344">
        <v>120.0</v>
      </c>
      <c r="D343" s="369"/>
      <c r="E343" s="344" t="str">
        <f t="shared" si="2"/>
        <v>Saturday</v>
      </c>
      <c r="F343" s="344" t="s">
        <v>554</v>
      </c>
      <c r="G343" s="370"/>
      <c r="H343" s="370"/>
      <c r="I343" s="357">
        <f t="shared" si="3"/>
        <v>0</v>
      </c>
      <c r="J343" s="346">
        <f t="shared" si="4"/>
        <v>0</v>
      </c>
      <c r="K343" s="312"/>
      <c r="L343" s="312"/>
      <c r="M343" s="312"/>
      <c r="N343" s="362"/>
      <c r="O343" s="312"/>
      <c r="P343" s="312"/>
      <c r="S343" s="2">
        <f t="shared" si="5"/>
        <v>0</v>
      </c>
      <c r="AA343" s="312"/>
      <c r="AB343" s="312"/>
      <c r="AC343" s="312"/>
      <c r="AD343" s="312"/>
    </row>
    <row r="344">
      <c r="A344" s="312"/>
      <c r="B344" s="344">
        <f t="shared" si="1"/>
        <v>1714.918281</v>
      </c>
      <c r="C344" s="344">
        <v>120.0</v>
      </c>
      <c r="D344" s="369"/>
      <c r="E344" s="344" t="str">
        <f t="shared" si="2"/>
        <v>Saturday</v>
      </c>
      <c r="F344" s="344" t="s">
        <v>554</v>
      </c>
      <c r="G344" s="370"/>
      <c r="H344" s="370"/>
      <c r="I344" s="357">
        <f t="shared" si="3"/>
        <v>0</v>
      </c>
      <c r="J344" s="346">
        <f t="shared" si="4"/>
        <v>0</v>
      </c>
      <c r="K344" s="312"/>
      <c r="L344" s="312"/>
      <c r="M344" s="312"/>
      <c r="N344" s="362"/>
      <c r="O344" s="312"/>
      <c r="P344" s="312"/>
      <c r="S344" s="2">
        <f t="shared" si="5"/>
        <v>0</v>
      </c>
      <c r="AA344" s="312"/>
      <c r="AB344" s="312"/>
      <c r="AC344" s="312"/>
      <c r="AD344" s="312"/>
    </row>
    <row r="345">
      <c r="A345" s="312"/>
      <c r="B345" s="344">
        <f t="shared" si="1"/>
        <v>1714.918281</v>
      </c>
      <c r="C345" s="344">
        <v>120.0</v>
      </c>
      <c r="D345" s="369"/>
      <c r="E345" s="344" t="str">
        <f t="shared" si="2"/>
        <v>Saturday</v>
      </c>
      <c r="F345" s="344" t="s">
        <v>554</v>
      </c>
      <c r="G345" s="370"/>
      <c r="H345" s="370"/>
      <c r="I345" s="357">
        <f t="shared" si="3"/>
        <v>0</v>
      </c>
      <c r="J345" s="346">
        <f t="shared" si="4"/>
        <v>0</v>
      </c>
      <c r="K345" s="312"/>
      <c r="L345" s="312"/>
      <c r="M345" s="312"/>
      <c r="N345" s="362"/>
      <c r="O345" s="312"/>
      <c r="P345" s="312"/>
      <c r="S345" s="2">
        <f t="shared" si="5"/>
        <v>0</v>
      </c>
      <c r="AA345" s="312"/>
      <c r="AB345" s="312"/>
      <c r="AC345" s="312"/>
      <c r="AD345" s="312"/>
    </row>
    <row r="346">
      <c r="A346" s="312"/>
      <c r="B346" s="344">
        <f t="shared" si="1"/>
        <v>1714.918281</v>
      </c>
      <c r="C346" s="344">
        <v>120.0</v>
      </c>
      <c r="D346" s="369"/>
      <c r="E346" s="344" t="str">
        <f t="shared" si="2"/>
        <v>Saturday</v>
      </c>
      <c r="F346" s="344" t="s">
        <v>554</v>
      </c>
      <c r="G346" s="370"/>
      <c r="H346" s="370"/>
      <c r="I346" s="357">
        <f t="shared" si="3"/>
        <v>0</v>
      </c>
      <c r="J346" s="346">
        <f t="shared" si="4"/>
        <v>0</v>
      </c>
      <c r="K346" s="312"/>
      <c r="L346" s="312"/>
      <c r="M346" s="312"/>
      <c r="N346" s="362"/>
      <c r="O346" s="312"/>
      <c r="P346" s="312"/>
      <c r="S346" s="2">
        <f t="shared" si="5"/>
        <v>0</v>
      </c>
      <c r="AA346" s="312"/>
      <c r="AB346" s="312"/>
      <c r="AC346" s="312"/>
      <c r="AD346" s="312"/>
    </row>
    <row r="347">
      <c r="A347" s="312"/>
      <c r="B347" s="344">
        <f t="shared" si="1"/>
        <v>1714.918281</v>
      </c>
      <c r="C347" s="344">
        <v>120.0</v>
      </c>
      <c r="D347" s="369"/>
      <c r="E347" s="344" t="str">
        <f t="shared" si="2"/>
        <v>Saturday</v>
      </c>
      <c r="F347" s="344" t="s">
        <v>554</v>
      </c>
      <c r="G347" s="370"/>
      <c r="H347" s="370"/>
      <c r="I347" s="357">
        <f t="shared" si="3"/>
        <v>0</v>
      </c>
      <c r="J347" s="346">
        <f t="shared" si="4"/>
        <v>0</v>
      </c>
      <c r="K347" s="312"/>
      <c r="L347" s="312"/>
      <c r="M347" s="312"/>
      <c r="N347" s="362"/>
      <c r="O347" s="312"/>
      <c r="P347" s="312"/>
      <c r="S347" s="2">
        <f t="shared" si="5"/>
        <v>0</v>
      </c>
      <c r="AA347" s="312"/>
      <c r="AB347" s="312"/>
      <c r="AC347" s="312"/>
      <c r="AD347" s="312"/>
    </row>
    <row r="348">
      <c r="A348" s="312"/>
      <c r="B348" s="344">
        <f t="shared" si="1"/>
        <v>1714.918281</v>
      </c>
      <c r="C348" s="344">
        <v>120.0</v>
      </c>
      <c r="D348" s="369"/>
      <c r="E348" s="344" t="str">
        <f t="shared" si="2"/>
        <v>Saturday</v>
      </c>
      <c r="F348" s="344" t="s">
        <v>554</v>
      </c>
      <c r="G348" s="370"/>
      <c r="H348" s="370"/>
      <c r="I348" s="357">
        <f t="shared" si="3"/>
        <v>0</v>
      </c>
      <c r="J348" s="346">
        <f t="shared" si="4"/>
        <v>0</v>
      </c>
      <c r="K348" s="312"/>
      <c r="L348" s="312"/>
      <c r="M348" s="312"/>
      <c r="N348" s="362"/>
      <c r="O348" s="312"/>
      <c r="P348" s="312"/>
      <c r="S348" s="2">
        <f t="shared" si="5"/>
        <v>0</v>
      </c>
      <c r="AA348" s="312"/>
      <c r="AB348" s="312"/>
      <c r="AC348" s="312"/>
      <c r="AD348" s="312"/>
    </row>
    <row r="349">
      <c r="A349" s="312"/>
      <c r="B349" s="344">
        <f t="shared" si="1"/>
        <v>1714.918281</v>
      </c>
      <c r="C349" s="344">
        <v>120.0</v>
      </c>
      <c r="D349" s="369"/>
      <c r="E349" s="344" t="str">
        <f t="shared" si="2"/>
        <v>Saturday</v>
      </c>
      <c r="F349" s="344" t="s">
        <v>554</v>
      </c>
      <c r="G349" s="370"/>
      <c r="H349" s="370"/>
      <c r="I349" s="357">
        <f t="shared" si="3"/>
        <v>0</v>
      </c>
      <c r="J349" s="346">
        <f t="shared" si="4"/>
        <v>0</v>
      </c>
      <c r="K349" s="312"/>
      <c r="L349" s="312"/>
      <c r="M349" s="312"/>
      <c r="N349" s="362"/>
      <c r="O349" s="312"/>
      <c r="P349" s="312"/>
      <c r="S349" s="2">
        <f t="shared" si="5"/>
        <v>0</v>
      </c>
      <c r="AA349" s="312"/>
      <c r="AB349" s="312"/>
      <c r="AC349" s="312"/>
      <c r="AD349" s="312"/>
    </row>
    <row r="350">
      <c r="A350" s="312"/>
      <c r="B350" s="344">
        <f t="shared" si="1"/>
        <v>1714.918281</v>
      </c>
      <c r="C350" s="344">
        <v>120.0</v>
      </c>
      <c r="D350" s="369"/>
      <c r="E350" s="344" t="str">
        <f t="shared" si="2"/>
        <v>Saturday</v>
      </c>
      <c r="F350" s="344" t="s">
        <v>554</v>
      </c>
      <c r="G350" s="370"/>
      <c r="H350" s="370"/>
      <c r="I350" s="357">
        <f t="shared" si="3"/>
        <v>0</v>
      </c>
      <c r="J350" s="346">
        <f t="shared" si="4"/>
        <v>0</v>
      </c>
      <c r="K350" s="312"/>
      <c r="L350" s="312"/>
      <c r="M350" s="312"/>
      <c r="N350" s="362"/>
      <c r="O350" s="312"/>
      <c r="P350" s="312"/>
      <c r="S350" s="2">
        <f t="shared" si="5"/>
        <v>0</v>
      </c>
      <c r="AA350" s="312"/>
      <c r="AB350" s="312"/>
      <c r="AC350" s="312"/>
      <c r="AD350" s="312"/>
    </row>
    <row r="351">
      <c r="A351" s="312"/>
      <c r="B351" s="344">
        <f t="shared" si="1"/>
        <v>1714.918281</v>
      </c>
      <c r="C351" s="344">
        <v>120.0</v>
      </c>
      <c r="D351" s="369"/>
      <c r="E351" s="344" t="str">
        <f t="shared" si="2"/>
        <v>Saturday</v>
      </c>
      <c r="F351" s="344" t="s">
        <v>554</v>
      </c>
      <c r="G351" s="370"/>
      <c r="H351" s="370"/>
      <c r="I351" s="357">
        <f t="shared" si="3"/>
        <v>0</v>
      </c>
      <c r="J351" s="346">
        <f t="shared" si="4"/>
        <v>0</v>
      </c>
      <c r="K351" s="312"/>
      <c r="L351" s="312"/>
      <c r="M351" s="312"/>
      <c r="N351" s="362"/>
      <c r="O351" s="312"/>
      <c r="P351" s="312"/>
      <c r="S351" s="2">
        <f t="shared" si="5"/>
        <v>0</v>
      </c>
      <c r="AA351" s="312"/>
      <c r="AB351" s="312"/>
      <c r="AC351" s="312"/>
      <c r="AD351" s="312"/>
    </row>
    <row r="352">
      <c r="A352" s="312"/>
      <c r="B352" s="344">
        <f t="shared" si="1"/>
        <v>1714.918281</v>
      </c>
      <c r="C352" s="344">
        <v>120.0</v>
      </c>
      <c r="D352" s="369"/>
      <c r="E352" s="344" t="str">
        <f t="shared" si="2"/>
        <v>Saturday</v>
      </c>
      <c r="F352" s="344" t="s">
        <v>554</v>
      </c>
      <c r="G352" s="370"/>
      <c r="H352" s="370"/>
      <c r="I352" s="357">
        <f t="shared" si="3"/>
        <v>0</v>
      </c>
      <c r="J352" s="346">
        <f t="shared" si="4"/>
        <v>0</v>
      </c>
      <c r="K352" s="312"/>
      <c r="L352" s="312"/>
      <c r="M352" s="312"/>
      <c r="N352" s="362"/>
      <c r="O352" s="312"/>
      <c r="P352" s="312"/>
      <c r="S352" s="2">
        <f t="shared" si="5"/>
        <v>0</v>
      </c>
      <c r="AA352" s="312"/>
      <c r="AB352" s="312"/>
      <c r="AC352" s="312"/>
      <c r="AD352" s="312"/>
    </row>
    <row r="353">
      <c r="A353" s="312"/>
      <c r="B353" s="344">
        <f t="shared" si="1"/>
        <v>1714.918281</v>
      </c>
      <c r="C353" s="344">
        <v>120.0</v>
      </c>
      <c r="D353" s="369"/>
      <c r="E353" s="344" t="str">
        <f t="shared" si="2"/>
        <v>Saturday</v>
      </c>
      <c r="F353" s="344" t="s">
        <v>554</v>
      </c>
      <c r="G353" s="370"/>
      <c r="H353" s="370"/>
      <c r="I353" s="357">
        <f t="shared" si="3"/>
        <v>0</v>
      </c>
      <c r="J353" s="346">
        <f t="shared" si="4"/>
        <v>0</v>
      </c>
      <c r="K353" s="312"/>
      <c r="L353" s="312"/>
      <c r="M353" s="312"/>
      <c r="N353" s="362"/>
      <c r="O353" s="312"/>
      <c r="P353" s="312"/>
      <c r="S353" s="2">
        <f t="shared" si="5"/>
        <v>0</v>
      </c>
      <c r="AA353" s="312"/>
      <c r="AB353" s="312"/>
      <c r="AC353" s="312"/>
      <c r="AD353" s="312"/>
    </row>
    <row r="354">
      <c r="A354" s="312"/>
      <c r="B354" s="344">
        <f t="shared" si="1"/>
        <v>1714.918281</v>
      </c>
      <c r="C354" s="344">
        <v>120.0</v>
      </c>
      <c r="D354" s="369"/>
      <c r="E354" s="344" t="str">
        <f t="shared" si="2"/>
        <v>Saturday</v>
      </c>
      <c r="F354" s="344" t="s">
        <v>554</v>
      </c>
      <c r="G354" s="370"/>
      <c r="H354" s="370"/>
      <c r="I354" s="357">
        <f t="shared" si="3"/>
        <v>0</v>
      </c>
      <c r="J354" s="346">
        <f t="shared" si="4"/>
        <v>0</v>
      </c>
      <c r="K354" s="312"/>
      <c r="L354" s="312"/>
      <c r="M354" s="312"/>
      <c r="N354" s="362"/>
      <c r="O354" s="312"/>
      <c r="P354" s="312"/>
      <c r="S354" s="2">
        <f t="shared" si="5"/>
        <v>0</v>
      </c>
      <c r="AA354" s="312"/>
      <c r="AB354" s="312"/>
      <c r="AC354" s="312"/>
      <c r="AD354" s="312"/>
    </row>
    <row r="355">
      <c r="A355" s="312"/>
      <c r="B355" s="344">
        <f t="shared" si="1"/>
        <v>1714.918281</v>
      </c>
      <c r="C355" s="344">
        <v>120.0</v>
      </c>
      <c r="D355" s="369"/>
      <c r="E355" s="344" t="str">
        <f t="shared" si="2"/>
        <v>Saturday</v>
      </c>
      <c r="F355" s="344" t="s">
        <v>554</v>
      </c>
      <c r="G355" s="370"/>
      <c r="H355" s="370"/>
      <c r="I355" s="357">
        <f t="shared" si="3"/>
        <v>0</v>
      </c>
      <c r="J355" s="346">
        <f t="shared" si="4"/>
        <v>0</v>
      </c>
      <c r="K355" s="312"/>
      <c r="L355" s="312"/>
      <c r="M355" s="312"/>
      <c r="N355" s="362"/>
      <c r="O355" s="312"/>
      <c r="P355" s="312"/>
      <c r="S355" s="2">
        <f t="shared" si="5"/>
        <v>0</v>
      </c>
      <c r="AA355" s="312"/>
      <c r="AB355" s="312"/>
      <c r="AC355" s="312"/>
      <c r="AD355" s="312"/>
    </row>
    <row r="356">
      <c r="A356" s="312"/>
      <c r="B356" s="344">
        <f t="shared" si="1"/>
        <v>1714.918281</v>
      </c>
      <c r="C356" s="344">
        <v>120.0</v>
      </c>
      <c r="D356" s="369"/>
      <c r="E356" s="344" t="str">
        <f t="shared" si="2"/>
        <v>Saturday</v>
      </c>
      <c r="F356" s="344" t="s">
        <v>554</v>
      </c>
      <c r="G356" s="370"/>
      <c r="H356" s="370"/>
      <c r="I356" s="357">
        <f t="shared" si="3"/>
        <v>0</v>
      </c>
      <c r="J356" s="346">
        <f t="shared" si="4"/>
        <v>0</v>
      </c>
      <c r="K356" s="312"/>
      <c r="L356" s="312"/>
      <c r="M356" s="312"/>
      <c r="N356" s="362"/>
      <c r="O356" s="312"/>
      <c r="P356" s="312"/>
      <c r="S356" s="2">
        <f t="shared" si="5"/>
        <v>0</v>
      </c>
      <c r="AA356" s="312"/>
      <c r="AB356" s="312"/>
      <c r="AC356" s="312"/>
      <c r="AD356" s="312"/>
    </row>
    <row r="357">
      <c r="A357" s="312"/>
      <c r="B357" s="344">
        <f t="shared" si="1"/>
        <v>1714.918281</v>
      </c>
      <c r="C357" s="344">
        <v>120.0</v>
      </c>
      <c r="D357" s="369"/>
      <c r="E357" s="344" t="str">
        <f t="shared" si="2"/>
        <v>Saturday</v>
      </c>
      <c r="F357" s="344" t="s">
        <v>554</v>
      </c>
      <c r="G357" s="370"/>
      <c r="H357" s="370"/>
      <c r="I357" s="357">
        <f t="shared" si="3"/>
        <v>0</v>
      </c>
      <c r="J357" s="346">
        <f t="shared" si="4"/>
        <v>0</v>
      </c>
      <c r="K357" s="312"/>
      <c r="L357" s="312"/>
      <c r="M357" s="312"/>
      <c r="N357" s="362"/>
      <c r="O357" s="312"/>
      <c r="P357" s="312"/>
      <c r="S357" s="2">
        <f t="shared" si="5"/>
        <v>0</v>
      </c>
      <c r="AA357" s="312"/>
      <c r="AB357" s="312"/>
      <c r="AC357" s="312"/>
      <c r="AD357" s="312"/>
    </row>
    <row r="358">
      <c r="A358" s="312"/>
      <c r="B358" s="344">
        <f t="shared" si="1"/>
        <v>1714.918281</v>
      </c>
      <c r="C358" s="344">
        <v>120.0</v>
      </c>
      <c r="D358" s="369"/>
      <c r="E358" s="344" t="str">
        <f t="shared" si="2"/>
        <v>Saturday</v>
      </c>
      <c r="F358" s="344" t="s">
        <v>554</v>
      </c>
      <c r="G358" s="370"/>
      <c r="H358" s="370"/>
      <c r="I358" s="357">
        <f t="shared" si="3"/>
        <v>0</v>
      </c>
      <c r="J358" s="346">
        <f t="shared" si="4"/>
        <v>0</v>
      </c>
      <c r="K358" s="312"/>
      <c r="L358" s="312"/>
      <c r="M358" s="312"/>
      <c r="N358" s="362"/>
      <c r="O358" s="312"/>
      <c r="P358" s="312"/>
      <c r="S358" s="2">
        <f t="shared" si="5"/>
        <v>0</v>
      </c>
      <c r="AA358" s="312"/>
      <c r="AB358" s="312"/>
      <c r="AC358" s="312"/>
      <c r="AD358" s="312"/>
    </row>
    <row r="359">
      <c r="A359" s="312"/>
      <c r="B359" s="344">
        <f t="shared" si="1"/>
        <v>1714.918281</v>
      </c>
      <c r="C359" s="344">
        <v>120.0</v>
      </c>
      <c r="D359" s="369"/>
      <c r="E359" s="344" t="str">
        <f t="shared" si="2"/>
        <v>Saturday</v>
      </c>
      <c r="F359" s="344" t="s">
        <v>554</v>
      </c>
      <c r="G359" s="370"/>
      <c r="H359" s="370"/>
      <c r="I359" s="357">
        <f t="shared" si="3"/>
        <v>0</v>
      </c>
      <c r="J359" s="346">
        <f t="shared" si="4"/>
        <v>0</v>
      </c>
      <c r="K359" s="312"/>
      <c r="L359" s="312"/>
      <c r="M359" s="312"/>
      <c r="N359" s="362"/>
      <c r="O359" s="312"/>
      <c r="P359" s="312"/>
      <c r="S359" s="2">
        <f t="shared" si="5"/>
        <v>0</v>
      </c>
      <c r="AA359" s="312"/>
      <c r="AB359" s="312"/>
      <c r="AC359" s="312"/>
      <c r="AD359" s="312"/>
    </row>
    <row r="360">
      <c r="A360" s="312"/>
      <c r="B360" s="344">
        <f t="shared" si="1"/>
        <v>1714.918281</v>
      </c>
      <c r="C360" s="344">
        <v>120.0</v>
      </c>
      <c r="D360" s="369"/>
      <c r="E360" s="344" t="str">
        <f t="shared" si="2"/>
        <v>Saturday</v>
      </c>
      <c r="F360" s="344" t="s">
        <v>554</v>
      </c>
      <c r="G360" s="370"/>
      <c r="H360" s="370"/>
      <c r="I360" s="357">
        <f t="shared" si="3"/>
        <v>0</v>
      </c>
      <c r="J360" s="346">
        <f t="shared" si="4"/>
        <v>0</v>
      </c>
      <c r="K360" s="312"/>
      <c r="L360" s="312"/>
      <c r="M360" s="312"/>
      <c r="N360" s="362"/>
      <c r="O360" s="312"/>
      <c r="P360" s="312"/>
      <c r="S360" s="2">
        <f t="shared" si="5"/>
        <v>0</v>
      </c>
      <c r="AA360" s="312"/>
      <c r="AB360" s="312"/>
      <c r="AC360" s="312"/>
      <c r="AD360" s="312"/>
    </row>
    <row r="361">
      <c r="A361" s="312"/>
      <c r="B361" s="344">
        <f t="shared" si="1"/>
        <v>1714.918281</v>
      </c>
      <c r="C361" s="344">
        <v>120.0</v>
      </c>
      <c r="D361" s="369"/>
      <c r="E361" s="344" t="str">
        <f t="shared" si="2"/>
        <v>Saturday</v>
      </c>
      <c r="F361" s="344" t="s">
        <v>554</v>
      </c>
      <c r="G361" s="370"/>
      <c r="H361" s="370"/>
      <c r="I361" s="357">
        <f t="shared" si="3"/>
        <v>0</v>
      </c>
      <c r="J361" s="346">
        <f t="shared" si="4"/>
        <v>0</v>
      </c>
      <c r="K361" s="312"/>
      <c r="L361" s="312"/>
      <c r="M361" s="312"/>
      <c r="N361" s="362"/>
      <c r="O361" s="312"/>
      <c r="P361" s="312"/>
      <c r="S361" s="2">
        <f t="shared" si="5"/>
        <v>0</v>
      </c>
      <c r="AA361" s="312"/>
      <c r="AB361" s="312"/>
      <c r="AC361" s="312"/>
      <c r="AD361" s="312"/>
    </row>
    <row r="362">
      <c r="A362" s="312"/>
      <c r="B362" s="344">
        <f t="shared" si="1"/>
        <v>1714.918281</v>
      </c>
      <c r="C362" s="344">
        <v>120.0</v>
      </c>
      <c r="D362" s="369"/>
      <c r="E362" s="344" t="str">
        <f t="shared" si="2"/>
        <v>Saturday</v>
      </c>
      <c r="F362" s="344" t="s">
        <v>554</v>
      </c>
      <c r="G362" s="370"/>
      <c r="H362" s="370"/>
      <c r="I362" s="357">
        <f t="shared" si="3"/>
        <v>0</v>
      </c>
      <c r="J362" s="346">
        <f t="shared" si="4"/>
        <v>0</v>
      </c>
      <c r="K362" s="312"/>
      <c r="L362" s="312"/>
      <c r="M362" s="312"/>
      <c r="N362" s="362"/>
      <c r="O362" s="312"/>
      <c r="P362" s="312"/>
      <c r="S362" s="2">
        <f t="shared" si="5"/>
        <v>0</v>
      </c>
      <c r="AA362" s="312"/>
      <c r="AB362" s="312"/>
      <c r="AC362" s="312"/>
      <c r="AD362" s="312"/>
    </row>
    <row r="363">
      <c r="A363" s="312"/>
      <c r="B363" s="344">
        <f t="shared" si="1"/>
        <v>1714.918281</v>
      </c>
      <c r="C363" s="344">
        <v>120.0</v>
      </c>
      <c r="D363" s="369"/>
      <c r="E363" s="344" t="str">
        <f t="shared" si="2"/>
        <v>Saturday</v>
      </c>
      <c r="F363" s="344" t="s">
        <v>554</v>
      </c>
      <c r="G363" s="370"/>
      <c r="H363" s="370"/>
      <c r="I363" s="357">
        <f t="shared" si="3"/>
        <v>0</v>
      </c>
      <c r="J363" s="346">
        <f t="shared" si="4"/>
        <v>0</v>
      </c>
      <c r="K363" s="312"/>
      <c r="L363" s="312"/>
      <c r="M363" s="312"/>
      <c r="N363" s="362"/>
      <c r="O363" s="312"/>
      <c r="P363" s="312"/>
      <c r="S363" s="2">
        <f t="shared" si="5"/>
        <v>0</v>
      </c>
      <c r="AA363" s="312"/>
      <c r="AB363" s="312"/>
      <c r="AC363" s="312"/>
      <c r="AD363" s="312"/>
    </row>
    <row r="364">
      <c r="A364" s="312"/>
      <c r="B364" s="344">
        <f t="shared" si="1"/>
        <v>1714.918281</v>
      </c>
      <c r="C364" s="344">
        <v>120.0</v>
      </c>
      <c r="D364" s="369"/>
      <c r="E364" s="344" t="str">
        <f t="shared" si="2"/>
        <v>Saturday</v>
      </c>
      <c r="F364" s="344" t="s">
        <v>554</v>
      </c>
      <c r="G364" s="370"/>
      <c r="H364" s="370"/>
      <c r="I364" s="357">
        <f t="shared" si="3"/>
        <v>0</v>
      </c>
      <c r="J364" s="346">
        <f t="shared" si="4"/>
        <v>0</v>
      </c>
      <c r="K364" s="312"/>
      <c r="L364" s="312"/>
      <c r="M364" s="312"/>
      <c r="N364" s="362"/>
      <c r="O364" s="312"/>
      <c r="P364" s="312"/>
      <c r="S364" s="2">
        <f t="shared" si="5"/>
        <v>0</v>
      </c>
      <c r="AA364" s="312"/>
      <c r="AB364" s="312"/>
      <c r="AC364" s="312"/>
      <c r="AD364" s="312"/>
    </row>
    <row r="365">
      <c r="A365" s="312"/>
      <c r="B365" s="344">
        <f t="shared" si="1"/>
        <v>1714.918281</v>
      </c>
      <c r="C365" s="344">
        <v>120.0</v>
      </c>
      <c r="D365" s="369"/>
      <c r="E365" s="344" t="str">
        <f t="shared" si="2"/>
        <v>Saturday</v>
      </c>
      <c r="F365" s="344" t="s">
        <v>554</v>
      </c>
      <c r="G365" s="370"/>
      <c r="H365" s="370"/>
      <c r="I365" s="357">
        <f t="shared" si="3"/>
        <v>0</v>
      </c>
      <c r="J365" s="346">
        <f t="shared" si="4"/>
        <v>0</v>
      </c>
      <c r="K365" s="312"/>
      <c r="L365" s="312"/>
      <c r="M365" s="312"/>
      <c r="N365" s="362"/>
      <c r="O365" s="312"/>
      <c r="P365" s="312"/>
      <c r="S365" s="2">
        <f t="shared" si="5"/>
        <v>0</v>
      </c>
      <c r="AA365" s="312"/>
      <c r="AB365" s="312"/>
      <c r="AC365" s="312"/>
      <c r="AD365" s="312"/>
    </row>
    <row r="366">
      <c r="A366" s="312"/>
      <c r="B366" s="344">
        <f t="shared" si="1"/>
        <v>1714.918281</v>
      </c>
      <c r="C366" s="344">
        <v>120.0</v>
      </c>
      <c r="D366" s="369"/>
      <c r="E366" s="344" t="str">
        <f t="shared" si="2"/>
        <v>Saturday</v>
      </c>
      <c r="F366" s="344" t="s">
        <v>554</v>
      </c>
      <c r="G366" s="370"/>
      <c r="H366" s="370"/>
      <c r="I366" s="357">
        <f t="shared" si="3"/>
        <v>0</v>
      </c>
      <c r="J366" s="346">
        <f t="shared" si="4"/>
        <v>0</v>
      </c>
      <c r="K366" s="312"/>
      <c r="L366" s="312"/>
      <c r="M366" s="312"/>
      <c r="N366" s="362"/>
      <c r="O366" s="312"/>
      <c r="P366" s="312"/>
      <c r="S366" s="2">
        <f t="shared" si="5"/>
        <v>0</v>
      </c>
      <c r="AA366" s="312"/>
      <c r="AB366" s="312"/>
      <c r="AC366" s="312"/>
      <c r="AD366" s="312"/>
    </row>
    <row r="367">
      <c r="A367" s="312"/>
      <c r="B367" s="344">
        <f t="shared" si="1"/>
        <v>1714.918281</v>
      </c>
      <c r="C367" s="344">
        <v>120.0</v>
      </c>
      <c r="D367" s="369"/>
      <c r="E367" s="344" t="str">
        <f t="shared" si="2"/>
        <v>Saturday</v>
      </c>
      <c r="F367" s="344" t="s">
        <v>554</v>
      </c>
      <c r="G367" s="370"/>
      <c r="H367" s="370"/>
      <c r="I367" s="357">
        <f t="shared" si="3"/>
        <v>0</v>
      </c>
      <c r="J367" s="346">
        <f t="shared" si="4"/>
        <v>0</v>
      </c>
      <c r="K367" s="312"/>
      <c r="L367" s="312"/>
      <c r="M367" s="312"/>
      <c r="N367" s="362"/>
      <c r="O367" s="312"/>
      <c r="P367" s="312"/>
      <c r="S367" s="2">
        <f t="shared" si="5"/>
        <v>0</v>
      </c>
      <c r="AA367" s="312"/>
      <c r="AB367" s="312"/>
      <c r="AC367" s="312"/>
      <c r="AD367" s="312"/>
    </row>
    <row r="368">
      <c r="A368" s="312"/>
      <c r="B368" s="344">
        <f t="shared" si="1"/>
        <v>1714.918281</v>
      </c>
      <c r="C368" s="344">
        <v>120.0</v>
      </c>
      <c r="D368" s="369"/>
      <c r="E368" s="344" t="str">
        <f t="shared" si="2"/>
        <v>Saturday</v>
      </c>
      <c r="F368" s="344" t="s">
        <v>554</v>
      </c>
      <c r="G368" s="370"/>
      <c r="H368" s="370"/>
      <c r="I368" s="357">
        <f t="shared" si="3"/>
        <v>0</v>
      </c>
      <c r="J368" s="346">
        <f t="shared" si="4"/>
        <v>0</v>
      </c>
      <c r="K368" s="312"/>
      <c r="L368" s="312"/>
      <c r="M368" s="312"/>
      <c r="N368" s="362"/>
      <c r="O368" s="312"/>
      <c r="P368" s="312"/>
      <c r="S368" s="2">
        <f t="shared" si="5"/>
        <v>0</v>
      </c>
      <c r="AA368" s="312"/>
      <c r="AB368" s="312"/>
      <c r="AC368" s="312"/>
      <c r="AD368" s="312"/>
    </row>
    <row r="369">
      <c r="A369" s="312"/>
      <c r="B369" s="344">
        <f t="shared" si="1"/>
        <v>1714.918281</v>
      </c>
      <c r="C369" s="344">
        <v>120.0</v>
      </c>
      <c r="D369" s="369"/>
      <c r="E369" s="344" t="str">
        <f t="shared" si="2"/>
        <v>Saturday</v>
      </c>
      <c r="F369" s="344" t="s">
        <v>554</v>
      </c>
      <c r="G369" s="370"/>
      <c r="H369" s="370"/>
      <c r="I369" s="357">
        <f t="shared" si="3"/>
        <v>0</v>
      </c>
      <c r="J369" s="346">
        <f t="shared" si="4"/>
        <v>0</v>
      </c>
      <c r="K369" s="312"/>
      <c r="L369" s="312"/>
      <c r="M369" s="312"/>
      <c r="N369" s="362"/>
      <c r="O369" s="312"/>
      <c r="P369" s="312"/>
      <c r="S369" s="2">
        <f t="shared" si="5"/>
        <v>0</v>
      </c>
      <c r="AA369" s="312"/>
      <c r="AB369" s="312"/>
      <c r="AC369" s="312"/>
      <c r="AD369" s="312"/>
    </row>
    <row r="370">
      <c r="A370" s="312"/>
      <c r="B370" s="344">
        <f t="shared" si="1"/>
        <v>1714.918281</v>
      </c>
      <c r="C370" s="344">
        <v>120.0</v>
      </c>
      <c r="D370" s="369"/>
      <c r="E370" s="344" t="str">
        <f t="shared" si="2"/>
        <v>Saturday</v>
      </c>
      <c r="F370" s="344" t="s">
        <v>554</v>
      </c>
      <c r="G370" s="370"/>
      <c r="H370" s="370"/>
      <c r="I370" s="357">
        <f t="shared" si="3"/>
        <v>0</v>
      </c>
      <c r="J370" s="346">
        <f t="shared" si="4"/>
        <v>0</v>
      </c>
      <c r="K370" s="312"/>
      <c r="L370" s="312"/>
      <c r="M370" s="312"/>
      <c r="N370" s="362"/>
      <c r="O370" s="312"/>
      <c r="P370" s="312"/>
      <c r="S370" s="2">
        <f t="shared" si="5"/>
        <v>0</v>
      </c>
      <c r="AA370" s="312"/>
      <c r="AB370" s="312"/>
      <c r="AC370" s="312"/>
      <c r="AD370" s="312"/>
    </row>
    <row r="371">
      <c r="A371" s="312"/>
      <c r="B371" s="344">
        <f t="shared" si="1"/>
        <v>1714.918281</v>
      </c>
      <c r="C371" s="344">
        <v>120.0</v>
      </c>
      <c r="D371" s="369"/>
      <c r="E371" s="344" t="str">
        <f t="shared" si="2"/>
        <v>Saturday</v>
      </c>
      <c r="F371" s="344" t="s">
        <v>554</v>
      </c>
      <c r="G371" s="370"/>
      <c r="H371" s="370"/>
      <c r="I371" s="357">
        <f t="shared" si="3"/>
        <v>0</v>
      </c>
      <c r="J371" s="346">
        <f t="shared" si="4"/>
        <v>0</v>
      </c>
      <c r="K371" s="312"/>
      <c r="L371" s="312"/>
      <c r="M371" s="312"/>
      <c r="N371" s="362"/>
      <c r="O371" s="312"/>
      <c r="P371" s="312"/>
      <c r="S371" s="2">
        <f t="shared" si="5"/>
        <v>0</v>
      </c>
      <c r="AA371" s="312"/>
      <c r="AB371" s="312"/>
      <c r="AC371" s="312"/>
      <c r="AD371" s="312"/>
    </row>
    <row r="372">
      <c r="A372" s="312"/>
      <c r="B372" s="344">
        <f t="shared" si="1"/>
        <v>1714.918281</v>
      </c>
      <c r="C372" s="344">
        <v>120.0</v>
      </c>
      <c r="D372" s="369"/>
      <c r="E372" s="344" t="str">
        <f t="shared" si="2"/>
        <v>Saturday</v>
      </c>
      <c r="F372" s="344" t="s">
        <v>554</v>
      </c>
      <c r="G372" s="370"/>
      <c r="H372" s="370"/>
      <c r="I372" s="357">
        <f t="shared" si="3"/>
        <v>0</v>
      </c>
      <c r="J372" s="346">
        <f t="shared" si="4"/>
        <v>0</v>
      </c>
      <c r="K372" s="312"/>
      <c r="L372" s="312"/>
      <c r="M372" s="312"/>
      <c r="N372" s="362"/>
      <c r="O372" s="312"/>
      <c r="P372" s="312"/>
      <c r="S372" s="2">
        <f t="shared" si="5"/>
        <v>0</v>
      </c>
      <c r="AA372" s="312"/>
      <c r="AB372" s="312"/>
      <c r="AC372" s="312"/>
      <c r="AD372" s="312"/>
    </row>
    <row r="373">
      <c r="A373" s="312"/>
      <c r="B373" s="344">
        <f t="shared" si="1"/>
        <v>1714.918281</v>
      </c>
      <c r="C373" s="344">
        <v>120.0</v>
      </c>
      <c r="D373" s="369"/>
      <c r="E373" s="344" t="str">
        <f t="shared" si="2"/>
        <v>Saturday</v>
      </c>
      <c r="F373" s="344" t="s">
        <v>554</v>
      </c>
      <c r="G373" s="370"/>
      <c r="H373" s="370"/>
      <c r="I373" s="357">
        <f t="shared" si="3"/>
        <v>0</v>
      </c>
      <c r="J373" s="346">
        <f t="shared" si="4"/>
        <v>0</v>
      </c>
      <c r="K373" s="312"/>
      <c r="L373" s="312"/>
      <c r="M373" s="312"/>
      <c r="N373" s="362"/>
      <c r="O373" s="312"/>
      <c r="P373" s="312"/>
      <c r="S373" s="2">
        <f t="shared" si="5"/>
        <v>0</v>
      </c>
      <c r="AA373" s="312"/>
      <c r="AB373" s="312"/>
      <c r="AC373" s="312"/>
      <c r="AD373" s="312"/>
    </row>
    <row r="374">
      <c r="A374" s="312"/>
      <c r="B374" s="344">
        <f t="shared" si="1"/>
        <v>1714.918281</v>
      </c>
      <c r="C374" s="344">
        <v>120.0</v>
      </c>
      <c r="D374" s="369"/>
      <c r="E374" s="344" t="str">
        <f t="shared" si="2"/>
        <v>Saturday</v>
      </c>
      <c r="F374" s="344" t="s">
        <v>554</v>
      </c>
      <c r="G374" s="370"/>
      <c r="H374" s="370"/>
      <c r="I374" s="357">
        <f t="shared" si="3"/>
        <v>0</v>
      </c>
      <c r="J374" s="346">
        <f t="shared" si="4"/>
        <v>0</v>
      </c>
      <c r="K374" s="312"/>
      <c r="L374" s="312"/>
      <c r="M374" s="312"/>
      <c r="N374" s="362"/>
      <c r="O374" s="312"/>
      <c r="P374" s="312"/>
      <c r="S374" s="2">
        <f t="shared" si="5"/>
        <v>0</v>
      </c>
      <c r="AA374" s="312"/>
      <c r="AB374" s="312"/>
      <c r="AC374" s="312"/>
      <c r="AD374" s="312"/>
    </row>
    <row r="375">
      <c r="A375" s="312"/>
      <c r="B375" s="344">
        <f t="shared" si="1"/>
        <v>1714.918281</v>
      </c>
      <c r="C375" s="344">
        <v>120.0</v>
      </c>
      <c r="D375" s="369"/>
      <c r="E375" s="344" t="str">
        <f t="shared" si="2"/>
        <v>Saturday</v>
      </c>
      <c r="F375" s="344" t="s">
        <v>554</v>
      </c>
      <c r="G375" s="370"/>
      <c r="H375" s="370"/>
      <c r="I375" s="357">
        <f t="shared" si="3"/>
        <v>0</v>
      </c>
      <c r="J375" s="346">
        <f t="shared" si="4"/>
        <v>0</v>
      </c>
      <c r="K375" s="312"/>
      <c r="L375" s="312"/>
      <c r="M375" s="312"/>
      <c r="N375" s="362"/>
      <c r="O375" s="312"/>
      <c r="P375" s="312"/>
      <c r="S375" s="2">
        <f t="shared" si="5"/>
        <v>0</v>
      </c>
      <c r="AA375" s="312"/>
      <c r="AB375" s="312"/>
      <c r="AC375" s="312"/>
      <c r="AD375" s="312"/>
    </row>
    <row r="376">
      <c r="A376" s="312"/>
      <c r="B376" s="344">
        <f t="shared" si="1"/>
        <v>1714.918281</v>
      </c>
      <c r="C376" s="344">
        <v>120.0</v>
      </c>
      <c r="D376" s="369"/>
      <c r="E376" s="344" t="str">
        <f t="shared" si="2"/>
        <v>Saturday</v>
      </c>
      <c r="F376" s="344" t="s">
        <v>554</v>
      </c>
      <c r="G376" s="370"/>
      <c r="H376" s="370"/>
      <c r="I376" s="357">
        <f t="shared" si="3"/>
        <v>0</v>
      </c>
      <c r="J376" s="346">
        <f t="shared" si="4"/>
        <v>0</v>
      </c>
      <c r="K376" s="312"/>
      <c r="L376" s="312"/>
      <c r="M376" s="312"/>
      <c r="N376" s="362"/>
      <c r="O376" s="312"/>
      <c r="P376" s="312"/>
      <c r="S376" s="2">
        <f t="shared" si="5"/>
        <v>0</v>
      </c>
      <c r="AA376" s="312"/>
      <c r="AB376" s="312"/>
      <c r="AC376" s="312"/>
      <c r="AD376" s="312"/>
    </row>
    <row r="377">
      <c r="A377" s="312"/>
      <c r="B377" s="344">
        <f t="shared" si="1"/>
        <v>1714.918281</v>
      </c>
      <c r="C377" s="344">
        <v>120.0</v>
      </c>
      <c r="D377" s="369"/>
      <c r="E377" s="344" t="str">
        <f t="shared" si="2"/>
        <v>Saturday</v>
      </c>
      <c r="F377" s="344" t="s">
        <v>554</v>
      </c>
      <c r="G377" s="370"/>
      <c r="H377" s="370"/>
      <c r="I377" s="357">
        <f t="shared" si="3"/>
        <v>0</v>
      </c>
      <c r="J377" s="346">
        <f t="shared" si="4"/>
        <v>0</v>
      </c>
      <c r="K377" s="312"/>
      <c r="L377" s="312"/>
      <c r="M377" s="312"/>
      <c r="N377" s="362"/>
      <c r="O377" s="312"/>
      <c r="P377" s="312"/>
      <c r="S377" s="2">
        <f t="shared" si="5"/>
        <v>0</v>
      </c>
      <c r="AA377" s="312"/>
      <c r="AB377" s="312"/>
      <c r="AC377" s="312"/>
      <c r="AD377" s="312"/>
    </row>
    <row r="378">
      <c r="A378" s="312"/>
      <c r="B378" s="344">
        <f t="shared" si="1"/>
        <v>1714.918281</v>
      </c>
      <c r="C378" s="344">
        <v>120.0</v>
      </c>
      <c r="D378" s="369"/>
      <c r="E378" s="344" t="str">
        <f t="shared" si="2"/>
        <v>Saturday</v>
      </c>
      <c r="F378" s="344" t="s">
        <v>554</v>
      </c>
      <c r="G378" s="370"/>
      <c r="H378" s="370"/>
      <c r="I378" s="357">
        <f t="shared" si="3"/>
        <v>0</v>
      </c>
      <c r="J378" s="346">
        <f t="shared" si="4"/>
        <v>0</v>
      </c>
      <c r="K378" s="312"/>
      <c r="L378" s="312"/>
      <c r="M378" s="312"/>
      <c r="N378" s="362"/>
      <c r="O378" s="312"/>
      <c r="P378" s="312"/>
      <c r="S378" s="2">
        <f t="shared" si="5"/>
        <v>0</v>
      </c>
      <c r="AA378" s="312"/>
      <c r="AB378" s="312"/>
      <c r="AC378" s="312"/>
      <c r="AD378" s="312"/>
    </row>
    <row r="379">
      <c r="A379" s="312"/>
      <c r="B379" s="344">
        <f t="shared" si="1"/>
        <v>1714.918281</v>
      </c>
      <c r="C379" s="344">
        <v>120.0</v>
      </c>
      <c r="D379" s="369"/>
      <c r="E379" s="344" t="str">
        <f t="shared" si="2"/>
        <v>Saturday</v>
      </c>
      <c r="F379" s="344" t="s">
        <v>554</v>
      </c>
      <c r="G379" s="370"/>
      <c r="H379" s="370"/>
      <c r="I379" s="357">
        <f t="shared" si="3"/>
        <v>0</v>
      </c>
      <c r="J379" s="346">
        <f t="shared" si="4"/>
        <v>0</v>
      </c>
      <c r="K379" s="312"/>
      <c r="L379" s="312"/>
      <c r="M379" s="312"/>
      <c r="N379" s="362"/>
      <c r="O379" s="312"/>
      <c r="P379" s="312"/>
      <c r="S379" s="2">
        <f t="shared" si="5"/>
        <v>0</v>
      </c>
      <c r="AA379" s="312"/>
      <c r="AB379" s="312"/>
      <c r="AC379" s="312"/>
      <c r="AD379" s="312"/>
    </row>
    <row r="380">
      <c r="A380" s="312"/>
      <c r="B380" s="344">
        <f t="shared" si="1"/>
        <v>1714.918281</v>
      </c>
      <c r="C380" s="344">
        <v>120.0</v>
      </c>
      <c r="D380" s="369"/>
      <c r="E380" s="344" t="str">
        <f t="shared" si="2"/>
        <v>Saturday</v>
      </c>
      <c r="F380" s="344" t="s">
        <v>554</v>
      </c>
      <c r="G380" s="370"/>
      <c r="H380" s="370"/>
      <c r="I380" s="357">
        <f t="shared" si="3"/>
        <v>0</v>
      </c>
      <c r="J380" s="346">
        <f t="shared" si="4"/>
        <v>0</v>
      </c>
      <c r="K380" s="312"/>
      <c r="L380" s="312"/>
      <c r="M380" s="312"/>
      <c r="N380" s="362"/>
      <c r="O380" s="312"/>
      <c r="P380" s="312"/>
      <c r="S380" s="2">
        <f t="shared" si="5"/>
        <v>0</v>
      </c>
      <c r="AA380" s="312"/>
      <c r="AB380" s="312"/>
      <c r="AC380" s="312"/>
      <c r="AD380" s="312"/>
    </row>
    <row r="381">
      <c r="A381" s="312"/>
      <c r="B381" s="344">
        <f t="shared" si="1"/>
        <v>1714.918281</v>
      </c>
      <c r="C381" s="344">
        <v>120.0</v>
      </c>
      <c r="D381" s="369"/>
      <c r="E381" s="344" t="str">
        <f t="shared" si="2"/>
        <v>Saturday</v>
      </c>
      <c r="F381" s="344" t="s">
        <v>554</v>
      </c>
      <c r="G381" s="370"/>
      <c r="H381" s="370"/>
      <c r="I381" s="357">
        <f t="shared" si="3"/>
        <v>0</v>
      </c>
      <c r="J381" s="346">
        <f t="shared" si="4"/>
        <v>0</v>
      </c>
      <c r="K381" s="312"/>
      <c r="L381" s="312"/>
      <c r="M381" s="312"/>
      <c r="N381" s="362"/>
      <c r="O381" s="312"/>
      <c r="P381" s="312"/>
      <c r="S381" s="2">
        <f t="shared" si="5"/>
        <v>0</v>
      </c>
      <c r="AA381" s="312"/>
      <c r="AB381" s="312"/>
      <c r="AC381" s="312"/>
      <c r="AD381" s="312"/>
    </row>
    <row r="382">
      <c r="A382" s="312"/>
      <c r="B382" s="344">
        <f t="shared" si="1"/>
        <v>1714.918281</v>
      </c>
      <c r="C382" s="344">
        <v>120.0</v>
      </c>
      <c r="D382" s="369"/>
      <c r="E382" s="344" t="str">
        <f t="shared" si="2"/>
        <v>Saturday</v>
      </c>
      <c r="F382" s="344" t="s">
        <v>554</v>
      </c>
      <c r="G382" s="370"/>
      <c r="H382" s="370"/>
      <c r="I382" s="357">
        <f t="shared" si="3"/>
        <v>0</v>
      </c>
      <c r="J382" s="346">
        <f t="shared" si="4"/>
        <v>0</v>
      </c>
      <c r="K382" s="312"/>
      <c r="L382" s="312"/>
      <c r="M382" s="312"/>
      <c r="N382" s="362"/>
      <c r="O382" s="312"/>
      <c r="P382" s="312"/>
      <c r="S382" s="2">
        <f t="shared" si="5"/>
        <v>0</v>
      </c>
      <c r="AA382" s="312"/>
      <c r="AB382" s="312"/>
      <c r="AC382" s="312"/>
      <c r="AD382" s="312"/>
    </row>
    <row r="383">
      <c r="A383" s="312"/>
      <c r="B383" s="344">
        <f t="shared" si="1"/>
        <v>1714.918281</v>
      </c>
      <c r="C383" s="344">
        <v>120.0</v>
      </c>
      <c r="D383" s="369"/>
      <c r="E383" s="344" t="str">
        <f t="shared" si="2"/>
        <v>Saturday</v>
      </c>
      <c r="F383" s="344" t="s">
        <v>554</v>
      </c>
      <c r="G383" s="370"/>
      <c r="H383" s="370"/>
      <c r="I383" s="357">
        <f t="shared" si="3"/>
        <v>0</v>
      </c>
      <c r="J383" s="346">
        <f t="shared" si="4"/>
        <v>0</v>
      </c>
      <c r="K383" s="312"/>
      <c r="L383" s="312"/>
      <c r="M383" s="312"/>
      <c r="N383" s="362"/>
      <c r="O383" s="312"/>
      <c r="P383" s="312"/>
      <c r="S383" s="2">
        <f t="shared" si="5"/>
        <v>0</v>
      </c>
      <c r="AA383" s="312"/>
      <c r="AB383" s="312"/>
      <c r="AC383" s="312"/>
      <c r="AD383" s="312"/>
    </row>
    <row r="384">
      <c r="A384" s="312"/>
      <c r="B384" s="344">
        <f t="shared" si="1"/>
        <v>1714.918281</v>
      </c>
      <c r="C384" s="344">
        <v>120.0</v>
      </c>
      <c r="D384" s="369"/>
      <c r="E384" s="344" t="str">
        <f t="shared" si="2"/>
        <v>Saturday</v>
      </c>
      <c r="F384" s="344" t="s">
        <v>554</v>
      </c>
      <c r="G384" s="370"/>
      <c r="H384" s="370"/>
      <c r="I384" s="357">
        <f t="shared" si="3"/>
        <v>0</v>
      </c>
      <c r="J384" s="346">
        <f t="shared" si="4"/>
        <v>0</v>
      </c>
      <c r="K384" s="312"/>
      <c r="L384" s="312"/>
      <c r="M384" s="312"/>
      <c r="N384" s="362"/>
      <c r="O384" s="312"/>
      <c r="P384" s="312"/>
      <c r="S384" s="2">
        <f t="shared" si="5"/>
        <v>0</v>
      </c>
      <c r="AA384" s="312"/>
      <c r="AB384" s="312"/>
      <c r="AC384" s="312"/>
      <c r="AD384" s="312"/>
    </row>
    <row r="385">
      <c r="A385" s="312"/>
      <c r="B385" s="344">
        <f t="shared" si="1"/>
        <v>1714.918281</v>
      </c>
      <c r="C385" s="344">
        <v>120.0</v>
      </c>
      <c r="D385" s="369"/>
      <c r="E385" s="344" t="str">
        <f t="shared" si="2"/>
        <v>Saturday</v>
      </c>
      <c r="F385" s="344" t="s">
        <v>554</v>
      </c>
      <c r="G385" s="370"/>
      <c r="H385" s="370"/>
      <c r="I385" s="357">
        <f t="shared" si="3"/>
        <v>0</v>
      </c>
      <c r="J385" s="346">
        <f t="shared" si="4"/>
        <v>0</v>
      </c>
      <c r="K385" s="312"/>
      <c r="L385" s="312"/>
      <c r="M385" s="312"/>
      <c r="N385" s="362"/>
      <c r="O385" s="312"/>
      <c r="P385" s="312"/>
      <c r="S385" s="2">
        <f t="shared" si="5"/>
        <v>0</v>
      </c>
      <c r="AA385" s="312"/>
      <c r="AB385" s="312"/>
      <c r="AC385" s="312"/>
      <c r="AD385" s="312"/>
    </row>
    <row r="386">
      <c r="A386" s="312"/>
      <c r="B386" s="344">
        <f t="shared" si="1"/>
        <v>1714.918281</v>
      </c>
      <c r="C386" s="344">
        <v>120.0</v>
      </c>
      <c r="D386" s="369"/>
      <c r="E386" s="344" t="str">
        <f t="shared" si="2"/>
        <v>Saturday</v>
      </c>
      <c r="F386" s="344" t="s">
        <v>554</v>
      </c>
      <c r="G386" s="370"/>
      <c r="H386" s="370"/>
      <c r="I386" s="357">
        <f t="shared" si="3"/>
        <v>0</v>
      </c>
      <c r="J386" s="346">
        <f t="shared" si="4"/>
        <v>0</v>
      </c>
      <c r="K386" s="312"/>
      <c r="L386" s="312"/>
      <c r="M386" s="312"/>
      <c r="N386" s="362"/>
      <c r="O386" s="312"/>
      <c r="P386" s="312"/>
      <c r="S386" s="2">
        <f t="shared" si="5"/>
        <v>0</v>
      </c>
      <c r="AA386" s="312"/>
      <c r="AB386" s="312"/>
      <c r="AC386" s="312"/>
      <c r="AD386" s="312"/>
    </row>
    <row r="387">
      <c r="A387" s="312"/>
      <c r="B387" s="344">
        <f t="shared" si="1"/>
        <v>1714.918281</v>
      </c>
      <c r="C387" s="344">
        <v>120.0</v>
      </c>
      <c r="D387" s="369"/>
      <c r="E387" s="344" t="str">
        <f t="shared" si="2"/>
        <v>Saturday</v>
      </c>
      <c r="F387" s="344" t="s">
        <v>554</v>
      </c>
      <c r="G387" s="370"/>
      <c r="H387" s="370"/>
      <c r="I387" s="357">
        <f t="shared" si="3"/>
        <v>0</v>
      </c>
      <c r="J387" s="346">
        <f t="shared" si="4"/>
        <v>0</v>
      </c>
      <c r="K387" s="312"/>
      <c r="L387" s="312"/>
      <c r="M387" s="312"/>
      <c r="N387" s="362"/>
      <c r="O387" s="312"/>
      <c r="P387" s="312"/>
      <c r="S387" s="2">
        <f t="shared" si="5"/>
        <v>0</v>
      </c>
      <c r="AA387" s="312"/>
      <c r="AB387" s="312"/>
      <c r="AC387" s="312"/>
      <c r="AD387" s="312"/>
    </row>
    <row r="388">
      <c r="A388" s="312"/>
      <c r="B388" s="344">
        <f t="shared" si="1"/>
        <v>1714.918281</v>
      </c>
      <c r="C388" s="344">
        <v>120.0</v>
      </c>
      <c r="D388" s="369"/>
      <c r="E388" s="344" t="str">
        <f t="shared" si="2"/>
        <v>Saturday</v>
      </c>
      <c r="F388" s="344" t="s">
        <v>554</v>
      </c>
      <c r="G388" s="370"/>
      <c r="H388" s="370"/>
      <c r="I388" s="357">
        <f t="shared" si="3"/>
        <v>0</v>
      </c>
      <c r="J388" s="346">
        <f t="shared" si="4"/>
        <v>0</v>
      </c>
      <c r="K388" s="312"/>
      <c r="L388" s="312"/>
      <c r="M388" s="312"/>
      <c r="N388" s="362"/>
      <c r="O388" s="312"/>
      <c r="P388" s="312"/>
      <c r="S388" s="2">
        <f t="shared" si="5"/>
        <v>0</v>
      </c>
      <c r="AA388" s="312"/>
      <c r="AB388" s="312"/>
      <c r="AC388" s="312"/>
      <c r="AD388" s="312"/>
    </row>
    <row r="389">
      <c r="A389" s="312"/>
      <c r="B389" s="344">
        <f t="shared" si="1"/>
        <v>1714.918281</v>
      </c>
      <c r="C389" s="344">
        <v>120.0</v>
      </c>
      <c r="D389" s="369"/>
      <c r="E389" s="344" t="str">
        <f t="shared" si="2"/>
        <v>Saturday</v>
      </c>
      <c r="F389" s="344" t="s">
        <v>554</v>
      </c>
      <c r="G389" s="370"/>
      <c r="H389" s="370"/>
      <c r="I389" s="357">
        <f t="shared" si="3"/>
        <v>0</v>
      </c>
      <c r="J389" s="346">
        <f t="shared" si="4"/>
        <v>0</v>
      </c>
      <c r="K389" s="312"/>
      <c r="L389" s="312"/>
      <c r="M389" s="312"/>
      <c r="N389" s="362"/>
      <c r="O389" s="312"/>
      <c r="P389" s="312"/>
      <c r="S389" s="2">
        <f t="shared" si="5"/>
        <v>0</v>
      </c>
      <c r="AA389" s="312"/>
      <c r="AB389" s="312"/>
      <c r="AC389" s="312"/>
      <c r="AD389" s="312"/>
    </row>
    <row r="390">
      <c r="A390" s="312"/>
      <c r="B390" s="344">
        <f t="shared" si="1"/>
        <v>1714.918281</v>
      </c>
      <c r="C390" s="344">
        <v>120.0</v>
      </c>
      <c r="D390" s="369"/>
      <c r="E390" s="344" t="str">
        <f t="shared" si="2"/>
        <v>Saturday</v>
      </c>
      <c r="F390" s="344" t="s">
        <v>554</v>
      </c>
      <c r="G390" s="370"/>
      <c r="H390" s="370"/>
      <c r="I390" s="357">
        <f t="shared" si="3"/>
        <v>0</v>
      </c>
      <c r="J390" s="346">
        <f t="shared" si="4"/>
        <v>0</v>
      </c>
      <c r="K390" s="312"/>
      <c r="L390" s="312"/>
      <c r="M390" s="312"/>
      <c r="N390" s="362"/>
      <c r="O390" s="312"/>
      <c r="P390" s="312"/>
      <c r="S390" s="2">
        <f t="shared" si="5"/>
        <v>0</v>
      </c>
      <c r="AA390" s="312"/>
      <c r="AB390" s="312"/>
      <c r="AC390" s="312"/>
      <c r="AD390" s="312"/>
    </row>
    <row r="391">
      <c r="A391" s="312"/>
      <c r="B391" s="344">
        <f t="shared" si="1"/>
        <v>1714.918281</v>
      </c>
      <c r="C391" s="344">
        <v>120.0</v>
      </c>
      <c r="D391" s="369"/>
      <c r="E391" s="344" t="str">
        <f t="shared" si="2"/>
        <v>Saturday</v>
      </c>
      <c r="F391" s="344" t="s">
        <v>554</v>
      </c>
      <c r="G391" s="370"/>
      <c r="H391" s="370"/>
      <c r="I391" s="357">
        <f t="shared" si="3"/>
        <v>0</v>
      </c>
      <c r="J391" s="346">
        <f t="shared" si="4"/>
        <v>0</v>
      </c>
      <c r="K391" s="312"/>
      <c r="L391" s="312"/>
      <c r="M391" s="312"/>
      <c r="N391" s="362"/>
      <c r="O391" s="312"/>
      <c r="P391" s="312"/>
      <c r="S391" s="2">
        <f t="shared" si="5"/>
        <v>0</v>
      </c>
      <c r="AA391" s="312"/>
      <c r="AB391" s="312"/>
      <c r="AC391" s="312"/>
      <c r="AD391" s="312"/>
    </row>
    <row r="392">
      <c r="A392" s="312"/>
      <c r="B392" s="344">
        <f t="shared" si="1"/>
        <v>1714.918281</v>
      </c>
      <c r="C392" s="344">
        <v>120.0</v>
      </c>
      <c r="D392" s="369"/>
      <c r="E392" s="344" t="str">
        <f t="shared" si="2"/>
        <v>Saturday</v>
      </c>
      <c r="F392" s="344" t="s">
        <v>554</v>
      </c>
      <c r="G392" s="370"/>
      <c r="H392" s="370"/>
      <c r="I392" s="357">
        <f t="shared" si="3"/>
        <v>0</v>
      </c>
      <c r="J392" s="346">
        <f t="shared" si="4"/>
        <v>0</v>
      </c>
      <c r="K392" s="312"/>
      <c r="L392" s="312"/>
      <c r="M392" s="312"/>
      <c r="N392" s="362"/>
      <c r="O392" s="312"/>
      <c r="P392" s="312"/>
      <c r="S392" s="2">
        <f t="shared" si="5"/>
        <v>0</v>
      </c>
      <c r="AA392" s="312"/>
      <c r="AB392" s="312"/>
      <c r="AC392" s="312"/>
      <c r="AD392" s="312"/>
    </row>
    <row r="393">
      <c r="A393" s="312"/>
      <c r="B393" s="344">
        <f t="shared" si="1"/>
        <v>1714.918281</v>
      </c>
      <c r="C393" s="344">
        <v>120.0</v>
      </c>
      <c r="D393" s="369"/>
      <c r="E393" s="344" t="str">
        <f t="shared" si="2"/>
        <v>Saturday</v>
      </c>
      <c r="F393" s="344" t="s">
        <v>554</v>
      </c>
      <c r="G393" s="370"/>
      <c r="H393" s="370"/>
      <c r="I393" s="357">
        <f t="shared" si="3"/>
        <v>0</v>
      </c>
      <c r="J393" s="346">
        <f t="shared" si="4"/>
        <v>0</v>
      </c>
      <c r="K393" s="312"/>
      <c r="L393" s="312"/>
      <c r="M393" s="312"/>
      <c r="N393" s="362"/>
      <c r="O393" s="312"/>
      <c r="P393" s="312"/>
      <c r="S393" s="2">
        <f t="shared" si="5"/>
        <v>0</v>
      </c>
      <c r="AA393" s="312"/>
      <c r="AB393" s="312"/>
      <c r="AC393" s="312"/>
      <c r="AD393" s="312"/>
    </row>
    <row r="394">
      <c r="A394" s="312"/>
      <c r="B394" s="344">
        <f t="shared" si="1"/>
        <v>1714.918281</v>
      </c>
      <c r="C394" s="344">
        <v>120.0</v>
      </c>
      <c r="D394" s="369"/>
      <c r="E394" s="344" t="str">
        <f t="shared" si="2"/>
        <v>Saturday</v>
      </c>
      <c r="F394" s="344" t="s">
        <v>554</v>
      </c>
      <c r="G394" s="370"/>
      <c r="H394" s="370"/>
      <c r="I394" s="357">
        <f t="shared" si="3"/>
        <v>0</v>
      </c>
      <c r="J394" s="346">
        <f t="shared" si="4"/>
        <v>0</v>
      </c>
      <c r="K394" s="312"/>
      <c r="L394" s="312"/>
      <c r="M394" s="312"/>
      <c r="N394" s="362"/>
      <c r="O394" s="312"/>
      <c r="P394" s="312"/>
      <c r="S394" s="2">
        <f t="shared" si="5"/>
        <v>0</v>
      </c>
      <c r="AA394" s="312"/>
      <c r="AB394" s="312"/>
      <c r="AC394" s="312"/>
      <c r="AD394" s="312"/>
    </row>
    <row r="395">
      <c r="A395" s="312"/>
      <c r="B395" s="344">
        <f t="shared" si="1"/>
        <v>1714.918281</v>
      </c>
      <c r="C395" s="344">
        <v>120.0</v>
      </c>
      <c r="D395" s="369"/>
      <c r="E395" s="344" t="str">
        <f t="shared" si="2"/>
        <v>Saturday</v>
      </c>
      <c r="F395" s="344" t="s">
        <v>554</v>
      </c>
      <c r="G395" s="370"/>
      <c r="H395" s="370"/>
      <c r="I395" s="357">
        <f t="shared" si="3"/>
        <v>0</v>
      </c>
      <c r="J395" s="346">
        <f t="shared" si="4"/>
        <v>0</v>
      </c>
      <c r="K395" s="312"/>
      <c r="L395" s="312"/>
      <c r="M395" s="312"/>
      <c r="N395" s="362"/>
      <c r="O395" s="312"/>
      <c r="P395" s="312"/>
      <c r="S395" s="2">
        <f t="shared" si="5"/>
        <v>0</v>
      </c>
      <c r="AA395" s="312"/>
      <c r="AB395" s="312"/>
      <c r="AC395" s="312"/>
      <c r="AD395" s="312"/>
    </row>
    <row r="396">
      <c r="A396" s="312"/>
      <c r="B396" s="344">
        <f t="shared" si="1"/>
        <v>1714.918281</v>
      </c>
      <c r="C396" s="344">
        <v>120.0</v>
      </c>
      <c r="D396" s="369"/>
      <c r="E396" s="344" t="str">
        <f t="shared" si="2"/>
        <v>Saturday</v>
      </c>
      <c r="F396" s="344" t="s">
        <v>554</v>
      </c>
      <c r="G396" s="370"/>
      <c r="H396" s="370"/>
      <c r="I396" s="357">
        <f t="shared" si="3"/>
        <v>0</v>
      </c>
      <c r="J396" s="346">
        <f t="shared" si="4"/>
        <v>0</v>
      </c>
      <c r="K396" s="312"/>
      <c r="L396" s="312"/>
      <c r="M396" s="312"/>
      <c r="N396" s="362"/>
      <c r="O396" s="312"/>
      <c r="P396" s="312"/>
      <c r="S396" s="2">
        <f t="shared" si="5"/>
        <v>0</v>
      </c>
      <c r="AA396" s="312"/>
      <c r="AB396" s="312"/>
      <c r="AC396" s="312"/>
      <c r="AD396" s="312"/>
    </row>
    <row r="397">
      <c r="A397" s="312"/>
      <c r="B397" s="344">
        <f t="shared" si="1"/>
        <v>1714.918281</v>
      </c>
      <c r="C397" s="344">
        <v>120.0</v>
      </c>
      <c r="D397" s="369"/>
      <c r="E397" s="344" t="str">
        <f t="shared" si="2"/>
        <v>Saturday</v>
      </c>
      <c r="F397" s="344" t="s">
        <v>554</v>
      </c>
      <c r="G397" s="370"/>
      <c r="H397" s="370"/>
      <c r="I397" s="357">
        <f t="shared" si="3"/>
        <v>0</v>
      </c>
      <c r="J397" s="346">
        <f t="shared" si="4"/>
        <v>0</v>
      </c>
      <c r="K397" s="312"/>
      <c r="L397" s="312"/>
      <c r="M397" s="312"/>
      <c r="N397" s="362"/>
      <c r="O397" s="312"/>
      <c r="P397" s="312"/>
      <c r="S397" s="2">
        <f t="shared" si="5"/>
        <v>0</v>
      </c>
      <c r="AA397" s="312"/>
      <c r="AB397" s="312"/>
      <c r="AC397" s="312"/>
      <c r="AD397" s="312"/>
    </row>
    <row r="398">
      <c r="A398" s="312"/>
      <c r="B398" s="344">
        <f t="shared" si="1"/>
        <v>1714.918281</v>
      </c>
      <c r="C398" s="344">
        <v>120.0</v>
      </c>
      <c r="D398" s="369"/>
      <c r="E398" s="344" t="str">
        <f t="shared" si="2"/>
        <v>Saturday</v>
      </c>
      <c r="F398" s="344" t="s">
        <v>554</v>
      </c>
      <c r="G398" s="370"/>
      <c r="H398" s="370"/>
      <c r="I398" s="357">
        <f t="shared" si="3"/>
        <v>0</v>
      </c>
      <c r="J398" s="346">
        <f t="shared" si="4"/>
        <v>0</v>
      </c>
      <c r="K398" s="312"/>
      <c r="L398" s="312"/>
      <c r="M398" s="312"/>
      <c r="N398" s="362"/>
      <c r="O398" s="312"/>
      <c r="P398" s="312"/>
      <c r="S398" s="2">
        <f t="shared" si="5"/>
        <v>0</v>
      </c>
      <c r="AA398" s="312"/>
      <c r="AB398" s="312"/>
      <c r="AC398" s="312"/>
      <c r="AD398" s="312"/>
    </row>
    <row r="399">
      <c r="A399" s="312"/>
      <c r="B399" s="344">
        <f t="shared" si="1"/>
        <v>1714.918281</v>
      </c>
      <c r="C399" s="344">
        <v>120.0</v>
      </c>
      <c r="D399" s="369"/>
      <c r="E399" s="344" t="str">
        <f t="shared" si="2"/>
        <v>Saturday</v>
      </c>
      <c r="F399" s="344" t="s">
        <v>554</v>
      </c>
      <c r="G399" s="370"/>
      <c r="H399" s="370"/>
      <c r="I399" s="357">
        <f t="shared" si="3"/>
        <v>0</v>
      </c>
      <c r="J399" s="346">
        <f t="shared" si="4"/>
        <v>0</v>
      </c>
      <c r="K399" s="312"/>
      <c r="L399" s="312"/>
      <c r="M399" s="312"/>
      <c r="N399" s="362"/>
      <c r="O399" s="312"/>
      <c r="P399" s="312"/>
      <c r="S399" s="2">
        <f t="shared" si="5"/>
        <v>0</v>
      </c>
      <c r="AA399" s="312"/>
      <c r="AB399" s="312"/>
      <c r="AC399" s="312"/>
      <c r="AD399" s="312"/>
    </row>
    <row r="400">
      <c r="A400" s="312"/>
      <c r="B400" s="344">
        <f t="shared" si="1"/>
        <v>1714.918281</v>
      </c>
      <c r="C400" s="344">
        <v>120.0</v>
      </c>
      <c r="D400" s="369"/>
      <c r="E400" s="344" t="str">
        <f t="shared" si="2"/>
        <v>Saturday</v>
      </c>
      <c r="F400" s="344" t="s">
        <v>554</v>
      </c>
      <c r="G400" s="370"/>
      <c r="H400" s="370"/>
      <c r="I400" s="357">
        <f t="shared" si="3"/>
        <v>0</v>
      </c>
      <c r="J400" s="346">
        <f t="shared" si="4"/>
        <v>0</v>
      </c>
      <c r="K400" s="312"/>
      <c r="L400" s="312"/>
      <c r="M400" s="312"/>
      <c r="N400" s="362"/>
      <c r="O400" s="312"/>
      <c r="P400" s="312"/>
      <c r="S400" s="2">
        <f t="shared" si="5"/>
        <v>0</v>
      </c>
      <c r="AA400" s="312"/>
      <c r="AB400" s="312"/>
      <c r="AC400" s="312"/>
      <c r="AD400" s="312"/>
    </row>
    <row r="401">
      <c r="A401" s="312"/>
      <c r="B401" s="344">
        <f t="shared" si="1"/>
        <v>1714.918281</v>
      </c>
      <c r="C401" s="344">
        <v>120.0</v>
      </c>
      <c r="D401" s="369"/>
      <c r="E401" s="344" t="str">
        <f t="shared" si="2"/>
        <v>Saturday</v>
      </c>
      <c r="F401" s="344" t="s">
        <v>554</v>
      </c>
      <c r="G401" s="370"/>
      <c r="H401" s="370"/>
      <c r="I401" s="357">
        <f t="shared" si="3"/>
        <v>0</v>
      </c>
      <c r="J401" s="346">
        <f t="shared" si="4"/>
        <v>0</v>
      </c>
      <c r="K401" s="312"/>
      <c r="L401" s="312"/>
      <c r="M401" s="312"/>
      <c r="N401" s="362"/>
      <c r="O401" s="312"/>
      <c r="P401" s="312"/>
      <c r="S401" s="2">
        <f t="shared" si="5"/>
        <v>0</v>
      </c>
      <c r="AA401" s="312"/>
      <c r="AB401" s="312"/>
      <c r="AC401" s="312"/>
      <c r="AD401" s="312"/>
    </row>
    <row r="402">
      <c r="A402" s="312"/>
      <c r="B402" s="344">
        <f t="shared" si="1"/>
        <v>1714.918281</v>
      </c>
      <c r="C402" s="344">
        <v>120.0</v>
      </c>
      <c r="D402" s="369"/>
      <c r="E402" s="344" t="str">
        <f t="shared" si="2"/>
        <v>Saturday</v>
      </c>
      <c r="F402" s="344" t="s">
        <v>554</v>
      </c>
      <c r="G402" s="370"/>
      <c r="H402" s="370"/>
      <c r="I402" s="357">
        <f t="shared" si="3"/>
        <v>0</v>
      </c>
      <c r="J402" s="346">
        <f t="shared" si="4"/>
        <v>0</v>
      </c>
      <c r="K402" s="312"/>
      <c r="L402" s="312"/>
      <c r="M402" s="312"/>
      <c r="N402" s="362"/>
      <c r="O402" s="312"/>
      <c r="P402" s="312"/>
      <c r="S402" s="2">
        <f t="shared" si="5"/>
        <v>0</v>
      </c>
      <c r="AA402" s="312"/>
      <c r="AB402" s="312"/>
      <c r="AC402" s="312"/>
      <c r="AD402" s="312"/>
    </row>
    <row r="403">
      <c r="A403" s="312"/>
      <c r="B403" s="344">
        <f t="shared" si="1"/>
        <v>1714.918281</v>
      </c>
      <c r="C403" s="344">
        <v>120.0</v>
      </c>
      <c r="D403" s="369"/>
      <c r="E403" s="344" t="str">
        <f t="shared" si="2"/>
        <v>Saturday</v>
      </c>
      <c r="F403" s="344" t="s">
        <v>554</v>
      </c>
      <c r="G403" s="370"/>
      <c r="H403" s="370"/>
      <c r="I403" s="357">
        <f t="shared" si="3"/>
        <v>0</v>
      </c>
      <c r="J403" s="346">
        <f t="shared" si="4"/>
        <v>0</v>
      </c>
      <c r="K403" s="312"/>
      <c r="L403" s="312"/>
      <c r="M403" s="312"/>
      <c r="N403" s="362"/>
      <c r="O403" s="312"/>
      <c r="P403" s="312"/>
      <c r="S403" s="2">
        <f t="shared" si="5"/>
        <v>0</v>
      </c>
      <c r="AA403" s="312"/>
      <c r="AB403" s="312"/>
      <c r="AC403" s="312"/>
      <c r="AD403" s="312"/>
    </row>
    <row r="404">
      <c r="A404" s="312"/>
      <c r="B404" s="344">
        <f t="shared" si="1"/>
        <v>1714.918281</v>
      </c>
      <c r="C404" s="344">
        <v>120.0</v>
      </c>
      <c r="D404" s="369"/>
      <c r="E404" s="344" t="str">
        <f t="shared" si="2"/>
        <v>Saturday</v>
      </c>
      <c r="F404" s="344" t="s">
        <v>554</v>
      </c>
      <c r="G404" s="370"/>
      <c r="H404" s="370"/>
      <c r="I404" s="357">
        <f t="shared" si="3"/>
        <v>0</v>
      </c>
      <c r="J404" s="346">
        <f t="shared" si="4"/>
        <v>0</v>
      </c>
      <c r="K404" s="312"/>
      <c r="L404" s="312"/>
      <c r="M404" s="312"/>
      <c r="N404" s="362"/>
      <c r="O404" s="312"/>
      <c r="P404" s="312"/>
      <c r="S404" s="2">
        <f t="shared" si="5"/>
        <v>0</v>
      </c>
      <c r="AA404" s="312"/>
      <c r="AB404" s="312"/>
      <c r="AC404" s="312"/>
      <c r="AD404" s="312"/>
    </row>
    <row r="405">
      <c r="A405" s="312"/>
      <c r="B405" s="344">
        <f t="shared" si="1"/>
        <v>1714.918281</v>
      </c>
      <c r="C405" s="344">
        <v>120.0</v>
      </c>
      <c r="D405" s="369"/>
      <c r="E405" s="344" t="str">
        <f t="shared" si="2"/>
        <v>Saturday</v>
      </c>
      <c r="F405" s="344" t="s">
        <v>554</v>
      </c>
      <c r="G405" s="370"/>
      <c r="H405" s="370"/>
      <c r="I405" s="357">
        <f t="shared" si="3"/>
        <v>0</v>
      </c>
      <c r="J405" s="346">
        <f t="shared" si="4"/>
        <v>0</v>
      </c>
      <c r="K405" s="312"/>
      <c r="L405" s="312"/>
      <c r="M405" s="312"/>
      <c r="N405" s="362"/>
      <c r="O405" s="312"/>
      <c r="P405" s="312"/>
      <c r="S405" s="2">
        <f t="shared" si="5"/>
        <v>0</v>
      </c>
      <c r="AA405" s="312"/>
      <c r="AB405" s="312"/>
      <c r="AC405" s="312"/>
      <c r="AD405" s="312"/>
    </row>
    <row r="406">
      <c r="A406" s="312"/>
      <c r="B406" s="344">
        <f t="shared" si="1"/>
        <v>1714.918281</v>
      </c>
      <c r="C406" s="344">
        <v>120.0</v>
      </c>
      <c r="D406" s="369"/>
      <c r="E406" s="344" t="str">
        <f t="shared" si="2"/>
        <v>Saturday</v>
      </c>
      <c r="F406" s="344" t="s">
        <v>554</v>
      </c>
      <c r="G406" s="370"/>
      <c r="H406" s="370"/>
      <c r="I406" s="357">
        <f t="shared" si="3"/>
        <v>0</v>
      </c>
      <c r="J406" s="346">
        <f t="shared" si="4"/>
        <v>0</v>
      </c>
      <c r="K406" s="312"/>
      <c r="L406" s="312"/>
      <c r="M406" s="312"/>
      <c r="N406" s="362"/>
      <c r="O406" s="312"/>
      <c r="P406" s="312"/>
      <c r="S406" s="2">
        <f t="shared" si="5"/>
        <v>0</v>
      </c>
      <c r="AA406" s="312"/>
      <c r="AB406" s="312"/>
      <c r="AC406" s="312"/>
      <c r="AD406" s="312"/>
    </row>
    <row r="407">
      <c r="A407" s="312"/>
      <c r="B407" s="344">
        <f t="shared" si="1"/>
        <v>1714.918281</v>
      </c>
      <c r="C407" s="344">
        <v>120.0</v>
      </c>
      <c r="D407" s="369"/>
      <c r="E407" s="344" t="str">
        <f t="shared" si="2"/>
        <v>Saturday</v>
      </c>
      <c r="F407" s="344" t="s">
        <v>554</v>
      </c>
      <c r="G407" s="370"/>
      <c r="H407" s="370"/>
      <c r="I407" s="357">
        <f t="shared" si="3"/>
        <v>0</v>
      </c>
      <c r="J407" s="346">
        <f t="shared" si="4"/>
        <v>0</v>
      </c>
      <c r="K407" s="312"/>
      <c r="L407" s="312"/>
      <c r="M407" s="312"/>
      <c r="N407" s="362"/>
      <c r="O407" s="312"/>
      <c r="P407" s="312"/>
      <c r="S407" s="2">
        <f t="shared" si="5"/>
        <v>0</v>
      </c>
      <c r="AA407" s="312"/>
      <c r="AB407" s="312"/>
      <c r="AC407" s="312"/>
      <c r="AD407" s="312"/>
    </row>
    <row r="408">
      <c r="A408" s="312"/>
      <c r="B408" s="344">
        <f t="shared" si="1"/>
        <v>1714.918281</v>
      </c>
      <c r="C408" s="344">
        <v>120.0</v>
      </c>
      <c r="D408" s="369"/>
      <c r="E408" s="344" t="str">
        <f t="shared" si="2"/>
        <v>Saturday</v>
      </c>
      <c r="F408" s="344" t="s">
        <v>554</v>
      </c>
      <c r="G408" s="370"/>
      <c r="H408" s="370"/>
      <c r="I408" s="357">
        <f t="shared" si="3"/>
        <v>0</v>
      </c>
      <c r="J408" s="346">
        <f t="shared" si="4"/>
        <v>0</v>
      </c>
      <c r="K408" s="312"/>
      <c r="L408" s="312"/>
      <c r="M408" s="312"/>
      <c r="N408" s="362"/>
      <c r="O408" s="312"/>
      <c r="P408" s="312"/>
      <c r="S408" s="2">
        <f t="shared" si="5"/>
        <v>0</v>
      </c>
      <c r="AA408" s="312"/>
      <c r="AB408" s="312"/>
      <c r="AC408" s="312"/>
      <c r="AD408" s="312"/>
    </row>
    <row r="409">
      <c r="A409" s="312"/>
      <c r="B409" s="344">
        <f t="shared" si="1"/>
        <v>1714.918281</v>
      </c>
      <c r="C409" s="344">
        <v>120.0</v>
      </c>
      <c r="D409" s="369"/>
      <c r="E409" s="344" t="str">
        <f t="shared" si="2"/>
        <v>Saturday</v>
      </c>
      <c r="F409" s="344" t="s">
        <v>554</v>
      </c>
      <c r="G409" s="370"/>
      <c r="H409" s="370"/>
      <c r="I409" s="357">
        <f t="shared" si="3"/>
        <v>0</v>
      </c>
      <c r="J409" s="346">
        <f t="shared" si="4"/>
        <v>0</v>
      </c>
      <c r="K409" s="312"/>
      <c r="L409" s="312"/>
      <c r="M409" s="312"/>
      <c r="N409" s="362"/>
      <c r="O409" s="312"/>
      <c r="P409" s="312"/>
      <c r="S409" s="2">
        <f t="shared" si="5"/>
        <v>0</v>
      </c>
      <c r="AA409" s="312"/>
      <c r="AB409" s="312"/>
      <c r="AC409" s="312"/>
      <c r="AD409" s="312"/>
    </row>
    <row r="410">
      <c r="A410" s="312"/>
      <c r="B410" s="344">
        <f t="shared" si="1"/>
        <v>1714.918281</v>
      </c>
      <c r="C410" s="344">
        <v>120.0</v>
      </c>
      <c r="D410" s="369"/>
      <c r="E410" s="344" t="str">
        <f t="shared" si="2"/>
        <v>Saturday</v>
      </c>
      <c r="F410" s="344" t="s">
        <v>554</v>
      </c>
      <c r="G410" s="370"/>
      <c r="H410" s="370"/>
      <c r="I410" s="357">
        <f t="shared" si="3"/>
        <v>0</v>
      </c>
      <c r="J410" s="346">
        <f t="shared" si="4"/>
        <v>0</v>
      </c>
      <c r="K410" s="312"/>
      <c r="L410" s="312"/>
      <c r="M410" s="312"/>
      <c r="N410" s="362"/>
      <c r="O410" s="312"/>
      <c r="P410" s="312"/>
      <c r="S410" s="2">
        <f t="shared" si="5"/>
        <v>0</v>
      </c>
      <c r="AA410" s="312"/>
      <c r="AB410" s="312"/>
      <c r="AC410" s="312"/>
      <c r="AD410" s="312"/>
    </row>
    <row r="411">
      <c r="A411" s="312"/>
      <c r="B411" s="344">
        <f t="shared" si="1"/>
        <v>1714.918281</v>
      </c>
      <c r="C411" s="344">
        <v>120.0</v>
      </c>
      <c r="D411" s="369"/>
      <c r="E411" s="344" t="str">
        <f t="shared" si="2"/>
        <v>Saturday</v>
      </c>
      <c r="F411" s="344" t="s">
        <v>554</v>
      </c>
      <c r="G411" s="370"/>
      <c r="H411" s="370"/>
      <c r="I411" s="357">
        <f t="shared" si="3"/>
        <v>0</v>
      </c>
      <c r="J411" s="346">
        <f t="shared" si="4"/>
        <v>0</v>
      </c>
      <c r="K411" s="312"/>
      <c r="L411" s="312"/>
      <c r="M411" s="312"/>
      <c r="N411" s="362"/>
      <c r="O411" s="312"/>
      <c r="P411" s="312"/>
      <c r="S411" s="2">
        <f t="shared" si="5"/>
        <v>0</v>
      </c>
      <c r="AA411" s="312"/>
      <c r="AB411" s="312"/>
      <c r="AC411" s="312"/>
      <c r="AD411" s="312"/>
    </row>
    <row r="412">
      <c r="A412" s="312"/>
      <c r="B412" s="344">
        <f t="shared" si="1"/>
        <v>1714.918281</v>
      </c>
      <c r="C412" s="344">
        <v>120.0</v>
      </c>
      <c r="D412" s="369"/>
      <c r="E412" s="344" t="str">
        <f t="shared" si="2"/>
        <v>Saturday</v>
      </c>
      <c r="F412" s="344" t="s">
        <v>554</v>
      </c>
      <c r="G412" s="370"/>
      <c r="H412" s="370"/>
      <c r="I412" s="357">
        <f t="shared" si="3"/>
        <v>0</v>
      </c>
      <c r="J412" s="346">
        <f t="shared" si="4"/>
        <v>0</v>
      </c>
      <c r="K412" s="312"/>
      <c r="L412" s="312"/>
      <c r="M412" s="312"/>
      <c r="N412" s="362"/>
      <c r="O412" s="312"/>
      <c r="P412" s="312"/>
      <c r="S412" s="2">
        <f t="shared" si="5"/>
        <v>0</v>
      </c>
      <c r="AA412" s="312"/>
      <c r="AB412" s="312"/>
      <c r="AC412" s="312"/>
      <c r="AD412" s="312"/>
    </row>
    <row r="413">
      <c r="A413" s="312"/>
      <c r="B413" s="344">
        <f t="shared" si="1"/>
        <v>1714.918281</v>
      </c>
      <c r="C413" s="344">
        <v>120.0</v>
      </c>
      <c r="D413" s="369"/>
      <c r="E413" s="344" t="str">
        <f t="shared" si="2"/>
        <v>Saturday</v>
      </c>
      <c r="F413" s="344" t="s">
        <v>554</v>
      </c>
      <c r="G413" s="370"/>
      <c r="H413" s="370"/>
      <c r="I413" s="357">
        <f t="shared" si="3"/>
        <v>0</v>
      </c>
      <c r="J413" s="346">
        <f t="shared" si="4"/>
        <v>0</v>
      </c>
      <c r="K413" s="312"/>
      <c r="L413" s="312"/>
      <c r="M413" s="312"/>
      <c r="N413" s="362"/>
      <c r="O413" s="312"/>
      <c r="P413" s="312"/>
      <c r="S413" s="2">
        <f t="shared" si="5"/>
        <v>0</v>
      </c>
      <c r="AA413" s="312"/>
      <c r="AB413" s="312"/>
      <c r="AC413" s="312"/>
      <c r="AD413" s="312"/>
    </row>
    <row r="414">
      <c r="A414" s="312"/>
      <c r="B414" s="344">
        <f t="shared" si="1"/>
        <v>1714.918281</v>
      </c>
      <c r="C414" s="344">
        <v>120.0</v>
      </c>
      <c r="D414" s="369"/>
      <c r="E414" s="344" t="str">
        <f t="shared" si="2"/>
        <v>Saturday</v>
      </c>
      <c r="F414" s="344" t="s">
        <v>554</v>
      </c>
      <c r="G414" s="370"/>
      <c r="H414" s="370"/>
      <c r="I414" s="357">
        <f t="shared" si="3"/>
        <v>0</v>
      </c>
      <c r="J414" s="346">
        <f t="shared" si="4"/>
        <v>0</v>
      </c>
      <c r="K414" s="312"/>
      <c r="L414" s="312"/>
      <c r="M414" s="312"/>
      <c r="N414" s="362"/>
      <c r="O414" s="312"/>
      <c r="P414" s="312"/>
      <c r="S414" s="2">
        <f t="shared" si="5"/>
        <v>0</v>
      </c>
      <c r="AA414" s="312"/>
      <c r="AB414" s="312"/>
      <c r="AC414" s="312"/>
      <c r="AD414" s="312"/>
    </row>
    <row r="415">
      <c r="A415" s="312"/>
      <c r="B415" s="344">
        <f t="shared" si="1"/>
        <v>1714.918281</v>
      </c>
      <c r="C415" s="344">
        <v>120.0</v>
      </c>
      <c r="D415" s="369"/>
      <c r="E415" s="344" t="str">
        <f t="shared" si="2"/>
        <v>Saturday</v>
      </c>
      <c r="F415" s="344" t="s">
        <v>554</v>
      </c>
      <c r="G415" s="370"/>
      <c r="H415" s="370"/>
      <c r="I415" s="357">
        <f t="shared" si="3"/>
        <v>0</v>
      </c>
      <c r="J415" s="346">
        <f t="shared" si="4"/>
        <v>0</v>
      </c>
      <c r="K415" s="312"/>
      <c r="L415" s="312"/>
      <c r="M415" s="312"/>
      <c r="N415" s="362"/>
      <c r="O415" s="312"/>
      <c r="P415" s="312"/>
      <c r="S415" s="2">
        <f t="shared" si="5"/>
        <v>0</v>
      </c>
      <c r="AA415" s="312"/>
      <c r="AB415" s="312"/>
      <c r="AC415" s="312"/>
      <c r="AD415" s="312"/>
    </row>
    <row r="416">
      <c r="A416" s="312"/>
      <c r="B416" s="344">
        <f t="shared" si="1"/>
        <v>1714.918281</v>
      </c>
      <c r="C416" s="344">
        <v>120.0</v>
      </c>
      <c r="D416" s="369"/>
      <c r="E416" s="344" t="str">
        <f t="shared" si="2"/>
        <v>Saturday</v>
      </c>
      <c r="F416" s="344" t="s">
        <v>554</v>
      </c>
      <c r="G416" s="370"/>
      <c r="H416" s="370"/>
      <c r="I416" s="357">
        <f t="shared" si="3"/>
        <v>0</v>
      </c>
      <c r="J416" s="346">
        <f t="shared" si="4"/>
        <v>0</v>
      </c>
      <c r="K416" s="312"/>
      <c r="L416" s="312"/>
      <c r="M416" s="312"/>
      <c r="N416" s="362"/>
      <c r="O416" s="312"/>
      <c r="P416" s="312"/>
      <c r="S416" s="2">
        <f t="shared" si="5"/>
        <v>0</v>
      </c>
      <c r="AA416" s="312"/>
      <c r="AB416" s="312"/>
      <c r="AC416" s="312"/>
      <c r="AD416" s="312"/>
    </row>
    <row r="417">
      <c r="A417" s="312"/>
      <c r="B417" s="344">
        <f t="shared" si="1"/>
        <v>1714.918281</v>
      </c>
      <c r="C417" s="344">
        <v>120.0</v>
      </c>
      <c r="D417" s="369"/>
      <c r="E417" s="344" t="str">
        <f t="shared" si="2"/>
        <v>Saturday</v>
      </c>
      <c r="F417" s="344" t="s">
        <v>554</v>
      </c>
      <c r="G417" s="370"/>
      <c r="H417" s="370"/>
      <c r="I417" s="357">
        <f t="shared" si="3"/>
        <v>0</v>
      </c>
      <c r="J417" s="346">
        <f t="shared" si="4"/>
        <v>0</v>
      </c>
      <c r="K417" s="312"/>
      <c r="L417" s="312"/>
      <c r="M417" s="312"/>
      <c r="N417" s="362"/>
      <c r="O417" s="312"/>
      <c r="P417" s="312"/>
      <c r="S417" s="2">
        <f t="shared" si="5"/>
        <v>0</v>
      </c>
      <c r="AA417" s="312"/>
      <c r="AB417" s="312"/>
      <c r="AC417" s="312"/>
      <c r="AD417" s="312"/>
    </row>
    <row r="418">
      <c r="A418" s="312"/>
      <c r="B418" s="344">
        <f t="shared" si="1"/>
        <v>1714.918281</v>
      </c>
      <c r="C418" s="344">
        <v>120.0</v>
      </c>
      <c r="D418" s="369"/>
      <c r="E418" s="344" t="str">
        <f t="shared" si="2"/>
        <v>Saturday</v>
      </c>
      <c r="F418" s="344" t="s">
        <v>554</v>
      </c>
      <c r="G418" s="370"/>
      <c r="H418" s="370"/>
      <c r="I418" s="357">
        <f t="shared" si="3"/>
        <v>0</v>
      </c>
      <c r="J418" s="346">
        <f t="shared" si="4"/>
        <v>0</v>
      </c>
      <c r="K418" s="312"/>
      <c r="L418" s="312"/>
      <c r="M418" s="312"/>
      <c r="N418" s="362"/>
      <c r="O418" s="312"/>
      <c r="P418" s="312"/>
      <c r="S418" s="2">
        <f t="shared" si="5"/>
        <v>0</v>
      </c>
      <c r="AA418" s="312"/>
      <c r="AB418" s="312"/>
      <c r="AC418" s="312"/>
      <c r="AD418" s="312"/>
    </row>
    <row r="419">
      <c r="A419" s="312"/>
      <c r="B419" s="344">
        <f t="shared" si="1"/>
        <v>1714.918281</v>
      </c>
      <c r="C419" s="344">
        <v>120.0</v>
      </c>
      <c r="D419" s="369"/>
      <c r="E419" s="344" t="str">
        <f t="shared" si="2"/>
        <v>Saturday</v>
      </c>
      <c r="F419" s="344" t="s">
        <v>554</v>
      </c>
      <c r="G419" s="370"/>
      <c r="H419" s="370"/>
      <c r="I419" s="357">
        <f t="shared" si="3"/>
        <v>0</v>
      </c>
      <c r="J419" s="346">
        <f t="shared" si="4"/>
        <v>0</v>
      </c>
      <c r="K419" s="312"/>
      <c r="L419" s="312"/>
      <c r="M419" s="312"/>
      <c r="N419" s="362"/>
      <c r="O419" s="312"/>
      <c r="P419" s="312"/>
      <c r="S419" s="2">
        <f t="shared" si="5"/>
        <v>0</v>
      </c>
      <c r="AA419" s="312"/>
      <c r="AB419" s="312"/>
      <c r="AC419" s="312"/>
      <c r="AD419" s="312"/>
    </row>
    <row r="420">
      <c r="A420" s="312"/>
      <c r="B420" s="344">
        <f t="shared" si="1"/>
        <v>1714.918281</v>
      </c>
      <c r="C420" s="344">
        <v>120.0</v>
      </c>
      <c r="D420" s="369"/>
      <c r="E420" s="344" t="str">
        <f t="shared" si="2"/>
        <v>Saturday</v>
      </c>
      <c r="F420" s="344" t="s">
        <v>554</v>
      </c>
      <c r="G420" s="370"/>
      <c r="H420" s="370"/>
      <c r="I420" s="357">
        <f t="shared" si="3"/>
        <v>0</v>
      </c>
      <c r="J420" s="346">
        <f t="shared" si="4"/>
        <v>0</v>
      </c>
      <c r="K420" s="312"/>
      <c r="L420" s="312"/>
      <c r="M420" s="312"/>
      <c r="N420" s="362"/>
      <c r="O420" s="312"/>
      <c r="P420" s="312"/>
      <c r="S420" s="2">
        <f t="shared" si="5"/>
        <v>0</v>
      </c>
      <c r="AA420" s="312"/>
      <c r="AB420" s="312"/>
      <c r="AC420" s="312"/>
      <c r="AD420" s="312"/>
    </row>
    <row r="421">
      <c r="A421" s="312"/>
      <c r="B421" s="344">
        <f t="shared" si="1"/>
        <v>1714.918281</v>
      </c>
      <c r="C421" s="344">
        <v>120.0</v>
      </c>
      <c r="D421" s="369"/>
      <c r="E421" s="344" t="str">
        <f t="shared" si="2"/>
        <v>Saturday</v>
      </c>
      <c r="F421" s="344" t="s">
        <v>554</v>
      </c>
      <c r="G421" s="370"/>
      <c r="H421" s="370"/>
      <c r="I421" s="357">
        <f t="shared" si="3"/>
        <v>0</v>
      </c>
      <c r="J421" s="346">
        <f t="shared" si="4"/>
        <v>0</v>
      </c>
      <c r="K421" s="312"/>
      <c r="L421" s="312"/>
      <c r="M421" s="312"/>
      <c r="N421" s="362"/>
      <c r="O421" s="312"/>
      <c r="P421" s="312"/>
      <c r="S421" s="2">
        <f t="shared" si="5"/>
        <v>0</v>
      </c>
      <c r="AA421" s="312"/>
      <c r="AB421" s="312"/>
      <c r="AC421" s="312"/>
      <c r="AD421" s="312"/>
    </row>
    <row r="422">
      <c r="A422" s="312"/>
      <c r="B422" s="344">
        <f t="shared" si="1"/>
        <v>1714.918281</v>
      </c>
      <c r="C422" s="344">
        <v>120.0</v>
      </c>
      <c r="D422" s="369"/>
      <c r="E422" s="344" t="str">
        <f t="shared" si="2"/>
        <v>Saturday</v>
      </c>
      <c r="F422" s="344" t="s">
        <v>554</v>
      </c>
      <c r="G422" s="370"/>
      <c r="H422" s="370"/>
      <c r="I422" s="357">
        <f t="shared" si="3"/>
        <v>0</v>
      </c>
      <c r="J422" s="346">
        <f t="shared" si="4"/>
        <v>0</v>
      </c>
      <c r="K422" s="312"/>
      <c r="L422" s="312"/>
      <c r="M422" s="312"/>
      <c r="N422" s="362"/>
      <c r="O422" s="312"/>
      <c r="P422" s="312"/>
      <c r="S422" s="2">
        <f t="shared" si="5"/>
        <v>0</v>
      </c>
      <c r="AA422" s="312"/>
      <c r="AB422" s="312"/>
      <c r="AC422" s="312"/>
      <c r="AD422" s="312"/>
    </row>
    <row r="423">
      <c r="A423" s="312"/>
      <c r="B423" s="344">
        <f t="shared" si="1"/>
        <v>1714.918281</v>
      </c>
      <c r="C423" s="344">
        <v>120.0</v>
      </c>
      <c r="D423" s="369"/>
      <c r="E423" s="344" t="str">
        <f t="shared" si="2"/>
        <v>Saturday</v>
      </c>
      <c r="F423" s="344" t="s">
        <v>554</v>
      </c>
      <c r="G423" s="370"/>
      <c r="H423" s="370"/>
      <c r="I423" s="357">
        <f t="shared" si="3"/>
        <v>0</v>
      </c>
      <c r="J423" s="346">
        <f t="shared" si="4"/>
        <v>0</v>
      </c>
      <c r="K423" s="312"/>
      <c r="L423" s="312"/>
      <c r="M423" s="312"/>
      <c r="N423" s="362"/>
      <c r="O423" s="312"/>
      <c r="P423" s="312"/>
      <c r="S423" s="2">
        <f t="shared" si="5"/>
        <v>0</v>
      </c>
      <c r="AA423" s="312"/>
      <c r="AB423" s="312"/>
      <c r="AC423" s="312"/>
      <c r="AD423" s="312"/>
    </row>
    <row r="424">
      <c r="A424" s="312"/>
      <c r="B424" s="344">
        <f t="shared" si="1"/>
        <v>1714.918281</v>
      </c>
      <c r="C424" s="344">
        <v>120.0</v>
      </c>
      <c r="D424" s="369"/>
      <c r="E424" s="344" t="str">
        <f t="shared" si="2"/>
        <v>Saturday</v>
      </c>
      <c r="F424" s="344" t="s">
        <v>554</v>
      </c>
      <c r="G424" s="370"/>
      <c r="H424" s="370"/>
      <c r="I424" s="357">
        <f t="shared" si="3"/>
        <v>0</v>
      </c>
      <c r="J424" s="346">
        <f t="shared" si="4"/>
        <v>0</v>
      </c>
      <c r="K424" s="312"/>
      <c r="L424" s="312"/>
      <c r="M424" s="312"/>
      <c r="N424" s="362"/>
      <c r="O424" s="312"/>
      <c r="P424" s="312"/>
      <c r="S424" s="2">
        <f t="shared" si="5"/>
        <v>0</v>
      </c>
      <c r="AA424" s="312"/>
      <c r="AB424" s="312"/>
      <c r="AC424" s="312"/>
      <c r="AD424" s="312"/>
    </row>
    <row r="425">
      <c r="A425" s="312"/>
      <c r="B425" s="344">
        <f t="shared" si="1"/>
        <v>1714.918281</v>
      </c>
      <c r="C425" s="344">
        <v>120.0</v>
      </c>
      <c r="D425" s="369"/>
      <c r="E425" s="344" t="str">
        <f t="shared" si="2"/>
        <v>Saturday</v>
      </c>
      <c r="F425" s="344" t="s">
        <v>554</v>
      </c>
      <c r="G425" s="370"/>
      <c r="H425" s="370"/>
      <c r="I425" s="357">
        <f t="shared" si="3"/>
        <v>0</v>
      </c>
      <c r="J425" s="346">
        <f t="shared" si="4"/>
        <v>0</v>
      </c>
      <c r="K425" s="312"/>
      <c r="L425" s="312"/>
      <c r="M425" s="312"/>
      <c r="N425" s="362"/>
      <c r="O425" s="312"/>
      <c r="P425" s="312"/>
      <c r="S425" s="2">
        <f t="shared" si="5"/>
        <v>0</v>
      </c>
      <c r="AA425" s="312"/>
      <c r="AB425" s="312"/>
      <c r="AC425" s="312"/>
      <c r="AD425" s="312"/>
    </row>
    <row r="426">
      <c r="A426" s="312"/>
      <c r="B426" s="344">
        <f t="shared" si="1"/>
        <v>1714.918281</v>
      </c>
      <c r="C426" s="344">
        <v>120.0</v>
      </c>
      <c r="D426" s="369"/>
      <c r="E426" s="344" t="str">
        <f t="shared" si="2"/>
        <v>Saturday</v>
      </c>
      <c r="F426" s="344" t="s">
        <v>554</v>
      </c>
      <c r="G426" s="370"/>
      <c r="H426" s="370"/>
      <c r="I426" s="357">
        <f t="shared" si="3"/>
        <v>0</v>
      </c>
      <c r="J426" s="346">
        <f t="shared" si="4"/>
        <v>0</v>
      </c>
      <c r="K426" s="312"/>
      <c r="L426" s="312"/>
      <c r="M426" s="312"/>
      <c r="N426" s="362"/>
      <c r="O426" s="312"/>
      <c r="P426" s="312"/>
      <c r="S426" s="2">
        <f t="shared" si="5"/>
        <v>0</v>
      </c>
      <c r="AA426" s="312"/>
      <c r="AB426" s="312"/>
      <c r="AC426" s="312"/>
      <c r="AD426" s="312"/>
    </row>
    <row r="427">
      <c r="A427" s="312"/>
      <c r="B427" s="344">
        <f t="shared" si="1"/>
        <v>1714.918281</v>
      </c>
      <c r="C427" s="344">
        <v>120.0</v>
      </c>
      <c r="D427" s="369"/>
      <c r="E427" s="344" t="str">
        <f t="shared" si="2"/>
        <v>Saturday</v>
      </c>
      <c r="F427" s="344" t="s">
        <v>554</v>
      </c>
      <c r="G427" s="370"/>
      <c r="H427" s="370"/>
      <c r="I427" s="357">
        <f t="shared" si="3"/>
        <v>0</v>
      </c>
      <c r="J427" s="346">
        <f t="shared" si="4"/>
        <v>0</v>
      </c>
      <c r="K427" s="312"/>
      <c r="L427" s="312"/>
      <c r="M427" s="312"/>
      <c r="N427" s="362"/>
      <c r="O427" s="312"/>
      <c r="P427" s="312"/>
      <c r="S427" s="2">
        <f t="shared" si="5"/>
        <v>0</v>
      </c>
      <c r="AA427" s="312"/>
      <c r="AB427" s="312"/>
      <c r="AC427" s="312"/>
      <c r="AD427" s="312"/>
    </row>
    <row r="428">
      <c r="A428" s="312"/>
      <c r="B428" s="344">
        <f t="shared" si="1"/>
        <v>1714.918281</v>
      </c>
      <c r="C428" s="344">
        <v>120.0</v>
      </c>
      <c r="D428" s="369"/>
      <c r="E428" s="344" t="str">
        <f t="shared" si="2"/>
        <v>Saturday</v>
      </c>
      <c r="F428" s="344" t="s">
        <v>554</v>
      </c>
      <c r="G428" s="370"/>
      <c r="H428" s="370"/>
      <c r="I428" s="357">
        <f t="shared" si="3"/>
        <v>0</v>
      </c>
      <c r="J428" s="346">
        <f t="shared" si="4"/>
        <v>0</v>
      </c>
      <c r="K428" s="312"/>
      <c r="L428" s="312"/>
      <c r="M428" s="312"/>
      <c r="N428" s="362"/>
      <c r="O428" s="312"/>
      <c r="P428" s="312"/>
      <c r="S428" s="2">
        <f t="shared" si="5"/>
        <v>0</v>
      </c>
      <c r="AA428" s="312"/>
      <c r="AB428" s="312"/>
      <c r="AC428" s="312"/>
      <c r="AD428" s="312"/>
    </row>
    <row r="429">
      <c r="A429" s="312"/>
      <c r="B429" s="344">
        <f t="shared" si="1"/>
        <v>1714.918281</v>
      </c>
      <c r="C429" s="344">
        <v>120.0</v>
      </c>
      <c r="D429" s="369"/>
      <c r="E429" s="344" t="str">
        <f t="shared" si="2"/>
        <v>Saturday</v>
      </c>
      <c r="F429" s="344" t="s">
        <v>554</v>
      </c>
      <c r="G429" s="370"/>
      <c r="H429" s="370"/>
      <c r="I429" s="357">
        <f t="shared" si="3"/>
        <v>0</v>
      </c>
      <c r="J429" s="346">
        <f t="shared" si="4"/>
        <v>0</v>
      </c>
      <c r="K429" s="312"/>
      <c r="L429" s="312"/>
      <c r="M429" s="312"/>
      <c r="N429" s="362"/>
      <c r="O429" s="312"/>
      <c r="P429" s="312"/>
      <c r="S429" s="2">
        <f t="shared" si="5"/>
        <v>0</v>
      </c>
      <c r="AA429" s="312"/>
      <c r="AB429" s="312"/>
      <c r="AC429" s="312"/>
      <c r="AD429" s="312"/>
    </row>
    <row r="430">
      <c r="A430" s="312"/>
      <c r="B430" s="344">
        <f t="shared" si="1"/>
        <v>1714.918281</v>
      </c>
      <c r="C430" s="344">
        <v>120.0</v>
      </c>
      <c r="D430" s="369"/>
      <c r="E430" s="344" t="str">
        <f t="shared" si="2"/>
        <v>Saturday</v>
      </c>
      <c r="F430" s="344" t="s">
        <v>554</v>
      </c>
      <c r="G430" s="370"/>
      <c r="H430" s="370"/>
      <c r="I430" s="357">
        <f t="shared" si="3"/>
        <v>0</v>
      </c>
      <c r="J430" s="346">
        <f t="shared" si="4"/>
        <v>0</v>
      </c>
      <c r="K430" s="312"/>
      <c r="L430" s="312"/>
      <c r="M430" s="312"/>
      <c r="N430" s="362"/>
      <c r="O430" s="312"/>
      <c r="P430" s="312"/>
      <c r="S430" s="2">
        <f t="shared" si="5"/>
        <v>0</v>
      </c>
      <c r="AA430" s="312"/>
      <c r="AB430" s="312"/>
      <c r="AC430" s="312"/>
      <c r="AD430" s="312"/>
    </row>
    <row r="431">
      <c r="A431" s="312"/>
      <c r="B431" s="344">
        <f t="shared" si="1"/>
        <v>1714.918281</v>
      </c>
      <c r="C431" s="344">
        <v>120.0</v>
      </c>
      <c r="D431" s="369"/>
      <c r="E431" s="344" t="str">
        <f t="shared" si="2"/>
        <v>Saturday</v>
      </c>
      <c r="F431" s="344" t="s">
        <v>554</v>
      </c>
      <c r="G431" s="370"/>
      <c r="H431" s="370"/>
      <c r="I431" s="357">
        <f t="shared" si="3"/>
        <v>0</v>
      </c>
      <c r="J431" s="346">
        <f t="shared" si="4"/>
        <v>0</v>
      </c>
      <c r="K431" s="312"/>
      <c r="L431" s="312"/>
      <c r="M431" s="312"/>
      <c r="N431" s="362"/>
      <c r="O431" s="312"/>
      <c r="P431" s="312"/>
      <c r="S431" s="2">
        <f t="shared" si="5"/>
        <v>0</v>
      </c>
      <c r="AA431" s="312"/>
      <c r="AB431" s="312"/>
      <c r="AC431" s="312"/>
      <c r="AD431" s="312"/>
    </row>
    <row r="432">
      <c r="A432" s="312"/>
      <c r="B432" s="344">
        <f t="shared" si="1"/>
        <v>1714.918281</v>
      </c>
      <c r="C432" s="344">
        <v>120.0</v>
      </c>
      <c r="D432" s="369"/>
      <c r="E432" s="344" t="str">
        <f t="shared" si="2"/>
        <v>Saturday</v>
      </c>
      <c r="F432" s="344" t="s">
        <v>554</v>
      </c>
      <c r="G432" s="370"/>
      <c r="H432" s="370"/>
      <c r="I432" s="357">
        <f t="shared" si="3"/>
        <v>0</v>
      </c>
      <c r="J432" s="346">
        <f t="shared" si="4"/>
        <v>0</v>
      </c>
      <c r="K432" s="312"/>
      <c r="L432" s="312"/>
      <c r="M432" s="312"/>
      <c r="N432" s="362"/>
      <c r="O432" s="312"/>
      <c r="P432" s="312"/>
      <c r="S432" s="2">
        <f t="shared" si="5"/>
        <v>0</v>
      </c>
      <c r="AA432" s="312"/>
      <c r="AB432" s="312"/>
      <c r="AC432" s="312"/>
      <c r="AD432" s="312"/>
    </row>
    <row r="433">
      <c r="A433" s="312"/>
      <c r="B433" s="344">
        <f t="shared" si="1"/>
        <v>1714.918281</v>
      </c>
      <c r="C433" s="344">
        <v>120.0</v>
      </c>
      <c r="D433" s="369"/>
      <c r="E433" s="344" t="str">
        <f t="shared" si="2"/>
        <v>Saturday</v>
      </c>
      <c r="F433" s="344" t="s">
        <v>554</v>
      </c>
      <c r="G433" s="370"/>
      <c r="H433" s="370"/>
      <c r="I433" s="357">
        <f t="shared" si="3"/>
        <v>0</v>
      </c>
      <c r="J433" s="346">
        <f t="shared" si="4"/>
        <v>0</v>
      </c>
      <c r="K433" s="312"/>
      <c r="L433" s="312"/>
      <c r="M433" s="312"/>
      <c r="N433" s="362"/>
      <c r="O433" s="312"/>
      <c r="P433" s="312"/>
      <c r="S433" s="2">
        <f t="shared" si="5"/>
        <v>0</v>
      </c>
      <c r="AA433" s="312"/>
      <c r="AB433" s="312"/>
      <c r="AC433" s="312"/>
      <c r="AD433" s="312"/>
    </row>
    <row r="434">
      <c r="A434" s="312"/>
      <c r="B434" s="344">
        <f t="shared" si="1"/>
        <v>1714.918281</v>
      </c>
      <c r="C434" s="344">
        <v>120.0</v>
      </c>
      <c r="D434" s="369"/>
      <c r="E434" s="344" t="str">
        <f t="shared" si="2"/>
        <v>Saturday</v>
      </c>
      <c r="F434" s="344" t="s">
        <v>554</v>
      </c>
      <c r="G434" s="370"/>
      <c r="H434" s="370"/>
      <c r="I434" s="357">
        <f t="shared" si="3"/>
        <v>0</v>
      </c>
      <c r="J434" s="346">
        <f t="shared" si="4"/>
        <v>0</v>
      </c>
      <c r="K434" s="312"/>
      <c r="L434" s="312"/>
      <c r="M434" s="312"/>
      <c r="N434" s="362"/>
      <c r="O434" s="312"/>
      <c r="P434" s="312"/>
      <c r="S434" s="2">
        <f t="shared" si="5"/>
        <v>0</v>
      </c>
      <c r="AA434" s="312"/>
      <c r="AB434" s="312"/>
      <c r="AC434" s="312"/>
      <c r="AD434" s="312"/>
    </row>
    <row r="435">
      <c r="A435" s="312"/>
      <c r="B435" s="344">
        <f t="shared" si="1"/>
        <v>1714.918281</v>
      </c>
      <c r="C435" s="344">
        <v>120.0</v>
      </c>
      <c r="D435" s="369"/>
      <c r="E435" s="344" t="str">
        <f t="shared" si="2"/>
        <v>Saturday</v>
      </c>
      <c r="F435" s="344" t="s">
        <v>554</v>
      </c>
      <c r="G435" s="370"/>
      <c r="H435" s="370"/>
      <c r="I435" s="357">
        <f t="shared" si="3"/>
        <v>0</v>
      </c>
      <c r="J435" s="346">
        <f t="shared" si="4"/>
        <v>0</v>
      </c>
      <c r="K435" s="312"/>
      <c r="L435" s="312"/>
      <c r="M435" s="312"/>
      <c r="N435" s="362"/>
      <c r="O435" s="312"/>
      <c r="P435" s="312"/>
      <c r="S435" s="2">
        <f t="shared" si="5"/>
        <v>0</v>
      </c>
      <c r="AA435" s="312"/>
      <c r="AB435" s="312"/>
      <c r="AC435" s="312"/>
      <c r="AD435" s="312"/>
    </row>
    <row r="436">
      <c r="A436" s="312"/>
      <c r="B436" s="344">
        <f t="shared" si="1"/>
        <v>1714.918281</v>
      </c>
      <c r="C436" s="344">
        <v>120.0</v>
      </c>
      <c r="D436" s="369"/>
      <c r="E436" s="344" t="str">
        <f t="shared" si="2"/>
        <v>Saturday</v>
      </c>
      <c r="F436" s="344" t="s">
        <v>554</v>
      </c>
      <c r="G436" s="370"/>
      <c r="H436" s="370"/>
      <c r="I436" s="357">
        <f t="shared" si="3"/>
        <v>0</v>
      </c>
      <c r="J436" s="346">
        <f t="shared" si="4"/>
        <v>0</v>
      </c>
      <c r="K436" s="312"/>
      <c r="L436" s="312"/>
      <c r="M436" s="312"/>
      <c r="N436" s="362"/>
      <c r="O436" s="312"/>
      <c r="P436" s="312"/>
      <c r="S436" s="2">
        <f t="shared" si="5"/>
        <v>0</v>
      </c>
      <c r="AA436" s="312"/>
      <c r="AB436" s="312"/>
      <c r="AC436" s="312"/>
      <c r="AD436" s="312"/>
    </row>
    <row r="437">
      <c r="A437" s="312"/>
      <c r="B437" s="344">
        <f t="shared" si="1"/>
        <v>1714.918281</v>
      </c>
      <c r="C437" s="344">
        <v>120.0</v>
      </c>
      <c r="D437" s="369"/>
      <c r="E437" s="344" t="str">
        <f t="shared" si="2"/>
        <v>Saturday</v>
      </c>
      <c r="F437" s="344" t="s">
        <v>554</v>
      </c>
      <c r="G437" s="370"/>
      <c r="H437" s="370"/>
      <c r="I437" s="357">
        <f t="shared" si="3"/>
        <v>0</v>
      </c>
      <c r="J437" s="346">
        <f t="shared" si="4"/>
        <v>0</v>
      </c>
      <c r="K437" s="312"/>
      <c r="L437" s="312"/>
      <c r="M437" s="312"/>
      <c r="N437" s="362"/>
      <c r="O437" s="312"/>
      <c r="P437" s="312"/>
      <c r="S437" s="2">
        <f t="shared" si="5"/>
        <v>0</v>
      </c>
      <c r="AA437" s="312"/>
      <c r="AB437" s="312"/>
      <c r="AC437" s="312"/>
      <c r="AD437" s="312"/>
    </row>
    <row r="438">
      <c r="A438" s="312"/>
      <c r="B438" s="344">
        <f t="shared" si="1"/>
        <v>1714.918281</v>
      </c>
      <c r="C438" s="344">
        <v>120.0</v>
      </c>
      <c r="D438" s="369"/>
      <c r="E438" s="344" t="str">
        <f t="shared" si="2"/>
        <v>Saturday</v>
      </c>
      <c r="F438" s="344" t="s">
        <v>554</v>
      </c>
      <c r="G438" s="370"/>
      <c r="H438" s="370"/>
      <c r="I438" s="357">
        <f t="shared" si="3"/>
        <v>0</v>
      </c>
      <c r="J438" s="346">
        <f t="shared" si="4"/>
        <v>0</v>
      </c>
      <c r="K438" s="312"/>
      <c r="L438" s="312"/>
      <c r="M438" s="312"/>
      <c r="N438" s="362"/>
      <c r="O438" s="312"/>
      <c r="P438" s="312"/>
      <c r="S438" s="2">
        <f t="shared" si="5"/>
        <v>0</v>
      </c>
      <c r="AA438" s="312"/>
      <c r="AB438" s="312"/>
      <c r="AC438" s="312"/>
      <c r="AD438" s="312"/>
    </row>
    <row r="439">
      <c r="A439" s="312"/>
      <c r="B439" s="344">
        <f t="shared" si="1"/>
        <v>1714.918281</v>
      </c>
      <c r="C439" s="344">
        <v>120.0</v>
      </c>
      <c r="D439" s="369"/>
      <c r="E439" s="344" t="str">
        <f t="shared" si="2"/>
        <v>Saturday</v>
      </c>
      <c r="F439" s="344" t="s">
        <v>554</v>
      </c>
      <c r="G439" s="370"/>
      <c r="H439" s="370"/>
      <c r="I439" s="357">
        <f t="shared" si="3"/>
        <v>0</v>
      </c>
      <c r="J439" s="346">
        <f t="shared" si="4"/>
        <v>0</v>
      </c>
      <c r="K439" s="312"/>
      <c r="L439" s="312"/>
      <c r="M439" s="312"/>
      <c r="N439" s="362"/>
      <c r="O439" s="312"/>
      <c r="P439" s="312"/>
      <c r="S439" s="2">
        <f t="shared" si="5"/>
        <v>0</v>
      </c>
      <c r="AA439" s="312"/>
      <c r="AB439" s="312"/>
      <c r="AC439" s="312"/>
      <c r="AD439" s="312"/>
    </row>
    <row r="440">
      <c r="A440" s="312"/>
      <c r="B440" s="344">
        <f t="shared" si="1"/>
        <v>1714.918281</v>
      </c>
      <c r="C440" s="344">
        <v>120.0</v>
      </c>
      <c r="D440" s="369"/>
      <c r="E440" s="344" t="str">
        <f t="shared" si="2"/>
        <v>Saturday</v>
      </c>
      <c r="F440" s="344" t="s">
        <v>554</v>
      </c>
      <c r="G440" s="370"/>
      <c r="H440" s="370"/>
      <c r="I440" s="357">
        <f t="shared" si="3"/>
        <v>0</v>
      </c>
      <c r="J440" s="346">
        <f t="shared" si="4"/>
        <v>0</v>
      </c>
      <c r="K440" s="312"/>
      <c r="L440" s="312"/>
      <c r="M440" s="312"/>
      <c r="N440" s="362"/>
      <c r="O440" s="312"/>
      <c r="P440" s="312"/>
      <c r="S440" s="2">
        <f t="shared" si="5"/>
        <v>0</v>
      </c>
      <c r="AA440" s="312"/>
      <c r="AB440" s="312"/>
      <c r="AC440" s="312"/>
      <c r="AD440" s="312"/>
    </row>
    <row r="441">
      <c r="A441" s="312"/>
      <c r="B441" s="344">
        <f t="shared" si="1"/>
        <v>1714.918281</v>
      </c>
      <c r="C441" s="344">
        <v>120.0</v>
      </c>
      <c r="D441" s="369"/>
      <c r="E441" s="344" t="str">
        <f t="shared" si="2"/>
        <v>Saturday</v>
      </c>
      <c r="F441" s="344" t="s">
        <v>554</v>
      </c>
      <c r="G441" s="370"/>
      <c r="H441" s="370"/>
      <c r="I441" s="357">
        <f t="shared" si="3"/>
        <v>0</v>
      </c>
      <c r="J441" s="346">
        <f t="shared" si="4"/>
        <v>0</v>
      </c>
      <c r="K441" s="312"/>
      <c r="L441" s="312"/>
      <c r="M441" s="312"/>
      <c r="N441" s="362"/>
      <c r="O441" s="312"/>
      <c r="P441" s="312"/>
      <c r="S441" s="2">
        <f t="shared" si="5"/>
        <v>0</v>
      </c>
      <c r="AA441" s="312"/>
      <c r="AB441" s="312"/>
      <c r="AC441" s="312"/>
      <c r="AD441" s="312"/>
    </row>
    <row r="442">
      <c r="A442" s="312"/>
      <c r="B442" s="344">
        <f t="shared" si="1"/>
        <v>1714.918281</v>
      </c>
      <c r="C442" s="344">
        <v>120.0</v>
      </c>
      <c r="D442" s="369"/>
      <c r="E442" s="344" t="str">
        <f t="shared" si="2"/>
        <v>Saturday</v>
      </c>
      <c r="F442" s="344" t="s">
        <v>554</v>
      </c>
      <c r="G442" s="370"/>
      <c r="H442" s="370"/>
      <c r="I442" s="357">
        <f t="shared" si="3"/>
        <v>0</v>
      </c>
      <c r="J442" s="346">
        <f t="shared" si="4"/>
        <v>0</v>
      </c>
      <c r="K442" s="312"/>
      <c r="L442" s="312"/>
      <c r="M442" s="312"/>
      <c r="N442" s="362"/>
      <c r="O442" s="312"/>
      <c r="P442" s="312"/>
      <c r="S442" s="2">
        <f t="shared" si="5"/>
        <v>0</v>
      </c>
      <c r="AA442" s="312"/>
      <c r="AB442" s="312"/>
      <c r="AC442" s="312"/>
      <c r="AD442" s="312"/>
    </row>
    <row r="443">
      <c r="A443" s="312"/>
      <c r="B443" s="344">
        <f t="shared" si="1"/>
        <v>1714.918281</v>
      </c>
      <c r="C443" s="344">
        <v>120.0</v>
      </c>
      <c r="D443" s="369"/>
      <c r="E443" s="344" t="str">
        <f t="shared" si="2"/>
        <v>Saturday</v>
      </c>
      <c r="F443" s="344" t="s">
        <v>554</v>
      </c>
      <c r="G443" s="370"/>
      <c r="H443" s="370"/>
      <c r="I443" s="357">
        <f t="shared" si="3"/>
        <v>0</v>
      </c>
      <c r="J443" s="346">
        <f t="shared" si="4"/>
        <v>0</v>
      </c>
      <c r="K443" s="312"/>
      <c r="L443" s="312"/>
      <c r="M443" s="312"/>
      <c r="N443" s="362"/>
      <c r="O443" s="312"/>
      <c r="P443" s="312"/>
      <c r="S443" s="2">
        <f t="shared" si="5"/>
        <v>0</v>
      </c>
      <c r="AA443" s="312"/>
      <c r="AB443" s="312"/>
      <c r="AC443" s="312"/>
      <c r="AD443" s="312"/>
    </row>
    <row r="444">
      <c r="A444" s="312"/>
      <c r="B444" s="344">
        <f t="shared" si="1"/>
        <v>1714.918281</v>
      </c>
      <c r="C444" s="344">
        <v>120.0</v>
      </c>
      <c r="D444" s="369"/>
      <c r="E444" s="344" t="str">
        <f t="shared" si="2"/>
        <v>Saturday</v>
      </c>
      <c r="F444" s="344" t="s">
        <v>554</v>
      </c>
      <c r="G444" s="370"/>
      <c r="H444" s="370"/>
      <c r="I444" s="357">
        <f t="shared" si="3"/>
        <v>0</v>
      </c>
      <c r="J444" s="346">
        <f t="shared" si="4"/>
        <v>0</v>
      </c>
      <c r="K444" s="312"/>
      <c r="L444" s="312"/>
      <c r="M444" s="312"/>
      <c r="N444" s="362"/>
      <c r="O444" s="312"/>
      <c r="P444" s="312"/>
      <c r="S444" s="2">
        <f t="shared" si="5"/>
        <v>0</v>
      </c>
      <c r="AA444" s="312"/>
      <c r="AB444" s="312"/>
      <c r="AC444" s="312"/>
      <c r="AD444" s="312"/>
    </row>
    <row r="445">
      <c r="A445" s="312"/>
      <c r="B445" s="344">
        <f t="shared" si="1"/>
        <v>1714.918281</v>
      </c>
      <c r="C445" s="344">
        <v>120.0</v>
      </c>
      <c r="D445" s="369"/>
      <c r="E445" s="344" t="str">
        <f t="shared" si="2"/>
        <v>Saturday</v>
      </c>
      <c r="F445" s="344" t="s">
        <v>554</v>
      </c>
      <c r="G445" s="370"/>
      <c r="H445" s="370"/>
      <c r="I445" s="357">
        <f t="shared" si="3"/>
        <v>0</v>
      </c>
      <c r="J445" s="346">
        <f t="shared" si="4"/>
        <v>0</v>
      </c>
      <c r="K445" s="312"/>
      <c r="L445" s="312"/>
      <c r="M445" s="312"/>
      <c r="N445" s="362"/>
      <c r="O445" s="312"/>
      <c r="P445" s="312"/>
      <c r="S445" s="2">
        <f t="shared" si="5"/>
        <v>0</v>
      </c>
      <c r="AA445" s="312"/>
      <c r="AB445" s="312"/>
      <c r="AC445" s="312"/>
      <c r="AD445" s="312"/>
    </row>
    <row r="446">
      <c r="A446" s="312"/>
      <c r="B446" s="344">
        <f t="shared" si="1"/>
        <v>1714.918281</v>
      </c>
      <c r="C446" s="344">
        <v>120.0</v>
      </c>
      <c r="D446" s="369"/>
      <c r="E446" s="344" t="str">
        <f t="shared" si="2"/>
        <v>Saturday</v>
      </c>
      <c r="F446" s="344" t="s">
        <v>554</v>
      </c>
      <c r="G446" s="370"/>
      <c r="H446" s="370"/>
      <c r="I446" s="357">
        <f t="shared" si="3"/>
        <v>0</v>
      </c>
      <c r="J446" s="346">
        <f t="shared" si="4"/>
        <v>0</v>
      </c>
      <c r="K446" s="312"/>
      <c r="L446" s="312"/>
      <c r="M446" s="312"/>
      <c r="N446" s="362"/>
      <c r="O446" s="312"/>
      <c r="P446" s="312"/>
      <c r="S446" s="2">
        <f t="shared" si="5"/>
        <v>0</v>
      </c>
      <c r="AA446" s="312"/>
      <c r="AB446" s="312"/>
      <c r="AC446" s="312"/>
      <c r="AD446" s="312"/>
    </row>
    <row r="447">
      <c r="A447" s="312"/>
      <c r="B447" s="344">
        <f t="shared" si="1"/>
        <v>1714.918281</v>
      </c>
      <c r="C447" s="344">
        <v>120.0</v>
      </c>
      <c r="D447" s="369"/>
      <c r="E447" s="344" t="str">
        <f t="shared" si="2"/>
        <v>Saturday</v>
      </c>
      <c r="F447" s="344" t="s">
        <v>554</v>
      </c>
      <c r="G447" s="370"/>
      <c r="H447" s="370"/>
      <c r="I447" s="357">
        <f t="shared" si="3"/>
        <v>0</v>
      </c>
      <c r="J447" s="346">
        <f t="shared" si="4"/>
        <v>0</v>
      </c>
      <c r="K447" s="312"/>
      <c r="L447" s="312"/>
      <c r="M447" s="312"/>
      <c r="N447" s="362"/>
      <c r="O447" s="312"/>
      <c r="P447" s="312"/>
      <c r="S447" s="2">
        <f t="shared" si="5"/>
        <v>0</v>
      </c>
      <c r="AA447" s="312"/>
      <c r="AB447" s="312"/>
      <c r="AC447" s="312"/>
      <c r="AD447" s="312"/>
    </row>
    <row r="448">
      <c r="A448" s="312"/>
      <c r="B448" s="344">
        <f t="shared" si="1"/>
        <v>1714.918281</v>
      </c>
      <c r="C448" s="344">
        <v>120.0</v>
      </c>
      <c r="D448" s="369"/>
      <c r="E448" s="344" t="str">
        <f t="shared" si="2"/>
        <v>Saturday</v>
      </c>
      <c r="F448" s="344" t="s">
        <v>554</v>
      </c>
      <c r="G448" s="370"/>
      <c r="H448" s="370"/>
      <c r="I448" s="357">
        <f t="shared" si="3"/>
        <v>0</v>
      </c>
      <c r="J448" s="346">
        <f t="shared" si="4"/>
        <v>0</v>
      </c>
      <c r="K448" s="312"/>
      <c r="L448" s="312"/>
      <c r="M448" s="312"/>
      <c r="N448" s="362"/>
      <c r="O448" s="312"/>
      <c r="P448" s="312"/>
      <c r="S448" s="2">
        <f t="shared" si="5"/>
        <v>0</v>
      </c>
      <c r="AA448" s="312"/>
      <c r="AB448" s="312"/>
      <c r="AC448" s="312"/>
      <c r="AD448" s="312"/>
    </row>
    <row r="449">
      <c r="A449" s="312"/>
      <c r="B449" s="344">
        <f t="shared" si="1"/>
        <v>1714.918281</v>
      </c>
      <c r="C449" s="344">
        <v>120.0</v>
      </c>
      <c r="D449" s="369"/>
      <c r="E449" s="344" t="str">
        <f t="shared" si="2"/>
        <v>Saturday</v>
      </c>
      <c r="F449" s="344" t="s">
        <v>554</v>
      </c>
      <c r="G449" s="370"/>
      <c r="H449" s="370"/>
      <c r="I449" s="357">
        <f t="shared" si="3"/>
        <v>0</v>
      </c>
      <c r="J449" s="346">
        <f t="shared" si="4"/>
        <v>0</v>
      </c>
      <c r="K449" s="312"/>
      <c r="L449" s="312"/>
      <c r="M449" s="312"/>
      <c r="N449" s="362"/>
      <c r="O449" s="312"/>
      <c r="P449" s="312"/>
      <c r="S449" s="2">
        <f t="shared" si="5"/>
        <v>0</v>
      </c>
      <c r="AA449" s="312"/>
      <c r="AB449" s="312"/>
      <c r="AC449" s="312"/>
      <c r="AD449" s="312"/>
    </row>
    <row r="450">
      <c r="A450" s="312"/>
      <c r="B450" s="344">
        <f t="shared" si="1"/>
        <v>1714.918281</v>
      </c>
      <c r="C450" s="344">
        <v>120.0</v>
      </c>
      <c r="D450" s="369"/>
      <c r="E450" s="344" t="str">
        <f t="shared" si="2"/>
        <v>Saturday</v>
      </c>
      <c r="F450" s="344" t="s">
        <v>554</v>
      </c>
      <c r="G450" s="370"/>
      <c r="H450" s="370"/>
      <c r="I450" s="357">
        <f t="shared" si="3"/>
        <v>0</v>
      </c>
      <c r="J450" s="346">
        <f t="shared" si="4"/>
        <v>0</v>
      </c>
      <c r="K450" s="312"/>
      <c r="L450" s="312"/>
      <c r="M450" s="312"/>
      <c r="N450" s="362"/>
      <c r="O450" s="312"/>
      <c r="P450" s="312"/>
      <c r="S450" s="2">
        <f t="shared" si="5"/>
        <v>0</v>
      </c>
      <c r="AA450" s="312"/>
      <c r="AB450" s="312"/>
      <c r="AC450" s="312"/>
      <c r="AD450" s="312"/>
    </row>
    <row r="451">
      <c r="A451" s="312"/>
      <c r="B451" s="344">
        <f t="shared" si="1"/>
        <v>1714.918281</v>
      </c>
      <c r="C451" s="344">
        <v>120.0</v>
      </c>
      <c r="D451" s="369"/>
      <c r="E451" s="344" t="str">
        <f t="shared" si="2"/>
        <v>Saturday</v>
      </c>
      <c r="F451" s="344" t="s">
        <v>554</v>
      </c>
      <c r="G451" s="370"/>
      <c r="H451" s="370"/>
      <c r="I451" s="357">
        <f t="shared" si="3"/>
        <v>0</v>
      </c>
      <c r="J451" s="346">
        <f t="shared" si="4"/>
        <v>0</v>
      </c>
      <c r="K451" s="312"/>
      <c r="L451" s="312"/>
      <c r="M451" s="312"/>
      <c r="N451" s="362"/>
      <c r="O451" s="312"/>
      <c r="P451" s="312"/>
      <c r="S451" s="2">
        <f t="shared" si="5"/>
        <v>0</v>
      </c>
      <c r="AA451" s="312"/>
      <c r="AB451" s="312"/>
      <c r="AC451" s="312"/>
      <c r="AD451" s="312"/>
    </row>
    <row r="452">
      <c r="A452" s="312"/>
      <c r="B452" s="344">
        <f t="shared" si="1"/>
        <v>1714.918281</v>
      </c>
      <c r="C452" s="344">
        <v>120.0</v>
      </c>
      <c r="D452" s="369"/>
      <c r="E452" s="344" t="str">
        <f t="shared" si="2"/>
        <v>Saturday</v>
      </c>
      <c r="F452" s="344" t="s">
        <v>554</v>
      </c>
      <c r="G452" s="370"/>
      <c r="H452" s="370"/>
      <c r="I452" s="357">
        <f t="shared" si="3"/>
        <v>0</v>
      </c>
      <c r="J452" s="346">
        <f t="shared" si="4"/>
        <v>0</v>
      </c>
      <c r="K452" s="312"/>
      <c r="L452" s="312"/>
      <c r="M452" s="312"/>
      <c r="N452" s="362"/>
      <c r="O452" s="312"/>
      <c r="P452" s="312"/>
      <c r="S452" s="2">
        <f t="shared" si="5"/>
        <v>0</v>
      </c>
      <c r="AA452" s="312"/>
      <c r="AB452" s="312"/>
      <c r="AC452" s="312"/>
      <c r="AD452" s="312"/>
    </row>
    <row r="453">
      <c r="A453" s="312"/>
      <c r="B453" s="344">
        <f t="shared" si="1"/>
        <v>1714.918281</v>
      </c>
      <c r="C453" s="344">
        <v>120.0</v>
      </c>
      <c r="D453" s="369"/>
      <c r="E453" s="344" t="str">
        <f t="shared" si="2"/>
        <v>Saturday</v>
      </c>
      <c r="F453" s="344" t="s">
        <v>554</v>
      </c>
      <c r="G453" s="370"/>
      <c r="H453" s="370"/>
      <c r="I453" s="357">
        <f t="shared" si="3"/>
        <v>0</v>
      </c>
      <c r="J453" s="346">
        <f t="shared" si="4"/>
        <v>0</v>
      </c>
      <c r="K453" s="312"/>
      <c r="L453" s="312"/>
      <c r="M453" s="312"/>
      <c r="N453" s="362"/>
      <c r="O453" s="312"/>
      <c r="P453" s="312"/>
      <c r="S453" s="2">
        <f t="shared" si="5"/>
        <v>0</v>
      </c>
      <c r="AA453" s="312"/>
      <c r="AB453" s="312"/>
      <c r="AC453" s="312"/>
      <c r="AD453" s="312"/>
    </row>
    <row r="454">
      <c r="A454" s="312"/>
      <c r="B454" s="344">
        <f t="shared" si="1"/>
        <v>1714.918281</v>
      </c>
      <c r="C454" s="344">
        <v>120.0</v>
      </c>
      <c r="D454" s="369"/>
      <c r="E454" s="344" t="str">
        <f t="shared" si="2"/>
        <v>Saturday</v>
      </c>
      <c r="F454" s="344" t="s">
        <v>554</v>
      </c>
      <c r="G454" s="370"/>
      <c r="H454" s="370"/>
      <c r="I454" s="357">
        <f t="shared" si="3"/>
        <v>0</v>
      </c>
      <c r="J454" s="346">
        <f t="shared" si="4"/>
        <v>0</v>
      </c>
      <c r="K454" s="312"/>
      <c r="L454" s="312"/>
      <c r="M454" s="312"/>
      <c r="N454" s="362"/>
      <c r="O454" s="312"/>
      <c r="P454" s="312"/>
      <c r="S454" s="2">
        <f t="shared" si="5"/>
        <v>0</v>
      </c>
      <c r="AA454" s="312"/>
      <c r="AB454" s="312"/>
      <c r="AC454" s="312"/>
      <c r="AD454" s="312"/>
    </row>
    <row r="455">
      <c r="A455" s="312"/>
      <c r="B455" s="344">
        <f t="shared" si="1"/>
        <v>1714.918281</v>
      </c>
      <c r="C455" s="344">
        <v>120.0</v>
      </c>
      <c r="D455" s="369"/>
      <c r="E455" s="344" t="str">
        <f t="shared" si="2"/>
        <v>Saturday</v>
      </c>
      <c r="F455" s="344" t="s">
        <v>554</v>
      </c>
      <c r="G455" s="370"/>
      <c r="H455" s="370"/>
      <c r="I455" s="357">
        <f t="shared" si="3"/>
        <v>0</v>
      </c>
      <c r="J455" s="346">
        <f t="shared" si="4"/>
        <v>0</v>
      </c>
      <c r="K455" s="312"/>
      <c r="L455" s="312"/>
      <c r="M455" s="312"/>
      <c r="N455" s="362"/>
      <c r="O455" s="312"/>
      <c r="P455" s="312"/>
      <c r="S455" s="2">
        <f t="shared" si="5"/>
        <v>0</v>
      </c>
      <c r="AA455" s="312"/>
      <c r="AB455" s="312"/>
      <c r="AC455" s="312"/>
      <c r="AD455" s="312"/>
    </row>
    <row r="456">
      <c r="A456" s="312"/>
      <c r="B456" s="344">
        <f t="shared" si="1"/>
        <v>1714.918281</v>
      </c>
      <c r="C456" s="344">
        <v>120.0</v>
      </c>
      <c r="D456" s="369"/>
      <c r="E456" s="344" t="str">
        <f t="shared" si="2"/>
        <v>Saturday</v>
      </c>
      <c r="F456" s="344" t="s">
        <v>554</v>
      </c>
      <c r="G456" s="370"/>
      <c r="H456" s="370"/>
      <c r="I456" s="357">
        <f t="shared" si="3"/>
        <v>0</v>
      </c>
      <c r="J456" s="346">
        <f t="shared" si="4"/>
        <v>0</v>
      </c>
      <c r="K456" s="312"/>
      <c r="L456" s="312"/>
      <c r="M456" s="312"/>
      <c r="N456" s="362"/>
      <c r="O456" s="312"/>
      <c r="P456" s="312"/>
      <c r="S456" s="2">
        <f t="shared" si="5"/>
        <v>0</v>
      </c>
      <c r="AA456" s="312"/>
      <c r="AB456" s="312"/>
      <c r="AC456" s="312"/>
      <c r="AD456" s="312"/>
    </row>
    <row r="457">
      <c r="A457" s="312"/>
      <c r="B457" s="344">
        <f t="shared" si="1"/>
        <v>1714.918281</v>
      </c>
      <c r="C457" s="344">
        <v>120.0</v>
      </c>
      <c r="D457" s="369"/>
      <c r="E457" s="344" t="str">
        <f t="shared" si="2"/>
        <v>Saturday</v>
      </c>
      <c r="F457" s="344" t="s">
        <v>554</v>
      </c>
      <c r="G457" s="370"/>
      <c r="H457" s="370"/>
      <c r="I457" s="357">
        <f t="shared" si="3"/>
        <v>0</v>
      </c>
      <c r="J457" s="346">
        <f t="shared" si="4"/>
        <v>0</v>
      </c>
      <c r="K457" s="312"/>
      <c r="L457" s="312"/>
      <c r="M457" s="312"/>
      <c r="N457" s="362"/>
      <c r="O457" s="312"/>
      <c r="P457" s="312"/>
      <c r="S457" s="2">
        <f t="shared" si="5"/>
        <v>0</v>
      </c>
      <c r="AA457" s="312"/>
      <c r="AB457" s="312"/>
      <c r="AC457" s="312"/>
      <c r="AD457" s="312"/>
    </row>
    <row r="458">
      <c r="A458" s="312"/>
      <c r="B458" s="344">
        <f t="shared" si="1"/>
        <v>1714.918281</v>
      </c>
      <c r="C458" s="344">
        <v>120.0</v>
      </c>
      <c r="D458" s="369"/>
      <c r="E458" s="344" t="str">
        <f t="shared" si="2"/>
        <v>Saturday</v>
      </c>
      <c r="F458" s="344" t="s">
        <v>554</v>
      </c>
      <c r="G458" s="370"/>
      <c r="H458" s="370"/>
      <c r="I458" s="357">
        <f t="shared" si="3"/>
        <v>0</v>
      </c>
      <c r="J458" s="346">
        <f t="shared" si="4"/>
        <v>0</v>
      </c>
      <c r="K458" s="312"/>
      <c r="L458" s="312"/>
      <c r="M458" s="312"/>
      <c r="N458" s="362"/>
      <c r="O458" s="312"/>
      <c r="P458" s="312"/>
      <c r="S458" s="2">
        <f t="shared" si="5"/>
        <v>0</v>
      </c>
      <c r="AA458" s="312"/>
      <c r="AB458" s="312"/>
      <c r="AC458" s="312"/>
      <c r="AD458" s="312"/>
    </row>
    <row r="459">
      <c r="A459" s="312"/>
      <c r="B459" s="344">
        <f t="shared" si="1"/>
        <v>1714.918281</v>
      </c>
      <c r="C459" s="344">
        <v>120.0</v>
      </c>
      <c r="D459" s="369"/>
      <c r="E459" s="344" t="str">
        <f t="shared" si="2"/>
        <v>Saturday</v>
      </c>
      <c r="F459" s="344" t="s">
        <v>554</v>
      </c>
      <c r="G459" s="370"/>
      <c r="H459" s="370"/>
      <c r="I459" s="357">
        <f t="shared" si="3"/>
        <v>0</v>
      </c>
      <c r="J459" s="346">
        <f t="shared" si="4"/>
        <v>0</v>
      </c>
      <c r="K459" s="312"/>
      <c r="L459" s="312"/>
      <c r="M459" s="312"/>
      <c r="N459" s="362"/>
      <c r="O459" s="312"/>
      <c r="P459" s="312"/>
      <c r="S459" s="2">
        <f t="shared" si="5"/>
        <v>0</v>
      </c>
      <c r="AA459" s="312"/>
      <c r="AB459" s="312"/>
      <c r="AC459" s="312"/>
      <c r="AD459" s="312"/>
    </row>
    <row r="460">
      <c r="A460" s="312"/>
      <c r="B460" s="344">
        <f t="shared" si="1"/>
        <v>1714.918281</v>
      </c>
      <c r="C460" s="344">
        <v>120.0</v>
      </c>
      <c r="D460" s="369"/>
      <c r="E460" s="344" t="str">
        <f t="shared" si="2"/>
        <v>Saturday</v>
      </c>
      <c r="F460" s="344" t="s">
        <v>554</v>
      </c>
      <c r="G460" s="370"/>
      <c r="H460" s="370"/>
      <c r="I460" s="357">
        <f t="shared" si="3"/>
        <v>0</v>
      </c>
      <c r="J460" s="346">
        <f t="shared" si="4"/>
        <v>0</v>
      </c>
      <c r="K460" s="312"/>
      <c r="L460" s="312"/>
      <c r="M460" s="312"/>
      <c r="N460" s="362"/>
      <c r="O460" s="312"/>
      <c r="P460" s="312"/>
      <c r="S460" s="2">
        <f t="shared" si="5"/>
        <v>0</v>
      </c>
      <c r="AA460" s="312"/>
      <c r="AB460" s="312"/>
      <c r="AC460" s="312"/>
      <c r="AD460" s="312"/>
    </row>
    <row r="461">
      <c r="A461" s="312"/>
      <c r="B461" s="344">
        <f t="shared" si="1"/>
        <v>1714.918281</v>
      </c>
      <c r="C461" s="344">
        <v>120.0</v>
      </c>
      <c r="D461" s="369"/>
      <c r="E461" s="344" t="str">
        <f t="shared" si="2"/>
        <v>Saturday</v>
      </c>
      <c r="F461" s="344" t="s">
        <v>554</v>
      </c>
      <c r="G461" s="370"/>
      <c r="H461" s="370"/>
      <c r="I461" s="357">
        <f t="shared" si="3"/>
        <v>0</v>
      </c>
      <c r="J461" s="346">
        <f t="shared" si="4"/>
        <v>0</v>
      </c>
      <c r="K461" s="312"/>
      <c r="L461" s="312"/>
      <c r="M461" s="312"/>
      <c r="N461" s="362"/>
      <c r="O461" s="312"/>
      <c r="P461" s="312"/>
      <c r="S461" s="2">
        <f t="shared" si="5"/>
        <v>0</v>
      </c>
      <c r="AA461" s="312"/>
      <c r="AB461" s="312"/>
      <c r="AC461" s="312"/>
      <c r="AD461" s="312"/>
    </row>
    <row r="462">
      <c r="A462" s="312"/>
      <c r="B462" s="344">
        <f t="shared" si="1"/>
        <v>1714.918281</v>
      </c>
      <c r="C462" s="344">
        <v>120.0</v>
      </c>
      <c r="D462" s="369"/>
      <c r="E462" s="344" t="str">
        <f t="shared" si="2"/>
        <v>Saturday</v>
      </c>
      <c r="F462" s="344" t="s">
        <v>554</v>
      </c>
      <c r="G462" s="370"/>
      <c r="H462" s="370"/>
      <c r="I462" s="357">
        <f t="shared" si="3"/>
        <v>0</v>
      </c>
      <c r="J462" s="346">
        <f t="shared" si="4"/>
        <v>0</v>
      </c>
      <c r="K462" s="312"/>
      <c r="L462" s="312"/>
      <c r="M462" s="312"/>
      <c r="N462" s="362"/>
      <c r="O462" s="312"/>
      <c r="P462" s="312"/>
      <c r="S462" s="2">
        <f t="shared" si="5"/>
        <v>0</v>
      </c>
      <c r="AA462" s="312"/>
      <c r="AB462" s="312"/>
      <c r="AC462" s="312"/>
      <c r="AD462" s="312"/>
    </row>
    <row r="463">
      <c r="A463" s="312"/>
      <c r="B463" s="344">
        <f t="shared" si="1"/>
        <v>1714.918281</v>
      </c>
      <c r="C463" s="344">
        <v>120.0</v>
      </c>
      <c r="D463" s="369"/>
      <c r="E463" s="344" t="str">
        <f t="shared" si="2"/>
        <v>Saturday</v>
      </c>
      <c r="F463" s="344" t="s">
        <v>554</v>
      </c>
      <c r="G463" s="370"/>
      <c r="H463" s="370"/>
      <c r="I463" s="357">
        <f t="shared" si="3"/>
        <v>0</v>
      </c>
      <c r="J463" s="346">
        <f t="shared" si="4"/>
        <v>0</v>
      </c>
      <c r="K463" s="312"/>
      <c r="L463" s="312"/>
      <c r="M463" s="312"/>
      <c r="N463" s="362"/>
      <c r="O463" s="312"/>
      <c r="P463" s="312"/>
      <c r="S463" s="2">
        <f t="shared" si="5"/>
        <v>0</v>
      </c>
      <c r="AA463" s="312"/>
      <c r="AB463" s="312"/>
      <c r="AC463" s="312"/>
      <c r="AD463" s="312"/>
    </row>
    <row r="464">
      <c r="A464" s="312"/>
      <c r="B464" s="344">
        <f t="shared" si="1"/>
        <v>1714.918281</v>
      </c>
      <c r="C464" s="344">
        <v>120.0</v>
      </c>
      <c r="D464" s="369"/>
      <c r="E464" s="344" t="str">
        <f t="shared" si="2"/>
        <v>Saturday</v>
      </c>
      <c r="F464" s="344" t="s">
        <v>554</v>
      </c>
      <c r="G464" s="370"/>
      <c r="H464" s="370"/>
      <c r="I464" s="357">
        <f t="shared" si="3"/>
        <v>0</v>
      </c>
      <c r="J464" s="346">
        <f t="shared" si="4"/>
        <v>0</v>
      </c>
      <c r="K464" s="312"/>
      <c r="L464" s="312"/>
      <c r="M464" s="312"/>
      <c r="N464" s="362"/>
      <c r="O464" s="312"/>
      <c r="P464" s="312"/>
      <c r="S464" s="2">
        <f t="shared" si="5"/>
        <v>0</v>
      </c>
      <c r="AA464" s="312"/>
      <c r="AB464" s="312"/>
      <c r="AC464" s="312"/>
      <c r="AD464" s="312"/>
    </row>
    <row r="465">
      <c r="A465" s="312"/>
      <c r="B465" s="344">
        <f t="shared" si="1"/>
        <v>1714.918281</v>
      </c>
      <c r="C465" s="344">
        <v>120.0</v>
      </c>
      <c r="D465" s="369"/>
      <c r="E465" s="344" t="str">
        <f t="shared" si="2"/>
        <v>Saturday</v>
      </c>
      <c r="F465" s="344" t="s">
        <v>554</v>
      </c>
      <c r="G465" s="370"/>
      <c r="H465" s="370"/>
      <c r="I465" s="357">
        <f t="shared" si="3"/>
        <v>0</v>
      </c>
      <c r="J465" s="346">
        <f t="shared" si="4"/>
        <v>0</v>
      </c>
      <c r="K465" s="312"/>
      <c r="L465" s="312"/>
      <c r="M465" s="312"/>
      <c r="N465" s="362"/>
      <c r="O465" s="312"/>
      <c r="P465" s="312"/>
      <c r="S465" s="2">
        <f t="shared" si="5"/>
        <v>0</v>
      </c>
      <c r="AA465" s="312"/>
      <c r="AB465" s="312"/>
      <c r="AC465" s="312"/>
      <c r="AD465" s="312"/>
    </row>
    <row r="466">
      <c r="A466" s="312"/>
      <c r="B466" s="344">
        <f t="shared" si="1"/>
        <v>1714.918281</v>
      </c>
      <c r="C466" s="344">
        <v>120.0</v>
      </c>
      <c r="D466" s="369"/>
      <c r="E466" s="344" t="str">
        <f t="shared" si="2"/>
        <v>Saturday</v>
      </c>
      <c r="F466" s="344" t="s">
        <v>554</v>
      </c>
      <c r="G466" s="370"/>
      <c r="H466" s="370"/>
      <c r="I466" s="357">
        <f t="shared" si="3"/>
        <v>0</v>
      </c>
      <c r="J466" s="346">
        <f t="shared" si="4"/>
        <v>0</v>
      </c>
      <c r="K466" s="312"/>
      <c r="L466" s="312"/>
      <c r="M466" s="312"/>
      <c r="N466" s="362"/>
      <c r="O466" s="312"/>
      <c r="P466" s="312"/>
      <c r="S466" s="2">
        <f t="shared" si="5"/>
        <v>0</v>
      </c>
      <c r="AA466" s="312"/>
      <c r="AB466" s="312"/>
      <c r="AC466" s="312"/>
      <c r="AD466" s="312"/>
    </row>
    <row r="467">
      <c r="A467" s="312"/>
      <c r="B467" s="344">
        <f t="shared" si="1"/>
        <v>1714.918281</v>
      </c>
      <c r="C467" s="344">
        <v>120.0</v>
      </c>
      <c r="D467" s="369"/>
      <c r="E467" s="344" t="str">
        <f t="shared" si="2"/>
        <v>Saturday</v>
      </c>
      <c r="F467" s="344" t="s">
        <v>554</v>
      </c>
      <c r="G467" s="370"/>
      <c r="H467" s="370"/>
      <c r="I467" s="357">
        <f t="shared" si="3"/>
        <v>0</v>
      </c>
      <c r="J467" s="346">
        <f t="shared" si="4"/>
        <v>0</v>
      </c>
      <c r="K467" s="312"/>
      <c r="L467" s="312"/>
      <c r="M467" s="312"/>
      <c r="N467" s="362"/>
      <c r="O467" s="312"/>
      <c r="P467" s="312"/>
      <c r="S467" s="2">
        <f t="shared" si="5"/>
        <v>0</v>
      </c>
      <c r="AA467" s="312"/>
      <c r="AB467" s="312"/>
      <c r="AC467" s="312"/>
      <c r="AD467" s="312"/>
    </row>
    <row r="468">
      <c r="A468" s="312"/>
      <c r="B468" s="344">
        <f t="shared" si="1"/>
        <v>1714.918281</v>
      </c>
      <c r="C468" s="344">
        <v>120.0</v>
      </c>
      <c r="D468" s="369"/>
      <c r="E468" s="344" t="str">
        <f t="shared" si="2"/>
        <v>Saturday</v>
      </c>
      <c r="F468" s="344" t="s">
        <v>554</v>
      </c>
      <c r="G468" s="370"/>
      <c r="H468" s="370"/>
      <c r="I468" s="357">
        <f t="shared" si="3"/>
        <v>0</v>
      </c>
      <c r="J468" s="346">
        <f t="shared" si="4"/>
        <v>0</v>
      </c>
      <c r="K468" s="312"/>
      <c r="L468" s="312"/>
      <c r="M468" s="312"/>
      <c r="N468" s="362"/>
      <c r="O468" s="312"/>
      <c r="P468" s="312"/>
      <c r="S468" s="2">
        <f t="shared" si="5"/>
        <v>0</v>
      </c>
      <c r="AA468" s="312"/>
      <c r="AB468" s="312"/>
      <c r="AC468" s="312"/>
      <c r="AD468" s="312"/>
    </row>
    <row r="469">
      <c r="A469" s="312"/>
      <c r="B469" s="344">
        <f t="shared" si="1"/>
        <v>1714.918281</v>
      </c>
      <c r="C469" s="344">
        <v>120.0</v>
      </c>
      <c r="D469" s="369"/>
      <c r="E469" s="344" t="str">
        <f t="shared" si="2"/>
        <v>Saturday</v>
      </c>
      <c r="F469" s="344" t="s">
        <v>554</v>
      </c>
      <c r="G469" s="370"/>
      <c r="H469" s="370"/>
      <c r="I469" s="357">
        <f t="shared" si="3"/>
        <v>0</v>
      </c>
      <c r="J469" s="346">
        <f t="shared" si="4"/>
        <v>0</v>
      </c>
      <c r="K469" s="312"/>
      <c r="L469" s="312"/>
      <c r="M469" s="312"/>
      <c r="N469" s="362"/>
      <c r="O469" s="312"/>
      <c r="P469" s="312"/>
      <c r="S469" s="2">
        <f t="shared" si="5"/>
        <v>0</v>
      </c>
      <c r="AA469" s="312"/>
      <c r="AB469" s="312"/>
      <c r="AC469" s="312"/>
      <c r="AD469" s="312"/>
    </row>
    <row r="470">
      <c r="A470" s="312"/>
      <c r="B470" s="344">
        <f t="shared" si="1"/>
        <v>1714.918281</v>
      </c>
      <c r="C470" s="344">
        <v>120.0</v>
      </c>
      <c r="D470" s="369"/>
      <c r="E470" s="344" t="str">
        <f t="shared" si="2"/>
        <v>Saturday</v>
      </c>
      <c r="F470" s="344" t="s">
        <v>554</v>
      </c>
      <c r="G470" s="370"/>
      <c r="H470" s="370"/>
      <c r="I470" s="357">
        <f t="shared" si="3"/>
        <v>0</v>
      </c>
      <c r="J470" s="346">
        <f t="shared" si="4"/>
        <v>0</v>
      </c>
      <c r="K470" s="312"/>
      <c r="L470" s="312"/>
      <c r="M470" s="312"/>
      <c r="N470" s="362"/>
      <c r="O470" s="312"/>
      <c r="P470" s="312"/>
      <c r="S470" s="2">
        <f t="shared" si="5"/>
        <v>0</v>
      </c>
      <c r="AA470" s="312"/>
      <c r="AB470" s="312"/>
      <c r="AC470" s="312"/>
      <c r="AD470" s="312"/>
    </row>
    <row r="471">
      <c r="A471" s="312"/>
      <c r="B471" s="344">
        <f t="shared" si="1"/>
        <v>1714.918281</v>
      </c>
      <c r="C471" s="344">
        <v>120.0</v>
      </c>
      <c r="D471" s="369"/>
      <c r="E471" s="344" t="str">
        <f t="shared" si="2"/>
        <v>Saturday</v>
      </c>
      <c r="F471" s="344" t="s">
        <v>554</v>
      </c>
      <c r="G471" s="370"/>
      <c r="H471" s="370"/>
      <c r="I471" s="357">
        <f t="shared" si="3"/>
        <v>0</v>
      </c>
      <c r="J471" s="346">
        <f t="shared" si="4"/>
        <v>0</v>
      </c>
      <c r="K471" s="312"/>
      <c r="L471" s="312"/>
      <c r="M471" s="312"/>
      <c r="N471" s="362"/>
      <c r="O471" s="312"/>
      <c r="P471" s="312"/>
      <c r="S471" s="2">
        <f t="shared" si="5"/>
        <v>0</v>
      </c>
      <c r="AA471" s="312"/>
      <c r="AB471" s="312"/>
      <c r="AC471" s="312"/>
      <c r="AD471" s="312"/>
    </row>
    <row r="472">
      <c r="A472" s="312"/>
      <c r="B472" s="344">
        <f t="shared" si="1"/>
        <v>1714.918281</v>
      </c>
      <c r="C472" s="344">
        <v>120.0</v>
      </c>
      <c r="D472" s="369"/>
      <c r="E472" s="344" t="str">
        <f t="shared" si="2"/>
        <v>Saturday</v>
      </c>
      <c r="F472" s="344" t="s">
        <v>554</v>
      </c>
      <c r="G472" s="370"/>
      <c r="H472" s="370"/>
      <c r="I472" s="357">
        <f t="shared" si="3"/>
        <v>0</v>
      </c>
      <c r="J472" s="346">
        <f t="shared" si="4"/>
        <v>0</v>
      </c>
      <c r="K472" s="312"/>
      <c r="L472" s="312"/>
      <c r="M472" s="312"/>
      <c r="N472" s="362"/>
      <c r="O472" s="312"/>
      <c r="P472" s="312"/>
      <c r="S472" s="2">
        <f t="shared" si="5"/>
        <v>0</v>
      </c>
      <c r="AA472" s="312"/>
      <c r="AB472" s="312"/>
      <c r="AC472" s="312"/>
      <c r="AD472" s="312"/>
    </row>
    <row r="473">
      <c r="A473" s="312"/>
      <c r="B473" s="344">
        <f t="shared" si="1"/>
        <v>1714.918281</v>
      </c>
      <c r="C473" s="344">
        <v>120.0</v>
      </c>
      <c r="D473" s="369"/>
      <c r="E473" s="344" t="str">
        <f t="shared" si="2"/>
        <v>Saturday</v>
      </c>
      <c r="F473" s="344" t="s">
        <v>554</v>
      </c>
      <c r="G473" s="370"/>
      <c r="H473" s="370"/>
      <c r="I473" s="357">
        <f t="shared" si="3"/>
        <v>0</v>
      </c>
      <c r="J473" s="346">
        <f t="shared" si="4"/>
        <v>0</v>
      </c>
      <c r="K473" s="312"/>
      <c r="L473" s="312"/>
      <c r="M473" s="312"/>
      <c r="N473" s="362"/>
      <c r="O473" s="312"/>
      <c r="P473" s="312"/>
      <c r="S473" s="2">
        <f t="shared" si="5"/>
        <v>0</v>
      </c>
      <c r="AA473" s="312"/>
      <c r="AB473" s="312"/>
      <c r="AC473" s="312"/>
      <c r="AD473" s="312"/>
    </row>
    <row r="474">
      <c r="A474" s="312"/>
      <c r="B474" s="344">
        <f t="shared" si="1"/>
        <v>1714.918281</v>
      </c>
      <c r="C474" s="344">
        <v>120.0</v>
      </c>
      <c r="D474" s="369"/>
      <c r="E474" s="344" t="str">
        <f t="shared" si="2"/>
        <v>Saturday</v>
      </c>
      <c r="F474" s="344" t="s">
        <v>554</v>
      </c>
      <c r="G474" s="370"/>
      <c r="H474" s="370"/>
      <c r="I474" s="357">
        <f t="shared" si="3"/>
        <v>0</v>
      </c>
      <c r="J474" s="346">
        <f t="shared" si="4"/>
        <v>0</v>
      </c>
      <c r="K474" s="312"/>
      <c r="L474" s="312"/>
      <c r="M474" s="312"/>
      <c r="N474" s="362"/>
      <c r="O474" s="312"/>
      <c r="P474" s="312"/>
      <c r="S474" s="2">
        <f t="shared" si="5"/>
        <v>0</v>
      </c>
      <c r="AA474" s="312"/>
      <c r="AB474" s="312"/>
      <c r="AC474" s="312"/>
      <c r="AD474" s="312"/>
    </row>
    <row r="475">
      <c r="A475" s="312"/>
      <c r="B475" s="344">
        <f t="shared" si="1"/>
        <v>1714.918281</v>
      </c>
      <c r="C475" s="344">
        <v>120.0</v>
      </c>
      <c r="D475" s="369"/>
      <c r="E475" s="344" t="str">
        <f t="shared" si="2"/>
        <v>Saturday</v>
      </c>
      <c r="F475" s="344" t="s">
        <v>554</v>
      </c>
      <c r="G475" s="370"/>
      <c r="H475" s="370"/>
      <c r="I475" s="357">
        <f t="shared" si="3"/>
        <v>0</v>
      </c>
      <c r="J475" s="346">
        <f t="shared" si="4"/>
        <v>0</v>
      </c>
      <c r="K475" s="312"/>
      <c r="L475" s="312"/>
      <c r="M475" s="312"/>
      <c r="N475" s="362"/>
      <c r="O475" s="312"/>
      <c r="P475" s="312"/>
      <c r="S475" s="2">
        <f t="shared" si="5"/>
        <v>0</v>
      </c>
      <c r="AA475" s="312"/>
      <c r="AB475" s="312"/>
      <c r="AC475" s="312"/>
      <c r="AD475" s="312"/>
    </row>
    <row r="476">
      <c r="A476" s="312"/>
      <c r="B476" s="344">
        <f t="shared" si="1"/>
        <v>1714.918281</v>
      </c>
      <c r="C476" s="344">
        <v>120.0</v>
      </c>
      <c r="D476" s="369"/>
      <c r="E476" s="344" t="str">
        <f t="shared" si="2"/>
        <v>Saturday</v>
      </c>
      <c r="F476" s="344" t="s">
        <v>554</v>
      </c>
      <c r="G476" s="370"/>
      <c r="H476" s="370"/>
      <c r="I476" s="357">
        <f t="shared" si="3"/>
        <v>0</v>
      </c>
      <c r="J476" s="346">
        <f t="shared" si="4"/>
        <v>0</v>
      </c>
      <c r="K476" s="312"/>
      <c r="L476" s="312"/>
      <c r="M476" s="312"/>
      <c r="N476" s="362"/>
      <c r="O476" s="312"/>
      <c r="P476" s="312"/>
      <c r="S476" s="2">
        <f t="shared" si="5"/>
        <v>0</v>
      </c>
      <c r="AA476" s="312"/>
      <c r="AB476" s="312"/>
      <c r="AC476" s="312"/>
      <c r="AD476" s="312"/>
    </row>
    <row r="477">
      <c r="A477" s="312"/>
      <c r="B477" s="344">
        <f t="shared" si="1"/>
        <v>1714.918281</v>
      </c>
      <c r="C477" s="344">
        <v>120.0</v>
      </c>
      <c r="D477" s="369"/>
      <c r="E477" s="344" t="str">
        <f t="shared" si="2"/>
        <v>Saturday</v>
      </c>
      <c r="F477" s="344" t="s">
        <v>554</v>
      </c>
      <c r="G477" s="370"/>
      <c r="H477" s="370"/>
      <c r="I477" s="357">
        <f t="shared" si="3"/>
        <v>0</v>
      </c>
      <c r="J477" s="346">
        <f t="shared" si="4"/>
        <v>0</v>
      </c>
      <c r="K477" s="312"/>
      <c r="L477" s="312"/>
      <c r="M477" s="312"/>
      <c r="N477" s="362"/>
      <c r="O477" s="312"/>
      <c r="P477" s="312"/>
      <c r="S477" s="2">
        <f t="shared" si="5"/>
        <v>0</v>
      </c>
      <c r="AA477" s="312"/>
      <c r="AB477" s="312"/>
      <c r="AC477" s="312"/>
      <c r="AD477" s="312"/>
    </row>
    <row r="478">
      <c r="A478" s="312"/>
      <c r="B478" s="344">
        <f t="shared" si="1"/>
        <v>1714.918281</v>
      </c>
      <c r="C478" s="344">
        <v>120.0</v>
      </c>
      <c r="D478" s="369"/>
      <c r="E478" s="344" t="str">
        <f t="shared" si="2"/>
        <v>Saturday</v>
      </c>
      <c r="F478" s="344" t="s">
        <v>554</v>
      </c>
      <c r="G478" s="370"/>
      <c r="H478" s="370"/>
      <c r="I478" s="357">
        <f t="shared" si="3"/>
        <v>0</v>
      </c>
      <c r="J478" s="346">
        <f t="shared" si="4"/>
        <v>0</v>
      </c>
      <c r="K478" s="312"/>
      <c r="L478" s="312"/>
      <c r="M478" s="312"/>
      <c r="N478" s="362"/>
      <c r="O478" s="312"/>
      <c r="P478" s="312"/>
      <c r="S478" s="2">
        <f t="shared" si="5"/>
        <v>0</v>
      </c>
      <c r="AA478" s="312"/>
      <c r="AB478" s="312"/>
      <c r="AC478" s="312"/>
      <c r="AD478" s="312"/>
    </row>
    <row r="479">
      <c r="A479" s="312"/>
      <c r="B479" s="344">
        <f t="shared" si="1"/>
        <v>1714.918281</v>
      </c>
      <c r="C479" s="344">
        <v>120.0</v>
      </c>
      <c r="D479" s="369"/>
      <c r="E479" s="344" t="str">
        <f t="shared" si="2"/>
        <v>Saturday</v>
      </c>
      <c r="F479" s="344" t="s">
        <v>554</v>
      </c>
      <c r="G479" s="370"/>
      <c r="H479" s="370"/>
      <c r="I479" s="357">
        <f t="shared" si="3"/>
        <v>0</v>
      </c>
      <c r="J479" s="346">
        <f t="shared" si="4"/>
        <v>0</v>
      </c>
      <c r="K479" s="312"/>
      <c r="L479" s="312"/>
      <c r="M479" s="312"/>
      <c r="N479" s="362"/>
      <c r="O479" s="312"/>
      <c r="P479" s="312"/>
      <c r="S479" s="2">
        <f t="shared" si="5"/>
        <v>0</v>
      </c>
      <c r="AA479" s="312"/>
      <c r="AB479" s="312"/>
      <c r="AC479" s="312"/>
      <c r="AD479" s="312"/>
    </row>
    <row r="480">
      <c r="A480" s="312"/>
      <c r="B480" s="344">
        <f t="shared" si="1"/>
        <v>1714.918281</v>
      </c>
      <c r="C480" s="344">
        <v>120.0</v>
      </c>
      <c r="D480" s="369"/>
      <c r="E480" s="344" t="str">
        <f t="shared" si="2"/>
        <v>Saturday</v>
      </c>
      <c r="F480" s="344" t="s">
        <v>554</v>
      </c>
      <c r="G480" s="370"/>
      <c r="H480" s="370"/>
      <c r="I480" s="357">
        <f t="shared" si="3"/>
        <v>0</v>
      </c>
      <c r="J480" s="346">
        <f t="shared" si="4"/>
        <v>0</v>
      </c>
      <c r="K480" s="312"/>
      <c r="L480" s="312"/>
      <c r="M480" s="312"/>
      <c r="N480" s="362"/>
      <c r="O480" s="312"/>
      <c r="P480" s="312"/>
      <c r="S480" s="2">
        <f t="shared" si="5"/>
        <v>0</v>
      </c>
      <c r="AA480" s="312"/>
      <c r="AB480" s="312"/>
      <c r="AC480" s="312"/>
      <c r="AD480" s="312"/>
    </row>
    <row r="481">
      <c r="A481" s="312"/>
      <c r="B481" s="344">
        <f t="shared" si="1"/>
        <v>1714.918281</v>
      </c>
      <c r="C481" s="344">
        <v>120.0</v>
      </c>
      <c r="D481" s="369"/>
      <c r="E481" s="344" t="str">
        <f t="shared" si="2"/>
        <v>Saturday</v>
      </c>
      <c r="F481" s="344" t="s">
        <v>554</v>
      </c>
      <c r="G481" s="370"/>
      <c r="H481" s="370"/>
      <c r="I481" s="357">
        <f t="shared" si="3"/>
        <v>0</v>
      </c>
      <c r="J481" s="346">
        <f t="shared" si="4"/>
        <v>0</v>
      </c>
      <c r="K481" s="312"/>
      <c r="L481" s="312"/>
      <c r="M481" s="312"/>
      <c r="N481" s="362"/>
      <c r="O481" s="312"/>
      <c r="P481" s="312"/>
      <c r="S481" s="2">
        <f t="shared" si="5"/>
        <v>0</v>
      </c>
      <c r="AA481" s="312"/>
      <c r="AB481" s="312"/>
      <c r="AC481" s="312"/>
      <c r="AD481" s="312"/>
    </row>
    <row r="482">
      <c r="A482" s="312"/>
      <c r="B482" s="344">
        <f t="shared" si="1"/>
        <v>1714.918281</v>
      </c>
      <c r="C482" s="344">
        <v>120.0</v>
      </c>
      <c r="D482" s="369"/>
      <c r="E482" s="344" t="str">
        <f t="shared" si="2"/>
        <v>Saturday</v>
      </c>
      <c r="F482" s="344" t="s">
        <v>554</v>
      </c>
      <c r="G482" s="370"/>
      <c r="H482" s="370"/>
      <c r="I482" s="357">
        <f t="shared" si="3"/>
        <v>0</v>
      </c>
      <c r="J482" s="346">
        <f t="shared" si="4"/>
        <v>0</v>
      </c>
      <c r="K482" s="312"/>
      <c r="L482" s="312"/>
      <c r="M482" s="312"/>
      <c r="N482" s="362"/>
      <c r="O482" s="312"/>
      <c r="P482" s="312"/>
      <c r="S482" s="2">
        <f t="shared" si="5"/>
        <v>0</v>
      </c>
      <c r="AA482" s="312"/>
      <c r="AB482" s="312"/>
      <c r="AC482" s="312"/>
      <c r="AD482" s="312"/>
    </row>
    <row r="483">
      <c r="A483" s="312"/>
      <c r="B483" s="344">
        <f t="shared" si="1"/>
        <v>1714.918281</v>
      </c>
      <c r="C483" s="344">
        <v>120.0</v>
      </c>
      <c r="D483" s="369"/>
      <c r="E483" s="344" t="str">
        <f t="shared" si="2"/>
        <v>Saturday</v>
      </c>
      <c r="F483" s="344" t="s">
        <v>554</v>
      </c>
      <c r="G483" s="370"/>
      <c r="H483" s="370"/>
      <c r="I483" s="357">
        <f t="shared" si="3"/>
        <v>0</v>
      </c>
      <c r="J483" s="346">
        <f t="shared" si="4"/>
        <v>0</v>
      </c>
      <c r="K483" s="312"/>
      <c r="L483" s="312"/>
      <c r="M483" s="312"/>
      <c r="N483" s="362"/>
      <c r="O483" s="312"/>
      <c r="P483" s="312"/>
      <c r="S483" s="2">
        <f t="shared" si="5"/>
        <v>0</v>
      </c>
      <c r="AA483" s="312"/>
      <c r="AB483" s="312"/>
      <c r="AC483" s="312"/>
      <c r="AD483" s="312"/>
    </row>
    <row r="484">
      <c r="A484" s="312"/>
      <c r="B484" s="344">
        <f t="shared" si="1"/>
        <v>1714.918281</v>
      </c>
      <c r="C484" s="344">
        <v>120.0</v>
      </c>
      <c r="D484" s="369"/>
      <c r="E484" s="344" t="str">
        <f t="shared" si="2"/>
        <v>Saturday</v>
      </c>
      <c r="F484" s="344" t="s">
        <v>554</v>
      </c>
      <c r="G484" s="370"/>
      <c r="H484" s="370"/>
      <c r="I484" s="357">
        <f t="shared" si="3"/>
        <v>0</v>
      </c>
      <c r="J484" s="346">
        <f t="shared" si="4"/>
        <v>0</v>
      </c>
      <c r="K484" s="312"/>
      <c r="L484" s="312"/>
      <c r="M484" s="312"/>
      <c r="N484" s="362"/>
      <c r="O484" s="312"/>
      <c r="P484" s="312"/>
      <c r="S484" s="2">
        <f t="shared" si="5"/>
        <v>0</v>
      </c>
      <c r="AA484" s="312"/>
      <c r="AB484" s="312"/>
      <c r="AC484" s="312"/>
      <c r="AD484" s="312"/>
    </row>
    <row r="485">
      <c r="A485" s="312"/>
      <c r="B485" s="344">
        <f t="shared" si="1"/>
        <v>1714.918281</v>
      </c>
      <c r="C485" s="344">
        <v>120.0</v>
      </c>
      <c r="D485" s="369"/>
      <c r="E485" s="344" t="str">
        <f t="shared" si="2"/>
        <v>Saturday</v>
      </c>
      <c r="F485" s="344" t="s">
        <v>554</v>
      </c>
      <c r="G485" s="370"/>
      <c r="H485" s="370"/>
      <c r="I485" s="357">
        <f t="shared" si="3"/>
        <v>0</v>
      </c>
      <c r="J485" s="346">
        <f t="shared" si="4"/>
        <v>0</v>
      </c>
      <c r="K485" s="312"/>
      <c r="L485" s="312"/>
      <c r="M485" s="312"/>
      <c r="N485" s="362"/>
      <c r="O485" s="312"/>
      <c r="P485" s="312"/>
      <c r="S485" s="2">
        <f t="shared" si="5"/>
        <v>0</v>
      </c>
      <c r="AA485" s="312"/>
      <c r="AB485" s="312"/>
      <c r="AC485" s="312"/>
      <c r="AD485" s="312"/>
    </row>
    <row r="486">
      <c r="A486" s="312"/>
      <c r="B486" s="344">
        <f t="shared" si="1"/>
        <v>1714.918281</v>
      </c>
      <c r="C486" s="344">
        <v>120.0</v>
      </c>
      <c r="D486" s="369"/>
      <c r="E486" s="344" t="str">
        <f t="shared" si="2"/>
        <v>Saturday</v>
      </c>
      <c r="F486" s="344" t="s">
        <v>554</v>
      </c>
      <c r="G486" s="370"/>
      <c r="H486" s="370"/>
      <c r="I486" s="357">
        <f t="shared" si="3"/>
        <v>0</v>
      </c>
      <c r="J486" s="346">
        <f t="shared" si="4"/>
        <v>0</v>
      </c>
      <c r="K486" s="312"/>
      <c r="L486" s="312"/>
      <c r="M486" s="312"/>
      <c r="N486" s="362"/>
      <c r="O486" s="312"/>
      <c r="P486" s="312"/>
      <c r="S486" s="2">
        <f t="shared" si="5"/>
        <v>0</v>
      </c>
      <c r="AA486" s="312"/>
      <c r="AB486" s="312"/>
      <c r="AC486" s="312"/>
      <c r="AD486" s="312"/>
    </row>
    <row r="487">
      <c r="A487" s="312"/>
      <c r="B487" s="344">
        <f t="shared" si="1"/>
        <v>1714.918281</v>
      </c>
      <c r="C487" s="344">
        <v>120.0</v>
      </c>
      <c r="D487" s="369"/>
      <c r="E487" s="344" t="str">
        <f t="shared" si="2"/>
        <v>Saturday</v>
      </c>
      <c r="F487" s="344" t="s">
        <v>554</v>
      </c>
      <c r="G487" s="370"/>
      <c r="H487" s="370"/>
      <c r="I487" s="357">
        <f t="shared" si="3"/>
        <v>0</v>
      </c>
      <c r="J487" s="346">
        <f t="shared" si="4"/>
        <v>0</v>
      </c>
      <c r="K487" s="312"/>
      <c r="L487" s="312"/>
      <c r="M487" s="312"/>
      <c r="N487" s="362"/>
      <c r="O487" s="312"/>
      <c r="P487" s="312"/>
      <c r="S487" s="2">
        <f t="shared" si="5"/>
        <v>0</v>
      </c>
      <c r="AA487" s="312"/>
      <c r="AB487" s="312"/>
      <c r="AC487" s="312"/>
      <c r="AD487" s="312"/>
    </row>
    <row r="488">
      <c r="A488" s="312"/>
      <c r="B488" s="344">
        <f t="shared" si="1"/>
        <v>1714.918281</v>
      </c>
      <c r="C488" s="344">
        <v>120.0</v>
      </c>
      <c r="D488" s="369"/>
      <c r="E488" s="344" t="str">
        <f t="shared" si="2"/>
        <v>Saturday</v>
      </c>
      <c r="F488" s="344" t="s">
        <v>554</v>
      </c>
      <c r="G488" s="370"/>
      <c r="H488" s="370"/>
      <c r="I488" s="357">
        <f t="shared" si="3"/>
        <v>0</v>
      </c>
      <c r="J488" s="346">
        <f t="shared" si="4"/>
        <v>0</v>
      </c>
      <c r="K488" s="312"/>
      <c r="L488" s="312"/>
      <c r="M488" s="312"/>
      <c r="N488" s="362"/>
      <c r="O488" s="312"/>
      <c r="P488" s="312"/>
      <c r="S488" s="2">
        <f t="shared" si="5"/>
        <v>0</v>
      </c>
      <c r="AA488" s="312"/>
      <c r="AB488" s="312"/>
      <c r="AC488" s="312"/>
      <c r="AD488" s="312"/>
    </row>
    <row r="489">
      <c r="A489" s="312"/>
      <c r="B489" s="344">
        <f t="shared" si="1"/>
        <v>1714.918281</v>
      </c>
      <c r="C489" s="344">
        <v>120.0</v>
      </c>
      <c r="D489" s="369"/>
      <c r="E489" s="344" t="str">
        <f t="shared" si="2"/>
        <v>Saturday</v>
      </c>
      <c r="F489" s="344" t="s">
        <v>554</v>
      </c>
      <c r="G489" s="370"/>
      <c r="H489" s="370"/>
      <c r="I489" s="357">
        <f t="shared" si="3"/>
        <v>0</v>
      </c>
      <c r="J489" s="346">
        <f t="shared" si="4"/>
        <v>0</v>
      </c>
      <c r="K489" s="312"/>
      <c r="L489" s="312"/>
      <c r="M489" s="312"/>
      <c r="N489" s="362"/>
      <c r="O489" s="312"/>
      <c r="P489" s="312"/>
      <c r="S489" s="2">
        <f t="shared" si="5"/>
        <v>0</v>
      </c>
      <c r="AA489" s="312"/>
      <c r="AB489" s="312"/>
      <c r="AC489" s="312"/>
      <c r="AD489" s="312"/>
    </row>
    <row r="490">
      <c r="A490" s="312"/>
      <c r="B490" s="344">
        <f t="shared" si="1"/>
        <v>1714.918281</v>
      </c>
      <c r="C490" s="344">
        <v>120.0</v>
      </c>
      <c r="D490" s="369"/>
      <c r="E490" s="344" t="str">
        <f t="shared" si="2"/>
        <v>Saturday</v>
      </c>
      <c r="F490" s="344" t="s">
        <v>554</v>
      </c>
      <c r="G490" s="370"/>
      <c r="H490" s="370"/>
      <c r="I490" s="357">
        <f t="shared" si="3"/>
        <v>0</v>
      </c>
      <c r="J490" s="346">
        <f t="shared" si="4"/>
        <v>0</v>
      </c>
      <c r="K490" s="312"/>
      <c r="L490" s="312"/>
      <c r="M490" s="312"/>
      <c r="N490" s="362"/>
      <c r="O490" s="312"/>
      <c r="P490" s="312"/>
      <c r="S490" s="2">
        <f t="shared" si="5"/>
        <v>0</v>
      </c>
      <c r="AA490" s="312"/>
      <c r="AB490" s="312"/>
      <c r="AC490" s="312"/>
      <c r="AD490" s="312"/>
    </row>
    <row r="491">
      <c r="A491" s="312"/>
      <c r="B491" s="344">
        <f t="shared" si="1"/>
        <v>1714.918281</v>
      </c>
      <c r="C491" s="344">
        <v>120.0</v>
      </c>
      <c r="D491" s="369"/>
      <c r="E491" s="344" t="str">
        <f t="shared" si="2"/>
        <v>Saturday</v>
      </c>
      <c r="F491" s="344" t="s">
        <v>554</v>
      </c>
      <c r="G491" s="370"/>
      <c r="H491" s="370"/>
      <c r="I491" s="357">
        <f t="shared" si="3"/>
        <v>0</v>
      </c>
      <c r="J491" s="346">
        <f t="shared" si="4"/>
        <v>0</v>
      </c>
      <c r="K491" s="312"/>
      <c r="L491" s="312"/>
      <c r="M491" s="312"/>
      <c r="N491" s="362"/>
      <c r="O491" s="312"/>
      <c r="P491" s="312"/>
      <c r="S491" s="2">
        <f t="shared" si="5"/>
        <v>0</v>
      </c>
      <c r="AA491" s="312"/>
      <c r="AB491" s="312"/>
      <c r="AC491" s="312"/>
      <c r="AD491" s="312"/>
    </row>
    <row r="492">
      <c r="A492" s="312"/>
      <c r="B492" s="344">
        <f t="shared" si="1"/>
        <v>1714.918281</v>
      </c>
      <c r="C492" s="344">
        <v>120.0</v>
      </c>
      <c r="D492" s="369"/>
      <c r="E492" s="344" t="str">
        <f t="shared" si="2"/>
        <v>Saturday</v>
      </c>
      <c r="F492" s="344" t="s">
        <v>554</v>
      </c>
      <c r="G492" s="370"/>
      <c r="H492" s="370"/>
      <c r="I492" s="357">
        <f t="shared" si="3"/>
        <v>0</v>
      </c>
      <c r="J492" s="346">
        <f t="shared" si="4"/>
        <v>0</v>
      </c>
      <c r="K492" s="312"/>
      <c r="L492" s="312"/>
      <c r="M492" s="312"/>
      <c r="N492" s="362"/>
      <c r="O492" s="312"/>
      <c r="P492" s="312"/>
      <c r="S492" s="2">
        <f t="shared" si="5"/>
        <v>0</v>
      </c>
      <c r="AA492" s="312"/>
      <c r="AB492" s="312"/>
      <c r="AC492" s="312"/>
      <c r="AD492" s="312"/>
    </row>
    <row r="493">
      <c r="A493" s="312"/>
      <c r="B493" s="344">
        <f t="shared" si="1"/>
        <v>1714.918281</v>
      </c>
      <c r="C493" s="344">
        <v>120.0</v>
      </c>
      <c r="D493" s="369"/>
      <c r="E493" s="344" t="str">
        <f t="shared" si="2"/>
        <v>Saturday</v>
      </c>
      <c r="F493" s="344" t="s">
        <v>554</v>
      </c>
      <c r="G493" s="370"/>
      <c r="H493" s="370"/>
      <c r="I493" s="357">
        <f t="shared" si="3"/>
        <v>0</v>
      </c>
      <c r="J493" s="346">
        <f t="shared" si="4"/>
        <v>0</v>
      </c>
      <c r="K493" s="312"/>
      <c r="L493" s="312"/>
      <c r="M493" s="312"/>
      <c r="N493" s="362"/>
      <c r="O493" s="312"/>
      <c r="P493" s="312"/>
      <c r="S493" s="2">
        <f t="shared" si="5"/>
        <v>0</v>
      </c>
      <c r="AA493" s="312"/>
      <c r="AB493" s="312"/>
      <c r="AC493" s="312"/>
      <c r="AD493" s="312"/>
    </row>
    <row r="494">
      <c r="A494" s="312"/>
      <c r="B494" s="344">
        <f t="shared" si="1"/>
        <v>1714.918281</v>
      </c>
      <c r="C494" s="344">
        <v>120.0</v>
      </c>
      <c r="D494" s="369"/>
      <c r="E494" s="344" t="str">
        <f t="shared" si="2"/>
        <v>Saturday</v>
      </c>
      <c r="F494" s="344" t="s">
        <v>554</v>
      </c>
      <c r="G494" s="370"/>
      <c r="H494" s="370"/>
      <c r="I494" s="357">
        <f t="shared" si="3"/>
        <v>0</v>
      </c>
      <c r="J494" s="346">
        <f t="shared" si="4"/>
        <v>0</v>
      </c>
      <c r="K494" s="312"/>
      <c r="L494" s="312"/>
      <c r="M494" s="312"/>
      <c r="N494" s="362"/>
      <c r="O494" s="312"/>
      <c r="P494" s="312"/>
      <c r="S494" s="2">
        <f t="shared" si="5"/>
        <v>0</v>
      </c>
      <c r="AA494" s="312"/>
      <c r="AB494" s="312"/>
      <c r="AC494" s="312"/>
      <c r="AD494" s="312"/>
    </row>
    <row r="495">
      <c r="A495" s="312"/>
      <c r="B495" s="344">
        <f t="shared" si="1"/>
        <v>1714.918281</v>
      </c>
      <c r="C495" s="344">
        <v>120.0</v>
      </c>
      <c r="D495" s="369"/>
      <c r="E495" s="344" t="str">
        <f t="shared" si="2"/>
        <v>Saturday</v>
      </c>
      <c r="F495" s="344" t="s">
        <v>554</v>
      </c>
      <c r="G495" s="370"/>
      <c r="H495" s="370"/>
      <c r="I495" s="357">
        <f t="shared" si="3"/>
        <v>0</v>
      </c>
      <c r="J495" s="346">
        <f t="shared" si="4"/>
        <v>0</v>
      </c>
      <c r="K495" s="312"/>
      <c r="L495" s="312"/>
      <c r="M495" s="312"/>
      <c r="N495" s="362"/>
      <c r="O495" s="312"/>
      <c r="P495" s="312"/>
      <c r="S495" s="2">
        <f t="shared" si="5"/>
        <v>0</v>
      </c>
      <c r="AA495" s="312"/>
      <c r="AB495" s="312"/>
      <c r="AC495" s="312"/>
      <c r="AD495" s="312"/>
    </row>
    <row r="496">
      <c r="A496" s="312"/>
      <c r="B496" s="344">
        <f t="shared" si="1"/>
        <v>1714.918281</v>
      </c>
      <c r="C496" s="344">
        <v>120.0</v>
      </c>
      <c r="D496" s="369"/>
      <c r="E496" s="344" t="str">
        <f t="shared" si="2"/>
        <v>Saturday</v>
      </c>
      <c r="F496" s="344" t="s">
        <v>554</v>
      </c>
      <c r="G496" s="370"/>
      <c r="H496" s="370"/>
      <c r="I496" s="357">
        <f t="shared" si="3"/>
        <v>0</v>
      </c>
      <c r="J496" s="346">
        <f t="shared" si="4"/>
        <v>0</v>
      </c>
      <c r="K496" s="312"/>
      <c r="L496" s="312"/>
      <c r="M496" s="312"/>
      <c r="N496" s="362"/>
      <c r="O496" s="312"/>
      <c r="P496" s="312"/>
      <c r="S496" s="2">
        <f t="shared" si="5"/>
        <v>0</v>
      </c>
      <c r="AA496" s="312"/>
      <c r="AB496" s="312"/>
      <c r="AC496" s="312"/>
      <c r="AD496" s="312"/>
    </row>
    <row r="497">
      <c r="A497" s="312"/>
      <c r="B497" s="344">
        <f t="shared" si="1"/>
        <v>1714.918281</v>
      </c>
      <c r="C497" s="344">
        <v>120.0</v>
      </c>
      <c r="D497" s="369"/>
      <c r="E497" s="344" t="str">
        <f t="shared" si="2"/>
        <v>Saturday</v>
      </c>
      <c r="F497" s="344" t="s">
        <v>554</v>
      </c>
      <c r="G497" s="370"/>
      <c r="H497" s="370"/>
      <c r="I497" s="357">
        <f t="shared" si="3"/>
        <v>0</v>
      </c>
      <c r="J497" s="346">
        <f t="shared" si="4"/>
        <v>0</v>
      </c>
      <c r="K497" s="312"/>
      <c r="L497" s="312"/>
      <c r="M497" s="312"/>
      <c r="N497" s="362"/>
      <c r="O497" s="312"/>
      <c r="P497" s="312"/>
      <c r="S497" s="2">
        <f t="shared" si="5"/>
        <v>0</v>
      </c>
      <c r="AA497" s="312"/>
      <c r="AB497" s="312"/>
      <c r="AC497" s="312"/>
      <c r="AD497" s="312"/>
    </row>
    <row r="498">
      <c r="A498" s="312"/>
      <c r="B498" s="344">
        <f t="shared" si="1"/>
        <v>1714.918281</v>
      </c>
      <c r="C498" s="344">
        <v>120.0</v>
      </c>
      <c r="D498" s="369"/>
      <c r="E498" s="344" t="str">
        <f t="shared" si="2"/>
        <v>Saturday</v>
      </c>
      <c r="F498" s="344" t="s">
        <v>554</v>
      </c>
      <c r="G498" s="370"/>
      <c r="H498" s="370"/>
      <c r="I498" s="357">
        <f t="shared" si="3"/>
        <v>0</v>
      </c>
      <c r="J498" s="346">
        <f t="shared" si="4"/>
        <v>0</v>
      </c>
      <c r="K498" s="312"/>
      <c r="L498" s="312"/>
      <c r="M498" s="312"/>
      <c r="N498" s="362"/>
      <c r="O498" s="312"/>
      <c r="P498" s="312"/>
      <c r="S498" s="2">
        <f t="shared" si="5"/>
        <v>0</v>
      </c>
      <c r="AA498" s="312"/>
      <c r="AB498" s="312"/>
      <c r="AC498" s="312"/>
      <c r="AD498" s="312"/>
    </row>
    <row r="499">
      <c r="A499" s="312"/>
      <c r="B499" s="344">
        <f t="shared" si="1"/>
        <v>1714.918281</v>
      </c>
      <c r="C499" s="344">
        <v>120.0</v>
      </c>
      <c r="D499" s="369"/>
      <c r="E499" s="344" t="str">
        <f t="shared" si="2"/>
        <v>Saturday</v>
      </c>
      <c r="F499" s="344" t="s">
        <v>554</v>
      </c>
      <c r="G499" s="370"/>
      <c r="H499" s="370"/>
      <c r="I499" s="357">
        <f t="shared" si="3"/>
        <v>0</v>
      </c>
      <c r="J499" s="346">
        <f t="shared" si="4"/>
        <v>0</v>
      </c>
      <c r="K499" s="312"/>
      <c r="L499" s="312"/>
      <c r="M499" s="312"/>
      <c r="N499" s="362"/>
      <c r="O499" s="312"/>
      <c r="P499" s="312"/>
      <c r="S499" s="2">
        <f t="shared" si="5"/>
        <v>0</v>
      </c>
      <c r="AA499" s="312"/>
      <c r="AB499" s="312"/>
      <c r="AC499" s="312"/>
      <c r="AD499" s="312"/>
    </row>
    <row r="500">
      <c r="A500" s="312"/>
      <c r="B500" s="344">
        <f t="shared" si="1"/>
        <v>1714.918281</v>
      </c>
      <c r="C500" s="344">
        <v>120.0</v>
      </c>
      <c r="D500" s="369"/>
      <c r="E500" s="344" t="str">
        <f t="shared" si="2"/>
        <v>Saturday</v>
      </c>
      <c r="F500" s="344" t="s">
        <v>554</v>
      </c>
      <c r="G500" s="370"/>
      <c r="H500" s="370"/>
      <c r="I500" s="357">
        <f t="shared" si="3"/>
        <v>0</v>
      </c>
      <c r="J500" s="346">
        <f t="shared" si="4"/>
        <v>0</v>
      </c>
      <c r="K500" s="312"/>
      <c r="L500" s="312"/>
      <c r="M500" s="312"/>
      <c r="N500" s="362"/>
      <c r="O500" s="312"/>
      <c r="P500" s="312"/>
      <c r="S500" s="2">
        <f t="shared" si="5"/>
        <v>0</v>
      </c>
      <c r="AA500" s="312"/>
      <c r="AB500" s="312"/>
      <c r="AC500" s="312"/>
      <c r="AD500" s="312"/>
    </row>
    <row r="501">
      <c r="A501" s="312"/>
      <c r="B501" s="344">
        <f t="shared" si="1"/>
        <v>1714.918281</v>
      </c>
      <c r="C501" s="344">
        <v>120.0</v>
      </c>
      <c r="D501" s="369"/>
      <c r="E501" s="344" t="str">
        <f t="shared" si="2"/>
        <v>Saturday</v>
      </c>
      <c r="F501" s="344" t="s">
        <v>554</v>
      </c>
      <c r="G501" s="370"/>
      <c r="H501" s="370"/>
      <c r="I501" s="357">
        <f t="shared" si="3"/>
        <v>0</v>
      </c>
      <c r="J501" s="346">
        <f t="shared" si="4"/>
        <v>0</v>
      </c>
      <c r="K501" s="312"/>
      <c r="L501" s="312"/>
      <c r="M501" s="312"/>
      <c r="N501" s="362"/>
      <c r="O501" s="312"/>
      <c r="P501" s="312"/>
      <c r="S501" s="2">
        <f t="shared" si="5"/>
        <v>0</v>
      </c>
      <c r="AA501" s="312"/>
      <c r="AB501" s="312"/>
      <c r="AC501" s="312"/>
      <c r="AD501" s="312"/>
    </row>
    <row r="502">
      <c r="A502" s="312"/>
      <c r="B502" s="344">
        <f t="shared" si="1"/>
        <v>1714.918281</v>
      </c>
      <c r="C502" s="344">
        <v>120.0</v>
      </c>
      <c r="D502" s="369"/>
      <c r="E502" s="344" t="str">
        <f t="shared" si="2"/>
        <v>Saturday</v>
      </c>
      <c r="F502" s="344" t="s">
        <v>554</v>
      </c>
      <c r="G502" s="370"/>
      <c r="H502" s="370"/>
      <c r="I502" s="357">
        <f t="shared" si="3"/>
        <v>0</v>
      </c>
      <c r="J502" s="346">
        <f t="shared" si="4"/>
        <v>0</v>
      </c>
      <c r="K502" s="312"/>
      <c r="L502" s="312"/>
      <c r="M502" s="312"/>
      <c r="N502" s="362"/>
      <c r="O502" s="312"/>
      <c r="P502" s="312"/>
      <c r="S502" s="2">
        <f t="shared" si="5"/>
        <v>0</v>
      </c>
      <c r="AA502" s="312"/>
      <c r="AB502" s="312"/>
      <c r="AC502" s="312"/>
      <c r="AD502" s="312"/>
    </row>
    <row r="503">
      <c r="A503" s="312"/>
      <c r="B503" s="344">
        <f t="shared" si="1"/>
        <v>1714.918281</v>
      </c>
      <c r="C503" s="344">
        <v>120.0</v>
      </c>
      <c r="D503" s="369"/>
      <c r="E503" s="344" t="str">
        <f t="shared" si="2"/>
        <v>Saturday</v>
      </c>
      <c r="F503" s="344" t="s">
        <v>554</v>
      </c>
      <c r="G503" s="370"/>
      <c r="H503" s="370"/>
      <c r="I503" s="357">
        <f t="shared" si="3"/>
        <v>0</v>
      </c>
      <c r="J503" s="346">
        <f t="shared" si="4"/>
        <v>0</v>
      </c>
      <c r="K503" s="312"/>
      <c r="L503" s="312"/>
      <c r="M503" s="312"/>
      <c r="N503" s="362"/>
      <c r="O503" s="312"/>
      <c r="P503" s="312"/>
      <c r="S503" s="2">
        <f t="shared" si="5"/>
        <v>0</v>
      </c>
      <c r="AA503" s="312"/>
      <c r="AB503" s="312"/>
      <c r="AC503" s="312"/>
      <c r="AD503" s="312"/>
    </row>
    <row r="504">
      <c r="A504" s="312"/>
      <c r="B504" s="344">
        <f t="shared" si="1"/>
        <v>1714.918281</v>
      </c>
      <c r="C504" s="344">
        <v>120.0</v>
      </c>
      <c r="D504" s="369"/>
      <c r="E504" s="344" t="str">
        <f t="shared" si="2"/>
        <v>Saturday</v>
      </c>
      <c r="F504" s="344" t="s">
        <v>554</v>
      </c>
      <c r="G504" s="370"/>
      <c r="H504" s="370"/>
      <c r="I504" s="357">
        <f t="shared" si="3"/>
        <v>0</v>
      </c>
      <c r="J504" s="346">
        <f t="shared" si="4"/>
        <v>0</v>
      </c>
      <c r="K504" s="312"/>
      <c r="L504" s="312"/>
      <c r="M504" s="312"/>
      <c r="N504" s="362"/>
      <c r="O504" s="312"/>
      <c r="P504" s="312"/>
      <c r="S504" s="2">
        <f t="shared" si="5"/>
        <v>0</v>
      </c>
      <c r="AA504" s="312"/>
      <c r="AB504" s="312"/>
      <c r="AC504" s="312"/>
      <c r="AD504" s="312"/>
    </row>
    <row r="505">
      <c r="A505" s="312"/>
      <c r="B505" s="344">
        <f t="shared" si="1"/>
        <v>1714.918281</v>
      </c>
      <c r="C505" s="344">
        <v>120.0</v>
      </c>
      <c r="D505" s="369"/>
      <c r="E505" s="344" t="str">
        <f t="shared" si="2"/>
        <v>Saturday</v>
      </c>
      <c r="F505" s="344" t="s">
        <v>554</v>
      </c>
      <c r="G505" s="370"/>
      <c r="H505" s="370"/>
      <c r="I505" s="357">
        <f t="shared" si="3"/>
        <v>0</v>
      </c>
      <c r="J505" s="346">
        <f t="shared" si="4"/>
        <v>0</v>
      </c>
      <c r="K505" s="312"/>
      <c r="L505" s="312"/>
      <c r="M505" s="312"/>
      <c r="N505" s="362"/>
      <c r="O505" s="312"/>
      <c r="P505" s="312"/>
      <c r="S505" s="2">
        <f t="shared" si="5"/>
        <v>0</v>
      </c>
      <c r="AA505" s="312"/>
      <c r="AB505" s="312"/>
      <c r="AC505" s="312"/>
      <c r="AD505" s="312"/>
    </row>
    <row r="506">
      <c r="A506" s="312"/>
      <c r="B506" s="344">
        <f t="shared" si="1"/>
        <v>1714.918281</v>
      </c>
      <c r="C506" s="344">
        <v>120.0</v>
      </c>
      <c r="D506" s="369"/>
      <c r="E506" s="344" t="str">
        <f t="shared" si="2"/>
        <v>Saturday</v>
      </c>
      <c r="F506" s="344" t="s">
        <v>554</v>
      </c>
      <c r="G506" s="370"/>
      <c r="H506" s="370"/>
      <c r="I506" s="357">
        <f t="shared" si="3"/>
        <v>0</v>
      </c>
      <c r="J506" s="346">
        <f t="shared" si="4"/>
        <v>0</v>
      </c>
      <c r="K506" s="312"/>
      <c r="L506" s="312"/>
      <c r="M506" s="312"/>
      <c r="N506" s="362"/>
      <c r="O506" s="312"/>
      <c r="P506" s="312"/>
      <c r="S506" s="2">
        <f t="shared" si="5"/>
        <v>0</v>
      </c>
      <c r="AA506" s="312"/>
      <c r="AB506" s="312"/>
      <c r="AC506" s="312"/>
      <c r="AD506" s="312"/>
    </row>
    <row r="507">
      <c r="A507" s="312"/>
      <c r="B507" s="344">
        <f t="shared" si="1"/>
        <v>1714.918281</v>
      </c>
      <c r="C507" s="344">
        <v>120.0</v>
      </c>
      <c r="D507" s="369"/>
      <c r="E507" s="344" t="str">
        <f t="shared" si="2"/>
        <v>Saturday</v>
      </c>
      <c r="F507" s="344" t="s">
        <v>554</v>
      </c>
      <c r="G507" s="370"/>
      <c r="H507" s="370"/>
      <c r="I507" s="357">
        <f t="shared" si="3"/>
        <v>0</v>
      </c>
      <c r="J507" s="346">
        <f t="shared" si="4"/>
        <v>0</v>
      </c>
      <c r="K507" s="312"/>
      <c r="L507" s="312"/>
      <c r="M507" s="312"/>
      <c r="N507" s="362"/>
      <c r="O507" s="312"/>
      <c r="P507" s="312"/>
      <c r="S507" s="2">
        <f t="shared" si="5"/>
        <v>0</v>
      </c>
      <c r="AA507" s="312"/>
      <c r="AB507" s="312"/>
      <c r="AC507" s="312"/>
      <c r="AD507" s="312"/>
    </row>
    <row r="508">
      <c r="A508" s="312"/>
      <c r="B508" s="344">
        <f t="shared" si="1"/>
        <v>1714.918281</v>
      </c>
      <c r="C508" s="344">
        <v>120.0</v>
      </c>
      <c r="D508" s="369"/>
      <c r="E508" s="344" t="str">
        <f t="shared" si="2"/>
        <v>Saturday</v>
      </c>
      <c r="F508" s="344" t="s">
        <v>554</v>
      </c>
      <c r="G508" s="370"/>
      <c r="H508" s="370"/>
      <c r="I508" s="357">
        <f t="shared" si="3"/>
        <v>0</v>
      </c>
      <c r="J508" s="346">
        <f t="shared" si="4"/>
        <v>0</v>
      </c>
      <c r="K508" s="312"/>
      <c r="L508" s="312"/>
      <c r="M508" s="312"/>
      <c r="N508" s="362"/>
      <c r="O508" s="312"/>
      <c r="P508" s="312"/>
      <c r="S508" s="2">
        <f t="shared" si="5"/>
        <v>0</v>
      </c>
      <c r="AA508" s="312"/>
      <c r="AB508" s="312"/>
      <c r="AC508" s="312"/>
      <c r="AD508" s="312"/>
    </row>
    <row r="509">
      <c r="A509" s="312"/>
      <c r="B509" s="344">
        <f t="shared" si="1"/>
        <v>1714.918281</v>
      </c>
      <c r="C509" s="344">
        <v>120.0</v>
      </c>
      <c r="D509" s="369"/>
      <c r="E509" s="344" t="str">
        <f t="shared" si="2"/>
        <v>Saturday</v>
      </c>
      <c r="F509" s="344" t="s">
        <v>554</v>
      </c>
      <c r="G509" s="370"/>
      <c r="H509" s="370"/>
      <c r="I509" s="357">
        <f t="shared" si="3"/>
        <v>0</v>
      </c>
      <c r="J509" s="346">
        <f t="shared" si="4"/>
        <v>0</v>
      </c>
      <c r="K509" s="312"/>
      <c r="L509" s="312"/>
      <c r="M509" s="312"/>
      <c r="N509" s="362"/>
      <c r="O509" s="312"/>
      <c r="P509" s="312"/>
      <c r="S509" s="2">
        <f t="shared" si="5"/>
        <v>0</v>
      </c>
      <c r="AA509" s="312"/>
      <c r="AB509" s="312"/>
      <c r="AC509" s="312"/>
      <c r="AD509" s="312"/>
    </row>
    <row r="510">
      <c r="A510" s="312"/>
      <c r="B510" s="344">
        <f t="shared" si="1"/>
        <v>1714.918281</v>
      </c>
      <c r="C510" s="344">
        <v>120.0</v>
      </c>
      <c r="D510" s="369"/>
      <c r="E510" s="344" t="str">
        <f t="shared" si="2"/>
        <v>Saturday</v>
      </c>
      <c r="F510" s="344" t="s">
        <v>554</v>
      </c>
      <c r="G510" s="370"/>
      <c r="H510" s="370"/>
      <c r="I510" s="357">
        <f t="shared" si="3"/>
        <v>0</v>
      </c>
      <c r="J510" s="346">
        <f t="shared" si="4"/>
        <v>0</v>
      </c>
      <c r="K510" s="312"/>
      <c r="L510" s="312"/>
      <c r="M510" s="312"/>
      <c r="N510" s="362"/>
      <c r="O510" s="312"/>
      <c r="P510" s="312"/>
      <c r="S510" s="2">
        <f t="shared" si="5"/>
        <v>0</v>
      </c>
      <c r="AA510" s="312"/>
      <c r="AB510" s="312"/>
      <c r="AC510" s="312"/>
      <c r="AD510" s="312"/>
    </row>
    <row r="511">
      <c r="A511" s="312"/>
      <c r="B511" s="344">
        <f t="shared" si="1"/>
        <v>1714.918281</v>
      </c>
      <c r="C511" s="344">
        <v>120.0</v>
      </c>
      <c r="D511" s="369"/>
      <c r="E511" s="344" t="str">
        <f t="shared" si="2"/>
        <v>Saturday</v>
      </c>
      <c r="F511" s="344" t="s">
        <v>554</v>
      </c>
      <c r="G511" s="370"/>
      <c r="H511" s="370"/>
      <c r="I511" s="357">
        <f t="shared" si="3"/>
        <v>0</v>
      </c>
      <c r="J511" s="346">
        <f t="shared" si="4"/>
        <v>0</v>
      </c>
      <c r="K511" s="312"/>
      <c r="L511" s="312"/>
      <c r="M511" s="312"/>
      <c r="N511" s="362"/>
      <c r="O511" s="312"/>
      <c r="P511" s="312"/>
      <c r="S511" s="2">
        <f t="shared" si="5"/>
        <v>0</v>
      </c>
      <c r="AA511" s="312"/>
      <c r="AB511" s="312"/>
      <c r="AC511" s="312"/>
      <c r="AD511" s="312"/>
    </row>
    <row r="512">
      <c r="A512" s="312"/>
      <c r="B512" s="344">
        <f t="shared" si="1"/>
        <v>1714.918281</v>
      </c>
      <c r="C512" s="344">
        <v>120.0</v>
      </c>
      <c r="D512" s="369"/>
      <c r="E512" s="344" t="str">
        <f t="shared" si="2"/>
        <v>Saturday</v>
      </c>
      <c r="F512" s="344" t="s">
        <v>554</v>
      </c>
      <c r="G512" s="370"/>
      <c r="H512" s="370"/>
      <c r="I512" s="357">
        <f t="shared" si="3"/>
        <v>0</v>
      </c>
      <c r="J512" s="346">
        <f t="shared" si="4"/>
        <v>0</v>
      </c>
      <c r="K512" s="312"/>
      <c r="L512" s="312"/>
      <c r="M512" s="312"/>
      <c r="N512" s="362"/>
      <c r="O512" s="312"/>
      <c r="P512" s="312"/>
      <c r="S512" s="2">
        <f t="shared" si="5"/>
        <v>0</v>
      </c>
      <c r="AA512" s="312"/>
      <c r="AB512" s="312"/>
      <c r="AC512" s="312"/>
      <c r="AD512" s="312"/>
    </row>
    <row r="513">
      <c r="A513" s="312"/>
      <c r="B513" s="344">
        <f t="shared" si="1"/>
        <v>1714.918281</v>
      </c>
      <c r="C513" s="344">
        <v>120.0</v>
      </c>
      <c r="D513" s="369"/>
      <c r="E513" s="344" t="str">
        <f t="shared" si="2"/>
        <v>Saturday</v>
      </c>
      <c r="F513" s="344" t="s">
        <v>554</v>
      </c>
      <c r="G513" s="370"/>
      <c r="H513" s="370"/>
      <c r="I513" s="357">
        <f t="shared" si="3"/>
        <v>0</v>
      </c>
      <c r="J513" s="346">
        <f t="shared" si="4"/>
        <v>0</v>
      </c>
      <c r="K513" s="312"/>
      <c r="L513" s="312"/>
      <c r="M513" s="312"/>
      <c r="N513" s="362"/>
      <c r="O513" s="312"/>
      <c r="P513" s="312"/>
      <c r="S513" s="2">
        <f t="shared" si="5"/>
        <v>0</v>
      </c>
      <c r="AA513" s="312"/>
      <c r="AB513" s="312"/>
      <c r="AC513" s="312"/>
      <c r="AD513" s="312"/>
    </row>
    <row r="514">
      <c r="A514" s="312"/>
      <c r="B514" s="344">
        <f t="shared" si="1"/>
        <v>1714.918281</v>
      </c>
      <c r="C514" s="344">
        <v>120.0</v>
      </c>
      <c r="D514" s="369"/>
      <c r="E514" s="344" t="str">
        <f t="shared" si="2"/>
        <v>Saturday</v>
      </c>
      <c r="F514" s="344" t="s">
        <v>554</v>
      </c>
      <c r="G514" s="370"/>
      <c r="H514" s="370"/>
      <c r="I514" s="357">
        <f t="shared" si="3"/>
        <v>0</v>
      </c>
      <c r="J514" s="346">
        <f t="shared" si="4"/>
        <v>0</v>
      </c>
      <c r="K514" s="312"/>
      <c r="L514" s="312"/>
      <c r="M514" s="312"/>
      <c r="N514" s="362"/>
      <c r="O514" s="312"/>
      <c r="P514" s="312"/>
      <c r="S514" s="2">
        <f t="shared" si="5"/>
        <v>0</v>
      </c>
      <c r="AA514" s="312"/>
      <c r="AB514" s="312"/>
      <c r="AC514" s="312"/>
      <c r="AD514" s="312"/>
    </row>
    <row r="515">
      <c r="A515" s="312"/>
      <c r="B515" s="344">
        <f t="shared" si="1"/>
        <v>1714.918281</v>
      </c>
      <c r="C515" s="344">
        <v>120.0</v>
      </c>
      <c r="D515" s="369"/>
      <c r="E515" s="344" t="str">
        <f t="shared" si="2"/>
        <v>Saturday</v>
      </c>
      <c r="F515" s="344" t="s">
        <v>554</v>
      </c>
      <c r="G515" s="370"/>
      <c r="H515" s="370"/>
      <c r="I515" s="357">
        <f t="shared" si="3"/>
        <v>0</v>
      </c>
      <c r="J515" s="346">
        <f t="shared" si="4"/>
        <v>0</v>
      </c>
      <c r="K515" s="312"/>
      <c r="L515" s="312"/>
      <c r="M515" s="312"/>
      <c r="N515" s="362"/>
      <c r="O515" s="312"/>
      <c r="P515" s="312"/>
      <c r="S515" s="2">
        <f t="shared" si="5"/>
        <v>0</v>
      </c>
      <c r="AA515" s="312"/>
      <c r="AB515" s="312"/>
      <c r="AC515" s="312"/>
      <c r="AD515" s="312"/>
    </row>
    <row r="516">
      <c r="A516" s="312"/>
      <c r="B516" s="344">
        <f t="shared" si="1"/>
        <v>1714.918281</v>
      </c>
      <c r="C516" s="344">
        <v>120.0</v>
      </c>
      <c r="D516" s="369"/>
      <c r="E516" s="344" t="str">
        <f t="shared" si="2"/>
        <v>Saturday</v>
      </c>
      <c r="F516" s="344" t="s">
        <v>554</v>
      </c>
      <c r="G516" s="370"/>
      <c r="H516" s="370"/>
      <c r="I516" s="357">
        <f t="shared" si="3"/>
        <v>0</v>
      </c>
      <c r="J516" s="346">
        <f t="shared" si="4"/>
        <v>0</v>
      </c>
      <c r="K516" s="312"/>
      <c r="L516" s="312"/>
      <c r="M516" s="312"/>
      <c r="N516" s="362"/>
      <c r="O516" s="312"/>
      <c r="P516" s="312"/>
      <c r="S516" s="2">
        <f t="shared" si="5"/>
        <v>0</v>
      </c>
      <c r="AA516" s="312"/>
      <c r="AB516" s="312"/>
      <c r="AC516" s="312"/>
      <c r="AD516" s="312"/>
    </row>
    <row r="517">
      <c r="A517" s="312"/>
      <c r="B517" s="344">
        <f t="shared" si="1"/>
        <v>1714.918281</v>
      </c>
      <c r="C517" s="344">
        <v>120.0</v>
      </c>
      <c r="D517" s="369"/>
      <c r="E517" s="344" t="str">
        <f t="shared" si="2"/>
        <v>Saturday</v>
      </c>
      <c r="F517" s="344" t="s">
        <v>554</v>
      </c>
      <c r="G517" s="370"/>
      <c r="H517" s="370"/>
      <c r="I517" s="357">
        <f t="shared" si="3"/>
        <v>0</v>
      </c>
      <c r="J517" s="346">
        <f t="shared" si="4"/>
        <v>0</v>
      </c>
      <c r="K517" s="312"/>
      <c r="L517" s="312"/>
      <c r="M517" s="312"/>
      <c r="N517" s="362"/>
      <c r="O517" s="312"/>
      <c r="P517" s="312"/>
      <c r="S517" s="2">
        <f t="shared" si="5"/>
        <v>0</v>
      </c>
      <c r="AA517" s="312"/>
      <c r="AB517" s="312"/>
      <c r="AC517" s="312"/>
      <c r="AD517" s="312"/>
    </row>
    <row r="518">
      <c r="A518" s="312"/>
      <c r="B518" s="344">
        <f t="shared" si="1"/>
        <v>1714.918281</v>
      </c>
      <c r="C518" s="344">
        <v>120.0</v>
      </c>
      <c r="D518" s="369"/>
      <c r="E518" s="344" t="str">
        <f t="shared" si="2"/>
        <v>Saturday</v>
      </c>
      <c r="F518" s="344" t="s">
        <v>554</v>
      </c>
      <c r="G518" s="370"/>
      <c r="H518" s="370"/>
      <c r="I518" s="357">
        <f t="shared" si="3"/>
        <v>0</v>
      </c>
      <c r="J518" s="346">
        <f t="shared" si="4"/>
        <v>0</v>
      </c>
      <c r="K518" s="312"/>
      <c r="L518" s="312"/>
      <c r="M518" s="312"/>
      <c r="N518" s="362"/>
      <c r="O518" s="312"/>
      <c r="P518" s="312"/>
      <c r="S518" s="2">
        <f t="shared" si="5"/>
        <v>0</v>
      </c>
      <c r="AA518" s="312"/>
      <c r="AB518" s="312"/>
      <c r="AC518" s="312"/>
      <c r="AD518" s="312"/>
    </row>
    <row r="519">
      <c r="A519" s="312"/>
      <c r="B519" s="344">
        <f t="shared" si="1"/>
        <v>1714.918281</v>
      </c>
      <c r="C519" s="344">
        <v>120.0</v>
      </c>
      <c r="D519" s="369"/>
      <c r="E519" s="344" t="str">
        <f t="shared" si="2"/>
        <v>Saturday</v>
      </c>
      <c r="F519" s="344" t="s">
        <v>554</v>
      </c>
      <c r="G519" s="370"/>
      <c r="H519" s="370"/>
      <c r="I519" s="357">
        <f t="shared" si="3"/>
        <v>0</v>
      </c>
      <c r="J519" s="346">
        <f t="shared" si="4"/>
        <v>0</v>
      </c>
      <c r="K519" s="312"/>
      <c r="L519" s="312"/>
      <c r="M519" s="312"/>
      <c r="N519" s="362"/>
      <c r="O519" s="312"/>
      <c r="P519" s="312"/>
      <c r="S519" s="2">
        <f t="shared" si="5"/>
        <v>0</v>
      </c>
      <c r="AA519" s="312"/>
      <c r="AB519" s="312"/>
      <c r="AC519" s="312"/>
      <c r="AD519" s="312"/>
    </row>
    <row r="520">
      <c r="A520" s="312"/>
      <c r="B520" s="344">
        <f t="shared" si="1"/>
        <v>1714.918281</v>
      </c>
      <c r="C520" s="344">
        <v>120.0</v>
      </c>
      <c r="D520" s="369"/>
      <c r="E520" s="344" t="str">
        <f t="shared" si="2"/>
        <v>Saturday</v>
      </c>
      <c r="F520" s="344" t="s">
        <v>554</v>
      </c>
      <c r="G520" s="370"/>
      <c r="H520" s="370"/>
      <c r="I520" s="357">
        <f t="shared" si="3"/>
        <v>0</v>
      </c>
      <c r="J520" s="346">
        <f t="shared" si="4"/>
        <v>0</v>
      </c>
      <c r="K520" s="312"/>
      <c r="L520" s="312"/>
      <c r="M520" s="312"/>
      <c r="N520" s="362"/>
      <c r="O520" s="312"/>
      <c r="P520" s="312"/>
      <c r="S520" s="2">
        <f t="shared" si="5"/>
        <v>0</v>
      </c>
      <c r="AA520" s="312"/>
      <c r="AB520" s="312"/>
      <c r="AC520" s="312"/>
      <c r="AD520" s="312"/>
    </row>
    <row r="521">
      <c r="A521" s="312"/>
      <c r="B521" s="344">
        <f t="shared" si="1"/>
        <v>1714.918281</v>
      </c>
      <c r="C521" s="344">
        <v>120.0</v>
      </c>
      <c r="D521" s="369"/>
      <c r="E521" s="344" t="str">
        <f t="shared" si="2"/>
        <v>Saturday</v>
      </c>
      <c r="F521" s="344" t="s">
        <v>554</v>
      </c>
      <c r="G521" s="370"/>
      <c r="H521" s="370"/>
      <c r="I521" s="357">
        <f t="shared" si="3"/>
        <v>0</v>
      </c>
      <c r="J521" s="346">
        <f t="shared" si="4"/>
        <v>0</v>
      </c>
      <c r="K521" s="312"/>
      <c r="L521" s="312"/>
      <c r="M521" s="312"/>
      <c r="N521" s="362"/>
      <c r="O521" s="312"/>
      <c r="P521" s="312"/>
      <c r="S521" s="2">
        <f t="shared" si="5"/>
        <v>0</v>
      </c>
      <c r="AA521" s="312"/>
      <c r="AB521" s="312"/>
      <c r="AC521" s="312"/>
      <c r="AD521" s="312"/>
    </row>
    <row r="522">
      <c r="A522" s="312"/>
      <c r="B522" s="344">
        <f t="shared" si="1"/>
        <v>1714.918281</v>
      </c>
      <c r="C522" s="344">
        <v>120.0</v>
      </c>
      <c r="D522" s="369"/>
      <c r="E522" s="344" t="str">
        <f t="shared" si="2"/>
        <v>Saturday</v>
      </c>
      <c r="F522" s="344" t="s">
        <v>554</v>
      </c>
      <c r="G522" s="370"/>
      <c r="H522" s="370"/>
      <c r="I522" s="357">
        <f t="shared" si="3"/>
        <v>0</v>
      </c>
      <c r="J522" s="346">
        <f t="shared" si="4"/>
        <v>0</v>
      </c>
      <c r="K522" s="312"/>
      <c r="L522" s="312"/>
      <c r="M522" s="312"/>
      <c r="N522" s="362"/>
      <c r="O522" s="312"/>
      <c r="P522" s="312"/>
      <c r="S522" s="2">
        <f t="shared" si="5"/>
        <v>0</v>
      </c>
      <c r="AA522" s="312"/>
      <c r="AB522" s="312"/>
      <c r="AC522" s="312"/>
      <c r="AD522" s="312"/>
    </row>
    <row r="523">
      <c r="A523" s="312"/>
      <c r="B523" s="344">
        <f t="shared" si="1"/>
        <v>1714.918281</v>
      </c>
      <c r="C523" s="344">
        <v>120.0</v>
      </c>
      <c r="D523" s="369"/>
      <c r="E523" s="344" t="str">
        <f t="shared" si="2"/>
        <v>Saturday</v>
      </c>
      <c r="F523" s="344" t="s">
        <v>554</v>
      </c>
      <c r="G523" s="370"/>
      <c r="H523" s="370"/>
      <c r="I523" s="357">
        <f t="shared" si="3"/>
        <v>0</v>
      </c>
      <c r="J523" s="346">
        <f t="shared" si="4"/>
        <v>0</v>
      </c>
      <c r="K523" s="312"/>
      <c r="L523" s="312"/>
      <c r="M523" s="312"/>
      <c r="N523" s="362"/>
      <c r="O523" s="312"/>
      <c r="P523" s="312"/>
      <c r="S523" s="2">
        <f t="shared" si="5"/>
        <v>0</v>
      </c>
      <c r="AA523" s="312"/>
      <c r="AB523" s="312"/>
      <c r="AC523" s="312"/>
      <c r="AD523" s="312"/>
    </row>
    <row r="524">
      <c r="A524" s="312"/>
      <c r="B524" s="344">
        <f t="shared" si="1"/>
        <v>1714.918281</v>
      </c>
      <c r="C524" s="344">
        <v>120.0</v>
      </c>
      <c r="D524" s="369"/>
      <c r="E524" s="344" t="str">
        <f t="shared" si="2"/>
        <v>Saturday</v>
      </c>
      <c r="F524" s="344" t="s">
        <v>554</v>
      </c>
      <c r="G524" s="370"/>
      <c r="H524" s="370"/>
      <c r="I524" s="357">
        <f t="shared" si="3"/>
        <v>0</v>
      </c>
      <c r="J524" s="346">
        <f t="shared" si="4"/>
        <v>0</v>
      </c>
      <c r="K524" s="312"/>
      <c r="L524" s="312"/>
      <c r="M524" s="312"/>
      <c r="N524" s="362"/>
      <c r="O524" s="312"/>
      <c r="P524" s="312"/>
      <c r="S524" s="2">
        <f t="shared" si="5"/>
        <v>0</v>
      </c>
      <c r="AA524" s="312"/>
      <c r="AB524" s="312"/>
      <c r="AC524" s="312"/>
      <c r="AD524" s="312"/>
    </row>
    <row r="525">
      <c r="A525" s="312"/>
      <c r="B525" s="344">
        <f t="shared" si="1"/>
        <v>1714.918281</v>
      </c>
      <c r="C525" s="344">
        <v>120.0</v>
      </c>
      <c r="D525" s="369"/>
      <c r="E525" s="344" t="str">
        <f t="shared" si="2"/>
        <v>Saturday</v>
      </c>
      <c r="F525" s="344" t="s">
        <v>554</v>
      </c>
      <c r="G525" s="370"/>
      <c r="H525" s="370"/>
      <c r="I525" s="357">
        <f t="shared" si="3"/>
        <v>0</v>
      </c>
      <c r="J525" s="346">
        <f t="shared" si="4"/>
        <v>0</v>
      </c>
      <c r="K525" s="312"/>
      <c r="L525" s="312"/>
      <c r="M525" s="312"/>
      <c r="N525" s="362"/>
      <c r="O525" s="312"/>
      <c r="P525" s="312"/>
      <c r="S525" s="2">
        <f t="shared" si="5"/>
        <v>0</v>
      </c>
      <c r="AA525" s="312"/>
      <c r="AB525" s="312"/>
      <c r="AC525" s="312"/>
      <c r="AD525" s="312"/>
    </row>
    <row r="526">
      <c r="A526" s="312"/>
      <c r="B526" s="344">
        <f t="shared" si="1"/>
        <v>1714.918281</v>
      </c>
      <c r="C526" s="344">
        <v>120.0</v>
      </c>
      <c r="D526" s="369"/>
      <c r="E526" s="344" t="str">
        <f t="shared" si="2"/>
        <v>Saturday</v>
      </c>
      <c r="F526" s="344" t="s">
        <v>554</v>
      </c>
      <c r="G526" s="370"/>
      <c r="H526" s="370"/>
      <c r="I526" s="357">
        <f t="shared" si="3"/>
        <v>0</v>
      </c>
      <c r="J526" s="346">
        <f t="shared" si="4"/>
        <v>0</v>
      </c>
      <c r="K526" s="312"/>
      <c r="L526" s="312"/>
      <c r="M526" s="312"/>
      <c r="N526" s="362"/>
      <c r="O526" s="312"/>
      <c r="P526" s="312"/>
      <c r="S526" s="2">
        <f t="shared" si="5"/>
        <v>0</v>
      </c>
      <c r="AA526" s="312"/>
      <c r="AB526" s="312"/>
      <c r="AC526" s="312"/>
      <c r="AD526" s="312"/>
    </row>
    <row r="527">
      <c r="A527" s="312"/>
      <c r="B527" s="344">
        <f t="shared" si="1"/>
        <v>1714.918281</v>
      </c>
      <c r="C527" s="344">
        <v>120.0</v>
      </c>
      <c r="D527" s="369"/>
      <c r="E527" s="344" t="str">
        <f t="shared" si="2"/>
        <v>Saturday</v>
      </c>
      <c r="F527" s="344" t="s">
        <v>554</v>
      </c>
      <c r="G527" s="370"/>
      <c r="H527" s="370"/>
      <c r="I527" s="357">
        <f t="shared" si="3"/>
        <v>0</v>
      </c>
      <c r="J527" s="346">
        <f t="shared" si="4"/>
        <v>0</v>
      </c>
      <c r="K527" s="312"/>
      <c r="L527" s="312"/>
      <c r="M527" s="312"/>
      <c r="N527" s="362"/>
      <c r="O527" s="312"/>
      <c r="P527" s="312"/>
      <c r="S527" s="2">
        <f t="shared" si="5"/>
        <v>0</v>
      </c>
      <c r="AA527" s="312"/>
      <c r="AB527" s="312"/>
      <c r="AC527" s="312"/>
      <c r="AD527" s="312"/>
    </row>
    <row r="528">
      <c r="A528" s="312"/>
      <c r="B528" s="344">
        <f t="shared" si="1"/>
        <v>1714.918281</v>
      </c>
      <c r="C528" s="344">
        <v>120.0</v>
      </c>
      <c r="D528" s="369"/>
      <c r="E528" s="344" t="str">
        <f t="shared" si="2"/>
        <v>Saturday</v>
      </c>
      <c r="F528" s="344" t="s">
        <v>554</v>
      </c>
      <c r="G528" s="370"/>
      <c r="H528" s="370"/>
      <c r="I528" s="357">
        <f t="shared" si="3"/>
        <v>0</v>
      </c>
      <c r="J528" s="346">
        <f t="shared" si="4"/>
        <v>0</v>
      </c>
      <c r="K528" s="312"/>
      <c r="L528" s="312"/>
      <c r="M528" s="312"/>
      <c r="N528" s="362"/>
      <c r="O528" s="312"/>
      <c r="P528" s="312"/>
      <c r="S528" s="2">
        <f t="shared" si="5"/>
        <v>0</v>
      </c>
      <c r="AA528" s="312"/>
      <c r="AB528" s="312"/>
      <c r="AC528" s="312"/>
      <c r="AD528" s="312"/>
    </row>
    <row r="529">
      <c r="A529" s="312"/>
      <c r="B529" s="344">
        <f t="shared" si="1"/>
        <v>1714.918281</v>
      </c>
      <c r="C529" s="344">
        <v>120.0</v>
      </c>
      <c r="D529" s="369"/>
      <c r="E529" s="344" t="str">
        <f t="shared" si="2"/>
        <v>Saturday</v>
      </c>
      <c r="F529" s="344" t="s">
        <v>554</v>
      </c>
      <c r="G529" s="370"/>
      <c r="H529" s="370"/>
      <c r="I529" s="357">
        <f t="shared" si="3"/>
        <v>0</v>
      </c>
      <c r="J529" s="346">
        <f t="shared" si="4"/>
        <v>0</v>
      </c>
      <c r="K529" s="312"/>
      <c r="L529" s="312"/>
      <c r="M529" s="312"/>
      <c r="N529" s="362"/>
      <c r="O529" s="312"/>
      <c r="P529" s="312"/>
      <c r="S529" s="2">
        <f t="shared" si="5"/>
        <v>0</v>
      </c>
      <c r="AA529" s="312"/>
      <c r="AB529" s="312"/>
      <c r="AC529" s="312"/>
      <c r="AD529" s="312"/>
    </row>
    <row r="530">
      <c r="A530" s="312"/>
      <c r="B530" s="344">
        <f t="shared" si="1"/>
        <v>1714.918281</v>
      </c>
      <c r="C530" s="344">
        <v>120.0</v>
      </c>
      <c r="D530" s="369"/>
      <c r="E530" s="344" t="str">
        <f t="shared" si="2"/>
        <v>Saturday</v>
      </c>
      <c r="F530" s="344" t="s">
        <v>554</v>
      </c>
      <c r="G530" s="370"/>
      <c r="H530" s="370"/>
      <c r="I530" s="357">
        <f t="shared" si="3"/>
        <v>0</v>
      </c>
      <c r="J530" s="346">
        <f t="shared" si="4"/>
        <v>0</v>
      </c>
      <c r="K530" s="312"/>
      <c r="L530" s="312"/>
      <c r="M530" s="312"/>
      <c r="N530" s="362"/>
      <c r="O530" s="312"/>
      <c r="P530" s="312"/>
      <c r="S530" s="2">
        <f t="shared" si="5"/>
        <v>0</v>
      </c>
      <c r="AA530" s="312"/>
      <c r="AB530" s="312"/>
      <c r="AC530" s="312"/>
      <c r="AD530" s="312"/>
    </row>
    <row r="531">
      <c r="A531" s="312"/>
      <c r="B531" s="344">
        <f t="shared" si="1"/>
        <v>1714.918281</v>
      </c>
      <c r="C531" s="344">
        <v>120.0</v>
      </c>
      <c r="D531" s="369"/>
      <c r="E531" s="344" t="str">
        <f t="shared" si="2"/>
        <v>Saturday</v>
      </c>
      <c r="F531" s="344" t="s">
        <v>554</v>
      </c>
      <c r="G531" s="370"/>
      <c r="H531" s="370"/>
      <c r="I531" s="357">
        <f t="shared" si="3"/>
        <v>0</v>
      </c>
      <c r="J531" s="346">
        <f t="shared" si="4"/>
        <v>0</v>
      </c>
      <c r="K531" s="312"/>
      <c r="L531" s="312"/>
      <c r="M531" s="312"/>
      <c r="N531" s="362"/>
      <c r="O531" s="312"/>
      <c r="P531" s="312"/>
      <c r="S531" s="2">
        <f t="shared" si="5"/>
        <v>0</v>
      </c>
      <c r="AA531" s="312"/>
      <c r="AB531" s="312"/>
      <c r="AC531" s="312"/>
      <c r="AD531" s="312"/>
    </row>
    <row r="532">
      <c r="A532" s="312"/>
      <c r="B532" s="344">
        <f t="shared" si="1"/>
        <v>1714.918281</v>
      </c>
      <c r="C532" s="344">
        <v>120.0</v>
      </c>
      <c r="D532" s="369"/>
      <c r="E532" s="344" t="str">
        <f t="shared" si="2"/>
        <v>Saturday</v>
      </c>
      <c r="F532" s="344" t="s">
        <v>554</v>
      </c>
      <c r="G532" s="370"/>
      <c r="H532" s="370"/>
      <c r="I532" s="357">
        <f t="shared" si="3"/>
        <v>0</v>
      </c>
      <c r="J532" s="346">
        <f t="shared" si="4"/>
        <v>0</v>
      </c>
      <c r="K532" s="312"/>
      <c r="L532" s="312"/>
      <c r="M532" s="312"/>
      <c r="N532" s="362"/>
      <c r="O532" s="312"/>
      <c r="P532" s="312"/>
      <c r="S532" s="2">
        <f t="shared" si="5"/>
        <v>0</v>
      </c>
      <c r="AA532" s="312"/>
      <c r="AB532" s="312"/>
      <c r="AC532" s="312"/>
      <c r="AD532" s="312"/>
    </row>
    <row r="533">
      <c r="A533" s="312"/>
      <c r="B533" s="344">
        <f t="shared" si="1"/>
        <v>1714.918281</v>
      </c>
      <c r="C533" s="344">
        <v>120.0</v>
      </c>
      <c r="D533" s="369"/>
      <c r="E533" s="344" t="str">
        <f t="shared" si="2"/>
        <v>Saturday</v>
      </c>
      <c r="F533" s="344" t="s">
        <v>554</v>
      </c>
      <c r="G533" s="370"/>
      <c r="H533" s="370"/>
      <c r="I533" s="357">
        <f t="shared" si="3"/>
        <v>0</v>
      </c>
      <c r="J533" s="346">
        <f t="shared" si="4"/>
        <v>0</v>
      </c>
      <c r="K533" s="312"/>
      <c r="L533" s="312"/>
      <c r="M533" s="312"/>
      <c r="N533" s="362"/>
      <c r="O533" s="312"/>
      <c r="P533" s="312"/>
      <c r="S533" s="2">
        <f t="shared" si="5"/>
        <v>0</v>
      </c>
      <c r="AA533" s="312"/>
      <c r="AB533" s="312"/>
      <c r="AC533" s="312"/>
      <c r="AD533" s="312"/>
    </row>
    <row r="534">
      <c r="A534" s="312"/>
      <c r="B534" s="344">
        <f t="shared" si="1"/>
        <v>1714.918281</v>
      </c>
      <c r="C534" s="344">
        <v>120.0</v>
      </c>
      <c r="D534" s="369"/>
      <c r="E534" s="344" t="str">
        <f t="shared" si="2"/>
        <v>Saturday</v>
      </c>
      <c r="F534" s="344" t="s">
        <v>554</v>
      </c>
      <c r="G534" s="370"/>
      <c r="H534" s="370"/>
      <c r="I534" s="357">
        <f t="shared" si="3"/>
        <v>0</v>
      </c>
      <c r="J534" s="346">
        <f t="shared" si="4"/>
        <v>0</v>
      </c>
      <c r="K534" s="312"/>
      <c r="L534" s="312"/>
      <c r="M534" s="312"/>
      <c r="N534" s="362"/>
      <c r="O534" s="312"/>
      <c r="P534" s="312"/>
      <c r="S534" s="2">
        <f t="shared" si="5"/>
        <v>0</v>
      </c>
      <c r="AA534" s="312"/>
      <c r="AB534" s="312"/>
      <c r="AC534" s="312"/>
      <c r="AD534" s="312"/>
    </row>
    <row r="535">
      <c r="A535" s="312"/>
      <c r="B535" s="344">
        <f t="shared" si="1"/>
        <v>1714.918281</v>
      </c>
      <c r="C535" s="344">
        <v>120.0</v>
      </c>
      <c r="D535" s="369"/>
      <c r="E535" s="344" t="str">
        <f t="shared" si="2"/>
        <v>Saturday</v>
      </c>
      <c r="F535" s="344" t="s">
        <v>554</v>
      </c>
      <c r="G535" s="370"/>
      <c r="H535" s="370"/>
      <c r="I535" s="357">
        <f t="shared" si="3"/>
        <v>0</v>
      </c>
      <c r="J535" s="346">
        <f t="shared" si="4"/>
        <v>0</v>
      </c>
      <c r="K535" s="312"/>
      <c r="L535" s="312"/>
      <c r="M535" s="312"/>
      <c r="N535" s="362"/>
      <c r="O535" s="312"/>
      <c r="P535" s="312"/>
      <c r="S535" s="2">
        <f t="shared" si="5"/>
        <v>0</v>
      </c>
      <c r="AA535" s="312"/>
      <c r="AB535" s="312"/>
      <c r="AC535" s="312"/>
      <c r="AD535" s="312"/>
    </row>
    <row r="536">
      <c r="A536" s="312"/>
      <c r="B536" s="344">
        <f t="shared" si="1"/>
        <v>1714.918281</v>
      </c>
      <c r="C536" s="344">
        <v>120.0</v>
      </c>
      <c r="D536" s="369"/>
      <c r="E536" s="344" t="str">
        <f t="shared" si="2"/>
        <v>Saturday</v>
      </c>
      <c r="F536" s="344" t="s">
        <v>554</v>
      </c>
      <c r="G536" s="370"/>
      <c r="H536" s="370"/>
      <c r="I536" s="357">
        <f t="shared" si="3"/>
        <v>0</v>
      </c>
      <c r="J536" s="346">
        <f t="shared" si="4"/>
        <v>0</v>
      </c>
      <c r="K536" s="312"/>
      <c r="L536" s="312"/>
      <c r="M536" s="312"/>
      <c r="N536" s="362"/>
      <c r="O536" s="312"/>
      <c r="P536" s="312"/>
      <c r="S536" s="2">
        <f t="shared" si="5"/>
        <v>0</v>
      </c>
      <c r="AA536" s="312"/>
      <c r="AB536" s="312"/>
      <c r="AC536" s="312"/>
      <c r="AD536" s="312"/>
    </row>
    <row r="537">
      <c r="A537" s="312"/>
      <c r="B537" s="344">
        <f t="shared" si="1"/>
        <v>1714.918281</v>
      </c>
      <c r="C537" s="344">
        <v>120.0</v>
      </c>
      <c r="D537" s="369"/>
      <c r="E537" s="344" t="str">
        <f t="shared" si="2"/>
        <v>Saturday</v>
      </c>
      <c r="F537" s="344" t="s">
        <v>554</v>
      </c>
      <c r="G537" s="370"/>
      <c r="H537" s="370"/>
      <c r="I537" s="357">
        <f t="shared" si="3"/>
        <v>0</v>
      </c>
      <c r="J537" s="346">
        <f t="shared" si="4"/>
        <v>0</v>
      </c>
      <c r="K537" s="312"/>
      <c r="L537" s="312"/>
      <c r="M537" s="312"/>
      <c r="N537" s="362"/>
      <c r="O537" s="312"/>
      <c r="P537" s="312"/>
      <c r="S537" s="2">
        <f t="shared" si="5"/>
        <v>0</v>
      </c>
      <c r="AA537" s="312"/>
      <c r="AB537" s="312"/>
      <c r="AC537" s="312"/>
      <c r="AD537" s="312"/>
    </row>
    <row r="538">
      <c r="A538" s="312"/>
      <c r="B538" s="344">
        <f t="shared" si="1"/>
        <v>1714.918281</v>
      </c>
      <c r="C538" s="344">
        <v>120.0</v>
      </c>
      <c r="D538" s="369"/>
      <c r="E538" s="344" t="str">
        <f t="shared" si="2"/>
        <v>Saturday</v>
      </c>
      <c r="F538" s="344" t="s">
        <v>554</v>
      </c>
      <c r="G538" s="370"/>
      <c r="H538" s="370"/>
      <c r="I538" s="357">
        <f t="shared" si="3"/>
        <v>0</v>
      </c>
      <c r="J538" s="346">
        <f t="shared" si="4"/>
        <v>0</v>
      </c>
      <c r="K538" s="312"/>
      <c r="L538" s="312"/>
      <c r="M538" s="312"/>
      <c r="N538" s="362"/>
      <c r="O538" s="312"/>
      <c r="P538" s="312"/>
      <c r="S538" s="2">
        <f t="shared" si="5"/>
        <v>0</v>
      </c>
      <c r="AA538" s="312"/>
      <c r="AB538" s="312"/>
      <c r="AC538" s="312"/>
      <c r="AD538" s="312"/>
    </row>
    <row r="539">
      <c r="A539" s="312"/>
      <c r="B539" s="344">
        <f t="shared" si="1"/>
        <v>1714.918281</v>
      </c>
      <c r="C539" s="344">
        <v>120.0</v>
      </c>
      <c r="D539" s="369"/>
      <c r="E539" s="344" t="str">
        <f t="shared" si="2"/>
        <v>Saturday</v>
      </c>
      <c r="F539" s="344" t="s">
        <v>554</v>
      </c>
      <c r="G539" s="370"/>
      <c r="H539" s="370"/>
      <c r="I539" s="357">
        <f t="shared" si="3"/>
        <v>0</v>
      </c>
      <c r="J539" s="346">
        <f t="shared" si="4"/>
        <v>0</v>
      </c>
      <c r="K539" s="312"/>
      <c r="L539" s="312"/>
      <c r="M539" s="312"/>
      <c r="N539" s="362"/>
      <c r="O539" s="312"/>
      <c r="P539" s="312"/>
      <c r="S539" s="2">
        <f t="shared" si="5"/>
        <v>0</v>
      </c>
      <c r="AA539" s="312"/>
      <c r="AB539" s="312"/>
      <c r="AC539" s="312"/>
      <c r="AD539" s="312"/>
    </row>
    <row r="540">
      <c r="A540" s="312"/>
      <c r="B540" s="344">
        <f t="shared" si="1"/>
        <v>1714.918281</v>
      </c>
      <c r="C540" s="344">
        <v>120.0</v>
      </c>
      <c r="D540" s="369"/>
      <c r="E540" s="344" t="str">
        <f t="shared" si="2"/>
        <v>Saturday</v>
      </c>
      <c r="F540" s="344" t="s">
        <v>554</v>
      </c>
      <c r="G540" s="370"/>
      <c r="H540" s="370"/>
      <c r="I540" s="357">
        <f t="shared" si="3"/>
        <v>0</v>
      </c>
      <c r="J540" s="346">
        <f t="shared" si="4"/>
        <v>0</v>
      </c>
      <c r="K540" s="312"/>
      <c r="L540" s="312"/>
      <c r="M540" s="312"/>
      <c r="N540" s="362"/>
      <c r="O540" s="312"/>
      <c r="P540" s="312"/>
      <c r="S540" s="2">
        <f t="shared" si="5"/>
        <v>0</v>
      </c>
      <c r="AA540" s="312"/>
      <c r="AB540" s="312"/>
      <c r="AC540" s="312"/>
      <c r="AD540" s="312"/>
    </row>
    <row r="541">
      <c r="A541" s="312"/>
      <c r="B541" s="344">
        <f t="shared" si="1"/>
        <v>1714.918281</v>
      </c>
      <c r="C541" s="344">
        <v>120.0</v>
      </c>
      <c r="D541" s="369"/>
      <c r="E541" s="344" t="str">
        <f t="shared" si="2"/>
        <v>Saturday</v>
      </c>
      <c r="F541" s="344" t="s">
        <v>554</v>
      </c>
      <c r="G541" s="370"/>
      <c r="H541" s="370"/>
      <c r="I541" s="357">
        <f t="shared" si="3"/>
        <v>0</v>
      </c>
      <c r="J541" s="346">
        <f t="shared" si="4"/>
        <v>0</v>
      </c>
      <c r="K541" s="312"/>
      <c r="L541" s="312"/>
      <c r="M541" s="312"/>
      <c r="N541" s="362"/>
      <c r="O541" s="312"/>
      <c r="P541" s="312"/>
      <c r="S541" s="2">
        <f t="shared" si="5"/>
        <v>0</v>
      </c>
      <c r="AA541" s="312"/>
      <c r="AB541" s="312"/>
      <c r="AC541" s="312"/>
      <c r="AD541" s="312"/>
    </row>
    <row r="542">
      <c r="A542" s="312"/>
      <c r="B542" s="344">
        <f t="shared" si="1"/>
        <v>1714.918281</v>
      </c>
      <c r="C542" s="344">
        <v>120.0</v>
      </c>
      <c r="D542" s="369"/>
      <c r="E542" s="344" t="str">
        <f t="shared" si="2"/>
        <v>Saturday</v>
      </c>
      <c r="F542" s="344" t="s">
        <v>554</v>
      </c>
      <c r="G542" s="370"/>
      <c r="H542" s="370"/>
      <c r="I542" s="357">
        <f t="shared" si="3"/>
        <v>0</v>
      </c>
      <c r="J542" s="346">
        <f t="shared" si="4"/>
        <v>0</v>
      </c>
      <c r="K542" s="312"/>
      <c r="L542" s="312"/>
      <c r="M542" s="312"/>
      <c r="N542" s="362"/>
      <c r="O542" s="312"/>
      <c r="P542" s="312"/>
      <c r="S542" s="2">
        <f t="shared" si="5"/>
        <v>0</v>
      </c>
      <c r="AA542" s="312"/>
      <c r="AB542" s="312"/>
      <c r="AC542" s="312"/>
      <c r="AD542" s="312"/>
    </row>
    <row r="543">
      <c r="A543" s="312"/>
      <c r="B543" s="344">
        <f t="shared" si="1"/>
        <v>1714.918281</v>
      </c>
      <c r="C543" s="344">
        <v>120.0</v>
      </c>
      <c r="D543" s="369"/>
      <c r="E543" s="344" t="str">
        <f t="shared" si="2"/>
        <v>Saturday</v>
      </c>
      <c r="F543" s="344" t="s">
        <v>554</v>
      </c>
      <c r="G543" s="370"/>
      <c r="H543" s="370"/>
      <c r="I543" s="357">
        <f t="shared" si="3"/>
        <v>0</v>
      </c>
      <c r="J543" s="346">
        <f t="shared" si="4"/>
        <v>0</v>
      </c>
      <c r="K543" s="312"/>
      <c r="L543" s="312"/>
      <c r="M543" s="312"/>
      <c r="N543" s="362"/>
      <c r="O543" s="312"/>
      <c r="P543" s="312"/>
      <c r="S543" s="2">
        <f t="shared" si="5"/>
        <v>0</v>
      </c>
      <c r="AA543" s="312"/>
      <c r="AB543" s="312"/>
      <c r="AC543" s="312"/>
      <c r="AD543" s="312"/>
    </row>
    <row r="544">
      <c r="A544" s="312"/>
      <c r="B544" s="344">
        <f t="shared" si="1"/>
        <v>1714.918281</v>
      </c>
      <c r="C544" s="344">
        <v>120.0</v>
      </c>
      <c r="D544" s="369"/>
      <c r="E544" s="344" t="str">
        <f t="shared" si="2"/>
        <v>Saturday</v>
      </c>
      <c r="F544" s="344" t="s">
        <v>554</v>
      </c>
      <c r="G544" s="370"/>
      <c r="H544" s="370"/>
      <c r="I544" s="357">
        <f t="shared" si="3"/>
        <v>0</v>
      </c>
      <c r="J544" s="346">
        <f t="shared" si="4"/>
        <v>0</v>
      </c>
      <c r="K544" s="312"/>
      <c r="L544" s="312"/>
      <c r="M544" s="312"/>
      <c r="N544" s="362"/>
      <c r="O544" s="312"/>
      <c r="P544" s="312"/>
      <c r="S544" s="2">
        <f t="shared" si="5"/>
        <v>0</v>
      </c>
      <c r="AA544" s="312"/>
      <c r="AB544" s="312"/>
      <c r="AC544" s="312"/>
      <c r="AD544" s="312"/>
    </row>
    <row r="545">
      <c r="A545" s="312"/>
      <c r="B545" s="344">
        <f t="shared" si="1"/>
        <v>1714.918281</v>
      </c>
      <c r="C545" s="344">
        <v>120.0</v>
      </c>
      <c r="D545" s="369"/>
      <c r="E545" s="344" t="str">
        <f t="shared" si="2"/>
        <v>Saturday</v>
      </c>
      <c r="F545" s="344" t="s">
        <v>554</v>
      </c>
      <c r="G545" s="370"/>
      <c r="H545" s="370"/>
      <c r="I545" s="357">
        <f t="shared" si="3"/>
        <v>0</v>
      </c>
      <c r="J545" s="346">
        <f t="shared" si="4"/>
        <v>0</v>
      </c>
      <c r="K545" s="312"/>
      <c r="L545" s="312"/>
      <c r="M545" s="312"/>
      <c r="N545" s="362"/>
      <c r="O545" s="312"/>
      <c r="P545" s="312"/>
      <c r="S545" s="2">
        <f t="shared" si="5"/>
        <v>0</v>
      </c>
      <c r="AA545" s="312"/>
      <c r="AB545" s="312"/>
      <c r="AC545" s="312"/>
      <c r="AD545" s="312"/>
    </row>
    <row r="546">
      <c r="A546" s="312"/>
      <c r="B546" s="344">
        <f t="shared" si="1"/>
        <v>1714.918281</v>
      </c>
      <c r="C546" s="344">
        <v>120.0</v>
      </c>
      <c r="D546" s="369"/>
      <c r="E546" s="344" t="str">
        <f t="shared" si="2"/>
        <v>Saturday</v>
      </c>
      <c r="F546" s="344" t="s">
        <v>554</v>
      </c>
      <c r="G546" s="370"/>
      <c r="H546" s="370"/>
      <c r="I546" s="357">
        <f t="shared" si="3"/>
        <v>0</v>
      </c>
      <c r="J546" s="346">
        <f t="shared" si="4"/>
        <v>0</v>
      </c>
      <c r="K546" s="312"/>
      <c r="L546" s="312"/>
      <c r="M546" s="312"/>
      <c r="N546" s="362"/>
      <c r="O546" s="312"/>
      <c r="P546" s="312"/>
      <c r="S546" s="2">
        <f t="shared" si="5"/>
        <v>0</v>
      </c>
      <c r="AA546" s="312"/>
      <c r="AB546" s="312"/>
      <c r="AC546" s="312"/>
      <c r="AD546" s="312"/>
    </row>
    <row r="547">
      <c r="A547" s="312"/>
      <c r="B547" s="344">
        <f t="shared" si="1"/>
        <v>1714.918281</v>
      </c>
      <c r="C547" s="344">
        <v>120.0</v>
      </c>
      <c r="D547" s="369"/>
      <c r="E547" s="344" t="str">
        <f t="shared" si="2"/>
        <v>Saturday</v>
      </c>
      <c r="F547" s="344" t="s">
        <v>554</v>
      </c>
      <c r="G547" s="370"/>
      <c r="H547" s="370"/>
      <c r="I547" s="357">
        <f t="shared" si="3"/>
        <v>0</v>
      </c>
      <c r="J547" s="346">
        <f t="shared" si="4"/>
        <v>0</v>
      </c>
      <c r="K547" s="312"/>
      <c r="L547" s="312"/>
      <c r="M547" s="312"/>
      <c r="N547" s="362"/>
      <c r="O547" s="312"/>
      <c r="P547" s="312"/>
      <c r="S547" s="2">
        <f t="shared" si="5"/>
        <v>0</v>
      </c>
      <c r="AA547" s="312"/>
      <c r="AB547" s="312"/>
      <c r="AC547" s="312"/>
      <c r="AD547" s="312"/>
    </row>
    <row r="548">
      <c r="A548" s="312"/>
      <c r="B548" s="344">
        <f t="shared" si="1"/>
        <v>1714.918281</v>
      </c>
      <c r="C548" s="344">
        <v>120.0</v>
      </c>
      <c r="D548" s="369"/>
      <c r="E548" s="344" t="str">
        <f t="shared" si="2"/>
        <v>Saturday</v>
      </c>
      <c r="F548" s="344" t="s">
        <v>554</v>
      </c>
      <c r="G548" s="370"/>
      <c r="H548" s="370"/>
      <c r="I548" s="357">
        <f t="shared" si="3"/>
        <v>0</v>
      </c>
      <c r="J548" s="346">
        <f t="shared" si="4"/>
        <v>0</v>
      </c>
      <c r="K548" s="312"/>
      <c r="L548" s="312"/>
      <c r="M548" s="312"/>
      <c r="N548" s="362"/>
      <c r="O548" s="312"/>
      <c r="P548" s="312"/>
      <c r="S548" s="2">
        <f t="shared" si="5"/>
        <v>0</v>
      </c>
      <c r="AA548" s="312"/>
      <c r="AB548" s="312"/>
      <c r="AC548" s="312"/>
      <c r="AD548" s="312"/>
    </row>
    <row r="549">
      <c r="A549" s="312"/>
      <c r="B549" s="344">
        <f t="shared" si="1"/>
        <v>1714.918281</v>
      </c>
      <c r="C549" s="344">
        <v>120.0</v>
      </c>
      <c r="D549" s="369"/>
      <c r="E549" s="344" t="str">
        <f t="shared" si="2"/>
        <v>Saturday</v>
      </c>
      <c r="F549" s="344" t="s">
        <v>554</v>
      </c>
      <c r="G549" s="370"/>
      <c r="H549" s="370"/>
      <c r="I549" s="357">
        <f t="shared" si="3"/>
        <v>0</v>
      </c>
      <c r="J549" s="346">
        <f t="shared" si="4"/>
        <v>0</v>
      </c>
      <c r="K549" s="312"/>
      <c r="L549" s="312"/>
      <c r="M549" s="312"/>
      <c r="N549" s="362"/>
      <c r="O549" s="312"/>
      <c r="P549" s="312"/>
      <c r="S549" s="2">
        <f t="shared" si="5"/>
        <v>0</v>
      </c>
      <c r="AA549" s="312"/>
      <c r="AB549" s="312"/>
      <c r="AC549" s="312"/>
      <c r="AD549" s="312"/>
    </row>
    <row r="550">
      <c r="A550" s="312"/>
      <c r="B550" s="344">
        <f t="shared" si="1"/>
        <v>1714.918281</v>
      </c>
      <c r="C550" s="344">
        <v>120.0</v>
      </c>
      <c r="D550" s="369"/>
      <c r="E550" s="344" t="str">
        <f t="shared" si="2"/>
        <v>Saturday</v>
      </c>
      <c r="F550" s="344" t="s">
        <v>554</v>
      </c>
      <c r="G550" s="370"/>
      <c r="H550" s="370"/>
      <c r="I550" s="357">
        <f t="shared" si="3"/>
        <v>0</v>
      </c>
      <c r="J550" s="346">
        <f t="shared" si="4"/>
        <v>0</v>
      </c>
      <c r="K550" s="312"/>
      <c r="L550" s="312"/>
      <c r="M550" s="312"/>
      <c r="N550" s="362"/>
      <c r="O550" s="312"/>
      <c r="P550" s="312"/>
      <c r="S550" s="2">
        <f t="shared" si="5"/>
        <v>0</v>
      </c>
      <c r="AA550" s="312"/>
      <c r="AB550" s="312"/>
      <c r="AC550" s="312"/>
      <c r="AD550" s="312"/>
    </row>
    <row r="551">
      <c r="A551" s="312"/>
      <c r="B551" s="344">
        <f t="shared" si="1"/>
        <v>1714.918281</v>
      </c>
      <c r="C551" s="344">
        <v>120.0</v>
      </c>
      <c r="D551" s="369"/>
      <c r="E551" s="344" t="str">
        <f t="shared" si="2"/>
        <v>Saturday</v>
      </c>
      <c r="F551" s="344" t="s">
        <v>554</v>
      </c>
      <c r="G551" s="370"/>
      <c r="H551" s="370"/>
      <c r="I551" s="357">
        <f t="shared" si="3"/>
        <v>0</v>
      </c>
      <c r="J551" s="346">
        <f t="shared" si="4"/>
        <v>0</v>
      </c>
      <c r="K551" s="312"/>
      <c r="L551" s="312"/>
      <c r="M551" s="312"/>
      <c r="N551" s="362"/>
      <c r="O551" s="312"/>
      <c r="P551" s="312"/>
      <c r="S551" s="2">
        <f t="shared" si="5"/>
        <v>0</v>
      </c>
      <c r="AA551" s="312"/>
      <c r="AB551" s="312"/>
      <c r="AC551" s="312"/>
      <c r="AD551" s="312"/>
    </row>
    <row r="552">
      <c r="A552" s="312"/>
      <c r="B552" s="344">
        <f t="shared" si="1"/>
        <v>1714.918281</v>
      </c>
      <c r="C552" s="344">
        <v>120.0</v>
      </c>
      <c r="D552" s="369"/>
      <c r="E552" s="344" t="str">
        <f t="shared" si="2"/>
        <v>Saturday</v>
      </c>
      <c r="F552" s="344" t="s">
        <v>554</v>
      </c>
      <c r="G552" s="370"/>
      <c r="H552" s="370"/>
      <c r="I552" s="357">
        <f t="shared" si="3"/>
        <v>0</v>
      </c>
      <c r="J552" s="346">
        <f t="shared" si="4"/>
        <v>0</v>
      </c>
      <c r="K552" s="312"/>
      <c r="L552" s="312"/>
      <c r="M552" s="312"/>
      <c r="N552" s="362"/>
      <c r="O552" s="312"/>
      <c r="P552" s="312"/>
      <c r="S552" s="2">
        <f t="shared" si="5"/>
        <v>0</v>
      </c>
      <c r="AA552" s="312"/>
      <c r="AB552" s="312"/>
      <c r="AC552" s="312"/>
      <c r="AD552" s="312"/>
    </row>
    <row r="553">
      <c r="A553" s="312"/>
      <c r="B553" s="344">
        <f t="shared" si="1"/>
        <v>1714.918281</v>
      </c>
      <c r="C553" s="344">
        <v>120.0</v>
      </c>
      <c r="D553" s="369"/>
      <c r="E553" s="344" t="str">
        <f t="shared" si="2"/>
        <v>Saturday</v>
      </c>
      <c r="F553" s="344" t="s">
        <v>554</v>
      </c>
      <c r="G553" s="370"/>
      <c r="H553" s="370"/>
      <c r="I553" s="357">
        <f t="shared" si="3"/>
        <v>0</v>
      </c>
      <c r="J553" s="346">
        <f t="shared" si="4"/>
        <v>0</v>
      </c>
      <c r="K553" s="312"/>
      <c r="L553" s="312"/>
      <c r="M553" s="312"/>
      <c r="N553" s="362"/>
      <c r="O553" s="312"/>
      <c r="P553" s="312"/>
      <c r="S553" s="2">
        <f t="shared" si="5"/>
        <v>0</v>
      </c>
      <c r="AA553" s="312"/>
      <c r="AB553" s="312"/>
      <c r="AC553" s="312"/>
      <c r="AD553" s="312"/>
    </row>
    <row r="554">
      <c r="A554" s="312"/>
      <c r="B554" s="344">
        <f t="shared" si="1"/>
        <v>1714.918281</v>
      </c>
      <c r="C554" s="344">
        <v>120.0</v>
      </c>
      <c r="D554" s="369"/>
      <c r="E554" s="344" t="str">
        <f t="shared" si="2"/>
        <v>Saturday</v>
      </c>
      <c r="F554" s="344" t="s">
        <v>554</v>
      </c>
      <c r="G554" s="370"/>
      <c r="H554" s="370"/>
      <c r="I554" s="357">
        <f t="shared" si="3"/>
        <v>0</v>
      </c>
      <c r="J554" s="346">
        <f t="shared" si="4"/>
        <v>0</v>
      </c>
      <c r="K554" s="312"/>
      <c r="L554" s="312"/>
      <c r="M554" s="312"/>
      <c r="N554" s="362"/>
      <c r="O554" s="312"/>
      <c r="P554" s="312"/>
      <c r="S554" s="2">
        <f t="shared" si="5"/>
        <v>0</v>
      </c>
      <c r="AA554" s="312"/>
      <c r="AB554" s="312"/>
      <c r="AC554" s="312"/>
      <c r="AD554" s="312"/>
    </row>
    <row r="555">
      <c r="A555" s="312"/>
      <c r="B555" s="344">
        <f t="shared" si="1"/>
        <v>1714.918281</v>
      </c>
      <c r="C555" s="344">
        <v>120.0</v>
      </c>
      <c r="D555" s="369"/>
      <c r="E555" s="344" t="str">
        <f t="shared" si="2"/>
        <v>Saturday</v>
      </c>
      <c r="F555" s="344" t="s">
        <v>554</v>
      </c>
      <c r="G555" s="370"/>
      <c r="H555" s="370"/>
      <c r="I555" s="357">
        <f t="shared" si="3"/>
        <v>0</v>
      </c>
      <c r="J555" s="346">
        <f t="shared" si="4"/>
        <v>0</v>
      </c>
      <c r="K555" s="312"/>
      <c r="L555" s="312"/>
      <c r="M555" s="312"/>
      <c r="N555" s="362"/>
      <c r="O555" s="312"/>
      <c r="P555" s="312"/>
      <c r="S555" s="2">
        <f t="shared" si="5"/>
        <v>0</v>
      </c>
      <c r="AA555" s="312"/>
      <c r="AB555" s="312"/>
      <c r="AC555" s="312"/>
      <c r="AD555" s="312"/>
    </row>
    <row r="556">
      <c r="A556" s="312"/>
      <c r="B556" s="344">
        <f t="shared" si="1"/>
        <v>1714.918281</v>
      </c>
      <c r="C556" s="344">
        <v>120.0</v>
      </c>
      <c r="D556" s="369"/>
      <c r="E556" s="344" t="str">
        <f t="shared" si="2"/>
        <v>Saturday</v>
      </c>
      <c r="F556" s="344" t="s">
        <v>554</v>
      </c>
      <c r="G556" s="370"/>
      <c r="H556" s="370"/>
      <c r="I556" s="357">
        <f t="shared" si="3"/>
        <v>0</v>
      </c>
      <c r="J556" s="346">
        <f t="shared" si="4"/>
        <v>0</v>
      </c>
      <c r="K556" s="312"/>
      <c r="L556" s="312"/>
      <c r="M556" s="312"/>
      <c r="N556" s="362"/>
      <c r="O556" s="312"/>
      <c r="P556" s="312"/>
      <c r="S556" s="2">
        <f t="shared" si="5"/>
        <v>0</v>
      </c>
      <c r="AA556" s="312"/>
      <c r="AB556" s="312"/>
      <c r="AC556" s="312"/>
      <c r="AD556" s="312"/>
    </row>
    <row r="557">
      <c r="A557" s="312"/>
      <c r="B557" s="344">
        <f t="shared" si="1"/>
        <v>1714.918281</v>
      </c>
      <c r="C557" s="344">
        <v>120.0</v>
      </c>
      <c r="D557" s="369"/>
      <c r="E557" s="344" t="str">
        <f t="shared" si="2"/>
        <v>Saturday</v>
      </c>
      <c r="F557" s="344" t="s">
        <v>554</v>
      </c>
      <c r="G557" s="370"/>
      <c r="H557" s="370"/>
      <c r="I557" s="357">
        <f t="shared" si="3"/>
        <v>0</v>
      </c>
      <c r="J557" s="346">
        <f t="shared" si="4"/>
        <v>0</v>
      </c>
      <c r="K557" s="312"/>
      <c r="L557" s="312"/>
      <c r="M557" s="312"/>
      <c r="N557" s="362"/>
      <c r="O557" s="312"/>
      <c r="P557" s="312"/>
      <c r="S557" s="2">
        <f t="shared" si="5"/>
        <v>0</v>
      </c>
      <c r="AA557" s="312"/>
      <c r="AB557" s="312"/>
      <c r="AC557" s="312"/>
      <c r="AD557" s="312"/>
    </row>
    <row r="558">
      <c r="A558" s="312"/>
      <c r="B558" s="344">
        <f t="shared" si="1"/>
        <v>1714.918281</v>
      </c>
      <c r="C558" s="344">
        <v>120.0</v>
      </c>
      <c r="D558" s="369"/>
      <c r="E558" s="344" t="str">
        <f t="shared" si="2"/>
        <v>Saturday</v>
      </c>
      <c r="F558" s="344" t="s">
        <v>554</v>
      </c>
      <c r="G558" s="370"/>
      <c r="H558" s="370"/>
      <c r="I558" s="357">
        <f t="shared" si="3"/>
        <v>0</v>
      </c>
      <c r="J558" s="346">
        <f t="shared" si="4"/>
        <v>0</v>
      </c>
      <c r="K558" s="312"/>
      <c r="L558" s="312"/>
      <c r="M558" s="312"/>
      <c r="N558" s="362"/>
      <c r="O558" s="312"/>
      <c r="P558" s="312"/>
      <c r="S558" s="2">
        <f t="shared" si="5"/>
        <v>0</v>
      </c>
      <c r="AA558" s="312"/>
      <c r="AB558" s="312"/>
      <c r="AC558" s="312"/>
      <c r="AD558" s="312"/>
    </row>
    <row r="559">
      <c r="A559" s="312"/>
      <c r="B559" s="344">
        <f t="shared" si="1"/>
        <v>1714.918281</v>
      </c>
      <c r="C559" s="344">
        <v>120.0</v>
      </c>
      <c r="D559" s="369"/>
      <c r="E559" s="344" t="str">
        <f t="shared" si="2"/>
        <v>Saturday</v>
      </c>
      <c r="F559" s="344" t="s">
        <v>554</v>
      </c>
      <c r="G559" s="370"/>
      <c r="H559" s="370"/>
      <c r="I559" s="357">
        <f t="shared" si="3"/>
        <v>0</v>
      </c>
      <c r="J559" s="346">
        <f t="shared" si="4"/>
        <v>0</v>
      </c>
      <c r="K559" s="312"/>
      <c r="L559" s="312"/>
      <c r="M559" s="312"/>
      <c r="N559" s="362"/>
      <c r="O559" s="312"/>
      <c r="P559" s="312"/>
      <c r="S559" s="2">
        <f t="shared" si="5"/>
        <v>0</v>
      </c>
      <c r="AA559" s="312"/>
      <c r="AB559" s="312"/>
      <c r="AC559" s="312"/>
      <c r="AD559" s="312"/>
    </row>
    <row r="560">
      <c r="A560" s="312"/>
      <c r="B560" s="344">
        <f t="shared" si="1"/>
        <v>1714.918281</v>
      </c>
      <c r="C560" s="344">
        <v>120.0</v>
      </c>
      <c r="D560" s="369"/>
      <c r="E560" s="344" t="str">
        <f t="shared" si="2"/>
        <v>Saturday</v>
      </c>
      <c r="F560" s="344" t="s">
        <v>554</v>
      </c>
      <c r="G560" s="370"/>
      <c r="H560" s="370"/>
      <c r="I560" s="357">
        <f t="shared" si="3"/>
        <v>0</v>
      </c>
      <c r="J560" s="346">
        <f t="shared" si="4"/>
        <v>0</v>
      </c>
      <c r="K560" s="312"/>
      <c r="L560" s="312"/>
      <c r="M560" s="312"/>
      <c r="N560" s="362"/>
      <c r="O560" s="312"/>
      <c r="P560" s="312"/>
      <c r="S560" s="2">
        <f t="shared" si="5"/>
        <v>0</v>
      </c>
      <c r="AA560" s="312"/>
      <c r="AB560" s="312"/>
      <c r="AC560" s="312"/>
      <c r="AD560" s="312"/>
    </row>
    <row r="561">
      <c r="A561" s="312"/>
      <c r="B561" s="344">
        <f t="shared" si="1"/>
        <v>1714.918281</v>
      </c>
      <c r="C561" s="344">
        <v>120.0</v>
      </c>
      <c r="D561" s="369"/>
      <c r="E561" s="344" t="str">
        <f t="shared" si="2"/>
        <v>Saturday</v>
      </c>
      <c r="F561" s="344" t="s">
        <v>554</v>
      </c>
      <c r="G561" s="370"/>
      <c r="H561" s="370"/>
      <c r="I561" s="357">
        <f t="shared" si="3"/>
        <v>0</v>
      </c>
      <c r="J561" s="346">
        <f t="shared" si="4"/>
        <v>0</v>
      </c>
      <c r="K561" s="312"/>
      <c r="L561" s="312"/>
      <c r="M561" s="312"/>
      <c r="N561" s="362"/>
      <c r="O561" s="312"/>
      <c r="P561" s="312"/>
      <c r="S561" s="2">
        <f t="shared" si="5"/>
        <v>0</v>
      </c>
      <c r="AA561" s="312"/>
      <c r="AB561" s="312"/>
      <c r="AC561" s="312"/>
      <c r="AD561" s="312"/>
    </row>
    <row r="562">
      <c r="A562" s="312"/>
      <c r="B562" s="344">
        <f t="shared" si="1"/>
        <v>1714.918281</v>
      </c>
      <c r="C562" s="344">
        <v>120.0</v>
      </c>
      <c r="D562" s="369"/>
      <c r="E562" s="344" t="str">
        <f t="shared" si="2"/>
        <v>Saturday</v>
      </c>
      <c r="F562" s="344" t="s">
        <v>554</v>
      </c>
      <c r="G562" s="370"/>
      <c r="H562" s="370"/>
      <c r="I562" s="357">
        <f t="shared" si="3"/>
        <v>0</v>
      </c>
      <c r="J562" s="346">
        <f t="shared" si="4"/>
        <v>0</v>
      </c>
      <c r="K562" s="312"/>
      <c r="L562" s="312"/>
      <c r="M562" s="312"/>
      <c r="N562" s="362"/>
      <c r="O562" s="312"/>
      <c r="P562" s="312"/>
      <c r="S562" s="2">
        <f t="shared" si="5"/>
        <v>0</v>
      </c>
      <c r="AA562" s="312"/>
      <c r="AB562" s="312"/>
      <c r="AC562" s="312"/>
      <c r="AD562" s="312"/>
    </row>
    <row r="563">
      <c r="A563" s="312"/>
      <c r="B563" s="344">
        <f t="shared" si="1"/>
        <v>1714.918281</v>
      </c>
      <c r="C563" s="344">
        <v>120.0</v>
      </c>
      <c r="D563" s="369"/>
      <c r="E563" s="344" t="str">
        <f t="shared" si="2"/>
        <v>Saturday</v>
      </c>
      <c r="F563" s="344" t="s">
        <v>554</v>
      </c>
      <c r="G563" s="370"/>
      <c r="H563" s="370"/>
      <c r="I563" s="357">
        <f t="shared" si="3"/>
        <v>0</v>
      </c>
      <c r="J563" s="346">
        <f t="shared" si="4"/>
        <v>0</v>
      </c>
      <c r="K563" s="312"/>
      <c r="L563" s="312"/>
      <c r="M563" s="312"/>
      <c r="N563" s="362"/>
      <c r="O563" s="312"/>
      <c r="P563" s="312"/>
      <c r="S563" s="2">
        <f t="shared" si="5"/>
        <v>0</v>
      </c>
      <c r="AA563" s="312"/>
      <c r="AB563" s="312"/>
      <c r="AC563" s="312"/>
      <c r="AD563" s="312"/>
    </row>
    <row r="564">
      <c r="A564" s="312"/>
      <c r="B564" s="344">
        <f t="shared" si="1"/>
        <v>1714.918281</v>
      </c>
      <c r="C564" s="344">
        <v>120.0</v>
      </c>
      <c r="D564" s="369"/>
      <c r="E564" s="344" t="str">
        <f t="shared" si="2"/>
        <v>Saturday</v>
      </c>
      <c r="F564" s="344" t="s">
        <v>554</v>
      </c>
      <c r="G564" s="370"/>
      <c r="H564" s="370"/>
      <c r="I564" s="357">
        <f t="shared" si="3"/>
        <v>0</v>
      </c>
      <c r="J564" s="346">
        <f t="shared" si="4"/>
        <v>0</v>
      </c>
      <c r="K564" s="312"/>
      <c r="L564" s="312"/>
      <c r="M564" s="312"/>
      <c r="N564" s="362"/>
      <c r="O564" s="312"/>
      <c r="P564" s="312"/>
      <c r="S564" s="2">
        <f t="shared" si="5"/>
        <v>0</v>
      </c>
      <c r="AA564" s="312"/>
      <c r="AB564" s="312"/>
      <c r="AC564" s="312"/>
      <c r="AD564" s="312"/>
    </row>
    <row r="565">
      <c r="A565" s="312"/>
      <c r="B565" s="344">
        <f t="shared" si="1"/>
        <v>1714.918281</v>
      </c>
      <c r="C565" s="344">
        <v>120.0</v>
      </c>
      <c r="D565" s="369"/>
      <c r="E565" s="344" t="str">
        <f t="shared" si="2"/>
        <v>Saturday</v>
      </c>
      <c r="F565" s="344" t="s">
        <v>554</v>
      </c>
      <c r="G565" s="370"/>
      <c r="H565" s="370"/>
      <c r="I565" s="357">
        <f t="shared" si="3"/>
        <v>0</v>
      </c>
      <c r="J565" s="346">
        <f t="shared" si="4"/>
        <v>0</v>
      </c>
      <c r="K565" s="312"/>
      <c r="L565" s="312"/>
      <c r="M565" s="312"/>
      <c r="N565" s="362"/>
      <c r="O565" s="312"/>
      <c r="P565" s="312"/>
      <c r="S565" s="2">
        <f t="shared" si="5"/>
        <v>0</v>
      </c>
      <c r="AA565" s="312"/>
      <c r="AB565" s="312"/>
      <c r="AC565" s="312"/>
      <c r="AD565" s="312"/>
    </row>
    <row r="566">
      <c r="A566" s="312"/>
      <c r="B566" s="344">
        <f t="shared" si="1"/>
        <v>1714.918281</v>
      </c>
      <c r="C566" s="344">
        <v>120.0</v>
      </c>
      <c r="D566" s="369"/>
      <c r="E566" s="344" t="str">
        <f t="shared" si="2"/>
        <v>Saturday</v>
      </c>
      <c r="F566" s="344" t="s">
        <v>554</v>
      </c>
      <c r="G566" s="370"/>
      <c r="H566" s="370"/>
      <c r="I566" s="357">
        <f t="shared" si="3"/>
        <v>0</v>
      </c>
      <c r="J566" s="346">
        <f t="shared" si="4"/>
        <v>0</v>
      </c>
      <c r="K566" s="312"/>
      <c r="L566" s="312"/>
      <c r="M566" s="312"/>
      <c r="N566" s="362"/>
      <c r="O566" s="312"/>
      <c r="P566" s="312"/>
      <c r="S566" s="2">
        <f t="shared" si="5"/>
        <v>0</v>
      </c>
      <c r="AA566" s="312"/>
      <c r="AB566" s="312"/>
      <c r="AC566" s="312"/>
      <c r="AD566" s="312"/>
    </row>
    <row r="567">
      <c r="A567" s="312"/>
      <c r="B567" s="344">
        <f t="shared" si="1"/>
        <v>1714.918281</v>
      </c>
      <c r="C567" s="344">
        <v>120.0</v>
      </c>
      <c r="D567" s="369"/>
      <c r="E567" s="344" t="str">
        <f t="shared" si="2"/>
        <v>Saturday</v>
      </c>
      <c r="F567" s="344" t="s">
        <v>554</v>
      </c>
      <c r="G567" s="370"/>
      <c r="H567" s="370"/>
      <c r="I567" s="357">
        <f t="shared" si="3"/>
        <v>0</v>
      </c>
      <c r="J567" s="346">
        <f t="shared" si="4"/>
        <v>0</v>
      </c>
      <c r="K567" s="312"/>
      <c r="L567" s="312"/>
      <c r="M567" s="312"/>
      <c r="N567" s="362"/>
      <c r="O567" s="312"/>
      <c r="P567" s="312"/>
      <c r="S567" s="2">
        <f t="shared" si="5"/>
        <v>0</v>
      </c>
      <c r="AA567" s="312"/>
      <c r="AB567" s="312"/>
      <c r="AC567" s="312"/>
      <c r="AD567" s="312"/>
    </row>
    <row r="568">
      <c r="A568" s="312"/>
      <c r="B568" s="344">
        <f t="shared" si="1"/>
        <v>1714.918281</v>
      </c>
      <c r="C568" s="344">
        <v>120.0</v>
      </c>
      <c r="D568" s="369"/>
      <c r="E568" s="344" t="str">
        <f t="shared" si="2"/>
        <v>Saturday</v>
      </c>
      <c r="F568" s="344" t="s">
        <v>554</v>
      </c>
      <c r="G568" s="370"/>
      <c r="H568" s="370"/>
      <c r="I568" s="357">
        <f t="shared" si="3"/>
        <v>0</v>
      </c>
      <c r="J568" s="346">
        <f t="shared" si="4"/>
        <v>0</v>
      </c>
      <c r="K568" s="312"/>
      <c r="L568" s="312"/>
      <c r="M568" s="312"/>
      <c r="N568" s="362"/>
      <c r="O568" s="312"/>
      <c r="P568" s="312"/>
      <c r="S568" s="2">
        <f t="shared" si="5"/>
        <v>0</v>
      </c>
      <c r="AA568" s="312"/>
      <c r="AB568" s="312"/>
      <c r="AC568" s="312"/>
      <c r="AD568" s="312"/>
    </row>
    <row r="569">
      <c r="A569" s="312"/>
      <c r="B569" s="344">
        <f t="shared" si="1"/>
        <v>1714.918281</v>
      </c>
      <c r="C569" s="344">
        <v>120.0</v>
      </c>
      <c r="D569" s="369"/>
      <c r="E569" s="344" t="str">
        <f t="shared" si="2"/>
        <v>Saturday</v>
      </c>
      <c r="F569" s="344" t="s">
        <v>554</v>
      </c>
      <c r="G569" s="370"/>
      <c r="H569" s="370"/>
      <c r="I569" s="357">
        <f t="shared" si="3"/>
        <v>0</v>
      </c>
      <c r="J569" s="346">
        <f t="shared" si="4"/>
        <v>0</v>
      </c>
      <c r="K569" s="312"/>
      <c r="L569" s="312"/>
      <c r="M569" s="312"/>
      <c r="N569" s="362"/>
      <c r="O569" s="312"/>
      <c r="P569" s="312"/>
      <c r="S569" s="2">
        <f t="shared" si="5"/>
        <v>0</v>
      </c>
      <c r="AA569" s="312"/>
      <c r="AB569" s="312"/>
      <c r="AC569" s="312"/>
      <c r="AD569" s="312"/>
    </row>
    <row r="570">
      <c r="A570" s="312"/>
      <c r="B570" s="344">
        <f t="shared" si="1"/>
        <v>1714.918281</v>
      </c>
      <c r="C570" s="344">
        <v>120.0</v>
      </c>
      <c r="D570" s="369"/>
      <c r="E570" s="344" t="str">
        <f t="shared" si="2"/>
        <v>Saturday</v>
      </c>
      <c r="F570" s="344" t="s">
        <v>554</v>
      </c>
      <c r="G570" s="370"/>
      <c r="H570" s="370"/>
      <c r="I570" s="357">
        <f t="shared" si="3"/>
        <v>0</v>
      </c>
      <c r="J570" s="346">
        <f t="shared" si="4"/>
        <v>0</v>
      </c>
      <c r="K570" s="312"/>
      <c r="L570" s="312"/>
      <c r="M570" s="312"/>
      <c r="N570" s="362"/>
      <c r="O570" s="312"/>
      <c r="P570" s="312"/>
      <c r="S570" s="2">
        <f t="shared" si="5"/>
        <v>0</v>
      </c>
      <c r="AA570" s="312"/>
      <c r="AB570" s="312"/>
      <c r="AC570" s="312"/>
      <c r="AD570" s="312"/>
    </row>
    <row r="571">
      <c r="A571" s="312"/>
      <c r="B571" s="344">
        <f t="shared" si="1"/>
        <v>1714.918281</v>
      </c>
      <c r="C571" s="344">
        <v>120.0</v>
      </c>
      <c r="D571" s="369"/>
      <c r="E571" s="344" t="str">
        <f t="shared" si="2"/>
        <v>Saturday</v>
      </c>
      <c r="F571" s="344" t="s">
        <v>554</v>
      </c>
      <c r="G571" s="370"/>
      <c r="H571" s="370"/>
      <c r="I571" s="357">
        <f t="shared" si="3"/>
        <v>0</v>
      </c>
      <c r="J571" s="346">
        <f t="shared" si="4"/>
        <v>0</v>
      </c>
      <c r="K571" s="312"/>
      <c r="L571" s="312"/>
      <c r="M571" s="312"/>
      <c r="N571" s="362"/>
      <c r="O571" s="312"/>
      <c r="P571" s="312"/>
      <c r="S571" s="2">
        <f t="shared" si="5"/>
        <v>0</v>
      </c>
      <c r="AA571" s="312"/>
      <c r="AB571" s="312"/>
      <c r="AC571" s="312"/>
      <c r="AD571" s="312"/>
    </row>
    <row r="572">
      <c r="A572" s="312"/>
      <c r="B572" s="344">
        <f t="shared" si="1"/>
        <v>1714.918281</v>
      </c>
      <c r="C572" s="344">
        <v>120.0</v>
      </c>
      <c r="D572" s="369"/>
      <c r="E572" s="344" t="str">
        <f t="shared" si="2"/>
        <v>Saturday</v>
      </c>
      <c r="F572" s="344" t="s">
        <v>554</v>
      </c>
      <c r="G572" s="370"/>
      <c r="H572" s="370"/>
      <c r="I572" s="357">
        <f t="shared" si="3"/>
        <v>0</v>
      </c>
      <c r="J572" s="346">
        <f t="shared" si="4"/>
        <v>0</v>
      </c>
      <c r="K572" s="312"/>
      <c r="L572" s="312"/>
      <c r="M572" s="312"/>
      <c r="N572" s="362"/>
      <c r="O572" s="312"/>
      <c r="P572" s="312"/>
      <c r="S572" s="2">
        <f t="shared" si="5"/>
        <v>0</v>
      </c>
      <c r="AA572" s="312"/>
      <c r="AB572" s="312"/>
      <c r="AC572" s="312"/>
      <c r="AD572" s="312"/>
    </row>
    <row r="573">
      <c r="A573" s="312"/>
      <c r="B573" s="344">
        <f t="shared" si="1"/>
        <v>1714.918281</v>
      </c>
      <c r="C573" s="344">
        <v>120.0</v>
      </c>
      <c r="D573" s="369"/>
      <c r="E573" s="344" t="str">
        <f t="shared" si="2"/>
        <v>Saturday</v>
      </c>
      <c r="F573" s="344" t="s">
        <v>554</v>
      </c>
      <c r="G573" s="370"/>
      <c r="H573" s="370"/>
      <c r="I573" s="357">
        <f t="shared" si="3"/>
        <v>0</v>
      </c>
      <c r="J573" s="346">
        <f t="shared" si="4"/>
        <v>0</v>
      </c>
      <c r="K573" s="312"/>
      <c r="L573" s="312"/>
      <c r="M573" s="312"/>
      <c r="N573" s="362"/>
      <c r="O573" s="312"/>
      <c r="P573" s="312"/>
      <c r="S573" s="2">
        <f t="shared" si="5"/>
        <v>0</v>
      </c>
      <c r="AA573" s="312"/>
      <c r="AB573" s="312"/>
      <c r="AC573" s="312"/>
      <c r="AD573" s="312"/>
    </row>
    <row r="574">
      <c r="A574" s="312"/>
      <c r="B574" s="344">
        <f t="shared" si="1"/>
        <v>1714.918281</v>
      </c>
      <c r="C574" s="344">
        <v>120.0</v>
      </c>
      <c r="D574" s="369"/>
      <c r="E574" s="344" t="str">
        <f t="shared" si="2"/>
        <v>Saturday</v>
      </c>
      <c r="F574" s="344" t="s">
        <v>554</v>
      </c>
      <c r="G574" s="370"/>
      <c r="H574" s="370"/>
      <c r="I574" s="357">
        <f t="shared" si="3"/>
        <v>0</v>
      </c>
      <c r="J574" s="346">
        <f t="shared" si="4"/>
        <v>0</v>
      </c>
      <c r="K574" s="312"/>
      <c r="L574" s="312"/>
      <c r="M574" s="312"/>
      <c r="N574" s="362"/>
      <c r="O574" s="312"/>
      <c r="P574" s="312"/>
      <c r="S574" s="2">
        <f t="shared" si="5"/>
        <v>0</v>
      </c>
      <c r="AA574" s="312"/>
      <c r="AB574" s="312"/>
      <c r="AC574" s="312"/>
      <c r="AD574" s="312"/>
    </row>
    <row r="575">
      <c r="A575" s="312"/>
      <c r="B575" s="344">
        <f t="shared" si="1"/>
        <v>1714.918281</v>
      </c>
      <c r="C575" s="344">
        <v>120.0</v>
      </c>
      <c r="D575" s="369"/>
      <c r="E575" s="344" t="str">
        <f t="shared" si="2"/>
        <v>Saturday</v>
      </c>
      <c r="F575" s="344" t="s">
        <v>554</v>
      </c>
      <c r="G575" s="370"/>
      <c r="H575" s="370"/>
      <c r="I575" s="357">
        <f t="shared" si="3"/>
        <v>0</v>
      </c>
      <c r="J575" s="346">
        <f t="shared" si="4"/>
        <v>0</v>
      </c>
      <c r="K575" s="312"/>
      <c r="L575" s="312"/>
      <c r="M575" s="312"/>
      <c r="N575" s="362"/>
      <c r="O575" s="312"/>
      <c r="P575" s="312"/>
      <c r="S575" s="2">
        <f t="shared" si="5"/>
        <v>0</v>
      </c>
      <c r="AA575" s="312"/>
      <c r="AB575" s="312"/>
      <c r="AC575" s="312"/>
      <c r="AD575" s="312"/>
    </row>
    <row r="576">
      <c r="A576" s="312"/>
      <c r="B576" s="344">
        <f t="shared" si="1"/>
        <v>1714.918281</v>
      </c>
      <c r="C576" s="344">
        <v>120.0</v>
      </c>
      <c r="D576" s="369"/>
      <c r="E576" s="344" t="str">
        <f t="shared" si="2"/>
        <v>Saturday</v>
      </c>
      <c r="F576" s="344" t="s">
        <v>554</v>
      </c>
      <c r="G576" s="370"/>
      <c r="H576" s="370"/>
      <c r="I576" s="357">
        <f t="shared" si="3"/>
        <v>0</v>
      </c>
      <c r="J576" s="346">
        <f t="shared" si="4"/>
        <v>0</v>
      </c>
      <c r="K576" s="312"/>
      <c r="L576" s="312"/>
      <c r="M576" s="312"/>
      <c r="N576" s="362"/>
      <c r="O576" s="312"/>
      <c r="P576" s="312"/>
      <c r="S576" s="2">
        <f t="shared" si="5"/>
        <v>0</v>
      </c>
      <c r="AA576" s="312"/>
      <c r="AB576" s="312"/>
      <c r="AC576" s="312"/>
      <c r="AD576" s="312"/>
    </row>
    <row r="577">
      <c r="A577" s="312"/>
      <c r="B577" s="344">
        <f t="shared" si="1"/>
        <v>1714.918281</v>
      </c>
      <c r="C577" s="344">
        <v>120.0</v>
      </c>
      <c r="D577" s="369"/>
      <c r="E577" s="344" t="str">
        <f t="shared" si="2"/>
        <v>Saturday</v>
      </c>
      <c r="F577" s="344" t="s">
        <v>554</v>
      </c>
      <c r="G577" s="370"/>
      <c r="H577" s="370"/>
      <c r="I577" s="357">
        <f t="shared" si="3"/>
        <v>0</v>
      </c>
      <c r="J577" s="346">
        <f t="shared" si="4"/>
        <v>0</v>
      </c>
      <c r="K577" s="312"/>
      <c r="L577" s="312"/>
      <c r="M577" s="312"/>
      <c r="N577" s="362"/>
      <c r="O577" s="312"/>
      <c r="P577" s="312"/>
      <c r="S577" s="2">
        <f t="shared" si="5"/>
        <v>0</v>
      </c>
      <c r="AA577" s="312"/>
      <c r="AB577" s="312"/>
      <c r="AC577" s="312"/>
      <c r="AD577" s="312"/>
    </row>
    <row r="578">
      <c r="A578" s="312"/>
      <c r="B578" s="344">
        <f t="shared" si="1"/>
        <v>1714.918281</v>
      </c>
      <c r="C578" s="344">
        <v>120.0</v>
      </c>
      <c r="D578" s="369"/>
      <c r="E578" s="344" t="str">
        <f t="shared" si="2"/>
        <v>Saturday</v>
      </c>
      <c r="F578" s="344" t="s">
        <v>554</v>
      </c>
      <c r="G578" s="370"/>
      <c r="H578" s="370"/>
      <c r="I578" s="357">
        <f t="shared" si="3"/>
        <v>0</v>
      </c>
      <c r="J578" s="346">
        <f t="shared" si="4"/>
        <v>0</v>
      </c>
      <c r="K578" s="312"/>
      <c r="L578" s="312"/>
      <c r="M578" s="312"/>
      <c r="N578" s="362"/>
      <c r="O578" s="312"/>
      <c r="P578" s="312"/>
      <c r="S578" s="2">
        <f t="shared" si="5"/>
        <v>0</v>
      </c>
      <c r="AA578" s="312"/>
      <c r="AB578" s="312"/>
      <c r="AC578" s="312"/>
      <c r="AD578" s="312"/>
    </row>
    <row r="579">
      <c r="A579" s="312"/>
      <c r="B579" s="344">
        <f t="shared" si="1"/>
        <v>1714.918281</v>
      </c>
      <c r="C579" s="344">
        <v>120.0</v>
      </c>
      <c r="D579" s="369"/>
      <c r="E579" s="344" t="str">
        <f t="shared" si="2"/>
        <v>Saturday</v>
      </c>
      <c r="F579" s="344" t="s">
        <v>554</v>
      </c>
      <c r="G579" s="370"/>
      <c r="H579" s="370"/>
      <c r="I579" s="357">
        <f t="shared" si="3"/>
        <v>0</v>
      </c>
      <c r="J579" s="346">
        <f t="shared" si="4"/>
        <v>0</v>
      </c>
      <c r="K579" s="312"/>
      <c r="L579" s="312"/>
      <c r="M579" s="312"/>
      <c r="N579" s="362"/>
      <c r="O579" s="312"/>
      <c r="P579" s="312"/>
      <c r="S579" s="2">
        <f t="shared" si="5"/>
        <v>0</v>
      </c>
      <c r="AA579" s="312"/>
      <c r="AB579" s="312"/>
      <c r="AC579" s="312"/>
      <c r="AD579" s="312"/>
    </row>
    <row r="580">
      <c r="A580" s="312"/>
      <c r="B580" s="344">
        <f t="shared" si="1"/>
        <v>1714.918281</v>
      </c>
      <c r="C580" s="344">
        <v>120.0</v>
      </c>
      <c r="D580" s="369"/>
      <c r="E580" s="344" t="str">
        <f t="shared" si="2"/>
        <v>Saturday</v>
      </c>
      <c r="F580" s="344" t="s">
        <v>554</v>
      </c>
      <c r="G580" s="370"/>
      <c r="H580" s="370"/>
      <c r="I580" s="357">
        <f t="shared" si="3"/>
        <v>0</v>
      </c>
      <c r="J580" s="346">
        <f t="shared" si="4"/>
        <v>0</v>
      </c>
      <c r="K580" s="312"/>
      <c r="L580" s="312"/>
      <c r="M580" s="312"/>
      <c r="N580" s="362"/>
      <c r="O580" s="312"/>
      <c r="P580" s="312"/>
      <c r="S580" s="2">
        <f t="shared" si="5"/>
        <v>0</v>
      </c>
      <c r="AA580" s="312"/>
      <c r="AB580" s="312"/>
      <c r="AC580" s="312"/>
      <c r="AD580" s="312"/>
    </row>
    <row r="581">
      <c r="A581" s="312"/>
      <c r="B581" s="344">
        <f t="shared" si="1"/>
        <v>1714.918281</v>
      </c>
      <c r="C581" s="344">
        <v>120.0</v>
      </c>
      <c r="D581" s="369"/>
      <c r="E581" s="344" t="str">
        <f t="shared" si="2"/>
        <v>Saturday</v>
      </c>
      <c r="F581" s="344" t="s">
        <v>554</v>
      </c>
      <c r="G581" s="370"/>
      <c r="H581" s="370"/>
      <c r="I581" s="357">
        <f t="shared" si="3"/>
        <v>0</v>
      </c>
      <c r="J581" s="346">
        <f t="shared" si="4"/>
        <v>0</v>
      </c>
      <c r="K581" s="312"/>
      <c r="L581" s="312"/>
      <c r="M581" s="312"/>
      <c r="N581" s="362"/>
      <c r="O581" s="312"/>
      <c r="P581" s="312"/>
      <c r="S581" s="2">
        <f t="shared" si="5"/>
        <v>0</v>
      </c>
      <c r="AA581" s="312"/>
      <c r="AB581" s="312"/>
      <c r="AC581" s="312"/>
      <c r="AD581" s="312"/>
    </row>
    <row r="582">
      <c r="A582" s="312"/>
      <c r="B582" s="344">
        <f t="shared" si="1"/>
        <v>1714.918281</v>
      </c>
      <c r="C582" s="344">
        <v>120.0</v>
      </c>
      <c r="D582" s="369"/>
      <c r="E582" s="344" t="str">
        <f t="shared" si="2"/>
        <v>Saturday</v>
      </c>
      <c r="F582" s="344" t="s">
        <v>554</v>
      </c>
      <c r="G582" s="370"/>
      <c r="H582" s="370"/>
      <c r="I582" s="357">
        <f t="shared" si="3"/>
        <v>0</v>
      </c>
      <c r="J582" s="346">
        <f t="shared" si="4"/>
        <v>0</v>
      </c>
      <c r="K582" s="312"/>
      <c r="L582" s="312"/>
      <c r="M582" s="312"/>
      <c r="N582" s="362"/>
      <c r="O582" s="312"/>
      <c r="P582" s="312"/>
      <c r="S582" s="2">
        <f t="shared" si="5"/>
        <v>0</v>
      </c>
      <c r="AA582" s="312"/>
      <c r="AB582" s="312"/>
      <c r="AC582" s="312"/>
      <c r="AD582" s="312"/>
    </row>
    <row r="583">
      <c r="A583" s="312"/>
      <c r="B583" s="344">
        <f t="shared" si="1"/>
        <v>1714.918281</v>
      </c>
      <c r="C583" s="344">
        <v>120.0</v>
      </c>
      <c r="D583" s="369"/>
      <c r="E583" s="344" t="str">
        <f t="shared" si="2"/>
        <v>Saturday</v>
      </c>
      <c r="F583" s="344" t="s">
        <v>554</v>
      </c>
      <c r="G583" s="370"/>
      <c r="H583" s="370"/>
      <c r="I583" s="357">
        <f t="shared" si="3"/>
        <v>0</v>
      </c>
      <c r="J583" s="346">
        <f t="shared" si="4"/>
        <v>0</v>
      </c>
      <c r="K583" s="312"/>
      <c r="L583" s="312"/>
      <c r="M583" s="312"/>
      <c r="N583" s="362"/>
      <c r="O583" s="312"/>
      <c r="P583" s="312"/>
      <c r="S583" s="2">
        <f t="shared" si="5"/>
        <v>0</v>
      </c>
      <c r="AA583" s="312"/>
      <c r="AB583" s="312"/>
      <c r="AC583" s="312"/>
      <c r="AD583" s="312"/>
    </row>
    <row r="584">
      <c r="A584" s="312"/>
      <c r="B584" s="344">
        <f t="shared" si="1"/>
        <v>1714.918281</v>
      </c>
      <c r="C584" s="344">
        <v>120.0</v>
      </c>
      <c r="D584" s="369"/>
      <c r="E584" s="344" t="str">
        <f t="shared" si="2"/>
        <v>Saturday</v>
      </c>
      <c r="F584" s="344" t="s">
        <v>554</v>
      </c>
      <c r="G584" s="370"/>
      <c r="H584" s="370"/>
      <c r="I584" s="357">
        <f t="shared" si="3"/>
        <v>0</v>
      </c>
      <c r="J584" s="346">
        <f t="shared" si="4"/>
        <v>0</v>
      </c>
      <c r="K584" s="312"/>
      <c r="L584" s="312"/>
      <c r="M584" s="312"/>
      <c r="N584" s="362"/>
      <c r="O584" s="312"/>
      <c r="P584" s="312"/>
      <c r="S584" s="2">
        <f t="shared" si="5"/>
        <v>0</v>
      </c>
      <c r="AA584" s="312"/>
      <c r="AB584" s="312"/>
      <c r="AC584" s="312"/>
      <c r="AD584" s="312"/>
    </row>
    <row r="585">
      <c r="A585" s="312"/>
      <c r="B585" s="344">
        <f t="shared" si="1"/>
        <v>1714.918281</v>
      </c>
      <c r="C585" s="344">
        <v>120.0</v>
      </c>
      <c r="D585" s="369"/>
      <c r="E585" s="344" t="str">
        <f t="shared" si="2"/>
        <v>Saturday</v>
      </c>
      <c r="F585" s="344" t="s">
        <v>554</v>
      </c>
      <c r="G585" s="370"/>
      <c r="H585" s="370"/>
      <c r="I585" s="357">
        <f t="shared" si="3"/>
        <v>0</v>
      </c>
      <c r="J585" s="346">
        <f t="shared" si="4"/>
        <v>0</v>
      </c>
      <c r="K585" s="312"/>
      <c r="L585" s="312"/>
      <c r="M585" s="312"/>
      <c r="N585" s="362"/>
      <c r="O585" s="312"/>
      <c r="P585" s="312"/>
      <c r="S585" s="2">
        <f t="shared" si="5"/>
        <v>0</v>
      </c>
      <c r="AA585" s="312"/>
      <c r="AB585" s="312"/>
      <c r="AC585" s="312"/>
      <c r="AD585" s="312"/>
    </row>
    <row r="586">
      <c r="A586" s="312"/>
      <c r="B586" s="344">
        <f t="shared" si="1"/>
        <v>1714.918281</v>
      </c>
      <c r="C586" s="344">
        <v>120.0</v>
      </c>
      <c r="D586" s="369"/>
      <c r="E586" s="344" t="str">
        <f t="shared" si="2"/>
        <v>Saturday</v>
      </c>
      <c r="F586" s="344" t="s">
        <v>554</v>
      </c>
      <c r="G586" s="370"/>
      <c r="H586" s="370"/>
      <c r="I586" s="357">
        <f t="shared" si="3"/>
        <v>0</v>
      </c>
      <c r="J586" s="346">
        <f t="shared" si="4"/>
        <v>0</v>
      </c>
      <c r="K586" s="312"/>
      <c r="L586" s="312"/>
      <c r="M586" s="312"/>
      <c r="N586" s="362"/>
      <c r="O586" s="312"/>
      <c r="P586" s="312"/>
      <c r="S586" s="2">
        <f t="shared" si="5"/>
        <v>0</v>
      </c>
      <c r="AA586" s="312"/>
      <c r="AB586" s="312"/>
      <c r="AC586" s="312"/>
      <c r="AD586" s="312"/>
    </row>
    <row r="587">
      <c r="A587" s="312"/>
      <c r="B587" s="344">
        <f t="shared" si="1"/>
        <v>1714.918281</v>
      </c>
      <c r="C587" s="344">
        <v>120.0</v>
      </c>
      <c r="D587" s="369"/>
      <c r="E587" s="344" t="str">
        <f t="shared" si="2"/>
        <v>Saturday</v>
      </c>
      <c r="F587" s="344" t="s">
        <v>554</v>
      </c>
      <c r="G587" s="370"/>
      <c r="H587" s="370"/>
      <c r="I587" s="357">
        <f t="shared" si="3"/>
        <v>0</v>
      </c>
      <c r="J587" s="346">
        <f t="shared" si="4"/>
        <v>0</v>
      </c>
      <c r="K587" s="312"/>
      <c r="L587" s="312"/>
      <c r="M587" s="312"/>
      <c r="N587" s="362"/>
      <c r="O587" s="312"/>
      <c r="P587" s="312"/>
      <c r="S587" s="2">
        <f t="shared" si="5"/>
        <v>0</v>
      </c>
      <c r="AA587" s="312"/>
      <c r="AB587" s="312"/>
      <c r="AC587" s="312"/>
      <c r="AD587" s="312"/>
    </row>
    <row r="588">
      <c r="A588" s="312"/>
      <c r="B588" s="344">
        <f t="shared" si="1"/>
        <v>1714.918281</v>
      </c>
      <c r="C588" s="344">
        <v>120.0</v>
      </c>
      <c r="D588" s="369"/>
      <c r="E588" s="344" t="str">
        <f t="shared" si="2"/>
        <v>Saturday</v>
      </c>
      <c r="F588" s="344" t="s">
        <v>554</v>
      </c>
      <c r="G588" s="370"/>
      <c r="H588" s="370"/>
      <c r="I588" s="357">
        <f t="shared" si="3"/>
        <v>0</v>
      </c>
      <c r="J588" s="346">
        <f t="shared" si="4"/>
        <v>0</v>
      </c>
      <c r="K588" s="312"/>
      <c r="L588" s="312"/>
      <c r="M588" s="312"/>
      <c r="N588" s="362"/>
      <c r="O588" s="312"/>
      <c r="P588" s="312"/>
      <c r="S588" s="2">
        <f t="shared" si="5"/>
        <v>0</v>
      </c>
      <c r="AA588" s="312"/>
      <c r="AB588" s="312"/>
      <c r="AC588" s="312"/>
      <c r="AD588" s="312"/>
    </row>
    <row r="589">
      <c r="A589" s="312"/>
      <c r="B589" s="344">
        <f t="shared" si="1"/>
        <v>1714.918281</v>
      </c>
      <c r="C589" s="344">
        <v>120.0</v>
      </c>
      <c r="D589" s="369"/>
      <c r="E589" s="344" t="str">
        <f t="shared" si="2"/>
        <v>Saturday</v>
      </c>
      <c r="F589" s="344" t="s">
        <v>554</v>
      </c>
      <c r="G589" s="370"/>
      <c r="H589" s="370"/>
      <c r="I589" s="357">
        <f t="shared" si="3"/>
        <v>0</v>
      </c>
      <c r="J589" s="346">
        <f t="shared" si="4"/>
        <v>0</v>
      </c>
      <c r="K589" s="312"/>
      <c r="L589" s="312"/>
      <c r="M589" s="312"/>
      <c r="N589" s="362"/>
      <c r="O589" s="312"/>
      <c r="P589" s="312"/>
      <c r="S589" s="2">
        <f t="shared" si="5"/>
        <v>0</v>
      </c>
      <c r="AA589" s="312"/>
      <c r="AB589" s="312"/>
      <c r="AC589" s="312"/>
      <c r="AD589" s="312"/>
    </row>
    <row r="590">
      <c r="A590" s="312"/>
      <c r="B590" s="344">
        <f t="shared" si="1"/>
        <v>1714.918281</v>
      </c>
      <c r="C590" s="344">
        <v>120.0</v>
      </c>
      <c r="D590" s="369"/>
      <c r="E590" s="344" t="str">
        <f t="shared" si="2"/>
        <v>Saturday</v>
      </c>
      <c r="F590" s="344" t="s">
        <v>554</v>
      </c>
      <c r="G590" s="370"/>
      <c r="H590" s="370"/>
      <c r="I590" s="357">
        <f t="shared" si="3"/>
        <v>0</v>
      </c>
      <c r="J590" s="346">
        <f t="shared" si="4"/>
        <v>0</v>
      </c>
      <c r="K590" s="312"/>
      <c r="L590" s="312"/>
      <c r="M590" s="312"/>
      <c r="N590" s="362"/>
      <c r="O590" s="312"/>
      <c r="P590" s="312"/>
      <c r="S590" s="2">
        <f t="shared" si="5"/>
        <v>0</v>
      </c>
      <c r="AA590" s="312"/>
      <c r="AB590" s="312"/>
      <c r="AC590" s="312"/>
      <c r="AD590" s="312"/>
    </row>
    <row r="591">
      <c r="A591" s="312"/>
      <c r="B591" s="344">
        <f t="shared" si="1"/>
        <v>1714.918281</v>
      </c>
      <c r="C591" s="344">
        <v>120.0</v>
      </c>
      <c r="D591" s="369"/>
      <c r="E591" s="344" t="str">
        <f t="shared" si="2"/>
        <v>Saturday</v>
      </c>
      <c r="F591" s="344" t="s">
        <v>554</v>
      </c>
      <c r="G591" s="370"/>
      <c r="H591" s="370"/>
      <c r="I591" s="357">
        <f t="shared" si="3"/>
        <v>0</v>
      </c>
      <c r="J591" s="346">
        <f t="shared" si="4"/>
        <v>0</v>
      </c>
      <c r="K591" s="312"/>
      <c r="L591" s="312"/>
      <c r="M591" s="312"/>
      <c r="N591" s="362"/>
      <c r="O591" s="312"/>
      <c r="P591" s="312"/>
      <c r="S591" s="2">
        <f t="shared" si="5"/>
        <v>0</v>
      </c>
      <c r="AA591" s="312"/>
      <c r="AB591" s="312"/>
      <c r="AC591" s="312"/>
      <c r="AD591" s="312"/>
    </row>
    <row r="592">
      <c r="A592" s="312"/>
      <c r="B592" s="344">
        <f t="shared" si="1"/>
        <v>1714.918281</v>
      </c>
      <c r="C592" s="344">
        <v>120.0</v>
      </c>
      <c r="D592" s="369"/>
      <c r="E592" s="344" t="str">
        <f t="shared" si="2"/>
        <v>Saturday</v>
      </c>
      <c r="F592" s="344" t="s">
        <v>554</v>
      </c>
      <c r="G592" s="370"/>
      <c r="H592" s="370"/>
      <c r="I592" s="357">
        <f t="shared" si="3"/>
        <v>0</v>
      </c>
      <c r="J592" s="346">
        <f t="shared" si="4"/>
        <v>0</v>
      </c>
      <c r="K592" s="312"/>
      <c r="L592" s="312"/>
      <c r="M592" s="312"/>
      <c r="N592" s="362"/>
      <c r="O592" s="312"/>
      <c r="P592" s="312"/>
      <c r="S592" s="2">
        <f t="shared" si="5"/>
        <v>0</v>
      </c>
      <c r="AA592" s="312"/>
      <c r="AB592" s="312"/>
      <c r="AC592" s="312"/>
      <c r="AD592" s="312"/>
    </row>
    <row r="593">
      <c r="A593" s="312"/>
      <c r="B593" s="344">
        <f t="shared" si="1"/>
        <v>1714.918281</v>
      </c>
      <c r="C593" s="344">
        <v>120.0</v>
      </c>
      <c r="D593" s="369"/>
      <c r="E593" s="344" t="str">
        <f t="shared" si="2"/>
        <v>Saturday</v>
      </c>
      <c r="F593" s="344" t="s">
        <v>554</v>
      </c>
      <c r="G593" s="370"/>
      <c r="H593" s="370"/>
      <c r="I593" s="357">
        <f t="shared" si="3"/>
        <v>0</v>
      </c>
      <c r="J593" s="346">
        <f t="shared" si="4"/>
        <v>0</v>
      </c>
      <c r="K593" s="312"/>
      <c r="L593" s="312"/>
      <c r="M593" s="312"/>
      <c r="N593" s="362"/>
      <c r="O593" s="312"/>
      <c r="P593" s="312"/>
      <c r="S593" s="2">
        <f t="shared" si="5"/>
        <v>0</v>
      </c>
      <c r="AA593" s="312"/>
      <c r="AB593" s="312"/>
      <c r="AC593" s="312"/>
      <c r="AD593" s="312"/>
    </row>
    <row r="594">
      <c r="A594" s="312"/>
      <c r="B594" s="344">
        <f t="shared" si="1"/>
        <v>1714.918281</v>
      </c>
      <c r="C594" s="344">
        <v>120.0</v>
      </c>
      <c r="D594" s="369"/>
      <c r="E594" s="344" t="str">
        <f t="shared" si="2"/>
        <v>Saturday</v>
      </c>
      <c r="F594" s="344" t="s">
        <v>554</v>
      </c>
      <c r="G594" s="370"/>
      <c r="H594" s="370"/>
      <c r="I594" s="357">
        <f t="shared" si="3"/>
        <v>0</v>
      </c>
      <c r="J594" s="346">
        <f t="shared" si="4"/>
        <v>0</v>
      </c>
      <c r="K594" s="312"/>
      <c r="L594" s="312"/>
      <c r="M594" s="312"/>
      <c r="N594" s="362"/>
      <c r="O594" s="312"/>
      <c r="P594" s="312"/>
      <c r="S594" s="2">
        <f t="shared" si="5"/>
        <v>0</v>
      </c>
      <c r="AA594" s="312"/>
      <c r="AB594" s="312"/>
      <c r="AC594" s="312"/>
      <c r="AD594" s="312"/>
    </row>
    <row r="595">
      <c r="A595" s="312"/>
      <c r="B595" s="344">
        <f t="shared" si="1"/>
        <v>1714.918281</v>
      </c>
      <c r="C595" s="344">
        <v>120.0</v>
      </c>
      <c r="D595" s="369"/>
      <c r="E595" s="344" t="str">
        <f t="shared" si="2"/>
        <v>Saturday</v>
      </c>
      <c r="F595" s="344" t="s">
        <v>554</v>
      </c>
      <c r="G595" s="370"/>
      <c r="H595" s="370"/>
      <c r="I595" s="357">
        <f t="shared" si="3"/>
        <v>0</v>
      </c>
      <c r="J595" s="346">
        <f t="shared" si="4"/>
        <v>0</v>
      </c>
      <c r="K595" s="312"/>
      <c r="L595" s="312"/>
      <c r="M595" s="312"/>
      <c r="N595" s="362"/>
      <c r="O595" s="312"/>
      <c r="P595" s="312"/>
      <c r="S595" s="2">
        <f t="shared" si="5"/>
        <v>0</v>
      </c>
      <c r="AA595" s="312"/>
      <c r="AB595" s="312"/>
      <c r="AC595" s="312"/>
      <c r="AD595" s="312"/>
    </row>
    <row r="596">
      <c r="A596" s="312"/>
      <c r="B596" s="344">
        <f t="shared" si="1"/>
        <v>1714.918281</v>
      </c>
      <c r="C596" s="344">
        <v>120.0</v>
      </c>
      <c r="D596" s="369"/>
      <c r="E596" s="344" t="str">
        <f t="shared" si="2"/>
        <v>Saturday</v>
      </c>
      <c r="F596" s="344" t="s">
        <v>554</v>
      </c>
      <c r="G596" s="370"/>
      <c r="H596" s="370"/>
      <c r="I596" s="357">
        <f t="shared" si="3"/>
        <v>0</v>
      </c>
      <c r="J596" s="346">
        <f t="shared" si="4"/>
        <v>0</v>
      </c>
      <c r="K596" s="312"/>
      <c r="L596" s="312"/>
      <c r="M596" s="312"/>
      <c r="N596" s="362"/>
      <c r="O596" s="312"/>
      <c r="P596" s="312"/>
      <c r="S596" s="2">
        <f t="shared" si="5"/>
        <v>0</v>
      </c>
      <c r="AA596" s="312"/>
      <c r="AB596" s="312"/>
      <c r="AC596" s="312"/>
      <c r="AD596" s="312"/>
    </row>
    <row r="597">
      <c r="A597" s="312"/>
      <c r="B597" s="344">
        <f t="shared" si="1"/>
        <v>1714.918281</v>
      </c>
      <c r="C597" s="344">
        <v>120.0</v>
      </c>
      <c r="D597" s="369"/>
      <c r="E597" s="344" t="str">
        <f t="shared" si="2"/>
        <v>Saturday</v>
      </c>
      <c r="F597" s="344" t="s">
        <v>554</v>
      </c>
      <c r="G597" s="370"/>
      <c r="H597" s="370"/>
      <c r="I597" s="357">
        <f t="shared" si="3"/>
        <v>0</v>
      </c>
      <c r="J597" s="346">
        <f t="shared" si="4"/>
        <v>0</v>
      </c>
      <c r="K597" s="312"/>
      <c r="L597" s="312"/>
      <c r="M597" s="312"/>
      <c r="N597" s="362"/>
      <c r="O597" s="312"/>
      <c r="P597" s="312"/>
      <c r="S597" s="2">
        <f t="shared" si="5"/>
        <v>0</v>
      </c>
      <c r="AA597" s="312"/>
      <c r="AB597" s="312"/>
      <c r="AC597" s="312"/>
      <c r="AD597" s="312"/>
    </row>
    <row r="598">
      <c r="A598" s="312"/>
      <c r="B598" s="344">
        <f t="shared" si="1"/>
        <v>1714.918281</v>
      </c>
      <c r="C598" s="344">
        <v>120.0</v>
      </c>
      <c r="D598" s="369"/>
      <c r="E598" s="344" t="str">
        <f t="shared" si="2"/>
        <v>Saturday</v>
      </c>
      <c r="F598" s="344" t="s">
        <v>554</v>
      </c>
      <c r="G598" s="370"/>
      <c r="H598" s="370"/>
      <c r="I598" s="357">
        <f t="shared" si="3"/>
        <v>0</v>
      </c>
      <c r="J598" s="346">
        <f t="shared" si="4"/>
        <v>0</v>
      </c>
      <c r="K598" s="312"/>
      <c r="L598" s="312"/>
      <c r="M598" s="312"/>
      <c r="N598" s="362"/>
      <c r="O598" s="312"/>
      <c r="P598" s="312"/>
      <c r="S598" s="2">
        <f t="shared" si="5"/>
        <v>0</v>
      </c>
      <c r="AA598" s="312"/>
      <c r="AB598" s="312"/>
      <c r="AC598" s="312"/>
      <c r="AD598" s="312"/>
    </row>
    <row r="599">
      <c r="A599" s="312"/>
      <c r="B599" s="344">
        <f t="shared" si="1"/>
        <v>1714.918281</v>
      </c>
      <c r="C599" s="344">
        <v>120.0</v>
      </c>
      <c r="D599" s="369"/>
      <c r="E599" s="344" t="str">
        <f t="shared" si="2"/>
        <v>Saturday</v>
      </c>
      <c r="F599" s="344" t="s">
        <v>554</v>
      </c>
      <c r="G599" s="370"/>
      <c r="H599" s="370"/>
      <c r="I599" s="357">
        <f t="shared" si="3"/>
        <v>0</v>
      </c>
      <c r="J599" s="346">
        <f t="shared" si="4"/>
        <v>0</v>
      </c>
      <c r="K599" s="312"/>
      <c r="L599" s="312"/>
      <c r="M599" s="312"/>
      <c r="N599" s="362"/>
      <c r="O599" s="312"/>
      <c r="P599" s="312"/>
      <c r="S599" s="2">
        <f t="shared" si="5"/>
        <v>0</v>
      </c>
      <c r="AA599" s="312"/>
      <c r="AB599" s="312"/>
      <c r="AC599" s="312"/>
      <c r="AD599" s="312"/>
    </row>
    <row r="600">
      <c r="A600" s="312"/>
      <c r="B600" s="344">
        <f t="shared" si="1"/>
        <v>1714.918281</v>
      </c>
      <c r="C600" s="344">
        <v>120.0</v>
      </c>
      <c r="D600" s="369"/>
      <c r="E600" s="344" t="str">
        <f t="shared" si="2"/>
        <v>Saturday</v>
      </c>
      <c r="F600" s="344" t="s">
        <v>554</v>
      </c>
      <c r="G600" s="370"/>
      <c r="H600" s="370"/>
      <c r="I600" s="357">
        <f t="shared" si="3"/>
        <v>0</v>
      </c>
      <c r="J600" s="346">
        <f t="shared" si="4"/>
        <v>0</v>
      </c>
      <c r="K600" s="312"/>
      <c r="L600" s="312"/>
      <c r="M600" s="312"/>
      <c r="N600" s="362"/>
      <c r="O600" s="312"/>
      <c r="P600" s="312"/>
      <c r="S600" s="2">
        <f t="shared" si="5"/>
        <v>0</v>
      </c>
      <c r="AA600" s="312"/>
      <c r="AB600" s="312"/>
      <c r="AC600" s="312"/>
      <c r="AD600" s="312"/>
    </row>
    <row r="601">
      <c r="A601" s="312"/>
      <c r="B601" s="344">
        <f t="shared" si="1"/>
        <v>1714.918281</v>
      </c>
      <c r="C601" s="344">
        <v>120.0</v>
      </c>
      <c r="D601" s="369"/>
      <c r="E601" s="344" t="str">
        <f t="shared" si="2"/>
        <v>Saturday</v>
      </c>
      <c r="F601" s="344" t="s">
        <v>554</v>
      </c>
      <c r="G601" s="370"/>
      <c r="H601" s="370"/>
      <c r="I601" s="357">
        <f t="shared" si="3"/>
        <v>0</v>
      </c>
      <c r="J601" s="346">
        <f t="shared" si="4"/>
        <v>0</v>
      </c>
      <c r="K601" s="312"/>
      <c r="L601" s="312"/>
      <c r="M601" s="312"/>
      <c r="N601" s="362"/>
      <c r="O601" s="312"/>
      <c r="P601" s="312"/>
      <c r="S601" s="2">
        <f t="shared" si="5"/>
        <v>0</v>
      </c>
      <c r="AA601" s="312"/>
      <c r="AB601" s="312"/>
      <c r="AC601" s="312"/>
      <c r="AD601" s="312"/>
    </row>
    <row r="602">
      <c r="A602" s="312"/>
      <c r="B602" s="344">
        <f t="shared" si="1"/>
        <v>1714.918281</v>
      </c>
      <c r="C602" s="344">
        <v>120.0</v>
      </c>
      <c r="D602" s="369"/>
      <c r="E602" s="344" t="str">
        <f t="shared" si="2"/>
        <v>Saturday</v>
      </c>
      <c r="F602" s="344" t="s">
        <v>554</v>
      </c>
      <c r="G602" s="370"/>
      <c r="H602" s="370"/>
      <c r="I602" s="357">
        <f t="shared" si="3"/>
        <v>0</v>
      </c>
      <c r="J602" s="346">
        <f t="shared" si="4"/>
        <v>0</v>
      </c>
      <c r="K602" s="312"/>
      <c r="L602" s="312"/>
      <c r="M602" s="312"/>
      <c r="N602" s="362"/>
      <c r="O602" s="312"/>
      <c r="P602" s="312"/>
      <c r="S602" s="2">
        <f t="shared" si="5"/>
        <v>0</v>
      </c>
      <c r="AA602" s="312"/>
      <c r="AB602" s="312"/>
      <c r="AC602" s="312"/>
      <c r="AD602" s="312"/>
    </row>
    <row r="603">
      <c r="A603" s="312"/>
      <c r="B603" s="344">
        <f t="shared" si="1"/>
        <v>1714.918281</v>
      </c>
      <c r="C603" s="344">
        <v>120.0</v>
      </c>
      <c r="D603" s="369"/>
      <c r="E603" s="344" t="str">
        <f t="shared" si="2"/>
        <v>Saturday</v>
      </c>
      <c r="F603" s="344" t="s">
        <v>554</v>
      </c>
      <c r="G603" s="370"/>
      <c r="H603" s="370"/>
      <c r="I603" s="357">
        <f t="shared" si="3"/>
        <v>0</v>
      </c>
      <c r="J603" s="346">
        <f t="shared" si="4"/>
        <v>0</v>
      </c>
      <c r="K603" s="312"/>
      <c r="L603" s="312"/>
      <c r="M603" s="312"/>
      <c r="N603" s="362"/>
      <c r="O603" s="312"/>
      <c r="P603" s="312"/>
      <c r="S603" s="2">
        <f t="shared" si="5"/>
        <v>0</v>
      </c>
      <c r="AA603" s="312"/>
      <c r="AB603" s="312"/>
      <c r="AC603" s="312"/>
      <c r="AD603" s="312"/>
    </row>
    <row r="604">
      <c r="A604" s="312"/>
      <c r="B604" s="344">
        <f t="shared" si="1"/>
        <v>1714.918281</v>
      </c>
      <c r="C604" s="344">
        <v>120.0</v>
      </c>
      <c r="D604" s="369"/>
      <c r="E604" s="344" t="str">
        <f t="shared" si="2"/>
        <v>Saturday</v>
      </c>
      <c r="F604" s="344" t="s">
        <v>554</v>
      </c>
      <c r="G604" s="370"/>
      <c r="H604" s="370"/>
      <c r="I604" s="357">
        <f t="shared" si="3"/>
        <v>0</v>
      </c>
      <c r="J604" s="346">
        <f t="shared" si="4"/>
        <v>0</v>
      </c>
      <c r="K604" s="312"/>
      <c r="L604" s="312"/>
      <c r="M604" s="312"/>
      <c r="N604" s="362"/>
      <c r="O604" s="312"/>
      <c r="P604" s="312"/>
      <c r="S604" s="2">
        <f t="shared" si="5"/>
        <v>0</v>
      </c>
      <c r="AA604" s="312"/>
      <c r="AB604" s="312"/>
      <c r="AC604" s="312"/>
      <c r="AD604" s="312"/>
    </row>
    <row r="605">
      <c r="A605" s="312"/>
      <c r="B605" s="344">
        <f t="shared" si="1"/>
        <v>1714.918281</v>
      </c>
      <c r="C605" s="344">
        <v>120.0</v>
      </c>
      <c r="D605" s="369"/>
      <c r="E605" s="344" t="str">
        <f t="shared" si="2"/>
        <v>Saturday</v>
      </c>
      <c r="F605" s="344" t="s">
        <v>554</v>
      </c>
      <c r="G605" s="370"/>
      <c r="H605" s="370"/>
      <c r="I605" s="357">
        <f t="shared" si="3"/>
        <v>0</v>
      </c>
      <c r="J605" s="346">
        <f t="shared" si="4"/>
        <v>0</v>
      </c>
      <c r="K605" s="312"/>
      <c r="L605" s="312"/>
      <c r="M605" s="312"/>
      <c r="N605" s="362"/>
      <c r="O605" s="312"/>
      <c r="P605" s="312"/>
      <c r="S605" s="2">
        <f t="shared" si="5"/>
        <v>0</v>
      </c>
      <c r="AA605" s="312"/>
      <c r="AB605" s="312"/>
      <c r="AC605" s="312"/>
      <c r="AD605" s="312"/>
    </row>
    <row r="606">
      <c r="A606" s="312"/>
      <c r="B606" s="344">
        <f t="shared" si="1"/>
        <v>1714.918281</v>
      </c>
      <c r="C606" s="344">
        <v>120.0</v>
      </c>
      <c r="D606" s="369"/>
      <c r="E606" s="344" t="str">
        <f t="shared" si="2"/>
        <v>Saturday</v>
      </c>
      <c r="F606" s="344" t="s">
        <v>554</v>
      </c>
      <c r="G606" s="370"/>
      <c r="H606" s="370"/>
      <c r="I606" s="357">
        <f t="shared" si="3"/>
        <v>0</v>
      </c>
      <c r="J606" s="346">
        <f t="shared" si="4"/>
        <v>0</v>
      </c>
      <c r="K606" s="312"/>
      <c r="L606" s="312"/>
      <c r="M606" s="312"/>
      <c r="N606" s="362"/>
      <c r="O606" s="312"/>
      <c r="P606" s="312"/>
      <c r="S606" s="2">
        <f t="shared" si="5"/>
        <v>0</v>
      </c>
      <c r="AA606" s="312"/>
      <c r="AB606" s="312"/>
      <c r="AC606" s="312"/>
      <c r="AD606" s="312"/>
    </row>
    <row r="607">
      <c r="A607" s="312"/>
      <c r="B607" s="344">
        <f t="shared" si="1"/>
        <v>1714.918281</v>
      </c>
      <c r="C607" s="344">
        <v>120.0</v>
      </c>
      <c r="D607" s="369"/>
      <c r="E607" s="344" t="str">
        <f t="shared" si="2"/>
        <v>Saturday</v>
      </c>
      <c r="F607" s="344" t="s">
        <v>554</v>
      </c>
      <c r="G607" s="370"/>
      <c r="H607" s="370"/>
      <c r="I607" s="357">
        <f t="shared" si="3"/>
        <v>0</v>
      </c>
      <c r="J607" s="346">
        <f t="shared" si="4"/>
        <v>0</v>
      </c>
      <c r="K607" s="312"/>
      <c r="L607" s="312"/>
      <c r="M607" s="312"/>
      <c r="N607" s="362"/>
      <c r="O607" s="312"/>
      <c r="P607" s="312"/>
      <c r="S607" s="2">
        <f t="shared" si="5"/>
        <v>0</v>
      </c>
      <c r="AA607" s="312"/>
      <c r="AB607" s="312"/>
      <c r="AC607" s="312"/>
      <c r="AD607" s="312"/>
    </row>
    <row r="608">
      <c r="A608" s="312"/>
      <c r="B608" s="344">
        <f t="shared" si="1"/>
        <v>1714.918281</v>
      </c>
      <c r="C608" s="344">
        <v>120.0</v>
      </c>
      <c r="D608" s="369"/>
      <c r="E608" s="344" t="str">
        <f t="shared" si="2"/>
        <v>Saturday</v>
      </c>
      <c r="F608" s="344" t="s">
        <v>554</v>
      </c>
      <c r="G608" s="370"/>
      <c r="H608" s="370"/>
      <c r="I608" s="357">
        <f t="shared" si="3"/>
        <v>0</v>
      </c>
      <c r="J608" s="346">
        <f t="shared" si="4"/>
        <v>0</v>
      </c>
      <c r="K608" s="312"/>
      <c r="L608" s="312"/>
      <c r="M608" s="312"/>
      <c r="N608" s="362"/>
      <c r="O608" s="312"/>
      <c r="P608" s="312"/>
      <c r="S608" s="2">
        <f t="shared" si="5"/>
        <v>0</v>
      </c>
      <c r="AA608" s="312"/>
      <c r="AB608" s="312"/>
      <c r="AC608" s="312"/>
      <c r="AD608" s="312"/>
    </row>
    <row r="609">
      <c r="A609" s="312"/>
      <c r="B609" s="344">
        <f t="shared" si="1"/>
        <v>1714.918281</v>
      </c>
      <c r="C609" s="344">
        <v>120.0</v>
      </c>
      <c r="D609" s="369"/>
      <c r="E609" s="344" t="str">
        <f t="shared" si="2"/>
        <v>Saturday</v>
      </c>
      <c r="F609" s="344" t="s">
        <v>554</v>
      </c>
      <c r="G609" s="370"/>
      <c r="H609" s="370"/>
      <c r="I609" s="357">
        <f t="shared" si="3"/>
        <v>0</v>
      </c>
      <c r="J609" s="346">
        <f t="shared" si="4"/>
        <v>0</v>
      </c>
      <c r="K609" s="312"/>
      <c r="L609" s="312"/>
      <c r="M609" s="312"/>
      <c r="N609" s="362"/>
      <c r="O609" s="312"/>
      <c r="P609" s="312"/>
      <c r="S609" s="2">
        <f t="shared" si="5"/>
        <v>0</v>
      </c>
      <c r="AA609" s="312"/>
      <c r="AB609" s="312"/>
      <c r="AC609" s="312"/>
      <c r="AD609" s="312"/>
    </row>
    <row r="610">
      <c r="A610" s="312"/>
      <c r="B610" s="344">
        <f t="shared" si="1"/>
        <v>1714.918281</v>
      </c>
      <c r="C610" s="344">
        <v>120.0</v>
      </c>
      <c r="D610" s="369"/>
      <c r="E610" s="344" t="str">
        <f t="shared" si="2"/>
        <v>Saturday</v>
      </c>
      <c r="F610" s="344" t="s">
        <v>554</v>
      </c>
      <c r="G610" s="370"/>
      <c r="H610" s="370"/>
      <c r="I610" s="357">
        <f t="shared" si="3"/>
        <v>0</v>
      </c>
      <c r="J610" s="346">
        <f t="shared" si="4"/>
        <v>0</v>
      </c>
      <c r="K610" s="312"/>
      <c r="L610" s="312"/>
      <c r="M610" s="312"/>
      <c r="N610" s="362"/>
      <c r="O610" s="312"/>
      <c r="P610" s="312"/>
      <c r="S610" s="2">
        <f t="shared" si="5"/>
        <v>0</v>
      </c>
      <c r="AA610" s="312"/>
      <c r="AB610" s="312"/>
      <c r="AC610" s="312"/>
      <c r="AD610" s="312"/>
    </row>
    <row r="611">
      <c r="A611" s="312"/>
      <c r="B611" s="344">
        <f t="shared" si="1"/>
        <v>1714.918281</v>
      </c>
      <c r="C611" s="344">
        <v>120.0</v>
      </c>
      <c r="D611" s="369"/>
      <c r="E611" s="344" t="str">
        <f t="shared" si="2"/>
        <v>Saturday</v>
      </c>
      <c r="F611" s="344" t="s">
        <v>554</v>
      </c>
      <c r="G611" s="370"/>
      <c r="H611" s="370"/>
      <c r="I611" s="357">
        <f t="shared" si="3"/>
        <v>0</v>
      </c>
      <c r="J611" s="346">
        <f t="shared" si="4"/>
        <v>0</v>
      </c>
      <c r="K611" s="312"/>
      <c r="L611" s="312"/>
      <c r="M611" s="312"/>
      <c r="N611" s="362"/>
      <c r="O611" s="312"/>
      <c r="P611" s="312"/>
      <c r="S611" s="2">
        <f t="shared" si="5"/>
        <v>0</v>
      </c>
      <c r="AA611" s="312"/>
      <c r="AB611" s="312"/>
      <c r="AC611" s="312"/>
      <c r="AD611" s="312"/>
    </row>
    <row r="612">
      <c r="A612" s="312"/>
      <c r="B612" s="344">
        <f t="shared" si="1"/>
        <v>1714.918281</v>
      </c>
      <c r="C612" s="344">
        <v>120.0</v>
      </c>
      <c r="D612" s="369"/>
      <c r="E612" s="344" t="str">
        <f t="shared" si="2"/>
        <v>Saturday</v>
      </c>
      <c r="F612" s="344" t="s">
        <v>554</v>
      </c>
      <c r="G612" s="370"/>
      <c r="H612" s="370"/>
      <c r="I612" s="357">
        <f t="shared" si="3"/>
        <v>0</v>
      </c>
      <c r="J612" s="346">
        <f t="shared" si="4"/>
        <v>0</v>
      </c>
      <c r="K612" s="312"/>
      <c r="L612" s="312"/>
      <c r="M612" s="312"/>
      <c r="N612" s="362"/>
      <c r="O612" s="312"/>
      <c r="P612" s="312"/>
      <c r="S612" s="2">
        <f t="shared" si="5"/>
        <v>0</v>
      </c>
      <c r="AA612" s="312"/>
      <c r="AB612" s="312"/>
      <c r="AC612" s="312"/>
      <c r="AD612" s="312"/>
    </row>
    <row r="613">
      <c r="A613" s="312"/>
      <c r="B613" s="344">
        <f t="shared" si="1"/>
        <v>1714.918281</v>
      </c>
      <c r="C613" s="344">
        <v>120.0</v>
      </c>
      <c r="D613" s="369"/>
      <c r="E613" s="344" t="str">
        <f t="shared" si="2"/>
        <v>Saturday</v>
      </c>
      <c r="F613" s="344" t="s">
        <v>554</v>
      </c>
      <c r="G613" s="370"/>
      <c r="H613" s="370"/>
      <c r="I613" s="357">
        <f t="shared" si="3"/>
        <v>0</v>
      </c>
      <c r="J613" s="346">
        <f t="shared" si="4"/>
        <v>0</v>
      </c>
      <c r="K613" s="312"/>
      <c r="L613" s="312"/>
      <c r="M613" s="312"/>
      <c r="N613" s="362"/>
      <c r="O613" s="312"/>
      <c r="P613" s="312"/>
      <c r="S613" s="2">
        <f t="shared" si="5"/>
        <v>0</v>
      </c>
      <c r="AA613" s="312"/>
      <c r="AB613" s="312"/>
      <c r="AC613" s="312"/>
      <c r="AD613" s="312"/>
    </row>
    <row r="614">
      <c r="A614" s="312"/>
      <c r="B614" s="344">
        <f t="shared" si="1"/>
        <v>1714.918281</v>
      </c>
      <c r="C614" s="344">
        <v>120.0</v>
      </c>
      <c r="D614" s="369"/>
      <c r="E614" s="344" t="str">
        <f t="shared" si="2"/>
        <v>Saturday</v>
      </c>
      <c r="F614" s="344" t="s">
        <v>554</v>
      </c>
      <c r="G614" s="370"/>
      <c r="H614" s="370"/>
      <c r="I614" s="357">
        <f t="shared" si="3"/>
        <v>0</v>
      </c>
      <c r="J614" s="346">
        <f t="shared" si="4"/>
        <v>0</v>
      </c>
      <c r="K614" s="312"/>
      <c r="L614" s="312"/>
      <c r="M614" s="312"/>
      <c r="N614" s="362"/>
      <c r="O614" s="312"/>
      <c r="P614" s="312"/>
      <c r="S614" s="2">
        <f t="shared" si="5"/>
        <v>0</v>
      </c>
      <c r="AA614" s="312"/>
      <c r="AB614" s="312"/>
      <c r="AC614" s="312"/>
      <c r="AD614" s="312"/>
    </row>
    <row r="615">
      <c r="A615" s="312"/>
      <c r="B615" s="344">
        <f t="shared" si="1"/>
        <v>1714.918281</v>
      </c>
      <c r="C615" s="344">
        <v>120.0</v>
      </c>
      <c r="D615" s="369"/>
      <c r="E615" s="344" t="str">
        <f t="shared" si="2"/>
        <v>Saturday</v>
      </c>
      <c r="F615" s="344" t="s">
        <v>554</v>
      </c>
      <c r="G615" s="370"/>
      <c r="H615" s="370"/>
      <c r="I615" s="357">
        <f t="shared" si="3"/>
        <v>0</v>
      </c>
      <c r="J615" s="346">
        <f t="shared" si="4"/>
        <v>0</v>
      </c>
      <c r="K615" s="312"/>
      <c r="L615" s="312"/>
      <c r="M615" s="312"/>
      <c r="N615" s="362"/>
      <c r="O615" s="312"/>
      <c r="P615" s="312"/>
      <c r="S615" s="2">
        <f t="shared" si="5"/>
        <v>0</v>
      </c>
      <c r="AA615" s="312"/>
      <c r="AB615" s="312"/>
      <c r="AC615" s="312"/>
      <c r="AD615" s="312"/>
    </row>
    <row r="616">
      <c r="A616" s="312"/>
      <c r="B616" s="344">
        <f t="shared" si="1"/>
        <v>1714.918281</v>
      </c>
      <c r="C616" s="344">
        <v>120.0</v>
      </c>
      <c r="D616" s="369"/>
      <c r="E616" s="344" t="str">
        <f t="shared" si="2"/>
        <v>Saturday</v>
      </c>
      <c r="F616" s="344" t="s">
        <v>554</v>
      </c>
      <c r="G616" s="370"/>
      <c r="H616" s="370"/>
      <c r="I616" s="357">
        <f t="shared" si="3"/>
        <v>0</v>
      </c>
      <c r="J616" s="346">
        <f t="shared" si="4"/>
        <v>0</v>
      </c>
      <c r="K616" s="312"/>
      <c r="L616" s="312"/>
      <c r="M616" s="312"/>
      <c r="N616" s="362"/>
      <c r="O616" s="312"/>
      <c r="P616" s="312"/>
      <c r="S616" s="2">
        <f t="shared" si="5"/>
        <v>0</v>
      </c>
      <c r="AA616" s="312"/>
      <c r="AB616" s="312"/>
      <c r="AC616" s="312"/>
      <c r="AD616" s="312"/>
    </row>
    <row r="617">
      <c r="A617" s="312"/>
      <c r="B617" s="344">
        <f t="shared" si="1"/>
        <v>1714.918281</v>
      </c>
      <c r="C617" s="344">
        <v>120.0</v>
      </c>
      <c r="D617" s="369"/>
      <c r="E617" s="344" t="str">
        <f t="shared" si="2"/>
        <v>Saturday</v>
      </c>
      <c r="F617" s="344" t="s">
        <v>554</v>
      </c>
      <c r="G617" s="370"/>
      <c r="H617" s="370"/>
      <c r="I617" s="357">
        <f t="shared" si="3"/>
        <v>0</v>
      </c>
      <c r="J617" s="346">
        <f t="shared" si="4"/>
        <v>0</v>
      </c>
      <c r="K617" s="312"/>
      <c r="L617" s="312"/>
      <c r="M617" s="312"/>
      <c r="N617" s="362"/>
      <c r="O617" s="312"/>
      <c r="P617" s="312"/>
      <c r="S617" s="2">
        <f t="shared" si="5"/>
        <v>0</v>
      </c>
      <c r="AA617" s="312"/>
      <c r="AB617" s="312"/>
      <c r="AC617" s="312"/>
      <c r="AD617" s="312"/>
    </row>
    <row r="618">
      <c r="A618" s="312"/>
      <c r="B618" s="344">
        <f t="shared" si="1"/>
        <v>1714.918281</v>
      </c>
      <c r="C618" s="344">
        <v>120.0</v>
      </c>
      <c r="D618" s="369"/>
      <c r="E618" s="344" t="str">
        <f t="shared" si="2"/>
        <v>Saturday</v>
      </c>
      <c r="F618" s="344" t="s">
        <v>554</v>
      </c>
      <c r="G618" s="370"/>
      <c r="H618" s="370"/>
      <c r="I618" s="357">
        <f t="shared" si="3"/>
        <v>0</v>
      </c>
      <c r="J618" s="346">
        <f t="shared" si="4"/>
        <v>0</v>
      </c>
      <c r="K618" s="312"/>
      <c r="L618" s="312"/>
      <c r="M618" s="312"/>
      <c r="N618" s="362"/>
      <c r="O618" s="312"/>
      <c r="P618" s="312"/>
      <c r="S618" s="2">
        <f t="shared" si="5"/>
        <v>0</v>
      </c>
      <c r="AA618" s="312"/>
      <c r="AB618" s="312"/>
      <c r="AC618" s="312"/>
      <c r="AD618" s="312"/>
    </row>
    <row r="619">
      <c r="A619" s="312"/>
      <c r="B619" s="344">
        <f t="shared" si="1"/>
        <v>1714.918281</v>
      </c>
      <c r="C619" s="344">
        <v>120.0</v>
      </c>
      <c r="D619" s="369"/>
      <c r="E619" s="344" t="str">
        <f t="shared" si="2"/>
        <v>Saturday</v>
      </c>
      <c r="F619" s="344" t="s">
        <v>554</v>
      </c>
      <c r="G619" s="370"/>
      <c r="H619" s="370"/>
      <c r="I619" s="357">
        <f t="shared" si="3"/>
        <v>0</v>
      </c>
      <c r="J619" s="346">
        <f t="shared" si="4"/>
        <v>0</v>
      </c>
      <c r="K619" s="312"/>
      <c r="L619" s="312"/>
      <c r="M619" s="312"/>
      <c r="N619" s="362"/>
      <c r="O619" s="312"/>
      <c r="P619" s="312"/>
      <c r="S619" s="2">
        <f t="shared" si="5"/>
        <v>0</v>
      </c>
      <c r="AA619" s="312"/>
      <c r="AB619" s="312"/>
      <c r="AC619" s="312"/>
      <c r="AD619" s="312"/>
    </row>
    <row r="620">
      <c r="A620" s="312"/>
      <c r="B620" s="344">
        <f t="shared" si="1"/>
        <v>1714.918281</v>
      </c>
      <c r="C620" s="344">
        <v>120.0</v>
      </c>
      <c r="D620" s="369"/>
      <c r="E620" s="344" t="str">
        <f t="shared" si="2"/>
        <v>Saturday</v>
      </c>
      <c r="F620" s="344" t="s">
        <v>554</v>
      </c>
      <c r="G620" s="370"/>
      <c r="H620" s="370"/>
      <c r="I620" s="357">
        <f t="shared" si="3"/>
        <v>0</v>
      </c>
      <c r="J620" s="346">
        <f t="shared" si="4"/>
        <v>0</v>
      </c>
      <c r="K620" s="312"/>
      <c r="L620" s="312"/>
      <c r="M620" s="312"/>
      <c r="N620" s="362"/>
      <c r="O620" s="312"/>
      <c r="P620" s="312"/>
      <c r="S620" s="2">
        <f t="shared" si="5"/>
        <v>0</v>
      </c>
      <c r="AA620" s="312"/>
      <c r="AB620" s="312"/>
      <c r="AC620" s="312"/>
      <c r="AD620" s="312"/>
    </row>
    <row r="621">
      <c r="A621" s="312"/>
      <c r="B621" s="344">
        <f t="shared" si="1"/>
        <v>1714.918281</v>
      </c>
      <c r="C621" s="344">
        <v>120.0</v>
      </c>
      <c r="D621" s="369"/>
      <c r="E621" s="344" t="str">
        <f t="shared" si="2"/>
        <v>Saturday</v>
      </c>
      <c r="F621" s="344" t="s">
        <v>554</v>
      </c>
      <c r="G621" s="370"/>
      <c r="H621" s="370"/>
      <c r="I621" s="357">
        <f t="shared" si="3"/>
        <v>0</v>
      </c>
      <c r="J621" s="346">
        <f t="shared" si="4"/>
        <v>0</v>
      </c>
      <c r="K621" s="312"/>
      <c r="L621" s="312"/>
      <c r="M621" s="312"/>
      <c r="N621" s="362"/>
      <c r="O621" s="312"/>
      <c r="P621" s="312"/>
      <c r="S621" s="2">
        <f t="shared" si="5"/>
        <v>0</v>
      </c>
      <c r="AA621" s="312"/>
      <c r="AB621" s="312"/>
      <c r="AC621" s="312"/>
      <c r="AD621" s="312"/>
    </row>
    <row r="622">
      <c r="A622" s="312"/>
      <c r="B622" s="344">
        <f t="shared" si="1"/>
        <v>1714.918281</v>
      </c>
      <c r="C622" s="344">
        <v>120.0</v>
      </c>
      <c r="D622" s="369"/>
      <c r="E622" s="344" t="str">
        <f t="shared" si="2"/>
        <v>Saturday</v>
      </c>
      <c r="F622" s="344" t="s">
        <v>554</v>
      </c>
      <c r="G622" s="370"/>
      <c r="H622" s="370"/>
      <c r="I622" s="357">
        <f t="shared" si="3"/>
        <v>0</v>
      </c>
      <c r="J622" s="346">
        <f t="shared" si="4"/>
        <v>0</v>
      </c>
      <c r="K622" s="312"/>
      <c r="L622" s="312"/>
      <c r="M622" s="312"/>
      <c r="N622" s="362"/>
      <c r="O622" s="312"/>
      <c r="P622" s="312"/>
      <c r="S622" s="2">
        <f t="shared" si="5"/>
        <v>0</v>
      </c>
      <c r="AA622" s="312"/>
      <c r="AB622" s="312"/>
      <c r="AC622" s="312"/>
      <c r="AD622" s="312"/>
    </row>
    <row r="623">
      <c r="A623" s="312"/>
      <c r="B623" s="344">
        <f t="shared" si="1"/>
        <v>1714.918281</v>
      </c>
      <c r="C623" s="344">
        <v>120.0</v>
      </c>
      <c r="D623" s="369"/>
      <c r="E623" s="344" t="str">
        <f t="shared" si="2"/>
        <v>Saturday</v>
      </c>
      <c r="F623" s="344" t="s">
        <v>554</v>
      </c>
      <c r="G623" s="370"/>
      <c r="H623" s="370"/>
      <c r="I623" s="357">
        <f t="shared" si="3"/>
        <v>0</v>
      </c>
      <c r="J623" s="346">
        <f t="shared" si="4"/>
        <v>0</v>
      </c>
      <c r="K623" s="312"/>
      <c r="L623" s="312"/>
      <c r="M623" s="312"/>
      <c r="N623" s="362"/>
      <c r="O623" s="312"/>
      <c r="P623" s="312"/>
      <c r="S623" s="2">
        <f t="shared" si="5"/>
        <v>0</v>
      </c>
      <c r="AA623" s="312"/>
      <c r="AB623" s="312"/>
      <c r="AC623" s="312"/>
      <c r="AD623" s="312"/>
    </row>
    <row r="624">
      <c r="A624" s="312"/>
      <c r="B624" s="344">
        <f t="shared" si="1"/>
        <v>1714.918281</v>
      </c>
      <c r="C624" s="344">
        <v>120.0</v>
      </c>
      <c r="D624" s="369"/>
      <c r="E624" s="344" t="str">
        <f t="shared" si="2"/>
        <v>Saturday</v>
      </c>
      <c r="F624" s="344" t="s">
        <v>554</v>
      </c>
      <c r="G624" s="370"/>
      <c r="H624" s="370"/>
      <c r="I624" s="357">
        <f t="shared" si="3"/>
        <v>0</v>
      </c>
      <c r="J624" s="346">
        <f t="shared" si="4"/>
        <v>0</v>
      </c>
      <c r="K624" s="312"/>
      <c r="L624" s="312"/>
      <c r="M624" s="312"/>
      <c r="N624" s="362"/>
      <c r="O624" s="312"/>
      <c r="P624" s="312"/>
      <c r="S624" s="2">
        <f t="shared" si="5"/>
        <v>0</v>
      </c>
      <c r="AA624" s="312"/>
      <c r="AB624" s="312"/>
      <c r="AC624" s="312"/>
      <c r="AD624" s="312"/>
    </row>
    <row r="625">
      <c r="A625" s="312"/>
      <c r="B625" s="344">
        <f t="shared" si="1"/>
        <v>1714.918281</v>
      </c>
      <c r="C625" s="344">
        <v>120.0</v>
      </c>
      <c r="D625" s="369"/>
      <c r="E625" s="344" t="str">
        <f t="shared" si="2"/>
        <v>Saturday</v>
      </c>
      <c r="F625" s="344" t="s">
        <v>554</v>
      </c>
      <c r="G625" s="370"/>
      <c r="H625" s="370"/>
      <c r="I625" s="357">
        <f t="shared" si="3"/>
        <v>0</v>
      </c>
      <c r="J625" s="346">
        <f t="shared" si="4"/>
        <v>0</v>
      </c>
      <c r="K625" s="312"/>
      <c r="L625" s="312"/>
      <c r="M625" s="312"/>
      <c r="N625" s="362"/>
      <c r="O625" s="312"/>
      <c r="P625" s="312"/>
      <c r="S625" s="2">
        <f t="shared" si="5"/>
        <v>0</v>
      </c>
      <c r="AA625" s="312"/>
      <c r="AB625" s="312"/>
      <c r="AC625" s="312"/>
      <c r="AD625" s="312"/>
    </row>
    <row r="626">
      <c r="A626" s="312"/>
      <c r="B626" s="344">
        <f t="shared" si="1"/>
        <v>1714.918281</v>
      </c>
      <c r="C626" s="344">
        <v>120.0</v>
      </c>
      <c r="D626" s="369"/>
      <c r="E626" s="344" t="str">
        <f t="shared" si="2"/>
        <v>Saturday</v>
      </c>
      <c r="F626" s="344" t="s">
        <v>554</v>
      </c>
      <c r="G626" s="370"/>
      <c r="H626" s="370"/>
      <c r="I626" s="357">
        <f t="shared" si="3"/>
        <v>0</v>
      </c>
      <c r="J626" s="346">
        <f t="shared" si="4"/>
        <v>0</v>
      </c>
      <c r="K626" s="312"/>
      <c r="L626" s="312"/>
      <c r="M626" s="312"/>
      <c r="N626" s="362"/>
      <c r="O626" s="312"/>
      <c r="P626" s="312"/>
      <c r="S626" s="2">
        <f t="shared" si="5"/>
        <v>0</v>
      </c>
      <c r="AA626" s="312"/>
      <c r="AB626" s="312"/>
      <c r="AC626" s="312"/>
      <c r="AD626" s="312"/>
    </row>
    <row r="627">
      <c r="A627" s="312"/>
      <c r="B627" s="344">
        <f t="shared" si="1"/>
        <v>1714.918281</v>
      </c>
      <c r="C627" s="344">
        <v>120.0</v>
      </c>
      <c r="D627" s="369"/>
      <c r="E627" s="344" t="str">
        <f t="shared" si="2"/>
        <v>Saturday</v>
      </c>
      <c r="F627" s="344" t="s">
        <v>554</v>
      </c>
      <c r="G627" s="370"/>
      <c r="H627" s="370"/>
      <c r="I627" s="357">
        <f t="shared" si="3"/>
        <v>0</v>
      </c>
      <c r="J627" s="346">
        <f t="shared" si="4"/>
        <v>0</v>
      </c>
      <c r="K627" s="312"/>
      <c r="L627" s="312"/>
      <c r="M627" s="312"/>
      <c r="N627" s="362"/>
      <c r="O627" s="312"/>
      <c r="P627" s="312"/>
      <c r="S627" s="2">
        <f t="shared" si="5"/>
        <v>0</v>
      </c>
      <c r="AA627" s="312"/>
      <c r="AB627" s="312"/>
      <c r="AC627" s="312"/>
      <c r="AD627" s="312"/>
    </row>
    <row r="628">
      <c r="A628" s="312"/>
      <c r="B628" s="344">
        <f t="shared" si="1"/>
        <v>1714.918281</v>
      </c>
      <c r="C628" s="344">
        <v>120.0</v>
      </c>
      <c r="D628" s="369"/>
      <c r="E628" s="344" t="str">
        <f t="shared" si="2"/>
        <v>Saturday</v>
      </c>
      <c r="F628" s="344" t="s">
        <v>554</v>
      </c>
      <c r="G628" s="370"/>
      <c r="H628" s="370"/>
      <c r="I628" s="357">
        <f t="shared" si="3"/>
        <v>0</v>
      </c>
      <c r="J628" s="346">
        <f t="shared" si="4"/>
        <v>0</v>
      </c>
      <c r="K628" s="312"/>
      <c r="L628" s="312"/>
      <c r="M628" s="312"/>
      <c r="N628" s="362"/>
      <c r="O628" s="312"/>
      <c r="P628" s="312"/>
      <c r="S628" s="2">
        <f t="shared" si="5"/>
        <v>0</v>
      </c>
      <c r="AA628" s="312"/>
      <c r="AB628" s="312"/>
      <c r="AC628" s="312"/>
      <c r="AD628" s="312"/>
    </row>
    <row r="629">
      <c r="A629" s="312"/>
      <c r="B629" s="344">
        <f t="shared" si="1"/>
        <v>1714.918281</v>
      </c>
      <c r="C629" s="344">
        <v>120.0</v>
      </c>
      <c r="D629" s="369"/>
      <c r="E629" s="344" t="str">
        <f t="shared" si="2"/>
        <v>Saturday</v>
      </c>
      <c r="F629" s="344" t="s">
        <v>554</v>
      </c>
      <c r="G629" s="370"/>
      <c r="H629" s="370"/>
      <c r="I629" s="357">
        <f t="shared" si="3"/>
        <v>0</v>
      </c>
      <c r="J629" s="346">
        <f t="shared" si="4"/>
        <v>0</v>
      </c>
      <c r="K629" s="312"/>
      <c r="L629" s="312"/>
      <c r="M629" s="312"/>
      <c r="N629" s="362"/>
      <c r="O629" s="312"/>
      <c r="P629" s="312"/>
      <c r="S629" s="2">
        <f t="shared" si="5"/>
        <v>0</v>
      </c>
      <c r="AA629" s="312"/>
      <c r="AB629" s="312"/>
      <c r="AC629" s="312"/>
      <c r="AD629" s="312"/>
    </row>
    <row r="630">
      <c r="A630" s="312"/>
      <c r="B630" s="344">
        <f t="shared" si="1"/>
        <v>1714.918281</v>
      </c>
      <c r="C630" s="344">
        <v>120.0</v>
      </c>
      <c r="D630" s="369"/>
      <c r="E630" s="344" t="str">
        <f t="shared" si="2"/>
        <v>Saturday</v>
      </c>
      <c r="F630" s="344" t="s">
        <v>554</v>
      </c>
      <c r="G630" s="370"/>
      <c r="H630" s="370"/>
      <c r="I630" s="357">
        <f t="shared" si="3"/>
        <v>0</v>
      </c>
      <c r="J630" s="346">
        <f t="shared" si="4"/>
        <v>0</v>
      </c>
      <c r="K630" s="312"/>
      <c r="L630" s="312"/>
      <c r="M630" s="312"/>
      <c r="N630" s="362"/>
      <c r="O630" s="312"/>
      <c r="P630" s="312"/>
      <c r="S630" s="2">
        <f t="shared" si="5"/>
        <v>0</v>
      </c>
      <c r="AA630" s="312"/>
      <c r="AB630" s="312"/>
      <c r="AC630" s="312"/>
      <c r="AD630" s="312"/>
    </row>
    <row r="631">
      <c r="A631" s="312"/>
      <c r="B631" s="344">
        <f t="shared" si="1"/>
        <v>1714.918281</v>
      </c>
      <c r="C631" s="344">
        <v>120.0</v>
      </c>
      <c r="D631" s="369"/>
      <c r="E631" s="344" t="str">
        <f t="shared" si="2"/>
        <v>Saturday</v>
      </c>
      <c r="F631" s="344" t="s">
        <v>554</v>
      </c>
      <c r="G631" s="370"/>
      <c r="H631" s="370"/>
      <c r="I631" s="357">
        <f t="shared" si="3"/>
        <v>0</v>
      </c>
      <c r="J631" s="346">
        <f t="shared" si="4"/>
        <v>0</v>
      </c>
      <c r="K631" s="312"/>
      <c r="L631" s="312"/>
      <c r="M631" s="312"/>
      <c r="N631" s="362"/>
      <c r="O631" s="312"/>
      <c r="P631" s="312"/>
      <c r="S631" s="2">
        <f t="shared" si="5"/>
        <v>0</v>
      </c>
      <c r="AA631" s="312"/>
      <c r="AB631" s="312"/>
      <c r="AC631" s="312"/>
      <c r="AD631" s="312"/>
    </row>
    <row r="632">
      <c r="A632" s="312"/>
      <c r="B632" s="344">
        <f t="shared" si="1"/>
        <v>1714.918281</v>
      </c>
      <c r="C632" s="344">
        <v>120.0</v>
      </c>
      <c r="D632" s="369"/>
      <c r="E632" s="344" t="str">
        <f t="shared" si="2"/>
        <v>Saturday</v>
      </c>
      <c r="F632" s="344" t="s">
        <v>554</v>
      </c>
      <c r="G632" s="370"/>
      <c r="H632" s="370"/>
      <c r="I632" s="357">
        <f t="shared" si="3"/>
        <v>0</v>
      </c>
      <c r="J632" s="346">
        <f t="shared" si="4"/>
        <v>0</v>
      </c>
      <c r="K632" s="312"/>
      <c r="L632" s="312"/>
      <c r="M632" s="312"/>
      <c r="N632" s="362"/>
      <c r="O632" s="312"/>
      <c r="P632" s="312"/>
      <c r="S632" s="2">
        <f t="shared" si="5"/>
        <v>0</v>
      </c>
      <c r="AA632" s="312"/>
      <c r="AB632" s="312"/>
      <c r="AC632" s="312"/>
      <c r="AD632" s="312"/>
    </row>
    <row r="633">
      <c r="A633" s="312"/>
      <c r="B633" s="344">
        <f t="shared" si="1"/>
        <v>1714.918281</v>
      </c>
      <c r="C633" s="344">
        <v>120.0</v>
      </c>
      <c r="D633" s="369"/>
      <c r="E633" s="344" t="str">
        <f t="shared" si="2"/>
        <v>Saturday</v>
      </c>
      <c r="F633" s="344" t="s">
        <v>554</v>
      </c>
      <c r="G633" s="370"/>
      <c r="H633" s="370"/>
      <c r="I633" s="357">
        <f t="shared" si="3"/>
        <v>0</v>
      </c>
      <c r="J633" s="346">
        <f t="shared" si="4"/>
        <v>0</v>
      </c>
      <c r="K633" s="312"/>
      <c r="L633" s="312"/>
      <c r="M633" s="312"/>
      <c r="N633" s="362"/>
      <c r="O633" s="312"/>
      <c r="P633" s="312"/>
      <c r="S633" s="2">
        <f t="shared" si="5"/>
        <v>0</v>
      </c>
      <c r="AA633" s="312"/>
      <c r="AB633" s="312"/>
      <c r="AC633" s="312"/>
      <c r="AD633" s="312"/>
    </row>
    <row r="634">
      <c r="A634" s="312"/>
      <c r="B634" s="344">
        <f t="shared" si="1"/>
        <v>1714.918281</v>
      </c>
      <c r="C634" s="344">
        <v>120.0</v>
      </c>
      <c r="D634" s="369"/>
      <c r="E634" s="344" t="str">
        <f t="shared" si="2"/>
        <v>Saturday</v>
      </c>
      <c r="F634" s="344" t="s">
        <v>554</v>
      </c>
      <c r="G634" s="370"/>
      <c r="H634" s="370"/>
      <c r="I634" s="357">
        <f t="shared" si="3"/>
        <v>0</v>
      </c>
      <c r="J634" s="346">
        <f t="shared" si="4"/>
        <v>0</v>
      </c>
      <c r="K634" s="312"/>
      <c r="L634" s="312"/>
      <c r="M634" s="312"/>
      <c r="N634" s="362"/>
      <c r="O634" s="312"/>
      <c r="P634" s="312"/>
      <c r="S634" s="2">
        <f t="shared" si="5"/>
        <v>0</v>
      </c>
      <c r="AA634" s="312"/>
      <c r="AB634" s="312"/>
      <c r="AC634" s="312"/>
      <c r="AD634" s="312"/>
    </row>
    <row r="635">
      <c r="A635" s="312"/>
      <c r="B635" s="344">
        <f t="shared" si="1"/>
        <v>1714.918281</v>
      </c>
      <c r="C635" s="344">
        <v>120.0</v>
      </c>
      <c r="D635" s="369"/>
      <c r="E635" s="344" t="str">
        <f t="shared" si="2"/>
        <v>Saturday</v>
      </c>
      <c r="F635" s="344" t="s">
        <v>554</v>
      </c>
      <c r="G635" s="370"/>
      <c r="H635" s="370"/>
      <c r="I635" s="357">
        <f t="shared" si="3"/>
        <v>0</v>
      </c>
      <c r="J635" s="346">
        <f t="shared" si="4"/>
        <v>0</v>
      </c>
      <c r="K635" s="312"/>
      <c r="L635" s="312"/>
      <c r="M635" s="312"/>
      <c r="N635" s="362"/>
      <c r="O635" s="312"/>
      <c r="P635" s="312"/>
      <c r="S635" s="2">
        <f t="shared" si="5"/>
        <v>0</v>
      </c>
      <c r="AA635" s="312"/>
      <c r="AB635" s="312"/>
      <c r="AC635" s="312"/>
      <c r="AD635" s="312"/>
    </row>
    <row r="636">
      <c r="A636" s="312"/>
      <c r="B636" s="344">
        <f t="shared" si="1"/>
        <v>1714.918281</v>
      </c>
      <c r="C636" s="344">
        <v>120.0</v>
      </c>
      <c r="D636" s="369"/>
      <c r="E636" s="344" t="str">
        <f t="shared" si="2"/>
        <v>Saturday</v>
      </c>
      <c r="F636" s="344" t="s">
        <v>554</v>
      </c>
      <c r="G636" s="370"/>
      <c r="H636" s="370"/>
      <c r="I636" s="357">
        <f t="shared" si="3"/>
        <v>0</v>
      </c>
      <c r="J636" s="346">
        <f t="shared" si="4"/>
        <v>0</v>
      </c>
      <c r="K636" s="312"/>
      <c r="L636" s="312"/>
      <c r="M636" s="312"/>
      <c r="N636" s="362"/>
      <c r="O636" s="312"/>
      <c r="P636" s="312"/>
      <c r="S636" s="2">
        <f t="shared" si="5"/>
        <v>0</v>
      </c>
      <c r="AA636" s="312"/>
      <c r="AB636" s="312"/>
      <c r="AC636" s="312"/>
      <c r="AD636" s="312"/>
    </row>
    <row r="637">
      <c r="A637" s="312"/>
      <c r="B637" s="344">
        <f t="shared" si="1"/>
        <v>1714.918281</v>
      </c>
      <c r="C637" s="344">
        <v>120.0</v>
      </c>
      <c r="D637" s="369"/>
      <c r="E637" s="344" t="str">
        <f t="shared" si="2"/>
        <v>Saturday</v>
      </c>
      <c r="F637" s="344" t="s">
        <v>554</v>
      </c>
      <c r="G637" s="370"/>
      <c r="H637" s="370"/>
      <c r="I637" s="357">
        <f t="shared" si="3"/>
        <v>0</v>
      </c>
      <c r="J637" s="346">
        <f t="shared" si="4"/>
        <v>0</v>
      </c>
      <c r="K637" s="312"/>
      <c r="L637" s="312"/>
      <c r="M637" s="312"/>
      <c r="N637" s="362"/>
      <c r="O637" s="312"/>
      <c r="P637" s="312"/>
      <c r="S637" s="2">
        <f t="shared" si="5"/>
        <v>0</v>
      </c>
      <c r="AA637" s="312"/>
      <c r="AB637" s="312"/>
      <c r="AC637" s="312"/>
      <c r="AD637" s="312"/>
    </row>
    <row r="638">
      <c r="A638" s="312"/>
      <c r="B638" s="344">
        <f t="shared" si="1"/>
        <v>1714.918281</v>
      </c>
      <c r="C638" s="344">
        <v>120.0</v>
      </c>
      <c r="D638" s="369"/>
      <c r="E638" s="344" t="str">
        <f t="shared" si="2"/>
        <v>Saturday</v>
      </c>
      <c r="F638" s="344" t="s">
        <v>554</v>
      </c>
      <c r="G638" s="370"/>
      <c r="H638" s="370"/>
      <c r="I638" s="357">
        <f t="shared" si="3"/>
        <v>0</v>
      </c>
      <c r="J638" s="346">
        <f t="shared" si="4"/>
        <v>0</v>
      </c>
      <c r="K638" s="312"/>
      <c r="L638" s="312"/>
      <c r="M638" s="312"/>
      <c r="N638" s="362"/>
      <c r="O638" s="312"/>
      <c r="P638" s="312"/>
      <c r="S638" s="2">
        <f t="shared" si="5"/>
        <v>0</v>
      </c>
      <c r="AA638" s="312"/>
      <c r="AB638" s="312"/>
      <c r="AC638" s="312"/>
      <c r="AD638" s="312"/>
    </row>
    <row r="639">
      <c r="A639" s="312"/>
      <c r="B639" s="344">
        <f t="shared" si="1"/>
        <v>1714.918281</v>
      </c>
      <c r="C639" s="344">
        <v>120.0</v>
      </c>
      <c r="D639" s="369"/>
      <c r="E639" s="344" t="str">
        <f t="shared" si="2"/>
        <v>Saturday</v>
      </c>
      <c r="F639" s="344" t="s">
        <v>554</v>
      </c>
      <c r="G639" s="370"/>
      <c r="H639" s="370"/>
      <c r="I639" s="357">
        <f t="shared" si="3"/>
        <v>0</v>
      </c>
      <c r="J639" s="346">
        <f t="shared" si="4"/>
        <v>0</v>
      </c>
      <c r="K639" s="312"/>
      <c r="L639" s="312"/>
      <c r="M639" s="312"/>
      <c r="N639" s="362"/>
      <c r="O639" s="312"/>
      <c r="P639" s="312"/>
      <c r="S639" s="2">
        <f t="shared" si="5"/>
        <v>0</v>
      </c>
      <c r="AA639" s="312"/>
      <c r="AB639" s="312"/>
      <c r="AC639" s="312"/>
      <c r="AD639" s="312"/>
    </row>
    <row r="640">
      <c r="A640" s="312"/>
      <c r="B640" s="344">
        <f t="shared" si="1"/>
        <v>1714.918281</v>
      </c>
      <c r="C640" s="344">
        <v>120.0</v>
      </c>
      <c r="D640" s="369"/>
      <c r="E640" s="344" t="str">
        <f t="shared" si="2"/>
        <v>Saturday</v>
      </c>
      <c r="F640" s="344" t="s">
        <v>554</v>
      </c>
      <c r="G640" s="370"/>
      <c r="H640" s="370"/>
      <c r="I640" s="357">
        <f t="shared" si="3"/>
        <v>0</v>
      </c>
      <c r="J640" s="346">
        <f t="shared" si="4"/>
        <v>0</v>
      </c>
      <c r="K640" s="312"/>
      <c r="L640" s="312"/>
      <c r="M640" s="312"/>
      <c r="N640" s="362"/>
      <c r="O640" s="312"/>
      <c r="P640" s="312"/>
      <c r="S640" s="2">
        <f t="shared" si="5"/>
        <v>0</v>
      </c>
      <c r="AA640" s="312"/>
      <c r="AB640" s="312"/>
      <c r="AC640" s="312"/>
      <c r="AD640" s="312"/>
    </row>
    <row r="641">
      <c r="A641" s="312"/>
      <c r="B641" s="344">
        <f t="shared" si="1"/>
        <v>1714.918281</v>
      </c>
      <c r="C641" s="344">
        <v>120.0</v>
      </c>
      <c r="D641" s="369"/>
      <c r="E641" s="344" t="str">
        <f t="shared" si="2"/>
        <v>Saturday</v>
      </c>
      <c r="F641" s="344" t="s">
        <v>554</v>
      </c>
      <c r="G641" s="370"/>
      <c r="H641" s="370"/>
      <c r="I641" s="357">
        <f t="shared" si="3"/>
        <v>0</v>
      </c>
      <c r="J641" s="346">
        <f t="shared" si="4"/>
        <v>0</v>
      </c>
      <c r="K641" s="312"/>
      <c r="L641" s="312"/>
      <c r="M641" s="312"/>
      <c r="N641" s="362"/>
      <c r="O641" s="312"/>
      <c r="P641" s="312"/>
      <c r="S641" s="2">
        <f t="shared" si="5"/>
        <v>0</v>
      </c>
      <c r="AA641" s="312"/>
      <c r="AB641" s="312"/>
      <c r="AC641" s="312"/>
      <c r="AD641" s="312"/>
    </row>
    <row r="642">
      <c r="A642" s="312"/>
      <c r="B642" s="344">
        <f t="shared" si="1"/>
        <v>1714.918281</v>
      </c>
      <c r="C642" s="344">
        <v>120.0</v>
      </c>
      <c r="D642" s="369"/>
      <c r="E642" s="344" t="str">
        <f t="shared" si="2"/>
        <v>Saturday</v>
      </c>
      <c r="F642" s="344" t="s">
        <v>554</v>
      </c>
      <c r="G642" s="370"/>
      <c r="H642" s="370"/>
      <c r="I642" s="357">
        <f t="shared" si="3"/>
        <v>0</v>
      </c>
      <c r="J642" s="346">
        <f t="shared" si="4"/>
        <v>0</v>
      </c>
      <c r="K642" s="312"/>
      <c r="L642" s="312"/>
      <c r="M642" s="312"/>
      <c r="N642" s="362"/>
      <c r="O642" s="312"/>
      <c r="P642" s="312"/>
      <c r="S642" s="2">
        <f t="shared" si="5"/>
        <v>0</v>
      </c>
      <c r="AA642" s="312"/>
      <c r="AB642" s="312"/>
      <c r="AC642" s="312"/>
      <c r="AD642" s="312"/>
    </row>
    <row r="643">
      <c r="A643" s="312"/>
      <c r="B643" s="344">
        <f t="shared" si="1"/>
        <v>1714.918281</v>
      </c>
      <c r="C643" s="344">
        <v>120.0</v>
      </c>
      <c r="D643" s="369"/>
      <c r="E643" s="344" t="str">
        <f t="shared" si="2"/>
        <v>Saturday</v>
      </c>
      <c r="F643" s="344" t="s">
        <v>554</v>
      </c>
      <c r="G643" s="370"/>
      <c r="H643" s="370"/>
      <c r="I643" s="357">
        <f t="shared" si="3"/>
        <v>0</v>
      </c>
      <c r="J643" s="346">
        <f t="shared" si="4"/>
        <v>0</v>
      </c>
      <c r="K643" s="312"/>
      <c r="L643" s="312"/>
      <c r="M643" s="312"/>
      <c r="N643" s="362"/>
      <c r="O643" s="312"/>
      <c r="P643" s="312"/>
      <c r="S643" s="2">
        <f t="shared" si="5"/>
        <v>0</v>
      </c>
      <c r="AA643" s="312"/>
      <c r="AB643" s="312"/>
      <c r="AC643" s="312"/>
      <c r="AD643" s="312"/>
    </row>
    <row r="644">
      <c r="A644" s="312"/>
      <c r="B644" s="344">
        <f t="shared" si="1"/>
        <v>1714.918281</v>
      </c>
      <c r="C644" s="344">
        <v>120.0</v>
      </c>
      <c r="D644" s="369"/>
      <c r="E644" s="344" t="str">
        <f t="shared" si="2"/>
        <v>Saturday</v>
      </c>
      <c r="F644" s="344" t="s">
        <v>554</v>
      </c>
      <c r="G644" s="370"/>
      <c r="H644" s="370"/>
      <c r="I644" s="357">
        <f t="shared" si="3"/>
        <v>0</v>
      </c>
      <c r="J644" s="346">
        <f t="shared" si="4"/>
        <v>0</v>
      </c>
      <c r="K644" s="312"/>
      <c r="L644" s="312"/>
      <c r="M644" s="312"/>
      <c r="N644" s="362"/>
      <c r="O644" s="312"/>
      <c r="P644" s="312"/>
      <c r="S644" s="2">
        <f t="shared" si="5"/>
        <v>0</v>
      </c>
      <c r="AA644" s="312"/>
      <c r="AB644" s="312"/>
      <c r="AC644" s="312"/>
      <c r="AD644" s="312"/>
    </row>
    <row r="645">
      <c r="A645" s="312"/>
      <c r="B645" s="344">
        <f t="shared" si="1"/>
        <v>1714.918281</v>
      </c>
      <c r="C645" s="344">
        <v>120.0</v>
      </c>
      <c r="D645" s="369"/>
      <c r="E645" s="344" t="str">
        <f t="shared" si="2"/>
        <v>Saturday</v>
      </c>
      <c r="F645" s="344" t="s">
        <v>554</v>
      </c>
      <c r="G645" s="370"/>
      <c r="H645" s="370"/>
      <c r="I645" s="357">
        <f t="shared" si="3"/>
        <v>0</v>
      </c>
      <c r="J645" s="346">
        <f t="shared" si="4"/>
        <v>0</v>
      </c>
      <c r="K645" s="312"/>
      <c r="L645" s="312"/>
      <c r="M645" s="312"/>
      <c r="N645" s="362"/>
      <c r="O645" s="312"/>
      <c r="P645" s="312"/>
      <c r="S645" s="2">
        <f t="shared" si="5"/>
        <v>0</v>
      </c>
      <c r="AA645" s="312"/>
      <c r="AB645" s="312"/>
      <c r="AC645" s="312"/>
      <c r="AD645" s="312"/>
    </row>
    <row r="646">
      <c r="A646" s="312"/>
      <c r="B646" s="344">
        <f t="shared" si="1"/>
        <v>1714.918281</v>
      </c>
      <c r="C646" s="344">
        <v>120.0</v>
      </c>
      <c r="D646" s="369"/>
      <c r="E646" s="344" t="str">
        <f t="shared" si="2"/>
        <v>Saturday</v>
      </c>
      <c r="F646" s="344" t="s">
        <v>554</v>
      </c>
      <c r="G646" s="370"/>
      <c r="H646" s="370"/>
      <c r="I646" s="357">
        <f t="shared" si="3"/>
        <v>0</v>
      </c>
      <c r="J646" s="346">
        <f t="shared" si="4"/>
        <v>0</v>
      </c>
      <c r="K646" s="312"/>
      <c r="L646" s="312"/>
      <c r="M646" s="312"/>
      <c r="N646" s="362"/>
      <c r="O646" s="312"/>
      <c r="P646" s="312"/>
      <c r="S646" s="2">
        <f t="shared" si="5"/>
        <v>0</v>
      </c>
      <c r="AA646" s="312"/>
      <c r="AB646" s="312"/>
      <c r="AC646" s="312"/>
      <c r="AD646" s="312"/>
    </row>
    <row r="647">
      <c r="A647" s="312"/>
      <c r="B647" s="344">
        <f t="shared" si="1"/>
        <v>1714.918281</v>
      </c>
      <c r="C647" s="344">
        <v>120.0</v>
      </c>
      <c r="D647" s="369"/>
      <c r="E647" s="344" t="str">
        <f t="shared" si="2"/>
        <v>Saturday</v>
      </c>
      <c r="F647" s="344" t="s">
        <v>554</v>
      </c>
      <c r="G647" s="370"/>
      <c r="H647" s="370"/>
      <c r="I647" s="357">
        <f t="shared" si="3"/>
        <v>0</v>
      </c>
      <c r="J647" s="346">
        <f t="shared" si="4"/>
        <v>0</v>
      </c>
      <c r="K647" s="312"/>
      <c r="L647" s="312"/>
      <c r="M647" s="312"/>
      <c r="N647" s="362"/>
      <c r="O647" s="312"/>
      <c r="P647" s="312"/>
      <c r="S647" s="2">
        <f t="shared" si="5"/>
        <v>0</v>
      </c>
      <c r="AA647" s="312"/>
      <c r="AB647" s="312"/>
      <c r="AC647" s="312"/>
      <c r="AD647" s="312"/>
    </row>
    <row r="648">
      <c r="A648" s="312"/>
      <c r="B648" s="344">
        <f t="shared" si="1"/>
        <v>1714.918281</v>
      </c>
      <c r="C648" s="344">
        <v>120.0</v>
      </c>
      <c r="D648" s="369"/>
      <c r="E648" s="344" t="str">
        <f t="shared" si="2"/>
        <v>Saturday</v>
      </c>
      <c r="F648" s="344" t="s">
        <v>554</v>
      </c>
      <c r="G648" s="370"/>
      <c r="H648" s="370"/>
      <c r="I648" s="357">
        <f t="shared" si="3"/>
        <v>0</v>
      </c>
      <c r="J648" s="346">
        <f t="shared" si="4"/>
        <v>0</v>
      </c>
      <c r="K648" s="312"/>
      <c r="L648" s="312"/>
      <c r="M648" s="312"/>
      <c r="N648" s="362"/>
      <c r="O648" s="312"/>
      <c r="P648" s="312"/>
      <c r="S648" s="2">
        <f t="shared" si="5"/>
        <v>0</v>
      </c>
      <c r="AA648" s="312"/>
      <c r="AB648" s="312"/>
      <c r="AC648" s="312"/>
      <c r="AD648" s="312"/>
    </row>
    <row r="649">
      <c r="A649" s="312"/>
      <c r="B649" s="344">
        <f t="shared" si="1"/>
        <v>1714.918281</v>
      </c>
      <c r="C649" s="344">
        <v>120.0</v>
      </c>
      <c r="D649" s="369"/>
      <c r="E649" s="344" t="str">
        <f t="shared" si="2"/>
        <v>Saturday</v>
      </c>
      <c r="F649" s="344" t="s">
        <v>554</v>
      </c>
      <c r="G649" s="370"/>
      <c r="H649" s="370"/>
      <c r="I649" s="357">
        <f t="shared" si="3"/>
        <v>0</v>
      </c>
      <c r="J649" s="346">
        <f t="shared" si="4"/>
        <v>0</v>
      </c>
      <c r="K649" s="312"/>
      <c r="L649" s="312"/>
      <c r="M649" s="312"/>
      <c r="N649" s="362"/>
      <c r="O649" s="312"/>
      <c r="P649" s="312"/>
      <c r="S649" s="2">
        <f t="shared" si="5"/>
        <v>0</v>
      </c>
      <c r="AA649" s="312"/>
      <c r="AB649" s="312"/>
      <c r="AC649" s="312"/>
      <c r="AD649" s="312"/>
    </row>
    <row r="650">
      <c r="A650" s="312"/>
      <c r="B650" s="344">
        <f t="shared" si="1"/>
        <v>1714.918281</v>
      </c>
      <c r="C650" s="344">
        <v>120.0</v>
      </c>
      <c r="D650" s="369"/>
      <c r="E650" s="344" t="str">
        <f t="shared" si="2"/>
        <v>Saturday</v>
      </c>
      <c r="F650" s="344" t="s">
        <v>554</v>
      </c>
      <c r="G650" s="370"/>
      <c r="H650" s="370"/>
      <c r="I650" s="357">
        <f t="shared" si="3"/>
        <v>0</v>
      </c>
      <c r="J650" s="346">
        <f t="shared" si="4"/>
        <v>0</v>
      </c>
      <c r="K650" s="312"/>
      <c r="L650" s="312"/>
      <c r="M650" s="312"/>
      <c r="N650" s="362"/>
      <c r="O650" s="312"/>
      <c r="P650" s="312"/>
      <c r="S650" s="2">
        <f t="shared" si="5"/>
        <v>0</v>
      </c>
      <c r="AA650" s="312"/>
      <c r="AB650" s="312"/>
      <c r="AC650" s="312"/>
      <c r="AD650" s="312"/>
    </row>
    <row r="651">
      <c r="A651" s="312"/>
      <c r="B651" s="344">
        <f t="shared" si="1"/>
        <v>1714.918281</v>
      </c>
      <c r="C651" s="344">
        <v>120.0</v>
      </c>
      <c r="D651" s="369"/>
      <c r="E651" s="344" t="str">
        <f t="shared" si="2"/>
        <v>Saturday</v>
      </c>
      <c r="F651" s="344" t="s">
        <v>554</v>
      </c>
      <c r="G651" s="370"/>
      <c r="H651" s="370"/>
      <c r="I651" s="357">
        <f t="shared" si="3"/>
        <v>0</v>
      </c>
      <c r="J651" s="346">
        <f t="shared" si="4"/>
        <v>0</v>
      </c>
      <c r="K651" s="312"/>
      <c r="L651" s="312"/>
      <c r="M651" s="312"/>
      <c r="N651" s="362"/>
      <c r="O651" s="312"/>
      <c r="P651" s="312"/>
      <c r="S651" s="2">
        <f t="shared" si="5"/>
        <v>0</v>
      </c>
      <c r="AA651" s="312"/>
      <c r="AB651" s="312"/>
      <c r="AC651" s="312"/>
      <c r="AD651" s="312"/>
    </row>
    <row r="652">
      <c r="A652" s="312"/>
      <c r="B652" s="344">
        <f t="shared" si="1"/>
        <v>1714.918281</v>
      </c>
      <c r="C652" s="344">
        <v>120.0</v>
      </c>
      <c r="D652" s="369"/>
      <c r="E652" s="344" t="str">
        <f t="shared" si="2"/>
        <v>Saturday</v>
      </c>
      <c r="F652" s="344" t="s">
        <v>554</v>
      </c>
      <c r="G652" s="370"/>
      <c r="H652" s="370"/>
      <c r="I652" s="357">
        <f t="shared" si="3"/>
        <v>0</v>
      </c>
      <c r="J652" s="346">
        <f t="shared" si="4"/>
        <v>0</v>
      </c>
      <c r="K652" s="312"/>
      <c r="L652" s="312"/>
      <c r="M652" s="312"/>
      <c r="N652" s="362"/>
      <c r="O652" s="312"/>
      <c r="P652" s="312"/>
      <c r="S652" s="2">
        <f t="shared" si="5"/>
        <v>0</v>
      </c>
      <c r="AA652" s="312"/>
      <c r="AB652" s="312"/>
      <c r="AC652" s="312"/>
      <c r="AD652" s="312"/>
    </row>
    <row r="653">
      <c r="A653" s="312"/>
      <c r="B653" s="344">
        <f t="shared" si="1"/>
        <v>1714.918281</v>
      </c>
      <c r="C653" s="344">
        <v>120.0</v>
      </c>
      <c r="D653" s="369"/>
      <c r="E653" s="344" t="str">
        <f t="shared" si="2"/>
        <v>Saturday</v>
      </c>
      <c r="F653" s="344" t="s">
        <v>554</v>
      </c>
      <c r="G653" s="370"/>
      <c r="H653" s="370"/>
      <c r="I653" s="357">
        <f t="shared" si="3"/>
        <v>0</v>
      </c>
      <c r="J653" s="346">
        <f t="shared" si="4"/>
        <v>0</v>
      </c>
      <c r="K653" s="312"/>
      <c r="L653" s="312"/>
      <c r="M653" s="312"/>
      <c r="N653" s="362"/>
      <c r="O653" s="312"/>
      <c r="P653" s="312"/>
      <c r="S653" s="2">
        <f t="shared" si="5"/>
        <v>0</v>
      </c>
      <c r="AA653" s="312"/>
      <c r="AB653" s="312"/>
      <c r="AC653" s="312"/>
      <c r="AD653" s="312"/>
    </row>
    <row r="654">
      <c r="A654" s="312"/>
      <c r="B654" s="344">
        <f t="shared" si="1"/>
        <v>1714.918281</v>
      </c>
      <c r="C654" s="344">
        <v>120.0</v>
      </c>
      <c r="D654" s="369"/>
      <c r="E654" s="344" t="str">
        <f t="shared" si="2"/>
        <v>Saturday</v>
      </c>
      <c r="F654" s="344" t="s">
        <v>554</v>
      </c>
      <c r="G654" s="370"/>
      <c r="H654" s="370"/>
      <c r="I654" s="357">
        <f t="shared" si="3"/>
        <v>0</v>
      </c>
      <c r="J654" s="346">
        <f t="shared" si="4"/>
        <v>0</v>
      </c>
      <c r="K654" s="312"/>
      <c r="L654" s="312"/>
      <c r="M654" s="312"/>
      <c r="N654" s="362"/>
      <c r="O654" s="312"/>
      <c r="P654" s="312"/>
      <c r="S654" s="2">
        <f t="shared" si="5"/>
        <v>0</v>
      </c>
      <c r="AA654" s="312"/>
      <c r="AB654" s="312"/>
      <c r="AC654" s="312"/>
      <c r="AD654" s="312"/>
    </row>
    <row r="655">
      <c r="A655" s="312"/>
      <c r="B655" s="344">
        <f t="shared" si="1"/>
        <v>1714.918281</v>
      </c>
      <c r="C655" s="344">
        <v>120.0</v>
      </c>
      <c r="D655" s="369"/>
      <c r="E655" s="344" t="str">
        <f t="shared" si="2"/>
        <v>Saturday</v>
      </c>
      <c r="F655" s="344" t="s">
        <v>554</v>
      </c>
      <c r="G655" s="370"/>
      <c r="H655" s="370"/>
      <c r="I655" s="357">
        <f t="shared" si="3"/>
        <v>0</v>
      </c>
      <c r="J655" s="346">
        <f t="shared" si="4"/>
        <v>0</v>
      </c>
      <c r="K655" s="312"/>
      <c r="L655" s="312"/>
      <c r="M655" s="312"/>
      <c r="N655" s="362"/>
      <c r="O655" s="312"/>
      <c r="P655" s="312"/>
      <c r="S655" s="2">
        <f t="shared" si="5"/>
        <v>0</v>
      </c>
      <c r="AA655" s="312"/>
      <c r="AB655" s="312"/>
      <c r="AC655" s="312"/>
      <c r="AD655" s="312"/>
    </row>
    <row r="656">
      <c r="A656" s="312"/>
      <c r="B656" s="344">
        <f t="shared" si="1"/>
        <v>1714.918281</v>
      </c>
      <c r="C656" s="344">
        <v>120.0</v>
      </c>
      <c r="D656" s="369"/>
      <c r="E656" s="344" t="str">
        <f t="shared" si="2"/>
        <v>Saturday</v>
      </c>
      <c r="F656" s="344" t="s">
        <v>554</v>
      </c>
      <c r="G656" s="370"/>
      <c r="H656" s="370"/>
      <c r="I656" s="357">
        <f t="shared" si="3"/>
        <v>0</v>
      </c>
      <c r="J656" s="346">
        <f t="shared" si="4"/>
        <v>0</v>
      </c>
      <c r="K656" s="312"/>
      <c r="L656" s="312"/>
      <c r="M656" s="312"/>
      <c r="N656" s="362"/>
      <c r="O656" s="312"/>
      <c r="P656" s="312"/>
      <c r="S656" s="2">
        <f t="shared" si="5"/>
        <v>0</v>
      </c>
      <c r="AA656" s="312"/>
      <c r="AB656" s="312"/>
      <c r="AC656" s="312"/>
      <c r="AD656" s="312"/>
    </row>
    <row r="657">
      <c r="A657" s="312"/>
      <c r="B657" s="344">
        <f t="shared" si="1"/>
        <v>1714.918281</v>
      </c>
      <c r="C657" s="344">
        <v>120.0</v>
      </c>
      <c r="D657" s="369"/>
      <c r="E657" s="344" t="str">
        <f t="shared" si="2"/>
        <v>Saturday</v>
      </c>
      <c r="F657" s="344" t="s">
        <v>554</v>
      </c>
      <c r="G657" s="370"/>
      <c r="H657" s="370"/>
      <c r="I657" s="357">
        <f t="shared" si="3"/>
        <v>0</v>
      </c>
      <c r="J657" s="346">
        <f t="shared" si="4"/>
        <v>0</v>
      </c>
      <c r="K657" s="312"/>
      <c r="L657" s="312"/>
      <c r="M657" s="312"/>
      <c r="N657" s="362"/>
      <c r="O657" s="312"/>
      <c r="P657" s="312"/>
      <c r="S657" s="2">
        <f t="shared" si="5"/>
        <v>0</v>
      </c>
      <c r="AA657" s="312"/>
      <c r="AB657" s="312"/>
      <c r="AC657" s="312"/>
      <c r="AD657" s="312"/>
    </row>
    <row r="658">
      <c r="A658" s="312"/>
      <c r="B658" s="344">
        <f t="shared" si="1"/>
        <v>1714.918281</v>
      </c>
      <c r="C658" s="344">
        <v>120.0</v>
      </c>
      <c r="D658" s="369"/>
      <c r="E658" s="344" t="str">
        <f t="shared" si="2"/>
        <v>Saturday</v>
      </c>
      <c r="F658" s="344" t="s">
        <v>554</v>
      </c>
      <c r="G658" s="370"/>
      <c r="H658" s="370"/>
      <c r="I658" s="357">
        <f t="shared" si="3"/>
        <v>0</v>
      </c>
      <c r="J658" s="346">
        <f t="shared" si="4"/>
        <v>0</v>
      </c>
      <c r="K658" s="312"/>
      <c r="L658" s="312"/>
      <c r="M658" s="312"/>
      <c r="N658" s="362"/>
      <c r="O658" s="312"/>
      <c r="P658" s="312"/>
      <c r="S658" s="2">
        <f t="shared" si="5"/>
        <v>0</v>
      </c>
      <c r="AA658" s="312"/>
      <c r="AB658" s="312"/>
      <c r="AC658" s="312"/>
      <c r="AD658" s="312"/>
    </row>
    <row r="659">
      <c r="A659" s="312"/>
      <c r="B659" s="344">
        <f t="shared" si="1"/>
        <v>1714.918281</v>
      </c>
      <c r="C659" s="344">
        <v>120.0</v>
      </c>
      <c r="D659" s="369"/>
      <c r="E659" s="344" t="str">
        <f t="shared" si="2"/>
        <v>Saturday</v>
      </c>
      <c r="F659" s="344" t="s">
        <v>554</v>
      </c>
      <c r="G659" s="370"/>
      <c r="H659" s="370"/>
      <c r="I659" s="357">
        <f t="shared" si="3"/>
        <v>0</v>
      </c>
      <c r="J659" s="346">
        <f t="shared" si="4"/>
        <v>0</v>
      </c>
      <c r="K659" s="312"/>
      <c r="L659" s="312"/>
      <c r="M659" s="312"/>
      <c r="N659" s="362"/>
      <c r="O659" s="312"/>
      <c r="P659" s="312"/>
      <c r="S659" s="2">
        <f t="shared" si="5"/>
        <v>0</v>
      </c>
      <c r="AA659" s="312"/>
      <c r="AB659" s="312"/>
      <c r="AC659" s="312"/>
      <c r="AD659" s="312"/>
    </row>
    <row r="660">
      <c r="A660" s="312"/>
      <c r="B660" s="344">
        <f t="shared" si="1"/>
        <v>1714.918281</v>
      </c>
      <c r="C660" s="344">
        <v>120.0</v>
      </c>
      <c r="D660" s="369"/>
      <c r="E660" s="344" t="str">
        <f t="shared" si="2"/>
        <v>Saturday</v>
      </c>
      <c r="F660" s="344" t="s">
        <v>554</v>
      </c>
      <c r="G660" s="370"/>
      <c r="H660" s="370"/>
      <c r="I660" s="357">
        <f t="shared" si="3"/>
        <v>0</v>
      </c>
      <c r="J660" s="346">
        <f t="shared" si="4"/>
        <v>0</v>
      </c>
      <c r="K660" s="312"/>
      <c r="L660" s="312"/>
      <c r="M660" s="312"/>
      <c r="N660" s="362"/>
      <c r="O660" s="312"/>
      <c r="P660" s="312"/>
      <c r="S660" s="2">
        <f t="shared" si="5"/>
        <v>0</v>
      </c>
      <c r="AA660" s="312"/>
      <c r="AB660" s="312"/>
      <c r="AC660" s="312"/>
      <c r="AD660" s="312"/>
    </row>
    <row r="661">
      <c r="A661" s="312"/>
      <c r="B661" s="344">
        <f t="shared" si="1"/>
        <v>1714.918281</v>
      </c>
      <c r="C661" s="344">
        <v>120.0</v>
      </c>
      <c r="D661" s="369"/>
      <c r="E661" s="344" t="str">
        <f t="shared" si="2"/>
        <v>Saturday</v>
      </c>
      <c r="F661" s="344" t="s">
        <v>554</v>
      </c>
      <c r="G661" s="370"/>
      <c r="H661" s="370"/>
      <c r="I661" s="357">
        <f t="shared" si="3"/>
        <v>0</v>
      </c>
      <c r="J661" s="346">
        <f t="shared" si="4"/>
        <v>0</v>
      </c>
      <c r="K661" s="312"/>
      <c r="L661" s="312"/>
      <c r="M661" s="312"/>
      <c r="N661" s="362"/>
      <c r="O661" s="312"/>
      <c r="P661" s="312"/>
      <c r="S661" s="2">
        <f t="shared" si="5"/>
        <v>0</v>
      </c>
      <c r="AA661" s="312"/>
      <c r="AB661" s="312"/>
      <c r="AC661" s="312"/>
      <c r="AD661" s="312"/>
    </row>
    <row r="662">
      <c r="A662" s="312"/>
      <c r="B662" s="344">
        <f t="shared" si="1"/>
        <v>1714.918281</v>
      </c>
      <c r="C662" s="344">
        <v>120.0</v>
      </c>
      <c r="D662" s="369"/>
      <c r="E662" s="344" t="str">
        <f t="shared" si="2"/>
        <v>Saturday</v>
      </c>
      <c r="F662" s="344" t="s">
        <v>554</v>
      </c>
      <c r="G662" s="370"/>
      <c r="H662" s="370"/>
      <c r="I662" s="357">
        <f t="shared" si="3"/>
        <v>0</v>
      </c>
      <c r="J662" s="346">
        <f t="shared" si="4"/>
        <v>0</v>
      </c>
      <c r="K662" s="312"/>
      <c r="L662" s="312"/>
      <c r="M662" s="312"/>
      <c r="N662" s="362"/>
      <c r="O662" s="312"/>
      <c r="P662" s="312"/>
      <c r="S662" s="2">
        <f t="shared" si="5"/>
        <v>0</v>
      </c>
      <c r="AA662" s="312"/>
      <c r="AB662" s="312"/>
      <c r="AC662" s="312"/>
      <c r="AD662" s="312"/>
    </row>
    <row r="663">
      <c r="A663" s="312"/>
      <c r="B663" s="344">
        <f t="shared" si="1"/>
        <v>1714.918281</v>
      </c>
      <c r="C663" s="344">
        <v>120.0</v>
      </c>
      <c r="D663" s="369"/>
      <c r="E663" s="344" t="str">
        <f t="shared" si="2"/>
        <v>Saturday</v>
      </c>
      <c r="F663" s="344" t="s">
        <v>554</v>
      </c>
      <c r="G663" s="370"/>
      <c r="H663" s="370"/>
      <c r="I663" s="357">
        <f t="shared" si="3"/>
        <v>0</v>
      </c>
      <c r="J663" s="346">
        <f t="shared" si="4"/>
        <v>0</v>
      </c>
      <c r="K663" s="312"/>
      <c r="L663" s="312"/>
      <c r="M663" s="312"/>
      <c r="N663" s="362"/>
      <c r="O663" s="312"/>
      <c r="P663" s="312"/>
      <c r="S663" s="2">
        <f t="shared" si="5"/>
        <v>0</v>
      </c>
      <c r="AA663" s="312"/>
      <c r="AB663" s="312"/>
      <c r="AC663" s="312"/>
      <c r="AD663" s="312"/>
    </row>
    <row r="664">
      <c r="A664" s="312"/>
      <c r="B664" s="344">
        <f t="shared" si="1"/>
        <v>1714.918281</v>
      </c>
      <c r="C664" s="344">
        <v>120.0</v>
      </c>
      <c r="D664" s="369"/>
      <c r="E664" s="344" t="str">
        <f t="shared" si="2"/>
        <v>Saturday</v>
      </c>
      <c r="F664" s="344" t="s">
        <v>554</v>
      </c>
      <c r="G664" s="370"/>
      <c r="H664" s="370"/>
      <c r="I664" s="357">
        <f t="shared" si="3"/>
        <v>0</v>
      </c>
      <c r="J664" s="346">
        <f t="shared" si="4"/>
        <v>0</v>
      </c>
      <c r="K664" s="312"/>
      <c r="L664" s="312"/>
      <c r="M664" s="312"/>
      <c r="N664" s="362"/>
      <c r="O664" s="312"/>
      <c r="P664" s="312"/>
      <c r="S664" s="2">
        <f t="shared" si="5"/>
        <v>0</v>
      </c>
      <c r="AA664" s="312"/>
      <c r="AB664" s="312"/>
      <c r="AC664" s="312"/>
      <c r="AD664" s="312"/>
    </row>
    <row r="665">
      <c r="A665" s="312"/>
      <c r="B665" s="344">
        <f t="shared" si="1"/>
        <v>1714.918281</v>
      </c>
      <c r="C665" s="344">
        <v>120.0</v>
      </c>
      <c r="D665" s="369"/>
      <c r="E665" s="344" t="str">
        <f t="shared" si="2"/>
        <v>Saturday</v>
      </c>
      <c r="F665" s="344" t="s">
        <v>554</v>
      </c>
      <c r="G665" s="370"/>
      <c r="H665" s="370"/>
      <c r="I665" s="357">
        <f t="shared" si="3"/>
        <v>0</v>
      </c>
      <c r="J665" s="346">
        <f t="shared" si="4"/>
        <v>0</v>
      </c>
      <c r="K665" s="312"/>
      <c r="L665" s="312"/>
      <c r="M665" s="312"/>
      <c r="N665" s="362"/>
      <c r="O665" s="312"/>
      <c r="P665" s="312"/>
      <c r="S665" s="2">
        <f t="shared" si="5"/>
        <v>0</v>
      </c>
      <c r="AA665" s="312"/>
      <c r="AB665" s="312"/>
      <c r="AC665" s="312"/>
      <c r="AD665" s="312"/>
    </row>
    <row r="666">
      <c r="A666" s="312"/>
      <c r="B666" s="344">
        <f t="shared" si="1"/>
        <v>1714.918281</v>
      </c>
      <c r="C666" s="344">
        <v>120.0</v>
      </c>
      <c r="D666" s="369"/>
      <c r="E666" s="344" t="str">
        <f t="shared" si="2"/>
        <v>Saturday</v>
      </c>
      <c r="F666" s="344" t="s">
        <v>554</v>
      </c>
      <c r="G666" s="370"/>
      <c r="H666" s="370"/>
      <c r="I666" s="357">
        <f t="shared" si="3"/>
        <v>0</v>
      </c>
      <c r="J666" s="346">
        <f t="shared" si="4"/>
        <v>0</v>
      </c>
      <c r="K666" s="312"/>
      <c r="L666" s="312"/>
      <c r="M666" s="312"/>
      <c r="N666" s="362"/>
      <c r="O666" s="312"/>
      <c r="P666" s="312"/>
      <c r="S666" s="2">
        <f t="shared" si="5"/>
        <v>0</v>
      </c>
      <c r="AA666" s="312"/>
      <c r="AB666" s="312"/>
      <c r="AC666" s="312"/>
      <c r="AD666" s="312"/>
    </row>
    <row r="667">
      <c r="A667" s="312"/>
      <c r="B667" s="344">
        <f t="shared" si="1"/>
        <v>1714.918281</v>
      </c>
      <c r="C667" s="344">
        <v>120.0</v>
      </c>
      <c r="D667" s="369"/>
      <c r="E667" s="344" t="str">
        <f t="shared" si="2"/>
        <v>Saturday</v>
      </c>
      <c r="F667" s="344" t="s">
        <v>554</v>
      </c>
      <c r="G667" s="370"/>
      <c r="H667" s="370"/>
      <c r="I667" s="357">
        <f t="shared" si="3"/>
        <v>0</v>
      </c>
      <c r="J667" s="346">
        <f t="shared" si="4"/>
        <v>0</v>
      </c>
      <c r="K667" s="312"/>
      <c r="L667" s="312"/>
      <c r="M667" s="312"/>
      <c r="N667" s="362"/>
      <c r="O667" s="312"/>
      <c r="P667" s="312"/>
      <c r="S667" s="2">
        <f t="shared" si="5"/>
        <v>0</v>
      </c>
      <c r="AA667" s="312"/>
      <c r="AB667" s="312"/>
      <c r="AC667" s="312"/>
      <c r="AD667" s="312"/>
    </row>
    <row r="668">
      <c r="A668" s="312"/>
      <c r="B668" s="344">
        <f t="shared" si="1"/>
        <v>1714.918281</v>
      </c>
      <c r="C668" s="344">
        <v>120.0</v>
      </c>
      <c r="D668" s="369"/>
      <c r="E668" s="344" t="str">
        <f t="shared" si="2"/>
        <v>Saturday</v>
      </c>
      <c r="F668" s="344" t="s">
        <v>554</v>
      </c>
      <c r="G668" s="370"/>
      <c r="H668" s="370"/>
      <c r="I668" s="357">
        <f t="shared" si="3"/>
        <v>0</v>
      </c>
      <c r="J668" s="346">
        <f t="shared" si="4"/>
        <v>0</v>
      </c>
      <c r="K668" s="312"/>
      <c r="L668" s="312"/>
      <c r="M668" s="312"/>
      <c r="N668" s="362"/>
      <c r="O668" s="312"/>
      <c r="P668" s="312"/>
      <c r="S668" s="2">
        <f t="shared" si="5"/>
        <v>0</v>
      </c>
      <c r="AA668" s="312"/>
      <c r="AB668" s="312"/>
      <c r="AC668" s="312"/>
      <c r="AD668" s="312"/>
    </row>
    <row r="669">
      <c r="A669" s="312"/>
      <c r="B669" s="344">
        <f t="shared" si="1"/>
        <v>1714.918281</v>
      </c>
      <c r="C669" s="344">
        <v>120.0</v>
      </c>
      <c r="D669" s="369"/>
      <c r="E669" s="344" t="str">
        <f t="shared" si="2"/>
        <v>Saturday</v>
      </c>
      <c r="F669" s="344" t="s">
        <v>554</v>
      </c>
      <c r="G669" s="370"/>
      <c r="H669" s="370"/>
      <c r="I669" s="357">
        <f t="shared" si="3"/>
        <v>0</v>
      </c>
      <c r="J669" s="346">
        <f t="shared" si="4"/>
        <v>0</v>
      </c>
      <c r="K669" s="312"/>
      <c r="L669" s="312"/>
      <c r="M669" s="312"/>
      <c r="N669" s="362"/>
      <c r="O669" s="312"/>
      <c r="P669" s="312"/>
      <c r="S669" s="2">
        <f t="shared" si="5"/>
        <v>0</v>
      </c>
      <c r="AA669" s="312"/>
      <c r="AB669" s="312"/>
      <c r="AC669" s="312"/>
      <c r="AD669" s="312"/>
    </row>
    <row r="670">
      <c r="A670" s="312"/>
      <c r="B670" s="344">
        <f t="shared" si="1"/>
        <v>1714.918281</v>
      </c>
      <c r="C670" s="344">
        <v>120.0</v>
      </c>
      <c r="D670" s="369"/>
      <c r="E670" s="344" t="str">
        <f t="shared" si="2"/>
        <v>Saturday</v>
      </c>
      <c r="F670" s="344" t="s">
        <v>554</v>
      </c>
      <c r="G670" s="370"/>
      <c r="H670" s="370"/>
      <c r="I670" s="357">
        <f t="shared" si="3"/>
        <v>0</v>
      </c>
      <c r="J670" s="346">
        <f t="shared" si="4"/>
        <v>0</v>
      </c>
      <c r="K670" s="312"/>
      <c r="L670" s="312"/>
      <c r="M670" s="312"/>
      <c r="N670" s="362"/>
      <c r="O670" s="312"/>
      <c r="P670" s="312"/>
      <c r="S670" s="2">
        <f t="shared" si="5"/>
        <v>0</v>
      </c>
      <c r="AA670" s="312"/>
      <c r="AB670" s="312"/>
      <c r="AC670" s="312"/>
      <c r="AD670" s="312"/>
    </row>
    <row r="671">
      <c r="A671" s="312"/>
      <c r="B671" s="344">
        <f t="shared" si="1"/>
        <v>1714.918281</v>
      </c>
      <c r="C671" s="344">
        <v>120.0</v>
      </c>
      <c r="D671" s="369"/>
      <c r="E671" s="344" t="str">
        <f t="shared" si="2"/>
        <v>Saturday</v>
      </c>
      <c r="F671" s="344" t="s">
        <v>554</v>
      </c>
      <c r="G671" s="370"/>
      <c r="H671" s="370"/>
      <c r="I671" s="357">
        <f t="shared" si="3"/>
        <v>0</v>
      </c>
      <c r="J671" s="346">
        <f t="shared" si="4"/>
        <v>0</v>
      </c>
      <c r="K671" s="312"/>
      <c r="L671" s="312"/>
      <c r="M671" s="312"/>
      <c r="N671" s="362"/>
      <c r="O671" s="312"/>
      <c r="P671" s="312"/>
      <c r="S671" s="2">
        <f t="shared" si="5"/>
        <v>0</v>
      </c>
      <c r="AA671" s="312"/>
      <c r="AB671" s="312"/>
      <c r="AC671" s="312"/>
      <c r="AD671" s="312"/>
    </row>
    <row r="672">
      <c r="A672" s="312"/>
      <c r="B672" s="344">
        <f t="shared" si="1"/>
        <v>1714.918281</v>
      </c>
      <c r="C672" s="344">
        <v>120.0</v>
      </c>
      <c r="D672" s="369"/>
      <c r="E672" s="344" t="str">
        <f t="shared" si="2"/>
        <v>Saturday</v>
      </c>
      <c r="F672" s="344" t="s">
        <v>554</v>
      </c>
      <c r="G672" s="370"/>
      <c r="H672" s="370"/>
      <c r="I672" s="357">
        <f t="shared" si="3"/>
        <v>0</v>
      </c>
      <c r="J672" s="346">
        <f t="shared" si="4"/>
        <v>0</v>
      </c>
      <c r="K672" s="312"/>
      <c r="L672" s="312"/>
      <c r="M672" s="312"/>
      <c r="N672" s="362"/>
      <c r="O672" s="312"/>
      <c r="P672" s="312"/>
      <c r="S672" s="2">
        <f t="shared" si="5"/>
        <v>0</v>
      </c>
      <c r="AA672" s="312"/>
      <c r="AB672" s="312"/>
      <c r="AC672" s="312"/>
      <c r="AD672" s="312"/>
    </row>
    <row r="673">
      <c r="A673" s="312"/>
      <c r="B673" s="344">
        <f t="shared" si="1"/>
        <v>1714.918281</v>
      </c>
      <c r="C673" s="344">
        <v>120.0</v>
      </c>
      <c r="D673" s="369"/>
      <c r="E673" s="344" t="str">
        <f t="shared" si="2"/>
        <v>Saturday</v>
      </c>
      <c r="F673" s="344" t="s">
        <v>554</v>
      </c>
      <c r="G673" s="370"/>
      <c r="H673" s="370"/>
      <c r="I673" s="357">
        <f t="shared" si="3"/>
        <v>0</v>
      </c>
      <c r="J673" s="346">
        <f t="shared" si="4"/>
        <v>0</v>
      </c>
      <c r="K673" s="312"/>
      <c r="L673" s="312"/>
      <c r="M673" s="312"/>
      <c r="N673" s="362"/>
      <c r="O673" s="312"/>
      <c r="P673" s="312"/>
      <c r="S673" s="2">
        <f t="shared" si="5"/>
        <v>0</v>
      </c>
      <c r="AA673" s="312"/>
      <c r="AB673" s="312"/>
      <c r="AC673" s="312"/>
      <c r="AD673" s="312"/>
    </row>
    <row r="674">
      <c r="A674" s="312"/>
      <c r="B674" s="344">
        <f t="shared" si="1"/>
        <v>1714.918281</v>
      </c>
      <c r="C674" s="344">
        <v>120.0</v>
      </c>
      <c r="D674" s="369"/>
      <c r="E674" s="344" t="str">
        <f t="shared" si="2"/>
        <v>Saturday</v>
      </c>
      <c r="F674" s="344" t="s">
        <v>554</v>
      </c>
      <c r="G674" s="370"/>
      <c r="H674" s="370"/>
      <c r="I674" s="357">
        <f t="shared" si="3"/>
        <v>0</v>
      </c>
      <c r="J674" s="346">
        <f t="shared" si="4"/>
        <v>0</v>
      </c>
      <c r="K674" s="312"/>
      <c r="L674" s="312"/>
      <c r="M674" s="312"/>
      <c r="N674" s="362"/>
      <c r="O674" s="312"/>
      <c r="P674" s="312"/>
      <c r="S674" s="2">
        <f t="shared" si="5"/>
        <v>0</v>
      </c>
      <c r="AA674" s="312"/>
      <c r="AB674" s="312"/>
      <c r="AC674" s="312"/>
      <c r="AD674" s="312"/>
    </row>
    <row r="675">
      <c r="A675" s="312"/>
      <c r="B675" s="344">
        <f t="shared" si="1"/>
        <v>1714.918281</v>
      </c>
      <c r="C675" s="344">
        <v>120.0</v>
      </c>
      <c r="D675" s="369"/>
      <c r="E675" s="344" t="str">
        <f t="shared" si="2"/>
        <v>Saturday</v>
      </c>
      <c r="F675" s="344" t="s">
        <v>554</v>
      </c>
      <c r="G675" s="370"/>
      <c r="H675" s="370"/>
      <c r="I675" s="357">
        <f t="shared" si="3"/>
        <v>0</v>
      </c>
      <c r="J675" s="346">
        <f t="shared" si="4"/>
        <v>0</v>
      </c>
      <c r="K675" s="312"/>
      <c r="L675" s="312"/>
      <c r="M675" s="312"/>
      <c r="N675" s="362"/>
      <c r="O675" s="312"/>
      <c r="P675" s="312"/>
      <c r="S675" s="2">
        <f t="shared" si="5"/>
        <v>0</v>
      </c>
      <c r="AA675" s="312"/>
      <c r="AB675" s="312"/>
      <c r="AC675" s="312"/>
      <c r="AD675" s="312"/>
    </row>
    <row r="676">
      <c r="A676" s="312"/>
      <c r="B676" s="344">
        <f t="shared" si="1"/>
        <v>1714.918281</v>
      </c>
      <c r="C676" s="344">
        <v>120.0</v>
      </c>
      <c r="D676" s="369"/>
      <c r="E676" s="344" t="str">
        <f t="shared" si="2"/>
        <v>Saturday</v>
      </c>
      <c r="F676" s="344" t="s">
        <v>554</v>
      </c>
      <c r="G676" s="370"/>
      <c r="H676" s="370"/>
      <c r="I676" s="357">
        <f t="shared" si="3"/>
        <v>0</v>
      </c>
      <c r="J676" s="346">
        <f t="shared" si="4"/>
        <v>0</v>
      </c>
      <c r="K676" s="312"/>
      <c r="L676" s="312"/>
      <c r="M676" s="312"/>
      <c r="N676" s="362"/>
      <c r="O676" s="312"/>
      <c r="P676" s="312"/>
      <c r="S676" s="2">
        <f t="shared" si="5"/>
        <v>0</v>
      </c>
      <c r="AA676" s="312"/>
      <c r="AB676" s="312"/>
      <c r="AC676" s="312"/>
      <c r="AD676" s="312"/>
    </row>
    <row r="677">
      <c r="A677" s="312"/>
      <c r="B677" s="344">
        <f t="shared" si="1"/>
        <v>1714.918281</v>
      </c>
      <c r="C677" s="344">
        <v>120.0</v>
      </c>
      <c r="D677" s="369"/>
      <c r="E677" s="344" t="str">
        <f t="shared" si="2"/>
        <v>Saturday</v>
      </c>
      <c r="F677" s="344" t="s">
        <v>554</v>
      </c>
      <c r="G677" s="370"/>
      <c r="H677" s="370"/>
      <c r="I677" s="357">
        <f t="shared" si="3"/>
        <v>0</v>
      </c>
      <c r="J677" s="346">
        <f t="shared" si="4"/>
        <v>0</v>
      </c>
      <c r="K677" s="312"/>
      <c r="L677" s="312"/>
      <c r="M677" s="312"/>
      <c r="N677" s="362"/>
      <c r="O677" s="312"/>
      <c r="P677" s="312"/>
      <c r="S677" s="2">
        <f t="shared" si="5"/>
        <v>0</v>
      </c>
      <c r="AA677" s="312"/>
      <c r="AB677" s="312"/>
      <c r="AC677" s="312"/>
      <c r="AD677" s="312"/>
    </row>
    <row r="678">
      <c r="A678" s="312"/>
      <c r="B678" s="344">
        <f t="shared" si="1"/>
        <v>1714.918281</v>
      </c>
      <c r="C678" s="344">
        <v>120.0</v>
      </c>
      <c r="D678" s="369"/>
      <c r="E678" s="344" t="str">
        <f t="shared" si="2"/>
        <v>Saturday</v>
      </c>
      <c r="F678" s="344" t="s">
        <v>554</v>
      </c>
      <c r="G678" s="370"/>
      <c r="H678" s="370"/>
      <c r="I678" s="357">
        <f t="shared" si="3"/>
        <v>0</v>
      </c>
      <c r="J678" s="346">
        <f t="shared" si="4"/>
        <v>0</v>
      </c>
      <c r="K678" s="312"/>
      <c r="L678" s="312"/>
      <c r="M678" s="312"/>
      <c r="N678" s="362"/>
      <c r="O678" s="312"/>
      <c r="P678" s="312"/>
      <c r="S678" s="2">
        <f t="shared" si="5"/>
        <v>0</v>
      </c>
      <c r="AA678" s="312"/>
      <c r="AB678" s="312"/>
      <c r="AC678" s="312"/>
      <c r="AD678" s="312"/>
    </row>
    <row r="679">
      <c r="A679" s="312"/>
      <c r="B679" s="344">
        <f t="shared" si="1"/>
        <v>1714.918281</v>
      </c>
      <c r="C679" s="344">
        <v>120.0</v>
      </c>
      <c r="D679" s="369"/>
      <c r="E679" s="344" t="str">
        <f t="shared" si="2"/>
        <v>Saturday</v>
      </c>
      <c r="F679" s="344" t="s">
        <v>554</v>
      </c>
      <c r="G679" s="370"/>
      <c r="H679" s="370"/>
      <c r="I679" s="357">
        <f t="shared" si="3"/>
        <v>0</v>
      </c>
      <c r="J679" s="346">
        <f t="shared" si="4"/>
        <v>0</v>
      </c>
      <c r="K679" s="312"/>
      <c r="L679" s="312"/>
      <c r="M679" s="312"/>
      <c r="N679" s="362"/>
      <c r="O679" s="312"/>
      <c r="P679" s="312"/>
      <c r="S679" s="2">
        <f t="shared" si="5"/>
        <v>0</v>
      </c>
      <c r="AA679" s="312"/>
      <c r="AB679" s="312"/>
      <c r="AC679" s="312"/>
      <c r="AD679" s="312"/>
    </row>
    <row r="680">
      <c r="A680" s="312"/>
      <c r="B680" s="344">
        <f t="shared" si="1"/>
        <v>1714.918281</v>
      </c>
      <c r="C680" s="344">
        <v>120.0</v>
      </c>
      <c r="D680" s="369"/>
      <c r="E680" s="344" t="str">
        <f t="shared" si="2"/>
        <v>Saturday</v>
      </c>
      <c r="F680" s="344" t="s">
        <v>554</v>
      </c>
      <c r="G680" s="370"/>
      <c r="H680" s="370"/>
      <c r="I680" s="357">
        <f t="shared" si="3"/>
        <v>0</v>
      </c>
      <c r="J680" s="346">
        <f t="shared" si="4"/>
        <v>0</v>
      </c>
      <c r="K680" s="312"/>
      <c r="L680" s="312"/>
      <c r="M680" s="312"/>
      <c r="N680" s="362"/>
      <c r="O680" s="312"/>
      <c r="P680" s="312"/>
      <c r="S680" s="2">
        <f t="shared" si="5"/>
        <v>0</v>
      </c>
      <c r="AA680" s="312"/>
      <c r="AB680" s="312"/>
      <c r="AC680" s="312"/>
      <c r="AD680" s="312"/>
    </row>
    <row r="681">
      <c r="A681" s="312"/>
      <c r="B681" s="344">
        <f t="shared" si="1"/>
        <v>1714.918281</v>
      </c>
      <c r="C681" s="344">
        <v>120.0</v>
      </c>
      <c r="D681" s="369"/>
      <c r="E681" s="344" t="str">
        <f t="shared" si="2"/>
        <v>Saturday</v>
      </c>
      <c r="F681" s="344" t="s">
        <v>554</v>
      </c>
      <c r="G681" s="370"/>
      <c r="H681" s="370"/>
      <c r="I681" s="357">
        <f t="shared" si="3"/>
        <v>0</v>
      </c>
      <c r="J681" s="346">
        <f t="shared" si="4"/>
        <v>0</v>
      </c>
      <c r="K681" s="312"/>
      <c r="L681" s="312"/>
      <c r="M681" s="312"/>
      <c r="N681" s="362"/>
      <c r="O681" s="312"/>
      <c r="P681" s="312"/>
      <c r="S681" s="2">
        <f t="shared" si="5"/>
        <v>0</v>
      </c>
      <c r="AA681" s="312"/>
      <c r="AB681" s="312"/>
      <c r="AC681" s="312"/>
      <c r="AD681" s="312"/>
    </row>
    <row r="682">
      <c r="A682" s="312"/>
      <c r="B682" s="344">
        <f t="shared" si="1"/>
        <v>1714.918281</v>
      </c>
      <c r="C682" s="344">
        <v>120.0</v>
      </c>
      <c r="D682" s="369"/>
      <c r="E682" s="344" t="str">
        <f t="shared" si="2"/>
        <v>Saturday</v>
      </c>
      <c r="F682" s="344" t="s">
        <v>554</v>
      </c>
      <c r="G682" s="370"/>
      <c r="H682" s="370"/>
      <c r="I682" s="357">
        <f t="shared" si="3"/>
        <v>0</v>
      </c>
      <c r="J682" s="346">
        <f t="shared" si="4"/>
        <v>0</v>
      </c>
      <c r="K682" s="312"/>
      <c r="L682" s="312"/>
      <c r="M682" s="312"/>
      <c r="N682" s="362"/>
      <c r="O682" s="312"/>
      <c r="P682" s="312"/>
      <c r="S682" s="2">
        <f t="shared" si="5"/>
        <v>0</v>
      </c>
      <c r="AA682" s="312"/>
      <c r="AB682" s="312"/>
      <c r="AC682" s="312"/>
      <c r="AD682" s="312"/>
    </row>
    <row r="683">
      <c r="A683" s="312"/>
      <c r="B683" s="344">
        <f t="shared" si="1"/>
        <v>1714.918281</v>
      </c>
      <c r="C683" s="344">
        <v>120.0</v>
      </c>
      <c r="D683" s="369"/>
      <c r="E683" s="344" t="str">
        <f t="shared" si="2"/>
        <v>Saturday</v>
      </c>
      <c r="F683" s="344" t="s">
        <v>554</v>
      </c>
      <c r="G683" s="370"/>
      <c r="H683" s="370"/>
      <c r="I683" s="357">
        <f t="shared" si="3"/>
        <v>0</v>
      </c>
      <c r="J683" s="346">
        <f t="shared" si="4"/>
        <v>0</v>
      </c>
      <c r="K683" s="312"/>
      <c r="L683" s="312"/>
      <c r="M683" s="312"/>
      <c r="N683" s="362"/>
      <c r="O683" s="312"/>
      <c r="P683" s="312"/>
      <c r="S683" s="2">
        <f t="shared" si="5"/>
        <v>0</v>
      </c>
      <c r="AA683" s="312"/>
      <c r="AB683" s="312"/>
      <c r="AC683" s="312"/>
      <c r="AD683" s="312"/>
    </row>
    <row r="684">
      <c r="A684" s="312"/>
      <c r="B684" s="344">
        <f t="shared" si="1"/>
        <v>1714.918281</v>
      </c>
      <c r="C684" s="344">
        <v>120.0</v>
      </c>
      <c r="D684" s="369"/>
      <c r="E684" s="344" t="str">
        <f t="shared" si="2"/>
        <v>Saturday</v>
      </c>
      <c r="F684" s="344" t="s">
        <v>554</v>
      </c>
      <c r="G684" s="370"/>
      <c r="H684" s="370"/>
      <c r="I684" s="357">
        <f t="shared" si="3"/>
        <v>0</v>
      </c>
      <c r="J684" s="346">
        <f t="shared" si="4"/>
        <v>0</v>
      </c>
      <c r="K684" s="312"/>
      <c r="L684" s="312"/>
      <c r="M684" s="312"/>
      <c r="N684" s="362"/>
      <c r="O684" s="312"/>
      <c r="P684" s="312"/>
      <c r="S684" s="2">
        <f t="shared" si="5"/>
        <v>0</v>
      </c>
      <c r="AA684" s="312"/>
      <c r="AB684" s="312"/>
      <c r="AC684" s="312"/>
      <c r="AD684" s="312"/>
    </row>
    <row r="685">
      <c r="A685" s="312"/>
      <c r="B685" s="344">
        <f t="shared" si="1"/>
        <v>1714.918281</v>
      </c>
      <c r="C685" s="344">
        <v>120.0</v>
      </c>
      <c r="D685" s="369"/>
      <c r="E685" s="344" t="str">
        <f t="shared" si="2"/>
        <v>Saturday</v>
      </c>
      <c r="F685" s="344" t="s">
        <v>554</v>
      </c>
      <c r="G685" s="370"/>
      <c r="H685" s="370"/>
      <c r="I685" s="357">
        <f t="shared" si="3"/>
        <v>0</v>
      </c>
      <c r="J685" s="346">
        <f t="shared" si="4"/>
        <v>0</v>
      </c>
      <c r="K685" s="312"/>
      <c r="L685" s="312"/>
      <c r="M685" s="312"/>
      <c r="N685" s="362"/>
      <c r="O685" s="312"/>
      <c r="P685" s="312"/>
      <c r="S685" s="2">
        <f t="shared" si="5"/>
        <v>0</v>
      </c>
      <c r="AA685" s="312"/>
      <c r="AB685" s="312"/>
      <c r="AC685" s="312"/>
      <c r="AD685" s="312"/>
    </row>
    <row r="686">
      <c r="A686" s="312"/>
      <c r="B686" s="344">
        <f t="shared" si="1"/>
        <v>1714.918281</v>
      </c>
      <c r="C686" s="344">
        <v>120.0</v>
      </c>
      <c r="D686" s="369"/>
      <c r="E686" s="344" t="str">
        <f t="shared" si="2"/>
        <v>Saturday</v>
      </c>
      <c r="F686" s="344" t="s">
        <v>554</v>
      </c>
      <c r="G686" s="370"/>
      <c r="H686" s="370"/>
      <c r="I686" s="357">
        <f t="shared" si="3"/>
        <v>0</v>
      </c>
      <c r="J686" s="346">
        <f t="shared" si="4"/>
        <v>0</v>
      </c>
      <c r="K686" s="312"/>
      <c r="L686" s="312"/>
      <c r="M686" s="312"/>
      <c r="N686" s="362"/>
      <c r="O686" s="312"/>
      <c r="P686" s="312"/>
      <c r="S686" s="2">
        <f t="shared" si="5"/>
        <v>0</v>
      </c>
      <c r="AA686" s="312"/>
      <c r="AB686" s="312"/>
      <c r="AC686" s="312"/>
      <c r="AD686" s="312"/>
    </row>
    <row r="687">
      <c r="A687" s="312"/>
      <c r="B687" s="344">
        <f t="shared" si="1"/>
        <v>1714.918281</v>
      </c>
      <c r="C687" s="344">
        <v>120.0</v>
      </c>
      <c r="D687" s="369"/>
      <c r="E687" s="344" t="str">
        <f t="shared" si="2"/>
        <v>Saturday</v>
      </c>
      <c r="F687" s="344" t="s">
        <v>554</v>
      </c>
      <c r="G687" s="370"/>
      <c r="H687" s="370"/>
      <c r="I687" s="357">
        <f t="shared" si="3"/>
        <v>0</v>
      </c>
      <c r="J687" s="346">
        <f t="shared" si="4"/>
        <v>0</v>
      </c>
      <c r="K687" s="312"/>
      <c r="L687" s="312"/>
      <c r="M687" s="312"/>
      <c r="N687" s="362"/>
      <c r="O687" s="312"/>
      <c r="P687" s="312"/>
      <c r="S687" s="2">
        <f t="shared" si="5"/>
        <v>0</v>
      </c>
      <c r="AA687" s="312"/>
      <c r="AB687" s="312"/>
      <c r="AC687" s="312"/>
      <c r="AD687" s="312"/>
    </row>
    <row r="688">
      <c r="A688" s="312"/>
      <c r="B688" s="344">
        <f t="shared" si="1"/>
        <v>1714.918281</v>
      </c>
      <c r="C688" s="344">
        <v>120.0</v>
      </c>
      <c r="D688" s="369"/>
      <c r="E688" s="344" t="str">
        <f t="shared" si="2"/>
        <v>Saturday</v>
      </c>
      <c r="F688" s="344" t="s">
        <v>554</v>
      </c>
      <c r="G688" s="370"/>
      <c r="H688" s="370"/>
      <c r="I688" s="357">
        <f t="shared" si="3"/>
        <v>0</v>
      </c>
      <c r="J688" s="346">
        <f t="shared" si="4"/>
        <v>0</v>
      </c>
      <c r="K688" s="312"/>
      <c r="L688" s="312"/>
      <c r="M688" s="312"/>
      <c r="N688" s="362"/>
      <c r="O688" s="312"/>
      <c r="P688" s="312"/>
      <c r="S688" s="2">
        <f t="shared" si="5"/>
        <v>0</v>
      </c>
      <c r="AA688" s="312"/>
      <c r="AB688" s="312"/>
      <c r="AC688" s="312"/>
      <c r="AD688" s="312"/>
    </row>
    <row r="689">
      <c r="A689" s="312"/>
      <c r="B689" s="344">
        <f t="shared" si="1"/>
        <v>1714.918281</v>
      </c>
      <c r="C689" s="344">
        <v>120.0</v>
      </c>
      <c r="D689" s="369"/>
      <c r="E689" s="344" t="str">
        <f t="shared" si="2"/>
        <v>Saturday</v>
      </c>
      <c r="F689" s="344" t="s">
        <v>554</v>
      </c>
      <c r="G689" s="370"/>
      <c r="H689" s="370"/>
      <c r="I689" s="357">
        <f t="shared" si="3"/>
        <v>0</v>
      </c>
      <c r="J689" s="346">
        <f t="shared" si="4"/>
        <v>0</v>
      </c>
      <c r="K689" s="312"/>
      <c r="L689" s="312"/>
      <c r="M689" s="312"/>
      <c r="N689" s="362"/>
      <c r="O689" s="312"/>
      <c r="P689" s="312"/>
      <c r="S689" s="2">
        <f t="shared" si="5"/>
        <v>0</v>
      </c>
      <c r="AA689" s="312"/>
      <c r="AB689" s="312"/>
      <c r="AC689" s="312"/>
      <c r="AD689" s="312"/>
    </row>
    <row r="690">
      <c r="A690" s="312"/>
      <c r="B690" s="344">
        <f t="shared" si="1"/>
        <v>1714.918281</v>
      </c>
      <c r="C690" s="344">
        <v>120.0</v>
      </c>
      <c r="D690" s="369"/>
      <c r="E690" s="344" t="str">
        <f t="shared" si="2"/>
        <v>Saturday</v>
      </c>
      <c r="F690" s="344" t="s">
        <v>554</v>
      </c>
      <c r="G690" s="370"/>
      <c r="H690" s="370"/>
      <c r="I690" s="357">
        <f t="shared" si="3"/>
        <v>0</v>
      </c>
      <c r="J690" s="346">
        <f t="shared" si="4"/>
        <v>0</v>
      </c>
      <c r="K690" s="312"/>
      <c r="L690" s="312"/>
      <c r="M690" s="312"/>
      <c r="N690" s="362"/>
      <c r="O690" s="312"/>
      <c r="P690" s="312"/>
      <c r="S690" s="2">
        <f t="shared" si="5"/>
        <v>0</v>
      </c>
      <c r="AA690" s="312"/>
      <c r="AB690" s="312"/>
      <c r="AC690" s="312"/>
      <c r="AD690" s="312"/>
    </row>
    <row r="691">
      <c r="A691" s="312"/>
      <c r="B691" s="344">
        <f t="shared" si="1"/>
        <v>1714.918281</v>
      </c>
      <c r="C691" s="344">
        <v>120.0</v>
      </c>
      <c r="D691" s="369"/>
      <c r="E691" s="344" t="str">
        <f t="shared" si="2"/>
        <v>Saturday</v>
      </c>
      <c r="F691" s="344" t="s">
        <v>554</v>
      </c>
      <c r="G691" s="370"/>
      <c r="H691" s="370"/>
      <c r="I691" s="357">
        <f t="shared" si="3"/>
        <v>0</v>
      </c>
      <c r="J691" s="346">
        <f t="shared" si="4"/>
        <v>0</v>
      </c>
      <c r="K691" s="312"/>
      <c r="L691" s="312"/>
      <c r="M691" s="312"/>
      <c r="N691" s="362"/>
      <c r="O691" s="312"/>
      <c r="P691" s="312"/>
      <c r="S691" s="2">
        <f t="shared" si="5"/>
        <v>0</v>
      </c>
      <c r="AA691" s="312"/>
      <c r="AB691" s="312"/>
      <c r="AC691" s="312"/>
      <c r="AD691" s="312"/>
    </row>
    <row r="692">
      <c r="A692" s="312"/>
      <c r="B692" s="344">
        <f t="shared" si="1"/>
        <v>1714.918281</v>
      </c>
      <c r="C692" s="344">
        <v>120.0</v>
      </c>
      <c r="D692" s="369"/>
      <c r="E692" s="344" t="str">
        <f t="shared" si="2"/>
        <v>Saturday</v>
      </c>
      <c r="F692" s="344" t="s">
        <v>554</v>
      </c>
      <c r="G692" s="370"/>
      <c r="H692" s="370"/>
      <c r="I692" s="357">
        <f t="shared" si="3"/>
        <v>0</v>
      </c>
      <c r="J692" s="346">
        <f t="shared" si="4"/>
        <v>0</v>
      </c>
      <c r="K692" s="312"/>
      <c r="L692" s="312"/>
      <c r="M692" s="312"/>
      <c r="N692" s="362"/>
      <c r="O692" s="312"/>
      <c r="P692" s="312"/>
      <c r="S692" s="2">
        <f t="shared" si="5"/>
        <v>0</v>
      </c>
      <c r="AA692" s="312"/>
      <c r="AB692" s="312"/>
      <c r="AC692" s="312"/>
      <c r="AD692" s="312"/>
    </row>
    <row r="693">
      <c r="A693" s="312"/>
      <c r="B693" s="344">
        <f t="shared" si="1"/>
        <v>1714.918281</v>
      </c>
      <c r="C693" s="344">
        <v>120.0</v>
      </c>
      <c r="D693" s="369"/>
      <c r="E693" s="344" t="str">
        <f t="shared" si="2"/>
        <v>Saturday</v>
      </c>
      <c r="F693" s="344" t="s">
        <v>554</v>
      </c>
      <c r="G693" s="370"/>
      <c r="H693" s="370"/>
      <c r="I693" s="357">
        <f t="shared" si="3"/>
        <v>0</v>
      </c>
      <c r="J693" s="346">
        <f t="shared" si="4"/>
        <v>0</v>
      </c>
      <c r="K693" s="312"/>
      <c r="L693" s="312"/>
      <c r="M693" s="312"/>
      <c r="N693" s="362"/>
      <c r="O693" s="312"/>
      <c r="P693" s="312"/>
      <c r="S693" s="2">
        <f t="shared" si="5"/>
        <v>0</v>
      </c>
      <c r="AA693" s="312"/>
      <c r="AB693" s="312"/>
      <c r="AC693" s="312"/>
      <c r="AD693" s="312"/>
    </row>
    <row r="694">
      <c r="A694" s="312"/>
      <c r="B694" s="344">
        <f t="shared" si="1"/>
        <v>1714.918281</v>
      </c>
      <c r="C694" s="344">
        <v>120.0</v>
      </c>
      <c r="D694" s="369"/>
      <c r="E694" s="344" t="str">
        <f t="shared" si="2"/>
        <v>Saturday</v>
      </c>
      <c r="F694" s="344" t="s">
        <v>554</v>
      </c>
      <c r="G694" s="370"/>
      <c r="H694" s="370"/>
      <c r="I694" s="357">
        <f t="shared" si="3"/>
        <v>0</v>
      </c>
      <c r="J694" s="346">
        <f t="shared" si="4"/>
        <v>0</v>
      </c>
      <c r="K694" s="312"/>
      <c r="L694" s="312"/>
      <c r="M694" s="312"/>
      <c r="N694" s="362"/>
      <c r="O694" s="312"/>
      <c r="P694" s="312"/>
      <c r="S694" s="2">
        <f t="shared" si="5"/>
        <v>0</v>
      </c>
      <c r="AA694" s="312"/>
      <c r="AB694" s="312"/>
      <c r="AC694" s="312"/>
      <c r="AD694" s="312"/>
    </row>
    <row r="695">
      <c r="A695" s="312"/>
      <c r="B695" s="344">
        <f t="shared" si="1"/>
        <v>1714.918281</v>
      </c>
      <c r="C695" s="344">
        <v>120.0</v>
      </c>
      <c r="D695" s="369"/>
      <c r="E695" s="344" t="str">
        <f t="shared" si="2"/>
        <v>Saturday</v>
      </c>
      <c r="F695" s="344" t="s">
        <v>554</v>
      </c>
      <c r="G695" s="370"/>
      <c r="H695" s="370"/>
      <c r="I695" s="357">
        <f t="shared" si="3"/>
        <v>0</v>
      </c>
      <c r="J695" s="346">
        <f t="shared" si="4"/>
        <v>0</v>
      </c>
      <c r="K695" s="312"/>
      <c r="L695" s="312"/>
      <c r="M695" s="312"/>
      <c r="N695" s="362"/>
      <c r="O695" s="312"/>
      <c r="P695" s="312"/>
      <c r="S695" s="2">
        <f t="shared" si="5"/>
        <v>0</v>
      </c>
      <c r="AA695" s="312"/>
      <c r="AB695" s="312"/>
      <c r="AC695" s="312"/>
      <c r="AD695" s="312"/>
    </row>
    <row r="696">
      <c r="A696" s="312"/>
      <c r="B696" s="344">
        <f t="shared" si="1"/>
        <v>1714.918281</v>
      </c>
      <c r="C696" s="344">
        <v>120.0</v>
      </c>
      <c r="D696" s="369"/>
      <c r="E696" s="344" t="str">
        <f t="shared" si="2"/>
        <v>Saturday</v>
      </c>
      <c r="F696" s="344" t="s">
        <v>554</v>
      </c>
      <c r="G696" s="370"/>
      <c r="H696" s="370"/>
      <c r="I696" s="357">
        <f t="shared" si="3"/>
        <v>0</v>
      </c>
      <c r="J696" s="346">
        <f t="shared" si="4"/>
        <v>0</v>
      </c>
      <c r="K696" s="312"/>
      <c r="L696" s="312"/>
      <c r="M696" s="312"/>
      <c r="N696" s="362"/>
      <c r="O696" s="312"/>
      <c r="P696" s="312"/>
      <c r="S696" s="2">
        <f t="shared" si="5"/>
        <v>0</v>
      </c>
      <c r="AA696" s="312"/>
      <c r="AB696" s="312"/>
      <c r="AC696" s="312"/>
      <c r="AD696" s="312"/>
    </row>
    <row r="697">
      <c r="A697" s="312"/>
      <c r="B697" s="344">
        <f t="shared" si="1"/>
        <v>1714.918281</v>
      </c>
      <c r="C697" s="344">
        <v>120.0</v>
      </c>
      <c r="D697" s="369"/>
      <c r="E697" s="344" t="str">
        <f t="shared" si="2"/>
        <v>Saturday</v>
      </c>
      <c r="F697" s="344" t="s">
        <v>554</v>
      </c>
      <c r="G697" s="370"/>
      <c r="H697" s="370"/>
      <c r="I697" s="357">
        <f t="shared" si="3"/>
        <v>0</v>
      </c>
      <c r="J697" s="346">
        <f t="shared" si="4"/>
        <v>0</v>
      </c>
      <c r="K697" s="312"/>
      <c r="L697" s="312"/>
      <c r="M697" s="312"/>
      <c r="N697" s="362"/>
      <c r="O697" s="312"/>
      <c r="P697" s="312"/>
      <c r="S697" s="2">
        <f t="shared" si="5"/>
        <v>0</v>
      </c>
      <c r="AA697" s="312"/>
      <c r="AB697" s="312"/>
      <c r="AC697" s="312"/>
      <c r="AD697" s="312"/>
    </row>
    <row r="698">
      <c r="A698" s="312"/>
      <c r="B698" s="344">
        <f t="shared" si="1"/>
        <v>1714.918281</v>
      </c>
      <c r="C698" s="344">
        <v>120.0</v>
      </c>
      <c r="D698" s="369"/>
      <c r="E698" s="344" t="str">
        <f t="shared" si="2"/>
        <v>Saturday</v>
      </c>
      <c r="F698" s="344" t="s">
        <v>554</v>
      </c>
      <c r="G698" s="370"/>
      <c r="H698" s="370"/>
      <c r="I698" s="357">
        <f t="shared" si="3"/>
        <v>0</v>
      </c>
      <c r="J698" s="346">
        <f t="shared" si="4"/>
        <v>0</v>
      </c>
      <c r="K698" s="312"/>
      <c r="L698" s="312"/>
      <c r="M698" s="312"/>
      <c r="N698" s="362"/>
      <c r="O698" s="312"/>
      <c r="P698" s="312"/>
      <c r="S698" s="2">
        <f t="shared" si="5"/>
        <v>0</v>
      </c>
      <c r="AA698" s="312"/>
      <c r="AB698" s="312"/>
      <c r="AC698" s="312"/>
      <c r="AD698" s="312"/>
    </row>
    <row r="699">
      <c r="A699" s="312"/>
      <c r="B699" s="344">
        <f t="shared" si="1"/>
        <v>1714.918281</v>
      </c>
      <c r="C699" s="344">
        <v>120.0</v>
      </c>
      <c r="D699" s="369"/>
      <c r="E699" s="344" t="str">
        <f t="shared" si="2"/>
        <v>Saturday</v>
      </c>
      <c r="F699" s="344" t="s">
        <v>554</v>
      </c>
      <c r="G699" s="370"/>
      <c r="H699" s="370"/>
      <c r="I699" s="357">
        <f t="shared" si="3"/>
        <v>0</v>
      </c>
      <c r="J699" s="346">
        <f t="shared" si="4"/>
        <v>0</v>
      </c>
      <c r="K699" s="312"/>
      <c r="L699" s="312"/>
      <c r="M699" s="312"/>
      <c r="N699" s="362"/>
      <c r="O699" s="312"/>
      <c r="P699" s="312"/>
      <c r="S699" s="2">
        <f t="shared" si="5"/>
        <v>0</v>
      </c>
      <c r="AA699" s="312"/>
      <c r="AB699" s="312"/>
      <c r="AC699" s="312"/>
      <c r="AD699" s="312"/>
    </row>
    <row r="700">
      <c r="A700" s="312"/>
      <c r="B700" s="344">
        <f t="shared" si="1"/>
        <v>1714.918281</v>
      </c>
      <c r="C700" s="344">
        <v>120.0</v>
      </c>
      <c r="D700" s="369"/>
      <c r="E700" s="344" t="str">
        <f t="shared" si="2"/>
        <v>Saturday</v>
      </c>
      <c r="F700" s="344" t="s">
        <v>554</v>
      </c>
      <c r="G700" s="370"/>
      <c r="H700" s="370"/>
      <c r="I700" s="357">
        <f t="shared" si="3"/>
        <v>0</v>
      </c>
      <c r="J700" s="346">
        <f t="shared" si="4"/>
        <v>0</v>
      </c>
      <c r="K700" s="312"/>
      <c r="L700" s="312"/>
      <c r="M700" s="312"/>
      <c r="N700" s="362"/>
      <c r="O700" s="312"/>
      <c r="P700" s="312"/>
      <c r="S700" s="2">
        <f t="shared" si="5"/>
        <v>0</v>
      </c>
      <c r="AA700" s="312"/>
      <c r="AB700" s="312"/>
      <c r="AC700" s="312"/>
      <c r="AD700" s="312"/>
    </row>
    <row r="701">
      <c r="A701" s="312"/>
      <c r="B701" s="344">
        <f t="shared" si="1"/>
        <v>1714.918281</v>
      </c>
      <c r="C701" s="344">
        <v>120.0</v>
      </c>
      <c r="D701" s="369"/>
      <c r="E701" s="344" t="str">
        <f t="shared" si="2"/>
        <v>Saturday</v>
      </c>
      <c r="F701" s="344" t="s">
        <v>554</v>
      </c>
      <c r="G701" s="370"/>
      <c r="H701" s="370"/>
      <c r="I701" s="357">
        <f t="shared" si="3"/>
        <v>0</v>
      </c>
      <c r="J701" s="346">
        <f t="shared" si="4"/>
        <v>0</v>
      </c>
      <c r="K701" s="312"/>
      <c r="L701" s="312"/>
      <c r="M701" s="312"/>
      <c r="N701" s="362"/>
      <c r="O701" s="312"/>
      <c r="P701" s="312"/>
      <c r="S701" s="2">
        <f t="shared" si="5"/>
        <v>0</v>
      </c>
      <c r="AA701" s="312"/>
      <c r="AB701" s="312"/>
      <c r="AC701" s="312"/>
      <c r="AD701" s="312"/>
    </row>
    <row r="702">
      <c r="A702" s="312"/>
      <c r="B702" s="344">
        <f t="shared" si="1"/>
        <v>1714.918281</v>
      </c>
      <c r="C702" s="344">
        <v>120.0</v>
      </c>
      <c r="D702" s="369"/>
      <c r="E702" s="344" t="str">
        <f t="shared" si="2"/>
        <v>Saturday</v>
      </c>
      <c r="F702" s="344" t="s">
        <v>554</v>
      </c>
      <c r="G702" s="370"/>
      <c r="H702" s="370"/>
      <c r="I702" s="357">
        <f t="shared" si="3"/>
        <v>0</v>
      </c>
      <c r="J702" s="346">
        <f t="shared" si="4"/>
        <v>0</v>
      </c>
      <c r="K702" s="312"/>
      <c r="L702" s="312"/>
      <c r="M702" s="312"/>
      <c r="N702" s="362"/>
      <c r="O702" s="312"/>
      <c r="P702" s="312"/>
      <c r="S702" s="2">
        <f t="shared" si="5"/>
        <v>0</v>
      </c>
      <c r="AA702" s="312"/>
      <c r="AB702" s="312"/>
      <c r="AC702" s="312"/>
      <c r="AD702" s="312"/>
    </row>
    <row r="703">
      <c r="A703" s="312"/>
      <c r="B703" s="344">
        <f t="shared" si="1"/>
        <v>1714.918281</v>
      </c>
      <c r="C703" s="344">
        <v>120.0</v>
      </c>
      <c r="D703" s="369"/>
      <c r="E703" s="344" t="str">
        <f t="shared" si="2"/>
        <v>Saturday</v>
      </c>
      <c r="F703" s="344" t="s">
        <v>554</v>
      </c>
      <c r="G703" s="370"/>
      <c r="H703" s="370"/>
      <c r="I703" s="357">
        <f t="shared" si="3"/>
        <v>0</v>
      </c>
      <c r="J703" s="346">
        <f t="shared" si="4"/>
        <v>0</v>
      </c>
      <c r="K703" s="312"/>
      <c r="L703" s="312"/>
      <c r="M703" s="312"/>
      <c r="N703" s="362"/>
      <c r="O703" s="312"/>
      <c r="P703" s="312"/>
      <c r="S703" s="2">
        <f t="shared" si="5"/>
        <v>0</v>
      </c>
      <c r="AA703" s="312"/>
      <c r="AB703" s="312"/>
      <c r="AC703" s="312"/>
      <c r="AD703" s="312"/>
    </row>
    <row r="704">
      <c r="A704" s="312"/>
      <c r="B704" s="344">
        <f t="shared" si="1"/>
        <v>1714.918281</v>
      </c>
      <c r="C704" s="344">
        <v>120.0</v>
      </c>
      <c r="D704" s="369"/>
      <c r="E704" s="344" t="str">
        <f t="shared" si="2"/>
        <v>Saturday</v>
      </c>
      <c r="F704" s="344" t="s">
        <v>554</v>
      </c>
      <c r="G704" s="370"/>
      <c r="H704" s="370"/>
      <c r="I704" s="357">
        <f t="shared" si="3"/>
        <v>0</v>
      </c>
      <c r="J704" s="346">
        <f t="shared" si="4"/>
        <v>0</v>
      </c>
      <c r="K704" s="312"/>
      <c r="L704" s="312"/>
      <c r="M704" s="312"/>
      <c r="N704" s="362"/>
      <c r="O704" s="312"/>
      <c r="P704" s="312"/>
      <c r="S704" s="2">
        <f t="shared" si="5"/>
        <v>0</v>
      </c>
      <c r="AA704" s="312"/>
      <c r="AB704" s="312"/>
      <c r="AC704" s="312"/>
      <c r="AD704" s="312"/>
    </row>
    <row r="705">
      <c r="A705" s="312"/>
      <c r="B705" s="344">
        <f t="shared" si="1"/>
        <v>1714.918281</v>
      </c>
      <c r="C705" s="344">
        <v>120.0</v>
      </c>
      <c r="D705" s="369"/>
      <c r="E705" s="344" t="str">
        <f t="shared" si="2"/>
        <v>Saturday</v>
      </c>
      <c r="F705" s="344" t="s">
        <v>554</v>
      </c>
      <c r="G705" s="370"/>
      <c r="H705" s="370"/>
      <c r="I705" s="357">
        <f t="shared" si="3"/>
        <v>0</v>
      </c>
      <c r="J705" s="346">
        <f t="shared" si="4"/>
        <v>0</v>
      </c>
      <c r="K705" s="312"/>
      <c r="L705" s="312"/>
      <c r="M705" s="312"/>
      <c r="N705" s="362"/>
      <c r="O705" s="312"/>
      <c r="P705" s="312"/>
      <c r="S705" s="2">
        <f t="shared" si="5"/>
        <v>0</v>
      </c>
      <c r="AA705" s="312"/>
      <c r="AB705" s="312"/>
      <c r="AC705" s="312"/>
      <c r="AD705" s="312"/>
    </row>
    <row r="706">
      <c r="A706" s="312"/>
      <c r="B706" s="344">
        <f t="shared" si="1"/>
        <v>1714.918281</v>
      </c>
      <c r="C706" s="344">
        <v>120.0</v>
      </c>
      <c r="D706" s="369"/>
      <c r="E706" s="344" t="str">
        <f t="shared" si="2"/>
        <v>Saturday</v>
      </c>
      <c r="F706" s="344" t="s">
        <v>554</v>
      </c>
      <c r="G706" s="370"/>
      <c r="H706" s="370"/>
      <c r="I706" s="357">
        <f t="shared" si="3"/>
        <v>0</v>
      </c>
      <c r="J706" s="346">
        <f t="shared" si="4"/>
        <v>0</v>
      </c>
      <c r="K706" s="312"/>
      <c r="L706" s="312"/>
      <c r="M706" s="312"/>
      <c r="N706" s="362"/>
      <c r="O706" s="312"/>
      <c r="P706" s="312"/>
      <c r="S706" s="2">
        <f t="shared" si="5"/>
        <v>0</v>
      </c>
      <c r="AA706" s="312"/>
      <c r="AB706" s="312"/>
      <c r="AC706" s="312"/>
      <c r="AD706" s="312"/>
    </row>
    <row r="707">
      <c r="A707" s="312"/>
      <c r="B707" s="344">
        <f t="shared" si="1"/>
        <v>1714.918281</v>
      </c>
      <c r="C707" s="344">
        <v>120.0</v>
      </c>
      <c r="D707" s="369"/>
      <c r="E707" s="344" t="str">
        <f t="shared" si="2"/>
        <v>Saturday</v>
      </c>
      <c r="F707" s="344" t="s">
        <v>554</v>
      </c>
      <c r="G707" s="370"/>
      <c r="H707" s="370"/>
      <c r="I707" s="357">
        <f t="shared" si="3"/>
        <v>0</v>
      </c>
      <c r="J707" s="346">
        <f t="shared" si="4"/>
        <v>0</v>
      </c>
      <c r="K707" s="312"/>
      <c r="L707" s="312"/>
      <c r="M707" s="312"/>
      <c r="N707" s="362"/>
      <c r="O707" s="312"/>
      <c r="P707" s="312"/>
      <c r="S707" s="2">
        <f t="shared" si="5"/>
        <v>0</v>
      </c>
      <c r="AA707" s="312"/>
      <c r="AB707" s="312"/>
      <c r="AC707" s="312"/>
      <c r="AD707" s="312"/>
    </row>
    <row r="708">
      <c r="A708" s="312"/>
      <c r="B708" s="344">
        <f t="shared" si="1"/>
        <v>1714.918281</v>
      </c>
      <c r="C708" s="344">
        <v>120.0</v>
      </c>
      <c r="D708" s="369"/>
      <c r="E708" s="344" t="str">
        <f t="shared" si="2"/>
        <v>Saturday</v>
      </c>
      <c r="F708" s="344" t="s">
        <v>554</v>
      </c>
      <c r="G708" s="370"/>
      <c r="H708" s="370"/>
      <c r="I708" s="357">
        <f t="shared" si="3"/>
        <v>0</v>
      </c>
      <c r="J708" s="346">
        <f t="shared" si="4"/>
        <v>0</v>
      </c>
      <c r="K708" s="312"/>
      <c r="L708" s="312"/>
      <c r="M708" s="312"/>
      <c r="N708" s="362"/>
      <c r="O708" s="312"/>
      <c r="P708" s="312"/>
      <c r="S708" s="2">
        <f t="shared" si="5"/>
        <v>0</v>
      </c>
      <c r="AA708" s="312"/>
      <c r="AB708" s="312"/>
      <c r="AC708" s="312"/>
      <c r="AD708" s="312"/>
    </row>
    <row r="709">
      <c r="A709" s="312"/>
      <c r="B709" s="344">
        <f t="shared" si="1"/>
        <v>1714.918281</v>
      </c>
      <c r="C709" s="344">
        <v>120.0</v>
      </c>
      <c r="D709" s="369"/>
      <c r="E709" s="344" t="str">
        <f t="shared" si="2"/>
        <v>Saturday</v>
      </c>
      <c r="F709" s="344" t="s">
        <v>554</v>
      </c>
      <c r="G709" s="370"/>
      <c r="H709" s="370"/>
      <c r="I709" s="357">
        <f t="shared" si="3"/>
        <v>0</v>
      </c>
      <c r="J709" s="346">
        <f t="shared" si="4"/>
        <v>0</v>
      </c>
      <c r="K709" s="312"/>
      <c r="L709" s="312"/>
      <c r="M709" s="312"/>
      <c r="N709" s="362"/>
      <c r="O709" s="312"/>
      <c r="P709" s="312"/>
      <c r="S709" s="2">
        <f t="shared" si="5"/>
        <v>0</v>
      </c>
      <c r="AA709" s="312"/>
      <c r="AB709" s="312"/>
      <c r="AC709" s="312"/>
      <c r="AD709" s="312"/>
    </row>
    <row r="710">
      <c r="A710" s="312"/>
      <c r="B710" s="344">
        <f t="shared" si="1"/>
        <v>1714.918281</v>
      </c>
      <c r="C710" s="344">
        <v>120.0</v>
      </c>
      <c r="D710" s="369"/>
      <c r="E710" s="344" t="str">
        <f t="shared" si="2"/>
        <v>Saturday</v>
      </c>
      <c r="F710" s="344" t="s">
        <v>554</v>
      </c>
      <c r="G710" s="370"/>
      <c r="H710" s="370"/>
      <c r="I710" s="357">
        <f t="shared" si="3"/>
        <v>0</v>
      </c>
      <c r="J710" s="346">
        <f t="shared" si="4"/>
        <v>0</v>
      </c>
      <c r="K710" s="312"/>
      <c r="L710" s="312"/>
      <c r="M710" s="312"/>
      <c r="N710" s="362"/>
      <c r="O710" s="312"/>
      <c r="P710" s="312"/>
      <c r="S710" s="2">
        <f t="shared" si="5"/>
        <v>0</v>
      </c>
      <c r="AA710" s="312"/>
      <c r="AB710" s="312"/>
      <c r="AC710" s="312"/>
      <c r="AD710" s="312"/>
    </row>
    <row r="711">
      <c r="A711" s="312"/>
      <c r="B711" s="344">
        <f t="shared" si="1"/>
        <v>1714.918281</v>
      </c>
      <c r="C711" s="344">
        <v>120.0</v>
      </c>
      <c r="D711" s="369"/>
      <c r="E711" s="344" t="str">
        <f t="shared" si="2"/>
        <v>Saturday</v>
      </c>
      <c r="F711" s="344" t="s">
        <v>554</v>
      </c>
      <c r="G711" s="370"/>
      <c r="H711" s="370"/>
      <c r="I711" s="357">
        <f t="shared" si="3"/>
        <v>0</v>
      </c>
      <c r="J711" s="346">
        <f t="shared" si="4"/>
        <v>0</v>
      </c>
      <c r="K711" s="312"/>
      <c r="L711" s="312"/>
      <c r="M711" s="312"/>
      <c r="N711" s="362"/>
      <c r="O711" s="312"/>
      <c r="P711" s="312"/>
      <c r="S711" s="2">
        <f t="shared" si="5"/>
        <v>0</v>
      </c>
      <c r="AA711" s="312"/>
      <c r="AB711" s="312"/>
      <c r="AC711" s="312"/>
      <c r="AD711" s="312"/>
    </row>
    <row r="712">
      <c r="A712" s="312"/>
      <c r="B712" s="344">
        <f t="shared" si="1"/>
        <v>1714.918281</v>
      </c>
      <c r="C712" s="344">
        <v>120.0</v>
      </c>
      <c r="D712" s="369"/>
      <c r="E712" s="344" t="str">
        <f t="shared" si="2"/>
        <v>Saturday</v>
      </c>
      <c r="F712" s="344" t="s">
        <v>554</v>
      </c>
      <c r="G712" s="370"/>
      <c r="H712" s="370"/>
      <c r="I712" s="357">
        <f t="shared" si="3"/>
        <v>0</v>
      </c>
      <c r="J712" s="346">
        <f t="shared" si="4"/>
        <v>0</v>
      </c>
      <c r="K712" s="312"/>
      <c r="L712" s="312"/>
      <c r="M712" s="312"/>
      <c r="N712" s="362"/>
      <c r="O712" s="312"/>
      <c r="P712" s="312"/>
      <c r="S712" s="2">
        <f t="shared" si="5"/>
        <v>0</v>
      </c>
      <c r="AA712" s="312"/>
      <c r="AB712" s="312"/>
      <c r="AC712" s="312"/>
      <c r="AD712" s="312"/>
    </row>
    <row r="713">
      <c r="A713" s="312"/>
      <c r="B713" s="344">
        <f t="shared" si="1"/>
        <v>1714.918281</v>
      </c>
      <c r="C713" s="344">
        <v>120.0</v>
      </c>
      <c r="D713" s="369"/>
      <c r="E713" s="344" t="str">
        <f t="shared" si="2"/>
        <v>Saturday</v>
      </c>
      <c r="F713" s="344" t="s">
        <v>554</v>
      </c>
      <c r="G713" s="370"/>
      <c r="H713" s="370"/>
      <c r="I713" s="357">
        <f t="shared" si="3"/>
        <v>0</v>
      </c>
      <c r="J713" s="346">
        <f t="shared" si="4"/>
        <v>0</v>
      </c>
      <c r="K713" s="312"/>
      <c r="L713" s="312"/>
      <c r="M713" s="312"/>
      <c r="N713" s="362"/>
      <c r="O713" s="312"/>
      <c r="P713" s="312"/>
      <c r="S713" s="2">
        <f t="shared" si="5"/>
        <v>0</v>
      </c>
      <c r="AA713" s="312"/>
      <c r="AB713" s="312"/>
      <c r="AC713" s="312"/>
      <c r="AD713" s="312"/>
    </row>
    <row r="714">
      <c r="A714" s="312"/>
      <c r="B714" s="344">
        <f t="shared" si="1"/>
        <v>1714.918281</v>
      </c>
      <c r="C714" s="344">
        <v>120.0</v>
      </c>
      <c r="D714" s="369"/>
      <c r="E714" s="344" t="str">
        <f t="shared" si="2"/>
        <v>Saturday</v>
      </c>
      <c r="F714" s="344" t="s">
        <v>554</v>
      </c>
      <c r="G714" s="370"/>
      <c r="H714" s="370"/>
      <c r="I714" s="357">
        <f t="shared" si="3"/>
        <v>0</v>
      </c>
      <c r="J714" s="346">
        <f t="shared" si="4"/>
        <v>0</v>
      </c>
      <c r="K714" s="312"/>
      <c r="L714" s="312"/>
      <c r="M714" s="312"/>
      <c r="N714" s="362"/>
      <c r="O714" s="312"/>
      <c r="P714" s="312"/>
      <c r="S714" s="2">
        <f t="shared" si="5"/>
        <v>0</v>
      </c>
      <c r="AA714" s="312"/>
      <c r="AB714" s="312"/>
      <c r="AC714" s="312"/>
      <c r="AD714" s="312"/>
    </row>
    <row r="715">
      <c r="A715" s="312"/>
      <c r="B715" s="344">
        <f t="shared" si="1"/>
        <v>1714.918281</v>
      </c>
      <c r="C715" s="344">
        <v>120.0</v>
      </c>
      <c r="D715" s="369"/>
      <c r="E715" s="344" t="str">
        <f t="shared" si="2"/>
        <v>Saturday</v>
      </c>
      <c r="F715" s="344" t="s">
        <v>554</v>
      </c>
      <c r="G715" s="370"/>
      <c r="H715" s="370"/>
      <c r="I715" s="357">
        <f t="shared" si="3"/>
        <v>0</v>
      </c>
      <c r="J715" s="346">
        <f t="shared" si="4"/>
        <v>0</v>
      </c>
      <c r="K715" s="312"/>
      <c r="L715" s="312"/>
      <c r="M715" s="312"/>
      <c r="N715" s="362"/>
      <c r="O715" s="312"/>
      <c r="P715" s="312"/>
      <c r="S715" s="2">
        <f t="shared" si="5"/>
        <v>0</v>
      </c>
      <c r="AA715" s="312"/>
      <c r="AB715" s="312"/>
      <c r="AC715" s="312"/>
      <c r="AD715" s="312"/>
    </row>
    <row r="716">
      <c r="A716" s="312"/>
      <c r="B716" s="344">
        <f t="shared" si="1"/>
        <v>1714.918281</v>
      </c>
      <c r="C716" s="344">
        <v>120.0</v>
      </c>
      <c r="D716" s="369"/>
      <c r="E716" s="344" t="str">
        <f t="shared" si="2"/>
        <v>Saturday</v>
      </c>
      <c r="F716" s="344" t="s">
        <v>554</v>
      </c>
      <c r="G716" s="370"/>
      <c r="H716" s="370"/>
      <c r="I716" s="357">
        <f t="shared" si="3"/>
        <v>0</v>
      </c>
      <c r="J716" s="346">
        <f t="shared" si="4"/>
        <v>0</v>
      </c>
      <c r="K716" s="312"/>
      <c r="L716" s="312"/>
      <c r="M716" s="312"/>
      <c r="N716" s="362"/>
      <c r="O716" s="312"/>
      <c r="P716" s="312"/>
      <c r="S716" s="2">
        <f t="shared" si="5"/>
        <v>0</v>
      </c>
      <c r="AA716" s="312"/>
      <c r="AB716" s="312"/>
      <c r="AC716" s="312"/>
      <c r="AD716" s="312"/>
    </row>
    <row r="717">
      <c r="A717" s="312"/>
      <c r="B717" s="344">
        <f t="shared" si="1"/>
        <v>1714.918281</v>
      </c>
      <c r="C717" s="344">
        <v>120.0</v>
      </c>
      <c r="D717" s="369"/>
      <c r="E717" s="344" t="str">
        <f t="shared" si="2"/>
        <v>Saturday</v>
      </c>
      <c r="F717" s="344" t="s">
        <v>554</v>
      </c>
      <c r="G717" s="370"/>
      <c r="H717" s="370"/>
      <c r="I717" s="357">
        <f t="shared" si="3"/>
        <v>0</v>
      </c>
      <c r="J717" s="346">
        <f t="shared" si="4"/>
        <v>0</v>
      </c>
      <c r="K717" s="312"/>
      <c r="L717" s="312"/>
      <c r="M717" s="312"/>
      <c r="N717" s="362"/>
      <c r="O717" s="312"/>
      <c r="P717" s="312"/>
      <c r="S717" s="2">
        <f t="shared" si="5"/>
        <v>0</v>
      </c>
      <c r="AA717" s="312"/>
      <c r="AB717" s="312"/>
      <c r="AC717" s="312"/>
      <c r="AD717" s="312"/>
    </row>
    <row r="718">
      <c r="A718" s="312"/>
      <c r="B718" s="344">
        <f t="shared" si="1"/>
        <v>1714.918281</v>
      </c>
      <c r="C718" s="344">
        <v>120.0</v>
      </c>
      <c r="D718" s="369"/>
      <c r="E718" s="344" t="str">
        <f t="shared" si="2"/>
        <v>Saturday</v>
      </c>
      <c r="F718" s="344" t="s">
        <v>554</v>
      </c>
      <c r="G718" s="370"/>
      <c r="H718" s="370"/>
      <c r="I718" s="357">
        <f t="shared" si="3"/>
        <v>0</v>
      </c>
      <c r="J718" s="346">
        <f t="shared" si="4"/>
        <v>0</v>
      </c>
      <c r="K718" s="312"/>
      <c r="L718" s="312"/>
      <c r="M718" s="312"/>
      <c r="N718" s="362"/>
      <c r="O718" s="312"/>
      <c r="P718" s="312"/>
      <c r="S718" s="2">
        <f t="shared" si="5"/>
        <v>0</v>
      </c>
      <c r="AA718" s="312"/>
      <c r="AB718" s="312"/>
      <c r="AC718" s="312"/>
      <c r="AD718" s="312"/>
    </row>
    <row r="719">
      <c r="A719" s="312"/>
      <c r="B719" s="344">
        <f t="shared" si="1"/>
        <v>1714.918281</v>
      </c>
      <c r="C719" s="344">
        <v>120.0</v>
      </c>
      <c r="D719" s="369"/>
      <c r="E719" s="344" t="str">
        <f t="shared" si="2"/>
        <v>Saturday</v>
      </c>
      <c r="F719" s="344" t="s">
        <v>554</v>
      </c>
      <c r="G719" s="370"/>
      <c r="H719" s="370"/>
      <c r="I719" s="357">
        <f t="shared" si="3"/>
        <v>0</v>
      </c>
      <c r="J719" s="346">
        <f t="shared" si="4"/>
        <v>0</v>
      </c>
      <c r="K719" s="312"/>
      <c r="L719" s="312"/>
      <c r="M719" s="312"/>
      <c r="N719" s="362"/>
      <c r="O719" s="312"/>
      <c r="P719" s="312"/>
      <c r="S719" s="2">
        <f t="shared" si="5"/>
        <v>0</v>
      </c>
      <c r="AA719" s="312"/>
      <c r="AB719" s="312"/>
      <c r="AC719" s="312"/>
      <c r="AD719" s="312"/>
    </row>
    <row r="720">
      <c r="A720" s="312"/>
      <c r="B720" s="344">
        <f t="shared" si="1"/>
        <v>1714.918281</v>
      </c>
      <c r="C720" s="344">
        <v>120.0</v>
      </c>
      <c r="D720" s="369"/>
      <c r="E720" s="344" t="str">
        <f t="shared" si="2"/>
        <v>Saturday</v>
      </c>
      <c r="F720" s="344" t="s">
        <v>554</v>
      </c>
      <c r="G720" s="370"/>
      <c r="H720" s="370"/>
      <c r="I720" s="357">
        <f t="shared" si="3"/>
        <v>0</v>
      </c>
      <c r="J720" s="346">
        <f t="shared" si="4"/>
        <v>0</v>
      </c>
      <c r="K720" s="312"/>
      <c r="L720" s="312"/>
      <c r="M720" s="312"/>
      <c r="N720" s="362"/>
      <c r="O720" s="312"/>
      <c r="P720" s="312"/>
      <c r="S720" s="2">
        <f t="shared" si="5"/>
        <v>0</v>
      </c>
      <c r="AA720" s="312"/>
      <c r="AB720" s="312"/>
      <c r="AC720" s="312"/>
      <c r="AD720" s="312"/>
    </row>
    <row r="721">
      <c r="A721" s="312"/>
      <c r="B721" s="344">
        <f t="shared" si="1"/>
        <v>1714.918281</v>
      </c>
      <c r="C721" s="344">
        <v>120.0</v>
      </c>
      <c r="D721" s="369"/>
      <c r="E721" s="344" t="str">
        <f t="shared" si="2"/>
        <v>Saturday</v>
      </c>
      <c r="F721" s="344" t="s">
        <v>554</v>
      </c>
      <c r="G721" s="370"/>
      <c r="H721" s="370"/>
      <c r="I721" s="357">
        <f t="shared" si="3"/>
        <v>0</v>
      </c>
      <c r="J721" s="346">
        <f t="shared" si="4"/>
        <v>0</v>
      </c>
      <c r="K721" s="312"/>
      <c r="L721" s="312"/>
      <c r="M721" s="312"/>
      <c r="N721" s="362"/>
      <c r="O721" s="312"/>
      <c r="P721" s="312"/>
      <c r="S721" s="2">
        <f t="shared" si="5"/>
        <v>0</v>
      </c>
      <c r="AA721" s="312"/>
      <c r="AB721" s="312"/>
      <c r="AC721" s="312"/>
      <c r="AD721" s="312"/>
    </row>
    <row r="722">
      <c r="A722" s="312"/>
      <c r="B722" s="344">
        <f t="shared" si="1"/>
        <v>1714.918281</v>
      </c>
      <c r="C722" s="344">
        <v>120.0</v>
      </c>
      <c r="D722" s="369"/>
      <c r="E722" s="344" t="str">
        <f t="shared" si="2"/>
        <v>Saturday</v>
      </c>
      <c r="F722" s="344" t="s">
        <v>554</v>
      </c>
      <c r="G722" s="370"/>
      <c r="H722" s="370"/>
      <c r="I722" s="357">
        <f t="shared" si="3"/>
        <v>0</v>
      </c>
      <c r="J722" s="346">
        <f t="shared" si="4"/>
        <v>0</v>
      </c>
      <c r="K722" s="312"/>
      <c r="L722" s="312"/>
      <c r="M722" s="312"/>
      <c r="N722" s="362"/>
      <c r="O722" s="312"/>
      <c r="P722" s="312"/>
      <c r="S722" s="2">
        <f t="shared" si="5"/>
        <v>0</v>
      </c>
      <c r="AA722" s="312"/>
      <c r="AB722" s="312"/>
      <c r="AC722" s="312"/>
      <c r="AD722" s="312"/>
    </row>
    <row r="723">
      <c r="A723" s="312"/>
      <c r="B723" s="344">
        <f t="shared" si="1"/>
        <v>1714.918281</v>
      </c>
      <c r="C723" s="344">
        <v>120.0</v>
      </c>
      <c r="D723" s="369"/>
      <c r="E723" s="344" t="str">
        <f t="shared" si="2"/>
        <v>Saturday</v>
      </c>
      <c r="F723" s="344" t="s">
        <v>554</v>
      </c>
      <c r="G723" s="370"/>
      <c r="H723" s="370"/>
      <c r="I723" s="357">
        <f t="shared" si="3"/>
        <v>0</v>
      </c>
      <c r="J723" s="346">
        <f t="shared" si="4"/>
        <v>0</v>
      </c>
      <c r="K723" s="312"/>
      <c r="L723" s="312"/>
      <c r="M723" s="312"/>
      <c r="N723" s="362"/>
      <c r="O723" s="312"/>
      <c r="P723" s="312"/>
      <c r="S723" s="2">
        <f t="shared" si="5"/>
        <v>0</v>
      </c>
      <c r="AA723" s="312"/>
      <c r="AB723" s="312"/>
      <c r="AC723" s="312"/>
      <c r="AD723" s="312"/>
    </row>
    <row r="724">
      <c r="A724" s="312"/>
      <c r="B724" s="344">
        <f t="shared" si="1"/>
        <v>1714.918281</v>
      </c>
      <c r="C724" s="344">
        <v>120.0</v>
      </c>
      <c r="D724" s="369"/>
      <c r="E724" s="344" t="str">
        <f t="shared" si="2"/>
        <v>Saturday</v>
      </c>
      <c r="F724" s="344" t="s">
        <v>554</v>
      </c>
      <c r="G724" s="370"/>
      <c r="H724" s="370"/>
      <c r="I724" s="357">
        <f t="shared" si="3"/>
        <v>0</v>
      </c>
      <c r="J724" s="346">
        <f t="shared" si="4"/>
        <v>0</v>
      </c>
      <c r="K724" s="312"/>
      <c r="L724" s="312"/>
      <c r="M724" s="312"/>
      <c r="N724" s="362"/>
      <c r="O724" s="312"/>
      <c r="P724" s="312"/>
      <c r="S724" s="2">
        <f t="shared" si="5"/>
        <v>0</v>
      </c>
      <c r="AA724" s="312"/>
      <c r="AB724" s="312"/>
      <c r="AC724" s="312"/>
      <c r="AD724" s="312"/>
    </row>
    <row r="725">
      <c r="A725" s="312"/>
      <c r="B725" s="344">
        <f t="shared" si="1"/>
        <v>1714.918281</v>
      </c>
      <c r="C725" s="344">
        <v>120.0</v>
      </c>
      <c r="D725" s="369"/>
      <c r="E725" s="344" t="str">
        <f t="shared" si="2"/>
        <v>Saturday</v>
      </c>
      <c r="F725" s="344" t="s">
        <v>554</v>
      </c>
      <c r="G725" s="370"/>
      <c r="H725" s="370"/>
      <c r="I725" s="357">
        <f t="shared" si="3"/>
        <v>0</v>
      </c>
      <c r="J725" s="346">
        <f t="shared" si="4"/>
        <v>0</v>
      </c>
      <c r="K725" s="312"/>
      <c r="L725" s="312"/>
      <c r="M725" s="312"/>
      <c r="N725" s="362"/>
      <c r="O725" s="312"/>
      <c r="P725" s="312"/>
      <c r="S725" s="2">
        <f t="shared" si="5"/>
        <v>0</v>
      </c>
      <c r="AA725" s="312"/>
      <c r="AB725" s="312"/>
      <c r="AC725" s="312"/>
      <c r="AD725" s="312"/>
    </row>
    <row r="726">
      <c r="A726" s="312"/>
      <c r="B726" s="344">
        <f t="shared" si="1"/>
        <v>1714.918281</v>
      </c>
      <c r="C726" s="344">
        <v>120.0</v>
      </c>
      <c r="D726" s="369"/>
      <c r="E726" s="344" t="str">
        <f t="shared" si="2"/>
        <v>Saturday</v>
      </c>
      <c r="F726" s="344" t="s">
        <v>554</v>
      </c>
      <c r="G726" s="370"/>
      <c r="H726" s="370"/>
      <c r="I726" s="357">
        <f t="shared" si="3"/>
        <v>0</v>
      </c>
      <c r="J726" s="346">
        <f t="shared" si="4"/>
        <v>0</v>
      </c>
      <c r="K726" s="312"/>
      <c r="L726" s="312"/>
      <c r="M726" s="312"/>
      <c r="N726" s="362"/>
      <c r="O726" s="312"/>
      <c r="P726" s="312"/>
      <c r="S726" s="2">
        <f t="shared" si="5"/>
        <v>0</v>
      </c>
      <c r="AA726" s="312"/>
      <c r="AB726" s="312"/>
      <c r="AC726" s="312"/>
      <c r="AD726" s="312"/>
    </row>
    <row r="727">
      <c r="A727" s="312"/>
      <c r="B727" s="344">
        <f t="shared" si="1"/>
        <v>1714.918281</v>
      </c>
      <c r="C727" s="344">
        <v>120.0</v>
      </c>
      <c r="D727" s="369"/>
      <c r="E727" s="344" t="str">
        <f t="shared" si="2"/>
        <v>Saturday</v>
      </c>
      <c r="F727" s="344" t="s">
        <v>554</v>
      </c>
      <c r="G727" s="370"/>
      <c r="H727" s="370"/>
      <c r="I727" s="357">
        <f t="shared" si="3"/>
        <v>0</v>
      </c>
      <c r="J727" s="346">
        <f t="shared" si="4"/>
        <v>0</v>
      </c>
      <c r="K727" s="312"/>
      <c r="L727" s="312"/>
      <c r="M727" s="312"/>
      <c r="N727" s="362"/>
      <c r="O727" s="312"/>
      <c r="P727" s="312"/>
      <c r="S727" s="2">
        <f t="shared" si="5"/>
        <v>0</v>
      </c>
      <c r="AA727" s="312"/>
      <c r="AB727" s="312"/>
      <c r="AC727" s="312"/>
      <c r="AD727" s="312"/>
    </row>
    <row r="728">
      <c r="A728" s="312"/>
      <c r="B728" s="344">
        <f t="shared" si="1"/>
        <v>1714.918281</v>
      </c>
      <c r="C728" s="344">
        <v>120.0</v>
      </c>
      <c r="D728" s="369"/>
      <c r="E728" s="344" t="str">
        <f t="shared" si="2"/>
        <v>Saturday</v>
      </c>
      <c r="F728" s="344" t="s">
        <v>554</v>
      </c>
      <c r="G728" s="370"/>
      <c r="H728" s="370"/>
      <c r="I728" s="357">
        <f t="shared" si="3"/>
        <v>0</v>
      </c>
      <c r="J728" s="346">
        <f t="shared" si="4"/>
        <v>0</v>
      </c>
      <c r="K728" s="312"/>
      <c r="L728" s="312"/>
      <c r="M728" s="312"/>
      <c r="N728" s="362"/>
      <c r="O728" s="312"/>
      <c r="P728" s="312"/>
      <c r="S728" s="2">
        <f t="shared" si="5"/>
        <v>0</v>
      </c>
      <c r="AA728" s="312"/>
      <c r="AB728" s="312"/>
      <c r="AC728" s="312"/>
      <c r="AD728" s="312"/>
    </row>
    <row r="729">
      <c r="A729" s="312"/>
      <c r="B729" s="344">
        <f t="shared" si="1"/>
        <v>1714.918281</v>
      </c>
      <c r="C729" s="344">
        <v>120.0</v>
      </c>
      <c r="D729" s="369"/>
      <c r="E729" s="344" t="str">
        <f t="shared" si="2"/>
        <v>Saturday</v>
      </c>
      <c r="F729" s="344" t="s">
        <v>554</v>
      </c>
      <c r="G729" s="370"/>
      <c r="H729" s="370"/>
      <c r="I729" s="357">
        <f t="shared" si="3"/>
        <v>0</v>
      </c>
      <c r="J729" s="346">
        <f t="shared" si="4"/>
        <v>0</v>
      </c>
      <c r="K729" s="312"/>
      <c r="L729" s="312"/>
      <c r="M729" s="312"/>
      <c r="N729" s="362"/>
      <c r="O729" s="312"/>
      <c r="P729" s="312"/>
      <c r="S729" s="2">
        <f t="shared" si="5"/>
        <v>0</v>
      </c>
      <c r="AA729" s="312"/>
      <c r="AB729" s="312"/>
      <c r="AC729" s="312"/>
      <c r="AD729" s="312"/>
    </row>
    <row r="730">
      <c r="A730" s="312"/>
      <c r="B730" s="344">
        <f t="shared" si="1"/>
        <v>1714.918281</v>
      </c>
      <c r="C730" s="344">
        <v>120.0</v>
      </c>
      <c r="D730" s="369"/>
      <c r="E730" s="344" t="str">
        <f t="shared" si="2"/>
        <v>Saturday</v>
      </c>
      <c r="F730" s="344" t="s">
        <v>554</v>
      </c>
      <c r="G730" s="370"/>
      <c r="H730" s="370"/>
      <c r="I730" s="357">
        <f t="shared" si="3"/>
        <v>0</v>
      </c>
      <c r="J730" s="346">
        <f t="shared" si="4"/>
        <v>0</v>
      </c>
      <c r="K730" s="312"/>
      <c r="L730" s="312"/>
      <c r="M730" s="312"/>
      <c r="N730" s="362"/>
      <c r="O730" s="312"/>
      <c r="P730" s="312"/>
      <c r="S730" s="2">
        <f t="shared" si="5"/>
        <v>0</v>
      </c>
      <c r="AA730" s="312"/>
      <c r="AB730" s="312"/>
      <c r="AC730" s="312"/>
      <c r="AD730" s="312"/>
    </row>
    <row r="731">
      <c r="A731" s="312"/>
      <c r="B731" s="344">
        <f t="shared" si="1"/>
        <v>1714.918281</v>
      </c>
      <c r="C731" s="344">
        <v>120.0</v>
      </c>
      <c r="D731" s="369"/>
      <c r="E731" s="344" t="str">
        <f t="shared" si="2"/>
        <v>Saturday</v>
      </c>
      <c r="F731" s="344" t="s">
        <v>554</v>
      </c>
      <c r="G731" s="370"/>
      <c r="H731" s="370"/>
      <c r="I731" s="357">
        <f t="shared" si="3"/>
        <v>0</v>
      </c>
      <c r="J731" s="346">
        <f t="shared" si="4"/>
        <v>0</v>
      </c>
      <c r="K731" s="312"/>
      <c r="L731" s="312"/>
      <c r="M731" s="312"/>
      <c r="N731" s="362"/>
      <c r="O731" s="312"/>
      <c r="P731" s="312"/>
      <c r="S731" s="2">
        <f t="shared" si="5"/>
        <v>0</v>
      </c>
      <c r="AA731" s="312"/>
      <c r="AB731" s="312"/>
      <c r="AC731" s="312"/>
      <c r="AD731" s="312"/>
    </row>
    <row r="732">
      <c r="A732" s="312"/>
      <c r="B732" s="344">
        <f t="shared" si="1"/>
        <v>1714.918281</v>
      </c>
      <c r="C732" s="344">
        <v>120.0</v>
      </c>
      <c r="D732" s="369"/>
      <c r="E732" s="344" t="str">
        <f t="shared" si="2"/>
        <v>Saturday</v>
      </c>
      <c r="F732" s="344" t="s">
        <v>554</v>
      </c>
      <c r="G732" s="370"/>
      <c r="H732" s="370"/>
      <c r="I732" s="357">
        <f t="shared" si="3"/>
        <v>0</v>
      </c>
      <c r="J732" s="346">
        <f t="shared" si="4"/>
        <v>0</v>
      </c>
      <c r="K732" s="312"/>
      <c r="L732" s="312"/>
      <c r="M732" s="312"/>
      <c r="N732" s="362"/>
      <c r="O732" s="312"/>
      <c r="P732" s="312"/>
      <c r="S732" s="2">
        <f t="shared" si="5"/>
        <v>0</v>
      </c>
      <c r="AA732" s="312"/>
      <c r="AB732" s="312"/>
      <c r="AC732" s="312"/>
      <c r="AD732" s="312"/>
    </row>
    <row r="733">
      <c r="A733" s="312"/>
      <c r="B733" s="344">
        <f t="shared" si="1"/>
        <v>1714.918281</v>
      </c>
      <c r="C733" s="344">
        <v>120.0</v>
      </c>
      <c r="D733" s="369"/>
      <c r="E733" s="344" t="str">
        <f t="shared" si="2"/>
        <v>Saturday</v>
      </c>
      <c r="F733" s="344" t="s">
        <v>554</v>
      </c>
      <c r="G733" s="370"/>
      <c r="H733" s="370"/>
      <c r="I733" s="357">
        <f t="shared" si="3"/>
        <v>0</v>
      </c>
      <c r="J733" s="346">
        <f t="shared" si="4"/>
        <v>0</v>
      </c>
      <c r="K733" s="312"/>
      <c r="L733" s="312"/>
      <c r="M733" s="312"/>
      <c r="N733" s="362"/>
      <c r="O733" s="312"/>
      <c r="P733" s="312"/>
      <c r="S733" s="2">
        <f t="shared" si="5"/>
        <v>0</v>
      </c>
      <c r="AA733" s="312"/>
      <c r="AB733" s="312"/>
      <c r="AC733" s="312"/>
      <c r="AD733" s="312"/>
    </row>
    <row r="734">
      <c r="A734" s="312"/>
      <c r="B734" s="344">
        <f t="shared" si="1"/>
        <v>1714.918281</v>
      </c>
      <c r="C734" s="344">
        <v>120.0</v>
      </c>
      <c r="D734" s="369"/>
      <c r="E734" s="344" t="str">
        <f t="shared" si="2"/>
        <v>Saturday</v>
      </c>
      <c r="F734" s="344" t="s">
        <v>554</v>
      </c>
      <c r="G734" s="370"/>
      <c r="H734" s="370"/>
      <c r="I734" s="357">
        <f t="shared" si="3"/>
        <v>0</v>
      </c>
      <c r="J734" s="346">
        <f t="shared" si="4"/>
        <v>0</v>
      </c>
      <c r="K734" s="312"/>
      <c r="L734" s="312"/>
      <c r="M734" s="312"/>
      <c r="N734" s="362"/>
      <c r="O734" s="312"/>
      <c r="P734" s="312"/>
      <c r="S734" s="2">
        <f t="shared" si="5"/>
        <v>0</v>
      </c>
      <c r="AA734" s="312"/>
      <c r="AB734" s="312"/>
      <c r="AC734" s="312"/>
      <c r="AD734" s="312"/>
    </row>
    <row r="735">
      <c r="A735" s="312"/>
      <c r="B735" s="344">
        <f t="shared" si="1"/>
        <v>1714.918281</v>
      </c>
      <c r="C735" s="344">
        <v>120.0</v>
      </c>
      <c r="D735" s="369"/>
      <c r="E735" s="344" t="str">
        <f t="shared" si="2"/>
        <v>Saturday</v>
      </c>
      <c r="F735" s="344" t="s">
        <v>554</v>
      </c>
      <c r="G735" s="370"/>
      <c r="H735" s="370"/>
      <c r="I735" s="357">
        <f t="shared" si="3"/>
        <v>0</v>
      </c>
      <c r="J735" s="346">
        <f t="shared" si="4"/>
        <v>0</v>
      </c>
      <c r="K735" s="312"/>
      <c r="L735" s="312"/>
      <c r="M735" s="312"/>
      <c r="N735" s="362"/>
      <c r="O735" s="312"/>
      <c r="P735" s="312"/>
      <c r="S735" s="2">
        <f t="shared" si="5"/>
        <v>0</v>
      </c>
      <c r="AA735" s="312"/>
      <c r="AB735" s="312"/>
      <c r="AC735" s="312"/>
      <c r="AD735" s="312"/>
    </row>
    <row r="736">
      <c r="A736" s="312"/>
      <c r="B736" s="344">
        <f t="shared" si="1"/>
        <v>1714.918281</v>
      </c>
      <c r="C736" s="344">
        <v>120.0</v>
      </c>
      <c r="D736" s="369"/>
      <c r="E736" s="344" t="str">
        <f t="shared" si="2"/>
        <v>Saturday</v>
      </c>
      <c r="F736" s="344" t="s">
        <v>554</v>
      </c>
      <c r="G736" s="370"/>
      <c r="H736" s="370"/>
      <c r="I736" s="357">
        <f t="shared" si="3"/>
        <v>0</v>
      </c>
      <c r="J736" s="346">
        <f t="shared" si="4"/>
        <v>0</v>
      </c>
      <c r="K736" s="312"/>
      <c r="L736" s="312"/>
      <c r="M736" s="312"/>
      <c r="N736" s="362"/>
      <c r="O736" s="312"/>
      <c r="P736" s="312"/>
      <c r="S736" s="2">
        <f t="shared" si="5"/>
        <v>0</v>
      </c>
      <c r="AA736" s="312"/>
      <c r="AB736" s="312"/>
      <c r="AC736" s="312"/>
      <c r="AD736" s="312"/>
    </row>
    <row r="737">
      <c r="A737" s="312"/>
      <c r="B737" s="344">
        <f t="shared" si="1"/>
        <v>1714.918281</v>
      </c>
      <c r="C737" s="344">
        <v>120.0</v>
      </c>
      <c r="D737" s="369"/>
      <c r="E737" s="344" t="str">
        <f t="shared" si="2"/>
        <v>Saturday</v>
      </c>
      <c r="F737" s="344" t="s">
        <v>554</v>
      </c>
      <c r="G737" s="370"/>
      <c r="H737" s="370"/>
      <c r="I737" s="357">
        <f t="shared" si="3"/>
        <v>0</v>
      </c>
      <c r="J737" s="346">
        <f t="shared" si="4"/>
        <v>0</v>
      </c>
      <c r="K737" s="312"/>
      <c r="L737" s="312"/>
      <c r="M737" s="312"/>
      <c r="N737" s="362"/>
      <c r="O737" s="312"/>
      <c r="P737" s="312"/>
      <c r="S737" s="2">
        <f t="shared" si="5"/>
        <v>0</v>
      </c>
      <c r="AA737" s="312"/>
      <c r="AB737" s="312"/>
      <c r="AC737" s="312"/>
      <c r="AD737" s="312"/>
    </row>
    <row r="738">
      <c r="A738" s="312"/>
      <c r="B738" s="344">
        <f t="shared" si="1"/>
        <v>1714.918281</v>
      </c>
      <c r="C738" s="344">
        <v>120.0</v>
      </c>
      <c r="D738" s="369"/>
      <c r="E738" s="344" t="str">
        <f t="shared" si="2"/>
        <v>Saturday</v>
      </c>
      <c r="F738" s="344" t="s">
        <v>554</v>
      </c>
      <c r="G738" s="370"/>
      <c r="H738" s="370"/>
      <c r="I738" s="357">
        <f t="shared" si="3"/>
        <v>0</v>
      </c>
      <c r="J738" s="346">
        <f t="shared" si="4"/>
        <v>0</v>
      </c>
      <c r="K738" s="312"/>
      <c r="L738" s="312"/>
      <c r="M738" s="312"/>
      <c r="N738" s="362"/>
      <c r="O738" s="312"/>
      <c r="P738" s="312"/>
      <c r="S738" s="2">
        <f t="shared" si="5"/>
        <v>0</v>
      </c>
      <c r="AA738" s="312"/>
      <c r="AB738" s="312"/>
      <c r="AC738" s="312"/>
      <c r="AD738" s="312"/>
    </row>
    <row r="739">
      <c r="A739" s="312"/>
      <c r="B739" s="344">
        <f t="shared" si="1"/>
        <v>1714.918281</v>
      </c>
      <c r="C739" s="344">
        <v>120.0</v>
      </c>
      <c r="D739" s="369"/>
      <c r="E739" s="344" t="str">
        <f t="shared" si="2"/>
        <v>Saturday</v>
      </c>
      <c r="F739" s="344" t="s">
        <v>554</v>
      </c>
      <c r="G739" s="370"/>
      <c r="H739" s="370"/>
      <c r="I739" s="357">
        <f t="shared" si="3"/>
        <v>0</v>
      </c>
      <c r="J739" s="346">
        <f t="shared" si="4"/>
        <v>0</v>
      </c>
      <c r="K739" s="312"/>
      <c r="L739" s="312"/>
      <c r="M739" s="312"/>
      <c r="N739" s="362"/>
      <c r="O739" s="312"/>
      <c r="P739" s="312"/>
      <c r="S739" s="2">
        <f t="shared" si="5"/>
        <v>0</v>
      </c>
      <c r="AA739" s="312"/>
      <c r="AB739" s="312"/>
      <c r="AC739" s="312"/>
      <c r="AD739" s="312"/>
    </row>
    <row r="740">
      <c r="A740" s="312"/>
      <c r="B740" s="344">
        <f t="shared" si="1"/>
        <v>1714.918281</v>
      </c>
      <c r="C740" s="344">
        <v>120.0</v>
      </c>
      <c r="D740" s="369"/>
      <c r="E740" s="344" t="str">
        <f t="shared" si="2"/>
        <v>Saturday</v>
      </c>
      <c r="F740" s="344" t="s">
        <v>554</v>
      </c>
      <c r="G740" s="370"/>
      <c r="H740" s="370"/>
      <c r="I740" s="357">
        <f t="shared" si="3"/>
        <v>0</v>
      </c>
      <c r="J740" s="346">
        <f t="shared" si="4"/>
        <v>0</v>
      </c>
      <c r="K740" s="312"/>
      <c r="L740" s="312"/>
      <c r="M740" s="312"/>
      <c r="N740" s="362"/>
      <c r="O740" s="312"/>
      <c r="P740" s="312"/>
      <c r="S740" s="2">
        <f t="shared" si="5"/>
        <v>0</v>
      </c>
      <c r="AA740" s="312"/>
      <c r="AB740" s="312"/>
      <c r="AC740" s="312"/>
      <c r="AD740" s="312"/>
    </row>
    <row r="741">
      <c r="A741" s="312"/>
      <c r="B741" s="344">
        <f t="shared" si="1"/>
        <v>1714.918281</v>
      </c>
      <c r="C741" s="344">
        <v>120.0</v>
      </c>
      <c r="D741" s="369"/>
      <c r="E741" s="344" t="str">
        <f t="shared" si="2"/>
        <v>Saturday</v>
      </c>
      <c r="F741" s="344" t="s">
        <v>554</v>
      </c>
      <c r="G741" s="370"/>
      <c r="H741" s="370"/>
      <c r="I741" s="357">
        <f t="shared" si="3"/>
        <v>0</v>
      </c>
      <c r="J741" s="346">
        <f t="shared" si="4"/>
        <v>0</v>
      </c>
      <c r="K741" s="312"/>
      <c r="L741" s="312"/>
      <c r="M741" s="312"/>
      <c r="N741" s="362"/>
      <c r="O741" s="312"/>
      <c r="P741" s="312"/>
      <c r="S741" s="2">
        <f t="shared" si="5"/>
        <v>0</v>
      </c>
      <c r="AA741" s="312"/>
      <c r="AB741" s="312"/>
      <c r="AC741" s="312"/>
      <c r="AD741" s="312"/>
    </row>
    <row r="742">
      <c r="A742" s="312"/>
      <c r="B742" s="344">
        <f t="shared" si="1"/>
        <v>1714.918281</v>
      </c>
      <c r="C742" s="344">
        <v>120.0</v>
      </c>
      <c r="D742" s="369"/>
      <c r="E742" s="344" t="str">
        <f t="shared" si="2"/>
        <v>Saturday</v>
      </c>
      <c r="F742" s="344" t="s">
        <v>554</v>
      </c>
      <c r="G742" s="370"/>
      <c r="H742" s="370"/>
      <c r="I742" s="357">
        <f t="shared" si="3"/>
        <v>0</v>
      </c>
      <c r="J742" s="346">
        <f t="shared" si="4"/>
        <v>0</v>
      </c>
      <c r="K742" s="312"/>
      <c r="L742" s="312"/>
      <c r="M742" s="312"/>
      <c r="N742" s="362"/>
      <c r="O742" s="312"/>
      <c r="P742" s="312"/>
      <c r="S742" s="2">
        <f t="shared" si="5"/>
        <v>0</v>
      </c>
      <c r="AA742" s="312"/>
      <c r="AB742" s="312"/>
      <c r="AC742" s="312"/>
      <c r="AD742" s="312"/>
    </row>
    <row r="743">
      <c r="A743" s="312"/>
      <c r="B743" s="344">
        <f t="shared" si="1"/>
        <v>1714.918281</v>
      </c>
      <c r="C743" s="344">
        <v>120.0</v>
      </c>
      <c r="D743" s="369"/>
      <c r="E743" s="344" t="str">
        <f t="shared" si="2"/>
        <v>Saturday</v>
      </c>
      <c r="F743" s="344" t="s">
        <v>554</v>
      </c>
      <c r="G743" s="370"/>
      <c r="H743" s="370"/>
      <c r="I743" s="357">
        <f t="shared" si="3"/>
        <v>0</v>
      </c>
      <c r="J743" s="346">
        <f t="shared" si="4"/>
        <v>0</v>
      </c>
      <c r="K743" s="312"/>
      <c r="L743" s="312"/>
      <c r="M743" s="312"/>
      <c r="N743" s="362"/>
      <c r="O743" s="312"/>
      <c r="P743" s="312"/>
      <c r="S743" s="2">
        <f t="shared" si="5"/>
        <v>0</v>
      </c>
      <c r="AA743" s="312"/>
      <c r="AB743" s="312"/>
      <c r="AC743" s="312"/>
      <c r="AD743" s="312"/>
    </row>
    <row r="744">
      <c r="A744" s="312"/>
      <c r="B744" s="344">
        <f t="shared" si="1"/>
        <v>1714.918281</v>
      </c>
      <c r="C744" s="344">
        <v>120.0</v>
      </c>
      <c r="D744" s="369"/>
      <c r="E744" s="344" t="str">
        <f t="shared" si="2"/>
        <v>Saturday</v>
      </c>
      <c r="F744" s="344" t="s">
        <v>554</v>
      </c>
      <c r="G744" s="370"/>
      <c r="H744" s="370"/>
      <c r="I744" s="357">
        <f t="shared" si="3"/>
        <v>0</v>
      </c>
      <c r="J744" s="346">
        <f t="shared" si="4"/>
        <v>0</v>
      </c>
      <c r="K744" s="312"/>
      <c r="L744" s="312"/>
      <c r="M744" s="312"/>
      <c r="N744" s="362"/>
      <c r="O744" s="312"/>
      <c r="P744" s="312"/>
      <c r="S744" s="2">
        <f t="shared" si="5"/>
        <v>0</v>
      </c>
      <c r="AA744" s="312"/>
      <c r="AB744" s="312"/>
      <c r="AC744" s="312"/>
      <c r="AD744" s="312"/>
    </row>
    <row r="745">
      <c r="A745" s="312"/>
      <c r="B745" s="344">
        <f t="shared" si="1"/>
        <v>1714.918281</v>
      </c>
      <c r="C745" s="344">
        <v>120.0</v>
      </c>
      <c r="D745" s="369"/>
      <c r="E745" s="344" t="str">
        <f t="shared" si="2"/>
        <v>Saturday</v>
      </c>
      <c r="F745" s="344" t="s">
        <v>554</v>
      </c>
      <c r="G745" s="370"/>
      <c r="H745" s="370"/>
      <c r="I745" s="357">
        <f t="shared" si="3"/>
        <v>0</v>
      </c>
      <c r="J745" s="346">
        <f t="shared" si="4"/>
        <v>0</v>
      </c>
      <c r="K745" s="312"/>
      <c r="L745" s="312"/>
      <c r="M745" s="312"/>
      <c r="N745" s="362"/>
      <c r="O745" s="312"/>
      <c r="P745" s="312"/>
      <c r="S745" s="2">
        <f t="shared" si="5"/>
        <v>0</v>
      </c>
      <c r="AA745" s="312"/>
      <c r="AB745" s="312"/>
      <c r="AC745" s="312"/>
      <c r="AD745" s="312"/>
    </row>
    <row r="746">
      <c r="A746" s="312"/>
      <c r="B746" s="344">
        <f t="shared" si="1"/>
        <v>1714.918281</v>
      </c>
      <c r="C746" s="344">
        <v>120.0</v>
      </c>
      <c r="D746" s="369"/>
      <c r="E746" s="344" t="str">
        <f t="shared" si="2"/>
        <v>Saturday</v>
      </c>
      <c r="F746" s="344" t="s">
        <v>554</v>
      </c>
      <c r="G746" s="370"/>
      <c r="H746" s="370"/>
      <c r="I746" s="357">
        <f t="shared" si="3"/>
        <v>0</v>
      </c>
      <c r="J746" s="346">
        <f t="shared" si="4"/>
        <v>0</v>
      </c>
      <c r="K746" s="312"/>
      <c r="L746" s="312"/>
      <c r="M746" s="312"/>
      <c r="N746" s="362"/>
      <c r="O746" s="312"/>
      <c r="P746" s="312"/>
      <c r="S746" s="2">
        <f t="shared" si="5"/>
        <v>0</v>
      </c>
      <c r="AA746" s="312"/>
      <c r="AB746" s="312"/>
      <c r="AC746" s="312"/>
      <c r="AD746" s="312"/>
    </row>
    <row r="747">
      <c r="A747" s="312"/>
      <c r="B747" s="344">
        <f t="shared" si="1"/>
        <v>1714.918281</v>
      </c>
      <c r="C747" s="344">
        <v>120.0</v>
      </c>
      <c r="D747" s="369"/>
      <c r="E747" s="344" t="str">
        <f t="shared" si="2"/>
        <v>Saturday</v>
      </c>
      <c r="F747" s="344" t="s">
        <v>554</v>
      </c>
      <c r="G747" s="370"/>
      <c r="H747" s="370"/>
      <c r="I747" s="357">
        <f t="shared" si="3"/>
        <v>0</v>
      </c>
      <c r="J747" s="346">
        <f t="shared" si="4"/>
        <v>0</v>
      </c>
      <c r="K747" s="312"/>
      <c r="L747" s="312"/>
      <c r="M747" s="312"/>
      <c r="N747" s="362"/>
      <c r="O747" s="312"/>
      <c r="P747" s="312"/>
      <c r="S747" s="2">
        <f t="shared" si="5"/>
        <v>0</v>
      </c>
      <c r="AA747" s="312"/>
      <c r="AB747" s="312"/>
      <c r="AC747" s="312"/>
      <c r="AD747" s="312"/>
    </row>
    <row r="748">
      <c r="A748" s="312"/>
      <c r="B748" s="344">
        <f t="shared" si="1"/>
        <v>1714.918281</v>
      </c>
      <c r="C748" s="344">
        <v>120.0</v>
      </c>
      <c r="D748" s="369"/>
      <c r="E748" s="344" t="str">
        <f t="shared" si="2"/>
        <v>Saturday</v>
      </c>
      <c r="F748" s="344" t="s">
        <v>554</v>
      </c>
      <c r="G748" s="370"/>
      <c r="H748" s="370"/>
      <c r="I748" s="357">
        <f t="shared" si="3"/>
        <v>0</v>
      </c>
      <c r="J748" s="346">
        <f t="shared" si="4"/>
        <v>0</v>
      </c>
      <c r="K748" s="312"/>
      <c r="L748" s="312"/>
      <c r="M748" s="312"/>
      <c r="N748" s="362"/>
      <c r="O748" s="312"/>
      <c r="P748" s="312"/>
      <c r="S748" s="2">
        <f t="shared" si="5"/>
        <v>0</v>
      </c>
      <c r="AA748" s="312"/>
      <c r="AB748" s="312"/>
      <c r="AC748" s="312"/>
      <c r="AD748" s="312"/>
    </row>
    <row r="749">
      <c r="A749" s="312"/>
      <c r="B749" s="344">
        <f t="shared" si="1"/>
        <v>1714.918281</v>
      </c>
      <c r="C749" s="344">
        <v>120.0</v>
      </c>
      <c r="D749" s="369"/>
      <c r="E749" s="344" t="str">
        <f t="shared" si="2"/>
        <v>Saturday</v>
      </c>
      <c r="F749" s="344" t="s">
        <v>554</v>
      </c>
      <c r="G749" s="370"/>
      <c r="H749" s="370"/>
      <c r="I749" s="357">
        <f t="shared" si="3"/>
        <v>0</v>
      </c>
      <c r="J749" s="346">
        <f t="shared" si="4"/>
        <v>0</v>
      </c>
      <c r="K749" s="312"/>
      <c r="L749" s="312"/>
      <c r="M749" s="312"/>
      <c r="N749" s="362"/>
      <c r="O749" s="312"/>
      <c r="P749" s="312"/>
      <c r="S749" s="2">
        <f t="shared" si="5"/>
        <v>0</v>
      </c>
      <c r="AA749" s="312"/>
      <c r="AB749" s="312"/>
      <c r="AC749" s="312"/>
      <c r="AD749" s="312"/>
    </row>
    <row r="750">
      <c r="A750" s="312"/>
      <c r="B750" s="344">
        <f t="shared" si="1"/>
        <v>1714.918281</v>
      </c>
      <c r="C750" s="344">
        <v>120.0</v>
      </c>
      <c r="D750" s="369"/>
      <c r="E750" s="344" t="str">
        <f t="shared" si="2"/>
        <v>Saturday</v>
      </c>
      <c r="F750" s="344" t="s">
        <v>554</v>
      </c>
      <c r="G750" s="370"/>
      <c r="H750" s="370"/>
      <c r="I750" s="357">
        <f t="shared" si="3"/>
        <v>0</v>
      </c>
      <c r="J750" s="346">
        <f t="shared" si="4"/>
        <v>0</v>
      </c>
      <c r="K750" s="312"/>
      <c r="L750" s="312"/>
      <c r="M750" s="312"/>
      <c r="N750" s="362"/>
      <c r="O750" s="312"/>
      <c r="P750" s="312"/>
      <c r="S750" s="2">
        <f t="shared" si="5"/>
        <v>0</v>
      </c>
      <c r="AA750" s="312"/>
      <c r="AB750" s="312"/>
      <c r="AC750" s="312"/>
      <c r="AD750" s="312"/>
    </row>
    <row r="751">
      <c r="A751" s="312"/>
      <c r="B751" s="344">
        <f t="shared" si="1"/>
        <v>1714.918281</v>
      </c>
      <c r="C751" s="344">
        <v>120.0</v>
      </c>
      <c r="D751" s="369"/>
      <c r="E751" s="344" t="str">
        <f t="shared" si="2"/>
        <v>Saturday</v>
      </c>
      <c r="F751" s="344" t="s">
        <v>554</v>
      </c>
      <c r="G751" s="370"/>
      <c r="H751" s="370"/>
      <c r="I751" s="357">
        <f t="shared" si="3"/>
        <v>0</v>
      </c>
      <c r="J751" s="346">
        <f t="shared" si="4"/>
        <v>0</v>
      </c>
      <c r="K751" s="312"/>
      <c r="L751" s="312"/>
      <c r="M751" s="312"/>
      <c r="N751" s="362"/>
      <c r="O751" s="312"/>
      <c r="P751" s="312"/>
      <c r="S751" s="2">
        <f t="shared" si="5"/>
        <v>0</v>
      </c>
      <c r="AA751" s="312"/>
      <c r="AB751" s="312"/>
      <c r="AC751" s="312"/>
      <c r="AD751" s="312"/>
    </row>
    <row r="752">
      <c r="A752" s="312"/>
      <c r="B752" s="344">
        <f t="shared" si="1"/>
        <v>1714.918281</v>
      </c>
      <c r="C752" s="344">
        <v>120.0</v>
      </c>
      <c r="D752" s="369"/>
      <c r="E752" s="344" t="str">
        <f t="shared" si="2"/>
        <v>Saturday</v>
      </c>
      <c r="F752" s="344" t="s">
        <v>554</v>
      </c>
      <c r="G752" s="370"/>
      <c r="H752" s="370"/>
      <c r="I752" s="357">
        <f t="shared" si="3"/>
        <v>0</v>
      </c>
      <c r="J752" s="346">
        <f t="shared" si="4"/>
        <v>0</v>
      </c>
      <c r="K752" s="312"/>
      <c r="L752" s="312"/>
      <c r="M752" s="312"/>
      <c r="N752" s="362"/>
      <c r="O752" s="312"/>
      <c r="P752" s="312"/>
      <c r="S752" s="2">
        <f t="shared" si="5"/>
        <v>0</v>
      </c>
      <c r="AA752" s="312"/>
      <c r="AB752" s="312"/>
      <c r="AC752" s="312"/>
      <c r="AD752" s="312"/>
    </row>
    <row r="753">
      <c r="A753" s="312"/>
      <c r="B753" s="344">
        <f t="shared" si="1"/>
        <v>1714.918281</v>
      </c>
      <c r="C753" s="344">
        <v>120.0</v>
      </c>
      <c r="D753" s="369"/>
      <c r="E753" s="344" t="str">
        <f t="shared" si="2"/>
        <v>Saturday</v>
      </c>
      <c r="F753" s="344" t="s">
        <v>554</v>
      </c>
      <c r="G753" s="370"/>
      <c r="H753" s="370"/>
      <c r="I753" s="357">
        <f t="shared" si="3"/>
        <v>0</v>
      </c>
      <c r="J753" s="346">
        <f t="shared" si="4"/>
        <v>0</v>
      </c>
      <c r="K753" s="312"/>
      <c r="L753" s="312"/>
      <c r="M753" s="312"/>
      <c r="N753" s="362"/>
      <c r="O753" s="312"/>
      <c r="P753" s="312"/>
      <c r="S753" s="2">
        <f t="shared" si="5"/>
        <v>0</v>
      </c>
      <c r="AA753" s="312"/>
      <c r="AB753" s="312"/>
      <c r="AC753" s="312"/>
      <c r="AD753" s="312"/>
    </row>
    <row r="754">
      <c r="A754" s="312"/>
      <c r="B754" s="344">
        <f t="shared" si="1"/>
        <v>1714.918281</v>
      </c>
      <c r="C754" s="344">
        <v>120.0</v>
      </c>
      <c r="D754" s="369"/>
      <c r="E754" s="344" t="str">
        <f t="shared" si="2"/>
        <v>Saturday</v>
      </c>
      <c r="F754" s="344" t="s">
        <v>554</v>
      </c>
      <c r="G754" s="370"/>
      <c r="H754" s="370"/>
      <c r="I754" s="357">
        <f t="shared" si="3"/>
        <v>0</v>
      </c>
      <c r="J754" s="346">
        <f t="shared" si="4"/>
        <v>0</v>
      </c>
      <c r="K754" s="312"/>
      <c r="L754" s="312"/>
      <c r="M754" s="312"/>
      <c r="N754" s="362"/>
      <c r="O754" s="312"/>
      <c r="P754" s="312"/>
      <c r="S754" s="2">
        <f t="shared" si="5"/>
        <v>0</v>
      </c>
      <c r="AA754" s="312"/>
      <c r="AB754" s="312"/>
      <c r="AC754" s="312"/>
      <c r="AD754" s="312"/>
    </row>
    <row r="755">
      <c r="A755" s="312"/>
      <c r="B755" s="344">
        <f t="shared" si="1"/>
        <v>1714.918281</v>
      </c>
      <c r="C755" s="344">
        <v>120.0</v>
      </c>
      <c r="D755" s="369"/>
      <c r="E755" s="344" t="str">
        <f t="shared" si="2"/>
        <v>Saturday</v>
      </c>
      <c r="F755" s="344" t="s">
        <v>554</v>
      </c>
      <c r="G755" s="370"/>
      <c r="H755" s="370"/>
      <c r="I755" s="357">
        <f t="shared" si="3"/>
        <v>0</v>
      </c>
      <c r="J755" s="346">
        <f t="shared" si="4"/>
        <v>0</v>
      </c>
      <c r="K755" s="312"/>
      <c r="L755" s="312"/>
      <c r="M755" s="312"/>
      <c r="N755" s="362"/>
      <c r="O755" s="312"/>
      <c r="P755" s="312"/>
      <c r="S755" s="2">
        <f t="shared" si="5"/>
        <v>0</v>
      </c>
      <c r="AA755" s="312"/>
      <c r="AB755" s="312"/>
      <c r="AC755" s="312"/>
      <c r="AD755" s="312"/>
    </row>
    <row r="756">
      <c r="A756" s="312"/>
      <c r="B756" s="344">
        <f t="shared" si="1"/>
        <v>1714.918281</v>
      </c>
      <c r="C756" s="344">
        <v>120.0</v>
      </c>
      <c r="D756" s="369"/>
      <c r="E756" s="344" t="str">
        <f t="shared" si="2"/>
        <v>Saturday</v>
      </c>
      <c r="F756" s="344" t="s">
        <v>554</v>
      </c>
      <c r="G756" s="370"/>
      <c r="H756" s="370"/>
      <c r="I756" s="357">
        <f t="shared" si="3"/>
        <v>0</v>
      </c>
      <c r="J756" s="346">
        <f t="shared" si="4"/>
        <v>0</v>
      </c>
      <c r="K756" s="312"/>
      <c r="L756" s="312"/>
      <c r="M756" s="312"/>
      <c r="N756" s="362"/>
      <c r="O756" s="312"/>
      <c r="P756" s="312"/>
      <c r="S756" s="2">
        <f t="shared" si="5"/>
        <v>0</v>
      </c>
      <c r="AA756" s="312"/>
      <c r="AB756" s="312"/>
      <c r="AC756" s="312"/>
      <c r="AD756" s="312"/>
    </row>
    <row r="757">
      <c r="A757" s="312"/>
      <c r="B757" s="344">
        <f t="shared" si="1"/>
        <v>1714.918281</v>
      </c>
      <c r="C757" s="344">
        <v>120.0</v>
      </c>
      <c r="D757" s="369"/>
      <c r="E757" s="344" t="str">
        <f t="shared" si="2"/>
        <v>Saturday</v>
      </c>
      <c r="F757" s="344" t="s">
        <v>554</v>
      </c>
      <c r="G757" s="370"/>
      <c r="H757" s="370"/>
      <c r="I757" s="357">
        <f t="shared" si="3"/>
        <v>0</v>
      </c>
      <c r="J757" s="346">
        <f t="shared" si="4"/>
        <v>0</v>
      </c>
      <c r="K757" s="312"/>
      <c r="L757" s="312"/>
      <c r="M757" s="312"/>
      <c r="N757" s="362"/>
      <c r="O757" s="312"/>
      <c r="P757" s="312"/>
      <c r="S757" s="2">
        <f t="shared" si="5"/>
        <v>0</v>
      </c>
      <c r="AA757" s="312"/>
      <c r="AB757" s="312"/>
      <c r="AC757" s="312"/>
      <c r="AD757" s="312"/>
    </row>
    <row r="758">
      <c r="A758" s="312"/>
      <c r="B758" s="344">
        <f t="shared" si="1"/>
        <v>1714.918281</v>
      </c>
      <c r="C758" s="344">
        <v>120.0</v>
      </c>
      <c r="D758" s="369"/>
      <c r="E758" s="344" t="str">
        <f t="shared" si="2"/>
        <v>Saturday</v>
      </c>
      <c r="F758" s="344" t="s">
        <v>554</v>
      </c>
      <c r="G758" s="370"/>
      <c r="H758" s="370"/>
      <c r="I758" s="357">
        <f t="shared" si="3"/>
        <v>0</v>
      </c>
      <c r="J758" s="346">
        <f t="shared" si="4"/>
        <v>0</v>
      </c>
      <c r="K758" s="312"/>
      <c r="L758" s="312"/>
      <c r="M758" s="312"/>
      <c r="N758" s="362"/>
      <c r="O758" s="312"/>
      <c r="P758" s="312"/>
      <c r="S758" s="2">
        <f t="shared" si="5"/>
        <v>0</v>
      </c>
      <c r="AA758" s="312"/>
      <c r="AB758" s="312"/>
      <c r="AC758" s="312"/>
      <c r="AD758" s="312"/>
    </row>
    <row r="759">
      <c r="A759" s="312"/>
      <c r="B759" s="344">
        <f t="shared" si="1"/>
        <v>1714.918281</v>
      </c>
      <c r="C759" s="344">
        <v>120.0</v>
      </c>
      <c r="D759" s="369"/>
      <c r="E759" s="344" t="str">
        <f t="shared" si="2"/>
        <v>Saturday</v>
      </c>
      <c r="F759" s="344" t="s">
        <v>554</v>
      </c>
      <c r="G759" s="370"/>
      <c r="H759" s="370"/>
      <c r="I759" s="357">
        <f t="shared" si="3"/>
        <v>0</v>
      </c>
      <c r="J759" s="346">
        <f t="shared" si="4"/>
        <v>0</v>
      </c>
      <c r="K759" s="312"/>
      <c r="L759" s="312"/>
      <c r="M759" s="312"/>
      <c r="N759" s="362"/>
      <c r="O759" s="312"/>
      <c r="P759" s="312"/>
      <c r="S759" s="2">
        <f t="shared" si="5"/>
        <v>0</v>
      </c>
      <c r="AA759" s="312"/>
      <c r="AB759" s="312"/>
      <c r="AC759" s="312"/>
      <c r="AD759" s="312"/>
    </row>
    <row r="760">
      <c r="A760" s="312"/>
      <c r="B760" s="344">
        <f t="shared" si="1"/>
        <v>1714.918281</v>
      </c>
      <c r="C760" s="344">
        <v>120.0</v>
      </c>
      <c r="D760" s="369"/>
      <c r="E760" s="344" t="str">
        <f t="shared" si="2"/>
        <v>Saturday</v>
      </c>
      <c r="F760" s="344" t="s">
        <v>554</v>
      </c>
      <c r="G760" s="370"/>
      <c r="H760" s="370"/>
      <c r="I760" s="357">
        <f t="shared" si="3"/>
        <v>0</v>
      </c>
      <c r="J760" s="346">
        <f t="shared" si="4"/>
        <v>0</v>
      </c>
      <c r="K760" s="312"/>
      <c r="L760" s="312"/>
      <c r="M760" s="312"/>
      <c r="N760" s="362"/>
      <c r="O760" s="312"/>
      <c r="P760" s="312"/>
      <c r="S760" s="2">
        <f t="shared" si="5"/>
        <v>0</v>
      </c>
      <c r="AA760" s="312"/>
      <c r="AB760" s="312"/>
      <c r="AC760" s="312"/>
      <c r="AD760" s="312"/>
    </row>
    <row r="761">
      <c r="A761" s="312"/>
      <c r="B761" s="344">
        <f t="shared" si="1"/>
        <v>1714.918281</v>
      </c>
      <c r="C761" s="344">
        <v>120.0</v>
      </c>
      <c r="D761" s="369"/>
      <c r="E761" s="344" t="str">
        <f t="shared" si="2"/>
        <v>Saturday</v>
      </c>
      <c r="F761" s="344" t="s">
        <v>554</v>
      </c>
      <c r="G761" s="370"/>
      <c r="H761" s="370"/>
      <c r="I761" s="357">
        <f t="shared" si="3"/>
        <v>0</v>
      </c>
      <c r="J761" s="346">
        <f t="shared" si="4"/>
        <v>0</v>
      </c>
      <c r="K761" s="312"/>
      <c r="L761" s="312"/>
      <c r="M761" s="312"/>
      <c r="N761" s="362"/>
      <c r="O761" s="312"/>
      <c r="P761" s="312"/>
      <c r="S761" s="2">
        <f t="shared" si="5"/>
        <v>0</v>
      </c>
      <c r="AA761" s="312"/>
      <c r="AB761" s="312"/>
      <c r="AC761" s="312"/>
      <c r="AD761" s="312"/>
    </row>
    <row r="762">
      <c r="A762" s="312"/>
      <c r="B762" s="344">
        <f t="shared" si="1"/>
        <v>1714.918281</v>
      </c>
      <c r="C762" s="344">
        <v>120.0</v>
      </c>
      <c r="D762" s="369"/>
      <c r="E762" s="344" t="str">
        <f t="shared" si="2"/>
        <v>Saturday</v>
      </c>
      <c r="F762" s="344" t="s">
        <v>554</v>
      </c>
      <c r="G762" s="370"/>
      <c r="H762" s="370"/>
      <c r="I762" s="357">
        <f t="shared" si="3"/>
        <v>0</v>
      </c>
      <c r="J762" s="346">
        <f t="shared" si="4"/>
        <v>0</v>
      </c>
      <c r="K762" s="312"/>
      <c r="L762" s="312"/>
      <c r="M762" s="312"/>
      <c r="N762" s="362"/>
      <c r="O762" s="312"/>
      <c r="P762" s="312"/>
      <c r="S762" s="2">
        <f t="shared" si="5"/>
        <v>0</v>
      </c>
      <c r="AA762" s="312"/>
      <c r="AB762" s="312"/>
      <c r="AC762" s="312"/>
      <c r="AD762" s="312"/>
    </row>
    <row r="763">
      <c r="A763" s="312"/>
      <c r="B763" s="344">
        <f t="shared" si="1"/>
        <v>1714.918281</v>
      </c>
      <c r="C763" s="344">
        <v>120.0</v>
      </c>
      <c r="D763" s="369"/>
      <c r="E763" s="344" t="str">
        <f t="shared" si="2"/>
        <v>Saturday</v>
      </c>
      <c r="F763" s="344" t="s">
        <v>554</v>
      </c>
      <c r="G763" s="370"/>
      <c r="H763" s="370"/>
      <c r="I763" s="357">
        <f t="shared" si="3"/>
        <v>0</v>
      </c>
      <c r="J763" s="346">
        <f t="shared" si="4"/>
        <v>0</v>
      </c>
      <c r="K763" s="312"/>
      <c r="L763" s="312"/>
      <c r="M763" s="312"/>
      <c r="N763" s="362"/>
      <c r="O763" s="312"/>
      <c r="P763" s="312"/>
      <c r="S763" s="2">
        <f t="shared" si="5"/>
        <v>0</v>
      </c>
      <c r="AA763" s="312"/>
      <c r="AB763" s="312"/>
      <c r="AC763" s="312"/>
      <c r="AD763" s="312"/>
    </row>
    <row r="764">
      <c r="A764" s="312"/>
      <c r="B764" s="344">
        <f t="shared" si="1"/>
        <v>1714.918281</v>
      </c>
      <c r="C764" s="344">
        <v>120.0</v>
      </c>
      <c r="D764" s="369"/>
      <c r="E764" s="344" t="str">
        <f t="shared" si="2"/>
        <v>Saturday</v>
      </c>
      <c r="F764" s="344" t="s">
        <v>554</v>
      </c>
      <c r="G764" s="370"/>
      <c r="H764" s="370"/>
      <c r="I764" s="357">
        <f t="shared" si="3"/>
        <v>0</v>
      </c>
      <c r="J764" s="346">
        <f t="shared" si="4"/>
        <v>0</v>
      </c>
      <c r="K764" s="312"/>
      <c r="L764" s="312"/>
      <c r="M764" s="312"/>
      <c r="N764" s="362"/>
      <c r="O764" s="312"/>
      <c r="P764" s="312"/>
      <c r="S764" s="2">
        <f t="shared" si="5"/>
        <v>0</v>
      </c>
      <c r="AA764" s="312"/>
      <c r="AB764" s="312"/>
      <c r="AC764" s="312"/>
      <c r="AD764" s="312"/>
    </row>
    <row r="765">
      <c r="A765" s="312"/>
      <c r="B765" s="344">
        <f t="shared" si="1"/>
        <v>1714.918281</v>
      </c>
      <c r="C765" s="344">
        <v>120.0</v>
      </c>
      <c r="D765" s="369"/>
      <c r="E765" s="344" t="str">
        <f t="shared" si="2"/>
        <v>Saturday</v>
      </c>
      <c r="F765" s="344" t="s">
        <v>554</v>
      </c>
      <c r="G765" s="370"/>
      <c r="H765" s="370"/>
      <c r="I765" s="357">
        <f t="shared" si="3"/>
        <v>0</v>
      </c>
      <c r="J765" s="346">
        <f t="shared" si="4"/>
        <v>0</v>
      </c>
      <c r="K765" s="312"/>
      <c r="L765" s="312"/>
      <c r="M765" s="312"/>
      <c r="N765" s="362"/>
      <c r="O765" s="312"/>
      <c r="P765" s="312"/>
      <c r="S765" s="2">
        <f t="shared" si="5"/>
        <v>0</v>
      </c>
      <c r="AA765" s="312"/>
      <c r="AB765" s="312"/>
      <c r="AC765" s="312"/>
      <c r="AD765" s="312"/>
    </row>
    <row r="766">
      <c r="A766" s="312"/>
      <c r="B766" s="344">
        <f t="shared" si="1"/>
        <v>1714.918281</v>
      </c>
      <c r="C766" s="344">
        <v>120.0</v>
      </c>
      <c r="D766" s="369"/>
      <c r="E766" s="344" t="str">
        <f t="shared" si="2"/>
        <v>Saturday</v>
      </c>
      <c r="F766" s="344" t="s">
        <v>554</v>
      </c>
      <c r="G766" s="370"/>
      <c r="H766" s="370"/>
      <c r="I766" s="357">
        <f t="shared" si="3"/>
        <v>0</v>
      </c>
      <c r="J766" s="346">
        <f t="shared" si="4"/>
        <v>0</v>
      </c>
      <c r="K766" s="312"/>
      <c r="L766" s="312"/>
      <c r="M766" s="312"/>
      <c r="N766" s="362"/>
      <c r="O766" s="312"/>
      <c r="P766" s="312"/>
      <c r="S766" s="2">
        <f t="shared" si="5"/>
        <v>0</v>
      </c>
      <c r="AA766" s="312"/>
      <c r="AB766" s="312"/>
      <c r="AC766" s="312"/>
      <c r="AD766" s="312"/>
    </row>
    <row r="767">
      <c r="A767" s="312"/>
      <c r="B767" s="344">
        <f t="shared" si="1"/>
        <v>1714.918281</v>
      </c>
      <c r="C767" s="344">
        <v>120.0</v>
      </c>
      <c r="D767" s="369"/>
      <c r="E767" s="344" t="str">
        <f t="shared" si="2"/>
        <v>Saturday</v>
      </c>
      <c r="F767" s="344" t="s">
        <v>554</v>
      </c>
      <c r="G767" s="370"/>
      <c r="H767" s="370"/>
      <c r="I767" s="357">
        <f t="shared" si="3"/>
        <v>0</v>
      </c>
      <c r="J767" s="346">
        <f t="shared" si="4"/>
        <v>0</v>
      </c>
      <c r="K767" s="312"/>
      <c r="L767" s="312"/>
      <c r="M767" s="312"/>
      <c r="N767" s="362"/>
      <c r="O767" s="312"/>
      <c r="P767" s="312"/>
      <c r="S767" s="2">
        <f t="shared" si="5"/>
        <v>0</v>
      </c>
      <c r="AA767" s="312"/>
      <c r="AB767" s="312"/>
      <c r="AC767" s="312"/>
      <c r="AD767" s="312"/>
    </row>
    <row r="768">
      <c r="A768" s="312"/>
      <c r="B768" s="344">
        <f t="shared" si="1"/>
        <v>1714.918281</v>
      </c>
      <c r="C768" s="344">
        <v>120.0</v>
      </c>
      <c r="D768" s="369"/>
      <c r="E768" s="344" t="str">
        <f t="shared" si="2"/>
        <v>Saturday</v>
      </c>
      <c r="F768" s="344" t="s">
        <v>554</v>
      </c>
      <c r="G768" s="370"/>
      <c r="H768" s="370"/>
      <c r="I768" s="357">
        <f t="shared" si="3"/>
        <v>0</v>
      </c>
      <c r="J768" s="346">
        <f t="shared" si="4"/>
        <v>0</v>
      </c>
      <c r="K768" s="312"/>
      <c r="L768" s="312"/>
      <c r="M768" s="312"/>
      <c r="N768" s="362"/>
      <c r="O768" s="312"/>
      <c r="P768" s="312"/>
      <c r="S768" s="2">
        <f t="shared" si="5"/>
        <v>0</v>
      </c>
      <c r="AA768" s="312"/>
      <c r="AB768" s="312"/>
      <c r="AC768" s="312"/>
      <c r="AD768" s="312"/>
    </row>
    <row r="769">
      <c r="A769" s="312"/>
      <c r="B769" s="344">
        <f t="shared" si="1"/>
        <v>1714.918281</v>
      </c>
      <c r="C769" s="344">
        <v>120.0</v>
      </c>
      <c r="D769" s="369"/>
      <c r="E769" s="344" t="str">
        <f t="shared" si="2"/>
        <v>Saturday</v>
      </c>
      <c r="F769" s="344" t="s">
        <v>554</v>
      </c>
      <c r="G769" s="370"/>
      <c r="H769" s="370"/>
      <c r="I769" s="357">
        <f t="shared" si="3"/>
        <v>0</v>
      </c>
      <c r="J769" s="346">
        <f t="shared" si="4"/>
        <v>0</v>
      </c>
      <c r="K769" s="312"/>
      <c r="L769" s="312"/>
      <c r="M769" s="312"/>
      <c r="N769" s="362"/>
      <c r="O769" s="312"/>
      <c r="P769" s="312"/>
      <c r="S769" s="2">
        <f t="shared" si="5"/>
        <v>0</v>
      </c>
      <c r="AA769" s="312"/>
      <c r="AB769" s="312"/>
      <c r="AC769" s="312"/>
      <c r="AD769" s="312"/>
    </row>
    <row r="770">
      <c r="A770" s="312"/>
      <c r="B770" s="344">
        <f t="shared" si="1"/>
        <v>1714.918281</v>
      </c>
      <c r="C770" s="344">
        <v>120.0</v>
      </c>
      <c r="D770" s="369"/>
      <c r="E770" s="344" t="str">
        <f t="shared" si="2"/>
        <v>Saturday</v>
      </c>
      <c r="F770" s="344" t="s">
        <v>554</v>
      </c>
      <c r="G770" s="370"/>
      <c r="H770" s="370"/>
      <c r="I770" s="357">
        <f t="shared" si="3"/>
        <v>0</v>
      </c>
      <c r="J770" s="346">
        <f t="shared" si="4"/>
        <v>0</v>
      </c>
      <c r="K770" s="312"/>
      <c r="L770" s="312"/>
      <c r="M770" s="312"/>
      <c r="N770" s="362"/>
      <c r="O770" s="312"/>
      <c r="P770" s="312"/>
      <c r="S770" s="2">
        <f t="shared" si="5"/>
        <v>0</v>
      </c>
      <c r="AA770" s="312"/>
      <c r="AB770" s="312"/>
      <c r="AC770" s="312"/>
      <c r="AD770" s="312"/>
    </row>
    <row r="771">
      <c r="A771" s="312"/>
      <c r="B771" s="344">
        <f t="shared" si="1"/>
        <v>1714.918281</v>
      </c>
      <c r="C771" s="344">
        <v>120.0</v>
      </c>
      <c r="D771" s="369"/>
      <c r="E771" s="344" t="str">
        <f t="shared" si="2"/>
        <v>Saturday</v>
      </c>
      <c r="F771" s="344" t="s">
        <v>554</v>
      </c>
      <c r="G771" s="370"/>
      <c r="H771" s="370"/>
      <c r="I771" s="357">
        <f t="shared" si="3"/>
        <v>0</v>
      </c>
      <c r="J771" s="346">
        <f t="shared" si="4"/>
        <v>0</v>
      </c>
      <c r="K771" s="312"/>
      <c r="L771" s="312"/>
      <c r="M771" s="312"/>
      <c r="N771" s="362"/>
      <c r="O771" s="312"/>
      <c r="P771" s="312"/>
      <c r="S771" s="2">
        <f t="shared" si="5"/>
        <v>0</v>
      </c>
      <c r="AA771" s="312"/>
      <c r="AB771" s="312"/>
      <c r="AC771" s="312"/>
      <c r="AD771" s="312"/>
    </row>
    <row r="772">
      <c r="A772" s="312"/>
      <c r="B772" s="344">
        <f t="shared" si="1"/>
        <v>1714.918281</v>
      </c>
      <c r="C772" s="344">
        <v>120.0</v>
      </c>
      <c r="D772" s="369"/>
      <c r="E772" s="344" t="str">
        <f t="shared" si="2"/>
        <v>Saturday</v>
      </c>
      <c r="F772" s="344" t="s">
        <v>554</v>
      </c>
      <c r="G772" s="370"/>
      <c r="H772" s="370"/>
      <c r="I772" s="357">
        <f t="shared" si="3"/>
        <v>0</v>
      </c>
      <c r="J772" s="346">
        <f t="shared" si="4"/>
        <v>0</v>
      </c>
      <c r="K772" s="312"/>
      <c r="L772" s="312"/>
      <c r="M772" s="312"/>
      <c r="N772" s="362"/>
      <c r="O772" s="312"/>
      <c r="P772" s="312"/>
      <c r="S772" s="2">
        <f t="shared" si="5"/>
        <v>0</v>
      </c>
      <c r="AA772" s="312"/>
      <c r="AB772" s="312"/>
      <c r="AC772" s="312"/>
      <c r="AD772" s="312"/>
    </row>
    <row r="773">
      <c r="A773" s="312"/>
      <c r="B773" s="344">
        <f t="shared" si="1"/>
        <v>1714.918281</v>
      </c>
      <c r="C773" s="344">
        <v>120.0</v>
      </c>
      <c r="D773" s="369"/>
      <c r="E773" s="344" t="str">
        <f t="shared" si="2"/>
        <v>Saturday</v>
      </c>
      <c r="F773" s="344" t="s">
        <v>554</v>
      </c>
      <c r="G773" s="370"/>
      <c r="H773" s="370"/>
      <c r="I773" s="357">
        <f t="shared" si="3"/>
        <v>0</v>
      </c>
      <c r="J773" s="346">
        <f t="shared" si="4"/>
        <v>0</v>
      </c>
      <c r="K773" s="312"/>
      <c r="L773" s="312"/>
      <c r="M773" s="312"/>
      <c r="N773" s="362"/>
      <c r="O773" s="312"/>
      <c r="P773" s="312"/>
      <c r="S773" s="2">
        <f t="shared" si="5"/>
        <v>0</v>
      </c>
      <c r="AA773" s="312"/>
      <c r="AB773" s="312"/>
      <c r="AC773" s="312"/>
      <c r="AD773" s="312"/>
    </row>
    <row r="774">
      <c r="A774" s="312"/>
      <c r="B774" s="344">
        <f t="shared" si="1"/>
        <v>1714.918281</v>
      </c>
      <c r="C774" s="344">
        <v>120.0</v>
      </c>
      <c r="D774" s="369"/>
      <c r="E774" s="344" t="str">
        <f t="shared" si="2"/>
        <v>Saturday</v>
      </c>
      <c r="F774" s="344" t="s">
        <v>554</v>
      </c>
      <c r="G774" s="370"/>
      <c r="H774" s="370"/>
      <c r="I774" s="357">
        <f t="shared" si="3"/>
        <v>0</v>
      </c>
      <c r="J774" s="346">
        <f t="shared" si="4"/>
        <v>0</v>
      </c>
      <c r="K774" s="312"/>
      <c r="L774" s="312"/>
      <c r="M774" s="312"/>
      <c r="N774" s="362"/>
      <c r="O774" s="312"/>
      <c r="P774" s="312"/>
      <c r="S774" s="2">
        <f t="shared" si="5"/>
        <v>0</v>
      </c>
      <c r="AA774" s="312"/>
      <c r="AB774" s="312"/>
      <c r="AC774" s="312"/>
      <c r="AD774" s="312"/>
    </row>
    <row r="775">
      <c r="A775" s="312"/>
      <c r="B775" s="344">
        <f t="shared" si="1"/>
        <v>1714.918281</v>
      </c>
      <c r="C775" s="344">
        <v>120.0</v>
      </c>
      <c r="D775" s="369"/>
      <c r="E775" s="344" t="str">
        <f t="shared" si="2"/>
        <v>Saturday</v>
      </c>
      <c r="F775" s="344" t="s">
        <v>554</v>
      </c>
      <c r="G775" s="370"/>
      <c r="H775" s="370"/>
      <c r="I775" s="357">
        <f t="shared" si="3"/>
        <v>0</v>
      </c>
      <c r="J775" s="346">
        <f t="shared" si="4"/>
        <v>0</v>
      </c>
      <c r="K775" s="312"/>
      <c r="L775" s="312"/>
      <c r="M775" s="312"/>
      <c r="N775" s="362"/>
      <c r="O775" s="312"/>
      <c r="P775" s="312"/>
      <c r="S775" s="2">
        <f t="shared" si="5"/>
        <v>0</v>
      </c>
      <c r="AA775" s="312"/>
      <c r="AB775" s="312"/>
      <c r="AC775" s="312"/>
      <c r="AD775" s="312"/>
    </row>
    <row r="776">
      <c r="A776" s="312"/>
      <c r="B776" s="344">
        <f t="shared" si="1"/>
        <v>1714.918281</v>
      </c>
      <c r="C776" s="344">
        <v>120.0</v>
      </c>
      <c r="D776" s="369"/>
      <c r="E776" s="344" t="str">
        <f t="shared" si="2"/>
        <v>Saturday</v>
      </c>
      <c r="F776" s="344" t="s">
        <v>554</v>
      </c>
      <c r="G776" s="370"/>
      <c r="H776" s="370"/>
      <c r="I776" s="357">
        <f t="shared" si="3"/>
        <v>0</v>
      </c>
      <c r="J776" s="346">
        <f t="shared" si="4"/>
        <v>0</v>
      </c>
      <c r="K776" s="312"/>
      <c r="L776" s="312"/>
      <c r="M776" s="312"/>
      <c r="N776" s="362"/>
      <c r="O776" s="312"/>
      <c r="P776" s="312"/>
      <c r="S776" s="2">
        <f t="shared" si="5"/>
        <v>0</v>
      </c>
      <c r="AA776" s="312"/>
      <c r="AB776" s="312"/>
      <c r="AC776" s="312"/>
      <c r="AD776" s="312"/>
    </row>
    <row r="777">
      <c r="A777" s="312"/>
      <c r="B777" s="344">
        <f t="shared" si="1"/>
        <v>1714.918281</v>
      </c>
      <c r="C777" s="344">
        <v>120.0</v>
      </c>
      <c r="D777" s="369"/>
      <c r="E777" s="344" t="str">
        <f t="shared" si="2"/>
        <v>Saturday</v>
      </c>
      <c r="F777" s="344" t="s">
        <v>554</v>
      </c>
      <c r="G777" s="370"/>
      <c r="H777" s="370"/>
      <c r="I777" s="357">
        <f t="shared" si="3"/>
        <v>0</v>
      </c>
      <c r="J777" s="346">
        <f t="shared" si="4"/>
        <v>0</v>
      </c>
      <c r="K777" s="312"/>
      <c r="L777" s="312"/>
      <c r="M777" s="312"/>
      <c r="N777" s="362"/>
      <c r="O777" s="312"/>
      <c r="P777" s="312"/>
      <c r="S777" s="2">
        <f t="shared" si="5"/>
        <v>0</v>
      </c>
      <c r="AA777" s="312"/>
      <c r="AB777" s="312"/>
      <c r="AC777" s="312"/>
      <c r="AD777" s="312"/>
    </row>
    <row r="778">
      <c r="A778" s="312"/>
      <c r="B778" s="344">
        <f t="shared" si="1"/>
        <v>1714.918281</v>
      </c>
      <c r="C778" s="344">
        <v>120.0</v>
      </c>
      <c r="D778" s="369"/>
      <c r="E778" s="344" t="str">
        <f t="shared" si="2"/>
        <v>Saturday</v>
      </c>
      <c r="F778" s="344" t="s">
        <v>554</v>
      </c>
      <c r="G778" s="370"/>
      <c r="H778" s="370"/>
      <c r="I778" s="357">
        <f t="shared" si="3"/>
        <v>0</v>
      </c>
      <c r="J778" s="346">
        <f t="shared" si="4"/>
        <v>0</v>
      </c>
      <c r="K778" s="312"/>
      <c r="L778" s="312"/>
      <c r="M778" s="312"/>
      <c r="N778" s="362"/>
      <c r="O778" s="312"/>
      <c r="P778" s="312"/>
      <c r="S778" s="2">
        <f t="shared" si="5"/>
        <v>0</v>
      </c>
      <c r="AA778" s="312"/>
      <c r="AB778" s="312"/>
      <c r="AC778" s="312"/>
      <c r="AD778" s="312"/>
    </row>
    <row r="779">
      <c r="A779" s="312"/>
      <c r="B779" s="344">
        <f t="shared" si="1"/>
        <v>1714.918281</v>
      </c>
      <c r="C779" s="344">
        <v>120.0</v>
      </c>
      <c r="D779" s="369"/>
      <c r="E779" s="344" t="str">
        <f t="shared" si="2"/>
        <v>Saturday</v>
      </c>
      <c r="F779" s="344" t="s">
        <v>554</v>
      </c>
      <c r="G779" s="370"/>
      <c r="H779" s="370"/>
      <c r="I779" s="357">
        <f t="shared" si="3"/>
        <v>0</v>
      </c>
      <c r="J779" s="346">
        <f t="shared" si="4"/>
        <v>0</v>
      </c>
      <c r="K779" s="312"/>
      <c r="L779" s="312"/>
      <c r="M779" s="312"/>
      <c r="N779" s="362"/>
      <c r="O779" s="312"/>
      <c r="P779" s="312"/>
      <c r="S779" s="2">
        <f t="shared" si="5"/>
        <v>0</v>
      </c>
      <c r="AA779" s="312"/>
      <c r="AB779" s="312"/>
      <c r="AC779" s="312"/>
      <c r="AD779" s="312"/>
    </row>
    <row r="780">
      <c r="A780" s="312"/>
      <c r="B780" s="344">
        <f t="shared" si="1"/>
        <v>1714.918281</v>
      </c>
      <c r="C780" s="344">
        <v>120.0</v>
      </c>
      <c r="D780" s="369"/>
      <c r="E780" s="344" t="str">
        <f t="shared" si="2"/>
        <v>Saturday</v>
      </c>
      <c r="F780" s="344" t="s">
        <v>554</v>
      </c>
      <c r="G780" s="370"/>
      <c r="H780" s="370"/>
      <c r="I780" s="357">
        <f t="shared" si="3"/>
        <v>0</v>
      </c>
      <c r="J780" s="346">
        <f t="shared" si="4"/>
        <v>0</v>
      </c>
      <c r="K780" s="312"/>
      <c r="L780" s="312"/>
      <c r="M780" s="312"/>
      <c r="N780" s="362"/>
      <c r="O780" s="312"/>
      <c r="P780" s="312"/>
      <c r="S780" s="2">
        <f t="shared" si="5"/>
        <v>0</v>
      </c>
      <c r="AA780" s="312"/>
      <c r="AB780" s="312"/>
      <c r="AC780" s="312"/>
      <c r="AD780" s="312"/>
    </row>
    <row r="781">
      <c r="A781" s="312"/>
      <c r="B781" s="344">
        <f t="shared" si="1"/>
        <v>1714.918281</v>
      </c>
      <c r="C781" s="344">
        <v>120.0</v>
      </c>
      <c r="D781" s="369"/>
      <c r="E781" s="344" t="str">
        <f t="shared" si="2"/>
        <v>Saturday</v>
      </c>
      <c r="F781" s="344" t="s">
        <v>554</v>
      </c>
      <c r="G781" s="370"/>
      <c r="H781" s="370"/>
      <c r="I781" s="357">
        <f t="shared" si="3"/>
        <v>0</v>
      </c>
      <c r="J781" s="346">
        <f t="shared" si="4"/>
        <v>0</v>
      </c>
      <c r="K781" s="312"/>
      <c r="L781" s="312"/>
      <c r="M781" s="312"/>
      <c r="N781" s="362"/>
      <c r="O781" s="312"/>
      <c r="P781" s="312"/>
      <c r="S781" s="2">
        <f t="shared" si="5"/>
        <v>0</v>
      </c>
      <c r="AA781" s="312"/>
      <c r="AB781" s="312"/>
      <c r="AC781" s="312"/>
      <c r="AD781" s="312"/>
    </row>
    <row r="782">
      <c r="A782" s="312"/>
      <c r="B782" s="344">
        <f t="shared" si="1"/>
        <v>1714.918281</v>
      </c>
      <c r="C782" s="344">
        <v>120.0</v>
      </c>
      <c r="D782" s="369"/>
      <c r="E782" s="344" t="str">
        <f t="shared" si="2"/>
        <v>Saturday</v>
      </c>
      <c r="F782" s="344" t="s">
        <v>554</v>
      </c>
      <c r="G782" s="370"/>
      <c r="H782" s="370"/>
      <c r="I782" s="357">
        <f t="shared" si="3"/>
        <v>0</v>
      </c>
      <c r="J782" s="346">
        <f t="shared" si="4"/>
        <v>0</v>
      </c>
      <c r="K782" s="312"/>
      <c r="L782" s="312"/>
      <c r="M782" s="312"/>
      <c r="N782" s="362"/>
      <c r="O782" s="312"/>
      <c r="P782" s="312"/>
      <c r="S782" s="2">
        <f t="shared" si="5"/>
        <v>0</v>
      </c>
      <c r="AA782" s="312"/>
      <c r="AB782" s="312"/>
      <c r="AC782" s="312"/>
      <c r="AD782" s="312"/>
    </row>
    <row r="783">
      <c r="A783" s="312"/>
      <c r="B783" s="344">
        <f t="shared" si="1"/>
        <v>1714.918281</v>
      </c>
      <c r="C783" s="344">
        <v>120.0</v>
      </c>
      <c r="D783" s="369"/>
      <c r="E783" s="344" t="str">
        <f t="shared" si="2"/>
        <v>Saturday</v>
      </c>
      <c r="F783" s="344" t="s">
        <v>554</v>
      </c>
      <c r="G783" s="370"/>
      <c r="H783" s="370"/>
      <c r="I783" s="357">
        <f t="shared" si="3"/>
        <v>0</v>
      </c>
      <c r="J783" s="346">
        <f t="shared" si="4"/>
        <v>0</v>
      </c>
      <c r="K783" s="312"/>
      <c r="L783" s="312"/>
      <c r="M783" s="312"/>
      <c r="N783" s="362"/>
      <c r="O783" s="312"/>
      <c r="P783" s="312"/>
      <c r="S783" s="2">
        <f t="shared" si="5"/>
        <v>0</v>
      </c>
      <c r="AA783" s="312"/>
      <c r="AB783" s="312"/>
      <c r="AC783" s="312"/>
      <c r="AD783" s="312"/>
    </row>
    <row r="784">
      <c r="A784" s="312"/>
      <c r="B784" s="344">
        <f t="shared" si="1"/>
        <v>1714.918281</v>
      </c>
      <c r="C784" s="344">
        <v>120.0</v>
      </c>
      <c r="D784" s="369"/>
      <c r="E784" s="344" t="str">
        <f t="shared" si="2"/>
        <v>Saturday</v>
      </c>
      <c r="F784" s="344" t="s">
        <v>554</v>
      </c>
      <c r="G784" s="370"/>
      <c r="H784" s="370"/>
      <c r="I784" s="357">
        <f t="shared" si="3"/>
        <v>0</v>
      </c>
      <c r="J784" s="346">
        <f t="shared" si="4"/>
        <v>0</v>
      </c>
      <c r="K784" s="312"/>
      <c r="L784" s="312"/>
      <c r="M784" s="312"/>
      <c r="N784" s="362"/>
      <c r="O784" s="312"/>
      <c r="P784" s="312"/>
      <c r="S784" s="2">
        <f t="shared" si="5"/>
        <v>0</v>
      </c>
      <c r="AA784" s="312"/>
      <c r="AB784" s="312"/>
      <c r="AC784" s="312"/>
      <c r="AD784" s="312"/>
    </row>
    <row r="785">
      <c r="A785" s="312"/>
      <c r="B785" s="344">
        <f t="shared" si="1"/>
        <v>1714.918281</v>
      </c>
      <c r="C785" s="344">
        <v>120.0</v>
      </c>
      <c r="D785" s="369"/>
      <c r="E785" s="344" t="str">
        <f t="shared" si="2"/>
        <v>Saturday</v>
      </c>
      <c r="F785" s="344" t="s">
        <v>554</v>
      </c>
      <c r="G785" s="370"/>
      <c r="H785" s="370"/>
      <c r="I785" s="357">
        <f t="shared" si="3"/>
        <v>0</v>
      </c>
      <c r="J785" s="346">
        <f t="shared" si="4"/>
        <v>0</v>
      </c>
      <c r="K785" s="312"/>
      <c r="L785" s="312"/>
      <c r="M785" s="312"/>
      <c r="N785" s="362"/>
      <c r="O785" s="312"/>
      <c r="P785" s="312"/>
      <c r="S785" s="2">
        <f t="shared" si="5"/>
        <v>0</v>
      </c>
      <c r="AA785" s="312"/>
      <c r="AB785" s="312"/>
      <c r="AC785" s="312"/>
      <c r="AD785" s="312"/>
    </row>
    <row r="786">
      <c r="A786" s="312"/>
      <c r="B786" s="344">
        <f t="shared" si="1"/>
        <v>1714.918281</v>
      </c>
      <c r="C786" s="344">
        <v>120.0</v>
      </c>
      <c r="D786" s="369"/>
      <c r="E786" s="344" t="str">
        <f t="shared" si="2"/>
        <v>Saturday</v>
      </c>
      <c r="F786" s="344" t="s">
        <v>554</v>
      </c>
      <c r="G786" s="370"/>
      <c r="H786" s="370"/>
      <c r="I786" s="357">
        <f t="shared" si="3"/>
        <v>0</v>
      </c>
      <c r="J786" s="346">
        <f t="shared" si="4"/>
        <v>0</v>
      </c>
      <c r="K786" s="312"/>
      <c r="L786" s="312"/>
      <c r="M786" s="312"/>
      <c r="N786" s="362"/>
      <c r="O786" s="312"/>
      <c r="P786" s="312"/>
      <c r="S786" s="2">
        <f t="shared" si="5"/>
        <v>0</v>
      </c>
      <c r="AA786" s="312"/>
      <c r="AB786" s="312"/>
      <c r="AC786" s="312"/>
      <c r="AD786" s="312"/>
    </row>
    <row r="787">
      <c r="A787" s="312"/>
      <c r="B787" s="344">
        <f t="shared" si="1"/>
        <v>1714.918281</v>
      </c>
      <c r="C787" s="344">
        <v>120.0</v>
      </c>
      <c r="D787" s="369"/>
      <c r="E787" s="344" t="str">
        <f t="shared" si="2"/>
        <v>Saturday</v>
      </c>
      <c r="F787" s="344" t="s">
        <v>554</v>
      </c>
      <c r="G787" s="370"/>
      <c r="H787" s="370"/>
      <c r="I787" s="357">
        <f t="shared" si="3"/>
        <v>0</v>
      </c>
      <c r="J787" s="346">
        <f t="shared" si="4"/>
        <v>0</v>
      </c>
      <c r="K787" s="312"/>
      <c r="L787" s="312"/>
      <c r="M787" s="312"/>
      <c r="N787" s="362"/>
      <c r="O787" s="312"/>
      <c r="P787" s="312"/>
      <c r="S787" s="2">
        <f t="shared" si="5"/>
        <v>0</v>
      </c>
      <c r="AA787" s="312"/>
      <c r="AB787" s="312"/>
      <c r="AC787" s="312"/>
      <c r="AD787" s="312"/>
    </row>
    <row r="788">
      <c r="A788" s="312"/>
      <c r="B788" s="344">
        <f t="shared" si="1"/>
        <v>1714.918281</v>
      </c>
      <c r="C788" s="344">
        <v>120.0</v>
      </c>
      <c r="D788" s="369"/>
      <c r="E788" s="344" t="str">
        <f t="shared" si="2"/>
        <v>Saturday</v>
      </c>
      <c r="F788" s="344" t="s">
        <v>554</v>
      </c>
      <c r="G788" s="370"/>
      <c r="H788" s="370"/>
      <c r="I788" s="357">
        <f t="shared" si="3"/>
        <v>0</v>
      </c>
      <c r="J788" s="346">
        <f t="shared" si="4"/>
        <v>0</v>
      </c>
      <c r="K788" s="312"/>
      <c r="L788" s="312"/>
      <c r="M788" s="312"/>
      <c r="N788" s="362"/>
      <c r="O788" s="312"/>
      <c r="P788" s="312"/>
      <c r="S788" s="2">
        <f t="shared" si="5"/>
        <v>0</v>
      </c>
      <c r="AA788" s="312"/>
      <c r="AB788" s="312"/>
      <c r="AC788" s="312"/>
      <c r="AD788" s="312"/>
    </row>
    <row r="789">
      <c r="A789" s="312"/>
      <c r="B789" s="344">
        <f t="shared" si="1"/>
        <v>1714.918281</v>
      </c>
      <c r="C789" s="344">
        <v>120.0</v>
      </c>
      <c r="D789" s="369"/>
      <c r="E789" s="344" t="str">
        <f t="shared" si="2"/>
        <v>Saturday</v>
      </c>
      <c r="F789" s="344" t="s">
        <v>554</v>
      </c>
      <c r="G789" s="370"/>
      <c r="H789" s="370"/>
      <c r="I789" s="357">
        <f t="shared" si="3"/>
        <v>0</v>
      </c>
      <c r="J789" s="346">
        <f t="shared" si="4"/>
        <v>0</v>
      </c>
      <c r="K789" s="312"/>
      <c r="L789" s="312"/>
      <c r="M789" s="312"/>
      <c r="N789" s="362"/>
      <c r="O789" s="312"/>
      <c r="P789" s="312"/>
      <c r="S789" s="2">
        <f t="shared" si="5"/>
        <v>0</v>
      </c>
      <c r="AA789" s="312"/>
      <c r="AB789" s="312"/>
      <c r="AC789" s="312"/>
      <c r="AD789" s="312"/>
    </row>
    <row r="790">
      <c r="A790" s="312"/>
      <c r="B790" s="344">
        <f t="shared" si="1"/>
        <v>1714.918281</v>
      </c>
      <c r="C790" s="344">
        <v>120.0</v>
      </c>
      <c r="D790" s="369"/>
      <c r="E790" s="344" t="str">
        <f t="shared" si="2"/>
        <v>Saturday</v>
      </c>
      <c r="F790" s="344" t="s">
        <v>554</v>
      </c>
      <c r="G790" s="370"/>
      <c r="H790" s="370"/>
      <c r="I790" s="357">
        <f t="shared" si="3"/>
        <v>0</v>
      </c>
      <c r="J790" s="346">
        <f t="shared" si="4"/>
        <v>0</v>
      </c>
      <c r="K790" s="312"/>
      <c r="L790" s="312"/>
      <c r="M790" s="312"/>
      <c r="N790" s="362"/>
      <c r="O790" s="312"/>
      <c r="P790" s="312"/>
      <c r="S790" s="2">
        <f t="shared" si="5"/>
        <v>0</v>
      </c>
      <c r="AA790" s="312"/>
      <c r="AB790" s="312"/>
      <c r="AC790" s="312"/>
      <c r="AD790" s="312"/>
    </row>
    <row r="791">
      <c r="A791" s="312"/>
      <c r="B791" s="344">
        <f t="shared" si="1"/>
        <v>1714.918281</v>
      </c>
      <c r="C791" s="344">
        <v>120.0</v>
      </c>
      <c r="D791" s="369"/>
      <c r="E791" s="344" t="str">
        <f t="shared" si="2"/>
        <v>Saturday</v>
      </c>
      <c r="F791" s="344" t="s">
        <v>554</v>
      </c>
      <c r="G791" s="370"/>
      <c r="H791" s="370"/>
      <c r="I791" s="357">
        <f t="shared" si="3"/>
        <v>0</v>
      </c>
      <c r="J791" s="346">
        <f t="shared" si="4"/>
        <v>0</v>
      </c>
      <c r="K791" s="312"/>
      <c r="L791" s="312"/>
      <c r="M791" s="312"/>
      <c r="N791" s="362"/>
      <c r="O791" s="312"/>
      <c r="P791" s="312"/>
      <c r="S791" s="2">
        <f t="shared" si="5"/>
        <v>0</v>
      </c>
      <c r="AA791" s="312"/>
      <c r="AB791" s="312"/>
      <c r="AC791" s="312"/>
      <c r="AD791" s="312"/>
    </row>
    <row r="792">
      <c r="A792" s="312"/>
      <c r="B792" s="344">
        <f t="shared" si="1"/>
        <v>1714.918281</v>
      </c>
      <c r="C792" s="344">
        <v>120.0</v>
      </c>
      <c r="D792" s="369"/>
      <c r="E792" s="344" t="str">
        <f t="shared" si="2"/>
        <v>Saturday</v>
      </c>
      <c r="F792" s="344" t="s">
        <v>554</v>
      </c>
      <c r="G792" s="370"/>
      <c r="H792" s="370"/>
      <c r="I792" s="357">
        <f t="shared" si="3"/>
        <v>0</v>
      </c>
      <c r="J792" s="346">
        <f t="shared" si="4"/>
        <v>0</v>
      </c>
      <c r="K792" s="312"/>
      <c r="L792" s="312"/>
      <c r="M792" s="312"/>
      <c r="N792" s="362"/>
      <c r="O792" s="312"/>
      <c r="P792" s="312"/>
      <c r="S792" s="2">
        <f t="shared" si="5"/>
        <v>0</v>
      </c>
      <c r="AA792" s="312"/>
      <c r="AB792" s="312"/>
      <c r="AC792" s="312"/>
      <c r="AD792" s="312"/>
    </row>
    <row r="793">
      <c r="A793" s="312"/>
      <c r="B793" s="344">
        <f t="shared" si="1"/>
        <v>1714.918281</v>
      </c>
      <c r="C793" s="344">
        <v>120.0</v>
      </c>
      <c r="D793" s="369"/>
      <c r="E793" s="344" t="str">
        <f t="shared" si="2"/>
        <v>Saturday</v>
      </c>
      <c r="F793" s="344" t="s">
        <v>554</v>
      </c>
      <c r="G793" s="370"/>
      <c r="H793" s="370"/>
      <c r="I793" s="357">
        <f t="shared" si="3"/>
        <v>0</v>
      </c>
      <c r="J793" s="346">
        <f t="shared" si="4"/>
        <v>0</v>
      </c>
      <c r="K793" s="312"/>
      <c r="L793" s="312"/>
      <c r="M793" s="312"/>
      <c r="N793" s="362"/>
      <c r="O793" s="312"/>
      <c r="P793" s="312"/>
      <c r="S793" s="2">
        <f t="shared" si="5"/>
        <v>0</v>
      </c>
      <c r="AA793" s="312"/>
      <c r="AB793" s="312"/>
      <c r="AC793" s="312"/>
      <c r="AD793" s="312"/>
    </row>
    <row r="794">
      <c r="A794" s="312"/>
      <c r="B794" s="344">
        <f t="shared" si="1"/>
        <v>1714.918281</v>
      </c>
      <c r="C794" s="344">
        <v>120.0</v>
      </c>
      <c r="D794" s="369"/>
      <c r="E794" s="344" t="str">
        <f t="shared" si="2"/>
        <v>Saturday</v>
      </c>
      <c r="F794" s="344" t="s">
        <v>554</v>
      </c>
      <c r="G794" s="370"/>
      <c r="H794" s="370"/>
      <c r="I794" s="357">
        <f t="shared" si="3"/>
        <v>0</v>
      </c>
      <c r="J794" s="346">
        <f t="shared" si="4"/>
        <v>0</v>
      </c>
      <c r="K794" s="312"/>
      <c r="L794" s="312"/>
      <c r="M794" s="312"/>
      <c r="N794" s="362"/>
      <c r="O794" s="312"/>
      <c r="P794" s="312"/>
      <c r="S794" s="2">
        <f t="shared" si="5"/>
        <v>0</v>
      </c>
      <c r="AA794" s="312"/>
      <c r="AB794" s="312"/>
      <c r="AC794" s="312"/>
      <c r="AD794" s="312"/>
    </row>
    <row r="795">
      <c r="A795" s="312"/>
      <c r="B795" s="344">
        <f t="shared" si="1"/>
        <v>1714.918281</v>
      </c>
      <c r="C795" s="344">
        <v>120.0</v>
      </c>
      <c r="D795" s="369"/>
      <c r="E795" s="344" t="str">
        <f t="shared" si="2"/>
        <v>Saturday</v>
      </c>
      <c r="F795" s="344" t="s">
        <v>554</v>
      </c>
      <c r="G795" s="370"/>
      <c r="H795" s="370"/>
      <c r="I795" s="357">
        <f t="shared" si="3"/>
        <v>0</v>
      </c>
      <c r="J795" s="346">
        <f t="shared" si="4"/>
        <v>0</v>
      </c>
      <c r="K795" s="312"/>
      <c r="L795" s="312"/>
      <c r="M795" s="312"/>
      <c r="N795" s="362"/>
      <c r="O795" s="312"/>
      <c r="P795" s="312"/>
      <c r="S795" s="2">
        <f t="shared" si="5"/>
        <v>0</v>
      </c>
      <c r="AA795" s="312"/>
      <c r="AB795" s="312"/>
      <c r="AC795" s="312"/>
      <c r="AD795" s="312"/>
    </row>
    <row r="796">
      <c r="A796" s="312"/>
      <c r="B796" s="344">
        <f t="shared" si="1"/>
        <v>1714.918281</v>
      </c>
      <c r="C796" s="344">
        <v>120.0</v>
      </c>
      <c r="D796" s="369"/>
      <c r="E796" s="344" t="str">
        <f t="shared" si="2"/>
        <v>Saturday</v>
      </c>
      <c r="F796" s="344" t="s">
        <v>554</v>
      </c>
      <c r="G796" s="370"/>
      <c r="H796" s="370"/>
      <c r="I796" s="357">
        <f t="shared" si="3"/>
        <v>0</v>
      </c>
      <c r="J796" s="346">
        <f t="shared" si="4"/>
        <v>0</v>
      </c>
      <c r="K796" s="312"/>
      <c r="L796" s="312"/>
      <c r="M796" s="312"/>
      <c r="N796" s="362"/>
      <c r="O796" s="312"/>
      <c r="P796" s="312"/>
      <c r="S796" s="2">
        <f t="shared" si="5"/>
        <v>0</v>
      </c>
      <c r="AA796" s="312"/>
      <c r="AB796" s="312"/>
      <c r="AC796" s="312"/>
      <c r="AD796" s="312"/>
    </row>
    <row r="797">
      <c r="A797" s="312"/>
      <c r="B797" s="344">
        <f t="shared" si="1"/>
        <v>1714.918281</v>
      </c>
      <c r="C797" s="344">
        <v>120.0</v>
      </c>
      <c r="D797" s="369"/>
      <c r="E797" s="344" t="str">
        <f t="shared" si="2"/>
        <v>Saturday</v>
      </c>
      <c r="F797" s="344" t="s">
        <v>554</v>
      </c>
      <c r="G797" s="370"/>
      <c r="H797" s="370"/>
      <c r="I797" s="357">
        <f t="shared" si="3"/>
        <v>0</v>
      </c>
      <c r="J797" s="346">
        <f t="shared" si="4"/>
        <v>0</v>
      </c>
      <c r="K797" s="312"/>
      <c r="L797" s="312"/>
      <c r="M797" s="312"/>
      <c r="N797" s="362"/>
      <c r="O797" s="312"/>
      <c r="P797" s="312"/>
      <c r="S797" s="2">
        <f t="shared" si="5"/>
        <v>0</v>
      </c>
      <c r="AA797" s="312"/>
      <c r="AB797" s="312"/>
      <c r="AC797" s="312"/>
      <c r="AD797" s="312"/>
    </row>
    <row r="798">
      <c r="A798" s="312"/>
      <c r="B798" s="344">
        <f t="shared" si="1"/>
        <v>1714.918281</v>
      </c>
      <c r="C798" s="344">
        <v>120.0</v>
      </c>
      <c r="D798" s="369"/>
      <c r="E798" s="344" t="str">
        <f t="shared" si="2"/>
        <v>Saturday</v>
      </c>
      <c r="F798" s="344" t="s">
        <v>554</v>
      </c>
      <c r="G798" s="370"/>
      <c r="H798" s="370"/>
      <c r="I798" s="357">
        <f t="shared" si="3"/>
        <v>0</v>
      </c>
      <c r="J798" s="346">
        <f t="shared" si="4"/>
        <v>0</v>
      </c>
      <c r="K798" s="312"/>
      <c r="L798" s="312"/>
      <c r="M798" s="312"/>
      <c r="N798" s="362"/>
      <c r="O798" s="312"/>
      <c r="P798" s="312"/>
      <c r="S798" s="2">
        <f t="shared" si="5"/>
        <v>0</v>
      </c>
      <c r="AA798" s="312"/>
      <c r="AB798" s="312"/>
      <c r="AC798" s="312"/>
      <c r="AD798" s="312"/>
    </row>
    <row r="799">
      <c r="A799" s="312"/>
      <c r="B799" s="344">
        <f t="shared" si="1"/>
        <v>1714.918281</v>
      </c>
      <c r="C799" s="344">
        <v>120.0</v>
      </c>
      <c r="D799" s="369"/>
      <c r="E799" s="344" t="str">
        <f t="shared" si="2"/>
        <v>Saturday</v>
      </c>
      <c r="F799" s="344" t="s">
        <v>554</v>
      </c>
      <c r="G799" s="370"/>
      <c r="H799" s="370"/>
      <c r="I799" s="357">
        <f t="shared" si="3"/>
        <v>0</v>
      </c>
      <c r="J799" s="346">
        <f t="shared" si="4"/>
        <v>0</v>
      </c>
      <c r="K799" s="312"/>
      <c r="L799" s="312"/>
      <c r="M799" s="312"/>
      <c r="N799" s="362"/>
      <c r="O799" s="312"/>
      <c r="P799" s="312"/>
      <c r="S799" s="2">
        <f t="shared" si="5"/>
        <v>0</v>
      </c>
      <c r="AA799" s="312"/>
      <c r="AB799" s="312"/>
      <c r="AC799" s="312"/>
      <c r="AD799" s="312"/>
    </row>
    <row r="800">
      <c r="A800" s="312"/>
      <c r="B800" s="344">
        <f t="shared" si="1"/>
        <v>1714.918281</v>
      </c>
      <c r="C800" s="344">
        <v>120.0</v>
      </c>
      <c r="D800" s="369"/>
      <c r="E800" s="344" t="str">
        <f t="shared" si="2"/>
        <v>Saturday</v>
      </c>
      <c r="F800" s="344" t="s">
        <v>554</v>
      </c>
      <c r="G800" s="370"/>
      <c r="H800" s="370"/>
      <c r="I800" s="357">
        <f t="shared" si="3"/>
        <v>0</v>
      </c>
      <c r="J800" s="346">
        <f t="shared" si="4"/>
        <v>0</v>
      </c>
      <c r="K800" s="312"/>
      <c r="L800" s="312"/>
      <c r="M800" s="312"/>
      <c r="N800" s="362"/>
      <c r="O800" s="312"/>
      <c r="P800" s="312"/>
      <c r="S800" s="2">
        <f t="shared" si="5"/>
        <v>0</v>
      </c>
      <c r="AA800" s="312"/>
      <c r="AB800" s="312"/>
      <c r="AC800" s="312"/>
      <c r="AD800" s="312"/>
    </row>
    <row r="801">
      <c r="A801" s="312"/>
      <c r="B801" s="344">
        <f t="shared" si="1"/>
        <v>1714.918281</v>
      </c>
      <c r="C801" s="344">
        <v>120.0</v>
      </c>
      <c r="D801" s="369"/>
      <c r="E801" s="344" t="str">
        <f t="shared" si="2"/>
        <v>Saturday</v>
      </c>
      <c r="F801" s="344" t="s">
        <v>554</v>
      </c>
      <c r="G801" s="370"/>
      <c r="H801" s="370"/>
      <c r="I801" s="357">
        <f t="shared" si="3"/>
        <v>0</v>
      </c>
      <c r="J801" s="346">
        <f t="shared" si="4"/>
        <v>0</v>
      </c>
      <c r="K801" s="312"/>
      <c r="L801" s="312"/>
      <c r="M801" s="312"/>
      <c r="N801" s="362"/>
      <c r="O801" s="312"/>
      <c r="P801" s="312"/>
      <c r="S801" s="2">
        <f t="shared" si="5"/>
        <v>0</v>
      </c>
      <c r="AA801" s="312"/>
      <c r="AB801" s="312"/>
      <c r="AC801" s="312"/>
      <c r="AD801" s="312"/>
    </row>
    <row r="802">
      <c r="A802" s="312"/>
      <c r="B802" s="344">
        <f t="shared" si="1"/>
        <v>1714.918281</v>
      </c>
      <c r="C802" s="344">
        <v>120.0</v>
      </c>
      <c r="D802" s="369"/>
      <c r="E802" s="344" t="str">
        <f t="shared" si="2"/>
        <v>Saturday</v>
      </c>
      <c r="F802" s="344" t="s">
        <v>554</v>
      </c>
      <c r="G802" s="370"/>
      <c r="H802" s="370"/>
      <c r="I802" s="357">
        <f t="shared" si="3"/>
        <v>0</v>
      </c>
      <c r="J802" s="346">
        <f t="shared" si="4"/>
        <v>0</v>
      </c>
      <c r="K802" s="312"/>
      <c r="L802" s="312"/>
      <c r="M802" s="312"/>
      <c r="N802" s="362"/>
      <c r="O802" s="312"/>
      <c r="P802" s="312"/>
      <c r="S802" s="2">
        <f t="shared" si="5"/>
        <v>0</v>
      </c>
      <c r="AA802" s="312"/>
      <c r="AB802" s="312"/>
      <c r="AC802" s="312"/>
      <c r="AD802" s="312"/>
    </row>
    <row r="803">
      <c r="A803" s="312"/>
      <c r="B803" s="344">
        <f t="shared" si="1"/>
        <v>1714.918281</v>
      </c>
      <c r="C803" s="344">
        <v>120.0</v>
      </c>
      <c r="D803" s="369"/>
      <c r="E803" s="344" t="str">
        <f t="shared" si="2"/>
        <v>Saturday</v>
      </c>
      <c r="F803" s="344" t="s">
        <v>554</v>
      </c>
      <c r="G803" s="370"/>
      <c r="H803" s="370"/>
      <c r="I803" s="357">
        <f t="shared" si="3"/>
        <v>0</v>
      </c>
      <c r="J803" s="346">
        <f t="shared" si="4"/>
        <v>0</v>
      </c>
      <c r="K803" s="312"/>
      <c r="L803" s="312"/>
      <c r="M803" s="312"/>
      <c r="N803" s="362"/>
      <c r="O803" s="312"/>
      <c r="P803" s="312"/>
      <c r="S803" s="2">
        <f t="shared" si="5"/>
        <v>0</v>
      </c>
      <c r="AA803" s="312"/>
      <c r="AB803" s="312"/>
      <c r="AC803" s="312"/>
      <c r="AD803" s="312"/>
    </row>
    <row r="804">
      <c r="A804" s="312"/>
      <c r="B804" s="344">
        <f t="shared" si="1"/>
        <v>1714.918281</v>
      </c>
      <c r="C804" s="344">
        <v>120.0</v>
      </c>
      <c r="D804" s="369"/>
      <c r="E804" s="344" t="str">
        <f t="shared" si="2"/>
        <v>Saturday</v>
      </c>
      <c r="F804" s="344" t="s">
        <v>554</v>
      </c>
      <c r="G804" s="370"/>
      <c r="H804" s="370"/>
      <c r="I804" s="357">
        <f t="shared" si="3"/>
        <v>0</v>
      </c>
      <c r="J804" s="346">
        <f t="shared" si="4"/>
        <v>0</v>
      </c>
      <c r="K804" s="312"/>
      <c r="L804" s="312"/>
      <c r="M804" s="312"/>
      <c r="N804" s="362"/>
      <c r="O804" s="312"/>
      <c r="P804" s="312"/>
      <c r="S804" s="2">
        <f t="shared" si="5"/>
        <v>0</v>
      </c>
      <c r="AA804" s="312"/>
      <c r="AB804" s="312"/>
      <c r="AC804" s="312"/>
      <c r="AD804" s="312"/>
    </row>
    <row r="805">
      <c r="A805" s="312"/>
      <c r="B805" s="344">
        <f t="shared" si="1"/>
        <v>1714.918281</v>
      </c>
      <c r="C805" s="344">
        <v>120.0</v>
      </c>
      <c r="D805" s="369"/>
      <c r="E805" s="344" t="str">
        <f t="shared" si="2"/>
        <v>Saturday</v>
      </c>
      <c r="F805" s="344" t="s">
        <v>554</v>
      </c>
      <c r="G805" s="370"/>
      <c r="H805" s="370"/>
      <c r="I805" s="357">
        <f t="shared" si="3"/>
        <v>0</v>
      </c>
      <c r="J805" s="346">
        <f t="shared" si="4"/>
        <v>0</v>
      </c>
      <c r="K805" s="312"/>
      <c r="L805" s="312"/>
      <c r="M805" s="312"/>
      <c r="N805" s="362"/>
      <c r="O805" s="312"/>
      <c r="P805" s="312"/>
      <c r="S805" s="2">
        <f t="shared" si="5"/>
        <v>0</v>
      </c>
      <c r="AA805" s="312"/>
      <c r="AB805" s="312"/>
      <c r="AC805" s="312"/>
      <c r="AD805" s="312"/>
    </row>
    <row r="806">
      <c r="A806" s="312"/>
      <c r="B806" s="344">
        <f t="shared" si="1"/>
        <v>1714.918281</v>
      </c>
      <c r="C806" s="344">
        <v>120.0</v>
      </c>
      <c r="D806" s="369"/>
      <c r="E806" s="344" t="str">
        <f t="shared" si="2"/>
        <v>Saturday</v>
      </c>
      <c r="F806" s="344" t="s">
        <v>554</v>
      </c>
      <c r="G806" s="370"/>
      <c r="H806" s="370"/>
      <c r="I806" s="357">
        <f t="shared" si="3"/>
        <v>0</v>
      </c>
      <c r="J806" s="346">
        <f t="shared" si="4"/>
        <v>0</v>
      </c>
      <c r="K806" s="312"/>
      <c r="L806" s="312"/>
      <c r="M806" s="312"/>
      <c r="N806" s="362"/>
      <c r="O806" s="312"/>
      <c r="P806" s="312"/>
      <c r="S806" s="2">
        <f t="shared" si="5"/>
        <v>0</v>
      </c>
      <c r="AA806" s="312"/>
      <c r="AB806" s="312"/>
      <c r="AC806" s="312"/>
      <c r="AD806" s="312"/>
    </row>
    <row r="807">
      <c r="A807" s="312"/>
      <c r="B807" s="344">
        <f t="shared" si="1"/>
        <v>1714.918281</v>
      </c>
      <c r="C807" s="344">
        <v>120.0</v>
      </c>
      <c r="D807" s="369"/>
      <c r="E807" s="344" t="str">
        <f t="shared" si="2"/>
        <v>Saturday</v>
      </c>
      <c r="F807" s="344" t="s">
        <v>554</v>
      </c>
      <c r="G807" s="370"/>
      <c r="H807" s="370"/>
      <c r="I807" s="357">
        <f t="shared" si="3"/>
        <v>0</v>
      </c>
      <c r="J807" s="346">
        <f t="shared" si="4"/>
        <v>0</v>
      </c>
      <c r="K807" s="312"/>
      <c r="L807" s="312"/>
      <c r="M807" s="312"/>
      <c r="N807" s="362"/>
      <c r="O807" s="312"/>
      <c r="P807" s="312"/>
      <c r="S807" s="2">
        <f t="shared" si="5"/>
        <v>0</v>
      </c>
      <c r="AA807" s="312"/>
      <c r="AB807" s="312"/>
      <c r="AC807" s="312"/>
      <c r="AD807" s="312"/>
    </row>
    <row r="808">
      <c r="A808" s="312"/>
      <c r="B808" s="344">
        <f t="shared" si="1"/>
        <v>1714.918281</v>
      </c>
      <c r="C808" s="344">
        <v>120.0</v>
      </c>
      <c r="D808" s="369"/>
      <c r="E808" s="344" t="str">
        <f t="shared" si="2"/>
        <v>Saturday</v>
      </c>
      <c r="F808" s="344" t="s">
        <v>554</v>
      </c>
      <c r="G808" s="370"/>
      <c r="H808" s="370"/>
      <c r="I808" s="357">
        <f t="shared" si="3"/>
        <v>0</v>
      </c>
      <c r="J808" s="346">
        <f t="shared" si="4"/>
        <v>0</v>
      </c>
      <c r="K808" s="312"/>
      <c r="L808" s="312"/>
      <c r="M808" s="312"/>
      <c r="N808" s="362"/>
      <c r="O808" s="312"/>
      <c r="P808" s="312"/>
      <c r="S808" s="2">
        <f t="shared" si="5"/>
        <v>0</v>
      </c>
      <c r="AA808" s="312"/>
      <c r="AB808" s="312"/>
      <c r="AC808" s="312"/>
      <c r="AD808" s="312"/>
    </row>
    <row r="809">
      <c r="A809" s="312"/>
      <c r="B809" s="344">
        <f t="shared" si="1"/>
        <v>1714.918281</v>
      </c>
      <c r="C809" s="344">
        <v>120.0</v>
      </c>
      <c r="D809" s="369"/>
      <c r="E809" s="344" t="str">
        <f t="shared" si="2"/>
        <v>Saturday</v>
      </c>
      <c r="F809" s="344" t="s">
        <v>554</v>
      </c>
      <c r="G809" s="370"/>
      <c r="H809" s="370"/>
      <c r="I809" s="357">
        <f t="shared" si="3"/>
        <v>0</v>
      </c>
      <c r="J809" s="346">
        <f t="shared" si="4"/>
        <v>0</v>
      </c>
      <c r="K809" s="312"/>
      <c r="L809" s="312"/>
      <c r="M809" s="312"/>
      <c r="N809" s="362"/>
      <c r="O809" s="312"/>
      <c r="P809" s="312"/>
      <c r="S809" s="2">
        <f t="shared" si="5"/>
        <v>0</v>
      </c>
      <c r="AA809" s="312"/>
      <c r="AB809" s="312"/>
      <c r="AC809" s="312"/>
      <c r="AD809" s="312"/>
    </row>
    <row r="810">
      <c r="A810" s="312"/>
      <c r="B810" s="344">
        <f t="shared" si="1"/>
        <v>1714.918281</v>
      </c>
      <c r="C810" s="344">
        <v>120.0</v>
      </c>
      <c r="D810" s="369"/>
      <c r="E810" s="344" t="str">
        <f t="shared" si="2"/>
        <v>Saturday</v>
      </c>
      <c r="F810" s="344" t="s">
        <v>554</v>
      </c>
      <c r="G810" s="370"/>
      <c r="H810" s="370"/>
      <c r="I810" s="357">
        <f t="shared" si="3"/>
        <v>0</v>
      </c>
      <c r="J810" s="346">
        <f t="shared" si="4"/>
        <v>0</v>
      </c>
      <c r="K810" s="312"/>
      <c r="L810" s="312"/>
      <c r="M810" s="312"/>
      <c r="N810" s="362"/>
      <c r="O810" s="312"/>
      <c r="P810" s="312"/>
      <c r="S810" s="2">
        <f t="shared" si="5"/>
        <v>0</v>
      </c>
      <c r="AA810" s="312"/>
      <c r="AB810" s="312"/>
      <c r="AC810" s="312"/>
      <c r="AD810" s="312"/>
    </row>
    <row r="811">
      <c r="A811" s="312"/>
      <c r="B811" s="344">
        <f t="shared" si="1"/>
        <v>1714.918281</v>
      </c>
      <c r="C811" s="344">
        <v>120.0</v>
      </c>
      <c r="D811" s="369"/>
      <c r="E811" s="344" t="str">
        <f t="shared" si="2"/>
        <v>Saturday</v>
      </c>
      <c r="F811" s="344" t="s">
        <v>554</v>
      </c>
      <c r="G811" s="370"/>
      <c r="H811" s="370"/>
      <c r="I811" s="357">
        <f t="shared" si="3"/>
        <v>0</v>
      </c>
      <c r="J811" s="346">
        <f t="shared" si="4"/>
        <v>0</v>
      </c>
      <c r="K811" s="312"/>
      <c r="L811" s="312"/>
      <c r="M811" s="312"/>
      <c r="N811" s="362"/>
      <c r="O811" s="312"/>
      <c r="P811" s="312"/>
      <c r="S811" s="2">
        <f t="shared" si="5"/>
        <v>0</v>
      </c>
      <c r="AA811" s="312"/>
      <c r="AB811" s="312"/>
      <c r="AC811" s="312"/>
      <c r="AD811" s="312"/>
    </row>
    <row r="812">
      <c r="A812" s="312"/>
      <c r="B812" s="344">
        <f t="shared" si="1"/>
        <v>1714.918281</v>
      </c>
      <c r="C812" s="344">
        <v>120.0</v>
      </c>
      <c r="D812" s="369"/>
      <c r="E812" s="344" t="str">
        <f t="shared" si="2"/>
        <v>Saturday</v>
      </c>
      <c r="F812" s="344" t="s">
        <v>554</v>
      </c>
      <c r="G812" s="370"/>
      <c r="H812" s="370"/>
      <c r="I812" s="357">
        <f t="shared" si="3"/>
        <v>0</v>
      </c>
      <c r="J812" s="346">
        <f t="shared" si="4"/>
        <v>0</v>
      </c>
      <c r="K812" s="312"/>
      <c r="L812" s="312"/>
      <c r="M812" s="312"/>
      <c r="N812" s="362"/>
      <c r="O812" s="312"/>
      <c r="P812" s="312"/>
      <c r="S812" s="2">
        <f t="shared" si="5"/>
        <v>0</v>
      </c>
      <c r="AA812" s="312"/>
      <c r="AB812" s="312"/>
      <c r="AC812" s="312"/>
      <c r="AD812" s="312"/>
    </row>
    <row r="813">
      <c r="A813" s="312"/>
      <c r="B813" s="344">
        <f t="shared" si="1"/>
        <v>1714.918281</v>
      </c>
      <c r="C813" s="344">
        <v>120.0</v>
      </c>
      <c r="D813" s="369"/>
      <c r="E813" s="344" t="str">
        <f t="shared" si="2"/>
        <v>Saturday</v>
      </c>
      <c r="F813" s="344" t="s">
        <v>554</v>
      </c>
      <c r="G813" s="370"/>
      <c r="H813" s="370"/>
      <c r="I813" s="357">
        <f t="shared" si="3"/>
        <v>0</v>
      </c>
      <c r="J813" s="346">
        <f t="shared" si="4"/>
        <v>0</v>
      </c>
      <c r="K813" s="312"/>
      <c r="L813" s="312"/>
      <c r="M813" s="312"/>
      <c r="N813" s="362"/>
      <c r="O813" s="312"/>
      <c r="P813" s="312"/>
      <c r="S813" s="2">
        <f t="shared" si="5"/>
        <v>0</v>
      </c>
      <c r="AA813" s="312"/>
      <c r="AB813" s="312"/>
      <c r="AC813" s="312"/>
      <c r="AD813" s="312"/>
    </row>
    <row r="814">
      <c r="A814" s="312"/>
      <c r="B814" s="344">
        <f t="shared" si="1"/>
        <v>1714.918281</v>
      </c>
      <c r="C814" s="344">
        <v>120.0</v>
      </c>
      <c r="D814" s="369"/>
      <c r="E814" s="344" t="str">
        <f t="shared" si="2"/>
        <v>Saturday</v>
      </c>
      <c r="F814" s="344" t="s">
        <v>554</v>
      </c>
      <c r="G814" s="370"/>
      <c r="H814" s="370"/>
      <c r="I814" s="357">
        <f t="shared" si="3"/>
        <v>0</v>
      </c>
      <c r="J814" s="346">
        <f t="shared" si="4"/>
        <v>0</v>
      </c>
      <c r="K814" s="312"/>
      <c r="L814" s="312"/>
      <c r="M814" s="312"/>
      <c r="N814" s="362"/>
      <c r="O814" s="312"/>
      <c r="P814" s="312"/>
      <c r="S814" s="2">
        <f t="shared" si="5"/>
        <v>0</v>
      </c>
      <c r="AA814" s="312"/>
      <c r="AB814" s="312"/>
      <c r="AC814" s="312"/>
      <c r="AD814" s="312"/>
    </row>
    <row r="815">
      <c r="A815" s="312"/>
      <c r="B815" s="344">
        <f t="shared" si="1"/>
        <v>1714.918281</v>
      </c>
      <c r="C815" s="344">
        <v>120.0</v>
      </c>
      <c r="D815" s="369"/>
      <c r="E815" s="344" t="str">
        <f t="shared" si="2"/>
        <v>Saturday</v>
      </c>
      <c r="F815" s="344" t="s">
        <v>554</v>
      </c>
      <c r="G815" s="370"/>
      <c r="H815" s="370"/>
      <c r="I815" s="357">
        <f t="shared" si="3"/>
        <v>0</v>
      </c>
      <c r="J815" s="346">
        <f t="shared" si="4"/>
        <v>0</v>
      </c>
      <c r="K815" s="312"/>
      <c r="L815" s="312"/>
      <c r="M815" s="312"/>
      <c r="N815" s="362"/>
      <c r="O815" s="312"/>
      <c r="P815" s="312"/>
      <c r="S815" s="2">
        <f t="shared" si="5"/>
        <v>0</v>
      </c>
      <c r="AA815" s="312"/>
      <c r="AB815" s="312"/>
      <c r="AC815" s="312"/>
      <c r="AD815" s="312"/>
    </row>
    <row r="816">
      <c r="A816" s="312"/>
      <c r="B816" s="344">
        <f t="shared" si="1"/>
        <v>1714.918281</v>
      </c>
      <c r="C816" s="344">
        <v>120.0</v>
      </c>
      <c r="D816" s="369"/>
      <c r="E816" s="344" t="str">
        <f t="shared" si="2"/>
        <v>Saturday</v>
      </c>
      <c r="F816" s="344" t="s">
        <v>554</v>
      </c>
      <c r="G816" s="370"/>
      <c r="H816" s="370"/>
      <c r="I816" s="357">
        <f t="shared" si="3"/>
        <v>0</v>
      </c>
      <c r="J816" s="346">
        <f t="shared" si="4"/>
        <v>0</v>
      </c>
      <c r="K816" s="312"/>
      <c r="L816" s="312"/>
      <c r="M816" s="312"/>
      <c r="N816" s="362"/>
      <c r="O816" s="312"/>
      <c r="P816" s="312"/>
      <c r="S816" s="2">
        <f t="shared" si="5"/>
        <v>0</v>
      </c>
      <c r="AA816" s="312"/>
      <c r="AB816" s="312"/>
      <c r="AC816" s="312"/>
      <c r="AD816" s="312"/>
    </row>
    <row r="817">
      <c r="A817" s="312"/>
      <c r="B817" s="344">
        <f t="shared" si="1"/>
        <v>1714.918281</v>
      </c>
      <c r="C817" s="344">
        <v>120.0</v>
      </c>
      <c r="D817" s="369"/>
      <c r="E817" s="344" t="str">
        <f t="shared" si="2"/>
        <v>Saturday</v>
      </c>
      <c r="F817" s="344" t="s">
        <v>554</v>
      </c>
      <c r="G817" s="370"/>
      <c r="H817" s="370"/>
      <c r="I817" s="357">
        <f t="shared" si="3"/>
        <v>0</v>
      </c>
      <c r="J817" s="346">
        <f t="shared" si="4"/>
        <v>0</v>
      </c>
      <c r="K817" s="312"/>
      <c r="L817" s="312"/>
      <c r="M817" s="312"/>
      <c r="N817" s="362"/>
      <c r="O817" s="312"/>
      <c r="P817" s="312"/>
      <c r="S817" s="2">
        <f t="shared" si="5"/>
        <v>0</v>
      </c>
      <c r="AA817" s="312"/>
      <c r="AB817" s="312"/>
      <c r="AC817" s="312"/>
      <c r="AD817" s="312"/>
    </row>
    <row r="818">
      <c r="A818" s="312"/>
      <c r="B818" s="344">
        <f t="shared" si="1"/>
        <v>1714.918281</v>
      </c>
      <c r="C818" s="344">
        <v>120.0</v>
      </c>
      <c r="D818" s="369"/>
      <c r="E818" s="344" t="str">
        <f t="shared" si="2"/>
        <v>Saturday</v>
      </c>
      <c r="F818" s="344" t="s">
        <v>554</v>
      </c>
      <c r="G818" s="370"/>
      <c r="H818" s="370"/>
      <c r="I818" s="357">
        <f t="shared" si="3"/>
        <v>0</v>
      </c>
      <c r="J818" s="346">
        <f t="shared" si="4"/>
        <v>0</v>
      </c>
      <c r="K818" s="312"/>
      <c r="L818" s="312"/>
      <c r="M818" s="312"/>
      <c r="N818" s="362"/>
      <c r="O818" s="312"/>
      <c r="P818" s="312"/>
      <c r="S818" s="2">
        <f t="shared" si="5"/>
        <v>0</v>
      </c>
      <c r="AA818" s="312"/>
      <c r="AB818" s="312"/>
      <c r="AC818" s="312"/>
      <c r="AD818" s="312"/>
    </row>
    <row r="819">
      <c r="A819" s="312"/>
      <c r="B819" s="344">
        <f t="shared" si="1"/>
        <v>1714.918281</v>
      </c>
      <c r="C819" s="344">
        <v>120.0</v>
      </c>
      <c r="D819" s="369"/>
      <c r="E819" s="344" t="str">
        <f t="shared" si="2"/>
        <v>Saturday</v>
      </c>
      <c r="F819" s="344" t="s">
        <v>554</v>
      </c>
      <c r="G819" s="370"/>
      <c r="H819" s="370"/>
      <c r="I819" s="357">
        <f t="shared" si="3"/>
        <v>0</v>
      </c>
      <c r="J819" s="346">
        <f t="shared" si="4"/>
        <v>0</v>
      </c>
      <c r="K819" s="312"/>
      <c r="L819" s="312"/>
      <c r="M819" s="312"/>
      <c r="N819" s="362"/>
      <c r="O819" s="312"/>
      <c r="P819" s="312"/>
      <c r="S819" s="2">
        <f t="shared" si="5"/>
        <v>0</v>
      </c>
      <c r="AA819" s="312"/>
      <c r="AB819" s="312"/>
      <c r="AC819" s="312"/>
      <c r="AD819" s="312"/>
    </row>
    <row r="820">
      <c r="A820" s="312"/>
      <c r="B820" s="344">
        <f t="shared" si="1"/>
        <v>1714.918281</v>
      </c>
      <c r="C820" s="344">
        <v>120.0</v>
      </c>
      <c r="D820" s="369"/>
      <c r="E820" s="344" t="str">
        <f t="shared" si="2"/>
        <v>Saturday</v>
      </c>
      <c r="F820" s="344" t="s">
        <v>554</v>
      </c>
      <c r="G820" s="370"/>
      <c r="H820" s="370"/>
      <c r="I820" s="357">
        <f t="shared" si="3"/>
        <v>0</v>
      </c>
      <c r="J820" s="346">
        <f t="shared" si="4"/>
        <v>0</v>
      </c>
      <c r="K820" s="312"/>
      <c r="L820" s="312"/>
      <c r="M820" s="312"/>
      <c r="N820" s="362"/>
      <c r="O820" s="312"/>
      <c r="P820" s="312"/>
      <c r="S820" s="2">
        <f t="shared" si="5"/>
        <v>0</v>
      </c>
      <c r="AA820" s="312"/>
      <c r="AB820" s="312"/>
      <c r="AC820" s="312"/>
      <c r="AD820" s="312"/>
    </row>
    <row r="821">
      <c r="A821" s="312"/>
      <c r="B821" s="344">
        <f t="shared" si="1"/>
        <v>1714.918281</v>
      </c>
      <c r="C821" s="344">
        <v>120.0</v>
      </c>
      <c r="D821" s="369"/>
      <c r="E821" s="344" t="str">
        <f t="shared" si="2"/>
        <v>Saturday</v>
      </c>
      <c r="F821" s="344" t="s">
        <v>554</v>
      </c>
      <c r="G821" s="370"/>
      <c r="H821" s="370"/>
      <c r="I821" s="357">
        <f t="shared" si="3"/>
        <v>0</v>
      </c>
      <c r="J821" s="346">
        <f t="shared" si="4"/>
        <v>0</v>
      </c>
      <c r="K821" s="312"/>
      <c r="L821" s="312"/>
      <c r="M821" s="312"/>
      <c r="N821" s="362"/>
      <c r="O821" s="312"/>
      <c r="P821" s="312"/>
      <c r="S821" s="2">
        <f t="shared" si="5"/>
        <v>0</v>
      </c>
      <c r="AA821" s="312"/>
      <c r="AB821" s="312"/>
      <c r="AC821" s="312"/>
      <c r="AD821" s="312"/>
    </row>
    <row r="822">
      <c r="A822" s="312"/>
      <c r="B822" s="344">
        <f t="shared" si="1"/>
        <v>1714.918281</v>
      </c>
      <c r="C822" s="344">
        <v>120.0</v>
      </c>
      <c r="D822" s="369"/>
      <c r="E822" s="344" t="str">
        <f t="shared" si="2"/>
        <v>Saturday</v>
      </c>
      <c r="F822" s="344" t="s">
        <v>554</v>
      </c>
      <c r="G822" s="370"/>
      <c r="H822" s="370"/>
      <c r="I822" s="357">
        <f t="shared" si="3"/>
        <v>0</v>
      </c>
      <c r="J822" s="346">
        <f t="shared" si="4"/>
        <v>0</v>
      </c>
      <c r="K822" s="312"/>
      <c r="L822" s="312"/>
      <c r="M822" s="312"/>
      <c r="N822" s="362"/>
      <c r="O822" s="312"/>
      <c r="P822" s="312"/>
      <c r="S822" s="2">
        <f t="shared" si="5"/>
        <v>0</v>
      </c>
      <c r="AA822" s="312"/>
      <c r="AB822" s="312"/>
      <c r="AC822" s="312"/>
      <c r="AD822" s="312"/>
    </row>
    <row r="823">
      <c r="A823" s="312"/>
      <c r="B823" s="344">
        <f t="shared" si="1"/>
        <v>1714.918281</v>
      </c>
      <c r="C823" s="344">
        <v>120.0</v>
      </c>
      <c r="D823" s="369"/>
      <c r="E823" s="344" t="str">
        <f t="shared" si="2"/>
        <v>Saturday</v>
      </c>
      <c r="F823" s="344" t="s">
        <v>554</v>
      </c>
      <c r="G823" s="370"/>
      <c r="H823" s="370"/>
      <c r="I823" s="357">
        <f t="shared" si="3"/>
        <v>0</v>
      </c>
      <c r="J823" s="346">
        <f t="shared" si="4"/>
        <v>0</v>
      </c>
      <c r="K823" s="312"/>
      <c r="L823" s="312"/>
      <c r="M823" s="312"/>
      <c r="N823" s="362"/>
      <c r="O823" s="312"/>
      <c r="P823" s="312"/>
      <c r="S823" s="2">
        <f t="shared" si="5"/>
        <v>0</v>
      </c>
      <c r="AA823" s="312"/>
      <c r="AB823" s="312"/>
      <c r="AC823" s="312"/>
      <c r="AD823" s="312"/>
    </row>
    <row r="824">
      <c r="A824" s="312"/>
      <c r="B824" s="344">
        <f t="shared" si="1"/>
        <v>1714.918281</v>
      </c>
      <c r="C824" s="344">
        <v>120.0</v>
      </c>
      <c r="D824" s="369"/>
      <c r="E824" s="344" t="str">
        <f t="shared" si="2"/>
        <v>Saturday</v>
      </c>
      <c r="F824" s="344" t="s">
        <v>554</v>
      </c>
      <c r="G824" s="370"/>
      <c r="H824" s="370"/>
      <c r="I824" s="357">
        <f t="shared" si="3"/>
        <v>0</v>
      </c>
      <c r="J824" s="346">
        <f t="shared" si="4"/>
        <v>0</v>
      </c>
      <c r="K824" s="312"/>
      <c r="L824" s="312"/>
      <c r="M824" s="312"/>
      <c r="N824" s="362"/>
      <c r="O824" s="312"/>
      <c r="P824" s="312"/>
      <c r="S824" s="2">
        <f t="shared" si="5"/>
        <v>0</v>
      </c>
      <c r="AA824" s="312"/>
      <c r="AB824" s="312"/>
      <c r="AC824" s="312"/>
      <c r="AD824" s="312"/>
    </row>
    <row r="825">
      <c r="A825" s="312"/>
      <c r="B825" s="344">
        <f t="shared" si="1"/>
        <v>1714.918281</v>
      </c>
      <c r="C825" s="344">
        <v>120.0</v>
      </c>
      <c r="D825" s="369"/>
      <c r="E825" s="344" t="str">
        <f t="shared" si="2"/>
        <v>Saturday</v>
      </c>
      <c r="F825" s="344" t="s">
        <v>554</v>
      </c>
      <c r="G825" s="370"/>
      <c r="H825" s="370"/>
      <c r="I825" s="357">
        <f t="shared" si="3"/>
        <v>0</v>
      </c>
      <c r="J825" s="346">
        <f t="shared" si="4"/>
        <v>0</v>
      </c>
      <c r="K825" s="312"/>
      <c r="L825" s="312"/>
      <c r="M825" s="312"/>
      <c r="N825" s="362"/>
      <c r="O825" s="312"/>
      <c r="P825" s="312"/>
      <c r="S825" s="2">
        <f t="shared" si="5"/>
        <v>0</v>
      </c>
      <c r="AA825" s="312"/>
      <c r="AB825" s="312"/>
      <c r="AC825" s="312"/>
      <c r="AD825" s="312"/>
    </row>
    <row r="826">
      <c r="A826" s="312"/>
      <c r="B826" s="344">
        <f t="shared" si="1"/>
        <v>1714.918281</v>
      </c>
      <c r="C826" s="344">
        <v>120.0</v>
      </c>
      <c r="D826" s="369"/>
      <c r="E826" s="344" t="str">
        <f t="shared" si="2"/>
        <v>Saturday</v>
      </c>
      <c r="F826" s="344" t="s">
        <v>554</v>
      </c>
      <c r="G826" s="370"/>
      <c r="H826" s="370"/>
      <c r="I826" s="357">
        <f t="shared" si="3"/>
        <v>0</v>
      </c>
      <c r="J826" s="346">
        <f t="shared" si="4"/>
        <v>0</v>
      </c>
      <c r="K826" s="312"/>
      <c r="L826" s="312"/>
      <c r="M826" s="312"/>
      <c r="N826" s="362"/>
      <c r="O826" s="312"/>
      <c r="P826" s="312"/>
      <c r="S826" s="2">
        <f t="shared" si="5"/>
        <v>0</v>
      </c>
      <c r="AA826" s="312"/>
      <c r="AB826" s="312"/>
      <c r="AC826" s="312"/>
      <c r="AD826" s="312"/>
    </row>
    <row r="827">
      <c r="A827" s="312"/>
      <c r="B827" s="344">
        <f t="shared" si="1"/>
        <v>1714.918281</v>
      </c>
      <c r="C827" s="344">
        <v>120.0</v>
      </c>
      <c r="D827" s="369"/>
      <c r="E827" s="344" t="str">
        <f t="shared" si="2"/>
        <v>Saturday</v>
      </c>
      <c r="F827" s="344" t="s">
        <v>554</v>
      </c>
      <c r="G827" s="370"/>
      <c r="H827" s="370"/>
      <c r="I827" s="357">
        <f t="shared" si="3"/>
        <v>0</v>
      </c>
      <c r="J827" s="346">
        <f t="shared" si="4"/>
        <v>0</v>
      </c>
      <c r="K827" s="312"/>
      <c r="L827" s="312"/>
      <c r="M827" s="312"/>
      <c r="N827" s="362"/>
      <c r="O827" s="312"/>
      <c r="P827" s="312"/>
      <c r="S827" s="2">
        <f t="shared" si="5"/>
        <v>0</v>
      </c>
      <c r="AA827" s="312"/>
      <c r="AB827" s="312"/>
      <c r="AC827" s="312"/>
      <c r="AD827" s="312"/>
    </row>
    <row r="828">
      <c r="A828" s="312"/>
      <c r="B828" s="344">
        <f t="shared" si="1"/>
        <v>1714.918281</v>
      </c>
      <c r="C828" s="344">
        <v>120.0</v>
      </c>
      <c r="D828" s="369"/>
      <c r="E828" s="344" t="str">
        <f t="shared" si="2"/>
        <v>Saturday</v>
      </c>
      <c r="F828" s="344" t="s">
        <v>554</v>
      </c>
      <c r="G828" s="370"/>
      <c r="H828" s="370"/>
      <c r="I828" s="357">
        <f t="shared" si="3"/>
        <v>0</v>
      </c>
      <c r="J828" s="346">
        <f t="shared" si="4"/>
        <v>0</v>
      </c>
      <c r="K828" s="312"/>
      <c r="L828" s="312"/>
      <c r="M828" s="312"/>
      <c r="N828" s="362"/>
      <c r="O828" s="312"/>
      <c r="P828" s="312"/>
      <c r="S828" s="2">
        <f t="shared" si="5"/>
        <v>0</v>
      </c>
      <c r="AA828" s="312"/>
      <c r="AB828" s="312"/>
      <c r="AC828" s="312"/>
      <c r="AD828" s="312"/>
    </row>
    <row r="829">
      <c r="A829" s="312"/>
      <c r="B829" s="344">
        <f t="shared" si="1"/>
        <v>1714.918281</v>
      </c>
      <c r="C829" s="344">
        <v>120.0</v>
      </c>
      <c r="D829" s="369"/>
      <c r="E829" s="344" t="str">
        <f t="shared" si="2"/>
        <v>Saturday</v>
      </c>
      <c r="F829" s="344" t="s">
        <v>554</v>
      </c>
      <c r="G829" s="370"/>
      <c r="H829" s="370"/>
      <c r="I829" s="357">
        <f t="shared" si="3"/>
        <v>0</v>
      </c>
      <c r="J829" s="346">
        <f t="shared" si="4"/>
        <v>0</v>
      </c>
      <c r="K829" s="312"/>
      <c r="L829" s="312"/>
      <c r="M829" s="312"/>
      <c r="N829" s="362"/>
      <c r="O829" s="312"/>
      <c r="P829" s="312"/>
      <c r="S829" s="2">
        <f t="shared" si="5"/>
        <v>0</v>
      </c>
      <c r="AA829" s="312"/>
      <c r="AB829" s="312"/>
      <c r="AC829" s="312"/>
      <c r="AD829" s="312"/>
    </row>
    <row r="830">
      <c r="A830" s="312"/>
      <c r="B830" s="344">
        <f t="shared" si="1"/>
        <v>1714.918281</v>
      </c>
      <c r="C830" s="344">
        <v>120.0</v>
      </c>
      <c r="D830" s="369"/>
      <c r="E830" s="344" t="str">
        <f t="shared" si="2"/>
        <v>Saturday</v>
      </c>
      <c r="F830" s="344" t="s">
        <v>554</v>
      </c>
      <c r="G830" s="370"/>
      <c r="H830" s="370"/>
      <c r="I830" s="357">
        <f t="shared" si="3"/>
        <v>0</v>
      </c>
      <c r="J830" s="346">
        <f t="shared" si="4"/>
        <v>0</v>
      </c>
      <c r="K830" s="312"/>
      <c r="L830" s="312"/>
      <c r="M830" s="312"/>
      <c r="N830" s="362"/>
      <c r="O830" s="312"/>
      <c r="P830" s="312"/>
      <c r="S830" s="2">
        <f t="shared" si="5"/>
        <v>0</v>
      </c>
      <c r="AA830" s="312"/>
      <c r="AB830" s="312"/>
      <c r="AC830" s="312"/>
      <c r="AD830" s="312"/>
    </row>
    <row r="831">
      <c r="A831" s="312"/>
      <c r="B831" s="344">
        <f t="shared" si="1"/>
        <v>1714.918281</v>
      </c>
      <c r="C831" s="344">
        <v>120.0</v>
      </c>
      <c r="D831" s="369"/>
      <c r="E831" s="344" t="str">
        <f t="shared" si="2"/>
        <v>Saturday</v>
      </c>
      <c r="F831" s="344" t="s">
        <v>554</v>
      </c>
      <c r="G831" s="370"/>
      <c r="H831" s="370"/>
      <c r="I831" s="357">
        <f t="shared" si="3"/>
        <v>0</v>
      </c>
      <c r="J831" s="346">
        <f t="shared" si="4"/>
        <v>0</v>
      </c>
      <c r="K831" s="312"/>
      <c r="L831" s="312"/>
      <c r="M831" s="312"/>
      <c r="N831" s="362"/>
      <c r="O831" s="312"/>
      <c r="P831" s="312"/>
      <c r="S831" s="2">
        <f t="shared" si="5"/>
        <v>0</v>
      </c>
      <c r="AA831" s="312"/>
      <c r="AB831" s="312"/>
      <c r="AC831" s="312"/>
      <c r="AD831" s="312"/>
    </row>
    <row r="832">
      <c r="A832" s="312"/>
      <c r="B832" s="344">
        <f t="shared" si="1"/>
        <v>1714.918281</v>
      </c>
      <c r="C832" s="344">
        <v>120.0</v>
      </c>
      <c r="D832" s="369"/>
      <c r="E832" s="344" t="str">
        <f t="shared" si="2"/>
        <v>Saturday</v>
      </c>
      <c r="F832" s="344" t="s">
        <v>554</v>
      </c>
      <c r="G832" s="370"/>
      <c r="H832" s="370"/>
      <c r="I832" s="357">
        <f t="shared" si="3"/>
        <v>0</v>
      </c>
      <c r="J832" s="346">
        <f t="shared" si="4"/>
        <v>0</v>
      </c>
      <c r="K832" s="312"/>
      <c r="L832" s="312"/>
      <c r="M832" s="312"/>
      <c r="N832" s="362"/>
      <c r="O832" s="312"/>
      <c r="P832" s="312"/>
      <c r="S832" s="2">
        <f t="shared" si="5"/>
        <v>0</v>
      </c>
      <c r="AA832" s="312"/>
      <c r="AB832" s="312"/>
      <c r="AC832" s="312"/>
      <c r="AD832" s="312"/>
    </row>
    <row r="833">
      <c r="A833" s="312"/>
      <c r="B833" s="344">
        <f t="shared" si="1"/>
        <v>1714.918281</v>
      </c>
      <c r="C833" s="344">
        <v>120.0</v>
      </c>
      <c r="D833" s="369"/>
      <c r="E833" s="344" t="str">
        <f t="shared" si="2"/>
        <v>Saturday</v>
      </c>
      <c r="F833" s="344" t="s">
        <v>554</v>
      </c>
      <c r="G833" s="370"/>
      <c r="H833" s="370"/>
      <c r="I833" s="357">
        <f t="shared" si="3"/>
        <v>0</v>
      </c>
      <c r="J833" s="346">
        <f t="shared" si="4"/>
        <v>0</v>
      </c>
      <c r="K833" s="312"/>
      <c r="L833" s="312"/>
      <c r="M833" s="312"/>
      <c r="N833" s="362"/>
      <c r="O833" s="312"/>
      <c r="P833" s="312"/>
      <c r="S833" s="2">
        <f t="shared" si="5"/>
        <v>0</v>
      </c>
      <c r="AA833" s="312"/>
      <c r="AB833" s="312"/>
      <c r="AC833" s="312"/>
      <c r="AD833" s="312"/>
    </row>
    <row r="834">
      <c r="A834" s="312"/>
      <c r="B834" s="344">
        <f t="shared" si="1"/>
        <v>1714.918281</v>
      </c>
      <c r="C834" s="344">
        <v>120.0</v>
      </c>
      <c r="D834" s="369"/>
      <c r="E834" s="344" t="str">
        <f t="shared" si="2"/>
        <v>Saturday</v>
      </c>
      <c r="F834" s="344" t="s">
        <v>554</v>
      </c>
      <c r="G834" s="370"/>
      <c r="H834" s="370"/>
      <c r="I834" s="357">
        <f t="shared" si="3"/>
        <v>0</v>
      </c>
      <c r="J834" s="346">
        <f t="shared" si="4"/>
        <v>0</v>
      </c>
      <c r="K834" s="312"/>
      <c r="L834" s="312"/>
      <c r="M834" s="312"/>
      <c r="N834" s="362"/>
      <c r="O834" s="312"/>
      <c r="P834" s="312"/>
      <c r="S834" s="2">
        <f t="shared" si="5"/>
        <v>0</v>
      </c>
      <c r="AA834" s="312"/>
      <c r="AB834" s="312"/>
      <c r="AC834" s="312"/>
      <c r="AD834" s="312"/>
    </row>
    <row r="835">
      <c r="A835" s="312"/>
      <c r="B835" s="344">
        <f t="shared" si="1"/>
        <v>1714.918281</v>
      </c>
      <c r="C835" s="344">
        <v>120.0</v>
      </c>
      <c r="D835" s="369"/>
      <c r="E835" s="344" t="str">
        <f t="shared" si="2"/>
        <v>Saturday</v>
      </c>
      <c r="F835" s="344" t="s">
        <v>554</v>
      </c>
      <c r="G835" s="370"/>
      <c r="H835" s="370"/>
      <c r="I835" s="357">
        <f t="shared" si="3"/>
        <v>0</v>
      </c>
      <c r="J835" s="346">
        <f t="shared" si="4"/>
        <v>0</v>
      </c>
      <c r="K835" s="312"/>
      <c r="L835" s="312"/>
      <c r="M835" s="312"/>
      <c r="N835" s="362"/>
      <c r="O835" s="312"/>
      <c r="P835" s="312"/>
      <c r="S835" s="2">
        <f t="shared" si="5"/>
        <v>0</v>
      </c>
      <c r="AA835" s="312"/>
      <c r="AB835" s="312"/>
      <c r="AC835" s="312"/>
      <c r="AD835" s="312"/>
    </row>
    <row r="836">
      <c r="A836" s="312"/>
      <c r="B836" s="344">
        <f t="shared" si="1"/>
        <v>1714.918281</v>
      </c>
      <c r="C836" s="344">
        <v>120.0</v>
      </c>
      <c r="D836" s="369"/>
      <c r="E836" s="344" t="str">
        <f t="shared" si="2"/>
        <v>Saturday</v>
      </c>
      <c r="F836" s="344" t="s">
        <v>554</v>
      </c>
      <c r="G836" s="370"/>
      <c r="H836" s="370"/>
      <c r="I836" s="357">
        <f t="shared" si="3"/>
        <v>0</v>
      </c>
      <c r="J836" s="346">
        <f t="shared" si="4"/>
        <v>0</v>
      </c>
      <c r="K836" s="312"/>
      <c r="L836" s="312"/>
      <c r="M836" s="312"/>
      <c r="N836" s="362"/>
      <c r="O836" s="312"/>
      <c r="P836" s="312"/>
      <c r="S836" s="2">
        <f t="shared" si="5"/>
        <v>0</v>
      </c>
      <c r="AA836" s="312"/>
      <c r="AB836" s="312"/>
      <c r="AC836" s="312"/>
      <c r="AD836" s="312"/>
    </row>
    <row r="837">
      <c r="A837" s="312"/>
      <c r="B837" s="344">
        <f t="shared" si="1"/>
        <v>1714.918281</v>
      </c>
      <c r="C837" s="344">
        <v>120.0</v>
      </c>
      <c r="D837" s="369"/>
      <c r="E837" s="344" t="str">
        <f t="shared" si="2"/>
        <v>Saturday</v>
      </c>
      <c r="F837" s="344" t="s">
        <v>554</v>
      </c>
      <c r="G837" s="370"/>
      <c r="H837" s="370"/>
      <c r="I837" s="357">
        <f t="shared" si="3"/>
        <v>0</v>
      </c>
      <c r="J837" s="346">
        <f t="shared" si="4"/>
        <v>0</v>
      </c>
      <c r="K837" s="312"/>
      <c r="L837" s="312"/>
      <c r="M837" s="312"/>
      <c r="N837" s="362"/>
      <c r="O837" s="312"/>
      <c r="P837" s="312"/>
      <c r="S837" s="2">
        <f t="shared" si="5"/>
        <v>0</v>
      </c>
      <c r="AA837" s="312"/>
      <c r="AB837" s="312"/>
      <c r="AC837" s="312"/>
      <c r="AD837" s="312"/>
    </row>
    <row r="838">
      <c r="A838" s="312"/>
      <c r="B838" s="344">
        <f t="shared" si="1"/>
        <v>1714.918281</v>
      </c>
      <c r="C838" s="344">
        <v>120.0</v>
      </c>
      <c r="D838" s="369"/>
      <c r="E838" s="344" t="str">
        <f t="shared" si="2"/>
        <v>Saturday</v>
      </c>
      <c r="F838" s="344" t="s">
        <v>554</v>
      </c>
      <c r="G838" s="370"/>
      <c r="H838" s="370"/>
      <c r="I838" s="357">
        <f t="shared" si="3"/>
        <v>0</v>
      </c>
      <c r="J838" s="346">
        <f t="shared" si="4"/>
        <v>0</v>
      </c>
      <c r="K838" s="312"/>
      <c r="L838" s="312"/>
      <c r="M838" s="312"/>
      <c r="N838" s="362"/>
      <c r="O838" s="312"/>
      <c r="P838" s="312"/>
      <c r="S838" s="2">
        <f t="shared" si="5"/>
        <v>0</v>
      </c>
      <c r="AA838" s="312"/>
      <c r="AB838" s="312"/>
      <c r="AC838" s="312"/>
      <c r="AD838" s="312"/>
    </row>
    <row r="839">
      <c r="A839" s="312"/>
      <c r="B839" s="344">
        <f t="shared" si="1"/>
        <v>1714.918281</v>
      </c>
      <c r="C839" s="344">
        <v>120.0</v>
      </c>
      <c r="D839" s="369"/>
      <c r="E839" s="344" t="str">
        <f t="shared" si="2"/>
        <v>Saturday</v>
      </c>
      <c r="F839" s="344" t="s">
        <v>554</v>
      </c>
      <c r="G839" s="370"/>
      <c r="H839" s="370"/>
      <c r="I839" s="357">
        <f t="shared" si="3"/>
        <v>0</v>
      </c>
      <c r="J839" s="346">
        <f t="shared" si="4"/>
        <v>0</v>
      </c>
      <c r="K839" s="312"/>
      <c r="L839" s="312"/>
      <c r="M839" s="312"/>
      <c r="N839" s="362"/>
      <c r="O839" s="312"/>
      <c r="P839" s="312"/>
      <c r="S839" s="2">
        <f t="shared" si="5"/>
        <v>0</v>
      </c>
      <c r="AA839" s="312"/>
      <c r="AB839" s="312"/>
      <c r="AC839" s="312"/>
      <c r="AD839" s="312"/>
    </row>
    <row r="840">
      <c r="A840" s="312"/>
      <c r="B840" s="344">
        <f t="shared" si="1"/>
        <v>1714.918281</v>
      </c>
      <c r="C840" s="344">
        <v>120.0</v>
      </c>
      <c r="D840" s="369"/>
      <c r="E840" s="344" t="str">
        <f t="shared" si="2"/>
        <v>Saturday</v>
      </c>
      <c r="F840" s="344" t="s">
        <v>554</v>
      </c>
      <c r="G840" s="370"/>
      <c r="H840" s="370"/>
      <c r="I840" s="357">
        <f t="shared" si="3"/>
        <v>0</v>
      </c>
      <c r="J840" s="346">
        <f t="shared" si="4"/>
        <v>0</v>
      </c>
      <c r="K840" s="312"/>
      <c r="L840" s="312"/>
      <c r="M840" s="312"/>
      <c r="N840" s="362"/>
      <c r="O840" s="312"/>
      <c r="P840" s="312"/>
      <c r="S840" s="2">
        <f t="shared" si="5"/>
        <v>0</v>
      </c>
      <c r="AA840" s="312"/>
      <c r="AB840" s="312"/>
      <c r="AC840" s="312"/>
      <c r="AD840" s="312"/>
    </row>
    <row r="841">
      <c r="A841" s="312"/>
      <c r="B841" s="344">
        <f t="shared" si="1"/>
        <v>1714.918281</v>
      </c>
      <c r="C841" s="344">
        <v>120.0</v>
      </c>
      <c r="D841" s="369"/>
      <c r="E841" s="344" t="str">
        <f t="shared" si="2"/>
        <v>Saturday</v>
      </c>
      <c r="F841" s="344" t="s">
        <v>554</v>
      </c>
      <c r="G841" s="370"/>
      <c r="H841" s="370"/>
      <c r="I841" s="357">
        <f t="shared" si="3"/>
        <v>0</v>
      </c>
      <c r="J841" s="346">
        <f t="shared" si="4"/>
        <v>0</v>
      </c>
      <c r="K841" s="312"/>
      <c r="L841" s="312"/>
      <c r="M841" s="312"/>
      <c r="N841" s="362"/>
      <c r="O841" s="312"/>
      <c r="P841" s="312"/>
      <c r="S841" s="2">
        <f t="shared" si="5"/>
        <v>0</v>
      </c>
      <c r="AA841" s="312"/>
      <c r="AB841" s="312"/>
      <c r="AC841" s="312"/>
      <c r="AD841" s="312"/>
    </row>
    <row r="842">
      <c r="A842" s="312"/>
      <c r="B842" s="344">
        <f t="shared" si="1"/>
        <v>1714.918281</v>
      </c>
      <c r="C842" s="344">
        <v>120.0</v>
      </c>
      <c r="D842" s="369"/>
      <c r="E842" s="344" t="str">
        <f t="shared" si="2"/>
        <v>Saturday</v>
      </c>
      <c r="F842" s="344" t="s">
        <v>554</v>
      </c>
      <c r="G842" s="370"/>
      <c r="H842" s="370"/>
      <c r="I842" s="357">
        <f t="shared" si="3"/>
        <v>0</v>
      </c>
      <c r="J842" s="346">
        <f t="shared" si="4"/>
        <v>0</v>
      </c>
      <c r="K842" s="312"/>
      <c r="L842" s="312"/>
      <c r="M842" s="312"/>
      <c r="N842" s="362"/>
      <c r="O842" s="312"/>
      <c r="P842" s="312"/>
      <c r="S842" s="2">
        <f t="shared" si="5"/>
        <v>0</v>
      </c>
      <c r="AA842" s="312"/>
      <c r="AB842" s="312"/>
      <c r="AC842" s="312"/>
      <c r="AD842" s="312"/>
    </row>
    <row r="843">
      <c r="A843" s="312"/>
      <c r="B843" s="344">
        <f t="shared" si="1"/>
        <v>1714.918281</v>
      </c>
      <c r="C843" s="344">
        <v>120.0</v>
      </c>
      <c r="D843" s="369"/>
      <c r="E843" s="344" t="str">
        <f t="shared" si="2"/>
        <v>Saturday</v>
      </c>
      <c r="F843" s="344" t="s">
        <v>554</v>
      </c>
      <c r="G843" s="370"/>
      <c r="H843" s="370"/>
      <c r="I843" s="357">
        <f t="shared" si="3"/>
        <v>0</v>
      </c>
      <c r="J843" s="346">
        <f t="shared" si="4"/>
        <v>0</v>
      </c>
      <c r="K843" s="312"/>
      <c r="L843" s="312"/>
      <c r="M843" s="312"/>
      <c r="N843" s="362"/>
      <c r="O843" s="312"/>
      <c r="P843" s="312"/>
      <c r="S843" s="2">
        <f t="shared" si="5"/>
        <v>0</v>
      </c>
      <c r="AA843" s="312"/>
      <c r="AB843" s="312"/>
      <c r="AC843" s="312"/>
      <c r="AD843" s="312"/>
    </row>
    <row r="844">
      <c r="A844" s="312"/>
      <c r="B844" s="344">
        <f t="shared" si="1"/>
        <v>1714.918281</v>
      </c>
      <c r="C844" s="344">
        <v>120.0</v>
      </c>
      <c r="D844" s="369"/>
      <c r="E844" s="344" t="str">
        <f t="shared" si="2"/>
        <v>Saturday</v>
      </c>
      <c r="F844" s="344" t="s">
        <v>554</v>
      </c>
      <c r="G844" s="370"/>
      <c r="H844" s="370"/>
      <c r="I844" s="357">
        <f t="shared" si="3"/>
        <v>0</v>
      </c>
      <c r="J844" s="346">
        <f t="shared" si="4"/>
        <v>0</v>
      </c>
      <c r="K844" s="312"/>
      <c r="L844" s="312"/>
      <c r="M844" s="312"/>
      <c r="N844" s="362"/>
      <c r="O844" s="312"/>
      <c r="P844" s="312"/>
      <c r="S844" s="2">
        <f t="shared" si="5"/>
        <v>0</v>
      </c>
      <c r="AA844" s="312"/>
      <c r="AB844" s="312"/>
      <c r="AC844" s="312"/>
      <c r="AD844" s="312"/>
    </row>
    <row r="845">
      <c r="A845" s="312"/>
      <c r="B845" s="344">
        <f t="shared" si="1"/>
        <v>1714.918281</v>
      </c>
      <c r="C845" s="344">
        <v>120.0</v>
      </c>
      <c r="D845" s="369"/>
      <c r="E845" s="344" t="str">
        <f t="shared" si="2"/>
        <v>Saturday</v>
      </c>
      <c r="F845" s="344" t="s">
        <v>554</v>
      </c>
      <c r="G845" s="370"/>
      <c r="H845" s="370"/>
      <c r="I845" s="357">
        <f t="shared" si="3"/>
        <v>0</v>
      </c>
      <c r="J845" s="346">
        <f t="shared" si="4"/>
        <v>0</v>
      </c>
      <c r="K845" s="312"/>
      <c r="L845" s="312"/>
      <c r="M845" s="312"/>
      <c r="N845" s="362"/>
      <c r="O845" s="312"/>
      <c r="P845" s="312"/>
      <c r="S845" s="2">
        <f t="shared" si="5"/>
        <v>0</v>
      </c>
      <c r="AA845" s="312"/>
      <c r="AB845" s="312"/>
      <c r="AC845" s="312"/>
      <c r="AD845" s="312"/>
    </row>
    <row r="846">
      <c r="A846" s="312"/>
      <c r="B846" s="344">
        <f t="shared" si="1"/>
        <v>1714.918281</v>
      </c>
      <c r="C846" s="344">
        <v>120.0</v>
      </c>
      <c r="D846" s="369"/>
      <c r="E846" s="344" t="str">
        <f t="shared" si="2"/>
        <v>Saturday</v>
      </c>
      <c r="F846" s="344" t="s">
        <v>554</v>
      </c>
      <c r="G846" s="370"/>
      <c r="H846" s="370"/>
      <c r="I846" s="357">
        <f t="shared" si="3"/>
        <v>0</v>
      </c>
      <c r="J846" s="346">
        <f t="shared" si="4"/>
        <v>0</v>
      </c>
      <c r="K846" s="312"/>
      <c r="L846" s="312"/>
      <c r="M846" s="312"/>
      <c r="N846" s="362"/>
      <c r="O846" s="312"/>
      <c r="P846" s="312"/>
      <c r="S846" s="2">
        <f t="shared" si="5"/>
        <v>0</v>
      </c>
      <c r="AA846" s="312"/>
      <c r="AB846" s="312"/>
      <c r="AC846" s="312"/>
      <c r="AD846" s="312"/>
    </row>
    <row r="847">
      <c r="A847" s="312"/>
      <c r="B847" s="344">
        <f t="shared" si="1"/>
        <v>1714.918281</v>
      </c>
      <c r="C847" s="344">
        <v>120.0</v>
      </c>
      <c r="D847" s="369"/>
      <c r="E847" s="344" t="str">
        <f t="shared" si="2"/>
        <v>Saturday</v>
      </c>
      <c r="F847" s="344" t="s">
        <v>554</v>
      </c>
      <c r="G847" s="370"/>
      <c r="H847" s="370"/>
      <c r="I847" s="357">
        <f t="shared" si="3"/>
        <v>0</v>
      </c>
      <c r="J847" s="346">
        <f t="shared" si="4"/>
        <v>0</v>
      </c>
      <c r="K847" s="312"/>
      <c r="L847" s="312"/>
      <c r="M847" s="312"/>
      <c r="N847" s="362"/>
      <c r="O847" s="312"/>
      <c r="P847" s="312"/>
      <c r="S847" s="2">
        <f t="shared" si="5"/>
        <v>0</v>
      </c>
      <c r="AA847" s="312"/>
      <c r="AB847" s="312"/>
      <c r="AC847" s="312"/>
      <c r="AD847" s="312"/>
    </row>
    <row r="848">
      <c r="A848" s="312"/>
      <c r="B848" s="344">
        <f t="shared" si="1"/>
        <v>1714.918281</v>
      </c>
      <c r="C848" s="344">
        <v>120.0</v>
      </c>
      <c r="D848" s="369"/>
      <c r="E848" s="344" t="str">
        <f t="shared" si="2"/>
        <v>Saturday</v>
      </c>
      <c r="F848" s="344" t="s">
        <v>554</v>
      </c>
      <c r="G848" s="370"/>
      <c r="H848" s="370"/>
      <c r="I848" s="357">
        <f t="shared" si="3"/>
        <v>0</v>
      </c>
      <c r="J848" s="346">
        <f t="shared" si="4"/>
        <v>0</v>
      </c>
      <c r="K848" s="312"/>
      <c r="L848" s="312"/>
      <c r="M848" s="312"/>
      <c r="N848" s="362"/>
      <c r="O848" s="312"/>
      <c r="P848" s="312"/>
      <c r="S848" s="2">
        <f t="shared" si="5"/>
        <v>0</v>
      </c>
      <c r="AA848" s="312"/>
      <c r="AB848" s="312"/>
      <c r="AC848" s="312"/>
      <c r="AD848" s="312"/>
    </row>
    <row r="849">
      <c r="A849" s="312"/>
      <c r="B849" s="344">
        <f t="shared" si="1"/>
        <v>1714.918281</v>
      </c>
      <c r="C849" s="344">
        <v>120.0</v>
      </c>
      <c r="D849" s="369"/>
      <c r="E849" s="344" t="str">
        <f t="shared" si="2"/>
        <v>Saturday</v>
      </c>
      <c r="F849" s="344" t="s">
        <v>554</v>
      </c>
      <c r="G849" s="370"/>
      <c r="H849" s="370"/>
      <c r="I849" s="357">
        <f t="shared" si="3"/>
        <v>0</v>
      </c>
      <c r="J849" s="346">
        <f t="shared" si="4"/>
        <v>0</v>
      </c>
      <c r="K849" s="312"/>
      <c r="L849" s="312"/>
      <c r="M849" s="312"/>
      <c r="N849" s="362"/>
      <c r="O849" s="312"/>
      <c r="P849" s="312"/>
      <c r="S849" s="2">
        <f t="shared" si="5"/>
        <v>0</v>
      </c>
      <c r="AA849" s="312"/>
      <c r="AB849" s="312"/>
      <c r="AC849" s="312"/>
      <c r="AD849" s="312"/>
    </row>
    <row r="850">
      <c r="A850" s="312"/>
      <c r="B850" s="344">
        <f t="shared" si="1"/>
        <v>1714.918281</v>
      </c>
      <c r="C850" s="344">
        <v>120.0</v>
      </c>
      <c r="D850" s="369"/>
      <c r="E850" s="344" t="str">
        <f t="shared" si="2"/>
        <v>Saturday</v>
      </c>
      <c r="F850" s="344" t="s">
        <v>554</v>
      </c>
      <c r="G850" s="370"/>
      <c r="H850" s="370"/>
      <c r="I850" s="357">
        <f t="shared" si="3"/>
        <v>0</v>
      </c>
      <c r="J850" s="346">
        <f t="shared" si="4"/>
        <v>0</v>
      </c>
      <c r="K850" s="312"/>
      <c r="L850" s="312"/>
      <c r="M850" s="312"/>
      <c r="N850" s="362"/>
      <c r="O850" s="312"/>
      <c r="P850" s="312"/>
      <c r="S850" s="2">
        <f t="shared" si="5"/>
        <v>0</v>
      </c>
      <c r="AA850" s="312"/>
      <c r="AB850" s="312"/>
      <c r="AC850" s="312"/>
      <c r="AD850" s="312"/>
    </row>
    <row r="851">
      <c r="A851" s="312"/>
      <c r="B851" s="344">
        <f t="shared" si="1"/>
        <v>1714.918281</v>
      </c>
      <c r="C851" s="344">
        <v>120.0</v>
      </c>
      <c r="D851" s="369"/>
      <c r="E851" s="344" t="str">
        <f t="shared" si="2"/>
        <v>Saturday</v>
      </c>
      <c r="F851" s="344" t="s">
        <v>554</v>
      </c>
      <c r="G851" s="370"/>
      <c r="H851" s="370"/>
      <c r="I851" s="357">
        <f t="shared" si="3"/>
        <v>0</v>
      </c>
      <c r="J851" s="346">
        <f t="shared" si="4"/>
        <v>0</v>
      </c>
      <c r="K851" s="312"/>
      <c r="L851" s="312"/>
      <c r="M851" s="312"/>
      <c r="N851" s="362"/>
      <c r="O851" s="312"/>
      <c r="P851" s="312"/>
      <c r="S851" s="2">
        <f t="shared" si="5"/>
        <v>0</v>
      </c>
      <c r="AA851" s="312"/>
      <c r="AB851" s="312"/>
      <c r="AC851" s="312"/>
      <c r="AD851" s="312"/>
    </row>
    <row r="852">
      <c r="A852" s="312"/>
      <c r="B852" s="344">
        <f t="shared" si="1"/>
        <v>1714.918281</v>
      </c>
      <c r="C852" s="344">
        <v>120.0</v>
      </c>
      <c r="D852" s="369"/>
      <c r="E852" s="344" t="str">
        <f t="shared" si="2"/>
        <v>Saturday</v>
      </c>
      <c r="F852" s="344" t="s">
        <v>554</v>
      </c>
      <c r="G852" s="370"/>
      <c r="H852" s="370"/>
      <c r="I852" s="357">
        <f t="shared" si="3"/>
        <v>0</v>
      </c>
      <c r="J852" s="346">
        <f t="shared" si="4"/>
        <v>0</v>
      </c>
      <c r="K852" s="312"/>
      <c r="L852" s="312"/>
      <c r="M852" s="312"/>
      <c r="N852" s="362"/>
      <c r="O852" s="312"/>
      <c r="P852" s="312"/>
      <c r="S852" s="2">
        <f t="shared" si="5"/>
        <v>0</v>
      </c>
      <c r="AA852" s="312"/>
      <c r="AB852" s="312"/>
      <c r="AC852" s="312"/>
      <c r="AD852" s="312"/>
    </row>
    <row r="853">
      <c r="A853" s="312"/>
      <c r="B853" s="344">
        <f t="shared" si="1"/>
        <v>1714.918281</v>
      </c>
      <c r="C853" s="344">
        <v>120.0</v>
      </c>
      <c r="D853" s="369"/>
      <c r="E853" s="344" t="str">
        <f t="shared" si="2"/>
        <v>Saturday</v>
      </c>
      <c r="F853" s="344" t="s">
        <v>554</v>
      </c>
      <c r="G853" s="370"/>
      <c r="H853" s="370"/>
      <c r="I853" s="357">
        <f t="shared" si="3"/>
        <v>0</v>
      </c>
      <c r="J853" s="346">
        <f t="shared" si="4"/>
        <v>0</v>
      </c>
      <c r="K853" s="312"/>
      <c r="L853" s="312"/>
      <c r="M853" s="312"/>
      <c r="N853" s="362"/>
      <c r="O853" s="312"/>
      <c r="P853" s="312"/>
      <c r="S853" s="2">
        <f t="shared" si="5"/>
        <v>0</v>
      </c>
      <c r="AA853" s="312"/>
      <c r="AB853" s="312"/>
      <c r="AC853" s="312"/>
      <c r="AD853" s="312"/>
    </row>
    <row r="854">
      <c r="A854" s="312"/>
      <c r="B854" s="344">
        <f t="shared" si="1"/>
        <v>1714.918281</v>
      </c>
      <c r="C854" s="344">
        <v>120.0</v>
      </c>
      <c r="D854" s="369"/>
      <c r="E854" s="344" t="str">
        <f t="shared" si="2"/>
        <v>Saturday</v>
      </c>
      <c r="F854" s="344" t="s">
        <v>554</v>
      </c>
      <c r="G854" s="370"/>
      <c r="H854" s="370"/>
      <c r="I854" s="357">
        <f t="shared" si="3"/>
        <v>0</v>
      </c>
      <c r="J854" s="346">
        <f t="shared" si="4"/>
        <v>0</v>
      </c>
      <c r="K854" s="312"/>
      <c r="L854" s="312"/>
      <c r="M854" s="312"/>
      <c r="N854" s="362"/>
      <c r="O854" s="312"/>
      <c r="P854" s="312"/>
      <c r="S854" s="2">
        <f t="shared" si="5"/>
        <v>0</v>
      </c>
      <c r="AA854" s="312"/>
      <c r="AB854" s="312"/>
      <c r="AC854" s="312"/>
      <c r="AD854" s="312"/>
    </row>
    <row r="855">
      <c r="A855" s="312"/>
      <c r="B855" s="344">
        <f t="shared" si="1"/>
        <v>1714.918281</v>
      </c>
      <c r="C855" s="344">
        <v>120.0</v>
      </c>
      <c r="D855" s="369"/>
      <c r="E855" s="344" t="str">
        <f t="shared" si="2"/>
        <v>Saturday</v>
      </c>
      <c r="F855" s="344" t="s">
        <v>554</v>
      </c>
      <c r="G855" s="370"/>
      <c r="H855" s="370"/>
      <c r="I855" s="357">
        <f t="shared" si="3"/>
        <v>0</v>
      </c>
      <c r="J855" s="346">
        <f t="shared" si="4"/>
        <v>0</v>
      </c>
      <c r="K855" s="312"/>
      <c r="L855" s="312"/>
      <c r="M855" s="312"/>
      <c r="N855" s="362"/>
      <c r="O855" s="312"/>
      <c r="P855" s="312"/>
      <c r="S855" s="2">
        <f t="shared" si="5"/>
        <v>0</v>
      </c>
      <c r="AA855" s="312"/>
      <c r="AB855" s="312"/>
      <c r="AC855" s="312"/>
      <c r="AD855" s="312"/>
    </row>
    <row r="856">
      <c r="A856" s="312"/>
      <c r="B856" s="344">
        <f t="shared" si="1"/>
        <v>1714.918281</v>
      </c>
      <c r="C856" s="344">
        <v>120.0</v>
      </c>
      <c r="D856" s="369"/>
      <c r="E856" s="344" t="str">
        <f t="shared" si="2"/>
        <v>Saturday</v>
      </c>
      <c r="F856" s="344" t="s">
        <v>554</v>
      </c>
      <c r="G856" s="370"/>
      <c r="H856" s="370"/>
      <c r="I856" s="357">
        <f t="shared" si="3"/>
        <v>0</v>
      </c>
      <c r="J856" s="346">
        <f t="shared" si="4"/>
        <v>0</v>
      </c>
      <c r="K856" s="312"/>
      <c r="L856" s="312"/>
      <c r="M856" s="312"/>
      <c r="N856" s="362"/>
      <c r="O856" s="312"/>
      <c r="P856" s="312"/>
      <c r="S856" s="2">
        <f t="shared" si="5"/>
        <v>0</v>
      </c>
      <c r="AA856" s="312"/>
      <c r="AB856" s="312"/>
      <c r="AC856" s="312"/>
      <c r="AD856" s="312"/>
    </row>
    <row r="857">
      <c r="A857" s="312"/>
      <c r="B857" s="344">
        <f t="shared" si="1"/>
        <v>1714.918281</v>
      </c>
      <c r="C857" s="344">
        <v>120.0</v>
      </c>
      <c r="D857" s="369"/>
      <c r="E857" s="344" t="str">
        <f t="shared" si="2"/>
        <v>Saturday</v>
      </c>
      <c r="F857" s="344" t="s">
        <v>554</v>
      </c>
      <c r="G857" s="370"/>
      <c r="H857" s="370"/>
      <c r="I857" s="357">
        <f t="shared" si="3"/>
        <v>0</v>
      </c>
      <c r="J857" s="346">
        <f t="shared" si="4"/>
        <v>0</v>
      </c>
      <c r="K857" s="312"/>
      <c r="L857" s="312"/>
      <c r="M857" s="312"/>
      <c r="N857" s="362"/>
      <c r="O857" s="312"/>
      <c r="P857" s="312"/>
      <c r="S857" s="2">
        <f t="shared" si="5"/>
        <v>0</v>
      </c>
      <c r="AA857" s="312"/>
      <c r="AB857" s="312"/>
      <c r="AC857" s="312"/>
      <c r="AD857" s="312"/>
    </row>
    <row r="858">
      <c r="A858" s="312"/>
      <c r="B858" s="344">
        <f t="shared" si="1"/>
        <v>1714.918281</v>
      </c>
      <c r="C858" s="344">
        <v>120.0</v>
      </c>
      <c r="D858" s="369"/>
      <c r="E858" s="344" t="str">
        <f t="shared" si="2"/>
        <v>Saturday</v>
      </c>
      <c r="F858" s="344" t="s">
        <v>554</v>
      </c>
      <c r="G858" s="370"/>
      <c r="H858" s="370"/>
      <c r="I858" s="357">
        <f t="shared" si="3"/>
        <v>0</v>
      </c>
      <c r="J858" s="346">
        <f t="shared" si="4"/>
        <v>0</v>
      </c>
      <c r="K858" s="312"/>
      <c r="L858" s="312"/>
      <c r="M858" s="312"/>
      <c r="N858" s="362"/>
      <c r="O858" s="312"/>
      <c r="P858" s="312"/>
      <c r="S858" s="2">
        <f t="shared" si="5"/>
        <v>0</v>
      </c>
      <c r="AA858" s="312"/>
      <c r="AB858" s="312"/>
      <c r="AC858" s="312"/>
      <c r="AD858" s="312"/>
    </row>
    <row r="859">
      <c r="A859" s="312"/>
      <c r="B859" s="344">
        <f t="shared" si="1"/>
        <v>1714.918281</v>
      </c>
      <c r="C859" s="344">
        <v>120.0</v>
      </c>
      <c r="D859" s="369"/>
      <c r="E859" s="344" t="str">
        <f t="shared" si="2"/>
        <v>Saturday</v>
      </c>
      <c r="F859" s="344" t="s">
        <v>554</v>
      </c>
      <c r="G859" s="370"/>
      <c r="H859" s="370"/>
      <c r="I859" s="357">
        <f t="shared" si="3"/>
        <v>0</v>
      </c>
      <c r="J859" s="346">
        <f t="shared" si="4"/>
        <v>0</v>
      </c>
      <c r="K859" s="312"/>
      <c r="L859" s="312"/>
      <c r="M859" s="312"/>
      <c r="N859" s="362"/>
      <c r="O859" s="312"/>
      <c r="P859" s="312"/>
      <c r="S859" s="2">
        <f t="shared" si="5"/>
        <v>0</v>
      </c>
      <c r="AA859" s="312"/>
      <c r="AB859" s="312"/>
      <c r="AC859" s="312"/>
      <c r="AD859" s="312"/>
    </row>
    <row r="860">
      <c r="A860" s="312"/>
      <c r="B860" s="344">
        <f t="shared" si="1"/>
        <v>1714.918281</v>
      </c>
      <c r="C860" s="344">
        <v>120.0</v>
      </c>
      <c r="D860" s="369"/>
      <c r="E860" s="344" t="str">
        <f t="shared" si="2"/>
        <v>Saturday</v>
      </c>
      <c r="F860" s="344" t="s">
        <v>554</v>
      </c>
      <c r="G860" s="370"/>
      <c r="H860" s="370"/>
      <c r="I860" s="357">
        <f t="shared" si="3"/>
        <v>0</v>
      </c>
      <c r="J860" s="346">
        <f t="shared" si="4"/>
        <v>0</v>
      </c>
      <c r="K860" s="312"/>
      <c r="L860" s="312"/>
      <c r="M860" s="312"/>
      <c r="N860" s="362"/>
      <c r="O860" s="312"/>
      <c r="P860" s="312"/>
      <c r="S860" s="2">
        <f t="shared" si="5"/>
        <v>0</v>
      </c>
      <c r="AA860" s="312"/>
      <c r="AB860" s="312"/>
      <c r="AC860" s="312"/>
      <c r="AD860" s="312"/>
    </row>
    <row r="861">
      <c r="A861" s="312"/>
      <c r="B861" s="344">
        <f t="shared" si="1"/>
        <v>1714.918281</v>
      </c>
      <c r="C861" s="344">
        <v>120.0</v>
      </c>
      <c r="D861" s="369"/>
      <c r="E861" s="344" t="str">
        <f t="shared" si="2"/>
        <v>Saturday</v>
      </c>
      <c r="F861" s="344" t="s">
        <v>554</v>
      </c>
      <c r="G861" s="370"/>
      <c r="H861" s="370"/>
      <c r="I861" s="357">
        <f t="shared" si="3"/>
        <v>0</v>
      </c>
      <c r="J861" s="346">
        <f t="shared" si="4"/>
        <v>0</v>
      </c>
      <c r="K861" s="312"/>
      <c r="L861" s="312"/>
      <c r="M861" s="312"/>
      <c r="N861" s="362"/>
      <c r="O861" s="312"/>
      <c r="P861" s="312"/>
      <c r="S861" s="2">
        <f t="shared" si="5"/>
        <v>0</v>
      </c>
      <c r="AA861" s="312"/>
      <c r="AB861" s="312"/>
      <c r="AC861" s="312"/>
      <c r="AD861" s="312"/>
    </row>
    <row r="862">
      <c r="A862" s="312"/>
      <c r="B862" s="344">
        <f t="shared" si="1"/>
        <v>1714.918281</v>
      </c>
      <c r="C862" s="344">
        <v>120.0</v>
      </c>
      <c r="D862" s="369"/>
      <c r="E862" s="344" t="str">
        <f t="shared" si="2"/>
        <v>Saturday</v>
      </c>
      <c r="F862" s="344" t="s">
        <v>554</v>
      </c>
      <c r="G862" s="370"/>
      <c r="H862" s="370"/>
      <c r="I862" s="357">
        <f t="shared" si="3"/>
        <v>0</v>
      </c>
      <c r="J862" s="346">
        <f t="shared" si="4"/>
        <v>0</v>
      </c>
      <c r="K862" s="312"/>
      <c r="L862" s="312"/>
      <c r="M862" s="312"/>
      <c r="N862" s="362"/>
      <c r="O862" s="312"/>
      <c r="P862" s="312"/>
      <c r="S862" s="2">
        <f t="shared" si="5"/>
        <v>0</v>
      </c>
      <c r="AA862" s="312"/>
      <c r="AB862" s="312"/>
      <c r="AC862" s="312"/>
      <c r="AD862" s="312"/>
    </row>
    <row r="863">
      <c r="A863" s="312"/>
      <c r="B863" s="344">
        <f t="shared" si="1"/>
        <v>1714.918281</v>
      </c>
      <c r="C863" s="344">
        <v>120.0</v>
      </c>
      <c r="D863" s="369"/>
      <c r="E863" s="344" t="str">
        <f t="shared" si="2"/>
        <v>Saturday</v>
      </c>
      <c r="F863" s="344" t="s">
        <v>554</v>
      </c>
      <c r="G863" s="370"/>
      <c r="H863" s="370"/>
      <c r="I863" s="357">
        <f t="shared" si="3"/>
        <v>0</v>
      </c>
      <c r="J863" s="346">
        <f t="shared" si="4"/>
        <v>0</v>
      </c>
      <c r="K863" s="312"/>
      <c r="L863" s="312"/>
      <c r="M863" s="312"/>
      <c r="N863" s="362"/>
      <c r="O863" s="312"/>
      <c r="P863" s="312"/>
      <c r="S863" s="2">
        <f t="shared" si="5"/>
        <v>0</v>
      </c>
      <c r="AA863" s="312"/>
      <c r="AB863" s="312"/>
      <c r="AC863" s="312"/>
      <c r="AD863" s="312"/>
    </row>
    <row r="864">
      <c r="A864" s="312"/>
      <c r="B864" s="344">
        <f t="shared" si="1"/>
        <v>1714.918281</v>
      </c>
      <c r="C864" s="344">
        <v>120.0</v>
      </c>
      <c r="D864" s="369"/>
      <c r="E864" s="344" t="str">
        <f t="shared" si="2"/>
        <v>Saturday</v>
      </c>
      <c r="F864" s="344" t="s">
        <v>554</v>
      </c>
      <c r="G864" s="370"/>
      <c r="H864" s="370"/>
      <c r="I864" s="357">
        <f t="shared" si="3"/>
        <v>0</v>
      </c>
      <c r="J864" s="346">
        <f t="shared" si="4"/>
        <v>0</v>
      </c>
      <c r="K864" s="312"/>
      <c r="L864" s="312"/>
      <c r="M864" s="312"/>
      <c r="N864" s="362"/>
      <c r="O864" s="312"/>
      <c r="P864" s="312"/>
      <c r="S864" s="2">
        <f t="shared" si="5"/>
        <v>0</v>
      </c>
      <c r="AA864" s="312"/>
      <c r="AB864" s="312"/>
      <c r="AC864" s="312"/>
      <c r="AD864" s="312"/>
    </row>
    <row r="865">
      <c r="A865" s="312"/>
      <c r="B865" s="344">
        <f t="shared" si="1"/>
        <v>1714.918281</v>
      </c>
      <c r="C865" s="344">
        <v>120.0</v>
      </c>
      <c r="D865" s="369"/>
      <c r="E865" s="344" t="str">
        <f t="shared" si="2"/>
        <v>Saturday</v>
      </c>
      <c r="F865" s="344" t="s">
        <v>554</v>
      </c>
      <c r="G865" s="370"/>
      <c r="H865" s="370"/>
      <c r="I865" s="357">
        <f t="shared" si="3"/>
        <v>0</v>
      </c>
      <c r="J865" s="346">
        <f t="shared" si="4"/>
        <v>0</v>
      </c>
      <c r="K865" s="312"/>
      <c r="L865" s="312"/>
      <c r="M865" s="312"/>
      <c r="N865" s="362"/>
      <c r="O865" s="312"/>
      <c r="P865" s="312"/>
      <c r="S865" s="2">
        <f t="shared" si="5"/>
        <v>0</v>
      </c>
      <c r="AA865" s="312"/>
      <c r="AB865" s="312"/>
      <c r="AC865" s="312"/>
      <c r="AD865" s="312"/>
    </row>
    <row r="866">
      <c r="A866" s="312"/>
      <c r="B866" s="344">
        <f t="shared" si="1"/>
        <v>1714.918281</v>
      </c>
      <c r="C866" s="344">
        <v>120.0</v>
      </c>
      <c r="D866" s="369"/>
      <c r="E866" s="344" t="str">
        <f t="shared" si="2"/>
        <v>Saturday</v>
      </c>
      <c r="F866" s="344" t="s">
        <v>554</v>
      </c>
      <c r="G866" s="370"/>
      <c r="H866" s="370"/>
      <c r="I866" s="357">
        <f t="shared" si="3"/>
        <v>0</v>
      </c>
      <c r="J866" s="346">
        <f t="shared" si="4"/>
        <v>0</v>
      </c>
      <c r="K866" s="312"/>
      <c r="L866" s="312"/>
      <c r="M866" s="312"/>
      <c r="N866" s="362"/>
      <c r="O866" s="312"/>
      <c r="P866" s="312"/>
      <c r="S866" s="2">
        <f t="shared" si="5"/>
        <v>0</v>
      </c>
      <c r="AA866" s="312"/>
      <c r="AB866" s="312"/>
      <c r="AC866" s="312"/>
      <c r="AD866" s="312"/>
    </row>
    <row r="867">
      <c r="A867" s="312"/>
      <c r="B867" s="344">
        <f t="shared" si="1"/>
        <v>1714.918281</v>
      </c>
      <c r="C867" s="344">
        <v>120.0</v>
      </c>
      <c r="D867" s="369"/>
      <c r="E867" s="344" t="str">
        <f t="shared" si="2"/>
        <v>Saturday</v>
      </c>
      <c r="F867" s="344" t="s">
        <v>554</v>
      </c>
      <c r="G867" s="370"/>
      <c r="H867" s="370"/>
      <c r="I867" s="357">
        <f t="shared" si="3"/>
        <v>0</v>
      </c>
      <c r="J867" s="346">
        <f t="shared" si="4"/>
        <v>0</v>
      </c>
      <c r="K867" s="312"/>
      <c r="L867" s="312"/>
      <c r="M867" s="312"/>
      <c r="N867" s="362"/>
      <c r="O867" s="312"/>
      <c r="P867" s="312"/>
      <c r="S867" s="2">
        <f t="shared" si="5"/>
        <v>0</v>
      </c>
      <c r="AA867" s="312"/>
      <c r="AB867" s="312"/>
      <c r="AC867" s="312"/>
      <c r="AD867" s="312"/>
    </row>
    <row r="868">
      <c r="A868" s="312"/>
      <c r="B868" s="344">
        <f t="shared" si="1"/>
        <v>1714.918281</v>
      </c>
      <c r="C868" s="344">
        <v>120.0</v>
      </c>
      <c r="D868" s="369"/>
      <c r="E868" s="344" t="str">
        <f t="shared" si="2"/>
        <v>Saturday</v>
      </c>
      <c r="F868" s="344" t="s">
        <v>554</v>
      </c>
      <c r="G868" s="370"/>
      <c r="H868" s="370"/>
      <c r="I868" s="357">
        <f t="shared" si="3"/>
        <v>0</v>
      </c>
      <c r="J868" s="346">
        <f t="shared" si="4"/>
        <v>0</v>
      </c>
      <c r="K868" s="312"/>
      <c r="L868" s="312"/>
      <c r="M868" s="312"/>
      <c r="N868" s="362"/>
      <c r="O868" s="312"/>
      <c r="P868" s="312"/>
      <c r="S868" s="2">
        <f t="shared" si="5"/>
        <v>0</v>
      </c>
      <c r="AA868" s="312"/>
      <c r="AB868" s="312"/>
      <c r="AC868" s="312"/>
      <c r="AD868" s="312"/>
    </row>
    <row r="869">
      <c r="A869" s="312"/>
      <c r="B869" s="344">
        <f t="shared" si="1"/>
        <v>1714.918281</v>
      </c>
      <c r="C869" s="344">
        <v>120.0</v>
      </c>
      <c r="D869" s="369"/>
      <c r="E869" s="344" t="str">
        <f t="shared" si="2"/>
        <v>Saturday</v>
      </c>
      <c r="F869" s="344" t="s">
        <v>554</v>
      </c>
      <c r="G869" s="370"/>
      <c r="H869" s="370"/>
      <c r="I869" s="357">
        <f t="shared" si="3"/>
        <v>0</v>
      </c>
      <c r="J869" s="346">
        <f t="shared" si="4"/>
        <v>0</v>
      </c>
      <c r="K869" s="312"/>
      <c r="L869" s="312"/>
      <c r="M869" s="312"/>
      <c r="N869" s="362"/>
      <c r="O869" s="312"/>
      <c r="P869" s="312"/>
      <c r="S869" s="2">
        <f t="shared" si="5"/>
        <v>0</v>
      </c>
      <c r="AA869" s="312"/>
      <c r="AB869" s="312"/>
      <c r="AC869" s="312"/>
      <c r="AD869" s="312"/>
    </row>
    <row r="870">
      <c r="A870" s="312"/>
      <c r="B870" s="344">
        <f t="shared" si="1"/>
        <v>1714.918281</v>
      </c>
      <c r="C870" s="344">
        <v>120.0</v>
      </c>
      <c r="D870" s="369"/>
      <c r="E870" s="344" t="str">
        <f t="shared" si="2"/>
        <v>Saturday</v>
      </c>
      <c r="F870" s="344" t="s">
        <v>554</v>
      </c>
      <c r="G870" s="370"/>
      <c r="H870" s="370"/>
      <c r="I870" s="357">
        <f t="shared" si="3"/>
        <v>0</v>
      </c>
      <c r="J870" s="346">
        <f t="shared" si="4"/>
        <v>0</v>
      </c>
      <c r="K870" s="312"/>
      <c r="L870" s="312"/>
      <c r="M870" s="312"/>
      <c r="N870" s="362"/>
      <c r="O870" s="312"/>
      <c r="P870" s="312"/>
      <c r="S870" s="2">
        <f t="shared" si="5"/>
        <v>0</v>
      </c>
      <c r="AA870" s="312"/>
      <c r="AB870" s="312"/>
      <c r="AC870" s="312"/>
      <c r="AD870" s="312"/>
    </row>
    <row r="871">
      <c r="A871" s="312"/>
      <c r="B871" s="344">
        <f t="shared" si="1"/>
        <v>1714.918281</v>
      </c>
      <c r="C871" s="344">
        <v>120.0</v>
      </c>
      <c r="D871" s="369"/>
      <c r="E871" s="344" t="str">
        <f t="shared" si="2"/>
        <v>Saturday</v>
      </c>
      <c r="F871" s="344" t="s">
        <v>554</v>
      </c>
      <c r="G871" s="370"/>
      <c r="H871" s="370"/>
      <c r="I871" s="357">
        <f t="shared" si="3"/>
        <v>0</v>
      </c>
      <c r="J871" s="346">
        <f t="shared" si="4"/>
        <v>0</v>
      </c>
      <c r="K871" s="312"/>
      <c r="L871" s="312"/>
      <c r="M871" s="312"/>
      <c r="N871" s="362"/>
      <c r="O871" s="312"/>
      <c r="P871" s="312"/>
      <c r="S871" s="2">
        <f t="shared" si="5"/>
        <v>0</v>
      </c>
      <c r="AA871" s="312"/>
      <c r="AB871" s="312"/>
      <c r="AC871" s="312"/>
      <c r="AD871" s="312"/>
    </row>
    <row r="872">
      <c r="A872" s="312"/>
      <c r="B872" s="344">
        <f t="shared" si="1"/>
        <v>1714.918281</v>
      </c>
      <c r="C872" s="344">
        <v>120.0</v>
      </c>
      <c r="D872" s="369"/>
      <c r="E872" s="344" t="str">
        <f t="shared" si="2"/>
        <v>Saturday</v>
      </c>
      <c r="F872" s="344" t="s">
        <v>554</v>
      </c>
      <c r="G872" s="370"/>
      <c r="H872" s="370"/>
      <c r="I872" s="357">
        <f t="shared" si="3"/>
        <v>0</v>
      </c>
      <c r="J872" s="346">
        <f t="shared" si="4"/>
        <v>0</v>
      </c>
      <c r="K872" s="312"/>
      <c r="L872" s="312"/>
      <c r="M872" s="312"/>
      <c r="N872" s="362"/>
      <c r="O872" s="312"/>
      <c r="P872" s="312"/>
      <c r="S872" s="2">
        <f t="shared" si="5"/>
        <v>0</v>
      </c>
      <c r="AA872" s="312"/>
      <c r="AB872" s="312"/>
      <c r="AC872" s="312"/>
      <c r="AD872" s="312"/>
    </row>
    <row r="873">
      <c r="A873" s="312"/>
      <c r="B873" s="344">
        <f t="shared" si="1"/>
        <v>1714.918281</v>
      </c>
      <c r="C873" s="344">
        <v>120.0</v>
      </c>
      <c r="D873" s="369"/>
      <c r="E873" s="344" t="str">
        <f t="shared" si="2"/>
        <v>Saturday</v>
      </c>
      <c r="F873" s="344" t="s">
        <v>554</v>
      </c>
      <c r="G873" s="370"/>
      <c r="H873" s="370"/>
      <c r="I873" s="357">
        <f t="shared" si="3"/>
        <v>0</v>
      </c>
      <c r="J873" s="346">
        <f t="shared" si="4"/>
        <v>0</v>
      </c>
      <c r="K873" s="312"/>
      <c r="L873" s="312"/>
      <c r="M873" s="312"/>
      <c r="N873" s="362"/>
      <c r="O873" s="312"/>
      <c r="P873" s="312"/>
      <c r="S873" s="2">
        <f t="shared" si="5"/>
        <v>0</v>
      </c>
      <c r="AA873" s="312"/>
      <c r="AB873" s="312"/>
      <c r="AC873" s="312"/>
      <c r="AD873" s="312"/>
    </row>
    <row r="874">
      <c r="A874" s="312"/>
      <c r="B874" s="344">
        <f t="shared" si="1"/>
        <v>1714.918281</v>
      </c>
      <c r="C874" s="344">
        <v>120.0</v>
      </c>
      <c r="D874" s="369"/>
      <c r="E874" s="344" t="str">
        <f t="shared" si="2"/>
        <v>Saturday</v>
      </c>
      <c r="F874" s="344" t="s">
        <v>554</v>
      </c>
      <c r="G874" s="370"/>
      <c r="H874" s="370"/>
      <c r="I874" s="357">
        <f t="shared" si="3"/>
        <v>0</v>
      </c>
      <c r="J874" s="346">
        <f t="shared" si="4"/>
        <v>0</v>
      </c>
      <c r="K874" s="312"/>
      <c r="L874" s="312"/>
      <c r="M874" s="312"/>
      <c r="N874" s="362"/>
      <c r="O874" s="312"/>
      <c r="P874" s="312"/>
      <c r="S874" s="2">
        <f t="shared" si="5"/>
        <v>0</v>
      </c>
      <c r="AA874" s="312"/>
      <c r="AB874" s="312"/>
      <c r="AC874" s="312"/>
      <c r="AD874" s="312"/>
    </row>
    <row r="875">
      <c r="A875" s="312"/>
      <c r="B875" s="344">
        <f t="shared" si="1"/>
        <v>1714.918281</v>
      </c>
      <c r="C875" s="344">
        <v>120.0</v>
      </c>
      <c r="D875" s="369"/>
      <c r="E875" s="344" t="str">
        <f t="shared" si="2"/>
        <v>Saturday</v>
      </c>
      <c r="F875" s="344" t="s">
        <v>554</v>
      </c>
      <c r="G875" s="370"/>
      <c r="H875" s="370"/>
      <c r="I875" s="357">
        <f t="shared" si="3"/>
        <v>0</v>
      </c>
      <c r="J875" s="346">
        <f t="shared" si="4"/>
        <v>0</v>
      </c>
      <c r="K875" s="312"/>
      <c r="L875" s="312"/>
      <c r="M875" s="312"/>
      <c r="N875" s="362"/>
      <c r="O875" s="312"/>
      <c r="P875" s="312"/>
      <c r="S875" s="2">
        <f t="shared" si="5"/>
        <v>0</v>
      </c>
      <c r="AA875" s="312"/>
      <c r="AB875" s="312"/>
      <c r="AC875" s="312"/>
      <c r="AD875" s="312"/>
    </row>
    <row r="876">
      <c r="A876" s="312"/>
      <c r="B876" s="344">
        <f t="shared" si="1"/>
        <v>1714.918281</v>
      </c>
      <c r="C876" s="344">
        <v>120.0</v>
      </c>
      <c r="D876" s="369"/>
      <c r="E876" s="344" t="str">
        <f t="shared" si="2"/>
        <v>Saturday</v>
      </c>
      <c r="F876" s="344" t="s">
        <v>554</v>
      </c>
      <c r="G876" s="370"/>
      <c r="H876" s="370"/>
      <c r="I876" s="357">
        <f t="shared" si="3"/>
        <v>0</v>
      </c>
      <c r="J876" s="346">
        <f t="shared" si="4"/>
        <v>0</v>
      </c>
      <c r="K876" s="312"/>
      <c r="L876" s="312"/>
      <c r="M876" s="312"/>
      <c r="N876" s="362"/>
      <c r="O876" s="312"/>
      <c r="P876" s="312"/>
      <c r="S876" s="2">
        <f t="shared" si="5"/>
        <v>0</v>
      </c>
      <c r="AA876" s="312"/>
      <c r="AB876" s="312"/>
      <c r="AC876" s="312"/>
      <c r="AD876" s="312"/>
    </row>
    <row r="877">
      <c r="A877" s="312"/>
      <c r="B877" s="344">
        <f t="shared" si="1"/>
        <v>1714.918281</v>
      </c>
      <c r="C877" s="344">
        <v>120.0</v>
      </c>
      <c r="D877" s="369"/>
      <c r="E877" s="344" t="str">
        <f t="shared" si="2"/>
        <v>Saturday</v>
      </c>
      <c r="F877" s="344" t="s">
        <v>554</v>
      </c>
      <c r="G877" s="370"/>
      <c r="H877" s="370"/>
      <c r="I877" s="357">
        <f t="shared" si="3"/>
        <v>0</v>
      </c>
      <c r="J877" s="346">
        <f t="shared" si="4"/>
        <v>0</v>
      </c>
      <c r="K877" s="312"/>
      <c r="L877" s="312"/>
      <c r="M877" s="312"/>
      <c r="N877" s="362"/>
      <c r="O877" s="312"/>
      <c r="P877" s="312"/>
      <c r="S877" s="2">
        <f t="shared" si="5"/>
        <v>0</v>
      </c>
      <c r="AA877" s="312"/>
      <c r="AB877" s="312"/>
      <c r="AC877" s="312"/>
      <c r="AD877" s="312"/>
    </row>
    <row r="878">
      <c r="A878" s="312"/>
      <c r="B878" s="344">
        <f t="shared" si="1"/>
        <v>1714.918281</v>
      </c>
      <c r="C878" s="344">
        <v>120.0</v>
      </c>
      <c r="D878" s="369"/>
      <c r="E878" s="344" t="str">
        <f t="shared" si="2"/>
        <v>Saturday</v>
      </c>
      <c r="F878" s="344" t="s">
        <v>554</v>
      </c>
      <c r="G878" s="370"/>
      <c r="H878" s="370"/>
      <c r="I878" s="357">
        <f t="shared" si="3"/>
        <v>0</v>
      </c>
      <c r="J878" s="346">
        <f t="shared" si="4"/>
        <v>0</v>
      </c>
      <c r="K878" s="312"/>
      <c r="L878" s="312"/>
      <c r="M878" s="312"/>
      <c r="N878" s="362"/>
      <c r="O878" s="312"/>
      <c r="P878" s="312"/>
      <c r="S878" s="2">
        <f t="shared" si="5"/>
        <v>0</v>
      </c>
      <c r="AA878" s="312"/>
      <c r="AB878" s="312"/>
      <c r="AC878" s="312"/>
      <c r="AD878" s="312"/>
    </row>
    <row r="879">
      <c r="A879" s="312"/>
      <c r="B879" s="344">
        <f t="shared" si="1"/>
        <v>1714.918281</v>
      </c>
      <c r="C879" s="344">
        <v>120.0</v>
      </c>
      <c r="D879" s="369"/>
      <c r="E879" s="344" t="str">
        <f t="shared" si="2"/>
        <v>Saturday</v>
      </c>
      <c r="F879" s="344" t="s">
        <v>554</v>
      </c>
      <c r="G879" s="370"/>
      <c r="H879" s="370"/>
      <c r="I879" s="357">
        <f t="shared" si="3"/>
        <v>0</v>
      </c>
      <c r="J879" s="346">
        <f t="shared" si="4"/>
        <v>0</v>
      </c>
      <c r="K879" s="312"/>
      <c r="L879" s="312"/>
      <c r="M879" s="312"/>
      <c r="N879" s="362"/>
      <c r="O879" s="312"/>
      <c r="P879" s="312"/>
      <c r="S879" s="2">
        <f t="shared" si="5"/>
        <v>0</v>
      </c>
      <c r="AA879" s="312"/>
      <c r="AB879" s="312"/>
      <c r="AC879" s="312"/>
      <c r="AD879" s="312"/>
    </row>
    <row r="880">
      <c r="A880" s="312"/>
      <c r="B880" s="344">
        <f t="shared" si="1"/>
        <v>1714.918281</v>
      </c>
      <c r="C880" s="344">
        <v>120.0</v>
      </c>
      <c r="D880" s="369"/>
      <c r="E880" s="344" t="str">
        <f t="shared" si="2"/>
        <v>Saturday</v>
      </c>
      <c r="F880" s="344" t="s">
        <v>554</v>
      </c>
      <c r="G880" s="370"/>
      <c r="H880" s="370"/>
      <c r="I880" s="357">
        <f t="shared" si="3"/>
        <v>0</v>
      </c>
      <c r="J880" s="346">
        <f t="shared" si="4"/>
        <v>0</v>
      </c>
      <c r="K880" s="312"/>
      <c r="L880" s="312"/>
      <c r="M880" s="312"/>
      <c r="N880" s="362"/>
      <c r="O880" s="312"/>
      <c r="P880" s="312"/>
      <c r="S880" s="2">
        <f t="shared" si="5"/>
        <v>0</v>
      </c>
      <c r="AA880" s="312"/>
      <c r="AB880" s="312"/>
      <c r="AC880" s="312"/>
      <c r="AD880" s="312"/>
    </row>
    <row r="881">
      <c r="A881" s="312"/>
      <c r="B881" s="344">
        <f t="shared" si="1"/>
        <v>1714.918281</v>
      </c>
      <c r="C881" s="344">
        <v>120.0</v>
      </c>
      <c r="D881" s="369"/>
      <c r="E881" s="344" t="str">
        <f t="shared" si="2"/>
        <v>Saturday</v>
      </c>
      <c r="F881" s="344" t="s">
        <v>554</v>
      </c>
      <c r="G881" s="370"/>
      <c r="H881" s="370"/>
      <c r="I881" s="357">
        <f t="shared" si="3"/>
        <v>0</v>
      </c>
      <c r="J881" s="346">
        <f t="shared" si="4"/>
        <v>0</v>
      </c>
      <c r="K881" s="312"/>
      <c r="L881" s="312"/>
      <c r="M881" s="312"/>
      <c r="N881" s="362"/>
      <c r="O881" s="312"/>
      <c r="P881" s="312"/>
      <c r="S881" s="2">
        <f t="shared" si="5"/>
        <v>0</v>
      </c>
      <c r="AA881" s="312"/>
      <c r="AB881" s="312"/>
      <c r="AC881" s="312"/>
      <c r="AD881" s="312"/>
    </row>
    <row r="882">
      <c r="A882" s="312"/>
      <c r="B882" s="344">
        <f t="shared" si="1"/>
        <v>1714.918281</v>
      </c>
      <c r="C882" s="344">
        <v>120.0</v>
      </c>
      <c r="D882" s="369"/>
      <c r="E882" s="344" t="str">
        <f t="shared" si="2"/>
        <v>Saturday</v>
      </c>
      <c r="F882" s="344" t="s">
        <v>554</v>
      </c>
      <c r="G882" s="370"/>
      <c r="H882" s="370"/>
      <c r="I882" s="357">
        <f t="shared" si="3"/>
        <v>0</v>
      </c>
      <c r="J882" s="346">
        <f t="shared" si="4"/>
        <v>0</v>
      </c>
      <c r="K882" s="312"/>
      <c r="L882" s="312"/>
      <c r="M882" s="312"/>
      <c r="N882" s="362"/>
      <c r="O882" s="312"/>
      <c r="P882" s="312"/>
      <c r="S882" s="2">
        <f t="shared" si="5"/>
        <v>0</v>
      </c>
      <c r="AA882" s="312"/>
      <c r="AB882" s="312"/>
      <c r="AC882" s="312"/>
      <c r="AD882" s="312"/>
    </row>
    <row r="883">
      <c r="A883" s="312"/>
      <c r="B883" s="344">
        <f t="shared" si="1"/>
        <v>1714.918281</v>
      </c>
      <c r="C883" s="344">
        <v>120.0</v>
      </c>
      <c r="D883" s="369"/>
      <c r="E883" s="344" t="str">
        <f t="shared" si="2"/>
        <v>Saturday</v>
      </c>
      <c r="F883" s="344" t="s">
        <v>554</v>
      </c>
      <c r="G883" s="370"/>
      <c r="H883" s="370"/>
      <c r="I883" s="357">
        <f t="shared" si="3"/>
        <v>0</v>
      </c>
      <c r="J883" s="346">
        <f t="shared" si="4"/>
        <v>0</v>
      </c>
      <c r="K883" s="312"/>
      <c r="L883" s="312"/>
      <c r="M883" s="312"/>
      <c r="N883" s="362"/>
      <c r="O883" s="312"/>
      <c r="P883" s="312"/>
      <c r="S883" s="2">
        <f t="shared" si="5"/>
        <v>0</v>
      </c>
      <c r="AA883" s="312"/>
      <c r="AB883" s="312"/>
      <c r="AC883" s="312"/>
      <c r="AD883" s="312"/>
    </row>
    <row r="884">
      <c r="A884" s="312"/>
      <c r="B884" s="344">
        <f t="shared" si="1"/>
        <v>1714.918281</v>
      </c>
      <c r="C884" s="344">
        <v>120.0</v>
      </c>
      <c r="D884" s="369"/>
      <c r="E884" s="344" t="str">
        <f t="shared" si="2"/>
        <v>Saturday</v>
      </c>
      <c r="F884" s="344" t="s">
        <v>554</v>
      </c>
      <c r="G884" s="370"/>
      <c r="H884" s="370"/>
      <c r="I884" s="357">
        <f t="shared" si="3"/>
        <v>0</v>
      </c>
      <c r="J884" s="346">
        <f t="shared" si="4"/>
        <v>0</v>
      </c>
      <c r="K884" s="312"/>
      <c r="L884" s="312"/>
      <c r="M884" s="312"/>
      <c r="N884" s="362"/>
      <c r="O884" s="312"/>
      <c r="P884" s="312"/>
      <c r="S884" s="2">
        <f t="shared" si="5"/>
        <v>0</v>
      </c>
      <c r="AA884" s="312"/>
      <c r="AB884" s="312"/>
      <c r="AC884" s="312"/>
      <c r="AD884" s="312"/>
    </row>
    <row r="885">
      <c r="A885" s="312"/>
      <c r="B885" s="344">
        <f t="shared" si="1"/>
        <v>1714.918281</v>
      </c>
      <c r="C885" s="344">
        <v>120.0</v>
      </c>
      <c r="D885" s="369"/>
      <c r="E885" s="344" t="str">
        <f t="shared" si="2"/>
        <v>Saturday</v>
      </c>
      <c r="F885" s="344" t="s">
        <v>554</v>
      </c>
      <c r="G885" s="370"/>
      <c r="H885" s="370"/>
      <c r="I885" s="357">
        <f t="shared" si="3"/>
        <v>0</v>
      </c>
      <c r="J885" s="346">
        <f t="shared" si="4"/>
        <v>0</v>
      </c>
      <c r="K885" s="312"/>
      <c r="L885" s="312"/>
      <c r="M885" s="312"/>
      <c r="N885" s="362"/>
      <c r="O885" s="312"/>
      <c r="P885" s="312"/>
      <c r="S885" s="2">
        <f t="shared" si="5"/>
        <v>0</v>
      </c>
      <c r="AA885" s="312"/>
      <c r="AB885" s="312"/>
      <c r="AC885" s="312"/>
      <c r="AD885" s="312"/>
    </row>
    <row r="886">
      <c r="A886" s="312"/>
      <c r="B886" s="344">
        <f t="shared" si="1"/>
        <v>1714.918281</v>
      </c>
      <c r="C886" s="344">
        <v>120.0</v>
      </c>
      <c r="D886" s="369"/>
      <c r="E886" s="344" t="str">
        <f t="shared" si="2"/>
        <v>Saturday</v>
      </c>
      <c r="F886" s="344" t="s">
        <v>554</v>
      </c>
      <c r="G886" s="370"/>
      <c r="H886" s="370"/>
      <c r="I886" s="357">
        <f t="shared" si="3"/>
        <v>0</v>
      </c>
      <c r="J886" s="346">
        <f t="shared" si="4"/>
        <v>0</v>
      </c>
      <c r="K886" s="312"/>
      <c r="L886" s="312"/>
      <c r="M886" s="312"/>
      <c r="N886" s="362"/>
      <c r="O886" s="312"/>
      <c r="P886" s="312"/>
      <c r="S886" s="2">
        <f t="shared" si="5"/>
        <v>0</v>
      </c>
      <c r="AA886" s="312"/>
      <c r="AB886" s="312"/>
      <c r="AC886" s="312"/>
      <c r="AD886" s="312"/>
    </row>
    <row r="887">
      <c r="A887" s="312"/>
      <c r="B887" s="344">
        <f t="shared" si="1"/>
        <v>1714.918281</v>
      </c>
      <c r="C887" s="344">
        <v>120.0</v>
      </c>
      <c r="D887" s="369"/>
      <c r="E887" s="344" t="str">
        <f t="shared" si="2"/>
        <v>Saturday</v>
      </c>
      <c r="F887" s="344" t="s">
        <v>554</v>
      </c>
      <c r="G887" s="370"/>
      <c r="H887" s="370"/>
      <c r="I887" s="357">
        <f t="shared" si="3"/>
        <v>0</v>
      </c>
      <c r="J887" s="346">
        <f t="shared" si="4"/>
        <v>0</v>
      </c>
      <c r="K887" s="312"/>
      <c r="L887" s="312"/>
      <c r="M887" s="312"/>
      <c r="N887" s="362"/>
      <c r="O887" s="312"/>
      <c r="P887" s="312"/>
      <c r="S887" s="2">
        <f t="shared" si="5"/>
        <v>0</v>
      </c>
      <c r="AA887" s="312"/>
      <c r="AB887" s="312"/>
      <c r="AC887" s="312"/>
      <c r="AD887" s="312"/>
    </row>
    <row r="888">
      <c r="A888" s="312"/>
      <c r="B888" s="344">
        <f t="shared" si="1"/>
        <v>1714.918281</v>
      </c>
      <c r="C888" s="344">
        <v>120.0</v>
      </c>
      <c r="D888" s="369"/>
      <c r="E888" s="344" t="str">
        <f t="shared" si="2"/>
        <v>Saturday</v>
      </c>
      <c r="F888" s="344" t="s">
        <v>554</v>
      </c>
      <c r="G888" s="370"/>
      <c r="H888" s="370"/>
      <c r="I888" s="357">
        <f t="shared" si="3"/>
        <v>0</v>
      </c>
      <c r="J888" s="346">
        <f t="shared" si="4"/>
        <v>0</v>
      </c>
      <c r="K888" s="312"/>
      <c r="L888" s="312"/>
      <c r="M888" s="312"/>
      <c r="N888" s="362"/>
      <c r="O888" s="312"/>
      <c r="P888" s="312"/>
      <c r="S888" s="2">
        <f t="shared" si="5"/>
        <v>0</v>
      </c>
      <c r="AA888" s="312"/>
      <c r="AB888" s="312"/>
      <c r="AC888" s="312"/>
      <c r="AD888" s="312"/>
    </row>
    <row r="889">
      <c r="A889" s="312"/>
      <c r="B889" s="344">
        <f t="shared" si="1"/>
        <v>1714.918281</v>
      </c>
      <c r="C889" s="344">
        <v>120.0</v>
      </c>
      <c r="D889" s="369"/>
      <c r="E889" s="344" t="str">
        <f t="shared" si="2"/>
        <v>Saturday</v>
      </c>
      <c r="F889" s="344" t="s">
        <v>554</v>
      </c>
      <c r="G889" s="370"/>
      <c r="H889" s="370"/>
      <c r="I889" s="357">
        <f t="shared" si="3"/>
        <v>0</v>
      </c>
      <c r="J889" s="346">
        <f t="shared" si="4"/>
        <v>0</v>
      </c>
      <c r="K889" s="312"/>
      <c r="L889" s="312"/>
      <c r="M889" s="312"/>
      <c r="N889" s="362"/>
      <c r="O889" s="312"/>
      <c r="P889" s="312"/>
      <c r="S889" s="2">
        <f t="shared" si="5"/>
        <v>0</v>
      </c>
      <c r="AA889" s="312"/>
      <c r="AB889" s="312"/>
      <c r="AC889" s="312"/>
      <c r="AD889" s="312"/>
    </row>
    <row r="890">
      <c r="A890" s="312"/>
      <c r="B890" s="344">
        <f t="shared" si="1"/>
        <v>1714.918281</v>
      </c>
      <c r="C890" s="344">
        <v>120.0</v>
      </c>
      <c r="D890" s="369"/>
      <c r="E890" s="344" t="str">
        <f t="shared" si="2"/>
        <v>Saturday</v>
      </c>
      <c r="F890" s="344" t="s">
        <v>554</v>
      </c>
      <c r="G890" s="370"/>
      <c r="H890" s="370"/>
      <c r="I890" s="357">
        <f t="shared" si="3"/>
        <v>0</v>
      </c>
      <c r="J890" s="346">
        <f t="shared" si="4"/>
        <v>0</v>
      </c>
      <c r="K890" s="312"/>
      <c r="L890" s="312"/>
      <c r="M890" s="312"/>
      <c r="N890" s="362"/>
      <c r="O890" s="312"/>
      <c r="P890" s="312"/>
      <c r="S890" s="2">
        <f t="shared" si="5"/>
        <v>0</v>
      </c>
      <c r="AA890" s="312"/>
      <c r="AB890" s="312"/>
      <c r="AC890" s="312"/>
      <c r="AD890" s="312"/>
    </row>
    <row r="891">
      <c r="A891" s="312"/>
      <c r="B891" s="344">
        <f t="shared" si="1"/>
        <v>1714.918281</v>
      </c>
      <c r="C891" s="344">
        <v>120.0</v>
      </c>
      <c r="D891" s="369"/>
      <c r="E891" s="344" t="str">
        <f t="shared" si="2"/>
        <v>Saturday</v>
      </c>
      <c r="F891" s="344" t="s">
        <v>554</v>
      </c>
      <c r="G891" s="370"/>
      <c r="H891" s="370"/>
      <c r="I891" s="357">
        <f t="shared" si="3"/>
        <v>0</v>
      </c>
      <c r="J891" s="346">
        <f t="shared" si="4"/>
        <v>0</v>
      </c>
      <c r="K891" s="312"/>
      <c r="L891" s="312"/>
      <c r="M891" s="312"/>
      <c r="N891" s="362"/>
      <c r="O891" s="312"/>
      <c r="P891" s="312"/>
      <c r="S891" s="2">
        <f t="shared" si="5"/>
        <v>0</v>
      </c>
      <c r="AA891" s="312"/>
      <c r="AB891" s="312"/>
      <c r="AC891" s="312"/>
      <c r="AD891" s="312"/>
    </row>
    <row r="892">
      <c r="A892" s="312"/>
      <c r="B892" s="344">
        <f t="shared" si="1"/>
        <v>1714.918281</v>
      </c>
      <c r="C892" s="344">
        <v>120.0</v>
      </c>
      <c r="D892" s="369"/>
      <c r="E892" s="344" t="str">
        <f t="shared" si="2"/>
        <v>Saturday</v>
      </c>
      <c r="F892" s="344" t="s">
        <v>554</v>
      </c>
      <c r="G892" s="370"/>
      <c r="H892" s="370"/>
      <c r="I892" s="357">
        <f t="shared" si="3"/>
        <v>0</v>
      </c>
      <c r="J892" s="346">
        <f t="shared" si="4"/>
        <v>0</v>
      </c>
      <c r="K892" s="312"/>
      <c r="L892" s="312"/>
      <c r="M892" s="312"/>
      <c r="N892" s="362"/>
      <c r="O892" s="312"/>
      <c r="P892" s="312"/>
      <c r="S892" s="2">
        <f t="shared" si="5"/>
        <v>0</v>
      </c>
      <c r="AA892" s="312"/>
      <c r="AB892" s="312"/>
      <c r="AC892" s="312"/>
      <c r="AD892" s="312"/>
    </row>
    <row r="893">
      <c r="A893" s="312"/>
      <c r="B893" s="344">
        <f t="shared" si="1"/>
        <v>1714.918281</v>
      </c>
      <c r="C893" s="344">
        <v>120.0</v>
      </c>
      <c r="D893" s="369"/>
      <c r="E893" s="344" t="str">
        <f t="shared" si="2"/>
        <v>Saturday</v>
      </c>
      <c r="F893" s="344" t="s">
        <v>554</v>
      </c>
      <c r="G893" s="370"/>
      <c r="H893" s="370"/>
      <c r="I893" s="357">
        <f t="shared" si="3"/>
        <v>0</v>
      </c>
      <c r="J893" s="346">
        <f t="shared" si="4"/>
        <v>0</v>
      </c>
      <c r="K893" s="312"/>
      <c r="L893" s="312"/>
      <c r="M893" s="312"/>
      <c r="N893" s="362"/>
      <c r="O893" s="312"/>
      <c r="P893" s="312"/>
      <c r="S893" s="2">
        <f t="shared" si="5"/>
        <v>0</v>
      </c>
      <c r="AA893" s="312"/>
      <c r="AB893" s="312"/>
      <c r="AC893" s="312"/>
      <c r="AD893" s="312"/>
    </row>
    <row r="894">
      <c r="A894" s="312"/>
      <c r="B894" s="344">
        <f t="shared" si="1"/>
        <v>1714.918281</v>
      </c>
      <c r="C894" s="344">
        <v>120.0</v>
      </c>
      <c r="D894" s="369"/>
      <c r="E894" s="344" t="str">
        <f t="shared" si="2"/>
        <v>Saturday</v>
      </c>
      <c r="F894" s="344" t="s">
        <v>554</v>
      </c>
      <c r="G894" s="370"/>
      <c r="H894" s="370"/>
      <c r="I894" s="357">
        <f t="shared" si="3"/>
        <v>0</v>
      </c>
      <c r="J894" s="346">
        <f t="shared" si="4"/>
        <v>0</v>
      </c>
      <c r="K894" s="312"/>
      <c r="L894" s="312"/>
      <c r="M894" s="312"/>
      <c r="N894" s="362"/>
      <c r="O894" s="312"/>
      <c r="P894" s="312"/>
      <c r="S894" s="2">
        <f t="shared" si="5"/>
        <v>0</v>
      </c>
      <c r="AA894" s="312"/>
      <c r="AB894" s="312"/>
      <c r="AC894" s="312"/>
      <c r="AD894" s="312"/>
    </row>
    <row r="895">
      <c r="A895" s="312"/>
      <c r="B895" s="344">
        <f t="shared" si="1"/>
        <v>1714.918281</v>
      </c>
      <c r="C895" s="344">
        <v>120.0</v>
      </c>
      <c r="D895" s="369"/>
      <c r="E895" s="344" t="str">
        <f t="shared" si="2"/>
        <v>Saturday</v>
      </c>
      <c r="F895" s="344" t="s">
        <v>554</v>
      </c>
      <c r="G895" s="370"/>
      <c r="H895" s="370"/>
      <c r="I895" s="357">
        <f t="shared" si="3"/>
        <v>0</v>
      </c>
      <c r="J895" s="346">
        <f t="shared" si="4"/>
        <v>0</v>
      </c>
      <c r="K895" s="312"/>
      <c r="L895" s="312"/>
      <c r="M895" s="312"/>
      <c r="N895" s="362"/>
      <c r="O895" s="312"/>
      <c r="P895" s="312"/>
      <c r="S895" s="2">
        <f t="shared" si="5"/>
        <v>0</v>
      </c>
      <c r="AA895" s="312"/>
      <c r="AB895" s="312"/>
      <c r="AC895" s="312"/>
      <c r="AD895" s="312"/>
    </row>
    <row r="896">
      <c r="A896" s="312"/>
      <c r="B896" s="344">
        <f t="shared" si="1"/>
        <v>1714.918281</v>
      </c>
      <c r="C896" s="344">
        <v>120.0</v>
      </c>
      <c r="D896" s="369"/>
      <c r="E896" s="344" t="str">
        <f t="shared" si="2"/>
        <v>Saturday</v>
      </c>
      <c r="F896" s="344" t="s">
        <v>554</v>
      </c>
      <c r="G896" s="370"/>
      <c r="H896" s="370"/>
      <c r="I896" s="357">
        <f t="shared" si="3"/>
        <v>0</v>
      </c>
      <c r="J896" s="346">
        <f t="shared" si="4"/>
        <v>0</v>
      </c>
      <c r="K896" s="312"/>
      <c r="L896" s="312"/>
      <c r="M896" s="312"/>
      <c r="N896" s="362"/>
      <c r="O896" s="312"/>
      <c r="P896" s="312"/>
      <c r="S896" s="2">
        <f t="shared" si="5"/>
        <v>0</v>
      </c>
      <c r="AA896" s="312"/>
      <c r="AB896" s="312"/>
      <c r="AC896" s="312"/>
      <c r="AD896" s="312"/>
    </row>
    <row r="897">
      <c r="A897" s="312"/>
      <c r="B897" s="344">
        <f t="shared" si="1"/>
        <v>1714.918281</v>
      </c>
      <c r="C897" s="344">
        <v>120.0</v>
      </c>
      <c r="D897" s="369"/>
      <c r="E897" s="344" t="str">
        <f t="shared" si="2"/>
        <v>Saturday</v>
      </c>
      <c r="F897" s="344" t="s">
        <v>554</v>
      </c>
      <c r="G897" s="370"/>
      <c r="H897" s="370"/>
      <c r="I897" s="357">
        <f t="shared" si="3"/>
        <v>0</v>
      </c>
      <c r="J897" s="346">
        <f t="shared" si="4"/>
        <v>0</v>
      </c>
      <c r="K897" s="312"/>
      <c r="L897" s="312"/>
      <c r="M897" s="312"/>
      <c r="N897" s="362"/>
      <c r="O897" s="312"/>
      <c r="P897" s="312"/>
      <c r="S897" s="2">
        <f t="shared" si="5"/>
        <v>0</v>
      </c>
      <c r="AA897" s="312"/>
      <c r="AB897" s="312"/>
      <c r="AC897" s="312"/>
      <c r="AD897" s="312"/>
    </row>
    <row r="898">
      <c r="A898" s="312"/>
      <c r="B898" s="344">
        <f t="shared" si="1"/>
        <v>1714.918281</v>
      </c>
      <c r="C898" s="344">
        <v>120.0</v>
      </c>
      <c r="D898" s="369"/>
      <c r="E898" s="344" t="str">
        <f t="shared" si="2"/>
        <v>Saturday</v>
      </c>
      <c r="F898" s="344" t="s">
        <v>554</v>
      </c>
      <c r="G898" s="370"/>
      <c r="H898" s="370"/>
      <c r="I898" s="357">
        <f t="shared" si="3"/>
        <v>0</v>
      </c>
      <c r="J898" s="346">
        <f t="shared" si="4"/>
        <v>0</v>
      </c>
      <c r="K898" s="312"/>
      <c r="L898" s="312"/>
      <c r="M898" s="312"/>
      <c r="N898" s="362"/>
      <c r="O898" s="312"/>
      <c r="P898" s="312"/>
      <c r="S898" s="2">
        <f t="shared" si="5"/>
        <v>0</v>
      </c>
      <c r="AA898" s="312"/>
      <c r="AB898" s="312"/>
      <c r="AC898" s="312"/>
      <c r="AD898" s="312"/>
    </row>
    <row r="899">
      <c r="A899" s="312"/>
      <c r="B899" s="344">
        <f t="shared" si="1"/>
        <v>1714.918281</v>
      </c>
      <c r="C899" s="344">
        <v>120.0</v>
      </c>
      <c r="D899" s="369"/>
      <c r="E899" s="344" t="str">
        <f t="shared" si="2"/>
        <v>Saturday</v>
      </c>
      <c r="F899" s="344" t="s">
        <v>554</v>
      </c>
      <c r="G899" s="370"/>
      <c r="H899" s="370"/>
      <c r="I899" s="357">
        <f t="shared" si="3"/>
        <v>0</v>
      </c>
      <c r="J899" s="346">
        <f t="shared" si="4"/>
        <v>0</v>
      </c>
      <c r="K899" s="312"/>
      <c r="L899" s="312"/>
      <c r="M899" s="312"/>
      <c r="N899" s="362"/>
      <c r="O899" s="312"/>
      <c r="P899" s="312"/>
      <c r="S899" s="2">
        <f t="shared" si="5"/>
        <v>0</v>
      </c>
      <c r="AA899" s="312"/>
      <c r="AB899" s="312"/>
      <c r="AC899" s="312"/>
      <c r="AD899" s="312"/>
    </row>
    <row r="900">
      <c r="A900" s="312"/>
      <c r="B900" s="344">
        <f t="shared" si="1"/>
        <v>1714.918281</v>
      </c>
      <c r="C900" s="344">
        <v>120.0</v>
      </c>
      <c r="D900" s="369"/>
      <c r="E900" s="344" t="str">
        <f t="shared" si="2"/>
        <v>Saturday</v>
      </c>
      <c r="F900" s="344" t="s">
        <v>554</v>
      </c>
      <c r="G900" s="370"/>
      <c r="H900" s="370"/>
      <c r="I900" s="357">
        <f t="shared" si="3"/>
        <v>0</v>
      </c>
      <c r="J900" s="346">
        <f t="shared" si="4"/>
        <v>0</v>
      </c>
      <c r="K900" s="312"/>
      <c r="L900" s="312"/>
      <c r="M900" s="312"/>
      <c r="N900" s="362"/>
      <c r="O900" s="312"/>
      <c r="P900" s="312"/>
      <c r="S900" s="2">
        <f t="shared" si="5"/>
        <v>0</v>
      </c>
      <c r="AA900" s="312"/>
      <c r="AB900" s="312"/>
      <c r="AC900" s="312"/>
      <c r="AD900" s="312"/>
    </row>
    <row r="901">
      <c r="A901" s="312"/>
      <c r="B901" s="344">
        <f t="shared" si="1"/>
        <v>1714.918281</v>
      </c>
      <c r="C901" s="344">
        <v>120.0</v>
      </c>
      <c r="D901" s="369"/>
      <c r="E901" s="344" t="str">
        <f t="shared" si="2"/>
        <v>Saturday</v>
      </c>
      <c r="F901" s="344" t="s">
        <v>554</v>
      </c>
      <c r="G901" s="370"/>
      <c r="H901" s="370"/>
      <c r="I901" s="357">
        <f t="shared" si="3"/>
        <v>0</v>
      </c>
      <c r="J901" s="346">
        <f t="shared" si="4"/>
        <v>0</v>
      </c>
      <c r="K901" s="312"/>
      <c r="L901" s="312"/>
      <c r="M901" s="312"/>
      <c r="N901" s="362"/>
      <c r="O901" s="312"/>
      <c r="P901" s="312"/>
      <c r="S901" s="2">
        <f t="shared" si="5"/>
        <v>0</v>
      </c>
      <c r="AA901" s="312"/>
      <c r="AB901" s="312"/>
      <c r="AC901" s="312"/>
      <c r="AD901" s="312"/>
    </row>
    <row r="902">
      <c r="A902" s="312"/>
      <c r="B902" s="344">
        <f t="shared" si="1"/>
        <v>1714.918281</v>
      </c>
      <c r="C902" s="344">
        <v>120.0</v>
      </c>
      <c r="D902" s="369"/>
      <c r="E902" s="344" t="str">
        <f t="shared" si="2"/>
        <v>Saturday</v>
      </c>
      <c r="F902" s="344" t="s">
        <v>554</v>
      </c>
      <c r="G902" s="370"/>
      <c r="H902" s="370"/>
      <c r="I902" s="357">
        <f t="shared" si="3"/>
        <v>0</v>
      </c>
      <c r="J902" s="346">
        <f t="shared" si="4"/>
        <v>0</v>
      </c>
      <c r="K902" s="312"/>
      <c r="L902" s="312"/>
      <c r="M902" s="312"/>
      <c r="N902" s="362"/>
      <c r="O902" s="312"/>
      <c r="P902" s="312"/>
      <c r="S902" s="2">
        <f t="shared" si="5"/>
        <v>0</v>
      </c>
      <c r="AA902" s="312"/>
      <c r="AB902" s="312"/>
      <c r="AC902" s="312"/>
      <c r="AD902" s="312"/>
    </row>
    <row r="903">
      <c r="A903" s="312"/>
      <c r="B903" s="344">
        <f t="shared" si="1"/>
        <v>1714.918281</v>
      </c>
      <c r="C903" s="344">
        <v>120.0</v>
      </c>
      <c r="D903" s="369"/>
      <c r="E903" s="344" t="str">
        <f t="shared" si="2"/>
        <v>Saturday</v>
      </c>
      <c r="F903" s="344" t="s">
        <v>554</v>
      </c>
      <c r="G903" s="370"/>
      <c r="H903" s="370"/>
      <c r="I903" s="357">
        <f t="shared" si="3"/>
        <v>0</v>
      </c>
      <c r="J903" s="346">
        <f t="shared" si="4"/>
        <v>0</v>
      </c>
      <c r="K903" s="312"/>
      <c r="L903" s="312"/>
      <c r="M903" s="312"/>
      <c r="N903" s="362"/>
      <c r="O903" s="312"/>
      <c r="P903" s="312"/>
      <c r="S903" s="2">
        <f t="shared" si="5"/>
        <v>0</v>
      </c>
      <c r="AA903" s="312"/>
      <c r="AB903" s="312"/>
      <c r="AC903" s="312"/>
      <c r="AD903" s="312"/>
    </row>
    <row r="904">
      <c r="A904" s="312"/>
      <c r="B904" s="344">
        <f t="shared" si="1"/>
        <v>1714.918281</v>
      </c>
      <c r="C904" s="344">
        <v>120.0</v>
      </c>
      <c r="D904" s="369"/>
      <c r="E904" s="344" t="str">
        <f t="shared" si="2"/>
        <v>Saturday</v>
      </c>
      <c r="F904" s="344" t="s">
        <v>554</v>
      </c>
      <c r="G904" s="370"/>
      <c r="H904" s="370"/>
      <c r="I904" s="357">
        <f t="shared" si="3"/>
        <v>0</v>
      </c>
      <c r="J904" s="346">
        <f t="shared" si="4"/>
        <v>0</v>
      </c>
      <c r="K904" s="312"/>
      <c r="L904" s="312"/>
      <c r="M904" s="312"/>
      <c r="N904" s="362"/>
      <c r="O904" s="312"/>
      <c r="P904" s="312"/>
      <c r="S904" s="2">
        <f t="shared" si="5"/>
        <v>0</v>
      </c>
      <c r="AA904" s="312"/>
      <c r="AB904" s="312"/>
      <c r="AC904" s="312"/>
      <c r="AD904" s="312"/>
    </row>
    <row r="905">
      <c r="A905" s="312"/>
      <c r="B905" s="344">
        <f t="shared" si="1"/>
        <v>1714.918281</v>
      </c>
      <c r="C905" s="344">
        <v>120.0</v>
      </c>
      <c r="D905" s="369"/>
      <c r="E905" s="344" t="str">
        <f t="shared" si="2"/>
        <v>Saturday</v>
      </c>
      <c r="F905" s="344" t="s">
        <v>554</v>
      </c>
      <c r="G905" s="370"/>
      <c r="H905" s="370"/>
      <c r="I905" s="357">
        <f t="shared" si="3"/>
        <v>0</v>
      </c>
      <c r="J905" s="346">
        <f t="shared" si="4"/>
        <v>0</v>
      </c>
      <c r="K905" s="312"/>
      <c r="L905" s="312"/>
      <c r="M905" s="312"/>
      <c r="N905" s="362"/>
      <c r="O905" s="312"/>
      <c r="P905" s="312"/>
      <c r="S905" s="2">
        <f t="shared" si="5"/>
        <v>0</v>
      </c>
      <c r="AA905" s="312"/>
      <c r="AB905" s="312"/>
      <c r="AC905" s="312"/>
      <c r="AD905" s="312"/>
    </row>
    <row r="906">
      <c r="A906" s="312"/>
      <c r="B906" s="344">
        <f t="shared" si="1"/>
        <v>1714.918281</v>
      </c>
      <c r="C906" s="344">
        <v>120.0</v>
      </c>
      <c r="D906" s="369"/>
      <c r="E906" s="344" t="str">
        <f t="shared" si="2"/>
        <v>Saturday</v>
      </c>
      <c r="F906" s="344" t="s">
        <v>554</v>
      </c>
      <c r="G906" s="370"/>
      <c r="H906" s="370"/>
      <c r="I906" s="357">
        <f t="shared" si="3"/>
        <v>0</v>
      </c>
      <c r="J906" s="346">
        <f t="shared" si="4"/>
        <v>0</v>
      </c>
      <c r="K906" s="312"/>
      <c r="L906" s="312"/>
      <c r="M906" s="312"/>
      <c r="N906" s="362"/>
      <c r="O906" s="312"/>
      <c r="P906" s="312"/>
      <c r="S906" s="2">
        <f t="shared" si="5"/>
        <v>0</v>
      </c>
      <c r="AA906" s="312"/>
      <c r="AB906" s="312"/>
      <c r="AC906" s="312"/>
      <c r="AD906" s="312"/>
    </row>
    <row r="907">
      <c r="A907" s="312"/>
      <c r="B907" s="344">
        <f t="shared" si="1"/>
        <v>1714.918281</v>
      </c>
      <c r="C907" s="344">
        <v>120.0</v>
      </c>
      <c r="D907" s="369"/>
      <c r="E907" s="344" t="str">
        <f t="shared" si="2"/>
        <v>Saturday</v>
      </c>
      <c r="F907" s="344" t="s">
        <v>554</v>
      </c>
      <c r="G907" s="370"/>
      <c r="H907" s="370"/>
      <c r="I907" s="357">
        <f t="shared" si="3"/>
        <v>0</v>
      </c>
      <c r="J907" s="346">
        <f t="shared" si="4"/>
        <v>0</v>
      </c>
      <c r="K907" s="312"/>
      <c r="L907" s="312"/>
      <c r="M907" s="312"/>
      <c r="N907" s="362"/>
      <c r="O907" s="312"/>
      <c r="P907" s="312"/>
      <c r="S907" s="2">
        <f t="shared" si="5"/>
        <v>0</v>
      </c>
      <c r="AA907" s="312"/>
      <c r="AB907" s="312"/>
      <c r="AC907" s="312"/>
      <c r="AD907" s="312"/>
    </row>
    <row r="908">
      <c r="A908" s="312"/>
      <c r="B908" s="344">
        <f t="shared" si="1"/>
        <v>1714.918281</v>
      </c>
      <c r="C908" s="344">
        <v>120.0</v>
      </c>
      <c r="D908" s="369"/>
      <c r="E908" s="344" t="str">
        <f t="shared" si="2"/>
        <v>Saturday</v>
      </c>
      <c r="F908" s="344" t="s">
        <v>554</v>
      </c>
      <c r="G908" s="370"/>
      <c r="H908" s="370"/>
      <c r="I908" s="357">
        <f t="shared" si="3"/>
        <v>0</v>
      </c>
      <c r="J908" s="346">
        <f t="shared" si="4"/>
        <v>0</v>
      </c>
      <c r="K908" s="312"/>
      <c r="L908" s="312"/>
      <c r="M908" s="312"/>
      <c r="N908" s="362"/>
      <c r="O908" s="312"/>
      <c r="P908" s="312"/>
      <c r="S908" s="2">
        <f t="shared" si="5"/>
        <v>0</v>
      </c>
      <c r="AA908" s="312"/>
      <c r="AB908" s="312"/>
      <c r="AC908" s="312"/>
      <c r="AD908" s="312"/>
    </row>
    <row r="909">
      <c r="A909" s="312"/>
      <c r="B909" s="344">
        <f t="shared" si="1"/>
        <v>1714.918281</v>
      </c>
      <c r="C909" s="344">
        <v>120.0</v>
      </c>
      <c r="D909" s="369"/>
      <c r="E909" s="344" t="str">
        <f t="shared" si="2"/>
        <v>Saturday</v>
      </c>
      <c r="F909" s="344" t="s">
        <v>554</v>
      </c>
      <c r="G909" s="370"/>
      <c r="H909" s="370"/>
      <c r="I909" s="357">
        <f t="shared" si="3"/>
        <v>0</v>
      </c>
      <c r="J909" s="346">
        <f t="shared" si="4"/>
        <v>0</v>
      </c>
      <c r="K909" s="312"/>
      <c r="L909" s="312"/>
      <c r="M909" s="312"/>
      <c r="N909" s="362"/>
      <c r="O909" s="312"/>
      <c r="P909" s="312"/>
      <c r="S909" s="2">
        <f t="shared" si="5"/>
        <v>0</v>
      </c>
      <c r="AA909" s="312"/>
      <c r="AB909" s="312"/>
      <c r="AC909" s="312"/>
      <c r="AD909" s="312"/>
    </row>
    <row r="910">
      <c r="A910" s="312"/>
      <c r="B910" s="344">
        <f t="shared" si="1"/>
        <v>1714.918281</v>
      </c>
      <c r="C910" s="344">
        <v>120.0</v>
      </c>
      <c r="D910" s="369"/>
      <c r="E910" s="344" t="str">
        <f t="shared" si="2"/>
        <v>Saturday</v>
      </c>
      <c r="F910" s="344" t="s">
        <v>554</v>
      </c>
      <c r="G910" s="370"/>
      <c r="H910" s="370"/>
      <c r="I910" s="357">
        <f t="shared" si="3"/>
        <v>0</v>
      </c>
      <c r="J910" s="346">
        <f t="shared" si="4"/>
        <v>0</v>
      </c>
      <c r="K910" s="312"/>
      <c r="L910" s="312"/>
      <c r="M910" s="312"/>
      <c r="N910" s="362"/>
      <c r="O910" s="312"/>
      <c r="P910" s="312"/>
      <c r="S910" s="2">
        <f t="shared" si="5"/>
        <v>0</v>
      </c>
      <c r="AA910" s="312"/>
      <c r="AB910" s="312"/>
      <c r="AC910" s="312"/>
      <c r="AD910" s="312"/>
    </row>
    <row r="911">
      <c r="A911" s="312"/>
      <c r="B911" s="344">
        <f t="shared" si="1"/>
        <v>1714.918281</v>
      </c>
      <c r="C911" s="344">
        <v>120.0</v>
      </c>
      <c r="D911" s="369"/>
      <c r="E911" s="344" t="str">
        <f t="shared" si="2"/>
        <v>Saturday</v>
      </c>
      <c r="F911" s="344" t="s">
        <v>554</v>
      </c>
      <c r="G911" s="370"/>
      <c r="H911" s="370"/>
      <c r="I911" s="357">
        <f t="shared" si="3"/>
        <v>0</v>
      </c>
      <c r="J911" s="346">
        <f t="shared" si="4"/>
        <v>0</v>
      </c>
      <c r="K911" s="312"/>
      <c r="L911" s="312"/>
      <c r="M911" s="312"/>
      <c r="N911" s="362"/>
      <c r="O911" s="312"/>
      <c r="P911" s="312"/>
      <c r="S911" s="2">
        <f t="shared" si="5"/>
        <v>0</v>
      </c>
      <c r="AA911" s="312"/>
      <c r="AB911" s="312"/>
      <c r="AC911" s="312"/>
      <c r="AD911" s="312"/>
    </row>
    <row r="912">
      <c r="A912" s="312"/>
      <c r="B912" s="344">
        <f t="shared" si="1"/>
        <v>1714.918281</v>
      </c>
      <c r="C912" s="344">
        <v>120.0</v>
      </c>
      <c r="D912" s="369"/>
      <c r="E912" s="344" t="str">
        <f t="shared" si="2"/>
        <v>Saturday</v>
      </c>
      <c r="F912" s="344" t="s">
        <v>554</v>
      </c>
      <c r="G912" s="370"/>
      <c r="H912" s="370"/>
      <c r="I912" s="357">
        <f t="shared" si="3"/>
        <v>0</v>
      </c>
      <c r="J912" s="346">
        <f t="shared" si="4"/>
        <v>0</v>
      </c>
      <c r="K912" s="312"/>
      <c r="L912" s="312"/>
      <c r="M912" s="312"/>
      <c r="N912" s="362"/>
      <c r="O912" s="312"/>
      <c r="P912" s="312"/>
      <c r="S912" s="2">
        <f t="shared" si="5"/>
        <v>0</v>
      </c>
      <c r="AA912" s="312"/>
      <c r="AB912" s="312"/>
      <c r="AC912" s="312"/>
      <c r="AD912" s="312"/>
    </row>
    <row r="913">
      <c r="A913" s="312"/>
      <c r="B913" s="344">
        <f t="shared" si="1"/>
        <v>1714.918281</v>
      </c>
      <c r="C913" s="344">
        <v>120.0</v>
      </c>
      <c r="D913" s="369"/>
      <c r="E913" s="344" t="str">
        <f t="shared" si="2"/>
        <v>Saturday</v>
      </c>
      <c r="F913" s="344" t="s">
        <v>554</v>
      </c>
      <c r="G913" s="370"/>
      <c r="H913" s="370"/>
      <c r="I913" s="357">
        <f t="shared" si="3"/>
        <v>0</v>
      </c>
      <c r="J913" s="346">
        <f t="shared" si="4"/>
        <v>0</v>
      </c>
      <c r="K913" s="312"/>
      <c r="L913" s="312"/>
      <c r="M913" s="312"/>
      <c r="N913" s="362"/>
      <c r="O913" s="312"/>
      <c r="P913" s="312"/>
      <c r="S913" s="2">
        <f t="shared" si="5"/>
        <v>0</v>
      </c>
      <c r="AA913" s="312"/>
      <c r="AB913" s="312"/>
      <c r="AC913" s="312"/>
      <c r="AD913" s="312"/>
    </row>
    <row r="914">
      <c r="A914" s="312"/>
      <c r="B914" s="344">
        <f t="shared" si="1"/>
        <v>1714.918281</v>
      </c>
      <c r="C914" s="344">
        <v>120.0</v>
      </c>
      <c r="D914" s="369"/>
      <c r="E914" s="344" t="str">
        <f t="shared" si="2"/>
        <v>Saturday</v>
      </c>
      <c r="F914" s="344" t="s">
        <v>554</v>
      </c>
      <c r="G914" s="370"/>
      <c r="H914" s="370"/>
      <c r="I914" s="357">
        <f t="shared" si="3"/>
        <v>0</v>
      </c>
      <c r="J914" s="346">
        <f t="shared" si="4"/>
        <v>0</v>
      </c>
      <c r="K914" s="312"/>
      <c r="L914" s="312"/>
      <c r="M914" s="312"/>
      <c r="N914" s="362"/>
      <c r="O914" s="312"/>
      <c r="P914" s="312"/>
      <c r="S914" s="2">
        <f t="shared" si="5"/>
        <v>0</v>
      </c>
      <c r="AA914" s="312"/>
      <c r="AB914" s="312"/>
      <c r="AC914" s="312"/>
      <c r="AD914" s="312"/>
    </row>
    <row r="915">
      <c r="A915" s="312"/>
      <c r="B915" s="344">
        <f t="shared" si="1"/>
        <v>1714.918281</v>
      </c>
      <c r="C915" s="344">
        <v>120.0</v>
      </c>
      <c r="D915" s="369"/>
      <c r="E915" s="344" t="str">
        <f t="shared" si="2"/>
        <v>Saturday</v>
      </c>
      <c r="F915" s="344" t="s">
        <v>554</v>
      </c>
      <c r="G915" s="370"/>
      <c r="H915" s="370"/>
      <c r="I915" s="357">
        <f t="shared" si="3"/>
        <v>0</v>
      </c>
      <c r="J915" s="346">
        <f t="shared" si="4"/>
        <v>0</v>
      </c>
      <c r="K915" s="312"/>
      <c r="L915" s="312"/>
      <c r="M915" s="312"/>
      <c r="N915" s="362"/>
      <c r="O915" s="312"/>
      <c r="P915" s="312"/>
      <c r="S915" s="2">
        <f t="shared" si="5"/>
        <v>0</v>
      </c>
      <c r="AA915" s="312"/>
      <c r="AB915" s="312"/>
      <c r="AC915" s="312"/>
      <c r="AD915" s="312"/>
    </row>
    <row r="916">
      <c r="A916" s="312"/>
      <c r="B916" s="344">
        <f t="shared" si="1"/>
        <v>1714.918281</v>
      </c>
      <c r="C916" s="344">
        <v>120.0</v>
      </c>
      <c r="D916" s="369"/>
      <c r="E916" s="344" t="str">
        <f t="shared" si="2"/>
        <v>Saturday</v>
      </c>
      <c r="F916" s="344" t="s">
        <v>554</v>
      </c>
      <c r="G916" s="370"/>
      <c r="H916" s="370"/>
      <c r="I916" s="357">
        <f t="shared" si="3"/>
        <v>0</v>
      </c>
      <c r="J916" s="346">
        <f t="shared" si="4"/>
        <v>0</v>
      </c>
      <c r="K916" s="312"/>
      <c r="L916" s="312"/>
      <c r="M916" s="312"/>
      <c r="N916" s="362"/>
      <c r="O916" s="312"/>
      <c r="P916" s="312"/>
      <c r="S916" s="2">
        <f t="shared" si="5"/>
        <v>0</v>
      </c>
      <c r="AA916" s="312"/>
      <c r="AB916" s="312"/>
      <c r="AC916" s="312"/>
      <c r="AD916" s="312"/>
    </row>
    <row r="917">
      <c r="A917" s="312"/>
      <c r="B917" s="344">
        <f t="shared" si="1"/>
        <v>1714.918281</v>
      </c>
      <c r="C917" s="344">
        <v>120.0</v>
      </c>
      <c r="D917" s="369"/>
      <c r="E917" s="344" t="str">
        <f t="shared" si="2"/>
        <v>Saturday</v>
      </c>
      <c r="F917" s="344" t="s">
        <v>554</v>
      </c>
      <c r="G917" s="370"/>
      <c r="H917" s="370"/>
      <c r="I917" s="357">
        <f t="shared" si="3"/>
        <v>0</v>
      </c>
      <c r="J917" s="346">
        <f t="shared" si="4"/>
        <v>0</v>
      </c>
      <c r="K917" s="312"/>
      <c r="L917" s="312"/>
      <c r="M917" s="312"/>
      <c r="N917" s="362"/>
      <c r="O917" s="312"/>
      <c r="P917" s="312"/>
      <c r="S917" s="2">
        <f t="shared" si="5"/>
        <v>0</v>
      </c>
      <c r="AA917" s="312"/>
      <c r="AB917" s="312"/>
      <c r="AC917" s="312"/>
      <c r="AD917" s="312"/>
    </row>
    <row r="918">
      <c r="A918" s="312"/>
      <c r="B918" s="344">
        <f t="shared" si="1"/>
        <v>1714.918281</v>
      </c>
      <c r="C918" s="344">
        <v>120.0</v>
      </c>
      <c r="D918" s="369"/>
      <c r="E918" s="344" t="str">
        <f t="shared" si="2"/>
        <v>Saturday</v>
      </c>
      <c r="F918" s="344" t="s">
        <v>554</v>
      </c>
      <c r="G918" s="370"/>
      <c r="H918" s="370"/>
      <c r="I918" s="357">
        <f t="shared" si="3"/>
        <v>0</v>
      </c>
      <c r="J918" s="346">
        <f t="shared" si="4"/>
        <v>0</v>
      </c>
      <c r="K918" s="312"/>
      <c r="L918" s="312"/>
      <c r="M918" s="312"/>
      <c r="N918" s="362"/>
      <c r="O918" s="312"/>
      <c r="P918" s="312"/>
      <c r="S918" s="2">
        <f t="shared" si="5"/>
        <v>0</v>
      </c>
      <c r="AA918" s="312"/>
      <c r="AB918" s="312"/>
      <c r="AC918" s="312"/>
      <c r="AD918" s="312"/>
    </row>
    <row r="919">
      <c r="A919" s="312"/>
      <c r="B919" s="344">
        <f t="shared" si="1"/>
        <v>1714.918281</v>
      </c>
      <c r="C919" s="344">
        <v>120.0</v>
      </c>
      <c r="D919" s="369"/>
      <c r="E919" s="344" t="str">
        <f t="shared" si="2"/>
        <v>Saturday</v>
      </c>
      <c r="F919" s="344" t="s">
        <v>554</v>
      </c>
      <c r="G919" s="370"/>
      <c r="H919" s="370"/>
      <c r="I919" s="357">
        <f t="shared" si="3"/>
        <v>0</v>
      </c>
      <c r="J919" s="346">
        <f t="shared" si="4"/>
        <v>0</v>
      </c>
      <c r="K919" s="312"/>
      <c r="L919" s="312"/>
      <c r="M919" s="312"/>
      <c r="N919" s="362"/>
      <c r="O919" s="312"/>
      <c r="P919" s="312"/>
      <c r="S919" s="2">
        <f t="shared" si="5"/>
        <v>0</v>
      </c>
      <c r="AA919" s="312"/>
      <c r="AB919" s="312"/>
      <c r="AC919" s="312"/>
      <c r="AD919" s="312"/>
    </row>
    <row r="920">
      <c r="A920" s="312"/>
      <c r="B920" s="344">
        <f t="shared" si="1"/>
        <v>1714.918281</v>
      </c>
      <c r="C920" s="344">
        <v>120.0</v>
      </c>
      <c r="D920" s="369"/>
      <c r="E920" s="344" t="str">
        <f t="shared" si="2"/>
        <v>Saturday</v>
      </c>
      <c r="F920" s="344" t="s">
        <v>554</v>
      </c>
      <c r="G920" s="370"/>
      <c r="H920" s="370"/>
      <c r="I920" s="357">
        <f t="shared" si="3"/>
        <v>0</v>
      </c>
      <c r="J920" s="346">
        <f t="shared" si="4"/>
        <v>0</v>
      </c>
      <c r="K920" s="312"/>
      <c r="L920" s="312"/>
      <c r="M920" s="312"/>
      <c r="N920" s="362"/>
      <c r="O920" s="312"/>
      <c r="P920" s="312"/>
      <c r="S920" s="2">
        <f t="shared" si="5"/>
        <v>0</v>
      </c>
      <c r="AA920" s="312"/>
      <c r="AB920" s="312"/>
      <c r="AC920" s="312"/>
      <c r="AD920" s="312"/>
    </row>
    <row r="921">
      <c r="A921" s="312"/>
      <c r="B921" s="344">
        <f t="shared" si="1"/>
        <v>1714.918281</v>
      </c>
      <c r="C921" s="344">
        <v>120.0</v>
      </c>
      <c r="D921" s="369"/>
      <c r="E921" s="344" t="str">
        <f t="shared" si="2"/>
        <v>Saturday</v>
      </c>
      <c r="F921" s="344" t="s">
        <v>554</v>
      </c>
      <c r="G921" s="370"/>
      <c r="H921" s="370"/>
      <c r="I921" s="357">
        <f t="shared" si="3"/>
        <v>0</v>
      </c>
      <c r="J921" s="346">
        <f t="shared" si="4"/>
        <v>0</v>
      </c>
      <c r="K921" s="312"/>
      <c r="L921" s="312"/>
      <c r="M921" s="312"/>
      <c r="N921" s="362"/>
      <c r="O921" s="312"/>
      <c r="P921" s="312"/>
      <c r="S921" s="2">
        <f t="shared" si="5"/>
        <v>0</v>
      </c>
      <c r="AA921" s="312"/>
      <c r="AB921" s="312"/>
      <c r="AC921" s="312"/>
      <c r="AD921" s="312"/>
    </row>
    <row r="922">
      <c r="A922" s="312"/>
      <c r="B922" s="344">
        <f t="shared" si="1"/>
        <v>1714.918281</v>
      </c>
      <c r="C922" s="344">
        <v>120.0</v>
      </c>
      <c r="D922" s="369"/>
      <c r="E922" s="344" t="str">
        <f t="shared" si="2"/>
        <v>Saturday</v>
      </c>
      <c r="F922" s="344" t="s">
        <v>554</v>
      </c>
      <c r="G922" s="370"/>
      <c r="H922" s="370"/>
      <c r="I922" s="357">
        <f t="shared" si="3"/>
        <v>0</v>
      </c>
      <c r="J922" s="346">
        <f t="shared" si="4"/>
        <v>0</v>
      </c>
      <c r="K922" s="312"/>
      <c r="L922" s="312"/>
      <c r="M922" s="312"/>
      <c r="N922" s="362"/>
      <c r="O922" s="312"/>
      <c r="P922" s="312"/>
      <c r="S922" s="2">
        <f t="shared" si="5"/>
        <v>0</v>
      </c>
      <c r="AA922" s="312"/>
      <c r="AB922" s="312"/>
      <c r="AC922" s="312"/>
      <c r="AD922" s="312"/>
    </row>
    <row r="923">
      <c r="A923" s="312"/>
      <c r="B923" s="344">
        <f t="shared" si="1"/>
        <v>1714.918281</v>
      </c>
      <c r="C923" s="344">
        <v>120.0</v>
      </c>
      <c r="D923" s="369"/>
      <c r="E923" s="344" t="str">
        <f t="shared" si="2"/>
        <v>Saturday</v>
      </c>
      <c r="F923" s="344" t="s">
        <v>554</v>
      </c>
      <c r="G923" s="370"/>
      <c r="H923" s="370"/>
      <c r="I923" s="357">
        <f t="shared" si="3"/>
        <v>0</v>
      </c>
      <c r="J923" s="346">
        <f t="shared" si="4"/>
        <v>0</v>
      </c>
      <c r="K923" s="312"/>
      <c r="L923" s="312"/>
      <c r="M923" s="312"/>
      <c r="N923" s="362"/>
      <c r="O923" s="312"/>
      <c r="P923" s="312"/>
      <c r="S923" s="2">
        <f t="shared" si="5"/>
        <v>0</v>
      </c>
      <c r="AA923" s="312"/>
      <c r="AB923" s="312"/>
      <c r="AC923" s="312"/>
      <c r="AD923" s="312"/>
    </row>
    <row r="924">
      <c r="A924" s="312"/>
      <c r="B924" s="344">
        <f t="shared" si="1"/>
        <v>1714.918281</v>
      </c>
      <c r="C924" s="344">
        <v>120.0</v>
      </c>
      <c r="D924" s="369"/>
      <c r="E924" s="344" t="str">
        <f t="shared" si="2"/>
        <v>Saturday</v>
      </c>
      <c r="F924" s="344" t="s">
        <v>554</v>
      </c>
      <c r="G924" s="370"/>
      <c r="H924" s="370"/>
      <c r="I924" s="357">
        <f t="shared" si="3"/>
        <v>0</v>
      </c>
      <c r="J924" s="346">
        <f t="shared" si="4"/>
        <v>0</v>
      </c>
      <c r="K924" s="312"/>
      <c r="L924" s="312"/>
      <c r="M924" s="312"/>
      <c r="N924" s="362"/>
      <c r="O924" s="312"/>
      <c r="P924" s="312"/>
      <c r="S924" s="2">
        <f t="shared" si="5"/>
        <v>0</v>
      </c>
      <c r="AA924" s="312"/>
      <c r="AB924" s="312"/>
      <c r="AC924" s="312"/>
      <c r="AD924" s="312"/>
    </row>
    <row r="925">
      <c r="A925" s="312"/>
      <c r="B925" s="344">
        <f t="shared" si="1"/>
        <v>1714.918281</v>
      </c>
      <c r="C925" s="344">
        <v>120.0</v>
      </c>
      <c r="D925" s="369"/>
      <c r="E925" s="344" t="str">
        <f t="shared" si="2"/>
        <v>Saturday</v>
      </c>
      <c r="F925" s="344" t="s">
        <v>554</v>
      </c>
      <c r="G925" s="370"/>
      <c r="H925" s="370"/>
      <c r="I925" s="357">
        <f t="shared" si="3"/>
        <v>0</v>
      </c>
      <c r="J925" s="346">
        <f t="shared" si="4"/>
        <v>0</v>
      </c>
      <c r="K925" s="312"/>
      <c r="L925" s="312"/>
      <c r="M925" s="312"/>
      <c r="N925" s="362"/>
      <c r="O925" s="312"/>
      <c r="P925" s="312"/>
      <c r="S925" s="2">
        <f t="shared" si="5"/>
        <v>0</v>
      </c>
      <c r="AA925" s="312"/>
      <c r="AB925" s="312"/>
      <c r="AC925" s="312"/>
      <c r="AD925" s="312"/>
    </row>
    <row r="926">
      <c r="A926" s="312"/>
      <c r="B926" s="344">
        <f t="shared" si="1"/>
        <v>1714.918281</v>
      </c>
      <c r="C926" s="344">
        <v>120.0</v>
      </c>
      <c r="D926" s="369"/>
      <c r="E926" s="344" t="str">
        <f t="shared" si="2"/>
        <v>Saturday</v>
      </c>
      <c r="F926" s="344" t="s">
        <v>554</v>
      </c>
      <c r="G926" s="370"/>
      <c r="H926" s="370"/>
      <c r="I926" s="357">
        <f t="shared" si="3"/>
        <v>0</v>
      </c>
      <c r="J926" s="346">
        <f t="shared" si="4"/>
        <v>0</v>
      </c>
      <c r="K926" s="312"/>
      <c r="L926" s="312"/>
      <c r="M926" s="312"/>
      <c r="N926" s="362"/>
      <c r="O926" s="312"/>
      <c r="P926" s="312"/>
      <c r="S926" s="2">
        <f t="shared" si="5"/>
        <v>0</v>
      </c>
      <c r="AA926" s="312"/>
      <c r="AB926" s="312"/>
      <c r="AC926" s="312"/>
      <c r="AD926" s="312"/>
    </row>
    <row r="927">
      <c r="A927" s="312"/>
      <c r="B927" s="344">
        <f t="shared" si="1"/>
        <v>1714.918281</v>
      </c>
      <c r="C927" s="344">
        <v>120.0</v>
      </c>
      <c r="D927" s="369"/>
      <c r="E927" s="344" t="str">
        <f t="shared" si="2"/>
        <v>Saturday</v>
      </c>
      <c r="F927" s="344" t="s">
        <v>554</v>
      </c>
      <c r="G927" s="370"/>
      <c r="H927" s="370"/>
      <c r="I927" s="357">
        <f t="shared" si="3"/>
        <v>0</v>
      </c>
      <c r="J927" s="346">
        <f t="shared" si="4"/>
        <v>0</v>
      </c>
      <c r="K927" s="312"/>
      <c r="L927" s="312"/>
      <c r="M927" s="312"/>
      <c r="N927" s="362"/>
      <c r="O927" s="312"/>
      <c r="P927" s="312"/>
      <c r="S927" s="2">
        <f t="shared" si="5"/>
        <v>0</v>
      </c>
      <c r="AA927" s="312"/>
      <c r="AB927" s="312"/>
      <c r="AC927" s="312"/>
      <c r="AD927" s="312"/>
    </row>
    <row r="928">
      <c r="A928" s="312"/>
      <c r="B928" s="344">
        <f t="shared" si="1"/>
        <v>1714.918281</v>
      </c>
      <c r="C928" s="344">
        <v>120.0</v>
      </c>
      <c r="D928" s="369"/>
      <c r="E928" s="344" t="str">
        <f t="shared" si="2"/>
        <v>Saturday</v>
      </c>
      <c r="F928" s="344" t="s">
        <v>554</v>
      </c>
      <c r="G928" s="370"/>
      <c r="H928" s="370"/>
      <c r="I928" s="357">
        <f t="shared" si="3"/>
        <v>0</v>
      </c>
      <c r="J928" s="346">
        <f t="shared" si="4"/>
        <v>0</v>
      </c>
      <c r="K928" s="312"/>
      <c r="L928" s="312"/>
      <c r="M928" s="312"/>
      <c r="N928" s="362"/>
      <c r="O928" s="312"/>
      <c r="P928" s="312"/>
      <c r="S928" s="2">
        <f t="shared" si="5"/>
        <v>0</v>
      </c>
      <c r="AA928" s="312"/>
      <c r="AB928" s="312"/>
      <c r="AC928" s="312"/>
      <c r="AD928" s="312"/>
    </row>
    <row r="929">
      <c r="A929" s="312"/>
      <c r="B929" s="344">
        <f t="shared" si="1"/>
        <v>1714.918281</v>
      </c>
      <c r="C929" s="344">
        <v>120.0</v>
      </c>
      <c r="D929" s="369"/>
      <c r="E929" s="344" t="str">
        <f t="shared" si="2"/>
        <v>Saturday</v>
      </c>
      <c r="F929" s="344" t="s">
        <v>554</v>
      </c>
      <c r="G929" s="370"/>
      <c r="H929" s="370"/>
      <c r="I929" s="357">
        <f t="shared" si="3"/>
        <v>0</v>
      </c>
      <c r="J929" s="346">
        <f t="shared" si="4"/>
        <v>0</v>
      </c>
      <c r="K929" s="312"/>
      <c r="L929" s="312"/>
      <c r="M929" s="312"/>
      <c r="N929" s="362"/>
      <c r="O929" s="312"/>
      <c r="P929" s="312"/>
      <c r="S929" s="2">
        <f t="shared" si="5"/>
        <v>0</v>
      </c>
      <c r="AA929" s="312"/>
      <c r="AB929" s="312"/>
      <c r="AC929" s="312"/>
      <c r="AD929" s="312"/>
    </row>
    <row r="930">
      <c r="A930" s="312"/>
      <c r="B930" s="344">
        <f t="shared" si="1"/>
        <v>1714.918281</v>
      </c>
      <c r="C930" s="344">
        <v>120.0</v>
      </c>
      <c r="D930" s="369"/>
      <c r="E930" s="344" t="str">
        <f t="shared" si="2"/>
        <v>Saturday</v>
      </c>
      <c r="F930" s="344" t="s">
        <v>554</v>
      </c>
      <c r="G930" s="370"/>
      <c r="H930" s="370"/>
      <c r="I930" s="357">
        <f t="shared" si="3"/>
        <v>0</v>
      </c>
      <c r="J930" s="346">
        <f t="shared" si="4"/>
        <v>0</v>
      </c>
      <c r="K930" s="312"/>
      <c r="L930" s="312"/>
      <c r="M930" s="312"/>
      <c r="N930" s="362"/>
      <c r="O930" s="312"/>
      <c r="P930" s="312"/>
      <c r="S930" s="2">
        <f t="shared" si="5"/>
        <v>0</v>
      </c>
      <c r="AA930" s="312"/>
      <c r="AB930" s="312"/>
      <c r="AC930" s="312"/>
      <c r="AD930" s="312"/>
    </row>
    <row r="931">
      <c r="A931" s="312"/>
      <c r="B931" s="344">
        <f t="shared" si="1"/>
        <v>1714.918281</v>
      </c>
      <c r="C931" s="344">
        <v>120.0</v>
      </c>
      <c r="D931" s="369"/>
      <c r="E931" s="344" t="str">
        <f t="shared" si="2"/>
        <v>Saturday</v>
      </c>
      <c r="F931" s="344" t="s">
        <v>554</v>
      </c>
      <c r="G931" s="370"/>
      <c r="H931" s="370"/>
      <c r="I931" s="357">
        <f t="shared" si="3"/>
        <v>0</v>
      </c>
      <c r="J931" s="346">
        <f t="shared" si="4"/>
        <v>0</v>
      </c>
      <c r="K931" s="312"/>
      <c r="L931" s="312"/>
      <c r="M931" s="312"/>
      <c r="N931" s="362"/>
      <c r="O931" s="312"/>
      <c r="P931" s="312"/>
      <c r="S931" s="2">
        <f t="shared" si="5"/>
        <v>0</v>
      </c>
      <c r="AA931" s="312"/>
      <c r="AB931" s="312"/>
      <c r="AC931" s="312"/>
      <c r="AD931" s="312"/>
    </row>
    <row r="932">
      <c r="A932" s="312"/>
      <c r="B932" s="344">
        <f t="shared" si="1"/>
        <v>1714.918281</v>
      </c>
      <c r="C932" s="344">
        <v>120.0</v>
      </c>
      <c r="D932" s="369"/>
      <c r="E932" s="344" t="str">
        <f t="shared" si="2"/>
        <v>Saturday</v>
      </c>
      <c r="F932" s="344" t="s">
        <v>554</v>
      </c>
      <c r="G932" s="370"/>
      <c r="H932" s="370"/>
      <c r="I932" s="357">
        <f t="shared" si="3"/>
        <v>0</v>
      </c>
      <c r="J932" s="346">
        <f t="shared" si="4"/>
        <v>0</v>
      </c>
      <c r="K932" s="312"/>
      <c r="L932" s="312"/>
      <c r="M932" s="312"/>
      <c r="N932" s="362"/>
      <c r="O932" s="312"/>
      <c r="P932" s="312"/>
      <c r="S932" s="2">
        <f t="shared" si="5"/>
        <v>0</v>
      </c>
      <c r="AA932" s="312"/>
      <c r="AB932" s="312"/>
      <c r="AC932" s="312"/>
      <c r="AD932" s="312"/>
    </row>
    <row r="933">
      <c r="A933" s="312"/>
      <c r="B933" s="344">
        <f t="shared" si="1"/>
        <v>1714.918281</v>
      </c>
      <c r="C933" s="344">
        <v>120.0</v>
      </c>
      <c r="D933" s="369"/>
      <c r="E933" s="344" t="str">
        <f t="shared" si="2"/>
        <v>Saturday</v>
      </c>
      <c r="F933" s="344" t="s">
        <v>554</v>
      </c>
      <c r="G933" s="370"/>
      <c r="H933" s="370"/>
      <c r="I933" s="357">
        <f t="shared" si="3"/>
        <v>0</v>
      </c>
      <c r="J933" s="346">
        <f t="shared" si="4"/>
        <v>0</v>
      </c>
      <c r="K933" s="312"/>
      <c r="L933" s="312"/>
      <c r="M933" s="312"/>
      <c r="N933" s="362"/>
      <c r="O933" s="312"/>
      <c r="P933" s="312"/>
      <c r="S933" s="2">
        <f t="shared" si="5"/>
        <v>0</v>
      </c>
      <c r="AA933" s="312"/>
      <c r="AB933" s="312"/>
      <c r="AC933" s="312"/>
      <c r="AD933" s="312"/>
    </row>
    <row r="934">
      <c r="A934" s="312"/>
      <c r="B934" s="344">
        <f t="shared" si="1"/>
        <v>1714.918281</v>
      </c>
      <c r="C934" s="344">
        <v>120.0</v>
      </c>
      <c r="D934" s="369"/>
      <c r="E934" s="344" t="str">
        <f t="shared" si="2"/>
        <v>Saturday</v>
      </c>
      <c r="F934" s="344" t="s">
        <v>554</v>
      </c>
      <c r="G934" s="370"/>
      <c r="H934" s="370"/>
      <c r="I934" s="357">
        <f t="shared" si="3"/>
        <v>0</v>
      </c>
      <c r="J934" s="346">
        <f t="shared" si="4"/>
        <v>0</v>
      </c>
      <c r="K934" s="312"/>
      <c r="L934" s="312"/>
      <c r="M934" s="312"/>
      <c r="N934" s="362"/>
      <c r="O934" s="312"/>
      <c r="P934" s="312"/>
      <c r="S934" s="2">
        <f t="shared" si="5"/>
        <v>0</v>
      </c>
      <c r="AA934" s="312"/>
      <c r="AB934" s="312"/>
      <c r="AC934" s="312"/>
      <c r="AD934" s="312"/>
    </row>
    <row r="935">
      <c r="A935" s="312"/>
      <c r="B935" s="344">
        <f t="shared" si="1"/>
        <v>1714.918281</v>
      </c>
      <c r="C935" s="344">
        <v>120.0</v>
      </c>
      <c r="D935" s="369"/>
      <c r="E935" s="344" t="str">
        <f t="shared" si="2"/>
        <v>Saturday</v>
      </c>
      <c r="F935" s="344" t="s">
        <v>554</v>
      </c>
      <c r="G935" s="370"/>
      <c r="H935" s="370"/>
      <c r="I935" s="357">
        <f t="shared" si="3"/>
        <v>0</v>
      </c>
      <c r="J935" s="346">
        <f t="shared" si="4"/>
        <v>0</v>
      </c>
      <c r="K935" s="312"/>
      <c r="L935" s="312"/>
      <c r="M935" s="312"/>
      <c r="N935" s="362"/>
      <c r="O935" s="312"/>
      <c r="P935" s="312"/>
      <c r="S935" s="2">
        <f t="shared" si="5"/>
        <v>0</v>
      </c>
      <c r="AA935" s="312"/>
      <c r="AB935" s="312"/>
      <c r="AC935" s="312"/>
      <c r="AD935" s="312"/>
    </row>
    <row r="936">
      <c r="A936" s="312"/>
      <c r="B936" s="344">
        <f t="shared" si="1"/>
        <v>1714.918281</v>
      </c>
      <c r="C936" s="344">
        <v>120.0</v>
      </c>
      <c r="D936" s="369"/>
      <c r="E936" s="344" t="str">
        <f t="shared" si="2"/>
        <v>Saturday</v>
      </c>
      <c r="F936" s="344" t="s">
        <v>554</v>
      </c>
      <c r="G936" s="370"/>
      <c r="H936" s="370"/>
      <c r="I936" s="357">
        <f t="shared" si="3"/>
        <v>0</v>
      </c>
      <c r="J936" s="346">
        <f t="shared" si="4"/>
        <v>0</v>
      </c>
      <c r="K936" s="312"/>
      <c r="L936" s="312"/>
      <c r="M936" s="312"/>
      <c r="N936" s="362"/>
      <c r="O936" s="312"/>
      <c r="P936" s="312"/>
      <c r="S936" s="2">
        <f t="shared" si="5"/>
        <v>0</v>
      </c>
      <c r="AA936" s="312"/>
      <c r="AB936" s="312"/>
      <c r="AC936" s="312"/>
      <c r="AD936" s="312"/>
    </row>
    <row r="937">
      <c r="A937" s="312"/>
      <c r="B937" s="344">
        <f t="shared" si="1"/>
        <v>1714.918281</v>
      </c>
      <c r="C937" s="344">
        <v>120.0</v>
      </c>
      <c r="D937" s="369"/>
      <c r="E937" s="344" t="str">
        <f t="shared" si="2"/>
        <v>Saturday</v>
      </c>
      <c r="F937" s="344" t="s">
        <v>554</v>
      </c>
      <c r="G937" s="370"/>
      <c r="H937" s="370"/>
      <c r="I937" s="357">
        <f t="shared" si="3"/>
        <v>0</v>
      </c>
      <c r="J937" s="346">
        <f t="shared" si="4"/>
        <v>0</v>
      </c>
      <c r="K937" s="312"/>
      <c r="L937" s="312"/>
      <c r="M937" s="312"/>
      <c r="N937" s="362"/>
      <c r="O937" s="312"/>
      <c r="P937" s="312"/>
      <c r="S937" s="2">
        <f t="shared" si="5"/>
        <v>0</v>
      </c>
      <c r="AA937" s="312"/>
      <c r="AB937" s="312"/>
      <c r="AC937" s="312"/>
      <c r="AD937" s="312"/>
    </row>
    <row r="938">
      <c r="A938" s="312"/>
      <c r="B938" s="344">
        <f t="shared" si="1"/>
        <v>1714.918281</v>
      </c>
      <c r="C938" s="344">
        <v>120.0</v>
      </c>
      <c r="D938" s="369"/>
      <c r="E938" s="344" t="str">
        <f t="shared" si="2"/>
        <v>Saturday</v>
      </c>
      <c r="F938" s="344" t="s">
        <v>554</v>
      </c>
      <c r="G938" s="370"/>
      <c r="H938" s="370"/>
      <c r="I938" s="357">
        <f t="shared" si="3"/>
        <v>0</v>
      </c>
      <c r="J938" s="346">
        <f t="shared" si="4"/>
        <v>0</v>
      </c>
      <c r="K938" s="312"/>
      <c r="L938" s="312"/>
      <c r="M938" s="312"/>
      <c r="N938" s="362"/>
      <c r="O938" s="312"/>
      <c r="P938" s="312"/>
      <c r="S938" s="2">
        <f t="shared" si="5"/>
        <v>0</v>
      </c>
      <c r="AA938" s="312"/>
      <c r="AB938" s="312"/>
      <c r="AC938" s="312"/>
      <c r="AD938" s="312"/>
    </row>
    <row r="939">
      <c r="A939" s="312"/>
      <c r="B939" s="344">
        <f t="shared" si="1"/>
        <v>1714.918281</v>
      </c>
      <c r="C939" s="344">
        <v>120.0</v>
      </c>
      <c r="D939" s="369"/>
      <c r="E939" s="344" t="str">
        <f t="shared" si="2"/>
        <v>Saturday</v>
      </c>
      <c r="F939" s="344" t="s">
        <v>554</v>
      </c>
      <c r="G939" s="370"/>
      <c r="H939" s="370"/>
      <c r="I939" s="357">
        <f t="shared" si="3"/>
        <v>0</v>
      </c>
      <c r="J939" s="346">
        <f t="shared" si="4"/>
        <v>0</v>
      </c>
      <c r="K939" s="312"/>
      <c r="L939" s="312"/>
      <c r="M939" s="312"/>
      <c r="N939" s="362"/>
      <c r="O939" s="312"/>
      <c r="P939" s="312"/>
      <c r="S939" s="2">
        <f t="shared" si="5"/>
        <v>0</v>
      </c>
      <c r="AA939" s="312"/>
      <c r="AB939" s="312"/>
      <c r="AC939" s="312"/>
      <c r="AD939" s="312"/>
    </row>
    <row r="940">
      <c r="A940" s="312"/>
      <c r="B940" s="344">
        <f t="shared" si="1"/>
        <v>1714.918281</v>
      </c>
      <c r="C940" s="344">
        <v>120.0</v>
      </c>
      <c r="D940" s="369"/>
      <c r="E940" s="344" t="str">
        <f t="shared" si="2"/>
        <v>Saturday</v>
      </c>
      <c r="F940" s="344" t="s">
        <v>554</v>
      </c>
      <c r="G940" s="370"/>
      <c r="H940" s="370"/>
      <c r="I940" s="357">
        <f t="shared" si="3"/>
        <v>0</v>
      </c>
      <c r="J940" s="346">
        <f t="shared" si="4"/>
        <v>0</v>
      </c>
      <c r="K940" s="312"/>
      <c r="L940" s="312"/>
      <c r="M940" s="312"/>
      <c r="N940" s="362"/>
      <c r="O940" s="312"/>
      <c r="P940" s="312"/>
      <c r="S940" s="2">
        <f t="shared" si="5"/>
        <v>0</v>
      </c>
      <c r="AA940" s="312"/>
      <c r="AB940" s="312"/>
      <c r="AC940" s="312"/>
      <c r="AD940" s="312"/>
    </row>
    <row r="941">
      <c r="A941" s="312"/>
      <c r="B941" s="344">
        <f t="shared" si="1"/>
        <v>1714.918281</v>
      </c>
      <c r="C941" s="344">
        <v>120.0</v>
      </c>
      <c r="D941" s="369"/>
      <c r="E941" s="344" t="str">
        <f t="shared" si="2"/>
        <v>Saturday</v>
      </c>
      <c r="F941" s="344" t="s">
        <v>554</v>
      </c>
      <c r="G941" s="370"/>
      <c r="H941" s="370"/>
      <c r="I941" s="357">
        <f t="shared" si="3"/>
        <v>0</v>
      </c>
      <c r="J941" s="346">
        <f t="shared" si="4"/>
        <v>0</v>
      </c>
      <c r="K941" s="312"/>
      <c r="L941" s="312"/>
      <c r="M941" s="312"/>
      <c r="N941" s="362"/>
      <c r="O941" s="312"/>
      <c r="P941" s="312"/>
      <c r="S941" s="2">
        <f t="shared" si="5"/>
        <v>0</v>
      </c>
      <c r="AA941" s="312"/>
      <c r="AB941" s="312"/>
      <c r="AC941" s="312"/>
      <c r="AD941" s="312"/>
    </row>
    <row r="942">
      <c r="A942" s="312"/>
      <c r="B942" s="344">
        <f t="shared" si="1"/>
        <v>1714.918281</v>
      </c>
      <c r="C942" s="344">
        <v>120.0</v>
      </c>
      <c r="D942" s="369"/>
      <c r="E942" s="344" t="str">
        <f t="shared" si="2"/>
        <v>Saturday</v>
      </c>
      <c r="F942" s="344" t="s">
        <v>554</v>
      </c>
      <c r="G942" s="370"/>
      <c r="H942" s="370"/>
      <c r="I942" s="357">
        <f t="shared" si="3"/>
        <v>0</v>
      </c>
      <c r="J942" s="346">
        <f t="shared" si="4"/>
        <v>0</v>
      </c>
      <c r="K942" s="312"/>
      <c r="L942" s="312"/>
      <c r="M942" s="312"/>
      <c r="N942" s="362"/>
      <c r="O942" s="312"/>
      <c r="P942" s="312"/>
      <c r="S942" s="2">
        <f t="shared" si="5"/>
        <v>0</v>
      </c>
      <c r="AA942" s="312"/>
      <c r="AB942" s="312"/>
      <c r="AC942" s="312"/>
      <c r="AD942" s="312"/>
    </row>
    <row r="943">
      <c r="A943" s="312"/>
      <c r="B943" s="344">
        <f t="shared" si="1"/>
        <v>1714.918281</v>
      </c>
      <c r="C943" s="344">
        <v>120.0</v>
      </c>
      <c r="D943" s="369"/>
      <c r="E943" s="344" t="str">
        <f t="shared" si="2"/>
        <v>Saturday</v>
      </c>
      <c r="F943" s="344" t="s">
        <v>554</v>
      </c>
      <c r="G943" s="370"/>
      <c r="H943" s="370"/>
      <c r="I943" s="357">
        <f t="shared" si="3"/>
        <v>0</v>
      </c>
      <c r="J943" s="346">
        <f t="shared" si="4"/>
        <v>0</v>
      </c>
      <c r="K943" s="312"/>
      <c r="L943" s="312"/>
      <c r="M943" s="312"/>
      <c r="N943" s="362"/>
      <c r="O943" s="312"/>
      <c r="P943" s="312"/>
      <c r="S943" s="2">
        <f t="shared" si="5"/>
        <v>0</v>
      </c>
      <c r="AA943" s="312"/>
      <c r="AB943" s="312"/>
      <c r="AC943" s="312"/>
      <c r="AD943" s="312"/>
    </row>
    <row r="944">
      <c r="A944" s="312"/>
      <c r="B944" s="344">
        <f t="shared" si="1"/>
        <v>1714.918281</v>
      </c>
      <c r="C944" s="344">
        <v>120.0</v>
      </c>
      <c r="D944" s="369"/>
      <c r="E944" s="344" t="str">
        <f t="shared" si="2"/>
        <v>Saturday</v>
      </c>
      <c r="F944" s="344" t="s">
        <v>554</v>
      </c>
      <c r="G944" s="370"/>
      <c r="H944" s="370"/>
      <c r="I944" s="357">
        <f t="shared" si="3"/>
        <v>0</v>
      </c>
      <c r="J944" s="346">
        <f t="shared" si="4"/>
        <v>0</v>
      </c>
      <c r="K944" s="312"/>
      <c r="L944" s="312"/>
      <c r="M944" s="312"/>
      <c r="N944" s="362"/>
      <c r="O944" s="312"/>
      <c r="P944" s="312"/>
      <c r="S944" s="2">
        <f t="shared" si="5"/>
        <v>0</v>
      </c>
      <c r="AA944" s="312"/>
      <c r="AB944" s="312"/>
      <c r="AC944" s="312"/>
      <c r="AD944" s="312"/>
    </row>
    <row r="945">
      <c r="A945" s="312"/>
      <c r="B945" s="344">
        <f t="shared" si="1"/>
        <v>1714.918281</v>
      </c>
      <c r="C945" s="344">
        <v>120.0</v>
      </c>
      <c r="D945" s="369"/>
      <c r="E945" s="344" t="str">
        <f t="shared" si="2"/>
        <v>Saturday</v>
      </c>
      <c r="F945" s="344" t="s">
        <v>554</v>
      </c>
      <c r="G945" s="370"/>
      <c r="H945" s="370"/>
      <c r="I945" s="357">
        <f t="shared" si="3"/>
        <v>0</v>
      </c>
      <c r="J945" s="346">
        <f t="shared" si="4"/>
        <v>0</v>
      </c>
      <c r="K945" s="312"/>
      <c r="L945" s="312"/>
      <c r="M945" s="312"/>
      <c r="N945" s="362"/>
      <c r="O945" s="312"/>
      <c r="P945" s="312"/>
      <c r="S945" s="2">
        <f t="shared" si="5"/>
        <v>0</v>
      </c>
      <c r="AA945" s="312"/>
      <c r="AB945" s="312"/>
      <c r="AC945" s="312"/>
      <c r="AD945" s="312"/>
    </row>
    <row r="946">
      <c r="A946" s="312"/>
      <c r="B946" s="344">
        <f t="shared" si="1"/>
        <v>1714.918281</v>
      </c>
      <c r="C946" s="344">
        <v>120.0</v>
      </c>
      <c r="D946" s="369"/>
      <c r="E946" s="344" t="str">
        <f t="shared" si="2"/>
        <v>Saturday</v>
      </c>
      <c r="F946" s="344" t="s">
        <v>554</v>
      </c>
      <c r="G946" s="370"/>
      <c r="H946" s="370"/>
      <c r="I946" s="357">
        <f t="shared" si="3"/>
        <v>0</v>
      </c>
      <c r="J946" s="346">
        <f t="shared" si="4"/>
        <v>0</v>
      </c>
      <c r="K946" s="312"/>
      <c r="L946" s="312"/>
      <c r="M946" s="312"/>
      <c r="N946" s="362"/>
      <c r="O946" s="312"/>
      <c r="P946" s="312"/>
      <c r="S946" s="2">
        <f t="shared" si="5"/>
        <v>0</v>
      </c>
      <c r="AA946" s="312"/>
      <c r="AB946" s="312"/>
      <c r="AC946" s="312"/>
      <c r="AD946" s="312"/>
    </row>
    <row r="947">
      <c r="A947" s="312"/>
      <c r="B947" s="344">
        <f t="shared" si="1"/>
        <v>1714.918281</v>
      </c>
      <c r="C947" s="344">
        <v>120.0</v>
      </c>
      <c r="D947" s="369"/>
      <c r="E947" s="344" t="str">
        <f t="shared" si="2"/>
        <v>Saturday</v>
      </c>
      <c r="F947" s="344" t="s">
        <v>554</v>
      </c>
      <c r="G947" s="370"/>
      <c r="H947" s="370"/>
      <c r="I947" s="357">
        <f t="shared" si="3"/>
        <v>0</v>
      </c>
      <c r="J947" s="346">
        <f t="shared" si="4"/>
        <v>0</v>
      </c>
      <c r="K947" s="312"/>
      <c r="L947" s="312"/>
      <c r="M947" s="312"/>
      <c r="N947" s="362"/>
      <c r="O947" s="312"/>
      <c r="P947" s="312"/>
      <c r="S947" s="2">
        <f t="shared" si="5"/>
        <v>0</v>
      </c>
      <c r="AA947" s="312"/>
      <c r="AB947" s="312"/>
      <c r="AC947" s="312"/>
      <c r="AD947" s="312"/>
    </row>
  </sheetData>
  <conditionalFormatting sqref="B1:P947 AA1:AD947 Q2:X8 A14:A947">
    <cfRule type="cellIs" dxfId="2" priority="1" operator="equal">
      <formula>"Soujanya"</formula>
    </cfRule>
  </conditionalFormatting>
  <conditionalFormatting sqref="B1:P947 AA1:AD947 Q2:X8 A14:A947">
    <cfRule type="cellIs" dxfId="5" priority="2" operator="equal">
      <formula>"Jaya"</formula>
    </cfRule>
  </conditionalFormatting>
  <conditionalFormatting sqref="B1:P947 AA1:AD947 Q2:X8 A14:A947">
    <cfRule type="cellIs" dxfId="20" priority="3" operator="equal">
      <formula>"NA"</formula>
    </cfRule>
  </conditionalFormatting>
  <conditionalFormatting sqref="A1:AD947">
    <cfRule type="cellIs" dxfId="21" priority="4" operator="equal">
      <formula>0</formula>
    </cfRule>
  </conditionalFormatting>
  <dataValidations>
    <dataValidation type="list" allowBlank="1" showErrorMessage="1" sqref="F9:F947">
      <formula1>"Jaya,Jaya Friend,Ishika"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13.5"/>
    <col customWidth="1" min="2" max="2" width="15.75"/>
    <col customWidth="1" min="3" max="3" width="10.63"/>
    <col customWidth="1" min="4" max="4" width="9.75"/>
    <col customWidth="1" min="5" max="5" width="8.75"/>
    <col customWidth="1" min="6" max="6" width="14.25"/>
    <col customWidth="1" min="7" max="7" width="13.63"/>
    <col customWidth="1" min="8" max="8" width="13.25"/>
    <col customWidth="1" min="9" max="9" width="13.5"/>
    <col customWidth="1" min="10" max="10" width="11.0"/>
    <col customWidth="1" min="11" max="11" width="44.5"/>
    <col customWidth="1" min="13" max="14" width="10.63"/>
    <col customWidth="1" min="15" max="15" width="5.88"/>
    <col customWidth="1" min="16" max="16" width="12.5"/>
    <col customWidth="1" min="18" max="18" width="8.0"/>
    <col customWidth="1" min="19" max="19" width="1.88"/>
    <col customWidth="1" min="20" max="20" width="4.63"/>
    <col customWidth="1" min="21" max="21" width="4.75"/>
  </cols>
  <sheetData>
    <row r="1">
      <c r="A1" s="312"/>
      <c r="B1" s="312"/>
      <c r="D1" s="374"/>
      <c r="I1" s="312"/>
      <c r="J1" s="312"/>
    </row>
    <row r="2">
      <c r="A2" s="312"/>
      <c r="B2" s="312"/>
      <c r="C2" s="375" t="s">
        <v>636</v>
      </c>
      <c r="D2" s="376">
        <f t="shared" ref="D2:D3" si="1">sumifs(I:I,J:J,C2)</f>
        <v>92431</v>
      </c>
    </row>
    <row r="3">
      <c r="A3" s="312"/>
      <c r="B3" s="312"/>
      <c r="C3" s="377" t="s">
        <v>68</v>
      </c>
      <c r="D3" s="378">
        <f t="shared" si="1"/>
        <v>75325</v>
      </c>
      <c r="M3" s="193" t="s">
        <v>162</v>
      </c>
      <c r="N3" s="255">
        <v>850.0</v>
      </c>
      <c r="O3" s="256">
        <v>90.0</v>
      </c>
      <c r="U3" s="2">
        <f>sum(U4:U5)</f>
        <v>3650</v>
      </c>
    </row>
    <row r="4">
      <c r="A4" s="312"/>
      <c r="B4" s="312"/>
      <c r="C4" s="379" t="s">
        <v>64</v>
      </c>
      <c r="D4" s="380">
        <f>D3-D2</f>
        <v>-17106</v>
      </c>
      <c r="E4" s="312"/>
      <c r="F4" s="312"/>
      <c r="G4" s="340"/>
      <c r="H4" s="334"/>
      <c r="I4" s="340"/>
      <c r="J4" s="340"/>
      <c r="K4" s="209">
        <f>TODAY()-WEEKDAY(TODAY())+1</f>
        <v>45963</v>
      </c>
      <c r="M4" s="193" t="s">
        <v>554</v>
      </c>
      <c r="N4" s="6">
        <v>850.0</v>
      </c>
      <c r="O4" s="192">
        <v>90.0</v>
      </c>
      <c r="R4" s="6" t="s">
        <v>554</v>
      </c>
      <c r="S4" s="6">
        <v>1.0</v>
      </c>
      <c r="T4" s="6">
        <v>1100.0</v>
      </c>
      <c r="U4" s="2">
        <f t="shared" ref="U4:U5" si="2">S4*T4</f>
        <v>1100</v>
      </c>
    </row>
    <row r="5">
      <c r="B5" s="6"/>
      <c r="C5" s="304"/>
      <c r="D5" s="374"/>
      <c r="E5" s="312"/>
      <c r="I5" s="312"/>
      <c r="J5" s="312"/>
      <c r="K5" s="209">
        <f>TODAY()-WEEKDAY(TODAY())+8</f>
        <v>45970</v>
      </c>
      <c r="M5" s="193" t="s">
        <v>637</v>
      </c>
      <c r="N5" s="6">
        <v>1100.0</v>
      </c>
      <c r="O5" s="192">
        <v>120.0</v>
      </c>
      <c r="R5" s="6" t="s">
        <v>162</v>
      </c>
      <c r="S5" s="6">
        <v>3.0</v>
      </c>
      <c r="T5" s="6">
        <v>850.0</v>
      </c>
      <c r="U5" s="2">
        <f t="shared" si="2"/>
        <v>2550</v>
      </c>
    </row>
    <row r="6">
      <c r="A6" s="335" t="str">
        <f>'Jaycee (Freelancing)'!$R$7</f>
        <v/>
      </c>
      <c r="B6" s="336" t="str">
        <f>'Jaycee (Freelancing)'!$R$4</f>
        <v/>
      </c>
      <c r="C6" s="337"/>
      <c r="D6" s="381"/>
      <c r="E6" s="337"/>
      <c r="F6" s="337"/>
      <c r="G6" s="338"/>
      <c r="H6" s="339">
        <f>sum(H12:H989)</f>
        <v>9845</v>
      </c>
      <c r="I6" s="339">
        <f>sumifs(I:I,J:J,C2)</f>
        <v>92431</v>
      </c>
      <c r="J6" s="382"/>
      <c r="M6" s="193" t="s">
        <v>554</v>
      </c>
      <c r="N6" s="6">
        <v>1100.0</v>
      </c>
      <c r="O6" s="192">
        <v>120.0</v>
      </c>
    </row>
    <row r="7">
      <c r="A7" s="341" t="s">
        <v>543</v>
      </c>
      <c r="B7" s="342">
        <v>45399.0</v>
      </c>
      <c r="C7" s="333"/>
      <c r="D7" s="383"/>
      <c r="E7" s="333"/>
      <c r="F7" s="312"/>
      <c r="G7" s="312"/>
      <c r="H7" s="312"/>
      <c r="I7" s="312"/>
      <c r="J7" s="312"/>
      <c r="M7" s="191"/>
      <c r="O7" s="194"/>
    </row>
    <row r="8">
      <c r="A8" s="343" t="s">
        <v>578</v>
      </c>
      <c r="B8" s="343" t="s">
        <v>579</v>
      </c>
      <c r="C8" s="343" t="s">
        <v>275</v>
      </c>
      <c r="D8" s="384" t="s">
        <v>580</v>
      </c>
      <c r="E8" s="343" t="s">
        <v>181</v>
      </c>
      <c r="F8" s="343" t="s">
        <v>581</v>
      </c>
      <c r="G8" s="343" t="s">
        <v>582</v>
      </c>
      <c r="H8" s="343" t="s">
        <v>583</v>
      </c>
      <c r="I8" s="343" t="s">
        <v>638</v>
      </c>
      <c r="J8" s="385"/>
      <c r="M8" s="196"/>
      <c r="N8" s="260"/>
      <c r="O8" s="197"/>
    </row>
    <row r="9">
      <c r="A9" s="344" t="s">
        <v>317</v>
      </c>
      <c r="B9" s="344">
        <f>sum('Jaycee (Freelancing)'!AC:AC)</f>
        <v>0</v>
      </c>
      <c r="C9" s="342">
        <v>45398.0</v>
      </c>
      <c r="D9" s="386"/>
      <c r="E9" s="342">
        <f>today()</f>
        <v>45969</v>
      </c>
      <c r="F9" s="344">
        <f t="shared" ref="F9:G9" si="3">H6</f>
        <v>9845</v>
      </c>
      <c r="G9" s="346">
        <f t="shared" si="3"/>
        <v>92431</v>
      </c>
      <c r="H9" s="344">
        <f>NETWORKDAYS(C9,E9)</f>
        <v>409</v>
      </c>
      <c r="I9" s="346">
        <f>floor(G9/H9*262/12,1)</f>
        <v>4934</v>
      </c>
      <c r="J9" s="340"/>
      <c r="P9" s="6" t="s">
        <v>639</v>
      </c>
    </row>
    <row r="10">
      <c r="A10" s="348"/>
      <c r="B10" s="313"/>
      <c r="C10" s="313"/>
      <c r="D10" s="387"/>
      <c r="E10" s="313"/>
      <c r="F10" s="313"/>
      <c r="G10" s="313"/>
      <c r="H10" s="312"/>
      <c r="I10" s="349"/>
      <c r="J10" s="312"/>
      <c r="O10" s="2">
        <f t="shared" ref="O10:P10" si="4">sum(O12:O989)</f>
        <v>92431</v>
      </c>
      <c r="P10" s="2">
        <f t="shared" si="4"/>
        <v>75325</v>
      </c>
    </row>
    <row r="11">
      <c r="A11" s="353" t="s">
        <v>585</v>
      </c>
      <c r="B11" s="353" t="s">
        <v>586</v>
      </c>
      <c r="C11" s="353" t="s">
        <v>129</v>
      </c>
      <c r="D11" s="388"/>
      <c r="E11" s="353" t="s">
        <v>587</v>
      </c>
      <c r="F11" s="353" t="s">
        <v>588</v>
      </c>
      <c r="G11" s="353" t="s">
        <v>589</v>
      </c>
      <c r="H11" s="353" t="s">
        <v>590</v>
      </c>
      <c r="I11" s="353" t="s">
        <v>591</v>
      </c>
      <c r="J11" s="353" t="s">
        <v>640</v>
      </c>
      <c r="M11" s="6" t="s">
        <v>641</v>
      </c>
      <c r="N11" s="6" t="s">
        <v>642</v>
      </c>
      <c r="O11" s="6" t="s">
        <v>636</v>
      </c>
      <c r="P11" s="6" t="s">
        <v>643</v>
      </c>
    </row>
    <row r="12">
      <c r="A12" s="344">
        <f t="shared" ref="A12:A968" si="5">sumifs(N$3:N$8,M$3:M$8,E12)</f>
        <v>850</v>
      </c>
      <c r="B12" s="344">
        <f t="shared" ref="B12:B968" si="6">sumifs(O$3:O$8,M$3:M$8,E12)</f>
        <v>90</v>
      </c>
      <c r="C12" s="355">
        <v>45383.0</v>
      </c>
      <c r="D12" s="389" t="str">
        <f t="shared" ref="D12:D968" si="7">text(WEEKDAY(C12),"dddd")</f>
        <v>Monday</v>
      </c>
      <c r="E12" s="344" t="s">
        <v>162</v>
      </c>
      <c r="F12" s="356">
        <v>0.8888888888888888</v>
      </c>
      <c r="G12" s="356">
        <v>0.9583333333333334</v>
      </c>
      <c r="H12" s="344">
        <v>100.0</v>
      </c>
      <c r="I12" s="346">
        <f t="shared" ref="I12:I19" si="8">FLOOR(A12*H12/B12,1)</f>
        <v>944</v>
      </c>
      <c r="J12" s="354" t="s">
        <v>636</v>
      </c>
      <c r="M12" s="390">
        <v>45383.0</v>
      </c>
      <c r="N12" s="391">
        <f t="shared" ref="N12:N968" si="9">M12+6</f>
        <v>45389</v>
      </c>
      <c r="O12" s="392">
        <f t="shared" ref="O12:O968" si="10">sumifs(I:I,J:J,"Spend",C:C,"&gt;="&amp;M:M,C:C,"&lt;="&amp;N:N)</f>
        <v>6030</v>
      </c>
      <c r="P12" s="392">
        <f t="shared" ref="P12:P968" si="11">sumifs(I:I,J:J,"Paid",C:C,"&gt;="&amp;M:M,C:C,"&lt;="&amp;N:N)</f>
        <v>0</v>
      </c>
    </row>
    <row r="13">
      <c r="A13" s="344">
        <f t="shared" si="5"/>
        <v>1950</v>
      </c>
      <c r="B13" s="344">
        <f t="shared" si="6"/>
        <v>210</v>
      </c>
      <c r="C13" s="393">
        <v>45384.0</v>
      </c>
      <c r="D13" s="389" t="str">
        <f t="shared" si="7"/>
        <v>Tuesday</v>
      </c>
      <c r="E13" s="344" t="s">
        <v>554</v>
      </c>
      <c r="F13" s="356">
        <v>0.8368055555555556</v>
      </c>
      <c r="G13" s="356">
        <v>0.8923611111111112</v>
      </c>
      <c r="H13" s="344">
        <v>80.0</v>
      </c>
      <c r="I13" s="346">
        <f t="shared" si="8"/>
        <v>742</v>
      </c>
      <c r="J13" s="354" t="s">
        <v>636</v>
      </c>
      <c r="M13" s="391">
        <f t="shared" ref="M13:M968" si="12">N12+1</f>
        <v>45390</v>
      </c>
      <c r="N13" s="391">
        <f t="shared" si="9"/>
        <v>45396</v>
      </c>
      <c r="O13" s="392">
        <f t="shared" si="10"/>
        <v>7247</v>
      </c>
      <c r="P13" s="392">
        <f t="shared" si="11"/>
        <v>6800</v>
      </c>
    </row>
    <row r="14">
      <c r="A14" s="344">
        <f t="shared" si="5"/>
        <v>850</v>
      </c>
      <c r="B14" s="344">
        <f t="shared" si="6"/>
        <v>90</v>
      </c>
      <c r="C14" s="355">
        <v>45385.0</v>
      </c>
      <c r="D14" s="389" t="str">
        <f t="shared" si="7"/>
        <v>Wednesday</v>
      </c>
      <c r="E14" s="344" t="s">
        <v>162</v>
      </c>
      <c r="F14" s="356">
        <v>0.2986111111111111</v>
      </c>
      <c r="G14" s="356">
        <v>0.3541666666666667</v>
      </c>
      <c r="H14" s="344">
        <v>80.0</v>
      </c>
      <c r="I14" s="346">
        <f t="shared" si="8"/>
        <v>755</v>
      </c>
      <c r="J14" s="354" t="s">
        <v>636</v>
      </c>
      <c r="M14" s="391">
        <f t="shared" si="12"/>
        <v>45397</v>
      </c>
      <c r="N14" s="391">
        <f t="shared" si="9"/>
        <v>45403</v>
      </c>
      <c r="O14" s="392">
        <f t="shared" si="10"/>
        <v>2671</v>
      </c>
      <c r="P14" s="392">
        <f t="shared" si="11"/>
        <v>7225</v>
      </c>
    </row>
    <row r="15">
      <c r="A15" s="344">
        <f t="shared" si="5"/>
        <v>1950</v>
      </c>
      <c r="B15" s="344">
        <f t="shared" si="6"/>
        <v>210</v>
      </c>
      <c r="C15" s="355">
        <v>45385.0</v>
      </c>
      <c r="D15" s="389" t="str">
        <f t="shared" si="7"/>
        <v>Wednesday</v>
      </c>
      <c r="E15" s="344" t="s">
        <v>554</v>
      </c>
      <c r="F15" s="356">
        <v>0.8402777777777778</v>
      </c>
      <c r="G15" s="356">
        <v>0.9027777777777778</v>
      </c>
      <c r="H15" s="344">
        <v>90.0</v>
      </c>
      <c r="I15" s="346">
        <f t="shared" si="8"/>
        <v>835</v>
      </c>
      <c r="J15" s="354" t="s">
        <v>636</v>
      </c>
      <c r="M15" s="391">
        <f t="shared" si="12"/>
        <v>45404</v>
      </c>
      <c r="N15" s="391">
        <f t="shared" si="9"/>
        <v>45410</v>
      </c>
      <c r="O15" s="392">
        <f t="shared" si="10"/>
        <v>0</v>
      </c>
      <c r="P15" s="392">
        <f t="shared" si="11"/>
        <v>2975</v>
      </c>
    </row>
    <row r="16">
      <c r="A16" s="344">
        <f t="shared" si="5"/>
        <v>850</v>
      </c>
      <c r="B16" s="344">
        <f t="shared" si="6"/>
        <v>90</v>
      </c>
      <c r="C16" s="393">
        <v>45386.0</v>
      </c>
      <c r="D16" s="389" t="str">
        <f t="shared" si="7"/>
        <v>Thursday</v>
      </c>
      <c r="E16" s="344" t="s">
        <v>162</v>
      </c>
      <c r="F16" s="356">
        <v>0.2986111111111111</v>
      </c>
      <c r="G16" s="356">
        <v>0.3680555555555556</v>
      </c>
      <c r="H16" s="344">
        <v>100.0</v>
      </c>
      <c r="I16" s="346">
        <f t="shared" si="8"/>
        <v>944</v>
      </c>
      <c r="J16" s="354" t="s">
        <v>636</v>
      </c>
      <c r="M16" s="391">
        <f t="shared" si="12"/>
        <v>45411</v>
      </c>
      <c r="N16" s="391">
        <f t="shared" si="9"/>
        <v>45417</v>
      </c>
      <c r="O16" s="392">
        <f t="shared" si="10"/>
        <v>3182</v>
      </c>
      <c r="P16" s="392">
        <f t="shared" si="11"/>
        <v>0</v>
      </c>
    </row>
    <row r="17">
      <c r="A17" s="344">
        <f t="shared" si="5"/>
        <v>1950</v>
      </c>
      <c r="B17" s="344">
        <f t="shared" si="6"/>
        <v>210</v>
      </c>
      <c r="C17" s="355">
        <v>45387.0</v>
      </c>
      <c r="D17" s="389" t="str">
        <f t="shared" si="7"/>
        <v>Friday</v>
      </c>
      <c r="E17" s="344" t="s">
        <v>554</v>
      </c>
      <c r="F17" s="356">
        <v>0.3819444444444444</v>
      </c>
      <c r="G17" s="356">
        <v>0.46875</v>
      </c>
      <c r="H17" s="344">
        <v>125.0</v>
      </c>
      <c r="I17" s="346">
        <f t="shared" si="8"/>
        <v>1160</v>
      </c>
      <c r="J17" s="354" t="s">
        <v>636</v>
      </c>
      <c r="M17" s="391">
        <f t="shared" si="12"/>
        <v>45418</v>
      </c>
      <c r="N17" s="391">
        <f t="shared" si="9"/>
        <v>45424</v>
      </c>
      <c r="O17" s="392">
        <f t="shared" si="10"/>
        <v>4173</v>
      </c>
      <c r="P17" s="392">
        <f t="shared" si="11"/>
        <v>2975</v>
      </c>
    </row>
    <row r="18">
      <c r="A18" s="344">
        <f t="shared" si="5"/>
        <v>1950</v>
      </c>
      <c r="B18" s="344">
        <f t="shared" si="6"/>
        <v>210</v>
      </c>
      <c r="C18" s="355">
        <v>45387.0</v>
      </c>
      <c r="D18" s="389" t="str">
        <f t="shared" si="7"/>
        <v>Friday</v>
      </c>
      <c r="E18" s="344" t="s">
        <v>554</v>
      </c>
      <c r="F18" s="356">
        <v>0.8333333333333334</v>
      </c>
      <c r="G18" s="356">
        <v>0.8819444444444444</v>
      </c>
      <c r="H18" s="344">
        <v>70.0</v>
      </c>
      <c r="I18" s="346">
        <f t="shared" si="8"/>
        <v>650</v>
      </c>
      <c r="J18" s="354" t="s">
        <v>636</v>
      </c>
      <c r="M18" s="391">
        <f t="shared" si="12"/>
        <v>45425</v>
      </c>
      <c r="N18" s="391">
        <f t="shared" si="9"/>
        <v>45431</v>
      </c>
      <c r="O18" s="392">
        <f t="shared" si="10"/>
        <v>1501</v>
      </c>
      <c r="P18" s="392">
        <f t="shared" si="11"/>
        <v>4250</v>
      </c>
    </row>
    <row r="19">
      <c r="A19" s="344">
        <f t="shared" si="5"/>
        <v>1950</v>
      </c>
      <c r="B19" s="344">
        <f t="shared" si="6"/>
        <v>210</v>
      </c>
      <c r="C19" s="355">
        <v>45391.0</v>
      </c>
      <c r="D19" s="389" t="str">
        <f t="shared" si="7"/>
        <v>Tuesday</v>
      </c>
      <c r="E19" s="344" t="s">
        <v>554</v>
      </c>
      <c r="F19" s="356">
        <v>0.3333333333333333</v>
      </c>
      <c r="G19" s="356">
        <v>0.40625</v>
      </c>
      <c r="H19" s="344">
        <v>105.0</v>
      </c>
      <c r="I19" s="346">
        <f t="shared" si="8"/>
        <v>975</v>
      </c>
      <c r="J19" s="354" t="s">
        <v>636</v>
      </c>
      <c r="M19" s="391">
        <f t="shared" si="12"/>
        <v>45432</v>
      </c>
      <c r="N19" s="391">
        <f t="shared" si="9"/>
        <v>45438</v>
      </c>
      <c r="O19" s="392">
        <f t="shared" si="10"/>
        <v>1926</v>
      </c>
      <c r="P19" s="392">
        <f t="shared" si="11"/>
        <v>1700</v>
      </c>
    </row>
    <row r="20">
      <c r="A20" s="344">
        <f t="shared" si="5"/>
        <v>0</v>
      </c>
      <c r="B20" s="344">
        <f t="shared" si="6"/>
        <v>0</v>
      </c>
      <c r="C20" s="361">
        <v>45391.0</v>
      </c>
      <c r="D20" s="389" t="str">
        <f t="shared" si="7"/>
        <v>Tuesday</v>
      </c>
      <c r="E20" s="344"/>
      <c r="F20" s="356"/>
      <c r="G20" s="356"/>
      <c r="H20" s="344"/>
      <c r="I20" s="354">
        <v>6800.0</v>
      </c>
      <c r="J20" s="354" t="s">
        <v>68</v>
      </c>
      <c r="M20" s="391">
        <f t="shared" si="12"/>
        <v>45439</v>
      </c>
      <c r="N20" s="391">
        <f t="shared" si="9"/>
        <v>45445</v>
      </c>
      <c r="O20" s="392">
        <f t="shared" si="10"/>
        <v>944</v>
      </c>
      <c r="P20" s="392">
        <f t="shared" si="11"/>
        <v>1700</v>
      </c>
    </row>
    <row r="21">
      <c r="A21" s="344">
        <f t="shared" si="5"/>
        <v>850</v>
      </c>
      <c r="B21" s="344">
        <f t="shared" si="6"/>
        <v>90</v>
      </c>
      <c r="C21" s="361">
        <v>45392.0</v>
      </c>
      <c r="D21" s="389" t="str">
        <f t="shared" si="7"/>
        <v>Wednesday</v>
      </c>
      <c r="E21" s="344" t="s">
        <v>162</v>
      </c>
      <c r="F21" s="356">
        <v>0.3541666666666667</v>
      </c>
      <c r="G21" s="356">
        <v>0.3958333333333333</v>
      </c>
      <c r="H21" s="344">
        <v>60.0</v>
      </c>
      <c r="I21" s="346">
        <f t="shared" ref="I21:I30" si="13">FLOOR(A21*H21/B21,1)</f>
        <v>566</v>
      </c>
      <c r="J21" s="354" t="s">
        <v>636</v>
      </c>
      <c r="M21" s="391">
        <f t="shared" si="12"/>
        <v>45446</v>
      </c>
      <c r="N21" s="391">
        <f t="shared" si="9"/>
        <v>45452</v>
      </c>
      <c r="O21" s="392">
        <f t="shared" si="10"/>
        <v>1038</v>
      </c>
      <c r="P21" s="392">
        <f t="shared" si="11"/>
        <v>1275</v>
      </c>
    </row>
    <row r="22">
      <c r="A22" s="344">
        <f t="shared" si="5"/>
        <v>1950</v>
      </c>
      <c r="B22" s="344">
        <f t="shared" si="6"/>
        <v>210</v>
      </c>
      <c r="C22" s="361">
        <v>45392.0</v>
      </c>
      <c r="D22" s="389" t="str">
        <f t="shared" si="7"/>
        <v>Wednesday</v>
      </c>
      <c r="E22" s="344" t="s">
        <v>554</v>
      </c>
      <c r="F22" s="356">
        <v>0.4027777777777778</v>
      </c>
      <c r="G22" s="356">
        <v>0.4618055555555556</v>
      </c>
      <c r="H22" s="344">
        <v>85.0</v>
      </c>
      <c r="I22" s="346">
        <f t="shared" si="13"/>
        <v>789</v>
      </c>
      <c r="J22" s="354" t="s">
        <v>636</v>
      </c>
      <c r="M22" s="391">
        <f t="shared" si="12"/>
        <v>45453</v>
      </c>
      <c r="N22" s="391">
        <f t="shared" si="9"/>
        <v>45459</v>
      </c>
      <c r="O22" s="392">
        <f t="shared" si="10"/>
        <v>849</v>
      </c>
      <c r="P22" s="392">
        <f t="shared" si="11"/>
        <v>1275</v>
      </c>
    </row>
    <row r="23">
      <c r="A23" s="344">
        <f t="shared" si="5"/>
        <v>1950</v>
      </c>
      <c r="B23" s="344">
        <f t="shared" si="6"/>
        <v>210</v>
      </c>
      <c r="C23" s="361">
        <v>45392.0</v>
      </c>
      <c r="D23" s="389" t="str">
        <f t="shared" si="7"/>
        <v>Wednesday</v>
      </c>
      <c r="E23" s="344" t="s">
        <v>554</v>
      </c>
      <c r="F23" s="356">
        <v>0.8958333333333334</v>
      </c>
      <c r="G23" s="356">
        <v>0.9680555555555556</v>
      </c>
      <c r="H23" s="344">
        <v>104.0</v>
      </c>
      <c r="I23" s="346">
        <f t="shared" si="13"/>
        <v>965</v>
      </c>
      <c r="J23" s="354" t="s">
        <v>636</v>
      </c>
      <c r="M23" s="391">
        <f t="shared" si="12"/>
        <v>45460</v>
      </c>
      <c r="N23" s="391">
        <f t="shared" si="9"/>
        <v>45466</v>
      </c>
      <c r="O23" s="392">
        <f t="shared" si="10"/>
        <v>538</v>
      </c>
      <c r="P23" s="392">
        <f t="shared" si="11"/>
        <v>850</v>
      </c>
    </row>
    <row r="24">
      <c r="A24" s="344">
        <f t="shared" si="5"/>
        <v>850</v>
      </c>
      <c r="B24" s="344">
        <f t="shared" si="6"/>
        <v>90</v>
      </c>
      <c r="C24" s="355">
        <v>45393.0</v>
      </c>
      <c r="D24" s="389" t="str">
        <f t="shared" si="7"/>
        <v>Thursday</v>
      </c>
      <c r="E24" s="344" t="s">
        <v>162</v>
      </c>
      <c r="F24" s="356">
        <v>0.7118055555555556</v>
      </c>
      <c r="G24" s="356">
        <v>0.7791666666666667</v>
      </c>
      <c r="H24" s="344">
        <f>55+42</f>
        <v>97</v>
      </c>
      <c r="I24" s="346">
        <f t="shared" si="13"/>
        <v>916</v>
      </c>
      <c r="J24" s="354" t="s">
        <v>636</v>
      </c>
      <c r="M24" s="391">
        <f t="shared" si="12"/>
        <v>45467</v>
      </c>
      <c r="N24" s="391">
        <f t="shared" si="9"/>
        <v>45473</v>
      </c>
      <c r="O24" s="392">
        <f t="shared" si="10"/>
        <v>566</v>
      </c>
      <c r="P24" s="392">
        <f t="shared" si="11"/>
        <v>850</v>
      </c>
    </row>
    <row r="25">
      <c r="A25" s="344">
        <f t="shared" si="5"/>
        <v>1950</v>
      </c>
      <c r="B25" s="344">
        <f t="shared" si="6"/>
        <v>210</v>
      </c>
      <c r="C25" s="355">
        <v>45393.0</v>
      </c>
      <c r="D25" s="389" t="str">
        <f t="shared" si="7"/>
        <v>Thursday</v>
      </c>
      <c r="E25" s="344" t="s">
        <v>554</v>
      </c>
      <c r="F25" s="356">
        <v>0.8534722222222222</v>
      </c>
      <c r="G25" s="356">
        <v>0.9284722222222223</v>
      </c>
      <c r="H25" s="344">
        <v>108.0</v>
      </c>
      <c r="I25" s="346">
        <f t="shared" si="13"/>
        <v>1002</v>
      </c>
      <c r="J25" s="354" t="s">
        <v>636</v>
      </c>
      <c r="M25" s="391">
        <f t="shared" si="12"/>
        <v>45474</v>
      </c>
      <c r="N25" s="391">
        <f t="shared" si="9"/>
        <v>45480</v>
      </c>
      <c r="O25" s="392">
        <f t="shared" si="10"/>
        <v>755</v>
      </c>
      <c r="P25" s="392">
        <f t="shared" si="11"/>
        <v>850</v>
      </c>
    </row>
    <row r="26">
      <c r="A26" s="344">
        <f t="shared" si="5"/>
        <v>850</v>
      </c>
      <c r="B26" s="344">
        <f t="shared" si="6"/>
        <v>90</v>
      </c>
      <c r="C26" s="361">
        <v>45394.0</v>
      </c>
      <c r="D26" s="389" t="str">
        <f t="shared" si="7"/>
        <v>Friday</v>
      </c>
      <c r="E26" s="344" t="s">
        <v>162</v>
      </c>
      <c r="F26" s="356">
        <v>0.7083333333333334</v>
      </c>
      <c r="G26" s="356">
        <v>0.7173611111111111</v>
      </c>
      <c r="H26" s="344">
        <v>13.0</v>
      </c>
      <c r="I26" s="346">
        <f t="shared" si="13"/>
        <v>122</v>
      </c>
      <c r="J26" s="354" t="s">
        <v>636</v>
      </c>
      <c r="M26" s="391">
        <f t="shared" si="12"/>
        <v>45481</v>
      </c>
      <c r="N26" s="391">
        <f t="shared" si="9"/>
        <v>45487</v>
      </c>
      <c r="O26" s="392">
        <f t="shared" si="10"/>
        <v>698</v>
      </c>
      <c r="P26" s="392">
        <f t="shared" si="11"/>
        <v>850</v>
      </c>
    </row>
    <row r="27">
      <c r="A27" s="344">
        <f t="shared" si="5"/>
        <v>1950</v>
      </c>
      <c r="B27" s="344">
        <f t="shared" si="6"/>
        <v>210</v>
      </c>
      <c r="C27" s="361">
        <v>45394.0</v>
      </c>
      <c r="D27" s="389" t="str">
        <f t="shared" si="7"/>
        <v>Friday</v>
      </c>
      <c r="E27" s="344" t="s">
        <v>554</v>
      </c>
      <c r="F27" s="356">
        <v>0.8798611111111111</v>
      </c>
      <c r="G27" s="356">
        <v>0.9284722222222223</v>
      </c>
      <c r="H27" s="344">
        <v>66.0</v>
      </c>
      <c r="I27" s="346">
        <f t="shared" si="13"/>
        <v>612</v>
      </c>
      <c r="J27" s="354" t="s">
        <v>636</v>
      </c>
      <c r="M27" s="391">
        <f t="shared" si="12"/>
        <v>45488</v>
      </c>
      <c r="N27" s="391">
        <f t="shared" si="9"/>
        <v>45494</v>
      </c>
      <c r="O27" s="392">
        <f t="shared" si="10"/>
        <v>2208</v>
      </c>
      <c r="P27" s="392">
        <f t="shared" si="11"/>
        <v>850</v>
      </c>
    </row>
    <row r="28">
      <c r="A28" s="344">
        <f t="shared" si="5"/>
        <v>1950</v>
      </c>
      <c r="B28" s="344">
        <f t="shared" si="6"/>
        <v>210</v>
      </c>
      <c r="C28" s="361">
        <v>45394.0</v>
      </c>
      <c r="D28" s="389" t="str">
        <f t="shared" si="7"/>
        <v>Friday</v>
      </c>
      <c r="E28" s="344" t="s">
        <v>554</v>
      </c>
      <c r="F28" s="356">
        <v>0.2916666666666667</v>
      </c>
      <c r="G28" s="356">
        <v>0.3888888888888889</v>
      </c>
      <c r="H28" s="344">
        <v>140.0</v>
      </c>
      <c r="I28" s="346">
        <f t="shared" si="13"/>
        <v>1300</v>
      </c>
      <c r="J28" s="354" t="s">
        <v>636</v>
      </c>
      <c r="M28" s="391">
        <f t="shared" si="12"/>
        <v>45495</v>
      </c>
      <c r="N28" s="391">
        <f t="shared" si="9"/>
        <v>45501</v>
      </c>
      <c r="O28" s="392">
        <f t="shared" si="10"/>
        <v>6654</v>
      </c>
      <c r="P28" s="392">
        <f t="shared" si="11"/>
        <v>2550</v>
      </c>
    </row>
    <row r="29">
      <c r="A29" s="344">
        <f t="shared" si="5"/>
        <v>850</v>
      </c>
      <c r="B29" s="344">
        <f t="shared" si="6"/>
        <v>90</v>
      </c>
      <c r="C29" s="361">
        <v>45397.0</v>
      </c>
      <c r="D29" s="389" t="str">
        <f t="shared" si="7"/>
        <v>Monday</v>
      </c>
      <c r="E29" s="344" t="s">
        <v>162</v>
      </c>
      <c r="F29" s="356">
        <v>0.7055555555555556</v>
      </c>
      <c r="G29" s="356">
        <v>0.7784722222222222</v>
      </c>
      <c r="H29" s="344">
        <f>4+60+41</f>
        <v>105</v>
      </c>
      <c r="I29" s="346">
        <f t="shared" si="13"/>
        <v>991</v>
      </c>
      <c r="J29" s="354" t="s">
        <v>636</v>
      </c>
      <c r="M29" s="391">
        <f t="shared" si="12"/>
        <v>45502</v>
      </c>
      <c r="N29" s="391">
        <f t="shared" si="9"/>
        <v>45508</v>
      </c>
      <c r="O29" s="392">
        <f t="shared" si="10"/>
        <v>1966</v>
      </c>
      <c r="P29" s="392">
        <f t="shared" si="11"/>
        <v>6700</v>
      </c>
    </row>
    <row r="30">
      <c r="A30" s="344">
        <f t="shared" si="5"/>
        <v>1950</v>
      </c>
      <c r="B30" s="344">
        <f t="shared" si="6"/>
        <v>210</v>
      </c>
      <c r="C30" s="361">
        <v>45397.0</v>
      </c>
      <c r="D30" s="389" t="str">
        <f t="shared" si="7"/>
        <v>Monday</v>
      </c>
      <c r="E30" s="344" t="s">
        <v>554</v>
      </c>
      <c r="F30" s="356">
        <v>0.8548611111111111</v>
      </c>
      <c r="G30" s="356">
        <v>0.9381944444444444</v>
      </c>
      <c r="H30" s="344">
        <v>120.0</v>
      </c>
      <c r="I30" s="346">
        <f t="shared" si="13"/>
        <v>1114</v>
      </c>
      <c r="J30" s="354" t="s">
        <v>636</v>
      </c>
      <c r="M30" s="391">
        <f t="shared" si="12"/>
        <v>45509</v>
      </c>
      <c r="N30" s="391">
        <f t="shared" si="9"/>
        <v>45515</v>
      </c>
      <c r="O30" s="392">
        <f t="shared" si="10"/>
        <v>802</v>
      </c>
      <c r="P30" s="392">
        <f t="shared" si="11"/>
        <v>2250</v>
      </c>
    </row>
    <row r="31">
      <c r="A31" s="344">
        <f t="shared" si="5"/>
        <v>0</v>
      </c>
      <c r="B31" s="344">
        <f t="shared" si="6"/>
        <v>0</v>
      </c>
      <c r="C31" s="355">
        <v>45398.0</v>
      </c>
      <c r="D31" s="389" t="str">
        <f t="shared" si="7"/>
        <v>Tuesday</v>
      </c>
      <c r="E31" s="344"/>
      <c r="F31" s="356"/>
      <c r="G31" s="356"/>
      <c r="H31" s="345"/>
      <c r="I31" s="354">
        <v>7225.0</v>
      </c>
      <c r="J31" s="354" t="s">
        <v>68</v>
      </c>
      <c r="M31" s="391">
        <f t="shared" si="12"/>
        <v>45516</v>
      </c>
      <c r="N31" s="391">
        <f t="shared" si="9"/>
        <v>45522</v>
      </c>
      <c r="O31" s="392">
        <f t="shared" si="10"/>
        <v>0</v>
      </c>
      <c r="P31" s="392">
        <f t="shared" si="11"/>
        <v>0</v>
      </c>
    </row>
    <row r="32">
      <c r="A32" s="344">
        <f t="shared" si="5"/>
        <v>850</v>
      </c>
      <c r="B32" s="344">
        <f t="shared" si="6"/>
        <v>90</v>
      </c>
      <c r="C32" s="361">
        <v>45401.0</v>
      </c>
      <c r="D32" s="389" t="str">
        <f t="shared" si="7"/>
        <v>Friday</v>
      </c>
      <c r="E32" s="344" t="s">
        <v>162</v>
      </c>
      <c r="F32" s="356">
        <v>0.7291666666666666</v>
      </c>
      <c r="G32" s="356">
        <v>0.7708333333333334</v>
      </c>
      <c r="H32" s="344">
        <v>60.0</v>
      </c>
      <c r="I32" s="346">
        <f>FLOOR(A32*H32/B32,1)</f>
        <v>566</v>
      </c>
      <c r="J32" s="354" t="s">
        <v>636</v>
      </c>
      <c r="M32" s="391">
        <f t="shared" si="12"/>
        <v>45523</v>
      </c>
      <c r="N32" s="391">
        <f t="shared" si="9"/>
        <v>45529</v>
      </c>
      <c r="O32" s="392">
        <f t="shared" si="10"/>
        <v>0</v>
      </c>
      <c r="P32" s="392">
        <f t="shared" si="11"/>
        <v>0</v>
      </c>
    </row>
    <row r="33">
      <c r="A33" s="344">
        <f t="shared" si="5"/>
        <v>0</v>
      </c>
      <c r="B33" s="344">
        <f t="shared" si="6"/>
        <v>0</v>
      </c>
      <c r="C33" s="393">
        <v>45405.0</v>
      </c>
      <c r="D33" s="389" t="str">
        <f t="shared" si="7"/>
        <v>Tuesday</v>
      </c>
      <c r="E33" s="344"/>
      <c r="F33" s="344"/>
      <c r="G33" s="344"/>
      <c r="H33" s="344"/>
      <c r="I33" s="354">
        <v>2975.0</v>
      </c>
      <c r="J33" s="354" t="s">
        <v>68</v>
      </c>
      <c r="M33" s="391">
        <f t="shared" si="12"/>
        <v>45530</v>
      </c>
      <c r="N33" s="391">
        <f t="shared" si="9"/>
        <v>45536</v>
      </c>
      <c r="O33" s="392">
        <f t="shared" si="10"/>
        <v>0</v>
      </c>
      <c r="P33" s="392">
        <f t="shared" si="11"/>
        <v>0</v>
      </c>
    </row>
    <row r="34">
      <c r="A34" s="344">
        <f t="shared" si="5"/>
        <v>850</v>
      </c>
      <c r="B34" s="344">
        <f t="shared" si="6"/>
        <v>90</v>
      </c>
      <c r="C34" s="393">
        <v>45412.0</v>
      </c>
      <c r="D34" s="389" t="str">
        <f t="shared" si="7"/>
        <v>Tuesday</v>
      </c>
      <c r="E34" s="344" t="s">
        <v>162</v>
      </c>
      <c r="F34" s="356">
        <v>0.2826388888888889</v>
      </c>
      <c r="G34" s="356">
        <v>0.35347222222222224</v>
      </c>
      <c r="H34" s="344">
        <f>60+42</f>
        <v>102</v>
      </c>
      <c r="I34" s="346">
        <f t="shared" ref="I34:I37" si="14">FLOOR(A34*H34/B34,1)</f>
        <v>963</v>
      </c>
      <c r="J34" s="354" t="s">
        <v>636</v>
      </c>
      <c r="M34" s="391">
        <f t="shared" si="12"/>
        <v>45537</v>
      </c>
      <c r="N34" s="391">
        <f t="shared" si="9"/>
        <v>45543</v>
      </c>
      <c r="O34" s="392">
        <f t="shared" si="10"/>
        <v>0</v>
      </c>
      <c r="P34" s="392">
        <f t="shared" si="11"/>
        <v>0</v>
      </c>
    </row>
    <row r="35">
      <c r="A35" s="344">
        <f t="shared" si="5"/>
        <v>850</v>
      </c>
      <c r="B35" s="344">
        <f t="shared" si="6"/>
        <v>90</v>
      </c>
      <c r="C35" s="393">
        <v>45413.0</v>
      </c>
      <c r="D35" s="389" t="str">
        <f t="shared" si="7"/>
        <v>Wednesday</v>
      </c>
      <c r="E35" s="344" t="s">
        <v>162</v>
      </c>
      <c r="F35" s="356">
        <v>0.7923611111111111</v>
      </c>
      <c r="G35" s="356">
        <v>0.8972222222222223</v>
      </c>
      <c r="H35" s="344">
        <f>60+60+31</f>
        <v>151</v>
      </c>
      <c r="I35" s="346">
        <f t="shared" si="14"/>
        <v>1426</v>
      </c>
      <c r="J35" s="354" t="s">
        <v>636</v>
      </c>
      <c r="M35" s="391">
        <f t="shared" si="12"/>
        <v>45544</v>
      </c>
      <c r="N35" s="391">
        <f t="shared" si="9"/>
        <v>45550</v>
      </c>
      <c r="O35" s="392">
        <f t="shared" si="10"/>
        <v>0</v>
      </c>
      <c r="P35" s="392">
        <f t="shared" si="11"/>
        <v>0</v>
      </c>
    </row>
    <row r="36">
      <c r="A36" s="344">
        <f t="shared" si="5"/>
        <v>850</v>
      </c>
      <c r="B36" s="344">
        <f t="shared" si="6"/>
        <v>90</v>
      </c>
      <c r="C36" s="393">
        <v>45414.0</v>
      </c>
      <c r="D36" s="389" t="str">
        <f t="shared" si="7"/>
        <v>Thursday</v>
      </c>
      <c r="E36" s="344" t="s">
        <v>162</v>
      </c>
      <c r="F36" s="356">
        <v>0.7319444444444444</v>
      </c>
      <c r="G36" s="356">
        <v>0.7902777777777777</v>
      </c>
      <c r="H36" s="344">
        <f>60+24</f>
        <v>84</v>
      </c>
      <c r="I36" s="346">
        <f t="shared" si="14"/>
        <v>793</v>
      </c>
      <c r="J36" s="354" t="s">
        <v>636</v>
      </c>
      <c r="M36" s="391">
        <f t="shared" si="12"/>
        <v>45551</v>
      </c>
      <c r="N36" s="391">
        <f t="shared" si="9"/>
        <v>45557</v>
      </c>
      <c r="O36" s="392">
        <f t="shared" si="10"/>
        <v>0</v>
      </c>
      <c r="P36" s="392">
        <f t="shared" si="11"/>
        <v>0</v>
      </c>
    </row>
    <row r="37">
      <c r="A37" s="344">
        <f t="shared" si="5"/>
        <v>850</v>
      </c>
      <c r="B37" s="344">
        <f t="shared" si="6"/>
        <v>90</v>
      </c>
      <c r="C37" s="394">
        <v>45418.0</v>
      </c>
      <c r="D37" s="389" t="str">
        <f t="shared" si="7"/>
        <v>Monday</v>
      </c>
      <c r="E37" s="344" t="s">
        <v>162</v>
      </c>
      <c r="F37" s="356">
        <v>0.7173611111111111</v>
      </c>
      <c r="G37" s="356">
        <v>0.7881944444444444</v>
      </c>
      <c r="H37" s="344">
        <f>60+42</f>
        <v>102</v>
      </c>
      <c r="I37" s="346">
        <f t="shared" si="14"/>
        <v>963</v>
      </c>
      <c r="J37" s="354" t="s">
        <v>636</v>
      </c>
      <c r="M37" s="391">
        <f t="shared" si="12"/>
        <v>45558</v>
      </c>
      <c r="N37" s="391">
        <f t="shared" si="9"/>
        <v>45564</v>
      </c>
      <c r="O37" s="392">
        <f t="shared" si="10"/>
        <v>0</v>
      </c>
      <c r="P37" s="392">
        <f t="shared" si="11"/>
        <v>0</v>
      </c>
    </row>
    <row r="38">
      <c r="A38" s="344">
        <f t="shared" si="5"/>
        <v>0</v>
      </c>
      <c r="B38" s="344">
        <f t="shared" si="6"/>
        <v>0</v>
      </c>
      <c r="C38" s="393">
        <v>45419.0</v>
      </c>
      <c r="D38" s="389" t="str">
        <f t="shared" si="7"/>
        <v>Tuesday</v>
      </c>
      <c r="E38" s="344"/>
      <c r="F38" s="356"/>
      <c r="G38" s="356"/>
      <c r="H38" s="344"/>
      <c r="I38" s="354">
        <v>2975.0</v>
      </c>
      <c r="J38" s="354" t="s">
        <v>68</v>
      </c>
      <c r="M38" s="391">
        <f t="shared" si="12"/>
        <v>45565</v>
      </c>
      <c r="N38" s="391">
        <f t="shared" si="9"/>
        <v>45571</v>
      </c>
      <c r="O38" s="392">
        <f t="shared" si="10"/>
        <v>0</v>
      </c>
      <c r="P38" s="392">
        <f t="shared" si="11"/>
        <v>0</v>
      </c>
    </row>
    <row r="39">
      <c r="A39" s="344">
        <f t="shared" si="5"/>
        <v>850</v>
      </c>
      <c r="B39" s="344">
        <f t="shared" si="6"/>
        <v>90</v>
      </c>
      <c r="C39" s="393">
        <v>45419.0</v>
      </c>
      <c r="D39" s="389" t="str">
        <f t="shared" si="7"/>
        <v>Tuesday</v>
      </c>
      <c r="E39" s="344" t="s">
        <v>162</v>
      </c>
      <c r="F39" s="356">
        <v>0.7180555555555556</v>
      </c>
      <c r="G39" s="356">
        <v>0.7902777777777777</v>
      </c>
      <c r="H39" s="344">
        <f>60+44</f>
        <v>104</v>
      </c>
      <c r="I39" s="346">
        <f t="shared" ref="I39:I41" si="15">FLOOR(A39*H39/B39,1)</f>
        <v>982</v>
      </c>
      <c r="J39" s="354" t="s">
        <v>636</v>
      </c>
      <c r="M39" s="391">
        <f t="shared" si="12"/>
        <v>45572</v>
      </c>
      <c r="N39" s="391">
        <f t="shared" si="9"/>
        <v>45578</v>
      </c>
      <c r="O39" s="392">
        <f t="shared" si="10"/>
        <v>0</v>
      </c>
      <c r="P39" s="392">
        <f t="shared" si="11"/>
        <v>0</v>
      </c>
    </row>
    <row r="40">
      <c r="A40" s="344">
        <f t="shared" si="5"/>
        <v>850</v>
      </c>
      <c r="B40" s="344">
        <f t="shared" si="6"/>
        <v>90</v>
      </c>
      <c r="C40" s="394">
        <v>45422.0</v>
      </c>
      <c r="D40" s="389" t="str">
        <f t="shared" si="7"/>
        <v>Friday</v>
      </c>
      <c r="E40" s="344" t="s">
        <v>162</v>
      </c>
      <c r="F40" s="356">
        <v>0.7159722222222222</v>
      </c>
      <c r="G40" s="356">
        <v>0.7916666666666666</v>
      </c>
      <c r="H40" s="344">
        <v>110.0</v>
      </c>
      <c r="I40" s="346">
        <f t="shared" si="15"/>
        <v>1038</v>
      </c>
      <c r="J40" s="354" t="s">
        <v>636</v>
      </c>
      <c r="M40" s="391">
        <f t="shared" si="12"/>
        <v>45579</v>
      </c>
      <c r="N40" s="391">
        <f t="shared" si="9"/>
        <v>45585</v>
      </c>
      <c r="O40" s="392">
        <f t="shared" si="10"/>
        <v>0</v>
      </c>
      <c r="P40" s="392">
        <f t="shared" si="11"/>
        <v>0</v>
      </c>
    </row>
    <row r="41">
      <c r="A41" s="344">
        <f t="shared" si="5"/>
        <v>850</v>
      </c>
      <c r="B41" s="344">
        <f t="shared" si="6"/>
        <v>90</v>
      </c>
      <c r="C41" s="393">
        <v>45422.0</v>
      </c>
      <c r="D41" s="389" t="str">
        <f t="shared" si="7"/>
        <v>Friday</v>
      </c>
      <c r="E41" s="344" t="s">
        <v>162</v>
      </c>
      <c r="F41" s="356">
        <v>0.85</v>
      </c>
      <c r="G41" s="356">
        <v>0.9451388888888889</v>
      </c>
      <c r="H41" s="344">
        <f>126</f>
        <v>126</v>
      </c>
      <c r="I41" s="346">
        <f t="shared" si="15"/>
        <v>1190</v>
      </c>
      <c r="J41" s="354" t="s">
        <v>636</v>
      </c>
      <c r="M41" s="391">
        <f t="shared" si="12"/>
        <v>45586</v>
      </c>
      <c r="N41" s="391">
        <f t="shared" si="9"/>
        <v>45592</v>
      </c>
      <c r="O41" s="392">
        <f t="shared" si="10"/>
        <v>0</v>
      </c>
      <c r="P41" s="392">
        <f t="shared" si="11"/>
        <v>0</v>
      </c>
    </row>
    <row r="42">
      <c r="A42" s="344">
        <f t="shared" si="5"/>
        <v>0</v>
      </c>
      <c r="B42" s="344">
        <f t="shared" si="6"/>
        <v>0</v>
      </c>
      <c r="C42" s="393">
        <v>45426.0</v>
      </c>
      <c r="D42" s="389" t="str">
        <f t="shared" si="7"/>
        <v>Tuesday</v>
      </c>
      <c r="E42" s="344"/>
      <c r="F42" s="344"/>
      <c r="G42" s="344"/>
      <c r="H42" s="344"/>
      <c r="I42" s="354">
        <v>4250.0</v>
      </c>
      <c r="J42" s="354" t="s">
        <v>68</v>
      </c>
      <c r="M42" s="391">
        <f t="shared" si="12"/>
        <v>45593</v>
      </c>
      <c r="N42" s="391">
        <f t="shared" si="9"/>
        <v>45599</v>
      </c>
      <c r="O42" s="392">
        <f t="shared" si="10"/>
        <v>0</v>
      </c>
      <c r="P42" s="392">
        <f t="shared" si="11"/>
        <v>0</v>
      </c>
    </row>
    <row r="43">
      <c r="A43" s="344">
        <f t="shared" si="5"/>
        <v>850</v>
      </c>
      <c r="B43" s="344">
        <f t="shared" si="6"/>
        <v>90</v>
      </c>
      <c r="C43" s="393">
        <v>45425.0</v>
      </c>
      <c r="D43" s="389" t="str">
        <f t="shared" si="7"/>
        <v>Monday</v>
      </c>
      <c r="E43" s="344" t="s">
        <v>162</v>
      </c>
      <c r="F43" s="356">
        <v>0.7097222222222223</v>
      </c>
      <c r="G43" s="356">
        <v>0.7708333333333334</v>
      </c>
      <c r="H43" s="344">
        <v>88.0</v>
      </c>
      <c r="I43" s="346">
        <f t="shared" ref="I43:I44" si="16">FLOOR(A43*H43/B43,1)</f>
        <v>831</v>
      </c>
      <c r="J43" s="354" t="s">
        <v>636</v>
      </c>
      <c r="M43" s="391">
        <f t="shared" si="12"/>
        <v>45600</v>
      </c>
      <c r="N43" s="391">
        <f t="shared" si="9"/>
        <v>45606</v>
      </c>
      <c r="O43" s="392">
        <f t="shared" si="10"/>
        <v>0</v>
      </c>
      <c r="P43" s="392">
        <f t="shared" si="11"/>
        <v>0</v>
      </c>
    </row>
    <row r="44">
      <c r="A44" s="344">
        <f t="shared" si="5"/>
        <v>850</v>
      </c>
      <c r="B44" s="344">
        <f t="shared" si="6"/>
        <v>90</v>
      </c>
      <c r="C44" s="393">
        <v>45427.0</v>
      </c>
      <c r="D44" s="389" t="str">
        <f t="shared" si="7"/>
        <v>Wednesday</v>
      </c>
      <c r="E44" s="344" t="s">
        <v>162</v>
      </c>
      <c r="F44" s="356">
        <v>0.7131944444444445</v>
      </c>
      <c r="G44" s="356">
        <v>0.7625</v>
      </c>
      <c r="H44" s="344">
        <f>60+11</f>
        <v>71</v>
      </c>
      <c r="I44" s="346">
        <f t="shared" si="16"/>
        <v>670</v>
      </c>
      <c r="J44" s="354" t="s">
        <v>636</v>
      </c>
      <c r="M44" s="391">
        <f t="shared" si="12"/>
        <v>45607</v>
      </c>
      <c r="N44" s="391">
        <f t="shared" si="9"/>
        <v>45613</v>
      </c>
      <c r="O44" s="392">
        <f t="shared" si="10"/>
        <v>0</v>
      </c>
      <c r="P44" s="392">
        <f t="shared" si="11"/>
        <v>0</v>
      </c>
    </row>
    <row r="45">
      <c r="A45" s="344">
        <f t="shared" si="5"/>
        <v>0</v>
      </c>
      <c r="B45" s="344">
        <f t="shared" si="6"/>
        <v>0</v>
      </c>
      <c r="C45" s="393">
        <v>45433.0</v>
      </c>
      <c r="D45" s="389" t="str">
        <f t="shared" si="7"/>
        <v>Tuesday</v>
      </c>
      <c r="E45" s="344"/>
      <c r="F45" s="344"/>
      <c r="G45" s="344"/>
      <c r="H45" s="344"/>
      <c r="I45" s="354">
        <v>1700.0</v>
      </c>
      <c r="J45" s="354" t="s">
        <v>68</v>
      </c>
      <c r="M45" s="391">
        <f t="shared" si="12"/>
        <v>45614</v>
      </c>
      <c r="N45" s="391">
        <f t="shared" si="9"/>
        <v>45620</v>
      </c>
      <c r="O45" s="392">
        <f t="shared" si="10"/>
        <v>0</v>
      </c>
      <c r="P45" s="392">
        <f t="shared" si="11"/>
        <v>0</v>
      </c>
    </row>
    <row r="46">
      <c r="A46" s="344">
        <f t="shared" si="5"/>
        <v>850</v>
      </c>
      <c r="B46" s="344">
        <f t="shared" si="6"/>
        <v>90</v>
      </c>
      <c r="C46" s="393">
        <v>45433.0</v>
      </c>
      <c r="D46" s="389" t="str">
        <f t="shared" si="7"/>
        <v>Tuesday</v>
      </c>
      <c r="E46" s="344" t="s">
        <v>162</v>
      </c>
      <c r="F46" s="356">
        <v>0.7083333333333334</v>
      </c>
      <c r="G46" s="356">
        <v>0.7729166666666667</v>
      </c>
      <c r="H46" s="344">
        <v>93.0</v>
      </c>
      <c r="I46" s="346">
        <f t="shared" ref="I46:I47" si="17">FLOOR(A46*H46/B46,1)</f>
        <v>878</v>
      </c>
      <c r="J46" s="354" t="s">
        <v>636</v>
      </c>
      <c r="M46" s="391">
        <f t="shared" si="12"/>
        <v>45621</v>
      </c>
      <c r="N46" s="391">
        <f t="shared" si="9"/>
        <v>45627</v>
      </c>
      <c r="O46" s="392">
        <f t="shared" si="10"/>
        <v>0</v>
      </c>
      <c r="P46" s="392">
        <f t="shared" si="11"/>
        <v>0</v>
      </c>
    </row>
    <row r="47">
      <c r="A47" s="344">
        <f t="shared" si="5"/>
        <v>850</v>
      </c>
      <c r="B47" s="344">
        <f t="shared" si="6"/>
        <v>90</v>
      </c>
      <c r="C47" s="393">
        <v>45435.0</v>
      </c>
      <c r="D47" s="389" t="str">
        <f t="shared" si="7"/>
        <v>Thursday</v>
      </c>
      <c r="E47" s="344" t="s">
        <v>162</v>
      </c>
      <c r="F47" s="356">
        <v>0.7083333333333334</v>
      </c>
      <c r="G47" s="356">
        <v>0.7854166666666667</v>
      </c>
      <c r="H47" s="344">
        <f>60+51</f>
        <v>111</v>
      </c>
      <c r="I47" s="346">
        <f t="shared" si="17"/>
        <v>1048</v>
      </c>
      <c r="J47" s="354" t="s">
        <v>636</v>
      </c>
      <c r="M47" s="391">
        <f t="shared" si="12"/>
        <v>45628</v>
      </c>
      <c r="N47" s="391">
        <f t="shared" si="9"/>
        <v>45634</v>
      </c>
      <c r="O47" s="392">
        <f t="shared" si="10"/>
        <v>0</v>
      </c>
      <c r="P47" s="392">
        <f t="shared" si="11"/>
        <v>0</v>
      </c>
    </row>
    <row r="48">
      <c r="A48" s="344">
        <f t="shared" si="5"/>
        <v>0</v>
      </c>
      <c r="B48" s="344">
        <f t="shared" si="6"/>
        <v>0</v>
      </c>
      <c r="C48" s="393">
        <v>45440.0</v>
      </c>
      <c r="D48" s="389" t="str">
        <f t="shared" si="7"/>
        <v>Tuesday</v>
      </c>
      <c r="E48" s="344"/>
      <c r="F48" s="367"/>
      <c r="G48" s="367"/>
      <c r="H48" s="395"/>
      <c r="I48" s="354">
        <v>1700.0</v>
      </c>
      <c r="J48" s="354" t="s">
        <v>68</v>
      </c>
      <c r="M48" s="391">
        <f t="shared" si="12"/>
        <v>45635</v>
      </c>
      <c r="N48" s="391">
        <f t="shared" si="9"/>
        <v>45641</v>
      </c>
      <c r="O48" s="392">
        <f t="shared" si="10"/>
        <v>0</v>
      </c>
      <c r="P48" s="392">
        <f t="shared" si="11"/>
        <v>0</v>
      </c>
    </row>
    <row r="49">
      <c r="A49" s="344">
        <f t="shared" si="5"/>
        <v>850</v>
      </c>
      <c r="B49" s="344">
        <f t="shared" si="6"/>
        <v>90</v>
      </c>
      <c r="C49" s="393">
        <v>45443.0</v>
      </c>
      <c r="D49" s="389" t="str">
        <f t="shared" si="7"/>
        <v>Friday</v>
      </c>
      <c r="E49" s="344" t="s">
        <v>162</v>
      </c>
      <c r="F49" s="356">
        <v>0.7083333333333334</v>
      </c>
      <c r="G49" s="356">
        <v>0.7777777777777778</v>
      </c>
      <c r="H49" s="344">
        <f>100</f>
        <v>100</v>
      </c>
      <c r="I49" s="346">
        <f>FLOOR(A49*H49/B49,1)</f>
        <v>944</v>
      </c>
      <c r="J49" s="354" t="s">
        <v>636</v>
      </c>
      <c r="M49" s="391">
        <f t="shared" si="12"/>
        <v>45642</v>
      </c>
      <c r="N49" s="391">
        <f t="shared" si="9"/>
        <v>45648</v>
      </c>
      <c r="O49" s="392">
        <f t="shared" si="10"/>
        <v>0</v>
      </c>
      <c r="P49" s="392">
        <f t="shared" si="11"/>
        <v>0</v>
      </c>
    </row>
    <row r="50">
      <c r="A50" s="344">
        <f t="shared" si="5"/>
        <v>0</v>
      </c>
      <c r="B50" s="344">
        <f t="shared" si="6"/>
        <v>0</v>
      </c>
      <c r="C50" s="393">
        <v>45447.0</v>
      </c>
      <c r="D50" s="389" t="str">
        <f t="shared" si="7"/>
        <v>Tuesday</v>
      </c>
      <c r="E50" s="344"/>
      <c r="F50" s="367"/>
      <c r="G50" s="367"/>
      <c r="H50" s="395"/>
      <c r="I50" s="354">
        <v>1275.0</v>
      </c>
      <c r="J50" s="354" t="s">
        <v>68</v>
      </c>
      <c r="M50" s="391">
        <f t="shared" si="12"/>
        <v>45649</v>
      </c>
      <c r="N50" s="391">
        <f t="shared" si="9"/>
        <v>45655</v>
      </c>
      <c r="O50" s="392">
        <f t="shared" si="10"/>
        <v>0</v>
      </c>
      <c r="P50" s="392">
        <f t="shared" si="11"/>
        <v>0</v>
      </c>
    </row>
    <row r="51">
      <c r="A51" s="344">
        <f t="shared" si="5"/>
        <v>850</v>
      </c>
      <c r="B51" s="344">
        <f t="shared" si="6"/>
        <v>90</v>
      </c>
      <c r="C51" s="393">
        <v>45448.0</v>
      </c>
      <c r="D51" s="389" t="str">
        <f t="shared" si="7"/>
        <v>Wednesday</v>
      </c>
      <c r="E51" s="344" t="s">
        <v>162</v>
      </c>
      <c r="F51" s="356">
        <v>0.7083333333333334</v>
      </c>
      <c r="G51" s="356">
        <v>0.7847222222222222</v>
      </c>
      <c r="H51" s="344">
        <f>60+50</f>
        <v>110</v>
      </c>
      <c r="I51" s="346">
        <f>FLOOR(A51*H51/B51,1)</f>
        <v>1038</v>
      </c>
      <c r="J51" s="354" t="s">
        <v>636</v>
      </c>
      <c r="M51" s="391">
        <f t="shared" si="12"/>
        <v>45656</v>
      </c>
      <c r="N51" s="391">
        <f t="shared" si="9"/>
        <v>45662</v>
      </c>
      <c r="O51" s="392">
        <f t="shared" si="10"/>
        <v>0</v>
      </c>
      <c r="P51" s="392">
        <f t="shared" si="11"/>
        <v>0</v>
      </c>
    </row>
    <row r="52">
      <c r="A52" s="344">
        <f t="shared" si="5"/>
        <v>0</v>
      </c>
      <c r="B52" s="344">
        <f t="shared" si="6"/>
        <v>0</v>
      </c>
      <c r="C52" s="393">
        <v>45454.0</v>
      </c>
      <c r="D52" s="389" t="str">
        <f t="shared" si="7"/>
        <v>Tuesday</v>
      </c>
      <c r="E52" s="344"/>
      <c r="F52" s="367"/>
      <c r="G52" s="367"/>
      <c r="H52" s="395"/>
      <c r="I52" s="354">
        <v>1275.0</v>
      </c>
      <c r="J52" s="354" t="s">
        <v>68</v>
      </c>
      <c r="M52" s="391">
        <f t="shared" si="12"/>
        <v>45663</v>
      </c>
      <c r="N52" s="391">
        <f t="shared" si="9"/>
        <v>45669</v>
      </c>
      <c r="O52" s="392">
        <f t="shared" si="10"/>
        <v>0</v>
      </c>
      <c r="P52" s="392">
        <f t="shared" si="11"/>
        <v>0</v>
      </c>
    </row>
    <row r="53">
      <c r="A53" s="344">
        <f t="shared" si="5"/>
        <v>850</v>
      </c>
      <c r="B53" s="344">
        <f t="shared" si="6"/>
        <v>90</v>
      </c>
      <c r="C53" s="396">
        <v>45456.0</v>
      </c>
      <c r="D53" s="389" t="str">
        <f t="shared" si="7"/>
        <v>Thursday</v>
      </c>
      <c r="E53" s="344" t="s">
        <v>162</v>
      </c>
      <c r="F53" s="397">
        <v>0.7083333333333334</v>
      </c>
      <c r="G53" s="398">
        <v>0.7604166666666666</v>
      </c>
      <c r="H53" s="399">
        <v>75.0</v>
      </c>
      <c r="I53" s="346">
        <f t="shared" ref="I53:I54" si="18">FLOOR(A53*H53/B53,1)</f>
        <v>708</v>
      </c>
      <c r="J53" s="354" t="s">
        <v>636</v>
      </c>
      <c r="M53" s="391">
        <f t="shared" si="12"/>
        <v>45670</v>
      </c>
      <c r="N53" s="391">
        <f t="shared" si="9"/>
        <v>45676</v>
      </c>
      <c r="O53" s="392">
        <f t="shared" si="10"/>
        <v>0</v>
      </c>
      <c r="P53" s="392">
        <f t="shared" si="11"/>
        <v>0</v>
      </c>
    </row>
    <row r="54">
      <c r="A54" s="344">
        <f t="shared" si="5"/>
        <v>850</v>
      </c>
      <c r="B54" s="344">
        <f t="shared" si="6"/>
        <v>90</v>
      </c>
      <c r="C54" s="400">
        <v>45457.0</v>
      </c>
      <c r="D54" s="389" t="str">
        <f t="shared" si="7"/>
        <v>Friday</v>
      </c>
      <c r="E54" s="344" t="s">
        <v>162</v>
      </c>
      <c r="F54" s="401">
        <v>0.7083333333333334</v>
      </c>
      <c r="G54" s="402">
        <v>0.71875</v>
      </c>
      <c r="H54" s="403">
        <v>15.0</v>
      </c>
      <c r="I54" s="346">
        <f t="shared" si="18"/>
        <v>141</v>
      </c>
      <c r="J54" s="354" t="s">
        <v>636</v>
      </c>
      <c r="M54" s="391">
        <f t="shared" si="12"/>
        <v>45677</v>
      </c>
      <c r="N54" s="391">
        <f t="shared" si="9"/>
        <v>45683</v>
      </c>
      <c r="O54" s="392">
        <f t="shared" si="10"/>
        <v>0</v>
      </c>
      <c r="P54" s="392">
        <f t="shared" si="11"/>
        <v>0</v>
      </c>
    </row>
    <row r="55">
      <c r="A55" s="344">
        <f t="shared" si="5"/>
        <v>0</v>
      </c>
      <c r="B55" s="344">
        <f t="shared" si="6"/>
        <v>0</v>
      </c>
      <c r="C55" s="404">
        <v>45461.0</v>
      </c>
      <c r="D55" s="389" t="str">
        <f t="shared" si="7"/>
        <v>Tuesday</v>
      </c>
      <c r="E55" s="344"/>
      <c r="F55" s="367"/>
      <c r="G55" s="367"/>
      <c r="H55" s="395"/>
      <c r="I55" s="354">
        <v>850.0</v>
      </c>
      <c r="J55" s="354" t="s">
        <v>68</v>
      </c>
      <c r="M55" s="391">
        <f t="shared" si="12"/>
        <v>45684</v>
      </c>
      <c r="N55" s="391">
        <f t="shared" si="9"/>
        <v>45690</v>
      </c>
      <c r="O55" s="392">
        <f t="shared" si="10"/>
        <v>0</v>
      </c>
      <c r="P55" s="392">
        <f t="shared" si="11"/>
        <v>0</v>
      </c>
    </row>
    <row r="56">
      <c r="A56" s="344">
        <f t="shared" si="5"/>
        <v>850</v>
      </c>
      <c r="B56" s="344">
        <f t="shared" si="6"/>
        <v>90</v>
      </c>
      <c r="C56" s="393">
        <v>45461.0</v>
      </c>
      <c r="D56" s="389" t="str">
        <f t="shared" si="7"/>
        <v>Tuesday</v>
      </c>
      <c r="E56" s="344" t="s">
        <v>162</v>
      </c>
      <c r="F56" s="356">
        <v>0.7083333333333334</v>
      </c>
      <c r="G56" s="356">
        <v>0.7479166666666667</v>
      </c>
      <c r="H56" s="344">
        <v>57.0</v>
      </c>
      <c r="I56" s="346">
        <f>FLOOR(A56*H56/B56,1)</f>
        <v>538</v>
      </c>
      <c r="J56" s="354" t="s">
        <v>636</v>
      </c>
      <c r="M56" s="391">
        <f t="shared" si="12"/>
        <v>45691</v>
      </c>
      <c r="N56" s="391">
        <f t="shared" si="9"/>
        <v>45697</v>
      </c>
      <c r="O56" s="392">
        <f t="shared" si="10"/>
        <v>0</v>
      </c>
      <c r="P56" s="392">
        <f t="shared" si="11"/>
        <v>0</v>
      </c>
    </row>
    <row r="57">
      <c r="A57" s="344">
        <f t="shared" si="5"/>
        <v>0</v>
      </c>
      <c r="B57" s="344">
        <f t="shared" si="6"/>
        <v>0</v>
      </c>
      <c r="C57" s="393">
        <v>45468.0</v>
      </c>
      <c r="D57" s="389" t="str">
        <f t="shared" si="7"/>
        <v>Tuesday</v>
      </c>
      <c r="E57" s="344"/>
      <c r="F57" s="367"/>
      <c r="G57" s="367"/>
      <c r="H57" s="395"/>
      <c r="I57" s="354">
        <v>850.0</v>
      </c>
      <c r="J57" s="354" t="s">
        <v>68</v>
      </c>
      <c r="M57" s="391">
        <f t="shared" si="12"/>
        <v>45698</v>
      </c>
      <c r="N57" s="391">
        <f t="shared" si="9"/>
        <v>45704</v>
      </c>
      <c r="O57" s="392">
        <f t="shared" si="10"/>
        <v>0</v>
      </c>
      <c r="P57" s="392">
        <f t="shared" si="11"/>
        <v>0</v>
      </c>
    </row>
    <row r="58">
      <c r="A58" s="344">
        <f t="shared" si="5"/>
        <v>850</v>
      </c>
      <c r="B58" s="344">
        <f t="shared" si="6"/>
        <v>90</v>
      </c>
      <c r="C58" s="393">
        <v>45469.0</v>
      </c>
      <c r="D58" s="389" t="str">
        <f t="shared" si="7"/>
        <v>Wednesday</v>
      </c>
      <c r="E58" s="344" t="s">
        <v>162</v>
      </c>
      <c r="F58" s="356">
        <v>0.7291666666666666</v>
      </c>
      <c r="G58" s="356">
        <v>0.7708333333333334</v>
      </c>
      <c r="H58" s="344">
        <v>60.0</v>
      </c>
      <c r="I58" s="346">
        <f>FLOOR(A58*H58/B58,1)</f>
        <v>566</v>
      </c>
      <c r="J58" s="354" t="s">
        <v>636</v>
      </c>
      <c r="M58" s="391">
        <f t="shared" si="12"/>
        <v>45705</v>
      </c>
      <c r="N58" s="391">
        <f t="shared" si="9"/>
        <v>45711</v>
      </c>
      <c r="O58" s="392">
        <f t="shared" si="10"/>
        <v>0</v>
      </c>
      <c r="P58" s="392">
        <f t="shared" si="11"/>
        <v>0</v>
      </c>
    </row>
    <row r="59">
      <c r="A59" s="344">
        <f t="shared" si="5"/>
        <v>0</v>
      </c>
      <c r="B59" s="344">
        <f t="shared" si="6"/>
        <v>0</v>
      </c>
      <c r="C59" s="393">
        <v>45475.0</v>
      </c>
      <c r="D59" s="389" t="str">
        <f t="shared" si="7"/>
        <v>Tuesday</v>
      </c>
      <c r="E59" s="344"/>
      <c r="F59" s="367"/>
      <c r="G59" s="367"/>
      <c r="H59" s="395"/>
      <c r="I59" s="354">
        <v>850.0</v>
      </c>
      <c r="J59" s="354" t="s">
        <v>68</v>
      </c>
      <c r="M59" s="391">
        <f t="shared" si="12"/>
        <v>45712</v>
      </c>
      <c r="N59" s="391">
        <f t="shared" si="9"/>
        <v>45718</v>
      </c>
      <c r="O59" s="392">
        <f t="shared" si="10"/>
        <v>0</v>
      </c>
      <c r="P59" s="392">
        <f t="shared" si="11"/>
        <v>0</v>
      </c>
    </row>
    <row r="60">
      <c r="A60" s="344">
        <f t="shared" si="5"/>
        <v>850</v>
      </c>
      <c r="B60" s="344">
        <f t="shared" si="6"/>
        <v>90</v>
      </c>
      <c r="C60" s="393">
        <v>45477.0</v>
      </c>
      <c r="D60" s="389" t="str">
        <f t="shared" si="7"/>
        <v>Thursday</v>
      </c>
      <c r="E60" s="344" t="s">
        <v>162</v>
      </c>
      <c r="F60" s="367">
        <v>0.7083333333333334</v>
      </c>
      <c r="G60" s="367">
        <v>0.7638888888888888</v>
      </c>
      <c r="H60" s="395">
        <v>80.0</v>
      </c>
      <c r="I60" s="346">
        <f>FLOOR(A60*H60/B60,1)</f>
        <v>755</v>
      </c>
      <c r="J60" s="354" t="s">
        <v>636</v>
      </c>
      <c r="M60" s="391">
        <f t="shared" si="12"/>
        <v>45719</v>
      </c>
      <c r="N60" s="391">
        <f t="shared" si="9"/>
        <v>45725</v>
      </c>
      <c r="O60" s="392">
        <f t="shared" si="10"/>
        <v>0</v>
      </c>
      <c r="P60" s="392">
        <f t="shared" si="11"/>
        <v>0</v>
      </c>
    </row>
    <row r="61">
      <c r="A61" s="344">
        <f t="shared" si="5"/>
        <v>0</v>
      </c>
      <c r="B61" s="344">
        <f t="shared" si="6"/>
        <v>0</v>
      </c>
      <c r="C61" s="393">
        <v>45482.0</v>
      </c>
      <c r="D61" s="389" t="str">
        <f t="shared" si="7"/>
        <v>Tuesday</v>
      </c>
      <c r="E61" s="344"/>
      <c r="F61" s="367"/>
      <c r="G61" s="367"/>
      <c r="H61" s="395"/>
      <c r="I61" s="354">
        <v>850.0</v>
      </c>
      <c r="J61" s="354" t="s">
        <v>68</v>
      </c>
      <c r="M61" s="391">
        <f t="shared" si="12"/>
        <v>45726</v>
      </c>
      <c r="N61" s="391">
        <f t="shared" si="9"/>
        <v>45732</v>
      </c>
      <c r="O61" s="392">
        <f t="shared" si="10"/>
        <v>1114</v>
      </c>
      <c r="P61" s="392">
        <f t="shared" si="11"/>
        <v>0</v>
      </c>
    </row>
    <row r="62">
      <c r="A62" s="344">
        <f t="shared" si="5"/>
        <v>850</v>
      </c>
      <c r="B62" s="344">
        <f t="shared" si="6"/>
        <v>90</v>
      </c>
      <c r="C62" s="361">
        <v>45482.0</v>
      </c>
      <c r="D62" s="389" t="str">
        <f t="shared" si="7"/>
        <v>Tuesday</v>
      </c>
      <c r="E62" s="344" t="s">
        <v>162</v>
      </c>
      <c r="F62" s="356">
        <v>0.7083333333333334</v>
      </c>
      <c r="G62" s="356">
        <v>0.7597222222222222</v>
      </c>
      <c r="H62" s="345">
        <v>74.0</v>
      </c>
      <c r="I62" s="346">
        <f t="shared" ref="I62:I63" si="19">FLOOR(A62*H62/B62,1)</f>
        <v>698</v>
      </c>
      <c r="J62" s="354" t="s">
        <v>636</v>
      </c>
      <c r="M62" s="391">
        <f t="shared" si="12"/>
        <v>45733</v>
      </c>
      <c r="N62" s="391">
        <f t="shared" si="9"/>
        <v>45739</v>
      </c>
      <c r="O62" s="392">
        <f t="shared" si="10"/>
        <v>4265</v>
      </c>
      <c r="P62" s="392">
        <f t="shared" si="11"/>
        <v>0</v>
      </c>
    </row>
    <row r="63">
      <c r="A63" s="344">
        <f t="shared" si="5"/>
        <v>850</v>
      </c>
      <c r="B63" s="344">
        <f t="shared" si="6"/>
        <v>90</v>
      </c>
      <c r="C63" s="368">
        <v>45489.0</v>
      </c>
      <c r="D63" s="389" t="str">
        <f t="shared" si="7"/>
        <v>Tuesday</v>
      </c>
      <c r="E63" s="344" t="s">
        <v>162</v>
      </c>
      <c r="F63" s="367">
        <v>0.7083333333333334</v>
      </c>
      <c r="G63" s="367">
        <v>0.7486111111111111</v>
      </c>
      <c r="H63" s="395">
        <v>58.0</v>
      </c>
      <c r="I63" s="346">
        <f t="shared" si="19"/>
        <v>547</v>
      </c>
      <c r="J63" s="354" t="s">
        <v>636</v>
      </c>
      <c r="M63" s="391">
        <f t="shared" si="12"/>
        <v>45740</v>
      </c>
      <c r="N63" s="391">
        <f t="shared" si="9"/>
        <v>45746</v>
      </c>
      <c r="O63" s="392">
        <f t="shared" si="10"/>
        <v>5515</v>
      </c>
      <c r="P63" s="392">
        <f t="shared" si="11"/>
        <v>5300</v>
      </c>
    </row>
    <row r="64">
      <c r="A64" s="344">
        <f t="shared" si="5"/>
        <v>0</v>
      </c>
      <c r="B64" s="344">
        <f t="shared" si="6"/>
        <v>0</v>
      </c>
      <c r="C64" s="368">
        <v>45489.0</v>
      </c>
      <c r="D64" s="389" t="str">
        <f t="shared" si="7"/>
        <v>Tuesday</v>
      </c>
      <c r="E64" s="344"/>
      <c r="F64" s="370"/>
      <c r="G64" s="370"/>
      <c r="H64" s="357"/>
      <c r="I64" s="354">
        <v>850.0</v>
      </c>
      <c r="J64" s="354" t="s">
        <v>68</v>
      </c>
      <c r="M64" s="391">
        <f t="shared" si="12"/>
        <v>45747</v>
      </c>
      <c r="N64" s="391">
        <f t="shared" si="9"/>
        <v>45753</v>
      </c>
      <c r="O64" s="392">
        <f t="shared" si="10"/>
        <v>9791</v>
      </c>
      <c r="P64" s="392">
        <f t="shared" si="11"/>
        <v>5225</v>
      </c>
    </row>
    <row r="65">
      <c r="A65" s="344">
        <f t="shared" si="5"/>
        <v>850</v>
      </c>
      <c r="B65" s="344">
        <f t="shared" si="6"/>
        <v>90</v>
      </c>
      <c r="C65" s="368">
        <v>45490.0</v>
      </c>
      <c r="D65" s="389" t="str">
        <f t="shared" si="7"/>
        <v>Wednesday</v>
      </c>
      <c r="E65" s="344" t="s">
        <v>162</v>
      </c>
      <c r="F65" s="367">
        <v>0.7083333333333334</v>
      </c>
      <c r="G65" s="367">
        <v>0.7777777777777778</v>
      </c>
      <c r="H65" s="395">
        <v>100.0</v>
      </c>
      <c r="I65" s="346">
        <f t="shared" ref="I65:I66" si="20">FLOOR(A65*H65/B65,1)</f>
        <v>944</v>
      </c>
      <c r="J65" s="354" t="s">
        <v>636</v>
      </c>
      <c r="M65" s="360">
        <f t="shared" si="12"/>
        <v>45754</v>
      </c>
      <c r="N65" s="360">
        <f t="shared" si="9"/>
        <v>45760</v>
      </c>
      <c r="O65" s="2">
        <f t="shared" si="10"/>
        <v>4514</v>
      </c>
      <c r="P65" s="2">
        <f t="shared" si="11"/>
        <v>9700</v>
      </c>
    </row>
    <row r="66">
      <c r="A66" s="344">
        <f t="shared" si="5"/>
        <v>850</v>
      </c>
      <c r="B66" s="344">
        <f t="shared" si="6"/>
        <v>90</v>
      </c>
      <c r="C66" s="368">
        <v>45492.0</v>
      </c>
      <c r="D66" s="389" t="str">
        <f t="shared" si="7"/>
        <v>Friday</v>
      </c>
      <c r="E66" s="344" t="s">
        <v>162</v>
      </c>
      <c r="F66" s="367">
        <v>0.7083333333333334</v>
      </c>
      <c r="G66" s="367">
        <v>0.7611111111111111</v>
      </c>
      <c r="H66" s="395">
        <v>76.0</v>
      </c>
      <c r="I66" s="346">
        <f t="shared" si="20"/>
        <v>717</v>
      </c>
      <c r="J66" s="354" t="s">
        <v>636</v>
      </c>
      <c r="M66" s="360">
        <f t="shared" si="12"/>
        <v>45761</v>
      </c>
      <c r="N66" s="360">
        <f t="shared" si="9"/>
        <v>45767</v>
      </c>
      <c r="O66" s="2">
        <f t="shared" si="10"/>
        <v>6156</v>
      </c>
      <c r="P66" s="2">
        <f t="shared" si="11"/>
        <v>4500</v>
      </c>
    </row>
    <row r="67">
      <c r="A67" s="344">
        <f t="shared" si="5"/>
        <v>0</v>
      </c>
      <c r="B67" s="344">
        <f t="shared" si="6"/>
        <v>0</v>
      </c>
      <c r="C67" s="368">
        <v>45496.0</v>
      </c>
      <c r="D67" s="389" t="str">
        <f t="shared" si="7"/>
        <v>Tuesday</v>
      </c>
      <c r="E67" s="344"/>
      <c r="F67" s="370"/>
      <c r="G67" s="370"/>
      <c r="H67" s="357"/>
      <c r="I67" s="354">
        <v>2550.0</v>
      </c>
      <c r="J67" s="354" t="s">
        <v>68</v>
      </c>
      <c r="M67" s="360">
        <f t="shared" si="12"/>
        <v>45768</v>
      </c>
      <c r="N67" s="360">
        <f t="shared" si="9"/>
        <v>45774</v>
      </c>
      <c r="O67" s="2">
        <f t="shared" si="10"/>
        <v>0</v>
      </c>
      <c r="P67" s="2">
        <f t="shared" si="11"/>
        <v>0</v>
      </c>
    </row>
    <row r="68">
      <c r="A68" s="344">
        <f t="shared" si="5"/>
        <v>850</v>
      </c>
      <c r="B68" s="344">
        <f t="shared" si="6"/>
        <v>90</v>
      </c>
      <c r="C68" s="368">
        <v>45496.0</v>
      </c>
      <c r="D68" s="389" t="str">
        <f t="shared" si="7"/>
        <v>Tuesday</v>
      </c>
      <c r="E68" s="344" t="s">
        <v>162</v>
      </c>
      <c r="F68" s="367">
        <v>0.7083333333333334</v>
      </c>
      <c r="G68" s="367">
        <v>0.7708333333333334</v>
      </c>
      <c r="H68" s="357">
        <f t="shared" ref="H68:H122" si="21">(G68-F68)*1440</f>
        <v>90</v>
      </c>
      <c r="I68" s="346">
        <f t="shared" ref="I68:I75" si="22">FLOOR(A68*H68/B68,1)</f>
        <v>850</v>
      </c>
      <c r="J68" s="354" t="s">
        <v>636</v>
      </c>
      <c r="M68" s="360">
        <f t="shared" si="12"/>
        <v>45775</v>
      </c>
      <c r="N68" s="360">
        <f t="shared" si="9"/>
        <v>45781</v>
      </c>
      <c r="O68" s="2">
        <f t="shared" si="10"/>
        <v>0</v>
      </c>
      <c r="P68" s="2">
        <f t="shared" si="11"/>
        <v>0</v>
      </c>
    </row>
    <row r="69">
      <c r="A69" s="344">
        <f t="shared" si="5"/>
        <v>1100</v>
      </c>
      <c r="B69" s="344">
        <f t="shared" si="6"/>
        <v>120</v>
      </c>
      <c r="C69" s="368">
        <v>45497.0</v>
      </c>
      <c r="D69" s="389" t="str">
        <f t="shared" si="7"/>
        <v>Wednesday</v>
      </c>
      <c r="E69" s="344" t="s">
        <v>637</v>
      </c>
      <c r="F69" s="367">
        <v>0.2916666666666667</v>
      </c>
      <c r="G69" s="367">
        <v>0.3333333333333333</v>
      </c>
      <c r="H69" s="357">
        <f t="shared" si="21"/>
        <v>60</v>
      </c>
      <c r="I69" s="346">
        <f t="shared" si="22"/>
        <v>550</v>
      </c>
      <c r="J69" s="354" t="s">
        <v>636</v>
      </c>
      <c r="M69" s="360">
        <f t="shared" si="12"/>
        <v>45782</v>
      </c>
      <c r="N69" s="360">
        <f t="shared" si="9"/>
        <v>45788</v>
      </c>
      <c r="O69" s="2">
        <f t="shared" si="10"/>
        <v>0</v>
      </c>
      <c r="P69" s="2">
        <f t="shared" si="11"/>
        <v>0</v>
      </c>
    </row>
    <row r="70">
      <c r="A70" s="344">
        <f t="shared" si="5"/>
        <v>850</v>
      </c>
      <c r="B70" s="344">
        <f t="shared" si="6"/>
        <v>90</v>
      </c>
      <c r="C70" s="368">
        <v>45498.0</v>
      </c>
      <c r="D70" s="389" t="str">
        <f t="shared" si="7"/>
        <v>Thursday</v>
      </c>
      <c r="E70" s="344" t="s">
        <v>162</v>
      </c>
      <c r="F70" s="367">
        <v>0.7083333333333334</v>
      </c>
      <c r="G70" s="367">
        <v>0.7708333333333334</v>
      </c>
      <c r="H70" s="357">
        <f t="shared" si="21"/>
        <v>90</v>
      </c>
      <c r="I70" s="346">
        <f t="shared" si="22"/>
        <v>850</v>
      </c>
      <c r="J70" s="354" t="s">
        <v>636</v>
      </c>
      <c r="M70" s="360">
        <f t="shared" si="12"/>
        <v>45789</v>
      </c>
      <c r="N70" s="360">
        <f t="shared" si="9"/>
        <v>45795</v>
      </c>
      <c r="O70" s="2">
        <f t="shared" si="10"/>
        <v>0</v>
      </c>
      <c r="P70" s="2">
        <f t="shared" si="11"/>
        <v>0</v>
      </c>
    </row>
    <row r="71">
      <c r="A71" s="344">
        <f t="shared" si="5"/>
        <v>1100</v>
      </c>
      <c r="B71" s="344">
        <f t="shared" si="6"/>
        <v>120</v>
      </c>
      <c r="C71" s="368">
        <v>45499.0</v>
      </c>
      <c r="D71" s="389" t="str">
        <f t="shared" si="7"/>
        <v>Friday</v>
      </c>
      <c r="E71" s="344" t="s">
        <v>637</v>
      </c>
      <c r="F71" s="367">
        <v>0.2673611111111111</v>
      </c>
      <c r="G71" s="367">
        <v>0.3506944444444444</v>
      </c>
      <c r="H71" s="357">
        <f t="shared" si="21"/>
        <v>120</v>
      </c>
      <c r="I71" s="346">
        <f t="shared" si="22"/>
        <v>1100</v>
      </c>
      <c r="J71" s="354" t="s">
        <v>636</v>
      </c>
      <c r="M71" s="360">
        <f t="shared" si="12"/>
        <v>45796</v>
      </c>
      <c r="N71" s="360">
        <f t="shared" si="9"/>
        <v>45802</v>
      </c>
      <c r="O71" s="2">
        <f t="shared" si="10"/>
        <v>0</v>
      </c>
      <c r="P71" s="2">
        <f t="shared" si="11"/>
        <v>0</v>
      </c>
    </row>
    <row r="72">
      <c r="A72" s="344">
        <f t="shared" si="5"/>
        <v>850</v>
      </c>
      <c r="B72" s="344">
        <f t="shared" si="6"/>
        <v>90</v>
      </c>
      <c r="C72" s="368">
        <v>45499.0</v>
      </c>
      <c r="D72" s="389" t="str">
        <f t="shared" si="7"/>
        <v>Friday</v>
      </c>
      <c r="E72" s="344" t="s">
        <v>162</v>
      </c>
      <c r="F72" s="367">
        <v>0.7083333333333334</v>
      </c>
      <c r="G72" s="367">
        <v>0.7777777777777778</v>
      </c>
      <c r="H72" s="357">
        <f t="shared" si="21"/>
        <v>100</v>
      </c>
      <c r="I72" s="346">
        <f t="shared" si="22"/>
        <v>944</v>
      </c>
      <c r="J72" s="354" t="s">
        <v>636</v>
      </c>
      <c r="M72" s="360">
        <f t="shared" si="12"/>
        <v>45803</v>
      </c>
      <c r="N72" s="360">
        <f t="shared" si="9"/>
        <v>45809</v>
      </c>
      <c r="O72" s="2">
        <f t="shared" si="10"/>
        <v>2550</v>
      </c>
      <c r="P72" s="2">
        <f t="shared" si="11"/>
        <v>0</v>
      </c>
    </row>
    <row r="73">
      <c r="A73" s="344">
        <f t="shared" si="5"/>
        <v>850</v>
      </c>
      <c r="B73" s="344">
        <f t="shared" si="6"/>
        <v>90</v>
      </c>
      <c r="C73" s="368">
        <v>45499.0</v>
      </c>
      <c r="D73" s="389" t="str">
        <f t="shared" si="7"/>
        <v>Friday</v>
      </c>
      <c r="E73" s="344" t="s">
        <v>162</v>
      </c>
      <c r="F73" s="367">
        <v>0.8125</v>
      </c>
      <c r="G73" s="367">
        <v>0.8506944444444444</v>
      </c>
      <c r="H73" s="357">
        <f t="shared" si="21"/>
        <v>55</v>
      </c>
      <c r="I73" s="346">
        <f t="shared" si="22"/>
        <v>519</v>
      </c>
      <c r="J73" s="354" t="s">
        <v>636</v>
      </c>
      <c r="M73" s="360">
        <f t="shared" si="12"/>
        <v>45810</v>
      </c>
      <c r="N73" s="360">
        <f t="shared" si="9"/>
        <v>45816</v>
      </c>
      <c r="O73" s="2">
        <f t="shared" si="10"/>
        <v>2975</v>
      </c>
      <c r="P73" s="2">
        <f t="shared" si="11"/>
        <v>2550</v>
      </c>
    </row>
    <row r="74">
      <c r="A74" s="344">
        <f t="shared" si="5"/>
        <v>850</v>
      </c>
      <c r="B74" s="344">
        <f t="shared" si="6"/>
        <v>90</v>
      </c>
      <c r="C74" s="368">
        <v>45500.0</v>
      </c>
      <c r="D74" s="389" t="str">
        <f t="shared" si="7"/>
        <v>Saturday</v>
      </c>
      <c r="E74" s="344" t="s">
        <v>162</v>
      </c>
      <c r="F74" s="367">
        <v>0.2708333333333333</v>
      </c>
      <c r="G74" s="367">
        <v>0.40625</v>
      </c>
      <c r="H74" s="357">
        <f t="shared" si="21"/>
        <v>195</v>
      </c>
      <c r="I74" s="346">
        <f t="shared" si="22"/>
        <v>1841</v>
      </c>
      <c r="J74" s="354" t="s">
        <v>636</v>
      </c>
      <c r="M74" s="360">
        <f t="shared" si="12"/>
        <v>45817</v>
      </c>
      <c r="N74" s="360">
        <f t="shared" si="9"/>
        <v>45823</v>
      </c>
      <c r="O74" s="2">
        <f t="shared" si="10"/>
        <v>850</v>
      </c>
      <c r="P74" s="2">
        <f t="shared" si="11"/>
        <v>0</v>
      </c>
    </row>
    <row r="75">
      <c r="A75" s="344">
        <f t="shared" si="5"/>
        <v>1100</v>
      </c>
      <c r="B75" s="344">
        <f t="shared" si="6"/>
        <v>120</v>
      </c>
      <c r="C75" s="368">
        <v>45503.0</v>
      </c>
      <c r="D75" s="389" t="str">
        <f t="shared" si="7"/>
        <v>Tuesday</v>
      </c>
      <c r="E75" s="344" t="s">
        <v>637</v>
      </c>
      <c r="F75" s="367">
        <v>0.2604166666666667</v>
      </c>
      <c r="G75" s="367">
        <v>0.3020833333333333</v>
      </c>
      <c r="H75" s="357">
        <f t="shared" si="21"/>
        <v>60</v>
      </c>
      <c r="I75" s="346">
        <f t="shared" si="22"/>
        <v>550</v>
      </c>
      <c r="J75" s="354" t="s">
        <v>636</v>
      </c>
      <c r="M75" s="360">
        <f t="shared" si="12"/>
        <v>45824</v>
      </c>
      <c r="N75" s="360">
        <f t="shared" si="9"/>
        <v>45830</v>
      </c>
      <c r="O75" s="2">
        <f t="shared" si="10"/>
        <v>0</v>
      </c>
      <c r="P75" s="2">
        <f t="shared" si="11"/>
        <v>0</v>
      </c>
    </row>
    <row r="76">
      <c r="A76" s="344">
        <f t="shared" si="5"/>
        <v>0</v>
      </c>
      <c r="B76" s="344">
        <f t="shared" si="6"/>
        <v>0</v>
      </c>
      <c r="C76" s="368">
        <v>45503.0</v>
      </c>
      <c r="D76" s="389" t="str">
        <f t="shared" si="7"/>
        <v>Tuesday</v>
      </c>
      <c r="E76" s="344"/>
      <c r="F76" s="370"/>
      <c r="G76" s="370"/>
      <c r="H76" s="357">
        <f t="shared" si="21"/>
        <v>0</v>
      </c>
      <c r="I76" s="354">
        <v>6700.0</v>
      </c>
      <c r="J76" s="354" t="s">
        <v>68</v>
      </c>
      <c r="M76" s="360">
        <f t="shared" si="12"/>
        <v>45831</v>
      </c>
      <c r="N76" s="360">
        <f t="shared" si="9"/>
        <v>45837</v>
      </c>
      <c r="O76" s="2">
        <f t="shared" si="10"/>
        <v>3682</v>
      </c>
      <c r="P76" s="2">
        <f t="shared" si="11"/>
        <v>0</v>
      </c>
    </row>
    <row r="77">
      <c r="A77" s="344">
        <f t="shared" si="5"/>
        <v>850</v>
      </c>
      <c r="B77" s="344">
        <f t="shared" si="6"/>
        <v>90</v>
      </c>
      <c r="C77" s="368">
        <v>45503.0</v>
      </c>
      <c r="D77" s="389" t="str">
        <f t="shared" si="7"/>
        <v>Tuesday</v>
      </c>
      <c r="E77" s="344" t="s">
        <v>162</v>
      </c>
      <c r="F77" s="367">
        <v>0.7083333333333334</v>
      </c>
      <c r="G77" s="367">
        <v>0.7708333333333334</v>
      </c>
      <c r="H77" s="357">
        <f t="shared" si="21"/>
        <v>90</v>
      </c>
      <c r="I77" s="346">
        <f t="shared" ref="I77:I78" si="23">FLOOR(A77*H77/B77,1)</f>
        <v>850</v>
      </c>
      <c r="J77" s="354" t="s">
        <v>636</v>
      </c>
      <c r="M77" s="360">
        <f t="shared" si="12"/>
        <v>45838</v>
      </c>
      <c r="N77" s="360">
        <f t="shared" si="9"/>
        <v>45844</v>
      </c>
      <c r="O77" s="2">
        <f t="shared" si="10"/>
        <v>0</v>
      </c>
      <c r="P77" s="2">
        <f t="shared" si="11"/>
        <v>0</v>
      </c>
    </row>
    <row r="78">
      <c r="A78" s="344">
        <f t="shared" si="5"/>
        <v>850</v>
      </c>
      <c r="B78" s="344">
        <f t="shared" si="6"/>
        <v>90</v>
      </c>
      <c r="C78" s="368">
        <v>45505.0</v>
      </c>
      <c r="D78" s="389" t="str">
        <f t="shared" si="7"/>
        <v>Thursday</v>
      </c>
      <c r="E78" s="344" t="s">
        <v>162</v>
      </c>
      <c r="F78" s="367">
        <v>0.7083333333333334</v>
      </c>
      <c r="G78" s="367">
        <v>0.75</v>
      </c>
      <c r="H78" s="357">
        <f t="shared" si="21"/>
        <v>60</v>
      </c>
      <c r="I78" s="346">
        <f t="shared" si="23"/>
        <v>566</v>
      </c>
      <c r="J78" s="354" t="s">
        <v>636</v>
      </c>
      <c r="M78" s="360">
        <f t="shared" si="12"/>
        <v>45845</v>
      </c>
      <c r="N78" s="360">
        <f t="shared" si="9"/>
        <v>45851</v>
      </c>
      <c r="O78" s="2">
        <f t="shared" si="10"/>
        <v>0</v>
      </c>
      <c r="P78" s="2">
        <f t="shared" si="11"/>
        <v>0</v>
      </c>
    </row>
    <row r="79">
      <c r="A79" s="344">
        <f t="shared" si="5"/>
        <v>0</v>
      </c>
      <c r="B79" s="344">
        <f t="shared" si="6"/>
        <v>0</v>
      </c>
      <c r="C79" s="368">
        <v>45510.0</v>
      </c>
      <c r="D79" s="389" t="str">
        <f t="shared" si="7"/>
        <v>Tuesday</v>
      </c>
      <c r="E79" s="344"/>
      <c r="F79" s="370"/>
      <c r="G79" s="370"/>
      <c r="H79" s="357">
        <f t="shared" si="21"/>
        <v>0</v>
      </c>
      <c r="I79" s="354">
        <v>2250.0</v>
      </c>
      <c r="J79" s="354" t="s">
        <v>68</v>
      </c>
      <c r="M79" s="360">
        <f t="shared" si="12"/>
        <v>45852</v>
      </c>
      <c r="N79" s="360">
        <f t="shared" si="9"/>
        <v>45858</v>
      </c>
      <c r="O79" s="2">
        <f t="shared" si="10"/>
        <v>0</v>
      </c>
      <c r="P79" s="2">
        <f t="shared" si="11"/>
        <v>0</v>
      </c>
    </row>
    <row r="80">
      <c r="A80" s="344">
        <f t="shared" si="5"/>
        <v>850</v>
      </c>
      <c r="B80" s="344">
        <f t="shared" si="6"/>
        <v>90</v>
      </c>
      <c r="C80" s="368">
        <v>45512.0</v>
      </c>
      <c r="D80" s="389" t="str">
        <f t="shared" si="7"/>
        <v>Thursday</v>
      </c>
      <c r="E80" s="344" t="s">
        <v>162</v>
      </c>
      <c r="F80" s="367">
        <v>0.7083333333333334</v>
      </c>
      <c r="G80" s="367">
        <v>0.7673611111111112</v>
      </c>
      <c r="H80" s="357">
        <f t="shared" si="21"/>
        <v>85</v>
      </c>
      <c r="I80" s="346">
        <f t="shared" ref="I80:I88" si="24">FLOOR(A80*H80/B80,1)</f>
        <v>802</v>
      </c>
      <c r="J80" s="354" t="s">
        <v>636</v>
      </c>
      <c r="M80" s="360">
        <f t="shared" si="12"/>
        <v>45859</v>
      </c>
      <c r="N80" s="360">
        <f t="shared" si="9"/>
        <v>45865</v>
      </c>
      <c r="O80" s="2">
        <f t="shared" si="10"/>
        <v>0</v>
      </c>
      <c r="P80" s="2">
        <f t="shared" si="11"/>
        <v>0</v>
      </c>
    </row>
    <row r="81">
      <c r="A81" s="344">
        <f t="shared" si="5"/>
        <v>1950</v>
      </c>
      <c r="B81" s="344">
        <f t="shared" si="6"/>
        <v>210</v>
      </c>
      <c r="C81" s="368">
        <v>45730.0</v>
      </c>
      <c r="D81" s="389" t="str">
        <f t="shared" si="7"/>
        <v>Friday</v>
      </c>
      <c r="E81" s="344" t="s">
        <v>554</v>
      </c>
      <c r="F81" s="367">
        <v>0.3125</v>
      </c>
      <c r="G81" s="367">
        <v>0.3958333333333333</v>
      </c>
      <c r="H81" s="357">
        <f t="shared" si="21"/>
        <v>120</v>
      </c>
      <c r="I81" s="346">
        <f t="shared" si="24"/>
        <v>1114</v>
      </c>
      <c r="J81" s="354" t="s">
        <v>636</v>
      </c>
      <c r="M81" s="360">
        <f t="shared" si="12"/>
        <v>45866</v>
      </c>
      <c r="N81" s="360">
        <f t="shared" si="9"/>
        <v>45872</v>
      </c>
      <c r="O81" s="2">
        <f t="shared" si="10"/>
        <v>0</v>
      </c>
      <c r="P81" s="2">
        <f t="shared" si="11"/>
        <v>0</v>
      </c>
    </row>
    <row r="82">
      <c r="A82" s="344">
        <f t="shared" si="5"/>
        <v>850</v>
      </c>
      <c r="B82" s="344">
        <f t="shared" si="6"/>
        <v>90</v>
      </c>
      <c r="C82" s="368">
        <v>45733.0</v>
      </c>
      <c r="D82" s="389" t="str">
        <f t="shared" si="7"/>
        <v>Monday</v>
      </c>
      <c r="E82" s="344" t="s">
        <v>162</v>
      </c>
      <c r="F82" s="367">
        <v>0.7916666666666666</v>
      </c>
      <c r="G82" s="367">
        <v>0.8333333333333334</v>
      </c>
      <c r="H82" s="357">
        <f t="shared" si="21"/>
        <v>60</v>
      </c>
      <c r="I82" s="346">
        <f t="shared" si="24"/>
        <v>566</v>
      </c>
      <c r="J82" s="354" t="s">
        <v>636</v>
      </c>
      <c r="M82" s="360">
        <f t="shared" si="12"/>
        <v>45873</v>
      </c>
      <c r="N82" s="360">
        <f t="shared" si="9"/>
        <v>45879</v>
      </c>
      <c r="O82" s="2">
        <f t="shared" si="10"/>
        <v>0</v>
      </c>
      <c r="P82" s="2">
        <f t="shared" si="11"/>
        <v>0</v>
      </c>
    </row>
    <row r="83">
      <c r="A83" s="344">
        <f t="shared" si="5"/>
        <v>850</v>
      </c>
      <c r="B83" s="344">
        <f t="shared" si="6"/>
        <v>90</v>
      </c>
      <c r="C83" s="368">
        <v>45733.0</v>
      </c>
      <c r="D83" s="389" t="str">
        <f t="shared" si="7"/>
        <v>Monday</v>
      </c>
      <c r="E83" s="344" t="s">
        <v>162</v>
      </c>
      <c r="F83" s="367">
        <v>0.8472222222222222</v>
      </c>
      <c r="G83" s="367">
        <v>0.875</v>
      </c>
      <c r="H83" s="357">
        <f t="shared" si="21"/>
        <v>40</v>
      </c>
      <c r="I83" s="346">
        <f t="shared" si="24"/>
        <v>377</v>
      </c>
      <c r="J83" s="354" t="s">
        <v>636</v>
      </c>
      <c r="M83" s="360">
        <f t="shared" si="12"/>
        <v>45880</v>
      </c>
      <c r="N83" s="360">
        <f t="shared" si="9"/>
        <v>45886</v>
      </c>
      <c r="O83" s="2">
        <f t="shared" si="10"/>
        <v>1700</v>
      </c>
      <c r="P83" s="2">
        <f t="shared" si="11"/>
        <v>0</v>
      </c>
    </row>
    <row r="84">
      <c r="A84" s="344">
        <f t="shared" si="5"/>
        <v>850</v>
      </c>
      <c r="B84" s="344">
        <f t="shared" si="6"/>
        <v>90</v>
      </c>
      <c r="C84" s="368">
        <v>45734.0</v>
      </c>
      <c r="D84" s="389" t="str">
        <f t="shared" si="7"/>
        <v>Tuesday</v>
      </c>
      <c r="E84" s="344" t="s">
        <v>162</v>
      </c>
      <c r="F84" s="367">
        <v>0.7083333333333334</v>
      </c>
      <c r="G84" s="367">
        <v>0.7638888888888888</v>
      </c>
      <c r="H84" s="357">
        <f t="shared" si="21"/>
        <v>80</v>
      </c>
      <c r="I84" s="346">
        <f t="shared" si="24"/>
        <v>755</v>
      </c>
      <c r="J84" s="354" t="s">
        <v>636</v>
      </c>
      <c r="M84" s="360">
        <f t="shared" si="12"/>
        <v>45887</v>
      </c>
      <c r="N84" s="360">
        <f t="shared" si="9"/>
        <v>45893</v>
      </c>
      <c r="O84" s="2">
        <f t="shared" si="10"/>
        <v>0</v>
      </c>
      <c r="P84" s="2">
        <f t="shared" si="11"/>
        <v>0</v>
      </c>
    </row>
    <row r="85">
      <c r="A85" s="344">
        <f t="shared" si="5"/>
        <v>850</v>
      </c>
      <c r="B85" s="344">
        <f t="shared" si="6"/>
        <v>90</v>
      </c>
      <c r="C85" s="368">
        <v>45735.0</v>
      </c>
      <c r="D85" s="389" t="str">
        <f t="shared" si="7"/>
        <v>Wednesday</v>
      </c>
      <c r="E85" s="344" t="s">
        <v>162</v>
      </c>
      <c r="F85" s="367">
        <v>0.7083333333333334</v>
      </c>
      <c r="G85" s="367">
        <v>0.7708333333333334</v>
      </c>
      <c r="H85" s="357">
        <f t="shared" si="21"/>
        <v>90</v>
      </c>
      <c r="I85" s="346">
        <f t="shared" si="24"/>
        <v>850</v>
      </c>
      <c r="J85" s="354" t="s">
        <v>636</v>
      </c>
      <c r="M85" s="360">
        <f t="shared" si="12"/>
        <v>45894</v>
      </c>
      <c r="N85" s="360">
        <f t="shared" si="9"/>
        <v>45900</v>
      </c>
      <c r="O85" s="2">
        <f t="shared" si="10"/>
        <v>0</v>
      </c>
      <c r="P85" s="2">
        <f t="shared" si="11"/>
        <v>0</v>
      </c>
    </row>
    <row r="86">
      <c r="A86" s="344">
        <f t="shared" si="5"/>
        <v>1950</v>
      </c>
      <c r="B86" s="344">
        <f t="shared" si="6"/>
        <v>210</v>
      </c>
      <c r="C86" s="368">
        <v>45737.0</v>
      </c>
      <c r="D86" s="389" t="str">
        <f t="shared" si="7"/>
        <v>Friday</v>
      </c>
      <c r="E86" s="344" t="s">
        <v>554</v>
      </c>
      <c r="F86" s="367">
        <v>0.2972222222222222</v>
      </c>
      <c r="G86" s="367">
        <v>0.42569444444444443</v>
      </c>
      <c r="H86" s="357">
        <f t="shared" si="21"/>
        <v>185</v>
      </c>
      <c r="I86" s="346">
        <f t="shared" si="24"/>
        <v>1717</v>
      </c>
      <c r="J86" s="354" t="s">
        <v>636</v>
      </c>
      <c r="M86" s="360">
        <f t="shared" si="12"/>
        <v>45901</v>
      </c>
      <c r="N86" s="360">
        <f t="shared" si="9"/>
        <v>45907</v>
      </c>
      <c r="O86" s="2">
        <f t="shared" si="10"/>
        <v>0</v>
      </c>
      <c r="P86" s="2">
        <f t="shared" si="11"/>
        <v>0</v>
      </c>
    </row>
    <row r="87">
      <c r="A87" s="344">
        <f t="shared" si="5"/>
        <v>850</v>
      </c>
      <c r="B87" s="344">
        <f t="shared" si="6"/>
        <v>90</v>
      </c>
      <c r="C87" s="368">
        <v>45740.0</v>
      </c>
      <c r="D87" s="389" t="str">
        <f t="shared" si="7"/>
        <v>Monday</v>
      </c>
      <c r="E87" s="344" t="s">
        <v>162</v>
      </c>
      <c r="F87" s="367">
        <v>0.7083333333333334</v>
      </c>
      <c r="G87" s="367">
        <v>0.7708333333333334</v>
      </c>
      <c r="H87" s="357">
        <f t="shared" si="21"/>
        <v>90</v>
      </c>
      <c r="I87" s="346">
        <f t="shared" si="24"/>
        <v>850</v>
      </c>
      <c r="J87" s="354" t="s">
        <v>636</v>
      </c>
      <c r="K87" s="6" t="s">
        <v>644</v>
      </c>
      <c r="M87" s="360">
        <f t="shared" si="12"/>
        <v>45908</v>
      </c>
      <c r="N87" s="360">
        <f t="shared" si="9"/>
        <v>45914</v>
      </c>
      <c r="O87" s="2">
        <f t="shared" si="10"/>
        <v>0</v>
      </c>
      <c r="P87" s="2">
        <f t="shared" si="11"/>
        <v>0</v>
      </c>
    </row>
    <row r="88">
      <c r="A88" s="344">
        <f t="shared" si="5"/>
        <v>850</v>
      </c>
      <c r="B88" s="344">
        <f t="shared" si="6"/>
        <v>90</v>
      </c>
      <c r="C88" s="368">
        <v>45741.0</v>
      </c>
      <c r="D88" s="389" t="str">
        <f t="shared" si="7"/>
        <v>Tuesday</v>
      </c>
      <c r="E88" s="344" t="s">
        <v>162</v>
      </c>
      <c r="F88" s="367">
        <v>0.7083333333333334</v>
      </c>
      <c r="G88" s="367">
        <v>0.7708333333333334</v>
      </c>
      <c r="H88" s="357">
        <f t="shared" si="21"/>
        <v>90</v>
      </c>
      <c r="I88" s="346">
        <f t="shared" si="24"/>
        <v>850</v>
      </c>
      <c r="J88" s="354" t="s">
        <v>636</v>
      </c>
      <c r="M88" s="360">
        <f t="shared" si="12"/>
        <v>45915</v>
      </c>
      <c r="N88" s="360">
        <f t="shared" si="9"/>
        <v>45921</v>
      </c>
      <c r="O88" s="2">
        <f t="shared" si="10"/>
        <v>2550</v>
      </c>
      <c r="P88" s="2">
        <f t="shared" si="11"/>
        <v>0</v>
      </c>
    </row>
    <row r="89">
      <c r="A89" s="344">
        <f t="shared" si="5"/>
        <v>850</v>
      </c>
      <c r="B89" s="344">
        <f t="shared" si="6"/>
        <v>90</v>
      </c>
      <c r="C89" s="368">
        <v>45741.0</v>
      </c>
      <c r="D89" s="389" t="str">
        <f t="shared" si="7"/>
        <v>Tuesday</v>
      </c>
      <c r="E89" s="344" t="s">
        <v>162</v>
      </c>
      <c r="F89" s="370"/>
      <c r="G89" s="370"/>
      <c r="H89" s="357">
        <f t="shared" si="21"/>
        <v>0</v>
      </c>
      <c r="I89" s="354">
        <v>5300.0</v>
      </c>
      <c r="J89" s="354" t="s">
        <v>68</v>
      </c>
      <c r="K89" s="6" t="s">
        <v>645</v>
      </c>
      <c r="M89" s="360">
        <f t="shared" si="12"/>
        <v>45922</v>
      </c>
      <c r="N89" s="360">
        <f t="shared" si="9"/>
        <v>45928</v>
      </c>
      <c r="O89" s="2">
        <f t="shared" si="10"/>
        <v>0</v>
      </c>
      <c r="P89" s="2">
        <f t="shared" si="11"/>
        <v>0</v>
      </c>
    </row>
    <row r="90">
      <c r="A90" s="344">
        <f t="shared" si="5"/>
        <v>1950</v>
      </c>
      <c r="B90" s="344">
        <f t="shared" si="6"/>
        <v>210</v>
      </c>
      <c r="C90" s="368">
        <v>45742.0</v>
      </c>
      <c r="D90" s="389" t="str">
        <f t="shared" si="7"/>
        <v>Wednesday</v>
      </c>
      <c r="E90" s="344" t="s">
        <v>554</v>
      </c>
      <c r="F90" s="367">
        <v>0.2986111111111111</v>
      </c>
      <c r="G90" s="367">
        <v>0.3402777777777778</v>
      </c>
      <c r="H90" s="357">
        <f t="shared" si="21"/>
        <v>60</v>
      </c>
      <c r="I90" s="346">
        <f t="shared" ref="I90:I96" si="25">FLOOR(A90*H90/B90,1)</f>
        <v>557</v>
      </c>
      <c r="J90" s="354" t="s">
        <v>636</v>
      </c>
      <c r="M90" s="360">
        <f t="shared" si="12"/>
        <v>45929</v>
      </c>
      <c r="N90" s="360">
        <f t="shared" si="9"/>
        <v>45935</v>
      </c>
      <c r="O90" s="2">
        <f t="shared" si="10"/>
        <v>0</v>
      </c>
      <c r="P90" s="2">
        <f t="shared" si="11"/>
        <v>0</v>
      </c>
    </row>
    <row r="91">
      <c r="A91" s="344">
        <f t="shared" si="5"/>
        <v>850</v>
      </c>
      <c r="B91" s="344">
        <f t="shared" si="6"/>
        <v>90</v>
      </c>
      <c r="C91" s="368">
        <v>45742.0</v>
      </c>
      <c r="D91" s="389" t="str">
        <f t="shared" si="7"/>
        <v>Wednesday</v>
      </c>
      <c r="E91" s="344" t="s">
        <v>162</v>
      </c>
      <c r="F91" s="367">
        <v>0.7083333333333334</v>
      </c>
      <c r="G91" s="367">
        <v>0.8020833333333334</v>
      </c>
      <c r="H91" s="357">
        <f t="shared" si="21"/>
        <v>135</v>
      </c>
      <c r="I91" s="346">
        <f t="shared" si="25"/>
        <v>1275</v>
      </c>
      <c r="J91" s="354" t="s">
        <v>636</v>
      </c>
      <c r="M91" s="360">
        <f t="shared" si="12"/>
        <v>45936</v>
      </c>
      <c r="N91" s="360">
        <f t="shared" si="9"/>
        <v>45942</v>
      </c>
      <c r="O91" s="2">
        <f t="shared" si="10"/>
        <v>0</v>
      </c>
      <c r="P91" s="2">
        <f t="shared" si="11"/>
        <v>0</v>
      </c>
    </row>
    <row r="92">
      <c r="A92" s="344">
        <f t="shared" si="5"/>
        <v>850</v>
      </c>
      <c r="B92" s="344">
        <f t="shared" si="6"/>
        <v>90</v>
      </c>
      <c r="C92" s="368">
        <v>45743.0</v>
      </c>
      <c r="D92" s="389" t="str">
        <f t="shared" si="7"/>
        <v>Thursday</v>
      </c>
      <c r="E92" s="344" t="s">
        <v>162</v>
      </c>
      <c r="F92" s="367">
        <v>0.7083333333333334</v>
      </c>
      <c r="G92" s="367">
        <v>0.7708333333333334</v>
      </c>
      <c r="H92" s="357">
        <f t="shared" si="21"/>
        <v>90</v>
      </c>
      <c r="I92" s="346">
        <f t="shared" si="25"/>
        <v>850</v>
      </c>
      <c r="J92" s="354" t="s">
        <v>636</v>
      </c>
      <c r="M92" s="360">
        <f t="shared" si="12"/>
        <v>45943</v>
      </c>
      <c r="N92" s="360">
        <f t="shared" si="9"/>
        <v>45949</v>
      </c>
      <c r="O92" s="2">
        <f t="shared" si="10"/>
        <v>0</v>
      </c>
      <c r="P92" s="2">
        <f t="shared" si="11"/>
        <v>0</v>
      </c>
    </row>
    <row r="93">
      <c r="A93" s="344">
        <f t="shared" si="5"/>
        <v>850</v>
      </c>
      <c r="B93" s="344">
        <f t="shared" si="6"/>
        <v>90</v>
      </c>
      <c r="C93" s="368">
        <v>45744.0</v>
      </c>
      <c r="D93" s="389" t="str">
        <f t="shared" si="7"/>
        <v>Friday</v>
      </c>
      <c r="E93" s="344" t="s">
        <v>162</v>
      </c>
      <c r="F93" s="367">
        <v>0.7083333333333334</v>
      </c>
      <c r="G93" s="367">
        <v>0.7916666666666666</v>
      </c>
      <c r="H93" s="357">
        <f t="shared" si="21"/>
        <v>120</v>
      </c>
      <c r="I93" s="346">
        <f t="shared" si="25"/>
        <v>1133</v>
      </c>
      <c r="J93" s="354" t="s">
        <v>636</v>
      </c>
      <c r="M93" s="360">
        <f t="shared" si="12"/>
        <v>45950</v>
      </c>
      <c r="N93" s="360">
        <f t="shared" si="9"/>
        <v>45956</v>
      </c>
      <c r="O93" s="2">
        <f t="shared" si="10"/>
        <v>0</v>
      </c>
      <c r="P93" s="2">
        <f t="shared" si="11"/>
        <v>0</v>
      </c>
    </row>
    <row r="94">
      <c r="A94" s="344">
        <f t="shared" si="5"/>
        <v>1950</v>
      </c>
      <c r="B94" s="344">
        <f t="shared" si="6"/>
        <v>210</v>
      </c>
      <c r="C94" s="368">
        <v>45747.0</v>
      </c>
      <c r="D94" s="389" t="str">
        <f t="shared" si="7"/>
        <v>Monday</v>
      </c>
      <c r="E94" s="344" t="s">
        <v>554</v>
      </c>
      <c r="F94" s="367">
        <v>0.2916666666666667</v>
      </c>
      <c r="G94" s="367">
        <v>0.375</v>
      </c>
      <c r="H94" s="357">
        <f t="shared" si="21"/>
        <v>120</v>
      </c>
      <c r="I94" s="346">
        <f t="shared" si="25"/>
        <v>1114</v>
      </c>
      <c r="J94" s="354" t="s">
        <v>636</v>
      </c>
      <c r="M94" s="360">
        <f t="shared" si="12"/>
        <v>45957</v>
      </c>
      <c r="N94" s="360">
        <f t="shared" si="9"/>
        <v>45963</v>
      </c>
      <c r="O94" s="2">
        <f t="shared" si="10"/>
        <v>1510</v>
      </c>
      <c r="P94" s="2">
        <f t="shared" si="11"/>
        <v>0</v>
      </c>
    </row>
    <row r="95">
      <c r="A95" s="344">
        <f t="shared" si="5"/>
        <v>850</v>
      </c>
      <c r="B95" s="344">
        <f t="shared" si="6"/>
        <v>90</v>
      </c>
      <c r="C95" s="368">
        <v>45747.0</v>
      </c>
      <c r="D95" s="389" t="str">
        <f t="shared" si="7"/>
        <v>Monday</v>
      </c>
      <c r="E95" s="344" t="s">
        <v>162</v>
      </c>
      <c r="F95" s="367">
        <v>0.7916666666666666</v>
      </c>
      <c r="G95" s="367">
        <v>0.8541666666666666</v>
      </c>
      <c r="H95" s="357">
        <f t="shared" si="21"/>
        <v>90</v>
      </c>
      <c r="I95" s="346">
        <f t="shared" si="25"/>
        <v>850</v>
      </c>
      <c r="J95" s="354" t="s">
        <v>636</v>
      </c>
      <c r="M95" s="360">
        <f t="shared" si="12"/>
        <v>45964</v>
      </c>
      <c r="N95" s="360">
        <f t="shared" si="9"/>
        <v>45970</v>
      </c>
      <c r="O95" s="2">
        <f t="shared" si="10"/>
        <v>1511</v>
      </c>
      <c r="P95" s="2">
        <f t="shared" si="11"/>
        <v>2125</v>
      </c>
    </row>
    <row r="96">
      <c r="A96" s="344">
        <f t="shared" si="5"/>
        <v>1950</v>
      </c>
      <c r="B96" s="344">
        <f t="shared" si="6"/>
        <v>210</v>
      </c>
      <c r="C96" s="368">
        <v>45748.0</v>
      </c>
      <c r="D96" s="389" t="str">
        <f t="shared" si="7"/>
        <v>Tuesday</v>
      </c>
      <c r="E96" s="344" t="s">
        <v>554</v>
      </c>
      <c r="F96" s="367">
        <v>0.3333333333333333</v>
      </c>
      <c r="G96" s="367">
        <v>0.4166666666666667</v>
      </c>
      <c r="H96" s="357">
        <f t="shared" si="21"/>
        <v>120</v>
      </c>
      <c r="I96" s="346">
        <f t="shared" si="25"/>
        <v>1114</v>
      </c>
      <c r="J96" s="354" t="s">
        <v>636</v>
      </c>
      <c r="M96" s="360">
        <f t="shared" si="12"/>
        <v>45971</v>
      </c>
      <c r="N96" s="360">
        <f t="shared" si="9"/>
        <v>45977</v>
      </c>
      <c r="O96" s="2">
        <f t="shared" si="10"/>
        <v>0</v>
      </c>
      <c r="P96" s="2">
        <f t="shared" si="11"/>
        <v>0</v>
      </c>
    </row>
    <row r="97">
      <c r="A97" s="344">
        <f t="shared" si="5"/>
        <v>0</v>
      </c>
      <c r="B97" s="344">
        <f t="shared" si="6"/>
        <v>0</v>
      </c>
      <c r="C97" s="368">
        <v>45748.0</v>
      </c>
      <c r="D97" s="389" t="str">
        <f t="shared" si="7"/>
        <v>Tuesday</v>
      </c>
      <c r="E97" s="344"/>
      <c r="F97" s="370"/>
      <c r="G97" s="370"/>
      <c r="H97" s="357">
        <f t="shared" si="21"/>
        <v>0</v>
      </c>
      <c r="I97" s="354">
        <v>5225.0</v>
      </c>
      <c r="J97" s="354" t="s">
        <v>68</v>
      </c>
      <c r="M97" s="360">
        <f t="shared" si="12"/>
        <v>45978</v>
      </c>
      <c r="N97" s="360">
        <f t="shared" si="9"/>
        <v>45984</v>
      </c>
      <c r="O97" s="2">
        <f t="shared" si="10"/>
        <v>0</v>
      </c>
      <c r="P97" s="2">
        <f t="shared" si="11"/>
        <v>0</v>
      </c>
    </row>
    <row r="98">
      <c r="A98" s="344">
        <f t="shared" si="5"/>
        <v>1950</v>
      </c>
      <c r="B98" s="344">
        <f t="shared" si="6"/>
        <v>210</v>
      </c>
      <c r="C98" s="368">
        <v>45749.0</v>
      </c>
      <c r="D98" s="389" t="str">
        <f t="shared" si="7"/>
        <v>Wednesday</v>
      </c>
      <c r="E98" s="344" t="s">
        <v>554</v>
      </c>
      <c r="F98" s="367">
        <v>0.3333333333333333</v>
      </c>
      <c r="G98" s="367">
        <v>0.4166666666666667</v>
      </c>
      <c r="H98" s="357">
        <f t="shared" si="21"/>
        <v>120</v>
      </c>
      <c r="I98" s="346">
        <f t="shared" ref="I98:I104" si="26">FLOOR(A98*H98/B98,1)</f>
        <v>1114</v>
      </c>
      <c r="J98" s="354" t="s">
        <v>636</v>
      </c>
      <c r="M98" s="360">
        <f t="shared" si="12"/>
        <v>45985</v>
      </c>
      <c r="N98" s="360">
        <f t="shared" si="9"/>
        <v>45991</v>
      </c>
      <c r="O98" s="2">
        <f t="shared" si="10"/>
        <v>0</v>
      </c>
      <c r="P98" s="2">
        <f t="shared" si="11"/>
        <v>0</v>
      </c>
    </row>
    <row r="99">
      <c r="A99" s="344">
        <f t="shared" si="5"/>
        <v>850</v>
      </c>
      <c r="B99" s="344">
        <f t="shared" si="6"/>
        <v>90</v>
      </c>
      <c r="C99" s="368">
        <v>45749.0</v>
      </c>
      <c r="D99" s="389" t="str">
        <f t="shared" si="7"/>
        <v>Wednesday</v>
      </c>
      <c r="E99" s="344" t="s">
        <v>162</v>
      </c>
      <c r="F99" s="367">
        <v>0.7083333333333334</v>
      </c>
      <c r="G99" s="367">
        <v>0.7708333333333334</v>
      </c>
      <c r="H99" s="357">
        <f t="shared" si="21"/>
        <v>90</v>
      </c>
      <c r="I99" s="346">
        <f t="shared" si="26"/>
        <v>850</v>
      </c>
      <c r="J99" s="354" t="s">
        <v>636</v>
      </c>
      <c r="M99" s="360">
        <f t="shared" si="12"/>
        <v>45992</v>
      </c>
      <c r="N99" s="360">
        <f t="shared" si="9"/>
        <v>45998</v>
      </c>
      <c r="O99" s="2">
        <f t="shared" si="10"/>
        <v>0</v>
      </c>
      <c r="P99" s="2">
        <f t="shared" si="11"/>
        <v>0</v>
      </c>
    </row>
    <row r="100">
      <c r="A100" s="344">
        <f t="shared" si="5"/>
        <v>1950</v>
      </c>
      <c r="B100" s="344">
        <f t="shared" si="6"/>
        <v>210</v>
      </c>
      <c r="C100" s="368">
        <v>45750.0</v>
      </c>
      <c r="D100" s="389" t="str">
        <f t="shared" si="7"/>
        <v>Thursday</v>
      </c>
      <c r="E100" s="344" t="s">
        <v>554</v>
      </c>
      <c r="F100" s="367">
        <v>0.3125</v>
      </c>
      <c r="G100" s="367">
        <v>0.4375</v>
      </c>
      <c r="H100" s="357">
        <f t="shared" si="21"/>
        <v>180</v>
      </c>
      <c r="I100" s="346">
        <f t="shared" si="26"/>
        <v>1671</v>
      </c>
      <c r="J100" s="354" t="s">
        <v>636</v>
      </c>
      <c r="M100" s="360">
        <f t="shared" si="12"/>
        <v>45999</v>
      </c>
      <c r="N100" s="360">
        <f t="shared" si="9"/>
        <v>46005</v>
      </c>
      <c r="O100" s="2">
        <f t="shared" si="10"/>
        <v>0</v>
      </c>
      <c r="P100" s="2">
        <f t="shared" si="11"/>
        <v>0</v>
      </c>
    </row>
    <row r="101">
      <c r="A101" s="344">
        <f t="shared" si="5"/>
        <v>1950</v>
      </c>
      <c r="B101" s="344">
        <f t="shared" si="6"/>
        <v>210</v>
      </c>
      <c r="C101" s="368">
        <v>45751.0</v>
      </c>
      <c r="D101" s="389" t="str">
        <f t="shared" si="7"/>
        <v>Friday</v>
      </c>
      <c r="E101" s="344" t="s">
        <v>554</v>
      </c>
      <c r="F101" s="367">
        <v>0.3020833333333333</v>
      </c>
      <c r="G101" s="367">
        <v>0.4270833333333333</v>
      </c>
      <c r="H101" s="357">
        <f t="shared" si="21"/>
        <v>180</v>
      </c>
      <c r="I101" s="346">
        <f t="shared" si="26"/>
        <v>1671</v>
      </c>
      <c r="J101" s="354" t="s">
        <v>636</v>
      </c>
      <c r="M101" s="360">
        <f t="shared" si="12"/>
        <v>46006</v>
      </c>
      <c r="N101" s="360">
        <f t="shared" si="9"/>
        <v>46012</v>
      </c>
      <c r="O101" s="2">
        <f t="shared" si="10"/>
        <v>0</v>
      </c>
      <c r="P101" s="2">
        <f t="shared" si="11"/>
        <v>0</v>
      </c>
    </row>
    <row r="102">
      <c r="A102" s="344">
        <f t="shared" si="5"/>
        <v>1950</v>
      </c>
      <c r="B102" s="344">
        <f t="shared" si="6"/>
        <v>210</v>
      </c>
      <c r="C102" s="368">
        <v>45751.0</v>
      </c>
      <c r="D102" s="389" t="str">
        <f t="shared" si="7"/>
        <v>Friday</v>
      </c>
      <c r="E102" s="344" t="s">
        <v>554</v>
      </c>
      <c r="F102" s="367">
        <v>0.78125</v>
      </c>
      <c r="G102" s="367">
        <v>0.8229166666666666</v>
      </c>
      <c r="H102" s="357">
        <f t="shared" si="21"/>
        <v>60</v>
      </c>
      <c r="I102" s="346">
        <f t="shared" si="26"/>
        <v>557</v>
      </c>
      <c r="J102" s="354" t="s">
        <v>636</v>
      </c>
      <c r="M102" s="360">
        <f t="shared" si="12"/>
        <v>46013</v>
      </c>
      <c r="N102" s="360">
        <f t="shared" si="9"/>
        <v>46019</v>
      </c>
      <c r="O102" s="2">
        <f t="shared" si="10"/>
        <v>0</v>
      </c>
      <c r="P102" s="2">
        <f t="shared" si="11"/>
        <v>0</v>
      </c>
    </row>
    <row r="103">
      <c r="A103" s="344">
        <f t="shared" si="5"/>
        <v>850</v>
      </c>
      <c r="B103" s="344">
        <f t="shared" si="6"/>
        <v>90</v>
      </c>
      <c r="C103" s="368">
        <v>45751.0</v>
      </c>
      <c r="D103" s="389" t="str">
        <f t="shared" si="7"/>
        <v>Friday</v>
      </c>
      <c r="E103" s="344" t="s">
        <v>162</v>
      </c>
      <c r="F103" s="367">
        <v>0.7083333333333334</v>
      </c>
      <c r="G103" s="367">
        <v>0.7708333333333334</v>
      </c>
      <c r="H103" s="357">
        <f t="shared" si="21"/>
        <v>90</v>
      </c>
      <c r="I103" s="346">
        <f t="shared" si="26"/>
        <v>850</v>
      </c>
      <c r="J103" s="354" t="s">
        <v>636</v>
      </c>
      <c r="K103" s="6" t="s">
        <v>646</v>
      </c>
      <c r="M103" s="360">
        <f t="shared" si="12"/>
        <v>46020</v>
      </c>
      <c r="N103" s="360">
        <f t="shared" si="9"/>
        <v>46026</v>
      </c>
      <c r="O103" s="2">
        <f t="shared" si="10"/>
        <v>0</v>
      </c>
      <c r="P103" s="2">
        <f t="shared" si="11"/>
        <v>0</v>
      </c>
    </row>
    <row r="104">
      <c r="A104" s="344">
        <f t="shared" si="5"/>
        <v>850</v>
      </c>
      <c r="B104" s="344">
        <f t="shared" si="6"/>
        <v>90</v>
      </c>
      <c r="C104" s="368">
        <v>45754.0</v>
      </c>
      <c r="D104" s="389" t="str">
        <f t="shared" si="7"/>
        <v>Monday</v>
      </c>
      <c r="E104" s="344" t="s">
        <v>162</v>
      </c>
      <c r="F104" s="367">
        <v>0.7083333333333334</v>
      </c>
      <c r="G104" s="367">
        <v>0.7708333333333334</v>
      </c>
      <c r="H104" s="357">
        <f t="shared" si="21"/>
        <v>90</v>
      </c>
      <c r="I104" s="346">
        <f t="shared" si="26"/>
        <v>850</v>
      </c>
      <c r="J104" s="354" t="s">
        <v>636</v>
      </c>
      <c r="M104" s="360">
        <f t="shared" si="12"/>
        <v>46027</v>
      </c>
      <c r="N104" s="360">
        <f t="shared" si="9"/>
        <v>46033</v>
      </c>
      <c r="O104" s="2">
        <f t="shared" si="10"/>
        <v>0</v>
      </c>
      <c r="P104" s="2">
        <f t="shared" si="11"/>
        <v>0</v>
      </c>
    </row>
    <row r="105">
      <c r="A105" s="344">
        <f t="shared" si="5"/>
        <v>850</v>
      </c>
      <c r="B105" s="344">
        <f t="shared" si="6"/>
        <v>90</v>
      </c>
      <c r="C105" s="368">
        <v>45755.0</v>
      </c>
      <c r="D105" s="389" t="str">
        <f t="shared" si="7"/>
        <v>Tuesday</v>
      </c>
      <c r="E105" s="344" t="s">
        <v>162</v>
      </c>
      <c r="F105" s="405">
        <v>0.0</v>
      </c>
      <c r="G105" s="405">
        <v>0.0</v>
      </c>
      <c r="H105" s="357">
        <f t="shared" si="21"/>
        <v>0</v>
      </c>
      <c r="I105" s="354">
        <v>9700.0</v>
      </c>
      <c r="J105" s="354" t="s">
        <v>68</v>
      </c>
      <c r="M105" s="360">
        <f t="shared" si="12"/>
        <v>46034</v>
      </c>
      <c r="N105" s="360">
        <f t="shared" si="9"/>
        <v>46040</v>
      </c>
      <c r="O105" s="2">
        <f t="shared" si="10"/>
        <v>0</v>
      </c>
      <c r="P105" s="2">
        <f t="shared" si="11"/>
        <v>0</v>
      </c>
    </row>
    <row r="106">
      <c r="A106" s="344">
        <f t="shared" si="5"/>
        <v>850</v>
      </c>
      <c r="B106" s="344">
        <f t="shared" si="6"/>
        <v>90</v>
      </c>
      <c r="C106" s="368">
        <v>45755.0</v>
      </c>
      <c r="D106" s="389" t="str">
        <f t="shared" si="7"/>
        <v>Tuesday</v>
      </c>
      <c r="E106" s="344" t="s">
        <v>162</v>
      </c>
      <c r="F106" s="367">
        <v>0.7083333333333334</v>
      </c>
      <c r="G106" s="367">
        <v>0.7708333333333334</v>
      </c>
      <c r="H106" s="357">
        <f t="shared" si="21"/>
        <v>90</v>
      </c>
      <c r="I106" s="346">
        <f t="shared" ref="I106:I110" si="27">FLOOR(A106*H106/B106,1)</f>
        <v>850</v>
      </c>
      <c r="J106" s="354" t="s">
        <v>636</v>
      </c>
      <c r="M106" s="360">
        <f t="shared" si="12"/>
        <v>46041</v>
      </c>
      <c r="N106" s="360">
        <f t="shared" si="9"/>
        <v>46047</v>
      </c>
      <c r="O106" s="2">
        <f t="shared" si="10"/>
        <v>0</v>
      </c>
      <c r="P106" s="2">
        <f t="shared" si="11"/>
        <v>0</v>
      </c>
    </row>
    <row r="107">
      <c r="A107" s="344">
        <f t="shared" si="5"/>
        <v>850</v>
      </c>
      <c r="B107" s="344">
        <f t="shared" si="6"/>
        <v>90</v>
      </c>
      <c r="C107" s="368">
        <v>45756.0</v>
      </c>
      <c r="D107" s="389" t="str">
        <f t="shared" si="7"/>
        <v>Wednesday</v>
      </c>
      <c r="E107" s="344" t="s">
        <v>162</v>
      </c>
      <c r="F107" s="367">
        <v>0.7083333333333334</v>
      </c>
      <c r="G107" s="367">
        <v>0.7708333333333334</v>
      </c>
      <c r="H107" s="357">
        <f t="shared" si="21"/>
        <v>90</v>
      </c>
      <c r="I107" s="346">
        <f t="shared" si="27"/>
        <v>850</v>
      </c>
      <c r="J107" s="354" t="s">
        <v>636</v>
      </c>
      <c r="M107" s="360">
        <f t="shared" si="12"/>
        <v>46048</v>
      </c>
      <c r="N107" s="360">
        <f t="shared" si="9"/>
        <v>46054</v>
      </c>
      <c r="O107" s="2">
        <f t="shared" si="10"/>
        <v>0</v>
      </c>
      <c r="P107" s="2">
        <f t="shared" si="11"/>
        <v>0</v>
      </c>
    </row>
    <row r="108">
      <c r="A108" s="344">
        <f t="shared" si="5"/>
        <v>1950</v>
      </c>
      <c r="B108" s="344">
        <f t="shared" si="6"/>
        <v>210</v>
      </c>
      <c r="C108" s="368">
        <v>45758.0</v>
      </c>
      <c r="D108" s="389" t="str">
        <f t="shared" si="7"/>
        <v>Friday</v>
      </c>
      <c r="E108" s="344" t="s">
        <v>554</v>
      </c>
      <c r="F108" s="367">
        <v>0.3333333333333333</v>
      </c>
      <c r="G108" s="367">
        <v>0.4166666666666667</v>
      </c>
      <c r="H108" s="357">
        <f t="shared" si="21"/>
        <v>120</v>
      </c>
      <c r="I108" s="346">
        <f t="shared" si="27"/>
        <v>1114</v>
      </c>
      <c r="J108" s="354" t="s">
        <v>636</v>
      </c>
      <c r="M108" s="360">
        <f t="shared" si="12"/>
        <v>46055</v>
      </c>
      <c r="N108" s="360">
        <f t="shared" si="9"/>
        <v>46061</v>
      </c>
      <c r="O108" s="2">
        <f t="shared" si="10"/>
        <v>0</v>
      </c>
      <c r="P108" s="2">
        <f t="shared" si="11"/>
        <v>0</v>
      </c>
    </row>
    <row r="109">
      <c r="A109" s="344">
        <f t="shared" si="5"/>
        <v>850</v>
      </c>
      <c r="B109" s="344">
        <f t="shared" si="6"/>
        <v>90</v>
      </c>
      <c r="C109" s="368">
        <v>45758.0</v>
      </c>
      <c r="D109" s="389" t="str">
        <f t="shared" si="7"/>
        <v>Friday</v>
      </c>
      <c r="E109" s="344" t="s">
        <v>162</v>
      </c>
      <c r="F109" s="367">
        <v>0.7083333333333334</v>
      </c>
      <c r="G109" s="367">
        <v>0.7708333333333334</v>
      </c>
      <c r="H109" s="357">
        <f t="shared" si="21"/>
        <v>90</v>
      </c>
      <c r="I109" s="346">
        <f t="shared" si="27"/>
        <v>850</v>
      </c>
      <c r="J109" s="354" t="s">
        <v>636</v>
      </c>
      <c r="M109" s="360">
        <f t="shared" si="12"/>
        <v>46062</v>
      </c>
      <c r="N109" s="360">
        <f t="shared" si="9"/>
        <v>46068</v>
      </c>
      <c r="O109" s="2">
        <f t="shared" si="10"/>
        <v>0</v>
      </c>
      <c r="P109" s="2">
        <f t="shared" si="11"/>
        <v>0</v>
      </c>
    </row>
    <row r="110">
      <c r="A110" s="344">
        <f t="shared" si="5"/>
        <v>1950</v>
      </c>
      <c r="B110" s="344">
        <f t="shared" si="6"/>
        <v>210</v>
      </c>
      <c r="C110" s="368">
        <v>45761.0</v>
      </c>
      <c r="D110" s="389" t="str">
        <f t="shared" si="7"/>
        <v>Monday</v>
      </c>
      <c r="E110" s="344" t="s">
        <v>554</v>
      </c>
      <c r="F110" s="367">
        <v>0.2916666666666667</v>
      </c>
      <c r="G110" s="367">
        <v>0.4166666666666667</v>
      </c>
      <c r="H110" s="357">
        <f t="shared" si="21"/>
        <v>180</v>
      </c>
      <c r="I110" s="346">
        <f t="shared" si="27"/>
        <v>1671</v>
      </c>
      <c r="J110" s="354" t="s">
        <v>636</v>
      </c>
      <c r="M110" s="360">
        <f t="shared" si="12"/>
        <v>46069</v>
      </c>
      <c r="N110" s="360">
        <f t="shared" si="9"/>
        <v>46075</v>
      </c>
      <c r="O110" s="2">
        <f t="shared" si="10"/>
        <v>0</v>
      </c>
      <c r="P110" s="2">
        <f t="shared" si="11"/>
        <v>0</v>
      </c>
    </row>
    <row r="111">
      <c r="A111" s="344">
        <f t="shared" si="5"/>
        <v>0</v>
      </c>
      <c r="B111" s="344">
        <f t="shared" si="6"/>
        <v>0</v>
      </c>
      <c r="C111" s="368">
        <v>45761.0</v>
      </c>
      <c r="D111" s="389" t="str">
        <f t="shared" si="7"/>
        <v>Monday</v>
      </c>
      <c r="E111" s="344"/>
      <c r="F111" s="370"/>
      <c r="G111" s="370"/>
      <c r="H111" s="357">
        <f t="shared" si="21"/>
        <v>0</v>
      </c>
      <c r="I111" s="354">
        <v>4500.0</v>
      </c>
      <c r="J111" s="354" t="s">
        <v>68</v>
      </c>
      <c r="M111" s="360">
        <f t="shared" si="12"/>
        <v>46076</v>
      </c>
      <c r="N111" s="360">
        <f t="shared" si="9"/>
        <v>46082</v>
      </c>
      <c r="O111" s="2">
        <f t="shared" si="10"/>
        <v>0</v>
      </c>
      <c r="P111" s="2">
        <f t="shared" si="11"/>
        <v>0</v>
      </c>
    </row>
    <row r="112">
      <c r="A112" s="344">
        <f t="shared" si="5"/>
        <v>1950</v>
      </c>
      <c r="B112" s="344">
        <f t="shared" si="6"/>
        <v>210</v>
      </c>
      <c r="C112" s="368">
        <v>45764.0</v>
      </c>
      <c r="D112" s="389" t="str">
        <f t="shared" si="7"/>
        <v>Thursday</v>
      </c>
      <c r="E112" s="344" t="s">
        <v>554</v>
      </c>
      <c r="F112" s="367">
        <v>0.2916666666666667</v>
      </c>
      <c r="G112" s="367">
        <v>0.4166666666666667</v>
      </c>
      <c r="H112" s="357">
        <f t="shared" si="21"/>
        <v>180</v>
      </c>
      <c r="I112" s="346">
        <f t="shared" ref="I112:I124" si="28">FLOOR(A112*H112/B112,1)</f>
        <v>1671</v>
      </c>
      <c r="J112" s="354" t="s">
        <v>636</v>
      </c>
      <c r="M112" s="360">
        <f t="shared" si="12"/>
        <v>46083</v>
      </c>
      <c r="N112" s="360">
        <f t="shared" si="9"/>
        <v>46089</v>
      </c>
      <c r="O112" s="2">
        <f t="shared" si="10"/>
        <v>0</v>
      </c>
      <c r="P112" s="2">
        <f t="shared" si="11"/>
        <v>0</v>
      </c>
    </row>
    <row r="113">
      <c r="A113" s="344">
        <f t="shared" si="5"/>
        <v>850</v>
      </c>
      <c r="B113" s="344">
        <f t="shared" si="6"/>
        <v>90</v>
      </c>
      <c r="C113" s="368">
        <v>45764.0</v>
      </c>
      <c r="D113" s="389" t="str">
        <f t="shared" si="7"/>
        <v>Thursday</v>
      </c>
      <c r="E113" s="344" t="s">
        <v>162</v>
      </c>
      <c r="F113" s="367">
        <v>0.7083333333333334</v>
      </c>
      <c r="G113" s="367">
        <v>0.7708333333333334</v>
      </c>
      <c r="H113" s="357">
        <f t="shared" si="21"/>
        <v>90</v>
      </c>
      <c r="I113" s="346">
        <f t="shared" si="28"/>
        <v>850</v>
      </c>
      <c r="J113" s="354" t="s">
        <v>636</v>
      </c>
      <c r="M113" s="360">
        <f t="shared" si="12"/>
        <v>46090</v>
      </c>
      <c r="N113" s="360">
        <f t="shared" si="9"/>
        <v>46096</v>
      </c>
      <c r="O113" s="2">
        <f t="shared" si="10"/>
        <v>0</v>
      </c>
      <c r="P113" s="2">
        <f t="shared" si="11"/>
        <v>0</v>
      </c>
    </row>
    <row r="114">
      <c r="A114" s="344">
        <f t="shared" si="5"/>
        <v>1950</v>
      </c>
      <c r="B114" s="344">
        <f t="shared" si="6"/>
        <v>210</v>
      </c>
      <c r="C114" s="368">
        <v>45765.0</v>
      </c>
      <c r="D114" s="389" t="str">
        <f t="shared" si="7"/>
        <v>Friday</v>
      </c>
      <c r="E114" s="344" t="s">
        <v>554</v>
      </c>
      <c r="F114" s="367">
        <v>0.3333333333333333</v>
      </c>
      <c r="G114" s="367">
        <v>0.4166666666666667</v>
      </c>
      <c r="H114" s="357">
        <f t="shared" si="21"/>
        <v>120</v>
      </c>
      <c r="I114" s="346">
        <f t="shared" si="28"/>
        <v>1114</v>
      </c>
      <c r="J114" s="354" t="s">
        <v>636</v>
      </c>
      <c r="M114" s="360">
        <f t="shared" si="12"/>
        <v>46097</v>
      </c>
      <c r="N114" s="360">
        <f t="shared" si="9"/>
        <v>46103</v>
      </c>
      <c r="O114" s="2">
        <f t="shared" si="10"/>
        <v>0</v>
      </c>
      <c r="P114" s="2">
        <f t="shared" si="11"/>
        <v>0</v>
      </c>
    </row>
    <row r="115">
      <c r="A115" s="344">
        <f t="shared" si="5"/>
        <v>850</v>
      </c>
      <c r="B115" s="344">
        <f t="shared" si="6"/>
        <v>90</v>
      </c>
      <c r="C115" s="368">
        <v>45765.0</v>
      </c>
      <c r="D115" s="389" t="str">
        <f t="shared" si="7"/>
        <v>Friday</v>
      </c>
      <c r="E115" s="344" t="s">
        <v>162</v>
      </c>
      <c r="F115" s="367">
        <v>0.7083333333333334</v>
      </c>
      <c r="G115" s="367">
        <v>0.7708333333333334</v>
      </c>
      <c r="H115" s="357">
        <f t="shared" si="21"/>
        <v>90</v>
      </c>
      <c r="I115" s="346">
        <f t="shared" si="28"/>
        <v>850</v>
      </c>
      <c r="J115" s="354" t="s">
        <v>636</v>
      </c>
      <c r="M115" s="360">
        <f t="shared" si="12"/>
        <v>46104</v>
      </c>
      <c r="N115" s="360">
        <f t="shared" si="9"/>
        <v>46110</v>
      </c>
      <c r="O115" s="2">
        <f t="shared" si="10"/>
        <v>0</v>
      </c>
      <c r="P115" s="2">
        <f t="shared" si="11"/>
        <v>0</v>
      </c>
    </row>
    <row r="116">
      <c r="A116" s="344">
        <f t="shared" si="5"/>
        <v>850</v>
      </c>
      <c r="B116" s="344">
        <f t="shared" si="6"/>
        <v>90</v>
      </c>
      <c r="C116" s="369"/>
      <c r="D116" s="389" t="str">
        <f t="shared" si="7"/>
        <v>Saturday</v>
      </c>
      <c r="E116" s="344" t="s">
        <v>162</v>
      </c>
      <c r="F116" s="370"/>
      <c r="G116" s="370"/>
      <c r="H116" s="357">
        <f t="shared" si="21"/>
        <v>0</v>
      </c>
      <c r="I116" s="346">
        <f t="shared" si="28"/>
        <v>0</v>
      </c>
      <c r="J116" s="354" t="s">
        <v>636</v>
      </c>
      <c r="M116" s="360">
        <f t="shared" si="12"/>
        <v>46111</v>
      </c>
      <c r="N116" s="360">
        <f t="shared" si="9"/>
        <v>46117</v>
      </c>
      <c r="O116" s="2">
        <f t="shared" si="10"/>
        <v>0</v>
      </c>
      <c r="P116" s="2">
        <f t="shared" si="11"/>
        <v>0</v>
      </c>
    </row>
    <row r="117">
      <c r="A117" s="344">
        <f t="shared" si="5"/>
        <v>850</v>
      </c>
      <c r="B117" s="344">
        <f t="shared" si="6"/>
        <v>90</v>
      </c>
      <c r="C117" s="369"/>
      <c r="D117" s="389" t="str">
        <f t="shared" si="7"/>
        <v>Saturday</v>
      </c>
      <c r="E117" s="344" t="s">
        <v>162</v>
      </c>
      <c r="F117" s="370"/>
      <c r="G117" s="370"/>
      <c r="H117" s="357">
        <f t="shared" si="21"/>
        <v>0</v>
      </c>
      <c r="I117" s="346">
        <f t="shared" si="28"/>
        <v>0</v>
      </c>
      <c r="J117" s="354" t="s">
        <v>636</v>
      </c>
      <c r="M117" s="360">
        <f t="shared" si="12"/>
        <v>46118</v>
      </c>
      <c r="N117" s="360">
        <f t="shared" si="9"/>
        <v>46124</v>
      </c>
      <c r="O117" s="2">
        <f t="shared" si="10"/>
        <v>0</v>
      </c>
      <c r="P117" s="2">
        <f t="shared" si="11"/>
        <v>0</v>
      </c>
    </row>
    <row r="118">
      <c r="A118" s="344">
        <f t="shared" si="5"/>
        <v>850</v>
      </c>
      <c r="B118" s="344">
        <f t="shared" si="6"/>
        <v>90</v>
      </c>
      <c r="C118" s="369"/>
      <c r="D118" s="389" t="str">
        <f t="shared" si="7"/>
        <v>Saturday</v>
      </c>
      <c r="E118" s="344" t="s">
        <v>162</v>
      </c>
      <c r="F118" s="370"/>
      <c r="G118" s="370"/>
      <c r="H118" s="357">
        <f t="shared" si="21"/>
        <v>0</v>
      </c>
      <c r="I118" s="346">
        <f t="shared" si="28"/>
        <v>0</v>
      </c>
      <c r="J118" s="354" t="s">
        <v>636</v>
      </c>
      <c r="M118" s="360">
        <f t="shared" si="12"/>
        <v>46125</v>
      </c>
      <c r="N118" s="360">
        <f t="shared" si="9"/>
        <v>46131</v>
      </c>
      <c r="O118" s="2">
        <f t="shared" si="10"/>
        <v>0</v>
      </c>
      <c r="P118" s="2">
        <f t="shared" si="11"/>
        <v>0</v>
      </c>
    </row>
    <row r="119">
      <c r="A119" s="344">
        <f t="shared" si="5"/>
        <v>850</v>
      </c>
      <c r="B119" s="344">
        <f t="shared" si="6"/>
        <v>90</v>
      </c>
      <c r="C119" s="369"/>
      <c r="D119" s="389" t="str">
        <f t="shared" si="7"/>
        <v>Saturday</v>
      </c>
      <c r="E119" s="344" t="s">
        <v>162</v>
      </c>
      <c r="F119" s="370"/>
      <c r="G119" s="370"/>
      <c r="H119" s="357">
        <f t="shared" si="21"/>
        <v>0</v>
      </c>
      <c r="I119" s="346">
        <f t="shared" si="28"/>
        <v>0</v>
      </c>
      <c r="J119" s="354" t="s">
        <v>636</v>
      </c>
      <c r="M119" s="360">
        <f t="shared" si="12"/>
        <v>46132</v>
      </c>
      <c r="N119" s="360">
        <f t="shared" si="9"/>
        <v>46138</v>
      </c>
      <c r="O119" s="2">
        <f t="shared" si="10"/>
        <v>0</v>
      </c>
      <c r="P119" s="2">
        <f t="shared" si="11"/>
        <v>0</v>
      </c>
    </row>
    <row r="120">
      <c r="A120" s="344">
        <f t="shared" si="5"/>
        <v>850</v>
      </c>
      <c r="B120" s="344">
        <f t="shared" si="6"/>
        <v>90</v>
      </c>
      <c r="C120" s="369"/>
      <c r="D120" s="389" t="str">
        <f t="shared" si="7"/>
        <v>Saturday</v>
      </c>
      <c r="E120" s="344" t="s">
        <v>162</v>
      </c>
      <c r="F120" s="370"/>
      <c r="G120" s="370"/>
      <c r="H120" s="357">
        <f t="shared" si="21"/>
        <v>0</v>
      </c>
      <c r="I120" s="346">
        <f t="shared" si="28"/>
        <v>0</v>
      </c>
      <c r="J120" s="354" t="s">
        <v>636</v>
      </c>
      <c r="M120" s="360">
        <f t="shared" si="12"/>
        <v>46139</v>
      </c>
      <c r="N120" s="360">
        <f t="shared" si="9"/>
        <v>46145</v>
      </c>
      <c r="O120" s="2">
        <f t="shared" si="10"/>
        <v>0</v>
      </c>
      <c r="P120" s="2">
        <f t="shared" si="11"/>
        <v>0</v>
      </c>
    </row>
    <row r="121">
      <c r="A121" s="344">
        <f t="shared" si="5"/>
        <v>850</v>
      </c>
      <c r="B121" s="344">
        <f t="shared" si="6"/>
        <v>90</v>
      </c>
      <c r="C121" s="368">
        <v>45805.0</v>
      </c>
      <c r="D121" s="389" t="str">
        <f t="shared" si="7"/>
        <v>Wednesday</v>
      </c>
      <c r="E121" s="344" t="s">
        <v>162</v>
      </c>
      <c r="F121" s="367">
        <v>0.7083333333333334</v>
      </c>
      <c r="G121" s="367">
        <v>0.7708333333333334</v>
      </c>
      <c r="H121" s="357">
        <f t="shared" si="21"/>
        <v>90</v>
      </c>
      <c r="I121" s="346">
        <f t="shared" si="28"/>
        <v>850</v>
      </c>
      <c r="J121" s="354" t="s">
        <v>636</v>
      </c>
      <c r="M121" s="360">
        <f t="shared" si="12"/>
        <v>46146</v>
      </c>
      <c r="N121" s="360">
        <f t="shared" si="9"/>
        <v>46152</v>
      </c>
      <c r="O121" s="2">
        <f t="shared" si="10"/>
        <v>0</v>
      </c>
      <c r="P121" s="2">
        <f t="shared" si="11"/>
        <v>0</v>
      </c>
    </row>
    <row r="122">
      <c r="A122" s="344">
        <f t="shared" si="5"/>
        <v>850</v>
      </c>
      <c r="B122" s="344">
        <f t="shared" si="6"/>
        <v>90</v>
      </c>
      <c r="C122" s="368">
        <v>45806.0</v>
      </c>
      <c r="D122" s="389" t="str">
        <f t="shared" si="7"/>
        <v>Thursday</v>
      </c>
      <c r="E122" s="344" t="s">
        <v>162</v>
      </c>
      <c r="F122" s="367">
        <v>0.7083333333333334</v>
      </c>
      <c r="G122" s="367">
        <v>0.7708333333333334</v>
      </c>
      <c r="H122" s="357">
        <f t="shared" si="21"/>
        <v>90</v>
      </c>
      <c r="I122" s="346">
        <f t="shared" si="28"/>
        <v>850</v>
      </c>
      <c r="J122" s="354" t="s">
        <v>636</v>
      </c>
      <c r="M122" s="360">
        <f t="shared" si="12"/>
        <v>46153</v>
      </c>
      <c r="N122" s="360">
        <f t="shared" si="9"/>
        <v>46159</v>
      </c>
      <c r="O122" s="2">
        <f t="shared" si="10"/>
        <v>0</v>
      </c>
      <c r="P122" s="2">
        <f t="shared" si="11"/>
        <v>0</v>
      </c>
    </row>
    <row r="123">
      <c r="A123" s="344">
        <f t="shared" si="5"/>
        <v>850</v>
      </c>
      <c r="B123" s="344">
        <f t="shared" si="6"/>
        <v>90</v>
      </c>
      <c r="C123" s="368">
        <v>45807.0</v>
      </c>
      <c r="D123" s="389" t="str">
        <f t="shared" si="7"/>
        <v>Friday</v>
      </c>
      <c r="E123" s="344" t="s">
        <v>162</v>
      </c>
      <c r="F123" s="405" t="s">
        <v>647</v>
      </c>
      <c r="G123" s="405" t="s">
        <v>647</v>
      </c>
      <c r="H123" s="395">
        <v>90.0</v>
      </c>
      <c r="I123" s="346">
        <f t="shared" si="28"/>
        <v>850</v>
      </c>
      <c r="J123" s="354" t="s">
        <v>636</v>
      </c>
      <c r="M123" s="360">
        <f t="shared" si="12"/>
        <v>46160</v>
      </c>
      <c r="N123" s="360">
        <f t="shared" si="9"/>
        <v>46166</v>
      </c>
      <c r="O123" s="2">
        <f t="shared" si="10"/>
        <v>0</v>
      </c>
      <c r="P123" s="2">
        <f t="shared" si="11"/>
        <v>0</v>
      </c>
    </row>
    <row r="124">
      <c r="A124" s="344">
        <f t="shared" si="5"/>
        <v>850</v>
      </c>
      <c r="B124" s="344">
        <f t="shared" si="6"/>
        <v>90</v>
      </c>
      <c r="C124" s="368">
        <v>45810.0</v>
      </c>
      <c r="D124" s="389" t="str">
        <f t="shared" si="7"/>
        <v>Monday</v>
      </c>
      <c r="E124" s="344" t="s">
        <v>162</v>
      </c>
      <c r="F124" s="367">
        <v>0.7083333333333334</v>
      </c>
      <c r="G124" s="367">
        <v>0.7708333333333334</v>
      </c>
      <c r="H124" s="357">
        <f t="shared" ref="H124:H968" si="29">(G124-F124)*1440</f>
        <v>90</v>
      </c>
      <c r="I124" s="346">
        <f t="shared" si="28"/>
        <v>850</v>
      </c>
      <c r="J124" s="354" t="s">
        <v>636</v>
      </c>
      <c r="M124" s="360">
        <f t="shared" si="12"/>
        <v>46167</v>
      </c>
      <c r="N124" s="360">
        <f t="shared" si="9"/>
        <v>46173</v>
      </c>
      <c r="O124" s="2">
        <f t="shared" si="10"/>
        <v>0</v>
      </c>
      <c r="P124" s="2">
        <f t="shared" si="11"/>
        <v>0</v>
      </c>
    </row>
    <row r="125">
      <c r="A125" s="344">
        <f t="shared" si="5"/>
        <v>850</v>
      </c>
      <c r="B125" s="344">
        <f t="shared" si="6"/>
        <v>90</v>
      </c>
      <c r="C125" s="368">
        <v>45811.0</v>
      </c>
      <c r="D125" s="389" t="str">
        <f t="shared" si="7"/>
        <v>Tuesday</v>
      </c>
      <c r="E125" s="344" t="s">
        <v>162</v>
      </c>
      <c r="F125" s="370"/>
      <c r="G125" s="370"/>
      <c r="H125" s="357">
        <f t="shared" si="29"/>
        <v>0</v>
      </c>
      <c r="I125" s="354">
        <v>2550.0</v>
      </c>
      <c r="J125" s="354" t="s">
        <v>68</v>
      </c>
      <c r="M125" s="360">
        <f t="shared" si="12"/>
        <v>46174</v>
      </c>
      <c r="N125" s="360">
        <f t="shared" si="9"/>
        <v>46180</v>
      </c>
      <c r="O125" s="2">
        <f t="shared" si="10"/>
        <v>0</v>
      </c>
      <c r="P125" s="2">
        <f t="shared" si="11"/>
        <v>0</v>
      </c>
    </row>
    <row r="126">
      <c r="A126" s="344">
        <f t="shared" si="5"/>
        <v>850</v>
      </c>
      <c r="B126" s="344">
        <f t="shared" si="6"/>
        <v>90</v>
      </c>
      <c r="C126" s="368">
        <v>45811.0</v>
      </c>
      <c r="D126" s="389" t="str">
        <f t="shared" si="7"/>
        <v>Tuesday</v>
      </c>
      <c r="E126" s="344" t="s">
        <v>162</v>
      </c>
      <c r="F126" s="367">
        <v>0.7083333333333334</v>
      </c>
      <c r="G126" s="367">
        <v>0.8020833333333334</v>
      </c>
      <c r="H126" s="357">
        <f t="shared" si="29"/>
        <v>135</v>
      </c>
      <c r="I126" s="346">
        <f t="shared" ref="I126:I149" si="30">FLOOR(A126*H126/B126,1)</f>
        <v>1275</v>
      </c>
      <c r="J126" s="354" t="s">
        <v>636</v>
      </c>
      <c r="M126" s="360">
        <f t="shared" si="12"/>
        <v>46181</v>
      </c>
      <c r="N126" s="360">
        <f t="shared" si="9"/>
        <v>46187</v>
      </c>
      <c r="O126" s="2">
        <f t="shared" si="10"/>
        <v>0</v>
      </c>
      <c r="P126" s="2">
        <f t="shared" si="11"/>
        <v>0</v>
      </c>
    </row>
    <row r="127">
      <c r="A127" s="344">
        <f t="shared" si="5"/>
        <v>850</v>
      </c>
      <c r="B127" s="344">
        <f t="shared" si="6"/>
        <v>90</v>
      </c>
      <c r="C127" s="368">
        <v>45813.0</v>
      </c>
      <c r="D127" s="389" t="str">
        <f t="shared" si="7"/>
        <v>Thursday</v>
      </c>
      <c r="E127" s="344" t="s">
        <v>162</v>
      </c>
      <c r="F127" s="367">
        <v>0.7083333333333334</v>
      </c>
      <c r="G127" s="367">
        <v>0.7708333333333334</v>
      </c>
      <c r="H127" s="357">
        <f t="shared" si="29"/>
        <v>90</v>
      </c>
      <c r="I127" s="346">
        <f t="shared" si="30"/>
        <v>850</v>
      </c>
      <c r="J127" s="354" t="s">
        <v>636</v>
      </c>
      <c r="M127" s="360">
        <f t="shared" si="12"/>
        <v>46188</v>
      </c>
      <c r="N127" s="360">
        <f t="shared" si="9"/>
        <v>46194</v>
      </c>
      <c r="O127" s="2">
        <f t="shared" si="10"/>
        <v>0</v>
      </c>
      <c r="P127" s="2">
        <f t="shared" si="11"/>
        <v>0</v>
      </c>
    </row>
    <row r="128">
      <c r="A128" s="344">
        <f t="shared" si="5"/>
        <v>850</v>
      </c>
      <c r="B128" s="344">
        <f t="shared" si="6"/>
        <v>90</v>
      </c>
      <c r="C128" s="368">
        <v>45818.0</v>
      </c>
      <c r="D128" s="389" t="str">
        <f t="shared" si="7"/>
        <v>Tuesday</v>
      </c>
      <c r="E128" s="344" t="s">
        <v>162</v>
      </c>
      <c r="F128" s="367">
        <v>0.7083333333333334</v>
      </c>
      <c r="G128" s="367">
        <v>0.7708333333333334</v>
      </c>
      <c r="H128" s="357">
        <f t="shared" si="29"/>
        <v>90</v>
      </c>
      <c r="I128" s="346">
        <f t="shared" si="30"/>
        <v>850</v>
      </c>
      <c r="J128" s="354" t="s">
        <v>636</v>
      </c>
      <c r="M128" s="360">
        <f t="shared" si="12"/>
        <v>46195</v>
      </c>
      <c r="N128" s="360">
        <f t="shared" si="9"/>
        <v>46201</v>
      </c>
      <c r="O128" s="2">
        <f t="shared" si="10"/>
        <v>0</v>
      </c>
      <c r="P128" s="2">
        <f t="shared" si="11"/>
        <v>0</v>
      </c>
    </row>
    <row r="129">
      <c r="A129" s="344">
        <f t="shared" si="5"/>
        <v>850</v>
      </c>
      <c r="B129" s="344">
        <f t="shared" si="6"/>
        <v>90</v>
      </c>
      <c r="C129" s="368">
        <v>45831.0</v>
      </c>
      <c r="D129" s="389" t="str">
        <f t="shared" si="7"/>
        <v>Monday</v>
      </c>
      <c r="E129" s="344" t="s">
        <v>162</v>
      </c>
      <c r="F129" s="367">
        <v>0.6666666666666666</v>
      </c>
      <c r="G129" s="367">
        <v>0.7291666666666666</v>
      </c>
      <c r="H129" s="357">
        <f t="shared" si="29"/>
        <v>90</v>
      </c>
      <c r="I129" s="346">
        <f t="shared" si="30"/>
        <v>850</v>
      </c>
      <c r="J129" s="354" t="s">
        <v>636</v>
      </c>
      <c r="M129" s="360">
        <f t="shared" si="12"/>
        <v>46202</v>
      </c>
      <c r="N129" s="360">
        <f t="shared" si="9"/>
        <v>46208</v>
      </c>
      <c r="O129" s="2">
        <f t="shared" si="10"/>
        <v>0</v>
      </c>
      <c r="P129" s="2">
        <f t="shared" si="11"/>
        <v>0</v>
      </c>
    </row>
    <row r="130">
      <c r="A130" s="344">
        <f t="shared" si="5"/>
        <v>850</v>
      </c>
      <c r="B130" s="344">
        <f t="shared" si="6"/>
        <v>90</v>
      </c>
      <c r="C130" s="368">
        <v>45832.0</v>
      </c>
      <c r="D130" s="389" t="str">
        <f t="shared" si="7"/>
        <v>Tuesday</v>
      </c>
      <c r="E130" s="344" t="s">
        <v>162</v>
      </c>
      <c r="F130" s="367">
        <v>0.7083333333333334</v>
      </c>
      <c r="G130" s="367">
        <v>0.7708333333333334</v>
      </c>
      <c r="H130" s="357">
        <f t="shared" si="29"/>
        <v>90</v>
      </c>
      <c r="I130" s="346">
        <f t="shared" si="30"/>
        <v>850</v>
      </c>
      <c r="J130" s="354" t="s">
        <v>636</v>
      </c>
      <c r="M130" s="360">
        <f t="shared" si="12"/>
        <v>46209</v>
      </c>
      <c r="N130" s="360">
        <f t="shared" si="9"/>
        <v>46215</v>
      </c>
      <c r="O130" s="2">
        <f t="shared" si="10"/>
        <v>0</v>
      </c>
      <c r="P130" s="2">
        <f t="shared" si="11"/>
        <v>0</v>
      </c>
    </row>
    <row r="131">
      <c r="A131" s="344">
        <f t="shared" si="5"/>
        <v>850</v>
      </c>
      <c r="B131" s="344">
        <f t="shared" si="6"/>
        <v>90</v>
      </c>
      <c r="C131" s="368">
        <v>45833.0</v>
      </c>
      <c r="D131" s="389" t="str">
        <f t="shared" si="7"/>
        <v>Wednesday</v>
      </c>
      <c r="E131" s="344" t="s">
        <v>162</v>
      </c>
      <c r="F131" s="367">
        <v>0.7083333333333334</v>
      </c>
      <c r="G131" s="367">
        <v>0.75</v>
      </c>
      <c r="H131" s="357">
        <f t="shared" si="29"/>
        <v>60</v>
      </c>
      <c r="I131" s="346">
        <f t="shared" si="30"/>
        <v>566</v>
      </c>
      <c r="J131" s="354" t="s">
        <v>636</v>
      </c>
      <c r="M131" s="360">
        <f t="shared" si="12"/>
        <v>46216</v>
      </c>
      <c r="N131" s="360">
        <f t="shared" si="9"/>
        <v>46222</v>
      </c>
      <c r="O131" s="2">
        <f t="shared" si="10"/>
        <v>0</v>
      </c>
      <c r="P131" s="2">
        <f t="shared" si="11"/>
        <v>0</v>
      </c>
    </row>
    <row r="132">
      <c r="A132" s="344">
        <f t="shared" si="5"/>
        <v>850</v>
      </c>
      <c r="B132" s="344">
        <f t="shared" si="6"/>
        <v>90</v>
      </c>
      <c r="C132" s="368">
        <v>45834.0</v>
      </c>
      <c r="D132" s="389" t="str">
        <f t="shared" si="7"/>
        <v>Thursday</v>
      </c>
      <c r="E132" s="344" t="s">
        <v>162</v>
      </c>
      <c r="F132" s="367">
        <v>0.7083333333333334</v>
      </c>
      <c r="G132" s="367">
        <v>0.7708333333333334</v>
      </c>
      <c r="H132" s="357">
        <f t="shared" si="29"/>
        <v>90</v>
      </c>
      <c r="I132" s="346">
        <f t="shared" si="30"/>
        <v>850</v>
      </c>
      <c r="J132" s="354" t="s">
        <v>636</v>
      </c>
      <c r="M132" s="360">
        <f t="shared" si="12"/>
        <v>46223</v>
      </c>
      <c r="N132" s="360">
        <f t="shared" si="9"/>
        <v>46229</v>
      </c>
      <c r="O132" s="2">
        <f t="shared" si="10"/>
        <v>0</v>
      </c>
      <c r="P132" s="2">
        <f t="shared" si="11"/>
        <v>0</v>
      </c>
    </row>
    <row r="133">
      <c r="A133" s="344">
        <f t="shared" si="5"/>
        <v>850</v>
      </c>
      <c r="B133" s="344">
        <f t="shared" si="6"/>
        <v>90</v>
      </c>
      <c r="C133" s="368">
        <v>45835.0</v>
      </c>
      <c r="D133" s="389" t="str">
        <f t="shared" si="7"/>
        <v>Friday</v>
      </c>
      <c r="E133" s="344" t="s">
        <v>162</v>
      </c>
      <c r="F133" s="367">
        <v>0.7291666666666666</v>
      </c>
      <c r="G133" s="367">
        <v>0.7708333333333334</v>
      </c>
      <c r="H133" s="357">
        <f t="shared" si="29"/>
        <v>60</v>
      </c>
      <c r="I133" s="346">
        <f t="shared" si="30"/>
        <v>566</v>
      </c>
      <c r="J133" s="354" t="s">
        <v>636</v>
      </c>
      <c r="M133" s="360">
        <f t="shared" si="12"/>
        <v>46230</v>
      </c>
      <c r="N133" s="360">
        <f t="shared" si="9"/>
        <v>46236</v>
      </c>
      <c r="O133" s="2">
        <f t="shared" si="10"/>
        <v>0</v>
      </c>
      <c r="P133" s="2">
        <f t="shared" si="11"/>
        <v>0</v>
      </c>
    </row>
    <row r="134">
      <c r="A134" s="344">
        <f t="shared" si="5"/>
        <v>850</v>
      </c>
      <c r="B134" s="344">
        <f t="shared" si="6"/>
        <v>90</v>
      </c>
      <c r="C134" s="368"/>
      <c r="D134" s="389" t="str">
        <f t="shared" si="7"/>
        <v>Saturday</v>
      </c>
      <c r="E134" s="344" t="s">
        <v>162</v>
      </c>
      <c r="F134" s="405">
        <v>0.0</v>
      </c>
      <c r="G134" s="405">
        <v>0.0</v>
      </c>
      <c r="H134" s="357">
        <f t="shared" si="29"/>
        <v>0</v>
      </c>
      <c r="I134" s="346">
        <f t="shared" si="30"/>
        <v>0</v>
      </c>
      <c r="J134" s="354" t="s">
        <v>636</v>
      </c>
      <c r="K134" s="6" t="s">
        <v>648</v>
      </c>
      <c r="M134" s="360">
        <f t="shared" si="12"/>
        <v>46237</v>
      </c>
      <c r="N134" s="360">
        <f t="shared" si="9"/>
        <v>46243</v>
      </c>
      <c r="O134" s="2">
        <f t="shared" si="10"/>
        <v>0</v>
      </c>
      <c r="P134" s="2">
        <f t="shared" si="11"/>
        <v>0</v>
      </c>
    </row>
    <row r="135">
      <c r="A135" s="344">
        <f t="shared" si="5"/>
        <v>850</v>
      </c>
      <c r="B135" s="344">
        <f t="shared" si="6"/>
        <v>90</v>
      </c>
      <c r="C135" s="368"/>
      <c r="D135" s="389" t="str">
        <f t="shared" si="7"/>
        <v>Saturday</v>
      </c>
      <c r="E135" s="344" t="s">
        <v>162</v>
      </c>
      <c r="F135" s="405">
        <v>0.0</v>
      </c>
      <c r="G135" s="405">
        <v>0.0</v>
      </c>
      <c r="H135" s="357">
        <f t="shared" si="29"/>
        <v>0</v>
      </c>
      <c r="I135" s="346">
        <f t="shared" si="30"/>
        <v>0</v>
      </c>
      <c r="J135" s="354" t="s">
        <v>636</v>
      </c>
      <c r="K135" s="6" t="s">
        <v>648</v>
      </c>
      <c r="M135" s="360">
        <f t="shared" si="12"/>
        <v>46244</v>
      </c>
      <c r="N135" s="360">
        <f t="shared" si="9"/>
        <v>46250</v>
      </c>
      <c r="O135" s="2">
        <f t="shared" si="10"/>
        <v>0</v>
      </c>
      <c r="P135" s="2">
        <f t="shared" si="11"/>
        <v>0</v>
      </c>
    </row>
    <row r="136">
      <c r="A136" s="344">
        <f t="shared" si="5"/>
        <v>850</v>
      </c>
      <c r="B136" s="344">
        <f t="shared" si="6"/>
        <v>90</v>
      </c>
      <c r="C136" s="368">
        <v>45881.0</v>
      </c>
      <c r="D136" s="389" t="str">
        <f t="shared" si="7"/>
        <v>Tuesday</v>
      </c>
      <c r="E136" s="344" t="s">
        <v>162</v>
      </c>
      <c r="F136" s="367">
        <v>0.7083333333333334</v>
      </c>
      <c r="G136" s="367">
        <v>0.7708333333333334</v>
      </c>
      <c r="H136" s="357">
        <f t="shared" si="29"/>
        <v>90</v>
      </c>
      <c r="I136" s="346">
        <f t="shared" si="30"/>
        <v>850</v>
      </c>
      <c r="J136" s="354" t="s">
        <v>636</v>
      </c>
      <c r="M136" s="360">
        <f t="shared" si="12"/>
        <v>46251</v>
      </c>
      <c r="N136" s="360">
        <f t="shared" si="9"/>
        <v>46257</v>
      </c>
      <c r="O136" s="2">
        <f t="shared" si="10"/>
        <v>0</v>
      </c>
      <c r="P136" s="2">
        <f t="shared" si="11"/>
        <v>0</v>
      </c>
    </row>
    <row r="137">
      <c r="A137" s="344">
        <f t="shared" si="5"/>
        <v>850</v>
      </c>
      <c r="B137" s="344">
        <f t="shared" si="6"/>
        <v>90</v>
      </c>
      <c r="C137" s="368">
        <v>45883.0</v>
      </c>
      <c r="D137" s="389" t="str">
        <f t="shared" si="7"/>
        <v>Thursday</v>
      </c>
      <c r="E137" s="344" t="s">
        <v>162</v>
      </c>
      <c r="F137" s="367">
        <v>0.7083333333333334</v>
      </c>
      <c r="G137" s="367">
        <v>0.7708333333333334</v>
      </c>
      <c r="H137" s="357">
        <f t="shared" si="29"/>
        <v>90</v>
      </c>
      <c r="I137" s="346">
        <f t="shared" si="30"/>
        <v>850</v>
      </c>
      <c r="J137" s="354" t="s">
        <v>636</v>
      </c>
      <c r="M137" s="360">
        <f t="shared" si="12"/>
        <v>46258</v>
      </c>
      <c r="N137" s="360">
        <f t="shared" si="9"/>
        <v>46264</v>
      </c>
      <c r="O137" s="2">
        <f t="shared" si="10"/>
        <v>0</v>
      </c>
      <c r="P137" s="2">
        <f t="shared" si="11"/>
        <v>0</v>
      </c>
    </row>
    <row r="138">
      <c r="A138" s="344">
        <f t="shared" si="5"/>
        <v>850</v>
      </c>
      <c r="B138" s="344">
        <f t="shared" si="6"/>
        <v>90</v>
      </c>
      <c r="C138" s="368"/>
      <c r="D138" s="389" t="str">
        <f t="shared" si="7"/>
        <v>Saturday</v>
      </c>
      <c r="E138" s="344" t="s">
        <v>162</v>
      </c>
      <c r="F138" s="367"/>
      <c r="G138" s="367"/>
      <c r="H138" s="357">
        <f t="shared" si="29"/>
        <v>0</v>
      </c>
      <c r="I138" s="346">
        <f t="shared" si="30"/>
        <v>0</v>
      </c>
      <c r="J138" s="354" t="s">
        <v>636</v>
      </c>
      <c r="M138" s="360">
        <f t="shared" si="12"/>
        <v>46265</v>
      </c>
      <c r="N138" s="360">
        <f t="shared" si="9"/>
        <v>46271</v>
      </c>
      <c r="O138" s="2">
        <f t="shared" si="10"/>
        <v>0</v>
      </c>
      <c r="P138" s="2">
        <f t="shared" si="11"/>
        <v>0</v>
      </c>
    </row>
    <row r="139">
      <c r="A139" s="344">
        <f t="shared" si="5"/>
        <v>850</v>
      </c>
      <c r="B139" s="344">
        <f t="shared" si="6"/>
        <v>90</v>
      </c>
      <c r="C139" s="368">
        <v>45915.0</v>
      </c>
      <c r="D139" s="389" t="str">
        <f t="shared" si="7"/>
        <v>Monday</v>
      </c>
      <c r="E139" s="344" t="s">
        <v>162</v>
      </c>
      <c r="F139" s="367">
        <v>0.7916666666666666</v>
      </c>
      <c r="G139" s="367">
        <v>0.8541666666666666</v>
      </c>
      <c r="H139" s="357">
        <f t="shared" si="29"/>
        <v>90</v>
      </c>
      <c r="I139" s="346">
        <f t="shared" si="30"/>
        <v>850</v>
      </c>
      <c r="J139" s="354" t="s">
        <v>636</v>
      </c>
      <c r="M139" s="360">
        <f t="shared" si="12"/>
        <v>46272</v>
      </c>
      <c r="N139" s="360">
        <f t="shared" si="9"/>
        <v>46278</v>
      </c>
      <c r="O139" s="2">
        <f t="shared" si="10"/>
        <v>0</v>
      </c>
      <c r="P139" s="2">
        <f t="shared" si="11"/>
        <v>0</v>
      </c>
    </row>
    <row r="140">
      <c r="A140" s="344">
        <f t="shared" si="5"/>
        <v>850</v>
      </c>
      <c r="B140" s="344">
        <f t="shared" si="6"/>
        <v>90</v>
      </c>
      <c r="C140" s="368">
        <v>45916.0</v>
      </c>
      <c r="D140" s="389" t="str">
        <f t="shared" si="7"/>
        <v>Tuesday</v>
      </c>
      <c r="E140" s="344" t="s">
        <v>162</v>
      </c>
      <c r="F140" s="367">
        <v>0.7291666666666666</v>
      </c>
      <c r="G140" s="367">
        <v>0.7916666666666666</v>
      </c>
      <c r="H140" s="357">
        <f t="shared" si="29"/>
        <v>90</v>
      </c>
      <c r="I140" s="346">
        <f t="shared" si="30"/>
        <v>850</v>
      </c>
      <c r="J140" s="354" t="s">
        <v>636</v>
      </c>
      <c r="M140" s="360">
        <f t="shared" si="12"/>
        <v>46279</v>
      </c>
      <c r="N140" s="360">
        <f t="shared" si="9"/>
        <v>46285</v>
      </c>
      <c r="O140" s="2">
        <f t="shared" si="10"/>
        <v>0</v>
      </c>
      <c r="P140" s="2">
        <f t="shared" si="11"/>
        <v>0</v>
      </c>
    </row>
    <row r="141">
      <c r="A141" s="344">
        <f t="shared" si="5"/>
        <v>850</v>
      </c>
      <c r="B141" s="344">
        <f t="shared" si="6"/>
        <v>90</v>
      </c>
      <c r="C141" s="368">
        <v>45917.0</v>
      </c>
      <c r="D141" s="389" t="str">
        <f t="shared" si="7"/>
        <v>Wednesday</v>
      </c>
      <c r="E141" s="344" t="s">
        <v>162</v>
      </c>
      <c r="F141" s="367">
        <v>0.7916666666666666</v>
      </c>
      <c r="G141" s="367">
        <v>0.8541666666666666</v>
      </c>
      <c r="H141" s="357">
        <f t="shared" si="29"/>
        <v>90</v>
      </c>
      <c r="I141" s="346">
        <f t="shared" si="30"/>
        <v>850</v>
      </c>
      <c r="J141" s="354" t="s">
        <v>636</v>
      </c>
      <c r="M141" s="360">
        <f t="shared" si="12"/>
        <v>46286</v>
      </c>
      <c r="N141" s="360">
        <f t="shared" si="9"/>
        <v>46292</v>
      </c>
      <c r="O141" s="2">
        <f t="shared" si="10"/>
        <v>0</v>
      </c>
      <c r="P141" s="2">
        <f t="shared" si="11"/>
        <v>0</v>
      </c>
    </row>
    <row r="142">
      <c r="A142" s="344">
        <f t="shared" si="5"/>
        <v>850</v>
      </c>
      <c r="B142" s="344">
        <f t="shared" si="6"/>
        <v>90</v>
      </c>
      <c r="C142" s="368"/>
      <c r="D142" s="389" t="str">
        <f t="shared" si="7"/>
        <v>Saturday</v>
      </c>
      <c r="E142" s="344" t="s">
        <v>162</v>
      </c>
      <c r="F142" s="370"/>
      <c r="G142" s="370"/>
      <c r="H142" s="357">
        <f t="shared" si="29"/>
        <v>0</v>
      </c>
      <c r="I142" s="346">
        <f t="shared" si="30"/>
        <v>0</v>
      </c>
      <c r="J142" s="354" t="s">
        <v>636</v>
      </c>
      <c r="M142" s="360">
        <f t="shared" si="12"/>
        <v>46293</v>
      </c>
      <c r="N142" s="360">
        <f t="shared" si="9"/>
        <v>46299</v>
      </c>
      <c r="O142" s="2">
        <f t="shared" si="10"/>
        <v>0</v>
      </c>
      <c r="P142" s="2">
        <f t="shared" si="11"/>
        <v>0</v>
      </c>
    </row>
    <row r="143">
      <c r="A143" s="344">
        <f t="shared" si="5"/>
        <v>850</v>
      </c>
      <c r="B143" s="344">
        <f t="shared" si="6"/>
        <v>90</v>
      </c>
      <c r="C143" s="368"/>
      <c r="D143" s="389" t="str">
        <f t="shared" si="7"/>
        <v>Saturday</v>
      </c>
      <c r="E143" s="344" t="s">
        <v>162</v>
      </c>
      <c r="F143" s="370"/>
      <c r="G143" s="370"/>
      <c r="H143" s="357">
        <f t="shared" si="29"/>
        <v>0</v>
      </c>
      <c r="I143" s="346">
        <f t="shared" si="30"/>
        <v>0</v>
      </c>
      <c r="J143" s="354" t="s">
        <v>636</v>
      </c>
      <c r="M143" s="360">
        <f t="shared" si="12"/>
        <v>46300</v>
      </c>
      <c r="N143" s="360">
        <f t="shared" si="9"/>
        <v>46306</v>
      </c>
      <c r="O143" s="2">
        <f t="shared" si="10"/>
        <v>0</v>
      </c>
      <c r="P143" s="2">
        <f t="shared" si="11"/>
        <v>0</v>
      </c>
    </row>
    <row r="144">
      <c r="A144" s="344">
        <f t="shared" si="5"/>
        <v>850</v>
      </c>
      <c r="B144" s="344">
        <f t="shared" si="6"/>
        <v>90</v>
      </c>
      <c r="C144" s="369"/>
      <c r="D144" s="389" t="str">
        <f t="shared" si="7"/>
        <v>Saturday</v>
      </c>
      <c r="E144" s="344" t="s">
        <v>162</v>
      </c>
      <c r="F144" s="370"/>
      <c r="G144" s="370"/>
      <c r="H144" s="357">
        <f t="shared" si="29"/>
        <v>0</v>
      </c>
      <c r="I144" s="346">
        <f t="shared" si="30"/>
        <v>0</v>
      </c>
      <c r="J144" s="354" t="s">
        <v>636</v>
      </c>
      <c r="M144" s="360">
        <f t="shared" si="12"/>
        <v>46307</v>
      </c>
      <c r="N144" s="360">
        <f t="shared" si="9"/>
        <v>46313</v>
      </c>
      <c r="O144" s="2">
        <f t="shared" si="10"/>
        <v>0</v>
      </c>
      <c r="P144" s="2">
        <f t="shared" si="11"/>
        <v>0</v>
      </c>
    </row>
    <row r="145">
      <c r="A145" s="344">
        <f t="shared" si="5"/>
        <v>850</v>
      </c>
      <c r="B145" s="344">
        <f t="shared" si="6"/>
        <v>90</v>
      </c>
      <c r="C145" s="369"/>
      <c r="D145" s="389" t="str">
        <f t="shared" si="7"/>
        <v>Saturday</v>
      </c>
      <c r="E145" s="344" t="s">
        <v>162</v>
      </c>
      <c r="F145" s="370"/>
      <c r="G145" s="370"/>
      <c r="H145" s="357">
        <f t="shared" si="29"/>
        <v>0</v>
      </c>
      <c r="I145" s="346">
        <f t="shared" si="30"/>
        <v>0</v>
      </c>
      <c r="J145" s="354" t="s">
        <v>636</v>
      </c>
      <c r="M145" s="360">
        <f t="shared" si="12"/>
        <v>46314</v>
      </c>
      <c r="N145" s="360">
        <f t="shared" si="9"/>
        <v>46320</v>
      </c>
      <c r="O145" s="2">
        <f t="shared" si="10"/>
        <v>0</v>
      </c>
      <c r="P145" s="2">
        <f t="shared" si="11"/>
        <v>0</v>
      </c>
    </row>
    <row r="146">
      <c r="A146" s="344">
        <f t="shared" si="5"/>
        <v>850</v>
      </c>
      <c r="B146" s="344">
        <f t="shared" si="6"/>
        <v>90</v>
      </c>
      <c r="C146" s="369"/>
      <c r="D146" s="389" t="str">
        <f t="shared" si="7"/>
        <v>Saturday</v>
      </c>
      <c r="E146" s="344" t="s">
        <v>162</v>
      </c>
      <c r="F146" s="370"/>
      <c r="G146" s="370"/>
      <c r="H146" s="357">
        <f t="shared" si="29"/>
        <v>0</v>
      </c>
      <c r="I146" s="346">
        <f t="shared" si="30"/>
        <v>0</v>
      </c>
      <c r="J146" s="354" t="s">
        <v>636</v>
      </c>
      <c r="M146" s="360">
        <f t="shared" si="12"/>
        <v>46321</v>
      </c>
      <c r="N146" s="360">
        <f t="shared" si="9"/>
        <v>46327</v>
      </c>
      <c r="O146" s="2">
        <f t="shared" si="10"/>
        <v>0</v>
      </c>
      <c r="P146" s="2">
        <f t="shared" si="11"/>
        <v>0</v>
      </c>
    </row>
    <row r="147">
      <c r="A147" s="344">
        <f t="shared" si="5"/>
        <v>850</v>
      </c>
      <c r="B147" s="344">
        <f t="shared" si="6"/>
        <v>90</v>
      </c>
      <c r="C147" s="368">
        <v>45959.0</v>
      </c>
      <c r="D147" s="389" t="str">
        <f t="shared" si="7"/>
        <v>Wednesday</v>
      </c>
      <c r="E147" s="344" t="s">
        <v>162</v>
      </c>
      <c r="F147" s="367">
        <v>0.7083333333333334</v>
      </c>
      <c r="G147" s="367">
        <v>0.7916666666666666</v>
      </c>
      <c r="H147" s="357">
        <f t="shared" si="29"/>
        <v>120</v>
      </c>
      <c r="I147" s="346">
        <f t="shared" si="30"/>
        <v>1133</v>
      </c>
      <c r="J147" s="354" t="s">
        <v>636</v>
      </c>
      <c r="M147" s="360">
        <f t="shared" si="12"/>
        <v>46328</v>
      </c>
      <c r="N147" s="360">
        <f t="shared" si="9"/>
        <v>46334</v>
      </c>
      <c r="O147" s="2">
        <f t="shared" si="10"/>
        <v>0</v>
      </c>
      <c r="P147" s="2">
        <f t="shared" si="11"/>
        <v>0</v>
      </c>
    </row>
    <row r="148">
      <c r="A148" s="344">
        <f t="shared" si="5"/>
        <v>850</v>
      </c>
      <c r="B148" s="344">
        <f t="shared" si="6"/>
        <v>90</v>
      </c>
      <c r="C148" s="368">
        <v>45961.0</v>
      </c>
      <c r="D148" s="389" t="str">
        <f t="shared" si="7"/>
        <v>Friday</v>
      </c>
      <c r="E148" s="344" t="s">
        <v>162</v>
      </c>
      <c r="F148" s="367">
        <v>0.75</v>
      </c>
      <c r="G148" s="367">
        <v>0.7777777777777778</v>
      </c>
      <c r="H148" s="357">
        <f t="shared" si="29"/>
        <v>40</v>
      </c>
      <c r="I148" s="346">
        <f t="shared" si="30"/>
        <v>377</v>
      </c>
      <c r="J148" s="354" t="s">
        <v>636</v>
      </c>
      <c r="M148" s="360">
        <f t="shared" si="12"/>
        <v>46335</v>
      </c>
      <c r="N148" s="360">
        <f t="shared" si="9"/>
        <v>46341</v>
      </c>
      <c r="O148" s="2">
        <f t="shared" si="10"/>
        <v>0</v>
      </c>
      <c r="P148" s="2">
        <f t="shared" si="11"/>
        <v>0</v>
      </c>
    </row>
    <row r="149">
      <c r="A149" s="344">
        <f t="shared" si="5"/>
        <v>850</v>
      </c>
      <c r="B149" s="344">
        <f t="shared" si="6"/>
        <v>90</v>
      </c>
      <c r="C149" s="368">
        <v>45964.0</v>
      </c>
      <c r="D149" s="389" t="str">
        <f t="shared" si="7"/>
        <v>Monday</v>
      </c>
      <c r="E149" s="344" t="s">
        <v>162</v>
      </c>
      <c r="F149" s="367">
        <v>0.75</v>
      </c>
      <c r="G149" s="367">
        <v>0.7986111111111112</v>
      </c>
      <c r="H149" s="357">
        <f t="shared" si="29"/>
        <v>70</v>
      </c>
      <c r="I149" s="346">
        <f t="shared" si="30"/>
        <v>661</v>
      </c>
      <c r="J149" s="354" t="s">
        <v>636</v>
      </c>
      <c r="M149" s="360">
        <f t="shared" si="12"/>
        <v>46342</v>
      </c>
      <c r="N149" s="360">
        <f t="shared" si="9"/>
        <v>46348</v>
      </c>
      <c r="O149" s="2">
        <f t="shared" si="10"/>
        <v>0</v>
      </c>
      <c r="P149" s="2">
        <f t="shared" si="11"/>
        <v>0</v>
      </c>
    </row>
    <row r="150">
      <c r="A150" s="344">
        <f t="shared" si="5"/>
        <v>850</v>
      </c>
      <c r="B150" s="344">
        <f t="shared" si="6"/>
        <v>90</v>
      </c>
      <c r="C150" s="368">
        <v>45965.0</v>
      </c>
      <c r="D150" s="389" t="str">
        <f t="shared" si="7"/>
        <v>Tuesday</v>
      </c>
      <c r="E150" s="344" t="s">
        <v>162</v>
      </c>
      <c r="F150" s="370"/>
      <c r="G150" s="370"/>
      <c r="H150" s="357">
        <f t="shared" si="29"/>
        <v>0</v>
      </c>
      <c r="I150" s="354">
        <v>2125.0</v>
      </c>
      <c r="J150" s="354" t="s">
        <v>68</v>
      </c>
      <c r="M150" s="360">
        <f t="shared" si="12"/>
        <v>46349</v>
      </c>
      <c r="N150" s="360">
        <f t="shared" si="9"/>
        <v>46355</v>
      </c>
      <c r="O150" s="2">
        <f t="shared" si="10"/>
        <v>0</v>
      </c>
      <c r="P150" s="2">
        <f t="shared" si="11"/>
        <v>0</v>
      </c>
    </row>
    <row r="151">
      <c r="A151" s="344">
        <f t="shared" si="5"/>
        <v>850</v>
      </c>
      <c r="B151" s="344">
        <f t="shared" si="6"/>
        <v>90</v>
      </c>
      <c r="C151" s="368">
        <v>45966.0</v>
      </c>
      <c r="D151" s="389" t="str">
        <f t="shared" si="7"/>
        <v>Wednesday</v>
      </c>
      <c r="E151" s="344" t="s">
        <v>162</v>
      </c>
      <c r="F151" s="367">
        <v>0.75</v>
      </c>
      <c r="G151" s="367">
        <v>0.8125</v>
      </c>
      <c r="H151" s="357">
        <f t="shared" si="29"/>
        <v>90</v>
      </c>
      <c r="I151" s="346">
        <f t="shared" ref="I151:I968" si="31">FLOOR(A151*H151/B151,1)</f>
        <v>850</v>
      </c>
      <c r="J151" s="354" t="s">
        <v>636</v>
      </c>
      <c r="M151" s="360">
        <f t="shared" si="12"/>
        <v>46356</v>
      </c>
      <c r="N151" s="360">
        <f t="shared" si="9"/>
        <v>46362</v>
      </c>
      <c r="O151" s="2">
        <f t="shared" si="10"/>
        <v>0</v>
      </c>
      <c r="P151" s="2">
        <f t="shared" si="11"/>
        <v>0</v>
      </c>
    </row>
    <row r="152">
      <c r="A152" s="344">
        <f t="shared" si="5"/>
        <v>850</v>
      </c>
      <c r="B152" s="344">
        <f t="shared" si="6"/>
        <v>90</v>
      </c>
      <c r="C152" s="369"/>
      <c r="D152" s="389" t="str">
        <f t="shared" si="7"/>
        <v>Saturday</v>
      </c>
      <c r="E152" s="344" t="s">
        <v>162</v>
      </c>
      <c r="F152" s="370"/>
      <c r="G152" s="370"/>
      <c r="H152" s="357">
        <f t="shared" si="29"/>
        <v>0</v>
      </c>
      <c r="I152" s="346">
        <f t="shared" si="31"/>
        <v>0</v>
      </c>
      <c r="J152" s="354" t="s">
        <v>636</v>
      </c>
      <c r="M152" s="360">
        <f t="shared" si="12"/>
        <v>46363</v>
      </c>
      <c r="N152" s="360">
        <f t="shared" si="9"/>
        <v>46369</v>
      </c>
      <c r="O152" s="2">
        <f t="shared" si="10"/>
        <v>0</v>
      </c>
      <c r="P152" s="2">
        <f t="shared" si="11"/>
        <v>0</v>
      </c>
    </row>
    <row r="153">
      <c r="A153" s="344">
        <f t="shared" si="5"/>
        <v>850</v>
      </c>
      <c r="B153" s="344">
        <f t="shared" si="6"/>
        <v>90</v>
      </c>
      <c r="C153" s="369"/>
      <c r="D153" s="389" t="str">
        <f t="shared" si="7"/>
        <v>Saturday</v>
      </c>
      <c r="E153" s="344" t="s">
        <v>162</v>
      </c>
      <c r="F153" s="370"/>
      <c r="G153" s="370"/>
      <c r="H153" s="357">
        <f t="shared" si="29"/>
        <v>0</v>
      </c>
      <c r="I153" s="346">
        <f t="shared" si="31"/>
        <v>0</v>
      </c>
      <c r="J153" s="354" t="s">
        <v>636</v>
      </c>
      <c r="M153" s="360">
        <f t="shared" si="12"/>
        <v>46370</v>
      </c>
      <c r="N153" s="360">
        <f t="shared" si="9"/>
        <v>46376</v>
      </c>
      <c r="O153" s="2">
        <f t="shared" si="10"/>
        <v>0</v>
      </c>
      <c r="P153" s="2">
        <f t="shared" si="11"/>
        <v>0</v>
      </c>
    </row>
    <row r="154">
      <c r="A154" s="344">
        <f t="shared" si="5"/>
        <v>850</v>
      </c>
      <c r="B154" s="344">
        <f t="shared" si="6"/>
        <v>90</v>
      </c>
      <c r="C154" s="369"/>
      <c r="D154" s="389" t="str">
        <f t="shared" si="7"/>
        <v>Saturday</v>
      </c>
      <c r="E154" s="344" t="s">
        <v>162</v>
      </c>
      <c r="F154" s="370"/>
      <c r="G154" s="370"/>
      <c r="H154" s="357">
        <f t="shared" si="29"/>
        <v>0</v>
      </c>
      <c r="I154" s="346">
        <f t="shared" si="31"/>
        <v>0</v>
      </c>
      <c r="J154" s="354" t="s">
        <v>636</v>
      </c>
      <c r="M154" s="360">
        <f t="shared" si="12"/>
        <v>46377</v>
      </c>
      <c r="N154" s="360">
        <f t="shared" si="9"/>
        <v>46383</v>
      </c>
      <c r="O154" s="2">
        <f t="shared" si="10"/>
        <v>0</v>
      </c>
      <c r="P154" s="2">
        <f t="shared" si="11"/>
        <v>0</v>
      </c>
    </row>
    <row r="155">
      <c r="A155" s="344">
        <f t="shared" si="5"/>
        <v>850</v>
      </c>
      <c r="B155" s="344">
        <f t="shared" si="6"/>
        <v>90</v>
      </c>
      <c r="C155" s="369"/>
      <c r="D155" s="389" t="str">
        <f t="shared" si="7"/>
        <v>Saturday</v>
      </c>
      <c r="E155" s="344" t="s">
        <v>162</v>
      </c>
      <c r="F155" s="370"/>
      <c r="G155" s="370"/>
      <c r="H155" s="357">
        <f t="shared" si="29"/>
        <v>0</v>
      </c>
      <c r="I155" s="346">
        <f t="shared" si="31"/>
        <v>0</v>
      </c>
      <c r="J155" s="354" t="s">
        <v>636</v>
      </c>
      <c r="M155" s="360">
        <f t="shared" si="12"/>
        <v>46384</v>
      </c>
      <c r="N155" s="360">
        <f t="shared" si="9"/>
        <v>46390</v>
      </c>
      <c r="O155" s="2">
        <f t="shared" si="10"/>
        <v>0</v>
      </c>
      <c r="P155" s="2">
        <f t="shared" si="11"/>
        <v>0</v>
      </c>
    </row>
    <row r="156">
      <c r="A156" s="344">
        <f t="shared" si="5"/>
        <v>850</v>
      </c>
      <c r="B156" s="344">
        <f t="shared" si="6"/>
        <v>90</v>
      </c>
      <c r="C156" s="369"/>
      <c r="D156" s="389" t="str">
        <f t="shared" si="7"/>
        <v>Saturday</v>
      </c>
      <c r="E156" s="344" t="s">
        <v>162</v>
      </c>
      <c r="F156" s="370"/>
      <c r="G156" s="370"/>
      <c r="H156" s="357">
        <f t="shared" si="29"/>
        <v>0</v>
      </c>
      <c r="I156" s="346">
        <f t="shared" si="31"/>
        <v>0</v>
      </c>
      <c r="J156" s="354" t="s">
        <v>636</v>
      </c>
      <c r="M156" s="360">
        <f t="shared" si="12"/>
        <v>46391</v>
      </c>
      <c r="N156" s="360">
        <f t="shared" si="9"/>
        <v>46397</v>
      </c>
      <c r="O156" s="2">
        <f t="shared" si="10"/>
        <v>0</v>
      </c>
      <c r="P156" s="2">
        <f t="shared" si="11"/>
        <v>0</v>
      </c>
    </row>
    <row r="157">
      <c r="A157" s="344">
        <f t="shared" si="5"/>
        <v>850</v>
      </c>
      <c r="B157" s="344">
        <f t="shared" si="6"/>
        <v>90</v>
      </c>
      <c r="C157" s="369"/>
      <c r="D157" s="389" t="str">
        <f t="shared" si="7"/>
        <v>Saturday</v>
      </c>
      <c r="E157" s="344" t="s">
        <v>162</v>
      </c>
      <c r="F157" s="370"/>
      <c r="G157" s="370"/>
      <c r="H157" s="357">
        <f t="shared" si="29"/>
        <v>0</v>
      </c>
      <c r="I157" s="346">
        <f t="shared" si="31"/>
        <v>0</v>
      </c>
      <c r="J157" s="354" t="s">
        <v>636</v>
      </c>
      <c r="M157" s="360">
        <f t="shared" si="12"/>
        <v>46398</v>
      </c>
      <c r="N157" s="360">
        <f t="shared" si="9"/>
        <v>46404</v>
      </c>
      <c r="O157" s="2">
        <f t="shared" si="10"/>
        <v>0</v>
      </c>
      <c r="P157" s="2">
        <f t="shared" si="11"/>
        <v>0</v>
      </c>
    </row>
    <row r="158">
      <c r="A158" s="344">
        <f t="shared" si="5"/>
        <v>850</v>
      </c>
      <c r="B158" s="344">
        <f t="shared" si="6"/>
        <v>90</v>
      </c>
      <c r="C158" s="369"/>
      <c r="D158" s="389" t="str">
        <f t="shared" si="7"/>
        <v>Saturday</v>
      </c>
      <c r="E158" s="344" t="s">
        <v>162</v>
      </c>
      <c r="F158" s="370"/>
      <c r="G158" s="370"/>
      <c r="H158" s="357">
        <f t="shared" si="29"/>
        <v>0</v>
      </c>
      <c r="I158" s="346">
        <f t="shared" si="31"/>
        <v>0</v>
      </c>
      <c r="J158" s="354" t="s">
        <v>636</v>
      </c>
      <c r="M158" s="360">
        <f t="shared" si="12"/>
        <v>46405</v>
      </c>
      <c r="N158" s="360">
        <f t="shared" si="9"/>
        <v>46411</v>
      </c>
      <c r="O158" s="2">
        <f t="shared" si="10"/>
        <v>0</v>
      </c>
      <c r="P158" s="2">
        <f t="shared" si="11"/>
        <v>0</v>
      </c>
    </row>
    <row r="159">
      <c r="A159" s="344">
        <f t="shared" si="5"/>
        <v>850</v>
      </c>
      <c r="B159" s="344">
        <f t="shared" si="6"/>
        <v>90</v>
      </c>
      <c r="C159" s="369"/>
      <c r="D159" s="389" t="str">
        <f t="shared" si="7"/>
        <v>Saturday</v>
      </c>
      <c r="E159" s="344" t="s">
        <v>162</v>
      </c>
      <c r="F159" s="370"/>
      <c r="G159" s="370"/>
      <c r="H159" s="357">
        <f t="shared" si="29"/>
        <v>0</v>
      </c>
      <c r="I159" s="346">
        <f t="shared" si="31"/>
        <v>0</v>
      </c>
      <c r="J159" s="354" t="s">
        <v>636</v>
      </c>
      <c r="M159" s="360">
        <f t="shared" si="12"/>
        <v>46412</v>
      </c>
      <c r="N159" s="360">
        <f t="shared" si="9"/>
        <v>46418</v>
      </c>
      <c r="O159" s="2">
        <f t="shared" si="10"/>
        <v>0</v>
      </c>
      <c r="P159" s="2">
        <f t="shared" si="11"/>
        <v>0</v>
      </c>
    </row>
    <row r="160">
      <c r="A160" s="344">
        <f t="shared" si="5"/>
        <v>850</v>
      </c>
      <c r="B160" s="344">
        <f t="shared" si="6"/>
        <v>90</v>
      </c>
      <c r="C160" s="369"/>
      <c r="D160" s="389" t="str">
        <f t="shared" si="7"/>
        <v>Saturday</v>
      </c>
      <c r="E160" s="344" t="s">
        <v>162</v>
      </c>
      <c r="F160" s="370"/>
      <c r="G160" s="370"/>
      <c r="H160" s="357">
        <f t="shared" si="29"/>
        <v>0</v>
      </c>
      <c r="I160" s="346">
        <f t="shared" si="31"/>
        <v>0</v>
      </c>
      <c r="J160" s="354" t="s">
        <v>636</v>
      </c>
      <c r="M160" s="360">
        <f t="shared" si="12"/>
        <v>46419</v>
      </c>
      <c r="N160" s="360">
        <f t="shared" si="9"/>
        <v>46425</v>
      </c>
      <c r="O160" s="2">
        <f t="shared" si="10"/>
        <v>0</v>
      </c>
      <c r="P160" s="2">
        <f t="shared" si="11"/>
        <v>0</v>
      </c>
    </row>
    <row r="161">
      <c r="A161" s="344">
        <f t="shared" si="5"/>
        <v>850</v>
      </c>
      <c r="B161" s="344">
        <f t="shared" si="6"/>
        <v>90</v>
      </c>
      <c r="C161" s="369"/>
      <c r="D161" s="389" t="str">
        <f t="shared" si="7"/>
        <v>Saturday</v>
      </c>
      <c r="E161" s="344" t="s">
        <v>162</v>
      </c>
      <c r="F161" s="370"/>
      <c r="G161" s="370"/>
      <c r="H161" s="357">
        <f t="shared" si="29"/>
        <v>0</v>
      </c>
      <c r="I161" s="346">
        <f t="shared" si="31"/>
        <v>0</v>
      </c>
      <c r="J161" s="354" t="s">
        <v>636</v>
      </c>
      <c r="M161" s="360">
        <f t="shared" si="12"/>
        <v>46426</v>
      </c>
      <c r="N161" s="360">
        <f t="shared" si="9"/>
        <v>46432</v>
      </c>
      <c r="O161" s="2">
        <f t="shared" si="10"/>
        <v>0</v>
      </c>
      <c r="P161" s="2">
        <f t="shared" si="11"/>
        <v>0</v>
      </c>
    </row>
    <row r="162">
      <c r="A162" s="344">
        <f t="shared" si="5"/>
        <v>850</v>
      </c>
      <c r="B162" s="344">
        <f t="shared" si="6"/>
        <v>90</v>
      </c>
      <c r="C162" s="369"/>
      <c r="D162" s="389" t="str">
        <f t="shared" si="7"/>
        <v>Saturday</v>
      </c>
      <c r="E162" s="344" t="s">
        <v>162</v>
      </c>
      <c r="F162" s="370"/>
      <c r="G162" s="370"/>
      <c r="H162" s="357">
        <f t="shared" si="29"/>
        <v>0</v>
      </c>
      <c r="I162" s="346">
        <f t="shared" si="31"/>
        <v>0</v>
      </c>
      <c r="J162" s="354" t="s">
        <v>636</v>
      </c>
      <c r="M162" s="360">
        <f t="shared" si="12"/>
        <v>46433</v>
      </c>
      <c r="N162" s="360">
        <f t="shared" si="9"/>
        <v>46439</v>
      </c>
      <c r="O162" s="2">
        <f t="shared" si="10"/>
        <v>0</v>
      </c>
      <c r="P162" s="2">
        <f t="shared" si="11"/>
        <v>0</v>
      </c>
    </row>
    <row r="163">
      <c r="A163" s="344">
        <f t="shared" si="5"/>
        <v>850</v>
      </c>
      <c r="B163" s="344">
        <f t="shared" si="6"/>
        <v>90</v>
      </c>
      <c r="C163" s="369"/>
      <c r="D163" s="389" t="str">
        <f t="shared" si="7"/>
        <v>Saturday</v>
      </c>
      <c r="E163" s="344" t="s">
        <v>162</v>
      </c>
      <c r="F163" s="370"/>
      <c r="G163" s="370"/>
      <c r="H163" s="357">
        <f t="shared" si="29"/>
        <v>0</v>
      </c>
      <c r="I163" s="346">
        <f t="shared" si="31"/>
        <v>0</v>
      </c>
      <c r="J163" s="354" t="s">
        <v>636</v>
      </c>
      <c r="M163" s="360">
        <f t="shared" si="12"/>
        <v>46440</v>
      </c>
      <c r="N163" s="360">
        <f t="shared" si="9"/>
        <v>46446</v>
      </c>
      <c r="O163" s="2">
        <f t="shared" si="10"/>
        <v>0</v>
      </c>
      <c r="P163" s="2">
        <f t="shared" si="11"/>
        <v>0</v>
      </c>
    </row>
    <row r="164">
      <c r="A164" s="344">
        <f t="shared" si="5"/>
        <v>850</v>
      </c>
      <c r="B164" s="344">
        <f t="shared" si="6"/>
        <v>90</v>
      </c>
      <c r="C164" s="369"/>
      <c r="D164" s="389" t="str">
        <f t="shared" si="7"/>
        <v>Saturday</v>
      </c>
      <c r="E164" s="344" t="s">
        <v>162</v>
      </c>
      <c r="F164" s="370"/>
      <c r="G164" s="370"/>
      <c r="H164" s="357">
        <f t="shared" si="29"/>
        <v>0</v>
      </c>
      <c r="I164" s="346">
        <f t="shared" si="31"/>
        <v>0</v>
      </c>
      <c r="J164" s="354" t="s">
        <v>636</v>
      </c>
      <c r="M164" s="360">
        <f t="shared" si="12"/>
        <v>46447</v>
      </c>
      <c r="N164" s="360">
        <f t="shared" si="9"/>
        <v>46453</v>
      </c>
      <c r="O164" s="2">
        <f t="shared" si="10"/>
        <v>0</v>
      </c>
      <c r="P164" s="2">
        <f t="shared" si="11"/>
        <v>0</v>
      </c>
    </row>
    <row r="165">
      <c r="A165" s="344">
        <f t="shared" si="5"/>
        <v>850</v>
      </c>
      <c r="B165" s="344">
        <f t="shared" si="6"/>
        <v>90</v>
      </c>
      <c r="C165" s="369"/>
      <c r="D165" s="389" t="str">
        <f t="shared" si="7"/>
        <v>Saturday</v>
      </c>
      <c r="E165" s="344" t="s">
        <v>162</v>
      </c>
      <c r="F165" s="370"/>
      <c r="G165" s="370"/>
      <c r="H165" s="357">
        <f t="shared" si="29"/>
        <v>0</v>
      </c>
      <c r="I165" s="346">
        <f t="shared" si="31"/>
        <v>0</v>
      </c>
      <c r="J165" s="354" t="s">
        <v>636</v>
      </c>
      <c r="M165" s="360">
        <f t="shared" si="12"/>
        <v>46454</v>
      </c>
      <c r="N165" s="360">
        <f t="shared" si="9"/>
        <v>46460</v>
      </c>
      <c r="O165" s="2">
        <f t="shared" si="10"/>
        <v>0</v>
      </c>
      <c r="P165" s="2">
        <f t="shared" si="11"/>
        <v>0</v>
      </c>
    </row>
    <row r="166">
      <c r="A166" s="344">
        <f t="shared" si="5"/>
        <v>850</v>
      </c>
      <c r="B166" s="344">
        <f t="shared" si="6"/>
        <v>90</v>
      </c>
      <c r="C166" s="369"/>
      <c r="D166" s="389" t="str">
        <f t="shared" si="7"/>
        <v>Saturday</v>
      </c>
      <c r="E166" s="344" t="s">
        <v>162</v>
      </c>
      <c r="F166" s="370"/>
      <c r="G166" s="370"/>
      <c r="H166" s="357">
        <f t="shared" si="29"/>
        <v>0</v>
      </c>
      <c r="I166" s="346">
        <f t="shared" si="31"/>
        <v>0</v>
      </c>
      <c r="J166" s="354" t="s">
        <v>636</v>
      </c>
      <c r="M166" s="360">
        <f t="shared" si="12"/>
        <v>46461</v>
      </c>
      <c r="N166" s="360">
        <f t="shared" si="9"/>
        <v>46467</v>
      </c>
      <c r="O166" s="2">
        <f t="shared" si="10"/>
        <v>0</v>
      </c>
      <c r="P166" s="2">
        <f t="shared" si="11"/>
        <v>0</v>
      </c>
    </row>
    <row r="167">
      <c r="A167" s="344">
        <f t="shared" si="5"/>
        <v>850</v>
      </c>
      <c r="B167" s="344">
        <f t="shared" si="6"/>
        <v>90</v>
      </c>
      <c r="C167" s="369"/>
      <c r="D167" s="389" t="str">
        <f t="shared" si="7"/>
        <v>Saturday</v>
      </c>
      <c r="E167" s="344" t="s">
        <v>162</v>
      </c>
      <c r="F167" s="370"/>
      <c r="G167" s="370"/>
      <c r="H167" s="357">
        <f t="shared" si="29"/>
        <v>0</v>
      </c>
      <c r="I167" s="346">
        <f t="shared" si="31"/>
        <v>0</v>
      </c>
      <c r="J167" s="354" t="s">
        <v>636</v>
      </c>
      <c r="M167" s="360">
        <f t="shared" si="12"/>
        <v>46468</v>
      </c>
      <c r="N167" s="360">
        <f t="shared" si="9"/>
        <v>46474</v>
      </c>
      <c r="O167" s="2">
        <f t="shared" si="10"/>
        <v>0</v>
      </c>
      <c r="P167" s="2">
        <f t="shared" si="11"/>
        <v>0</v>
      </c>
    </row>
    <row r="168">
      <c r="A168" s="344">
        <f t="shared" si="5"/>
        <v>850</v>
      </c>
      <c r="B168" s="344">
        <f t="shared" si="6"/>
        <v>90</v>
      </c>
      <c r="C168" s="369"/>
      <c r="D168" s="389" t="str">
        <f t="shared" si="7"/>
        <v>Saturday</v>
      </c>
      <c r="E168" s="344" t="s">
        <v>162</v>
      </c>
      <c r="F168" s="370"/>
      <c r="G168" s="370"/>
      <c r="H168" s="357">
        <f t="shared" si="29"/>
        <v>0</v>
      </c>
      <c r="I168" s="346">
        <f t="shared" si="31"/>
        <v>0</v>
      </c>
      <c r="J168" s="354" t="s">
        <v>636</v>
      </c>
      <c r="M168" s="360">
        <f t="shared" si="12"/>
        <v>46475</v>
      </c>
      <c r="N168" s="360">
        <f t="shared" si="9"/>
        <v>46481</v>
      </c>
      <c r="O168" s="2">
        <f t="shared" si="10"/>
        <v>0</v>
      </c>
      <c r="P168" s="2">
        <f t="shared" si="11"/>
        <v>0</v>
      </c>
    </row>
    <row r="169">
      <c r="A169" s="344">
        <f t="shared" si="5"/>
        <v>850</v>
      </c>
      <c r="B169" s="344">
        <f t="shared" si="6"/>
        <v>90</v>
      </c>
      <c r="C169" s="369"/>
      <c r="D169" s="389" t="str">
        <f t="shared" si="7"/>
        <v>Saturday</v>
      </c>
      <c r="E169" s="344" t="s">
        <v>162</v>
      </c>
      <c r="F169" s="370"/>
      <c r="G169" s="370"/>
      <c r="H169" s="357">
        <f t="shared" si="29"/>
        <v>0</v>
      </c>
      <c r="I169" s="346">
        <f t="shared" si="31"/>
        <v>0</v>
      </c>
      <c r="J169" s="354" t="s">
        <v>636</v>
      </c>
      <c r="M169" s="360">
        <f t="shared" si="12"/>
        <v>46482</v>
      </c>
      <c r="N169" s="360">
        <f t="shared" si="9"/>
        <v>46488</v>
      </c>
      <c r="O169" s="2">
        <f t="shared" si="10"/>
        <v>0</v>
      </c>
      <c r="P169" s="2">
        <f t="shared" si="11"/>
        <v>0</v>
      </c>
    </row>
    <row r="170">
      <c r="A170" s="344">
        <f t="shared" si="5"/>
        <v>850</v>
      </c>
      <c r="B170" s="344">
        <f t="shared" si="6"/>
        <v>90</v>
      </c>
      <c r="C170" s="369"/>
      <c r="D170" s="389" t="str">
        <f t="shared" si="7"/>
        <v>Saturday</v>
      </c>
      <c r="E170" s="344" t="s">
        <v>162</v>
      </c>
      <c r="F170" s="370"/>
      <c r="G170" s="370"/>
      <c r="H170" s="357">
        <f t="shared" si="29"/>
        <v>0</v>
      </c>
      <c r="I170" s="346">
        <f t="shared" si="31"/>
        <v>0</v>
      </c>
      <c r="J170" s="354" t="s">
        <v>636</v>
      </c>
      <c r="M170" s="360">
        <f t="shared" si="12"/>
        <v>46489</v>
      </c>
      <c r="N170" s="360">
        <f t="shared" si="9"/>
        <v>46495</v>
      </c>
      <c r="O170" s="2">
        <f t="shared" si="10"/>
        <v>0</v>
      </c>
      <c r="P170" s="2">
        <f t="shared" si="11"/>
        <v>0</v>
      </c>
    </row>
    <row r="171">
      <c r="A171" s="344">
        <f t="shared" si="5"/>
        <v>850</v>
      </c>
      <c r="B171" s="344">
        <f t="shared" si="6"/>
        <v>90</v>
      </c>
      <c r="C171" s="369"/>
      <c r="D171" s="389" t="str">
        <f t="shared" si="7"/>
        <v>Saturday</v>
      </c>
      <c r="E171" s="344" t="s">
        <v>162</v>
      </c>
      <c r="F171" s="370"/>
      <c r="G171" s="370"/>
      <c r="H171" s="357">
        <f t="shared" si="29"/>
        <v>0</v>
      </c>
      <c r="I171" s="346">
        <f t="shared" si="31"/>
        <v>0</v>
      </c>
      <c r="J171" s="354" t="s">
        <v>636</v>
      </c>
      <c r="M171" s="360">
        <f t="shared" si="12"/>
        <v>46496</v>
      </c>
      <c r="N171" s="360">
        <f t="shared" si="9"/>
        <v>46502</v>
      </c>
      <c r="O171" s="2">
        <f t="shared" si="10"/>
        <v>0</v>
      </c>
      <c r="P171" s="2">
        <f t="shared" si="11"/>
        <v>0</v>
      </c>
    </row>
    <row r="172">
      <c r="A172" s="344">
        <f t="shared" si="5"/>
        <v>850</v>
      </c>
      <c r="B172" s="344">
        <f t="shared" si="6"/>
        <v>90</v>
      </c>
      <c r="C172" s="369"/>
      <c r="D172" s="389" t="str">
        <f t="shared" si="7"/>
        <v>Saturday</v>
      </c>
      <c r="E172" s="344" t="s">
        <v>162</v>
      </c>
      <c r="F172" s="370"/>
      <c r="G172" s="370"/>
      <c r="H172" s="357">
        <f t="shared" si="29"/>
        <v>0</v>
      </c>
      <c r="I172" s="346">
        <f t="shared" si="31"/>
        <v>0</v>
      </c>
      <c r="J172" s="354" t="s">
        <v>636</v>
      </c>
      <c r="M172" s="360">
        <f t="shared" si="12"/>
        <v>46503</v>
      </c>
      <c r="N172" s="360">
        <f t="shared" si="9"/>
        <v>46509</v>
      </c>
      <c r="O172" s="2">
        <f t="shared" si="10"/>
        <v>0</v>
      </c>
      <c r="P172" s="2">
        <f t="shared" si="11"/>
        <v>0</v>
      </c>
    </row>
    <row r="173">
      <c r="A173" s="344">
        <f t="shared" si="5"/>
        <v>850</v>
      </c>
      <c r="B173" s="344">
        <f t="shared" si="6"/>
        <v>90</v>
      </c>
      <c r="C173" s="369"/>
      <c r="D173" s="389" t="str">
        <f t="shared" si="7"/>
        <v>Saturday</v>
      </c>
      <c r="E173" s="344" t="s">
        <v>162</v>
      </c>
      <c r="F173" s="370"/>
      <c r="G173" s="370"/>
      <c r="H173" s="357">
        <f t="shared" si="29"/>
        <v>0</v>
      </c>
      <c r="I173" s="346">
        <f t="shared" si="31"/>
        <v>0</v>
      </c>
      <c r="J173" s="354" t="s">
        <v>636</v>
      </c>
      <c r="M173" s="360">
        <f t="shared" si="12"/>
        <v>46510</v>
      </c>
      <c r="N173" s="360">
        <f t="shared" si="9"/>
        <v>46516</v>
      </c>
      <c r="O173" s="2">
        <f t="shared" si="10"/>
        <v>0</v>
      </c>
      <c r="P173" s="2">
        <f t="shared" si="11"/>
        <v>0</v>
      </c>
    </row>
    <row r="174">
      <c r="A174" s="344">
        <f t="shared" si="5"/>
        <v>850</v>
      </c>
      <c r="B174" s="344">
        <f t="shared" si="6"/>
        <v>90</v>
      </c>
      <c r="C174" s="369"/>
      <c r="D174" s="389" t="str">
        <f t="shared" si="7"/>
        <v>Saturday</v>
      </c>
      <c r="E174" s="344" t="s">
        <v>162</v>
      </c>
      <c r="F174" s="370"/>
      <c r="G174" s="370"/>
      <c r="H174" s="357">
        <f t="shared" si="29"/>
        <v>0</v>
      </c>
      <c r="I174" s="346">
        <f t="shared" si="31"/>
        <v>0</v>
      </c>
      <c r="J174" s="354" t="s">
        <v>636</v>
      </c>
      <c r="M174" s="360">
        <f t="shared" si="12"/>
        <v>46517</v>
      </c>
      <c r="N174" s="360">
        <f t="shared" si="9"/>
        <v>46523</v>
      </c>
      <c r="O174" s="2">
        <f t="shared" si="10"/>
        <v>0</v>
      </c>
      <c r="P174" s="2">
        <f t="shared" si="11"/>
        <v>0</v>
      </c>
    </row>
    <row r="175">
      <c r="A175" s="344">
        <f t="shared" si="5"/>
        <v>850</v>
      </c>
      <c r="B175" s="344">
        <f t="shared" si="6"/>
        <v>90</v>
      </c>
      <c r="C175" s="369"/>
      <c r="D175" s="389" t="str">
        <f t="shared" si="7"/>
        <v>Saturday</v>
      </c>
      <c r="E175" s="344" t="s">
        <v>162</v>
      </c>
      <c r="F175" s="370"/>
      <c r="G175" s="370"/>
      <c r="H175" s="357">
        <f t="shared" si="29"/>
        <v>0</v>
      </c>
      <c r="I175" s="346">
        <f t="shared" si="31"/>
        <v>0</v>
      </c>
      <c r="J175" s="354" t="s">
        <v>636</v>
      </c>
      <c r="M175" s="360">
        <f t="shared" si="12"/>
        <v>46524</v>
      </c>
      <c r="N175" s="360">
        <f t="shared" si="9"/>
        <v>46530</v>
      </c>
      <c r="O175" s="2">
        <f t="shared" si="10"/>
        <v>0</v>
      </c>
      <c r="P175" s="2">
        <f t="shared" si="11"/>
        <v>0</v>
      </c>
    </row>
    <row r="176">
      <c r="A176" s="344">
        <f t="shared" si="5"/>
        <v>850</v>
      </c>
      <c r="B176" s="344">
        <f t="shared" si="6"/>
        <v>90</v>
      </c>
      <c r="C176" s="369"/>
      <c r="D176" s="389" t="str">
        <f t="shared" si="7"/>
        <v>Saturday</v>
      </c>
      <c r="E176" s="344" t="s">
        <v>162</v>
      </c>
      <c r="F176" s="370"/>
      <c r="G176" s="370"/>
      <c r="H176" s="357">
        <f t="shared" si="29"/>
        <v>0</v>
      </c>
      <c r="I176" s="346">
        <f t="shared" si="31"/>
        <v>0</v>
      </c>
      <c r="J176" s="354" t="s">
        <v>636</v>
      </c>
      <c r="M176" s="360">
        <f t="shared" si="12"/>
        <v>46531</v>
      </c>
      <c r="N176" s="360">
        <f t="shared" si="9"/>
        <v>46537</v>
      </c>
      <c r="O176" s="2">
        <f t="shared" si="10"/>
        <v>0</v>
      </c>
      <c r="P176" s="2">
        <f t="shared" si="11"/>
        <v>0</v>
      </c>
    </row>
    <row r="177">
      <c r="A177" s="344">
        <f t="shared" si="5"/>
        <v>850</v>
      </c>
      <c r="B177" s="344">
        <f t="shared" si="6"/>
        <v>90</v>
      </c>
      <c r="C177" s="369"/>
      <c r="D177" s="389" t="str">
        <f t="shared" si="7"/>
        <v>Saturday</v>
      </c>
      <c r="E177" s="344" t="s">
        <v>162</v>
      </c>
      <c r="F177" s="370"/>
      <c r="G177" s="370"/>
      <c r="H177" s="357">
        <f t="shared" si="29"/>
        <v>0</v>
      </c>
      <c r="I177" s="346">
        <f t="shared" si="31"/>
        <v>0</v>
      </c>
      <c r="J177" s="354" t="s">
        <v>636</v>
      </c>
      <c r="M177" s="360">
        <f t="shared" si="12"/>
        <v>46538</v>
      </c>
      <c r="N177" s="360">
        <f t="shared" si="9"/>
        <v>46544</v>
      </c>
      <c r="O177" s="2">
        <f t="shared" si="10"/>
        <v>0</v>
      </c>
      <c r="P177" s="2">
        <f t="shared" si="11"/>
        <v>0</v>
      </c>
    </row>
    <row r="178">
      <c r="A178" s="344">
        <f t="shared" si="5"/>
        <v>850</v>
      </c>
      <c r="B178" s="344">
        <f t="shared" si="6"/>
        <v>90</v>
      </c>
      <c r="C178" s="369"/>
      <c r="D178" s="389" t="str">
        <f t="shared" si="7"/>
        <v>Saturday</v>
      </c>
      <c r="E178" s="344" t="s">
        <v>162</v>
      </c>
      <c r="F178" s="370"/>
      <c r="G178" s="370"/>
      <c r="H178" s="357">
        <f t="shared" si="29"/>
        <v>0</v>
      </c>
      <c r="I178" s="346">
        <f t="shared" si="31"/>
        <v>0</v>
      </c>
      <c r="J178" s="354" t="s">
        <v>636</v>
      </c>
      <c r="M178" s="360">
        <f t="shared" si="12"/>
        <v>46545</v>
      </c>
      <c r="N178" s="360">
        <f t="shared" si="9"/>
        <v>46551</v>
      </c>
      <c r="O178" s="2">
        <f t="shared" si="10"/>
        <v>0</v>
      </c>
      <c r="P178" s="2">
        <f t="shared" si="11"/>
        <v>0</v>
      </c>
    </row>
    <row r="179">
      <c r="A179" s="344">
        <f t="shared" si="5"/>
        <v>850</v>
      </c>
      <c r="B179" s="344">
        <f t="shared" si="6"/>
        <v>90</v>
      </c>
      <c r="C179" s="369"/>
      <c r="D179" s="389" t="str">
        <f t="shared" si="7"/>
        <v>Saturday</v>
      </c>
      <c r="E179" s="344" t="s">
        <v>162</v>
      </c>
      <c r="F179" s="370"/>
      <c r="G179" s="370"/>
      <c r="H179" s="357">
        <f t="shared" si="29"/>
        <v>0</v>
      </c>
      <c r="I179" s="346">
        <f t="shared" si="31"/>
        <v>0</v>
      </c>
      <c r="J179" s="354" t="s">
        <v>636</v>
      </c>
      <c r="M179" s="360">
        <f t="shared" si="12"/>
        <v>46552</v>
      </c>
      <c r="N179" s="360">
        <f t="shared" si="9"/>
        <v>46558</v>
      </c>
      <c r="O179" s="2">
        <f t="shared" si="10"/>
        <v>0</v>
      </c>
      <c r="P179" s="2">
        <f t="shared" si="11"/>
        <v>0</v>
      </c>
    </row>
    <row r="180">
      <c r="A180" s="344">
        <f t="shared" si="5"/>
        <v>850</v>
      </c>
      <c r="B180" s="344">
        <f t="shared" si="6"/>
        <v>90</v>
      </c>
      <c r="C180" s="369"/>
      <c r="D180" s="389" t="str">
        <f t="shared" si="7"/>
        <v>Saturday</v>
      </c>
      <c r="E180" s="344" t="s">
        <v>162</v>
      </c>
      <c r="F180" s="370"/>
      <c r="G180" s="370"/>
      <c r="H180" s="357">
        <f t="shared" si="29"/>
        <v>0</v>
      </c>
      <c r="I180" s="346">
        <f t="shared" si="31"/>
        <v>0</v>
      </c>
      <c r="J180" s="354" t="s">
        <v>636</v>
      </c>
      <c r="M180" s="360">
        <f t="shared" si="12"/>
        <v>46559</v>
      </c>
      <c r="N180" s="360">
        <f t="shared" si="9"/>
        <v>46565</v>
      </c>
      <c r="O180" s="2">
        <f t="shared" si="10"/>
        <v>0</v>
      </c>
      <c r="P180" s="2">
        <f t="shared" si="11"/>
        <v>0</v>
      </c>
    </row>
    <row r="181">
      <c r="A181" s="344">
        <f t="shared" si="5"/>
        <v>850</v>
      </c>
      <c r="B181" s="344">
        <f t="shared" si="6"/>
        <v>90</v>
      </c>
      <c r="C181" s="369"/>
      <c r="D181" s="389" t="str">
        <f t="shared" si="7"/>
        <v>Saturday</v>
      </c>
      <c r="E181" s="344" t="s">
        <v>162</v>
      </c>
      <c r="F181" s="370"/>
      <c r="G181" s="370"/>
      <c r="H181" s="357">
        <f t="shared" si="29"/>
        <v>0</v>
      </c>
      <c r="I181" s="346">
        <f t="shared" si="31"/>
        <v>0</v>
      </c>
      <c r="J181" s="354" t="s">
        <v>636</v>
      </c>
      <c r="M181" s="360">
        <f t="shared" si="12"/>
        <v>46566</v>
      </c>
      <c r="N181" s="360">
        <f t="shared" si="9"/>
        <v>46572</v>
      </c>
      <c r="O181" s="2">
        <f t="shared" si="10"/>
        <v>0</v>
      </c>
      <c r="P181" s="2">
        <f t="shared" si="11"/>
        <v>0</v>
      </c>
    </row>
    <row r="182">
      <c r="A182" s="344">
        <f t="shared" si="5"/>
        <v>850</v>
      </c>
      <c r="B182" s="344">
        <f t="shared" si="6"/>
        <v>90</v>
      </c>
      <c r="C182" s="369"/>
      <c r="D182" s="389" t="str">
        <f t="shared" si="7"/>
        <v>Saturday</v>
      </c>
      <c r="E182" s="344" t="s">
        <v>162</v>
      </c>
      <c r="F182" s="370"/>
      <c r="G182" s="370"/>
      <c r="H182" s="357">
        <f t="shared" si="29"/>
        <v>0</v>
      </c>
      <c r="I182" s="346">
        <f t="shared" si="31"/>
        <v>0</v>
      </c>
      <c r="J182" s="354" t="s">
        <v>636</v>
      </c>
      <c r="M182" s="360">
        <f t="shared" si="12"/>
        <v>46573</v>
      </c>
      <c r="N182" s="360">
        <f t="shared" si="9"/>
        <v>46579</v>
      </c>
      <c r="O182" s="2">
        <f t="shared" si="10"/>
        <v>0</v>
      </c>
      <c r="P182" s="2">
        <f t="shared" si="11"/>
        <v>0</v>
      </c>
    </row>
    <row r="183">
      <c r="A183" s="344">
        <f t="shared" si="5"/>
        <v>850</v>
      </c>
      <c r="B183" s="344">
        <f t="shared" si="6"/>
        <v>90</v>
      </c>
      <c r="C183" s="369"/>
      <c r="D183" s="389" t="str">
        <f t="shared" si="7"/>
        <v>Saturday</v>
      </c>
      <c r="E183" s="344" t="s">
        <v>162</v>
      </c>
      <c r="F183" s="370"/>
      <c r="G183" s="370"/>
      <c r="H183" s="357">
        <f t="shared" si="29"/>
        <v>0</v>
      </c>
      <c r="I183" s="346">
        <f t="shared" si="31"/>
        <v>0</v>
      </c>
      <c r="J183" s="354" t="s">
        <v>636</v>
      </c>
      <c r="M183" s="360">
        <f t="shared" si="12"/>
        <v>46580</v>
      </c>
      <c r="N183" s="360">
        <f t="shared" si="9"/>
        <v>46586</v>
      </c>
      <c r="O183" s="2">
        <f t="shared" si="10"/>
        <v>0</v>
      </c>
      <c r="P183" s="2">
        <f t="shared" si="11"/>
        <v>0</v>
      </c>
    </row>
    <row r="184">
      <c r="A184" s="344">
        <f t="shared" si="5"/>
        <v>850</v>
      </c>
      <c r="B184" s="344">
        <f t="shared" si="6"/>
        <v>90</v>
      </c>
      <c r="C184" s="369"/>
      <c r="D184" s="389" t="str">
        <f t="shared" si="7"/>
        <v>Saturday</v>
      </c>
      <c r="E184" s="344" t="s">
        <v>162</v>
      </c>
      <c r="F184" s="370"/>
      <c r="G184" s="370"/>
      <c r="H184" s="357">
        <f t="shared" si="29"/>
        <v>0</v>
      </c>
      <c r="I184" s="346">
        <f t="shared" si="31"/>
        <v>0</v>
      </c>
      <c r="J184" s="354" t="s">
        <v>636</v>
      </c>
      <c r="M184" s="360">
        <f t="shared" si="12"/>
        <v>46587</v>
      </c>
      <c r="N184" s="360">
        <f t="shared" si="9"/>
        <v>46593</v>
      </c>
      <c r="O184" s="2">
        <f t="shared" si="10"/>
        <v>0</v>
      </c>
      <c r="P184" s="2">
        <f t="shared" si="11"/>
        <v>0</v>
      </c>
    </row>
    <row r="185">
      <c r="A185" s="344">
        <f t="shared" si="5"/>
        <v>850</v>
      </c>
      <c r="B185" s="344">
        <f t="shared" si="6"/>
        <v>90</v>
      </c>
      <c r="C185" s="369"/>
      <c r="D185" s="389" t="str">
        <f t="shared" si="7"/>
        <v>Saturday</v>
      </c>
      <c r="E185" s="344" t="s">
        <v>162</v>
      </c>
      <c r="F185" s="370"/>
      <c r="G185" s="370"/>
      <c r="H185" s="357">
        <f t="shared" si="29"/>
        <v>0</v>
      </c>
      <c r="I185" s="346">
        <f t="shared" si="31"/>
        <v>0</v>
      </c>
      <c r="J185" s="354" t="s">
        <v>636</v>
      </c>
      <c r="M185" s="360">
        <f t="shared" si="12"/>
        <v>46594</v>
      </c>
      <c r="N185" s="360">
        <f t="shared" si="9"/>
        <v>46600</v>
      </c>
      <c r="O185" s="2">
        <f t="shared" si="10"/>
        <v>0</v>
      </c>
      <c r="P185" s="2">
        <f t="shared" si="11"/>
        <v>0</v>
      </c>
    </row>
    <row r="186">
      <c r="A186" s="344">
        <f t="shared" si="5"/>
        <v>850</v>
      </c>
      <c r="B186" s="344">
        <f t="shared" si="6"/>
        <v>90</v>
      </c>
      <c r="C186" s="369"/>
      <c r="D186" s="389" t="str">
        <f t="shared" si="7"/>
        <v>Saturday</v>
      </c>
      <c r="E186" s="344" t="s">
        <v>162</v>
      </c>
      <c r="F186" s="370"/>
      <c r="G186" s="370"/>
      <c r="H186" s="357">
        <f t="shared" si="29"/>
        <v>0</v>
      </c>
      <c r="I186" s="346">
        <f t="shared" si="31"/>
        <v>0</v>
      </c>
      <c r="J186" s="354" t="s">
        <v>636</v>
      </c>
      <c r="M186" s="360">
        <f t="shared" si="12"/>
        <v>46601</v>
      </c>
      <c r="N186" s="360">
        <f t="shared" si="9"/>
        <v>46607</v>
      </c>
      <c r="O186" s="2">
        <f t="shared" si="10"/>
        <v>0</v>
      </c>
      <c r="P186" s="2">
        <f t="shared" si="11"/>
        <v>0</v>
      </c>
    </row>
    <row r="187">
      <c r="A187" s="344">
        <f t="shared" si="5"/>
        <v>850</v>
      </c>
      <c r="B187" s="344">
        <f t="shared" si="6"/>
        <v>90</v>
      </c>
      <c r="C187" s="369"/>
      <c r="D187" s="389" t="str">
        <f t="shared" si="7"/>
        <v>Saturday</v>
      </c>
      <c r="E187" s="344" t="s">
        <v>162</v>
      </c>
      <c r="F187" s="370"/>
      <c r="G187" s="370"/>
      <c r="H187" s="357">
        <f t="shared" si="29"/>
        <v>0</v>
      </c>
      <c r="I187" s="346">
        <f t="shared" si="31"/>
        <v>0</v>
      </c>
      <c r="J187" s="354" t="s">
        <v>636</v>
      </c>
      <c r="M187" s="360">
        <f t="shared" si="12"/>
        <v>46608</v>
      </c>
      <c r="N187" s="360">
        <f t="shared" si="9"/>
        <v>46614</v>
      </c>
      <c r="O187" s="2">
        <f t="shared" si="10"/>
        <v>0</v>
      </c>
      <c r="P187" s="2">
        <f t="shared" si="11"/>
        <v>0</v>
      </c>
    </row>
    <row r="188">
      <c r="A188" s="344">
        <f t="shared" si="5"/>
        <v>850</v>
      </c>
      <c r="B188" s="344">
        <f t="shared" si="6"/>
        <v>90</v>
      </c>
      <c r="C188" s="369"/>
      <c r="D188" s="389" t="str">
        <f t="shared" si="7"/>
        <v>Saturday</v>
      </c>
      <c r="E188" s="344" t="s">
        <v>162</v>
      </c>
      <c r="F188" s="370"/>
      <c r="G188" s="370"/>
      <c r="H188" s="357">
        <f t="shared" si="29"/>
        <v>0</v>
      </c>
      <c r="I188" s="346">
        <f t="shared" si="31"/>
        <v>0</v>
      </c>
      <c r="J188" s="354" t="s">
        <v>636</v>
      </c>
      <c r="M188" s="360">
        <f t="shared" si="12"/>
        <v>46615</v>
      </c>
      <c r="N188" s="360">
        <f t="shared" si="9"/>
        <v>46621</v>
      </c>
      <c r="O188" s="2">
        <f t="shared" si="10"/>
        <v>0</v>
      </c>
      <c r="P188" s="2">
        <f t="shared" si="11"/>
        <v>0</v>
      </c>
    </row>
    <row r="189">
      <c r="A189" s="344">
        <f t="shared" si="5"/>
        <v>850</v>
      </c>
      <c r="B189" s="344">
        <f t="shared" si="6"/>
        <v>90</v>
      </c>
      <c r="C189" s="369"/>
      <c r="D189" s="389" t="str">
        <f t="shared" si="7"/>
        <v>Saturday</v>
      </c>
      <c r="E189" s="344" t="s">
        <v>162</v>
      </c>
      <c r="F189" s="370"/>
      <c r="G189" s="370"/>
      <c r="H189" s="357">
        <f t="shared" si="29"/>
        <v>0</v>
      </c>
      <c r="I189" s="346">
        <f t="shared" si="31"/>
        <v>0</v>
      </c>
      <c r="J189" s="354" t="s">
        <v>636</v>
      </c>
      <c r="M189" s="360">
        <f t="shared" si="12"/>
        <v>46622</v>
      </c>
      <c r="N189" s="360">
        <f t="shared" si="9"/>
        <v>46628</v>
      </c>
      <c r="O189" s="2">
        <f t="shared" si="10"/>
        <v>0</v>
      </c>
      <c r="P189" s="2">
        <f t="shared" si="11"/>
        <v>0</v>
      </c>
    </row>
    <row r="190">
      <c r="A190" s="344">
        <f t="shared" si="5"/>
        <v>850</v>
      </c>
      <c r="B190" s="344">
        <f t="shared" si="6"/>
        <v>90</v>
      </c>
      <c r="C190" s="369"/>
      <c r="D190" s="389" t="str">
        <f t="shared" si="7"/>
        <v>Saturday</v>
      </c>
      <c r="E190" s="344" t="s">
        <v>162</v>
      </c>
      <c r="F190" s="370"/>
      <c r="G190" s="370"/>
      <c r="H190" s="357">
        <f t="shared" si="29"/>
        <v>0</v>
      </c>
      <c r="I190" s="346">
        <f t="shared" si="31"/>
        <v>0</v>
      </c>
      <c r="J190" s="354" t="s">
        <v>636</v>
      </c>
      <c r="M190" s="360">
        <f t="shared" si="12"/>
        <v>46629</v>
      </c>
      <c r="N190" s="360">
        <f t="shared" si="9"/>
        <v>46635</v>
      </c>
      <c r="O190" s="2">
        <f t="shared" si="10"/>
        <v>0</v>
      </c>
      <c r="P190" s="2">
        <f t="shared" si="11"/>
        <v>0</v>
      </c>
    </row>
    <row r="191">
      <c r="A191" s="344">
        <f t="shared" si="5"/>
        <v>850</v>
      </c>
      <c r="B191" s="344">
        <f t="shared" si="6"/>
        <v>90</v>
      </c>
      <c r="C191" s="369"/>
      <c r="D191" s="389" t="str">
        <f t="shared" si="7"/>
        <v>Saturday</v>
      </c>
      <c r="E191" s="344" t="s">
        <v>162</v>
      </c>
      <c r="F191" s="370"/>
      <c r="G191" s="370"/>
      <c r="H191" s="357">
        <f t="shared" si="29"/>
        <v>0</v>
      </c>
      <c r="I191" s="346">
        <f t="shared" si="31"/>
        <v>0</v>
      </c>
      <c r="J191" s="354" t="s">
        <v>636</v>
      </c>
      <c r="M191" s="360">
        <f t="shared" si="12"/>
        <v>46636</v>
      </c>
      <c r="N191" s="360">
        <f t="shared" si="9"/>
        <v>46642</v>
      </c>
      <c r="O191" s="2">
        <f t="shared" si="10"/>
        <v>0</v>
      </c>
      <c r="P191" s="2">
        <f t="shared" si="11"/>
        <v>0</v>
      </c>
    </row>
    <row r="192">
      <c r="A192" s="344">
        <f t="shared" si="5"/>
        <v>850</v>
      </c>
      <c r="B192" s="344">
        <f t="shared" si="6"/>
        <v>90</v>
      </c>
      <c r="C192" s="369"/>
      <c r="D192" s="389" t="str">
        <f t="shared" si="7"/>
        <v>Saturday</v>
      </c>
      <c r="E192" s="344" t="s">
        <v>162</v>
      </c>
      <c r="F192" s="370"/>
      <c r="G192" s="370"/>
      <c r="H192" s="357">
        <f t="shared" si="29"/>
        <v>0</v>
      </c>
      <c r="I192" s="346">
        <f t="shared" si="31"/>
        <v>0</v>
      </c>
      <c r="J192" s="354" t="s">
        <v>636</v>
      </c>
      <c r="M192" s="360">
        <f t="shared" si="12"/>
        <v>46643</v>
      </c>
      <c r="N192" s="360">
        <f t="shared" si="9"/>
        <v>46649</v>
      </c>
      <c r="O192" s="2">
        <f t="shared" si="10"/>
        <v>0</v>
      </c>
      <c r="P192" s="2">
        <f t="shared" si="11"/>
        <v>0</v>
      </c>
    </row>
    <row r="193">
      <c r="A193" s="344">
        <f t="shared" si="5"/>
        <v>850</v>
      </c>
      <c r="B193" s="344">
        <f t="shared" si="6"/>
        <v>90</v>
      </c>
      <c r="C193" s="369"/>
      <c r="D193" s="389" t="str">
        <f t="shared" si="7"/>
        <v>Saturday</v>
      </c>
      <c r="E193" s="344" t="s">
        <v>162</v>
      </c>
      <c r="F193" s="370"/>
      <c r="G193" s="370"/>
      <c r="H193" s="357">
        <f t="shared" si="29"/>
        <v>0</v>
      </c>
      <c r="I193" s="346">
        <f t="shared" si="31"/>
        <v>0</v>
      </c>
      <c r="J193" s="354" t="s">
        <v>636</v>
      </c>
      <c r="M193" s="360">
        <f t="shared" si="12"/>
        <v>46650</v>
      </c>
      <c r="N193" s="360">
        <f t="shared" si="9"/>
        <v>46656</v>
      </c>
      <c r="O193" s="2">
        <f t="shared" si="10"/>
        <v>0</v>
      </c>
      <c r="P193" s="2">
        <f t="shared" si="11"/>
        <v>0</v>
      </c>
    </row>
    <row r="194">
      <c r="A194" s="344">
        <f t="shared" si="5"/>
        <v>850</v>
      </c>
      <c r="B194" s="344">
        <f t="shared" si="6"/>
        <v>90</v>
      </c>
      <c r="C194" s="369"/>
      <c r="D194" s="389" t="str">
        <f t="shared" si="7"/>
        <v>Saturday</v>
      </c>
      <c r="E194" s="344" t="s">
        <v>162</v>
      </c>
      <c r="F194" s="370"/>
      <c r="G194" s="370"/>
      <c r="H194" s="357">
        <f t="shared" si="29"/>
        <v>0</v>
      </c>
      <c r="I194" s="346">
        <f t="shared" si="31"/>
        <v>0</v>
      </c>
      <c r="J194" s="354" t="s">
        <v>636</v>
      </c>
      <c r="M194" s="360">
        <f t="shared" si="12"/>
        <v>46657</v>
      </c>
      <c r="N194" s="360">
        <f t="shared" si="9"/>
        <v>46663</v>
      </c>
      <c r="O194" s="2">
        <f t="shared" si="10"/>
        <v>0</v>
      </c>
      <c r="P194" s="2">
        <f t="shared" si="11"/>
        <v>0</v>
      </c>
    </row>
    <row r="195">
      <c r="A195" s="344">
        <f t="shared" si="5"/>
        <v>850</v>
      </c>
      <c r="B195" s="344">
        <f t="shared" si="6"/>
        <v>90</v>
      </c>
      <c r="C195" s="369"/>
      <c r="D195" s="389" t="str">
        <f t="shared" si="7"/>
        <v>Saturday</v>
      </c>
      <c r="E195" s="344" t="s">
        <v>162</v>
      </c>
      <c r="F195" s="370"/>
      <c r="G195" s="370"/>
      <c r="H195" s="357">
        <f t="shared" si="29"/>
        <v>0</v>
      </c>
      <c r="I195" s="346">
        <f t="shared" si="31"/>
        <v>0</v>
      </c>
      <c r="J195" s="354" t="s">
        <v>636</v>
      </c>
      <c r="M195" s="360">
        <f t="shared" si="12"/>
        <v>46664</v>
      </c>
      <c r="N195" s="360">
        <f t="shared" si="9"/>
        <v>46670</v>
      </c>
      <c r="O195" s="2">
        <f t="shared" si="10"/>
        <v>0</v>
      </c>
      <c r="P195" s="2">
        <f t="shared" si="11"/>
        <v>0</v>
      </c>
    </row>
    <row r="196">
      <c r="A196" s="344">
        <f t="shared" si="5"/>
        <v>850</v>
      </c>
      <c r="B196" s="344">
        <f t="shared" si="6"/>
        <v>90</v>
      </c>
      <c r="C196" s="369"/>
      <c r="D196" s="389" t="str">
        <f t="shared" si="7"/>
        <v>Saturday</v>
      </c>
      <c r="E196" s="344" t="s">
        <v>162</v>
      </c>
      <c r="F196" s="370"/>
      <c r="G196" s="370"/>
      <c r="H196" s="357">
        <f t="shared" si="29"/>
        <v>0</v>
      </c>
      <c r="I196" s="346">
        <f t="shared" si="31"/>
        <v>0</v>
      </c>
      <c r="J196" s="354" t="s">
        <v>636</v>
      </c>
      <c r="M196" s="360">
        <f t="shared" si="12"/>
        <v>46671</v>
      </c>
      <c r="N196" s="360">
        <f t="shared" si="9"/>
        <v>46677</v>
      </c>
      <c r="O196" s="2">
        <f t="shared" si="10"/>
        <v>0</v>
      </c>
      <c r="P196" s="2">
        <f t="shared" si="11"/>
        <v>0</v>
      </c>
    </row>
    <row r="197">
      <c r="A197" s="344">
        <f t="shared" si="5"/>
        <v>850</v>
      </c>
      <c r="B197" s="344">
        <f t="shared" si="6"/>
        <v>90</v>
      </c>
      <c r="C197" s="369"/>
      <c r="D197" s="389" t="str">
        <f t="shared" si="7"/>
        <v>Saturday</v>
      </c>
      <c r="E197" s="344" t="s">
        <v>162</v>
      </c>
      <c r="F197" s="370"/>
      <c r="G197" s="370"/>
      <c r="H197" s="357">
        <f t="shared" si="29"/>
        <v>0</v>
      </c>
      <c r="I197" s="346">
        <f t="shared" si="31"/>
        <v>0</v>
      </c>
      <c r="J197" s="354" t="s">
        <v>636</v>
      </c>
      <c r="M197" s="360">
        <f t="shared" si="12"/>
        <v>46678</v>
      </c>
      <c r="N197" s="360">
        <f t="shared" si="9"/>
        <v>46684</v>
      </c>
      <c r="O197" s="2">
        <f t="shared" si="10"/>
        <v>0</v>
      </c>
      <c r="P197" s="2">
        <f t="shared" si="11"/>
        <v>0</v>
      </c>
    </row>
    <row r="198">
      <c r="A198" s="344">
        <f t="shared" si="5"/>
        <v>850</v>
      </c>
      <c r="B198" s="344">
        <f t="shared" si="6"/>
        <v>90</v>
      </c>
      <c r="C198" s="369"/>
      <c r="D198" s="389" t="str">
        <f t="shared" si="7"/>
        <v>Saturday</v>
      </c>
      <c r="E198" s="344" t="s">
        <v>162</v>
      </c>
      <c r="F198" s="370"/>
      <c r="G198" s="370"/>
      <c r="H198" s="357">
        <f t="shared" si="29"/>
        <v>0</v>
      </c>
      <c r="I198" s="346">
        <f t="shared" si="31"/>
        <v>0</v>
      </c>
      <c r="J198" s="354" t="s">
        <v>636</v>
      </c>
      <c r="M198" s="360">
        <f t="shared" si="12"/>
        <v>46685</v>
      </c>
      <c r="N198" s="360">
        <f t="shared" si="9"/>
        <v>46691</v>
      </c>
      <c r="O198" s="2">
        <f t="shared" si="10"/>
        <v>0</v>
      </c>
      <c r="P198" s="2">
        <f t="shared" si="11"/>
        <v>0</v>
      </c>
    </row>
    <row r="199">
      <c r="A199" s="344">
        <f t="shared" si="5"/>
        <v>850</v>
      </c>
      <c r="B199" s="344">
        <f t="shared" si="6"/>
        <v>90</v>
      </c>
      <c r="C199" s="369"/>
      <c r="D199" s="389" t="str">
        <f t="shared" si="7"/>
        <v>Saturday</v>
      </c>
      <c r="E199" s="344" t="s">
        <v>162</v>
      </c>
      <c r="F199" s="370"/>
      <c r="G199" s="370"/>
      <c r="H199" s="357">
        <f t="shared" si="29"/>
        <v>0</v>
      </c>
      <c r="I199" s="346">
        <f t="shared" si="31"/>
        <v>0</v>
      </c>
      <c r="J199" s="354" t="s">
        <v>636</v>
      </c>
      <c r="M199" s="360">
        <f t="shared" si="12"/>
        <v>46692</v>
      </c>
      <c r="N199" s="360">
        <f t="shared" si="9"/>
        <v>46698</v>
      </c>
      <c r="O199" s="2">
        <f t="shared" si="10"/>
        <v>0</v>
      </c>
      <c r="P199" s="2">
        <f t="shared" si="11"/>
        <v>0</v>
      </c>
    </row>
    <row r="200">
      <c r="A200" s="344">
        <f t="shared" si="5"/>
        <v>850</v>
      </c>
      <c r="B200" s="344">
        <f t="shared" si="6"/>
        <v>90</v>
      </c>
      <c r="C200" s="369"/>
      <c r="D200" s="389" t="str">
        <f t="shared" si="7"/>
        <v>Saturday</v>
      </c>
      <c r="E200" s="344" t="s">
        <v>162</v>
      </c>
      <c r="F200" s="370"/>
      <c r="G200" s="370"/>
      <c r="H200" s="357">
        <f t="shared" si="29"/>
        <v>0</v>
      </c>
      <c r="I200" s="346">
        <f t="shared" si="31"/>
        <v>0</v>
      </c>
      <c r="J200" s="354" t="s">
        <v>636</v>
      </c>
      <c r="M200" s="360">
        <f t="shared" si="12"/>
        <v>46699</v>
      </c>
      <c r="N200" s="360">
        <f t="shared" si="9"/>
        <v>46705</v>
      </c>
      <c r="O200" s="2">
        <f t="shared" si="10"/>
        <v>0</v>
      </c>
      <c r="P200" s="2">
        <f t="shared" si="11"/>
        <v>0</v>
      </c>
    </row>
    <row r="201">
      <c r="A201" s="344">
        <f t="shared" si="5"/>
        <v>850</v>
      </c>
      <c r="B201" s="344">
        <f t="shared" si="6"/>
        <v>90</v>
      </c>
      <c r="C201" s="369"/>
      <c r="D201" s="389" t="str">
        <f t="shared" si="7"/>
        <v>Saturday</v>
      </c>
      <c r="E201" s="344" t="s">
        <v>162</v>
      </c>
      <c r="F201" s="370"/>
      <c r="G201" s="370"/>
      <c r="H201" s="357">
        <f t="shared" si="29"/>
        <v>0</v>
      </c>
      <c r="I201" s="346">
        <f t="shared" si="31"/>
        <v>0</v>
      </c>
      <c r="J201" s="354" t="s">
        <v>636</v>
      </c>
      <c r="M201" s="360">
        <f t="shared" si="12"/>
        <v>46706</v>
      </c>
      <c r="N201" s="360">
        <f t="shared" si="9"/>
        <v>46712</v>
      </c>
      <c r="O201" s="2">
        <f t="shared" si="10"/>
        <v>0</v>
      </c>
      <c r="P201" s="2">
        <f t="shared" si="11"/>
        <v>0</v>
      </c>
    </row>
    <row r="202">
      <c r="A202" s="344">
        <f t="shared" si="5"/>
        <v>850</v>
      </c>
      <c r="B202" s="344">
        <f t="shared" si="6"/>
        <v>90</v>
      </c>
      <c r="C202" s="369"/>
      <c r="D202" s="389" t="str">
        <f t="shared" si="7"/>
        <v>Saturday</v>
      </c>
      <c r="E202" s="344" t="s">
        <v>162</v>
      </c>
      <c r="F202" s="370"/>
      <c r="G202" s="370"/>
      <c r="H202" s="357">
        <f t="shared" si="29"/>
        <v>0</v>
      </c>
      <c r="I202" s="346">
        <f t="shared" si="31"/>
        <v>0</v>
      </c>
      <c r="J202" s="354" t="s">
        <v>636</v>
      </c>
      <c r="M202" s="360">
        <f t="shared" si="12"/>
        <v>46713</v>
      </c>
      <c r="N202" s="360">
        <f t="shared" si="9"/>
        <v>46719</v>
      </c>
      <c r="O202" s="2">
        <f t="shared" si="10"/>
        <v>0</v>
      </c>
      <c r="P202" s="2">
        <f t="shared" si="11"/>
        <v>0</v>
      </c>
    </row>
    <row r="203">
      <c r="A203" s="344">
        <f t="shared" si="5"/>
        <v>850</v>
      </c>
      <c r="B203" s="344">
        <f t="shared" si="6"/>
        <v>90</v>
      </c>
      <c r="C203" s="369"/>
      <c r="D203" s="389" t="str">
        <f t="shared" si="7"/>
        <v>Saturday</v>
      </c>
      <c r="E203" s="344" t="s">
        <v>162</v>
      </c>
      <c r="F203" s="370"/>
      <c r="G203" s="370"/>
      <c r="H203" s="357">
        <f t="shared" si="29"/>
        <v>0</v>
      </c>
      <c r="I203" s="346">
        <f t="shared" si="31"/>
        <v>0</v>
      </c>
      <c r="J203" s="354" t="s">
        <v>636</v>
      </c>
      <c r="M203" s="360">
        <f t="shared" si="12"/>
        <v>46720</v>
      </c>
      <c r="N203" s="360">
        <f t="shared" si="9"/>
        <v>46726</v>
      </c>
      <c r="O203" s="2">
        <f t="shared" si="10"/>
        <v>0</v>
      </c>
      <c r="P203" s="2">
        <f t="shared" si="11"/>
        <v>0</v>
      </c>
    </row>
    <row r="204">
      <c r="A204" s="344">
        <f t="shared" si="5"/>
        <v>850</v>
      </c>
      <c r="B204" s="344">
        <f t="shared" si="6"/>
        <v>90</v>
      </c>
      <c r="C204" s="369"/>
      <c r="D204" s="389" t="str">
        <f t="shared" si="7"/>
        <v>Saturday</v>
      </c>
      <c r="E204" s="344" t="s">
        <v>162</v>
      </c>
      <c r="F204" s="370"/>
      <c r="G204" s="370"/>
      <c r="H204" s="357">
        <f t="shared" si="29"/>
        <v>0</v>
      </c>
      <c r="I204" s="346">
        <f t="shared" si="31"/>
        <v>0</v>
      </c>
      <c r="J204" s="354" t="s">
        <v>636</v>
      </c>
      <c r="M204" s="360">
        <f t="shared" si="12"/>
        <v>46727</v>
      </c>
      <c r="N204" s="360">
        <f t="shared" si="9"/>
        <v>46733</v>
      </c>
      <c r="O204" s="2">
        <f t="shared" si="10"/>
        <v>0</v>
      </c>
      <c r="P204" s="2">
        <f t="shared" si="11"/>
        <v>0</v>
      </c>
    </row>
    <row r="205">
      <c r="A205" s="344">
        <f t="shared" si="5"/>
        <v>850</v>
      </c>
      <c r="B205" s="344">
        <f t="shared" si="6"/>
        <v>90</v>
      </c>
      <c r="C205" s="369"/>
      <c r="D205" s="389" t="str">
        <f t="shared" si="7"/>
        <v>Saturday</v>
      </c>
      <c r="E205" s="344" t="s">
        <v>162</v>
      </c>
      <c r="F205" s="370"/>
      <c r="G205" s="370"/>
      <c r="H205" s="357">
        <f t="shared" si="29"/>
        <v>0</v>
      </c>
      <c r="I205" s="346">
        <f t="shared" si="31"/>
        <v>0</v>
      </c>
      <c r="J205" s="354" t="s">
        <v>636</v>
      </c>
      <c r="M205" s="360">
        <f t="shared" si="12"/>
        <v>46734</v>
      </c>
      <c r="N205" s="360">
        <f t="shared" si="9"/>
        <v>46740</v>
      </c>
      <c r="O205" s="2">
        <f t="shared" si="10"/>
        <v>0</v>
      </c>
      <c r="P205" s="2">
        <f t="shared" si="11"/>
        <v>0</v>
      </c>
    </row>
    <row r="206">
      <c r="A206" s="344">
        <f t="shared" si="5"/>
        <v>850</v>
      </c>
      <c r="B206" s="344">
        <f t="shared" si="6"/>
        <v>90</v>
      </c>
      <c r="C206" s="369"/>
      <c r="D206" s="389" t="str">
        <f t="shared" si="7"/>
        <v>Saturday</v>
      </c>
      <c r="E206" s="344" t="s">
        <v>162</v>
      </c>
      <c r="F206" s="370"/>
      <c r="G206" s="370"/>
      <c r="H206" s="357">
        <f t="shared" si="29"/>
        <v>0</v>
      </c>
      <c r="I206" s="346">
        <f t="shared" si="31"/>
        <v>0</v>
      </c>
      <c r="J206" s="354" t="s">
        <v>636</v>
      </c>
      <c r="M206" s="360">
        <f t="shared" si="12"/>
        <v>46741</v>
      </c>
      <c r="N206" s="360">
        <f t="shared" si="9"/>
        <v>46747</v>
      </c>
      <c r="O206" s="2">
        <f t="shared" si="10"/>
        <v>0</v>
      </c>
      <c r="P206" s="2">
        <f t="shared" si="11"/>
        <v>0</v>
      </c>
    </row>
    <row r="207">
      <c r="A207" s="344">
        <f t="shared" si="5"/>
        <v>850</v>
      </c>
      <c r="B207" s="344">
        <f t="shared" si="6"/>
        <v>90</v>
      </c>
      <c r="C207" s="369"/>
      <c r="D207" s="389" t="str">
        <f t="shared" si="7"/>
        <v>Saturday</v>
      </c>
      <c r="E207" s="344" t="s">
        <v>162</v>
      </c>
      <c r="F207" s="370"/>
      <c r="G207" s="370"/>
      <c r="H207" s="357">
        <f t="shared" si="29"/>
        <v>0</v>
      </c>
      <c r="I207" s="346">
        <f t="shared" si="31"/>
        <v>0</v>
      </c>
      <c r="J207" s="354" t="s">
        <v>636</v>
      </c>
      <c r="M207" s="360">
        <f t="shared" si="12"/>
        <v>46748</v>
      </c>
      <c r="N207" s="360">
        <f t="shared" si="9"/>
        <v>46754</v>
      </c>
      <c r="O207" s="2">
        <f t="shared" si="10"/>
        <v>0</v>
      </c>
      <c r="P207" s="2">
        <f t="shared" si="11"/>
        <v>0</v>
      </c>
    </row>
    <row r="208">
      <c r="A208" s="344">
        <f t="shared" si="5"/>
        <v>850</v>
      </c>
      <c r="B208" s="344">
        <f t="shared" si="6"/>
        <v>90</v>
      </c>
      <c r="C208" s="369"/>
      <c r="D208" s="389" t="str">
        <f t="shared" si="7"/>
        <v>Saturday</v>
      </c>
      <c r="E208" s="344" t="s">
        <v>162</v>
      </c>
      <c r="F208" s="370"/>
      <c r="G208" s="370"/>
      <c r="H208" s="357">
        <f t="shared" si="29"/>
        <v>0</v>
      </c>
      <c r="I208" s="346">
        <f t="shared" si="31"/>
        <v>0</v>
      </c>
      <c r="J208" s="354" t="s">
        <v>636</v>
      </c>
      <c r="M208" s="360">
        <f t="shared" si="12"/>
        <v>46755</v>
      </c>
      <c r="N208" s="360">
        <f t="shared" si="9"/>
        <v>46761</v>
      </c>
      <c r="O208" s="2">
        <f t="shared" si="10"/>
        <v>0</v>
      </c>
      <c r="P208" s="2">
        <f t="shared" si="11"/>
        <v>0</v>
      </c>
    </row>
    <row r="209">
      <c r="A209" s="344">
        <f t="shared" si="5"/>
        <v>850</v>
      </c>
      <c r="B209" s="344">
        <f t="shared" si="6"/>
        <v>90</v>
      </c>
      <c r="C209" s="369"/>
      <c r="D209" s="389" t="str">
        <f t="shared" si="7"/>
        <v>Saturday</v>
      </c>
      <c r="E209" s="344" t="s">
        <v>162</v>
      </c>
      <c r="F209" s="370"/>
      <c r="G209" s="370"/>
      <c r="H209" s="357">
        <f t="shared" si="29"/>
        <v>0</v>
      </c>
      <c r="I209" s="346">
        <f t="shared" si="31"/>
        <v>0</v>
      </c>
      <c r="J209" s="354" t="s">
        <v>636</v>
      </c>
      <c r="M209" s="360">
        <f t="shared" si="12"/>
        <v>46762</v>
      </c>
      <c r="N209" s="360">
        <f t="shared" si="9"/>
        <v>46768</v>
      </c>
      <c r="O209" s="2">
        <f t="shared" si="10"/>
        <v>0</v>
      </c>
      <c r="P209" s="2">
        <f t="shared" si="11"/>
        <v>0</v>
      </c>
    </row>
    <row r="210">
      <c r="A210" s="344">
        <f t="shared" si="5"/>
        <v>850</v>
      </c>
      <c r="B210" s="344">
        <f t="shared" si="6"/>
        <v>90</v>
      </c>
      <c r="C210" s="369"/>
      <c r="D210" s="389" t="str">
        <f t="shared" si="7"/>
        <v>Saturday</v>
      </c>
      <c r="E210" s="344" t="s">
        <v>162</v>
      </c>
      <c r="F210" s="370"/>
      <c r="G210" s="370"/>
      <c r="H210" s="357">
        <f t="shared" si="29"/>
        <v>0</v>
      </c>
      <c r="I210" s="346">
        <f t="shared" si="31"/>
        <v>0</v>
      </c>
      <c r="J210" s="354" t="s">
        <v>636</v>
      </c>
      <c r="M210" s="360">
        <f t="shared" si="12"/>
        <v>46769</v>
      </c>
      <c r="N210" s="360">
        <f t="shared" si="9"/>
        <v>46775</v>
      </c>
      <c r="O210" s="2">
        <f t="shared" si="10"/>
        <v>0</v>
      </c>
      <c r="P210" s="2">
        <f t="shared" si="11"/>
        <v>0</v>
      </c>
    </row>
    <row r="211">
      <c r="A211" s="344">
        <f t="shared" si="5"/>
        <v>850</v>
      </c>
      <c r="B211" s="344">
        <f t="shared" si="6"/>
        <v>90</v>
      </c>
      <c r="C211" s="369"/>
      <c r="D211" s="389" t="str">
        <f t="shared" si="7"/>
        <v>Saturday</v>
      </c>
      <c r="E211" s="344" t="s">
        <v>162</v>
      </c>
      <c r="F211" s="370"/>
      <c r="G211" s="370"/>
      <c r="H211" s="357">
        <f t="shared" si="29"/>
        <v>0</v>
      </c>
      <c r="I211" s="346">
        <f t="shared" si="31"/>
        <v>0</v>
      </c>
      <c r="J211" s="354" t="s">
        <v>636</v>
      </c>
      <c r="M211" s="360">
        <f t="shared" si="12"/>
        <v>46776</v>
      </c>
      <c r="N211" s="360">
        <f t="shared" si="9"/>
        <v>46782</v>
      </c>
      <c r="O211" s="2">
        <f t="shared" si="10"/>
        <v>0</v>
      </c>
      <c r="P211" s="2">
        <f t="shared" si="11"/>
        <v>0</v>
      </c>
    </row>
    <row r="212">
      <c r="A212" s="344">
        <f t="shared" si="5"/>
        <v>850</v>
      </c>
      <c r="B212" s="344">
        <f t="shared" si="6"/>
        <v>90</v>
      </c>
      <c r="C212" s="369"/>
      <c r="D212" s="389" t="str">
        <f t="shared" si="7"/>
        <v>Saturday</v>
      </c>
      <c r="E212" s="344" t="s">
        <v>162</v>
      </c>
      <c r="F212" s="370"/>
      <c r="G212" s="370"/>
      <c r="H212" s="357">
        <f t="shared" si="29"/>
        <v>0</v>
      </c>
      <c r="I212" s="346">
        <f t="shared" si="31"/>
        <v>0</v>
      </c>
      <c r="J212" s="354" t="s">
        <v>636</v>
      </c>
      <c r="M212" s="360">
        <f t="shared" si="12"/>
        <v>46783</v>
      </c>
      <c r="N212" s="360">
        <f t="shared" si="9"/>
        <v>46789</v>
      </c>
      <c r="O212" s="2">
        <f t="shared" si="10"/>
        <v>0</v>
      </c>
      <c r="P212" s="2">
        <f t="shared" si="11"/>
        <v>0</v>
      </c>
    </row>
    <row r="213">
      <c r="A213" s="344">
        <f t="shared" si="5"/>
        <v>850</v>
      </c>
      <c r="B213" s="344">
        <f t="shared" si="6"/>
        <v>90</v>
      </c>
      <c r="C213" s="369"/>
      <c r="D213" s="389" t="str">
        <f t="shared" si="7"/>
        <v>Saturday</v>
      </c>
      <c r="E213" s="344" t="s">
        <v>162</v>
      </c>
      <c r="F213" s="370"/>
      <c r="G213" s="370"/>
      <c r="H213" s="357">
        <f t="shared" si="29"/>
        <v>0</v>
      </c>
      <c r="I213" s="346">
        <f t="shared" si="31"/>
        <v>0</v>
      </c>
      <c r="J213" s="354" t="s">
        <v>636</v>
      </c>
      <c r="M213" s="360">
        <f t="shared" si="12"/>
        <v>46790</v>
      </c>
      <c r="N213" s="360">
        <f t="shared" si="9"/>
        <v>46796</v>
      </c>
      <c r="O213" s="2">
        <f t="shared" si="10"/>
        <v>0</v>
      </c>
      <c r="P213" s="2">
        <f t="shared" si="11"/>
        <v>0</v>
      </c>
    </row>
    <row r="214">
      <c r="A214" s="344">
        <f t="shared" si="5"/>
        <v>850</v>
      </c>
      <c r="B214" s="344">
        <f t="shared" si="6"/>
        <v>90</v>
      </c>
      <c r="C214" s="369"/>
      <c r="D214" s="389" t="str">
        <f t="shared" si="7"/>
        <v>Saturday</v>
      </c>
      <c r="E214" s="344" t="s">
        <v>162</v>
      </c>
      <c r="F214" s="370"/>
      <c r="G214" s="370"/>
      <c r="H214" s="357">
        <f t="shared" si="29"/>
        <v>0</v>
      </c>
      <c r="I214" s="346">
        <f t="shared" si="31"/>
        <v>0</v>
      </c>
      <c r="J214" s="354" t="s">
        <v>636</v>
      </c>
      <c r="M214" s="360">
        <f t="shared" si="12"/>
        <v>46797</v>
      </c>
      <c r="N214" s="360">
        <f t="shared" si="9"/>
        <v>46803</v>
      </c>
      <c r="O214" s="2">
        <f t="shared" si="10"/>
        <v>0</v>
      </c>
      <c r="P214" s="2">
        <f t="shared" si="11"/>
        <v>0</v>
      </c>
    </row>
    <row r="215">
      <c r="A215" s="344">
        <f t="shared" si="5"/>
        <v>850</v>
      </c>
      <c r="B215" s="344">
        <f t="shared" si="6"/>
        <v>90</v>
      </c>
      <c r="C215" s="369"/>
      <c r="D215" s="389" t="str">
        <f t="shared" si="7"/>
        <v>Saturday</v>
      </c>
      <c r="E215" s="344" t="s">
        <v>162</v>
      </c>
      <c r="F215" s="370"/>
      <c r="G215" s="370"/>
      <c r="H215" s="357">
        <f t="shared" si="29"/>
        <v>0</v>
      </c>
      <c r="I215" s="346">
        <f t="shared" si="31"/>
        <v>0</v>
      </c>
      <c r="J215" s="354" t="s">
        <v>636</v>
      </c>
      <c r="M215" s="360">
        <f t="shared" si="12"/>
        <v>46804</v>
      </c>
      <c r="N215" s="360">
        <f t="shared" si="9"/>
        <v>46810</v>
      </c>
      <c r="O215" s="2">
        <f t="shared" si="10"/>
        <v>0</v>
      </c>
      <c r="P215" s="2">
        <f t="shared" si="11"/>
        <v>0</v>
      </c>
    </row>
    <row r="216">
      <c r="A216" s="344">
        <f t="shared" si="5"/>
        <v>850</v>
      </c>
      <c r="B216" s="344">
        <f t="shared" si="6"/>
        <v>90</v>
      </c>
      <c r="C216" s="369"/>
      <c r="D216" s="389" t="str">
        <f t="shared" si="7"/>
        <v>Saturday</v>
      </c>
      <c r="E216" s="344" t="s">
        <v>162</v>
      </c>
      <c r="F216" s="370"/>
      <c r="G216" s="370"/>
      <c r="H216" s="357">
        <f t="shared" si="29"/>
        <v>0</v>
      </c>
      <c r="I216" s="346">
        <f t="shared" si="31"/>
        <v>0</v>
      </c>
      <c r="J216" s="354" t="s">
        <v>636</v>
      </c>
      <c r="M216" s="360">
        <f t="shared" si="12"/>
        <v>46811</v>
      </c>
      <c r="N216" s="360">
        <f t="shared" si="9"/>
        <v>46817</v>
      </c>
      <c r="O216" s="2">
        <f t="shared" si="10"/>
        <v>0</v>
      </c>
      <c r="P216" s="2">
        <f t="shared" si="11"/>
        <v>0</v>
      </c>
    </row>
    <row r="217">
      <c r="A217" s="344">
        <f t="shared" si="5"/>
        <v>850</v>
      </c>
      <c r="B217" s="344">
        <f t="shared" si="6"/>
        <v>90</v>
      </c>
      <c r="C217" s="369"/>
      <c r="D217" s="389" t="str">
        <f t="shared" si="7"/>
        <v>Saturday</v>
      </c>
      <c r="E217" s="344" t="s">
        <v>162</v>
      </c>
      <c r="F217" s="370"/>
      <c r="G217" s="370"/>
      <c r="H217" s="357">
        <f t="shared" si="29"/>
        <v>0</v>
      </c>
      <c r="I217" s="346">
        <f t="shared" si="31"/>
        <v>0</v>
      </c>
      <c r="J217" s="354" t="s">
        <v>636</v>
      </c>
      <c r="M217" s="360">
        <f t="shared" si="12"/>
        <v>46818</v>
      </c>
      <c r="N217" s="360">
        <f t="shared" si="9"/>
        <v>46824</v>
      </c>
      <c r="O217" s="2">
        <f t="shared" si="10"/>
        <v>0</v>
      </c>
      <c r="P217" s="2">
        <f t="shared" si="11"/>
        <v>0</v>
      </c>
    </row>
    <row r="218">
      <c r="A218" s="344">
        <f t="shared" si="5"/>
        <v>850</v>
      </c>
      <c r="B218" s="344">
        <f t="shared" si="6"/>
        <v>90</v>
      </c>
      <c r="C218" s="369"/>
      <c r="D218" s="389" t="str">
        <f t="shared" si="7"/>
        <v>Saturday</v>
      </c>
      <c r="E218" s="344" t="s">
        <v>162</v>
      </c>
      <c r="F218" s="370"/>
      <c r="G218" s="370"/>
      <c r="H218" s="357">
        <f t="shared" si="29"/>
        <v>0</v>
      </c>
      <c r="I218" s="346">
        <f t="shared" si="31"/>
        <v>0</v>
      </c>
      <c r="J218" s="354" t="s">
        <v>636</v>
      </c>
      <c r="M218" s="360">
        <f t="shared" si="12"/>
        <v>46825</v>
      </c>
      <c r="N218" s="360">
        <f t="shared" si="9"/>
        <v>46831</v>
      </c>
      <c r="O218" s="2">
        <f t="shared" si="10"/>
        <v>0</v>
      </c>
      <c r="P218" s="2">
        <f t="shared" si="11"/>
        <v>0</v>
      </c>
    </row>
    <row r="219">
      <c r="A219" s="344">
        <f t="shared" si="5"/>
        <v>850</v>
      </c>
      <c r="B219" s="344">
        <f t="shared" si="6"/>
        <v>90</v>
      </c>
      <c r="C219" s="369"/>
      <c r="D219" s="389" t="str">
        <f t="shared" si="7"/>
        <v>Saturday</v>
      </c>
      <c r="E219" s="344" t="s">
        <v>162</v>
      </c>
      <c r="F219" s="370"/>
      <c r="G219" s="370"/>
      <c r="H219" s="357">
        <f t="shared" si="29"/>
        <v>0</v>
      </c>
      <c r="I219" s="346">
        <f t="shared" si="31"/>
        <v>0</v>
      </c>
      <c r="J219" s="354" t="s">
        <v>636</v>
      </c>
      <c r="M219" s="360">
        <f t="shared" si="12"/>
        <v>46832</v>
      </c>
      <c r="N219" s="360">
        <f t="shared" si="9"/>
        <v>46838</v>
      </c>
      <c r="O219" s="2">
        <f t="shared" si="10"/>
        <v>0</v>
      </c>
      <c r="P219" s="2">
        <f t="shared" si="11"/>
        <v>0</v>
      </c>
    </row>
    <row r="220">
      <c r="A220" s="344">
        <f t="shared" si="5"/>
        <v>850</v>
      </c>
      <c r="B220" s="344">
        <f t="shared" si="6"/>
        <v>90</v>
      </c>
      <c r="C220" s="369"/>
      <c r="D220" s="389" t="str">
        <f t="shared" si="7"/>
        <v>Saturday</v>
      </c>
      <c r="E220" s="344" t="s">
        <v>162</v>
      </c>
      <c r="F220" s="370"/>
      <c r="G220" s="370"/>
      <c r="H220" s="357">
        <f t="shared" si="29"/>
        <v>0</v>
      </c>
      <c r="I220" s="346">
        <f t="shared" si="31"/>
        <v>0</v>
      </c>
      <c r="J220" s="354" t="s">
        <v>636</v>
      </c>
      <c r="M220" s="360">
        <f t="shared" si="12"/>
        <v>46839</v>
      </c>
      <c r="N220" s="360">
        <f t="shared" si="9"/>
        <v>46845</v>
      </c>
      <c r="O220" s="2">
        <f t="shared" si="10"/>
        <v>0</v>
      </c>
      <c r="P220" s="2">
        <f t="shared" si="11"/>
        <v>0</v>
      </c>
    </row>
    <row r="221">
      <c r="A221" s="344">
        <f t="shared" si="5"/>
        <v>850</v>
      </c>
      <c r="B221" s="344">
        <f t="shared" si="6"/>
        <v>90</v>
      </c>
      <c r="C221" s="369"/>
      <c r="D221" s="389" t="str">
        <f t="shared" si="7"/>
        <v>Saturday</v>
      </c>
      <c r="E221" s="344" t="s">
        <v>162</v>
      </c>
      <c r="F221" s="370"/>
      <c r="G221" s="370"/>
      <c r="H221" s="357">
        <f t="shared" si="29"/>
        <v>0</v>
      </c>
      <c r="I221" s="346">
        <f t="shared" si="31"/>
        <v>0</v>
      </c>
      <c r="J221" s="354" t="s">
        <v>636</v>
      </c>
      <c r="M221" s="360">
        <f t="shared" si="12"/>
        <v>46846</v>
      </c>
      <c r="N221" s="360">
        <f t="shared" si="9"/>
        <v>46852</v>
      </c>
      <c r="O221" s="2">
        <f t="shared" si="10"/>
        <v>0</v>
      </c>
      <c r="P221" s="2">
        <f t="shared" si="11"/>
        <v>0</v>
      </c>
    </row>
    <row r="222">
      <c r="A222" s="344">
        <f t="shared" si="5"/>
        <v>850</v>
      </c>
      <c r="B222" s="344">
        <f t="shared" si="6"/>
        <v>90</v>
      </c>
      <c r="C222" s="369"/>
      <c r="D222" s="389" t="str">
        <f t="shared" si="7"/>
        <v>Saturday</v>
      </c>
      <c r="E222" s="344" t="s">
        <v>162</v>
      </c>
      <c r="F222" s="370"/>
      <c r="G222" s="370"/>
      <c r="H222" s="357">
        <f t="shared" si="29"/>
        <v>0</v>
      </c>
      <c r="I222" s="346">
        <f t="shared" si="31"/>
        <v>0</v>
      </c>
      <c r="J222" s="354" t="s">
        <v>636</v>
      </c>
      <c r="M222" s="360">
        <f t="shared" si="12"/>
        <v>46853</v>
      </c>
      <c r="N222" s="360">
        <f t="shared" si="9"/>
        <v>46859</v>
      </c>
      <c r="O222" s="2">
        <f t="shared" si="10"/>
        <v>0</v>
      </c>
      <c r="P222" s="2">
        <f t="shared" si="11"/>
        <v>0</v>
      </c>
    </row>
    <row r="223">
      <c r="A223" s="344">
        <f t="shared" si="5"/>
        <v>850</v>
      </c>
      <c r="B223" s="344">
        <f t="shared" si="6"/>
        <v>90</v>
      </c>
      <c r="C223" s="369"/>
      <c r="D223" s="389" t="str">
        <f t="shared" si="7"/>
        <v>Saturday</v>
      </c>
      <c r="E223" s="344" t="s">
        <v>162</v>
      </c>
      <c r="F223" s="370"/>
      <c r="G223" s="370"/>
      <c r="H223" s="357">
        <f t="shared" si="29"/>
        <v>0</v>
      </c>
      <c r="I223" s="346">
        <f t="shared" si="31"/>
        <v>0</v>
      </c>
      <c r="J223" s="354" t="s">
        <v>636</v>
      </c>
      <c r="M223" s="360">
        <f t="shared" si="12"/>
        <v>46860</v>
      </c>
      <c r="N223" s="360">
        <f t="shared" si="9"/>
        <v>46866</v>
      </c>
      <c r="O223" s="2">
        <f t="shared" si="10"/>
        <v>0</v>
      </c>
      <c r="P223" s="2">
        <f t="shared" si="11"/>
        <v>0</v>
      </c>
    </row>
    <row r="224">
      <c r="A224" s="344">
        <f t="shared" si="5"/>
        <v>850</v>
      </c>
      <c r="B224" s="344">
        <f t="shared" si="6"/>
        <v>90</v>
      </c>
      <c r="C224" s="369"/>
      <c r="D224" s="389" t="str">
        <f t="shared" si="7"/>
        <v>Saturday</v>
      </c>
      <c r="E224" s="344" t="s">
        <v>162</v>
      </c>
      <c r="F224" s="370"/>
      <c r="G224" s="370"/>
      <c r="H224" s="357">
        <f t="shared" si="29"/>
        <v>0</v>
      </c>
      <c r="I224" s="346">
        <f t="shared" si="31"/>
        <v>0</v>
      </c>
      <c r="J224" s="354" t="s">
        <v>636</v>
      </c>
      <c r="M224" s="360">
        <f t="shared" si="12"/>
        <v>46867</v>
      </c>
      <c r="N224" s="360">
        <f t="shared" si="9"/>
        <v>46873</v>
      </c>
      <c r="O224" s="2">
        <f t="shared" si="10"/>
        <v>0</v>
      </c>
      <c r="P224" s="2">
        <f t="shared" si="11"/>
        <v>0</v>
      </c>
    </row>
    <row r="225">
      <c r="A225" s="344">
        <f t="shared" si="5"/>
        <v>850</v>
      </c>
      <c r="B225" s="344">
        <f t="shared" si="6"/>
        <v>90</v>
      </c>
      <c r="C225" s="369"/>
      <c r="D225" s="389" t="str">
        <f t="shared" si="7"/>
        <v>Saturday</v>
      </c>
      <c r="E225" s="344" t="s">
        <v>162</v>
      </c>
      <c r="F225" s="370"/>
      <c r="G225" s="370"/>
      <c r="H225" s="357">
        <f t="shared" si="29"/>
        <v>0</v>
      </c>
      <c r="I225" s="346">
        <f t="shared" si="31"/>
        <v>0</v>
      </c>
      <c r="J225" s="354" t="s">
        <v>636</v>
      </c>
      <c r="M225" s="360">
        <f t="shared" si="12"/>
        <v>46874</v>
      </c>
      <c r="N225" s="360">
        <f t="shared" si="9"/>
        <v>46880</v>
      </c>
      <c r="O225" s="2">
        <f t="shared" si="10"/>
        <v>0</v>
      </c>
      <c r="P225" s="2">
        <f t="shared" si="11"/>
        <v>0</v>
      </c>
    </row>
    <row r="226">
      <c r="A226" s="344">
        <f t="shared" si="5"/>
        <v>850</v>
      </c>
      <c r="B226" s="344">
        <f t="shared" si="6"/>
        <v>90</v>
      </c>
      <c r="C226" s="369"/>
      <c r="D226" s="389" t="str">
        <f t="shared" si="7"/>
        <v>Saturday</v>
      </c>
      <c r="E226" s="344" t="s">
        <v>162</v>
      </c>
      <c r="F226" s="370"/>
      <c r="G226" s="370"/>
      <c r="H226" s="357">
        <f t="shared" si="29"/>
        <v>0</v>
      </c>
      <c r="I226" s="346">
        <f t="shared" si="31"/>
        <v>0</v>
      </c>
      <c r="J226" s="354" t="s">
        <v>636</v>
      </c>
      <c r="M226" s="360">
        <f t="shared" si="12"/>
        <v>46881</v>
      </c>
      <c r="N226" s="360">
        <f t="shared" si="9"/>
        <v>46887</v>
      </c>
      <c r="O226" s="2">
        <f t="shared" si="10"/>
        <v>0</v>
      </c>
      <c r="P226" s="2">
        <f t="shared" si="11"/>
        <v>0</v>
      </c>
    </row>
    <row r="227">
      <c r="A227" s="344">
        <f t="shared" si="5"/>
        <v>850</v>
      </c>
      <c r="B227" s="344">
        <f t="shared" si="6"/>
        <v>90</v>
      </c>
      <c r="C227" s="369"/>
      <c r="D227" s="389" t="str">
        <f t="shared" si="7"/>
        <v>Saturday</v>
      </c>
      <c r="E227" s="344" t="s">
        <v>162</v>
      </c>
      <c r="F227" s="370"/>
      <c r="G227" s="370"/>
      <c r="H227" s="357">
        <f t="shared" si="29"/>
        <v>0</v>
      </c>
      <c r="I227" s="346">
        <f t="shared" si="31"/>
        <v>0</v>
      </c>
      <c r="J227" s="354" t="s">
        <v>636</v>
      </c>
      <c r="M227" s="360">
        <f t="shared" si="12"/>
        <v>46888</v>
      </c>
      <c r="N227" s="360">
        <f t="shared" si="9"/>
        <v>46894</v>
      </c>
      <c r="O227" s="2">
        <f t="shared" si="10"/>
        <v>0</v>
      </c>
      <c r="P227" s="2">
        <f t="shared" si="11"/>
        <v>0</v>
      </c>
    </row>
    <row r="228">
      <c r="A228" s="344">
        <f t="shared" si="5"/>
        <v>850</v>
      </c>
      <c r="B228" s="344">
        <f t="shared" si="6"/>
        <v>90</v>
      </c>
      <c r="C228" s="369"/>
      <c r="D228" s="389" t="str">
        <f t="shared" si="7"/>
        <v>Saturday</v>
      </c>
      <c r="E228" s="344" t="s">
        <v>162</v>
      </c>
      <c r="F228" s="370"/>
      <c r="G228" s="370"/>
      <c r="H228" s="357">
        <f t="shared" si="29"/>
        <v>0</v>
      </c>
      <c r="I228" s="346">
        <f t="shared" si="31"/>
        <v>0</v>
      </c>
      <c r="J228" s="354" t="s">
        <v>636</v>
      </c>
      <c r="M228" s="360">
        <f t="shared" si="12"/>
        <v>46895</v>
      </c>
      <c r="N228" s="360">
        <f t="shared" si="9"/>
        <v>46901</v>
      </c>
      <c r="O228" s="2">
        <f t="shared" si="10"/>
        <v>0</v>
      </c>
      <c r="P228" s="2">
        <f t="shared" si="11"/>
        <v>0</v>
      </c>
    </row>
    <row r="229">
      <c r="A229" s="344">
        <f t="shared" si="5"/>
        <v>850</v>
      </c>
      <c r="B229" s="344">
        <f t="shared" si="6"/>
        <v>90</v>
      </c>
      <c r="C229" s="369"/>
      <c r="D229" s="389" t="str">
        <f t="shared" si="7"/>
        <v>Saturday</v>
      </c>
      <c r="E229" s="344" t="s">
        <v>162</v>
      </c>
      <c r="F229" s="370"/>
      <c r="G229" s="370"/>
      <c r="H229" s="357">
        <f t="shared" si="29"/>
        <v>0</v>
      </c>
      <c r="I229" s="346">
        <f t="shared" si="31"/>
        <v>0</v>
      </c>
      <c r="J229" s="354" t="s">
        <v>636</v>
      </c>
      <c r="M229" s="360">
        <f t="shared" si="12"/>
        <v>46902</v>
      </c>
      <c r="N229" s="360">
        <f t="shared" si="9"/>
        <v>46908</v>
      </c>
      <c r="O229" s="2">
        <f t="shared" si="10"/>
        <v>0</v>
      </c>
      <c r="P229" s="2">
        <f t="shared" si="11"/>
        <v>0</v>
      </c>
    </row>
    <row r="230">
      <c r="A230" s="344">
        <f t="shared" si="5"/>
        <v>850</v>
      </c>
      <c r="B230" s="344">
        <f t="shared" si="6"/>
        <v>90</v>
      </c>
      <c r="C230" s="369"/>
      <c r="D230" s="389" t="str">
        <f t="shared" si="7"/>
        <v>Saturday</v>
      </c>
      <c r="E230" s="344" t="s">
        <v>162</v>
      </c>
      <c r="F230" s="370"/>
      <c r="G230" s="370"/>
      <c r="H230" s="357">
        <f t="shared" si="29"/>
        <v>0</v>
      </c>
      <c r="I230" s="346">
        <f t="shared" si="31"/>
        <v>0</v>
      </c>
      <c r="J230" s="354" t="s">
        <v>636</v>
      </c>
      <c r="M230" s="360">
        <f t="shared" si="12"/>
        <v>46909</v>
      </c>
      <c r="N230" s="360">
        <f t="shared" si="9"/>
        <v>46915</v>
      </c>
      <c r="O230" s="2">
        <f t="shared" si="10"/>
        <v>0</v>
      </c>
      <c r="P230" s="2">
        <f t="shared" si="11"/>
        <v>0</v>
      </c>
    </row>
    <row r="231">
      <c r="A231" s="344">
        <f t="shared" si="5"/>
        <v>850</v>
      </c>
      <c r="B231" s="344">
        <f t="shared" si="6"/>
        <v>90</v>
      </c>
      <c r="C231" s="369"/>
      <c r="D231" s="389" t="str">
        <f t="shared" si="7"/>
        <v>Saturday</v>
      </c>
      <c r="E231" s="344" t="s">
        <v>162</v>
      </c>
      <c r="F231" s="370"/>
      <c r="G231" s="370"/>
      <c r="H231" s="357">
        <f t="shared" si="29"/>
        <v>0</v>
      </c>
      <c r="I231" s="346">
        <f t="shared" si="31"/>
        <v>0</v>
      </c>
      <c r="J231" s="354" t="s">
        <v>636</v>
      </c>
      <c r="M231" s="360">
        <f t="shared" si="12"/>
        <v>46916</v>
      </c>
      <c r="N231" s="360">
        <f t="shared" si="9"/>
        <v>46922</v>
      </c>
      <c r="O231" s="2">
        <f t="shared" si="10"/>
        <v>0</v>
      </c>
      <c r="P231" s="2">
        <f t="shared" si="11"/>
        <v>0</v>
      </c>
    </row>
    <row r="232">
      <c r="A232" s="344">
        <f t="shared" si="5"/>
        <v>850</v>
      </c>
      <c r="B232" s="344">
        <f t="shared" si="6"/>
        <v>90</v>
      </c>
      <c r="C232" s="369"/>
      <c r="D232" s="389" t="str">
        <f t="shared" si="7"/>
        <v>Saturday</v>
      </c>
      <c r="E232" s="344" t="s">
        <v>162</v>
      </c>
      <c r="F232" s="370"/>
      <c r="G232" s="370"/>
      <c r="H232" s="357">
        <f t="shared" si="29"/>
        <v>0</v>
      </c>
      <c r="I232" s="346">
        <f t="shared" si="31"/>
        <v>0</v>
      </c>
      <c r="J232" s="354" t="s">
        <v>636</v>
      </c>
      <c r="M232" s="360">
        <f t="shared" si="12"/>
        <v>46923</v>
      </c>
      <c r="N232" s="360">
        <f t="shared" si="9"/>
        <v>46929</v>
      </c>
      <c r="O232" s="2">
        <f t="shared" si="10"/>
        <v>0</v>
      </c>
      <c r="P232" s="2">
        <f t="shared" si="11"/>
        <v>0</v>
      </c>
    </row>
    <row r="233">
      <c r="A233" s="344">
        <f t="shared" si="5"/>
        <v>850</v>
      </c>
      <c r="B233" s="344">
        <f t="shared" si="6"/>
        <v>90</v>
      </c>
      <c r="C233" s="369"/>
      <c r="D233" s="389" t="str">
        <f t="shared" si="7"/>
        <v>Saturday</v>
      </c>
      <c r="E233" s="344" t="s">
        <v>162</v>
      </c>
      <c r="F233" s="370"/>
      <c r="G233" s="370"/>
      <c r="H233" s="357">
        <f t="shared" si="29"/>
        <v>0</v>
      </c>
      <c r="I233" s="346">
        <f t="shared" si="31"/>
        <v>0</v>
      </c>
      <c r="J233" s="354" t="s">
        <v>636</v>
      </c>
      <c r="M233" s="360">
        <f t="shared" si="12"/>
        <v>46930</v>
      </c>
      <c r="N233" s="360">
        <f t="shared" si="9"/>
        <v>46936</v>
      </c>
      <c r="O233" s="2">
        <f t="shared" si="10"/>
        <v>0</v>
      </c>
      <c r="P233" s="2">
        <f t="shared" si="11"/>
        <v>0</v>
      </c>
    </row>
    <row r="234">
      <c r="A234" s="344">
        <f t="shared" si="5"/>
        <v>850</v>
      </c>
      <c r="B234" s="344">
        <f t="shared" si="6"/>
        <v>90</v>
      </c>
      <c r="C234" s="369"/>
      <c r="D234" s="389" t="str">
        <f t="shared" si="7"/>
        <v>Saturday</v>
      </c>
      <c r="E234" s="344" t="s">
        <v>162</v>
      </c>
      <c r="F234" s="370"/>
      <c r="G234" s="370"/>
      <c r="H234" s="357">
        <f t="shared" si="29"/>
        <v>0</v>
      </c>
      <c r="I234" s="346">
        <f t="shared" si="31"/>
        <v>0</v>
      </c>
      <c r="J234" s="354" t="s">
        <v>636</v>
      </c>
      <c r="M234" s="360">
        <f t="shared" si="12"/>
        <v>46937</v>
      </c>
      <c r="N234" s="360">
        <f t="shared" si="9"/>
        <v>46943</v>
      </c>
      <c r="O234" s="2">
        <f t="shared" si="10"/>
        <v>0</v>
      </c>
      <c r="P234" s="2">
        <f t="shared" si="11"/>
        <v>0</v>
      </c>
    </row>
    <row r="235">
      <c r="A235" s="344">
        <f t="shared" si="5"/>
        <v>850</v>
      </c>
      <c r="B235" s="344">
        <f t="shared" si="6"/>
        <v>90</v>
      </c>
      <c r="C235" s="369"/>
      <c r="D235" s="389" t="str">
        <f t="shared" si="7"/>
        <v>Saturday</v>
      </c>
      <c r="E235" s="344" t="s">
        <v>162</v>
      </c>
      <c r="F235" s="370"/>
      <c r="G235" s="370"/>
      <c r="H235" s="357">
        <f t="shared" si="29"/>
        <v>0</v>
      </c>
      <c r="I235" s="346">
        <f t="shared" si="31"/>
        <v>0</v>
      </c>
      <c r="J235" s="354" t="s">
        <v>636</v>
      </c>
      <c r="M235" s="360">
        <f t="shared" si="12"/>
        <v>46944</v>
      </c>
      <c r="N235" s="360">
        <f t="shared" si="9"/>
        <v>46950</v>
      </c>
      <c r="O235" s="2">
        <f t="shared" si="10"/>
        <v>0</v>
      </c>
      <c r="P235" s="2">
        <f t="shared" si="11"/>
        <v>0</v>
      </c>
    </row>
    <row r="236">
      <c r="A236" s="344">
        <f t="shared" si="5"/>
        <v>850</v>
      </c>
      <c r="B236" s="344">
        <f t="shared" si="6"/>
        <v>90</v>
      </c>
      <c r="C236" s="369"/>
      <c r="D236" s="389" t="str">
        <f t="shared" si="7"/>
        <v>Saturday</v>
      </c>
      <c r="E236" s="344" t="s">
        <v>162</v>
      </c>
      <c r="F236" s="370"/>
      <c r="G236" s="370"/>
      <c r="H236" s="357">
        <f t="shared" si="29"/>
        <v>0</v>
      </c>
      <c r="I236" s="346">
        <f t="shared" si="31"/>
        <v>0</v>
      </c>
      <c r="J236" s="354" t="s">
        <v>636</v>
      </c>
      <c r="M236" s="360">
        <f t="shared" si="12"/>
        <v>46951</v>
      </c>
      <c r="N236" s="360">
        <f t="shared" si="9"/>
        <v>46957</v>
      </c>
      <c r="O236" s="2">
        <f t="shared" si="10"/>
        <v>0</v>
      </c>
      <c r="P236" s="2">
        <f t="shared" si="11"/>
        <v>0</v>
      </c>
    </row>
    <row r="237">
      <c r="A237" s="344">
        <f t="shared" si="5"/>
        <v>850</v>
      </c>
      <c r="B237" s="344">
        <f t="shared" si="6"/>
        <v>90</v>
      </c>
      <c r="C237" s="369"/>
      <c r="D237" s="389" t="str">
        <f t="shared" si="7"/>
        <v>Saturday</v>
      </c>
      <c r="E237" s="344" t="s">
        <v>162</v>
      </c>
      <c r="F237" s="370"/>
      <c r="G237" s="370"/>
      <c r="H237" s="357">
        <f t="shared" si="29"/>
        <v>0</v>
      </c>
      <c r="I237" s="346">
        <f t="shared" si="31"/>
        <v>0</v>
      </c>
      <c r="J237" s="354" t="s">
        <v>636</v>
      </c>
      <c r="M237" s="360">
        <f t="shared" si="12"/>
        <v>46958</v>
      </c>
      <c r="N237" s="360">
        <f t="shared" si="9"/>
        <v>46964</v>
      </c>
      <c r="O237" s="2">
        <f t="shared" si="10"/>
        <v>0</v>
      </c>
      <c r="P237" s="2">
        <f t="shared" si="11"/>
        <v>0</v>
      </c>
    </row>
    <row r="238">
      <c r="A238" s="344">
        <f t="shared" si="5"/>
        <v>850</v>
      </c>
      <c r="B238" s="344">
        <f t="shared" si="6"/>
        <v>90</v>
      </c>
      <c r="C238" s="369"/>
      <c r="D238" s="389" t="str">
        <f t="shared" si="7"/>
        <v>Saturday</v>
      </c>
      <c r="E238" s="344" t="s">
        <v>162</v>
      </c>
      <c r="F238" s="370"/>
      <c r="G238" s="370"/>
      <c r="H238" s="357">
        <f t="shared" si="29"/>
        <v>0</v>
      </c>
      <c r="I238" s="346">
        <f t="shared" si="31"/>
        <v>0</v>
      </c>
      <c r="J238" s="354" t="s">
        <v>636</v>
      </c>
      <c r="M238" s="360">
        <f t="shared" si="12"/>
        <v>46965</v>
      </c>
      <c r="N238" s="360">
        <f t="shared" si="9"/>
        <v>46971</v>
      </c>
      <c r="O238" s="2">
        <f t="shared" si="10"/>
        <v>0</v>
      </c>
      <c r="P238" s="2">
        <f t="shared" si="11"/>
        <v>0</v>
      </c>
    </row>
    <row r="239">
      <c r="A239" s="344">
        <f t="shared" si="5"/>
        <v>850</v>
      </c>
      <c r="B239" s="344">
        <f t="shared" si="6"/>
        <v>90</v>
      </c>
      <c r="C239" s="369"/>
      <c r="D239" s="389" t="str">
        <f t="shared" si="7"/>
        <v>Saturday</v>
      </c>
      <c r="E239" s="344" t="s">
        <v>162</v>
      </c>
      <c r="F239" s="370"/>
      <c r="G239" s="370"/>
      <c r="H239" s="357">
        <f t="shared" si="29"/>
        <v>0</v>
      </c>
      <c r="I239" s="346">
        <f t="shared" si="31"/>
        <v>0</v>
      </c>
      <c r="J239" s="354" t="s">
        <v>636</v>
      </c>
      <c r="M239" s="360">
        <f t="shared" si="12"/>
        <v>46972</v>
      </c>
      <c r="N239" s="360">
        <f t="shared" si="9"/>
        <v>46978</v>
      </c>
      <c r="O239" s="2">
        <f t="shared" si="10"/>
        <v>0</v>
      </c>
      <c r="P239" s="2">
        <f t="shared" si="11"/>
        <v>0</v>
      </c>
    </row>
    <row r="240">
      <c r="A240" s="344">
        <f t="shared" si="5"/>
        <v>850</v>
      </c>
      <c r="B240" s="344">
        <f t="shared" si="6"/>
        <v>90</v>
      </c>
      <c r="C240" s="369"/>
      <c r="D240" s="389" t="str">
        <f t="shared" si="7"/>
        <v>Saturday</v>
      </c>
      <c r="E240" s="344" t="s">
        <v>162</v>
      </c>
      <c r="F240" s="370"/>
      <c r="G240" s="370"/>
      <c r="H240" s="357">
        <f t="shared" si="29"/>
        <v>0</v>
      </c>
      <c r="I240" s="346">
        <f t="shared" si="31"/>
        <v>0</v>
      </c>
      <c r="J240" s="354" t="s">
        <v>636</v>
      </c>
      <c r="M240" s="360">
        <f t="shared" si="12"/>
        <v>46979</v>
      </c>
      <c r="N240" s="360">
        <f t="shared" si="9"/>
        <v>46985</v>
      </c>
      <c r="O240" s="2">
        <f t="shared" si="10"/>
        <v>0</v>
      </c>
      <c r="P240" s="2">
        <f t="shared" si="11"/>
        <v>0</v>
      </c>
    </row>
    <row r="241">
      <c r="A241" s="344">
        <f t="shared" si="5"/>
        <v>850</v>
      </c>
      <c r="B241" s="344">
        <f t="shared" si="6"/>
        <v>90</v>
      </c>
      <c r="C241" s="369"/>
      <c r="D241" s="389" t="str">
        <f t="shared" si="7"/>
        <v>Saturday</v>
      </c>
      <c r="E241" s="344" t="s">
        <v>162</v>
      </c>
      <c r="F241" s="370"/>
      <c r="G241" s="370"/>
      <c r="H241" s="357">
        <f t="shared" si="29"/>
        <v>0</v>
      </c>
      <c r="I241" s="346">
        <f t="shared" si="31"/>
        <v>0</v>
      </c>
      <c r="J241" s="354" t="s">
        <v>636</v>
      </c>
      <c r="M241" s="360">
        <f t="shared" si="12"/>
        <v>46986</v>
      </c>
      <c r="N241" s="360">
        <f t="shared" si="9"/>
        <v>46992</v>
      </c>
      <c r="O241" s="2">
        <f t="shared" si="10"/>
        <v>0</v>
      </c>
      <c r="P241" s="2">
        <f t="shared" si="11"/>
        <v>0</v>
      </c>
    </row>
    <row r="242">
      <c r="A242" s="344">
        <f t="shared" si="5"/>
        <v>850</v>
      </c>
      <c r="B242" s="344">
        <f t="shared" si="6"/>
        <v>90</v>
      </c>
      <c r="C242" s="369"/>
      <c r="D242" s="389" t="str">
        <f t="shared" si="7"/>
        <v>Saturday</v>
      </c>
      <c r="E242" s="344" t="s">
        <v>162</v>
      </c>
      <c r="F242" s="370"/>
      <c r="G242" s="370"/>
      <c r="H242" s="357">
        <f t="shared" si="29"/>
        <v>0</v>
      </c>
      <c r="I242" s="346">
        <f t="shared" si="31"/>
        <v>0</v>
      </c>
      <c r="J242" s="354" t="s">
        <v>636</v>
      </c>
      <c r="M242" s="360">
        <f t="shared" si="12"/>
        <v>46993</v>
      </c>
      <c r="N242" s="360">
        <f t="shared" si="9"/>
        <v>46999</v>
      </c>
      <c r="O242" s="2">
        <f t="shared" si="10"/>
        <v>0</v>
      </c>
      <c r="P242" s="2">
        <f t="shared" si="11"/>
        <v>0</v>
      </c>
    </row>
    <row r="243">
      <c r="A243" s="344">
        <f t="shared" si="5"/>
        <v>850</v>
      </c>
      <c r="B243" s="344">
        <f t="shared" si="6"/>
        <v>90</v>
      </c>
      <c r="C243" s="369"/>
      <c r="D243" s="389" t="str">
        <f t="shared" si="7"/>
        <v>Saturday</v>
      </c>
      <c r="E243" s="344" t="s">
        <v>162</v>
      </c>
      <c r="F243" s="370"/>
      <c r="G243" s="370"/>
      <c r="H243" s="357">
        <f t="shared" si="29"/>
        <v>0</v>
      </c>
      <c r="I243" s="346">
        <f t="shared" si="31"/>
        <v>0</v>
      </c>
      <c r="J243" s="354" t="s">
        <v>636</v>
      </c>
      <c r="M243" s="360">
        <f t="shared" si="12"/>
        <v>47000</v>
      </c>
      <c r="N243" s="360">
        <f t="shared" si="9"/>
        <v>47006</v>
      </c>
      <c r="O243" s="2">
        <f t="shared" si="10"/>
        <v>0</v>
      </c>
      <c r="P243" s="2">
        <f t="shared" si="11"/>
        <v>0</v>
      </c>
    </row>
    <row r="244">
      <c r="A244" s="344">
        <f t="shared" si="5"/>
        <v>850</v>
      </c>
      <c r="B244" s="344">
        <f t="shared" si="6"/>
        <v>90</v>
      </c>
      <c r="C244" s="369"/>
      <c r="D244" s="389" t="str">
        <f t="shared" si="7"/>
        <v>Saturday</v>
      </c>
      <c r="E244" s="344" t="s">
        <v>162</v>
      </c>
      <c r="F244" s="370"/>
      <c r="G244" s="370"/>
      <c r="H244" s="357">
        <f t="shared" si="29"/>
        <v>0</v>
      </c>
      <c r="I244" s="346">
        <f t="shared" si="31"/>
        <v>0</v>
      </c>
      <c r="J244" s="354" t="s">
        <v>636</v>
      </c>
      <c r="M244" s="360">
        <f t="shared" si="12"/>
        <v>47007</v>
      </c>
      <c r="N244" s="360">
        <f t="shared" si="9"/>
        <v>47013</v>
      </c>
      <c r="O244" s="2">
        <f t="shared" si="10"/>
        <v>0</v>
      </c>
      <c r="P244" s="2">
        <f t="shared" si="11"/>
        <v>0</v>
      </c>
    </row>
    <row r="245">
      <c r="A245" s="344">
        <f t="shared" si="5"/>
        <v>850</v>
      </c>
      <c r="B245" s="344">
        <f t="shared" si="6"/>
        <v>90</v>
      </c>
      <c r="C245" s="369"/>
      <c r="D245" s="389" t="str">
        <f t="shared" si="7"/>
        <v>Saturday</v>
      </c>
      <c r="E245" s="344" t="s">
        <v>162</v>
      </c>
      <c r="F245" s="370"/>
      <c r="G245" s="370"/>
      <c r="H245" s="357">
        <f t="shared" si="29"/>
        <v>0</v>
      </c>
      <c r="I245" s="346">
        <f t="shared" si="31"/>
        <v>0</v>
      </c>
      <c r="J245" s="354" t="s">
        <v>636</v>
      </c>
      <c r="M245" s="360">
        <f t="shared" si="12"/>
        <v>47014</v>
      </c>
      <c r="N245" s="360">
        <f t="shared" si="9"/>
        <v>47020</v>
      </c>
      <c r="O245" s="2">
        <f t="shared" si="10"/>
        <v>0</v>
      </c>
      <c r="P245" s="2">
        <f t="shared" si="11"/>
        <v>0</v>
      </c>
    </row>
    <row r="246">
      <c r="A246" s="344">
        <f t="shared" si="5"/>
        <v>850</v>
      </c>
      <c r="B246" s="344">
        <f t="shared" si="6"/>
        <v>90</v>
      </c>
      <c r="C246" s="369"/>
      <c r="D246" s="389" t="str">
        <f t="shared" si="7"/>
        <v>Saturday</v>
      </c>
      <c r="E246" s="344" t="s">
        <v>162</v>
      </c>
      <c r="F246" s="370"/>
      <c r="G246" s="370"/>
      <c r="H246" s="357">
        <f t="shared" si="29"/>
        <v>0</v>
      </c>
      <c r="I246" s="346">
        <f t="shared" si="31"/>
        <v>0</v>
      </c>
      <c r="J246" s="354" t="s">
        <v>636</v>
      </c>
      <c r="M246" s="360">
        <f t="shared" si="12"/>
        <v>47021</v>
      </c>
      <c r="N246" s="360">
        <f t="shared" si="9"/>
        <v>47027</v>
      </c>
      <c r="O246" s="2">
        <f t="shared" si="10"/>
        <v>0</v>
      </c>
      <c r="P246" s="2">
        <f t="shared" si="11"/>
        <v>0</v>
      </c>
    </row>
    <row r="247">
      <c r="A247" s="344">
        <f t="shared" si="5"/>
        <v>850</v>
      </c>
      <c r="B247" s="344">
        <f t="shared" si="6"/>
        <v>90</v>
      </c>
      <c r="C247" s="369"/>
      <c r="D247" s="389" t="str">
        <f t="shared" si="7"/>
        <v>Saturday</v>
      </c>
      <c r="E247" s="344" t="s">
        <v>162</v>
      </c>
      <c r="F247" s="370"/>
      <c r="G247" s="370"/>
      <c r="H247" s="357">
        <f t="shared" si="29"/>
        <v>0</v>
      </c>
      <c r="I247" s="346">
        <f t="shared" si="31"/>
        <v>0</v>
      </c>
      <c r="J247" s="354" t="s">
        <v>636</v>
      </c>
      <c r="M247" s="360">
        <f t="shared" si="12"/>
        <v>47028</v>
      </c>
      <c r="N247" s="360">
        <f t="shared" si="9"/>
        <v>47034</v>
      </c>
      <c r="O247" s="2">
        <f t="shared" si="10"/>
        <v>0</v>
      </c>
      <c r="P247" s="2">
        <f t="shared" si="11"/>
        <v>0</v>
      </c>
    </row>
    <row r="248">
      <c r="A248" s="344">
        <f t="shared" si="5"/>
        <v>850</v>
      </c>
      <c r="B248" s="344">
        <f t="shared" si="6"/>
        <v>90</v>
      </c>
      <c r="C248" s="369"/>
      <c r="D248" s="389" t="str">
        <f t="shared" si="7"/>
        <v>Saturday</v>
      </c>
      <c r="E248" s="344" t="s">
        <v>162</v>
      </c>
      <c r="F248" s="370"/>
      <c r="G248" s="370"/>
      <c r="H248" s="357">
        <f t="shared" si="29"/>
        <v>0</v>
      </c>
      <c r="I248" s="346">
        <f t="shared" si="31"/>
        <v>0</v>
      </c>
      <c r="J248" s="354" t="s">
        <v>636</v>
      </c>
      <c r="M248" s="360">
        <f t="shared" si="12"/>
        <v>47035</v>
      </c>
      <c r="N248" s="360">
        <f t="shared" si="9"/>
        <v>47041</v>
      </c>
      <c r="O248" s="2">
        <f t="shared" si="10"/>
        <v>0</v>
      </c>
      <c r="P248" s="2">
        <f t="shared" si="11"/>
        <v>0</v>
      </c>
    </row>
    <row r="249">
      <c r="A249" s="344">
        <f t="shared" si="5"/>
        <v>850</v>
      </c>
      <c r="B249" s="344">
        <f t="shared" si="6"/>
        <v>90</v>
      </c>
      <c r="C249" s="369"/>
      <c r="D249" s="389" t="str">
        <f t="shared" si="7"/>
        <v>Saturday</v>
      </c>
      <c r="E249" s="344" t="s">
        <v>162</v>
      </c>
      <c r="F249" s="370"/>
      <c r="G249" s="370"/>
      <c r="H249" s="357">
        <f t="shared" si="29"/>
        <v>0</v>
      </c>
      <c r="I249" s="346">
        <f t="shared" si="31"/>
        <v>0</v>
      </c>
      <c r="J249" s="354" t="s">
        <v>636</v>
      </c>
      <c r="M249" s="360">
        <f t="shared" si="12"/>
        <v>47042</v>
      </c>
      <c r="N249" s="360">
        <f t="shared" si="9"/>
        <v>47048</v>
      </c>
      <c r="O249" s="2">
        <f t="shared" si="10"/>
        <v>0</v>
      </c>
      <c r="P249" s="2">
        <f t="shared" si="11"/>
        <v>0</v>
      </c>
    </row>
    <row r="250">
      <c r="A250" s="344">
        <f t="shared" si="5"/>
        <v>850</v>
      </c>
      <c r="B250" s="344">
        <f t="shared" si="6"/>
        <v>90</v>
      </c>
      <c r="C250" s="369"/>
      <c r="D250" s="389" t="str">
        <f t="shared" si="7"/>
        <v>Saturday</v>
      </c>
      <c r="E250" s="344" t="s">
        <v>162</v>
      </c>
      <c r="F250" s="370"/>
      <c r="G250" s="370"/>
      <c r="H250" s="357">
        <f t="shared" si="29"/>
        <v>0</v>
      </c>
      <c r="I250" s="346">
        <f t="shared" si="31"/>
        <v>0</v>
      </c>
      <c r="J250" s="354" t="s">
        <v>636</v>
      </c>
      <c r="M250" s="360">
        <f t="shared" si="12"/>
        <v>47049</v>
      </c>
      <c r="N250" s="360">
        <f t="shared" si="9"/>
        <v>47055</v>
      </c>
      <c r="O250" s="2">
        <f t="shared" si="10"/>
        <v>0</v>
      </c>
      <c r="P250" s="2">
        <f t="shared" si="11"/>
        <v>0</v>
      </c>
    </row>
    <row r="251">
      <c r="A251" s="344">
        <f t="shared" si="5"/>
        <v>850</v>
      </c>
      <c r="B251" s="344">
        <f t="shared" si="6"/>
        <v>90</v>
      </c>
      <c r="C251" s="369"/>
      <c r="D251" s="389" t="str">
        <f t="shared" si="7"/>
        <v>Saturday</v>
      </c>
      <c r="E251" s="344" t="s">
        <v>162</v>
      </c>
      <c r="F251" s="370"/>
      <c r="G251" s="370"/>
      <c r="H251" s="357">
        <f t="shared" si="29"/>
        <v>0</v>
      </c>
      <c r="I251" s="346">
        <f t="shared" si="31"/>
        <v>0</v>
      </c>
      <c r="J251" s="354" t="s">
        <v>636</v>
      </c>
      <c r="M251" s="360">
        <f t="shared" si="12"/>
        <v>47056</v>
      </c>
      <c r="N251" s="360">
        <f t="shared" si="9"/>
        <v>47062</v>
      </c>
      <c r="O251" s="2">
        <f t="shared" si="10"/>
        <v>0</v>
      </c>
      <c r="P251" s="2">
        <f t="shared" si="11"/>
        <v>0</v>
      </c>
    </row>
    <row r="252">
      <c r="A252" s="344">
        <f t="shared" si="5"/>
        <v>850</v>
      </c>
      <c r="B252" s="344">
        <f t="shared" si="6"/>
        <v>90</v>
      </c>
      <c r="C252" s="369"/>
      <c r="D252" s="389" t="str">
        <f t="shared" si="7"/>
        <v>Saturday</v>
      </c>
      <c r="E252" s="344" t="s">
        <v>162</v>
      </c>
      <c r="F252" s="370"/>
      <c r="G252" s="370"/>
      <c r="H252" s="357">
        <f t="shared" si="29"/>
        <v>0</v>
      </c>
      <c r="I252" s="346">
        <f t="shared" si="31"/>
        <v>0</v>
      </c>
      <c r="J252" s="354" t="s">
        <v>636</v>
      </c>
      <c r="M252" s="360">
        <f t="shared" si="12"/>
        <v>47063</v>
      </c>
      <c r="N252" s="360">
        <f t="shared" si="9"/>
        <v>47069</v>
      </c>
      <c r="O252" s="2">
        <f t="shared" si="10"/>
        <v>0</v>
      </c>
      <c r="P252" s="2">
        <f t="shared" si="11"/>
        <v>0</v>
      </c>
    </row>
    <row r="253">
      <c r="A253" s="344">
        <f t="shared" si="5"/>
        <v>850</v>
      </c>
      <c r="B253" s="344">
        <f t="shared" si="6"/>
        <v>90</v>
      </c>
      <c r="C253" s="369"/>
      <c r="D253" s="389" t="str">
        <f t="shared" si="7"/>
        <v>Saturday</v>
      </c>
      <c r="E253" s="344" t="s">
        <v>162</v>
      </c>
      <c r="F253" s="370"/>
      <c r="G253" s="370"/>
      <c r="H253" s="357">
        <f t="shared" si="29"/>
        <v>0</v>
      </c>
      <c r="I253" s="346">
        <f t="shared" si="31"/>
        <v>0</v>
      </c>
      <c r="J253" s="354" t="s">
        <v>636</v>
      </c>
      <c r="M253" s="360">
        <f t="shared" si="12"/>
        <v>47070</v>
      </c>
      <c r="N253" s="360">
        <f t="shared" si="9"/>
        <v>47076</v>
      </c>
      <c r="O253" s="2">
        <f t="shared" si="10"/>
        <v>0</v>
      </c>
      <c r="P253" s="2">
        <f t="shared" si="11"/>
        <v>0</v>
      </c>
    </row>
    <row r="254">
      <c r="A254" s="344">
        <f t="shared" si="5"/>
        <v>850</v>
      </c>
      <c r="B254" s="344">
        <f t="shared" si="6"/>
        <v>90</v>
      </c>
      <c r="C254" s="369"/>
      <c r="D254" s="389" t="str">
        <f t="shared" si="7"/>
        <v>Saturday</v>
      </c>
      <c r="E254" s="344" t="s">
        <v>162</v>
      </c>
      <c r="F254" s="370"/>
      <c r="G254" s="370"/>
      <c r="H254" s="357">
        <f t="shared" si="29"/>
        <v>0</v>
      </c>
      <c r="I254" s="346">
        <f t="shared" si="31"/>
        <v>0</v>
      </c>
      <c r="J254" s="354" t="s">
        <v>636</v>
      </c>
      <c r="M254" s="360">
        <f t="shared" si="12"/>
        <v>47077</v>
      </c>
      <c r="N254" s="360">
        <f t="shared" si="9"/>
        <v>47083</v>
      </c>
      <c r="O254" s="2">
        <f t="shared" si="10"/>
        <v>0</v>
      </c>
      <c r="P254" s="2">
        <f t="shared" si="11"/>
        <v>0</v>
      </c>
    </row>
    <row r="255">
      <c r="A255" s="344">
        <f t="shared" si="5"/>
        <v>850</v>
      </c>
      <c r="B255" s="344">
        <f t="shared" si="6"/>
        <v>90</v>
      </c>
      <c r="C255" s="369"/>
      <c r="D255" s="389" t="str">
        <f t="shared" si="7"/>
        <v>Saturday</v>
      </c>
      <c r="E255" s="344" t="s">
        <v>162</v>
      </c>
      <c r="F255" s="370"/>
      <c r="G255" s="370"/>
      <c r="H255" s="357">
        <f t="shared" si="29"/>
        <v>0</v>
      </c>
      <c r="I255" s="346">
        <f t="shared" si="31"/>
        <v>0</v>
      </c>
      <c r="J255" s="354" t="s">
        <v>636</v>
      </c>
      <c r="M255" s="360">
        <f t="shared" si="12"/>
        <v>47084</v>
      </c>
      <c r="N255" s="360">
        <f t="shared" si="9"/>
        <v>47090</v>
      </c>
      <c r="O255" s="2">
        <f t="shared" si="10"/>
        <v>0</v>
      </c>
      <c r="P255" s="2">
        <f t="shared" si="11"/>
        <v>0</v>
      </c>
    </row>
    <row r="256">
      <c r="A256" s="344">
        <f t="shared" si="5"/>
        <v>850</v>
      </c>
      <c r="B256" s="344">
        <f t="shared" si="6"/>
        <v>90</v>
      </c>
      <c r="C256" s="369"/>
      <c r="D256" s="389" t="str">
        <f t="shared" si="7"/>
        <v>Saturday</v>
      </c>
      <c r="E256" s="344" t="s">
        <v>162</v>
      </c>
      <c r="F256" s="370"/>
      <c r="G256" s="370"/>
      <c r="H256" s="357">
        <f t="shared" si="29"/>
        <v>0</v>
      </c>
      <c r="I256" s="346">
        <f t="shared" si="31"/>
        <v>0</v>
      </c>
      <c r="J256" s="354" t="s">
        <v>636</v>
      </c>
      <c r="M256" s="360">
        <f t="shared" si="12"/>
        <v>47091</v>
      </c>
      <c r="N256" s="360">
        <f t="shared" si="9"/>
        <v>47097</v>
      </c>
      <c r="O256" s="2">
        <f t="shared" si="10"/>
        <v>0</v>
      </c>
      <c r="P256" s="2">
        <f t="shared" si="11"/>
        <v>0</v>
      </c>
    </row>
    <row r="257">
      <c r="A257" s="344">
        <f t="shared" si="5"/>
        <v>850</v>
      </c>
      <c r="B257" s="344">
        <f t="shared" si="6"/>
        <v>90</v>
      </c>
      <c r="C257" s="369"/>
      <c r="D257" s="389" t="str">
        <f t="shared" si="7"/>
        <v>Saturday</v>
      </c>
      <c r="E257" s="344" t="s">
        <v>162</v>
      </c>
      <c r="F257" s="370"/>
      <c r="G257" s="370"/>
      <c r="H257" s="357">
        <f t="shared" si="29"/>
        <v>0</v>
      </c>
      <c r="I257" s="346">
        <f t="shared" si="31"/>
        <v>0</v>
      </c>
      <c r="J257" s="354" t="s">
        <v>636</v>
      </c>
      <c r="M257" s="360">
        <f t="shared" si="12"/>
        <v>47098</v>
      </c>
      <c r="N257" s="360">
        <f t="shared" si="9"/>
        <v>47104</v>
      </c>
      <c r="O257" s="2">
        <f t="shared" si="10"/>
        <v>0</v>
      </c>
      <c r="P257" s="2">
        <f t="shared" si="11"/>
        <v>0</v>
      </c>
    </row>
    <row r="258">
      <c r="A258" s="344">
        <f t="shared" si="5"/>
        <v>850</v>
      </c>
      <c r="B258" s="344">
        <f t="shared" si="6"/>
        <v>90</v>
      </c>
      <c r="C258" s="369"/>
      <c r="D258" s="389" t="str">
        <f t="shared" si="7"/>
        <v>Saturday</v>
      </c>
      <c r="E258" s="344" t="s">
        <v>162</v>
      </c>
      <c r="F258" s="370"/>
      <c r="G258" s="370"/>
      <c r="H258" s="357">
        <f t="shared" si="29"/>
        <v>0</v>
      </c>
      <c r="I258" s="346">
        <f t="shared" si="31"/>
        <v>0</v>
      </c>
      <c r="J258" s="354" t="s">
        <v>636</v>
      </c>
      <c r="M258" s="360">
        <f t="shared" si="12"/>
        <v>47105</v>
      </c>
      <c r="N258" s="360">
        <f t="shared" si="9"/>
        <v>47111</v>
      </c>
      <c r="O258" s="2">
        <f t="shared" si="10"/>
        <v>0</v>
      </c>
      <c r="P258" s="2">
        <f t="shared" si="11"/>
        <v>0</v>
      </c>
    </row>
    <row r="259">
      <c r="A259" s="344">
        <f t="shared" si="5"/>
        <v>850</v>
      </c>
      <c r="B259" s="344">
        <f t="shared" si="6"/>
        <v>90</v>
      </c>
      <c r="C259" s="369"/>
      <c r="D259" s="389" t="str">
        <f t="shared" si="7"/>
        <v>Saturday</v>
      </c>
      <c r="E259" s="344" t="s">
        <v>162</v>
      </c>
      <c r="F259" s="370"/>
      <c r="G259" s="370"/>
      <c r="H259" s="357">
        <f t="shared" si="29"/>
        <v>0</v>
      </c>
      <c r="I259" s="346">
        <f t="shared" si="31"/>
        <v>0</v>
      </c>
      <c r="J259" s="354" t="s">
        <v>636</v>
      </c>
      <c r="M259" s="360">
        <f t="shared" si="12"/>
        <v>47112</v>
      </c>
      <c r="N259" s="360">
        <f t="shared" si="9"/>
        <v>47118</v>
      </c>
      <c r="O259" s="2">
        <f t="shared" si="10"/>
        <v>0</v>
      </c>
      <c r="P259" s="2">
        <f t="shared" si="11"/>
        <v>0</v>
      </c>
    </row>
    <row r="260">
      <c r="A260" s="344">
        <f t="shared" si="5"/>
        <v>850</v>
      </c>
      <c r="B260" s="344">
        <f t="shared" si="6"/>
        <v>90</v>
      </c>
      <c r="C260" s="369"/>
      <c r="D260" s="389" t="str">
        <f t="shared" si="7"/>
        <v>Saturday</v>
      </c>
      <c r="E260" s="344" t="s">
        <v>162</v>
      </c>
      <c r="F260" s="370"/>
      <c r="G260" s="370"/>
      <c r="H260" s="357">
        <f t="shared" si="29"/>
        <v>0</v>
      </c>
      <c r="I260" s="346">
        <f t="shared" si="31"/>
        <v>0</v>
      </c>
      <c r="J260" s="354" t="s">
        <v>636</v>
      </c>
      <c r="M260" s="360">
        <f t="shared" si="12"/>
        <v>47119</v>
      </c>
      <c r="N260" s="360">
        <f t="shared" si="9"/>
        <v>47125</v>
      </c>
      <c r="O260" s="2">
        <f t="shared" si="10"/>
        <v>0</v>
      </c>
      <c r="P260" s="2">
        <f t="shared" si="11"/>
        <v>0</v>
      </c>
    </row>
    <row r="261">
      <c r="A261" s="344">
        <f t="shared" si="5"/>
        <v>850</v>
      </c>
      <c r="B261" s="344">
        <f t="shared" si="6"/>
        <v>90</v>
      </c>
      <c r="C261" s="369"/>
      <c r="D261" s="389" t="str">
        <f t="shared" si="7"/>
        <v>Saturday</v>
      </c>
      <c r="E261" s="344" t="s">
        <v>162</v>
      </c>
      <c r="F261" s="370"/>
      <c r="G261" s="370"/>
      <c r="H261" s="357">
        <f t="shared" si="29"/>
        <v>0</v>
      </c>
      <c r="I261" s="346">
        <f t="shared" si="31"/>
        <v>0</v>
      </c>
      <c r="J261" s="354" t="s">
        <v>636</v>
      </c>
      <c r="M261" s="360">
        <f t="shared" si="12"/>
        <v>47126</v>
      </c>
      <c r="N261" s="360">
        <f t="shared" si="9"/>
        <v>47132</v>
      </c>
      <c r="O261" s="2">
        <f t="shared" si="10"/>
        <v>0</v>
      </c>
      <c r="P261" s="2">
        <f t="shared" si="11"/>
        <v>0</v>
      </c>
    </row>
    <row r="262">
      <c r="A262" s="344">
        <f t="shared" si="5"/>
        <v>850</v>
      </c>
      <c r="B262" s="344">
        <f t="shared" si="6"/>
        <v>90</v>
      </c>
      <c r="C262" s="369"/>
      <c r="D262" s="389" t="str">
        <f t="shared" si="7"/>
        <v>Saturday</v>
      </c>
      <c r="E262" s="344" t="s">
        <v>162</v>
      </c>
      <c r="F262" s="370"/>
      <c r="G262" s="370"/>
      <c r="H262" s="357">
        <f t="shared" si="29"/>
        <v>0</v>
      </c>
      <c r="I262" s="346">
        <f t="shared" si="31"/>
        <v>0</v>
      </c>
      <c r="J262" s="354" t="s">
        <v>636</v>
      </c>
      <c r="M262" s="360">
        <f t="shared" si="12"/>
        <v>47133</v>
      </c>
      <c r="N262" s="360">
        <f t="shared" si="9"/>
        <v>47139</v>
      </c>
      <c r="O262" s="2">
        <f t="shared" si="10"/>
        <v>0</v>
      </c>
      <c r="P262" s="2">
        <f t="shared" si="11"/>
        <v>0</v>
      </c>
    </row>
    <row r="263">
      <c r="A263" s="344">
        <f t="shared" si="5"/>
        <v>850</v>
      </c>
      <c r="B263" s="344">
        <f t="shared" si="6"/>
        <v>90</v>
      </c>
      <c r="C263" s="369"/>
      <c r="D263" s="389" t="str">
        <f t="shared" si="7"/>
        <v>Saturday</v>
      </c>
      <c r="E263" s="344" t="s">
        <v>162</v>
      </c>
      <c r="F263" s="370"/>
      <c r="G263" s="370"/>
      <c r="H263" s="357">
        <f t="shared" si="29"/>
        <v>0</v>
      </c>
      <c r="I263" s="346">
        <f t="shared" si="31"/>
        <v>0</v>
      </c>
      <c r="J263" s="354" t="s">
        <v>636</v>
      </c>
      <c r="M263" s="360">
        <f t="shared" si="12"/>
        <v>47140</v>
      </c>
      <c r="N263" s="360">
        <f t="shared" si="9"/>
        <v>47146</v>
      </c>
      <c r="O263" s="2">
        <f t="shared" si="10"/>
        <v>0</v>
      </c>
      <c r="P263" s="2">
        <f t="shared" si="11"/>
        <v>0</v>
      </c>
    </row>
    <row r="264">
      <c r="A264" s="344">
        <f t="shared" si="5"/>
        <v>850</v>
      </c>
      <c r="B264" s="344">
        <f t="shared" si="6"/>
        <v>90</v>
      </c>
      <c r="C264" s="369"/>
      <c r="D264" s="389" t="str">
        <f t="shared" si="7"/>
        <v>Saturday</v>
      </c>
      <c r="E264" s="344" t="s">
        <v>162</v>
      </c>
      <c r="F264" s="370"/>
      <c r="G264" s="370"/>
      <c r="H264" s="357">
        <f t="shared" si="29"/>
        <v>0</v>
      </c>
      <c r="I264" s="346">
        <f t="shared" si="31"/>
        <v>0</v>
      </c>
      <c r="J264" s="354" t="s">
        <v>636</v>
      </c>
      <c r="M264" s="360">
        <f t="shared" si="12"/>
        <v>47147</v>
      </c>
      <c r="N264" s="360">
        <f t="shared" si="9"/>
        <v>47153</v>
      </c>
      <c r="O264" s="2">
        <f t="shared" si="10"/>
        <v>0</v>
      </c>
      <c r="P264" s="2">
        <f t="shared" si="11"/>
        <v>0</v>
      </c>
    </row>
    <row r="265">
      <c r="A265" s="344">
        <f t="shared" si="5"/>
        <v>850</v>
      </c>
      <c r="B265" s="344">
        <f t="shared" si="6"/>
        <v>90</v>
      </c>
      <c r="C265" s="369"/>
      <c r="D265" s="389" t="str">
        <f t="shared" si="7"/>
        <v>Saturday</v>
      </c>
      <c r="E265" s="344" t="s">
        <v>162</v>
      </c>
      <c r="F265" s="370"/>
      <c r="G265" s="370"/>
      <c r="H265" s="357">
        <f t="shared" si="29"/>
        <v>0</v>
      </c>
      <c r="I265" s="346">
        <f t="shared" si="31"/>
        <v>0</v>
      </c>
      <c r="J265" s="354" t="s">
        <v>636</v>
      </c>
      <c r="M265" s="360">
        <f t="shared" si="12"/>
        <v>47154</v>
      </c>
      <c r="N265" s="360">
        <f t="shared" si="9"/>
        <v>47160</v>
      </c>
      <c r="O265" s="2">
        <f t="shared" si="10"/>
        <v>0</v>
      </c>
      <c r="P265" s="2">
        <f t="shared" si="11"/>
        <v>0</v>
      </c>
    </row>
    <row r="266">
      <c r="A266" s="344">
        <f t="shared" si="5"/>
        <v>850</v>
      </c>
      <c r="B266" s="344">
        <f t="shared" si="6"/>
        <v>90</v>
      </c>
      <c r="C266" s="369"/>
      <c r="D266" s="389" t="str">
        <f t="shared" si="7"/>
        <v>Saturday</v>
      </c>
      <c r="E266" s="344" t="s">
        <v>162</v>
      </c>
      <c r="F266" s="370"/>
      <c r="G266" s="370"/>
      <c r="H266" s="357">
        <f t="shared" si="29"/>
        <v>0</v>
      </c>
      <c r="I266" s="346">
        <f t="shared" si="31"/>
        <v>0</v>
      </c>
      <c r="J266" s="354" t="s">
        <v>636</v>
      </c>
      <c r="M266" s="360">
        <f t="shared" si="12"/>
        <v>47161</v>
      </c>
      <c r="N266" s="360">
        <f t="shared" si="9"/>
        <v>47167</v>
      </c>
      <c r="O266" s="2">
        <f t="shared" si="10"/>
        <v>0</v>
      </c>
      <c r="P266" s="2">
        <f t="shared" si="11"/>
        <v>0</v>
      </c>
    </row>
    <row r="267">
      <c r="A267" s="344">
        <f t="shared" si="5"/>
        <v>850</v>
      </c>
      <c r="B267" s="344">
        <f t="shared" si="6"/>
        <v>90</v>
      </c>
      <c r="C267" s="369"/>
      <c r="D267" s="389" t="str">
        <f t="shared" si="7"/>
        <v>Saturday</v>
      </c>
      <c r="E267" s="344" t="s">
        <v>162</v>
      </c>
      <c r="F267" s="370"/>
      <c r="G267" s="370"/>
      <c r="H267" s="357">
        <f t="shared" si="29"/>
        <v>0</v>
      </c>
      <c r="I267" s="346">
        <f t="shared" si="31"/>
        <v>0</v>
      </c>
      <c r="J267" s="354" t="s">
        <v>636</v>
      </c>
      <c r="M267" s="360">
        <f t="shared" si="12"/>
        <v>47168</v>
      </c>
      <c r="N267" s="360">
        <f t="shared" si="9"/>
        <v>47174</v>
      </c>
      <c r="O267" s="2">
        <f t="shared" si="10"/>
        <v>0</v>
      </c>
      <c r="P267" s="2">
        <f t="shared" si="11"/>
        <v>0</v>
      </c>
    </row>
    <row r="268">
      <c r="A268" s="344">
        <f t="shared" si="5"/>
        <v>850</v>
      </c>
      <c r="B268" s="344">
        <f t="shared" si="6"/>
        <v>90</v>
      </c>
      <c r="C268" s="369"/>
      <c r="D268" s="389" t="str">
        <f t="shared" si="7"/>
        <v>Saturday</v>
      </c>
      <c r="E268" s="344" t="s">
        <v>162</v>
      </c>
      <c r="F268" s="370"/>
      <c r="G268" s="370"/>
      <c r="H268" s="357">
        <f t="shared" si="29"/>
        <v>0</v>
      </c>
      <c r="I268" s="346">
        <f t="shared" si="31"/>
        <v>0</v>
      </c>
      <c r="J268" s="354" t="s">
        <v>636</v>
      </c>
      <c r="M268" s="360">
        <f t="shared" si="12"/>
        <v>47175</v>
      </c>
      <c r="N268" s="360">
        <f t="shared" si="9"/>
        <v>47181</v>
      </c>
      <c r="O268" s="2">
        <f t="shared" si="10"/>
        <v>0</v>
      </c>
      <c r="P268" s="2">
        <f t="shared" si="11"/>
        <v>0</v>
      </c>
    </row>
    <row r="269">
      <c r="A269" s="344">
        <f t="shared" si="5"/>
        <v>850</v>
      </c>
      <c r="B269" s="344">
        <f t="shared" si="6"/>
        <v>90</v>
      </c>
      <c r="C269" s="369"/>
      <c r="D269" s="389" t="str">
        <f t="shared" si="7"/>
        <v>Saturday</v>
      </c>
      <c r="E269" s="344" t="s">
        <v>162</v>
      </c>
      <c r="F269" s="370"/>
      <c r="G269" s="370"/>
      <c r="H269" s="357">
        <f t="shared" si="29"/>
        <v>0</v>
      </c>
      <c r="I269" s="346">
        <f t="shared" si="31"/>
        <v>0</v>
      </c>
      <c r="J269" s="354" t="s">
        <v>636</v>
      </c>
      <c r="M269" s="360">
        <f t="shared" si="12"/>
        <v>47182</v>
      </c>
      <c r="N269" s="360">
        <f t="shared" si="9"/>
        <v>47188</v>
      </c>
      <c r="O269" s="2">
        <f t="shared" si="10"/>
        <v>0</v>
      </c>
      <c r="P269" s="2">
        <f t="shared" si="11"/>
        <v>0</v>
      </c>
    </row>
    <row r="270">
      <c r="A270" s="344">
        <f t="shared" si="5"/>
        <v>850</v>
      </c>
      <c r="B270" s="344">
        <f t="shared" si="6"/>
        <v>90</v>
      </c>
      <c r="C270" s="369"/>
      <c r="D270" s="389" t="str">
        <f t="shared" si="7"/>
        <v>Saturday</v>
      </c>
      <c r="E270" s="344" t="s">
        <v>162</v>
      </c>
      <c r="F270" s="370"/>
      <c r="G270" s="370"/>
      <c r="H270" s="357">
        <f t="shared" si="29"/>
        <v>0</v>
      </c>
      <c r="I270" s="346">
        <f t="shared" si="31"/>
        <v>0</v>
      </c>
      <c r="J270" s="354" t="s">
        <v>636</v>
      </c>
      <c r="M270" s="360">
        <f t="shared" si="12"/>
        <v>47189</v>
      </c>
      <c r="N270" s="360">
        <f t="shared" si="9"/>
        <v>47195</v>
      </c>
      <c r="O270" s="2">
        <f t="shared" si="10"/>
        <v>0</v>
      </c>
      <c r="P270" s="2">
        <f t="shared" si="11"/>
        <v>0</v>
      </c>
    </row>
    <row r="271">
      <c r="A271" s="344">
        <f t="shared" si="5"/>
        <v>850</v>
      </c>
      <c r="B271" s="344">
        <f t="shared" si="6"/>
        <v>90</v>
      </c>
      <c r="C271" s="369"/>
      <c r="D271" s="389" t="str">
        <f t="shared" si="7"/>
        <v>Saturday</v>
      </c>
      <c r="E271" s="344" t="s">
        <v>162</v>
      </c>
      <c r="F271" s="370"/>
      <c r="G271" s="370"/>
      <c r="H271" s="357">
        <f t="shared" si="29"/>
        <v>0</v>
      </c>
      <c r="I271" s="346">
        <f t="shared" si="31"/>
        <v>0</v>
      </c>
      <c r="J271" s="354" t="s">
        <v>636</v>
      </c>
      <c r="M271" s="360">
        <f t="shared" si="12"/>
        <v>47196</v>
      </c>
      <c r="N271" s="360">
        <f t="shared" si="9"/>
        <v>47202</v>
      </c>
      <c r="O271" s="2">
        <f t="shared" si="10"/>
        <v>0</v>
      </c>
      <c r="P271" s="2">
        <f t="shared" si="11"/>
        <v>0</v>
      </c>
    </row>
    <row r="272">
      <c r="A272" s="344">
        <f t="shared" si="5"/>
        <v>850</v>
      </c>
      <c r="B272" s="344">
        <f t="shared" si="6"/>
        <v>90</v>
      </c>
      <c r="C272" s="369"/>
      <c r="D272" s="389" t="str">
        <f t="shared" si="7"/>
        <v>Saturday</v>
      </c>
      <c r="E272" s="344" t="s">
        <v>162</v>
      </c>
      <c r="F272" s="370"/>
      <c r="G272" s="370"/>
      <c r="H272" s="357">
        <f t="shared" si="29"/>
        <v>0</v>
      </c>
      <c r="I272" s="346">
        <f t="shared" si="31"/>
        <v>0</v>
      </c>
      <c r="J272" s="354" t="s">
        <v>636</v>
      </c>
      <c r="M272" s="360">
        <f t="shared" si="12"/>
        <v>47203</v>
      </c>
      <c r="N272" s="360">
        <f t="shared" si="9"/>
        <v>47209</v>
      </c>
      <c r="O272" s="2">
        <f t="shared" si="10"/>
        <v>0</v>
      </c>
      <c r="P272" s="2">
        <f t="shared" si="11"/>
        <v>0</v>
      </c>
    </row>
    <row r="273">
      <c r="A273" s="344">
        <f t="shared" si="5"/>
        <v>850</v>
      </c>
      <c r="B273" s="344">
        <f t="shared" si="6"/>
        <v>90</v>
      </c>
      <c r="C273" s="369"/>
      <c r="D273" s="389" t="str">
        <f t="shared" si="7"/>
        <v>Saturday</v>
      </c>
      <c r="E273" s="344" t="s">
        <v>162</v>
      </c>
      <c r="F273" s="370"/>
      <c r="G273" s="370"/>
      <c r="H273" s="357">
        <f t="shared" si="29"/>
        <v>0</v>
      </c>
      <c r="I273" s="346">
        <f t="shared" si="31"/>
        <v>0</v>
      </c>
      <c r="J273" s="354" t="s">
        <v>636</v>
      </c>
      <c r="M273" s="360">
        <f t="shared" si="12"/>
        <v>47210</v>
      </c>
      <c r="N273" s="360">
        <f t="shared" si="9"/>
        <v>47216</v>
      </c>
      <c r="O273" s="2">
        <f t="shared" si="10"/>
        <v>0</v>
      </c>
      <c r="P273" s="2">
        <f t="shared" si="11"/>
        <v>0</v>
      </c>
    </row>
    <row r="274">
      <c r="A274" s="344">
        <f t="shared" si="5"/>
        <v>850</v>
      </c>
      <c r="B274" s="344">
        <f t="shared" si="6"/>
        <v>90</v>
      </c>
      <c r="C274" s="369"/>
      <c r="D274" s="389" t="str">
        <f t="shared" si="7"/>
        <v>Saturday</v>
      </c>
      <c r="E274" s="344" t="s">
        <v>162</v>
      </c>
      <c r="F274" s="370"/>
      <c r="G274" s="370"/>
      <c r="H274" s="357">
        <f t="shared" si="29"/>
        <v>0</v>
      </c>
      <c r="I274" s="346">
        <f t="shared" si="31"/>
        <v>0</v>
      </c>
      <c r="J274" s="354" t="s">
        <v>636</v>
      </c>
      <c r="M274" s="360">
        <f t="shared" si="12"/>
        <v>47217</v>
      </c>
      <c r="N274" s="360">
        <f t="shared" si="9"/>
        <v>47223</v>
      </c>
      <c r="O274" s="2">
        <f t="shared" si="10"/>
        <v>0</v>
      </c>
      <c r="P274" s="2">
        <f t="shared" si="11"/>
        <v>0</v>
      </c>
    </row>
    <row r="275">
      <c r="A275" s="344">
        <f t="shared" si="5"/>
        <v>850</v>
      </c>
      <c r="B275" s="344">
        <f t="shared" si="6"/>
        <v>90</v>
      </c>
      <c r="C275" s="369"/>
      <c r="D275" s="389" t="str">
        <f t="shared" si="7"/>
        <v>Saturday</v>
      </c>
      <c r="E275" s="344" t="s">
        <v>162</v>
      </c>
      <c r="F275" s="370"/>
      <c r="G275" s="370"/>
      <c r="H275" s="357">
        <f t="shared" si="29"/>
        <v>0</v>
      </c>
      <c r="I275" s="346">
        <f t="shared" si="31"/>
        <v>0</v>
      </c>
      <c r="J275" s="354" t="s">
        <v>636</v>
      </c>
      <c r="M275" s="360">
        <f t="shared" si="12"/>
        <v>47224</v>
      </c>
      <c r="N275" s="360">
        <f t="shared" si="9"/>
        <v>47230</v>
      </c>
      <c r="O275" s="2">
        <f t="shared" si="10"/>
        <v>0</v>
      </c>
      <c r="P275" s="2">
        <f t="shared" si="11"/>
        <v>0</v>
      </c>
    </row>
    <row r="276">
      <c r="A276" s="344">
        <f t="shared" si="5"/>
        <v>850</v>
      </c>
      <c r="B276" s="344">
        <f t="shared" si="6"/>
        <v>90</v>
      </c>
      <c r="C276" s="369"/>
      <c r="D276" s="389" t="str">
        <f t="shared" si="7"/>
        <v>Saturday</v>
      </c>
      <c r="E276" s="344" t="s">
        <v>162</v>
      </c>
      <c r="F276" s="370"/>
      <c r="G276" s="370"/>
      <c r="H276" s="357">
        <f t="shared" si="29"/>
        <v>0</v>
      </c>
      <c r="I276" s="346">
        <f t="shared" si="31"/>
        <v>0</v>
      </c>
      <c r="J276" s="354" t="s">
        <v>636</v>
      </c>
      <c r="M276" s="360">
        <f t="shared" si="12"/>
        <v>47231</v>
      </c>
      <c r="N276" s="360">
        <f t="shared" si="9"/>
        <v>47237</v>
      </c>
      <c r="O276" s="2">
        <f t="shared" si="10"/>
        <v>0</v>
      </c>
      <c r="P276" s="2">
        <f t="shared" si="11"/>
        <v>0</v>
      </c>
    </row>
    <row r="277">
      <c r="A277" s="344">
        <f t="shared" si="5"/>
        <v>850</v>
      </c>
      <c r="B277" s="344">
        <f t="shared" si="6"/>
        <v>90</v>
      </c>
      <c r="C277" s="369"/>
      <c r="D277" s="389" t="str">
        <f t="shared" si="7"/>
        <v>Saturday</v>
      </c>
      <c r="E277" s="344" t="s">
        <v>162</v>
      </c>
      <c r="F277" s="370"/>
      <c r="G277" s="370"/>
      <c r="H277" s="357">
        <f t="shared" si="29"/>
        <v>0</v>
      </c>
      <c r="I277" s="346">
        <f t="shared" si="31"/>
        <v>0</v>
      </c>
      <c r="J277" s="354" t="s">
        <v>636</v>
      </c>
      <c r="M277" s="360">
        <f t="shared" si="12"/>
        <v>47238</v>
      </c>
      <c r="N277" s="360">
        <f t="shared" si="9"/>
        <v>47244</v>
      </c>
      <c r="O277" s="2">
        <f t="shared" si="10"/>
        <v>0</v>
      </c>
      <c r="P277" s="2">
        <f t="shared" si="11"/>
        <v>0</v>
      </c>
    </row>
    <row r="278">
      <c r="A278" s="344">
        <f t="shared" si="5"/>
        <v>850</v>
      </c>
      <c r="B278" s="344">
        <f t="shared" si="6"/>
        <v>90</v>
      </c>
      <c r="C278" s="369"/>
      <c r="D278" s="389" t="str">
        <f t="shared" si="7"/>
        <v>Saturday</v>
      </c>
      <c r="E278" s="344" t="s">
        <v>162</v>
      </c>
      <c r="F278" s="370"/>
      <c r="G278" s="370"/>
      <c r="H278" s="357">
        <f t="shared" si="29"/>
        <v>0</v>
      </c>
      <c r="I278" s="346">
        <f t="shared" si="31"/>
        <v>0</v>
      </c>
      <c r="J278" s="354" t="s">
        <v>636</v>
      </c>
      <c r="M278" s="360">
        <f t="shared" si="12"/>
        <v>47245</v>
      </c>
      <c r="N278" s="360">
        <f t="shared" si="9"/>
        <v>47251</v>
      </c>
      <c r="O278" s="2">
        <f t="shared" si="10"/>
        <v>0</v>
      </c>
      <c r="P278" s="2">
        <f t="shared" si="11"/>
        <v>0</v>
      </c>
    </row>
    <row r="279">
      <c r="A279" s="344">
        <f t="shared" si="5"/>
        <v>850</v>
      </c>
      <c r="B279" s="344">
        <f t="shared" si="6"/>
        <v>90</v>
      </c>
      <c r="C279" s="369"/>
      <c r="D279" s="389" t="str">
        <f t="shared" si="7"/>
        <v>Saturday</v>
      </c>
      <c r="E279" s="344" t="s">
        <v>162</v>
      </c>
      <c r="F279" s="370"/>
      <c r="G279" s="370"/>
      <c r="H279" s="357">
        <f t="shared" si="29"/>
        <v>0</v>
      </c>
      <c r="I279" s="346">
        <f t="shared" si="31"/>
        <v>0</v>
      </c>
      <c r="J279" s="354" t="s">
        <v>636</v>
      </c>
      <c r="M279" s="360">
        <f t="shared" si="12"/>
        <v>47252</v>
      </c>
      <c r="N279" s="360">
        <f t="shared" si="9"/>
        <v>47258</v>
      </c>
      <c r="O279" s="2">
        <f t="shared" si="10"/>
        <v>0</v>
      </c>
      <c r="P279" s="2">
        <f t="shared" si="11"/>
        <v>0</v>
      </c>
    </row>
    <row r="280">
      <c r="A280" s="344">
        <f t="shared" si="5"/>
        <v>850</v>
      </c>
      <c r="B280" s="344">
        <f t="shared" si="6"/>
        <v>90</v>
      </c>
      <c r="C280" s="369"/>
      <c r="D280" s="389" t="str">
        <f t="shared" si="7"/>
        <v>Saturday</v>
      </c>
      <c r="E280" s="344" t="s">
        <v>162</v>
      </c>
      <c r="F280" s="370"/>
      <c r="G280" s="370"/>
      <c r="H280" s="357">
        <f t="shared" si="29"/>
        <v>0</v>
      </c>
      <c r="I280" s="346">
        <f t="shared" si="31"/>
        <v>0</v>
      </c>
      <c r="J280" s="354" t="s">
        <v>636</v>
      </c>
      <c r="M280" s="360">
        <f t="shared" si="12"/>
        <v>47259</v>
      </c>
      <c r="N280" s="360">
        <f t="shared" si="9"/>
        <v>47265</v>
      </c>
      <c r="O280" s="2">
        <f t="shared" si="10"/>
        <v>0</v>
      </c>
      <c r="P280" s="2">
        <f t="shared" si="11"/>
        <v>0</v>
      </c>
    </row>
    <row r="281">
      <c r="A281" s="344">
        <f t="shared" si="5"/>
        <v>850</v>
      </c>
      <c r="B281" s="344">
        <f t="shared" si="6"/>
        <v>90</v>
      </c>
      <c r="C281" s="369"/>
      <c r="D281" s="389" t="str">
        <f t="shared" si="7"/>
        <v>Saturday</v>
      </c>
      <c r="E281" s="344" t="s">
        <v>162</v>
      </c>
      <c r="F281" s="370"/>
      <c r="G281" s="370"/>
      <c r="H281" s="357">
        <f t="shared" si="29"/>
        <v>0</v>
      </c>
      <c r="I281" s="346">
        <f t="shared" si="31"/>
        <v>0</v>
      </c>
      <c r="J281" s="354" t="s">
        <v>636</v>
      </c>
      <c r="M281" s="360">
        <f t="shared" si="12"/>
        <v>47266</v>
      </c>
      <c r="N281" s="360">
        <f t="shared" si="9"/>
        <v>47272</v>
      </c>
      <c r="O281" s="2">
        <f t="shared" si="10"/>
        <v>0</v>
      </c>
      <c r="P281" s="2">
        <f t="shared" si="11"/>
        <v>0</v>
      </c>
    </row>
    <row r="282">
      <c r="A282" s="344">
        <f t="shared" si="5"/>
        <v>850</v>
      </c>
      <c r="B282" s="344">
        <f t="shared" si="6"/>
        <v>90</v>
      </c>
      <c r="C282" s="369"/>
      <c r="D282" s="389" t="str">
        <f t="shared" si="7"/>
        <v>Saturday</v>
      </c>
      <c r="E282" s="344" t="s">
        <v>162</v>
      </c>
      <c r="F282" s="370"/>
      <c r="G282" s="370"/>
      <c r="H282" s="357">
        <f t="shared" si="29"/>
        <v>0</v>
      </c>
      <c r="I282" s="346">
        <f t="shared" si="31"/>
        <v>0</v>
      </c>
      <c r="J282" s="354" t="s">
        <v>636</v>
      </c>
      <c r="M282" s="360">
        <f t="shared" si="12"/>
        <v>47273</v>
      </c>
      <c r="N282" s="360">
        <f t="shared" si="9"/>
        <v>47279</v>
      </c>
      <c r="O282" s="2">
        <f t="shared" si="10"/>
        <v>0</v>
      </c>
      <c r="P282" s="2">
        <f t="shared" si="11"/>
        <v>0</v>
      </c>
    </row>
    <row r="283">
      <c r="A283" s="344">
        <f t="shared" si="5"/>
        <v>850</v>
      </c>
      <c r="B283" s="344">
        <f t="shared" si="6"/>
        <v>90</v>
      </c>
      <c r="C283" s="369"/>
      <c r="D283" s="389" t="str">
        <f t="shared" si="7"/>
        <v>Saturday</v>
      </c>
      <c r="E283" s="344" t="s">
        <v>162</v>
      </c>
      <c r="F283" s="370"/>
      <c r="G283" s="370"/>
      <c r="H283" s="357">
        <f t="shared" si="29"/>
        <v>0</v>
      </c>
      <c r="I283" s="346">
        <f t="shared" si="31"/>
        <v>0</v>
      </c>
      <c r="J283" s="354" t="s">
        <v>636</v>
      </c>
      <c r="M283" s="360">
        <f t="shared" si="12"/>
        <v>47280</v>
      </c>
      <c r="N283" s="360">
        <f t="shared" si="9"/>
        <v>47286</v>
      </c>
      <c r="O283" s="2">
        <f t="shared" si="10"/>
        <v>0</v>
      </c>
      <c r="P283" s="2">
        <f t="shared" si="11"/>
        <v>0</v>
      </c>
    </row>
    <row r="284">
      <c r="A284" s="344">
        <f t="shared" si="5"/>
        <v>850</v>
      </c>
      <c r="B284" s="344">
        <f t="shared" si="6"/>
        <v>90</v>
      </c>
      <c r="C284" s="369"/>
      <c r="D284" s="389" t="str">
        <f t="shared" si="7"/>
        <v>Saturday</v>
      </c>
      <c r="E284" s="344" t="s">
        <v>162</v>
      </c>
      <c r="F284" s="370"/>
      <c r="G284" s="370"/>
      <c r="H284" s="357">
        <f t="shared" si="29"/>
        <v>0</v>
      </c>
      <c r="I284" s="346">
        <f t="shared" si="31"/>
        <v>0</v>
      </c>
      <c r="J284" s="354" t="s">
        <v>636</v>
      </c>
      <c r="M284" s="360">
        <f t="shared" si="12"/>
        <v>47287</v>
      </c>
      <c r="N284" s="360">
        <f t="shared" si="9"/>
        <v>47293</v>
      </c>
      <c r="O284" s="2">
        <f t="shared" si="10"/>
        <v>0</v>
      </c>
      <c r="P284" s="2">
        <f t="shared" si="11"/>
        <v>0</v>
      </c>
    </row>
    <row r="285">
      <c r="A285" s="344">
        <f t="shared" si="5"/>
        <v>850</v>
      </c>
      <c r="B285" s="344">
        <f t="shared" si="6"/>
        <v>90</v>
      </c>
      <c r="C285" s="369"/>
      <c r="D285" s="389" t="str">
        <f t="shared" si="7"/>
        <v>Saturday</v>
      </c>
      <c r="E285" s="344" t="s">
        <v>162</v>
      </c>
      <c r="F285" s="370"/>
      <c r="G285" s="370"/>
      <c r="H285" s="357">
        <f t="shared" si="29"/>
        <v>0</v>
      </c>
      <c r="I285" s="346">
        <f t="shared" si="31"/>
        <v>0</v>
      </c>
      <c r="J285" s="354" t="s">
        <v>636</v>
      </c>
      <c r="M285" s="360">
        <f t="shared" si="12"/>
        <v>47294</v>
      </c>
      <c r="N285" s="360">
        <f t="shared" si="9"/>
        <v>47300</v>
      </c>
      <c r="O285" s="2">
        <f t="shared" si="10"/>
        <v>0</v>
      </c>
      <c r="P285" s="2">
        <f t="shared" si="11"/>
        <v>0</v>
      </c>
    </row>
    <row r="286">
      <c r="A286" s="344">
        <f t="shared" si="5"/>
        <v>850</v>
      </c>
      <c r="B286" s="344">
        <f t="shared" si="6"/>
        <v>90</v>
      </c>
      <c r="C286" s="369"/>
      <c r="D286" s="389" t="str">
        <f t="shared" si="7"/>
        <v>Saturday</v>
      </c>
      <c r="E286" s="344" t="s">
        <v>162</v>
      </c>
      <c r="F286" s="370"/>
      <c r="G286" s="370"/>
      <c r="H286" s="357">
        <f t="shared" si="29"/>
        <v>0</v>
      </c>
      <c r="I286" s="346">
        <f t="shared" si="31"/>
        <v>0</v>
      </c>
      <c r="J286" s="354" t="s">
        <v>636</v>
      </c>
      <c r="M286" s="360">
        <f t="shared" si="12"/>
        <v>47301</v>
      </c>
      <c r="N286" s="360">
        <f t="shared" si="9"/>
        <v>47307</v>
      </c>
      <c r="O286" s="2">
        <f t="shared" si="10"/>
        <v>0</v>
      </c>
      <c r="P286" s="2">
        <f t="shared" si="11"/>
        <v>0</v>
      </c>
    </row>
    <row r="287">
      <c r="A287" s="344">
        <f t="shared" si="5"/>
        <v>850</v>
      </c>
      <c r="B287" s="344">
        <f t="shared" si="6"/>
        <v>90</v>
      </c>
      <c r="C287" s="369"/>
      <c r="D287" s="389" t="str">
        <f t="shared" si="7"/>
        <v>Saturday</v>
      </c>
      <c r="E287" s="344" t="s">
        <v>162</v>
      </c>
      <c r="F287" s="370"/>
      <c r="G287" s="370"/>
      <c r="H287" s="357">
        <f t="shared" si="29"/>
        <v>0</v>
      </c>
      <c r="I287" s="346">
        <f t="shared" si="31"/>
        <v>0</v>
      </c>
      <c r="J287" s="354" t="s">
        <v>636</v>
      </c>
      <c r="M287" s="360">
        <f t="shared" si="12"/>
        <v>47308</v>
      </c>
      <c r="N287" s="360">
        <f t="shared" si="9"/>
        <v>47314</v>
      </c>
      <c r="O287" s="2">
        <f t="shared" si="10"/>
        <v>0</v>
      </c>
      <c r="P287" s="2">
        <f t="shared" si="11"/>
        <v>0</v>
      </c>
    </row>
    <row r="288">
      <c r="A288" s="344">
        <f t="shared" si="5"/>
        <v>850</v>
      </c>
      <c r="B288" s="344">
        <f t="shared" si="6"/>
        <v>90</v>
      </c>
      <c r="C288" s="369"/>
      <c r="D288" s="389" t="str">
        <f t="shared" si="7"/>
        <v>Saturday</v>
      </c>
      <c r="E288" s="344" t="s">
        <v>162</v>
      </c>
      <c r="F288" s="370"/>
      <c r="G288" s="370"/>
      <c r="H288" s="357">
        <f t="shared" si="29"/>
        <v>0</v>
      </c>
      <c r="I288" s="346">
        <f t="shared" si="31"/>
        <v>0</v>
      </c>
      <c r="J288" s="354" t="s">
        <v>636</v>
      </c>
      <c r="M288" s="360">
        <f t="shared" si="12"/>
        <v>47315</v>
      </c>
      <c r="N288" s="360">
        <f t="shared" si="9"/>
        <v>47321</v>
      </c>
      <c r="O288" s="2">
        <f t="shared" si="10"/>
        <v>0</v>
      </c>
      <c r="P288" s="2">
        <f t="shared" si="11"/>
        <v>0</v>
      </c>
    </row>
    <row r="289">
      <c r="A289" s="344">
        <f t="shared" si="5"/>
        <v>850</v>
      </c>
      <c r="B289" s="344">
        <f t="shared" si="6"/>
        <v>90</v>
      </c>
      <c r="C289" s="369"/>
      <c r="D289" s="389" t="str">
        <f t="shared" si="7"/>
        <v>Saturday</v>
      </c>
      <c r="E289" s="344" t="s">
        <v>162</v>
      </c>
      <c r="F289" s="370"/>
      <c r="G289" s="370"/>
      <c r="H289" s="357">
        <f t="shared" si="29"/>
        <v>0</v>
      </c>
      <c r="I289" s="346">
        <f t="shared" si="31"/>
        <v>0</v>
      </c>
      <c r="J289" s="354" t="s">
        <v>636</v>
      </c>
      <c r="M289" s="360">
        <f t="shared" si="12"/>
        <v>47322</v>
      </c>
      <c r="N289" s="360">
        <f t="shared" si="9"/>
        <v>47328</v>
      </c>
      <c r="O289" s="2">
        <f t="shared" si="10"/>
        <v>0</v>
      </c>
      <c r="P289" s="2">
        <f t="shared" si="11"/>
        <v>0</v>
      </c>
    </row>
    <row r="290">
      <c r="A290" s="344">
        <f t="shared" si="5"/>
        <v>850</v>
      </c>
      <c r="B290" s="344">
        <f t="shared" si="6"/>
        <v>90</v>
      </c>
      <c r="C290" s="369"/>
      <c r="D290" s="389" t="str">
        <f t="shared" si="7"/>
        <v>Saturday</v>
      </c>
      <c r="E290" s="344" t="s">
        <v>162</v>
      </c>
      <c r="F290" s="370"/>
      <c r="G290" s="370"/>
      <c r="H290" s="357">
        <f t="shared" si="29"/>
        <v>0</v>
      </c>
      <c r="I290" s="346">
        <f t="shared" si="31"/>
        <v>0</v>
      </c>
      <c r="J290" s="354" t="s">
        <v>636</v>
      </c>
      <c r="M290" s="360">
        <f t="shared" si="12"/>
        <v>47329</v>
      </c>
      <c r="N290" s="360">
        <f t="shared" si="9"/>
        <v>47335</v>
      </c>
      <c r="O290" s="2">
        <f t="shared" si="10"/>
        <v>0</v>
      </c>
      <c r="P290" s="2">
        <f t="shared" si="11"/>
        <v>0</v>
      </c>
    </row>
    <row r="291">
      <c r="A291" s="344">
        <f t="shared" si="5"/>
        <v>850</v>
      </c>
      <c r="B291" s="344">
        <f t="shared" si="6"/>
        <v>90</v>
      </c>
      <c r="C291" s="369"/>
      <c r="D291" s="389" t="str">
        <f t="shared" si="7"/>
        <v>Saturday</v>
      </c>
      <c r="E291" s="344" t="s">
        <v>162</v>
      </c>
      <c r="F291" s="370"/>
      <c r="G291" s="370"/>
      <c r="H291" s="357">
        <f t="shared" si="29"/>
        <v>0</v>
      </c>
      <c r="I291" s="346">
        <f t="shared" si="31"/>
        <v>0</v>
      </c>
      <c r="J291" s="354" t="s">
        <v>636</v>
      </c>
      <c r="M291" s="360">
        <f t="shared" si="12"/>
        <v>47336</v>
      </c>
      <c r="N291" s="360">
        <f t="shared" si="9"/>
        <v>47342</v>
      </c>
      <c r="O291" s="2">
        <f t="shared" si="10"/>
        <v>0</v>
      </c>
      <c r="P291" s="2">
        <f t="shared" si="11"/>
        <v>0</v>
      </c>
    </row>
    <row r="292">
      <c r="A292" s="344">
        <f t="shared" si="5"/>
        <v>850</v>
      </c>
      <c r="B292" s="344">
        <f t="shared" si="6"/>
        <v>90</v>
      </c>
      <c r="C292" s="369"/>
      <c r="D292" s="389" t="str">
        <f t="shared" si="7"/>
        <v>Saturday</v>
      </c>
      <c r="E292" s="344" t="s">
        <v>162</v>
      </c>
      <c r="F292" s="370"/>
      <c r="G292" s="370"/>
      <c r="H292" s="357">
        <f t="shared" si="29"/>
        <v>0</v>
      </c>
      <c r="I292" s="346">
        <f t="shared" si="31"/>
        <v>0</v>
      </c>
      <c r="J292" s="354" t="s">
        <v>636</v>
      </c>
      <c r="M292" s="360">
        <f t="shared" si="12"/>
        <v>47343</v>
      </c>
      <c r="N292" s="360">
        <f t="shared" si="9"/>
        <v>47349</v>
      </c>
      <c r="O292" s="2">
        <f t="shared" si="10"/>
        <v>0</v>
      </c>
      <c r="P292" s="2">
        <f t="shared" si="11"/>
        <v>0</v>
      </c>
    </row>
    <row r="293">
      <c r="A293" s="344">
        <f t="shared" si="5"/>
        <v>850</v>
      </c>
      <c r="B293" s="344">
        <f t="shared" si="6"/>
        <v>90</v>
      </c>
      <c r="C293" s="369"/>
      <c r="D293" s="389" t="str">
        <f t="shared" si="7"/>
        <v>Saturday</v>
      </c>
      <c r="E293" s="344" t="s">
        <v>162</v>
      </c>
      <c r="F293" s="370"/>
      <c r="G293" s="370"/>
      <c r="H293" s="357">
        <f t="shared" si="29"/>
        <v>0</v>
      </c>
      <c r="I293" s="346">
        <f t="shared" si="31"/>
        <v>0</v>
      </c>
      <c r="J293" s="354" t="s">
        <v>636</v>
      </c>
      <c r="M293" s="360">
        <f t="shared" si="12"/>
        <v>47350</v>
      </c>
      <c r="N293" s="360">
        <f t="shared" si="9"/>
        <v>47356</v>
      </c>
      <c r="O293" s="2">
        <f t="shared" si="10"/>
        <v>0</v>
      </c>
      <c r="P293" s="2">
        <f t="shared" si="11"/>
        <v>0</v>
      </c>
    </row>
    <row r="294">
      <c r="A294" s="344">
        <f t="shared" si="5"/>
        <v>850</v>
      </c>
      <c r="B294" s="344">
        <f t="shared" si="6"/>
        <v>90</v>
      </c>
      <c r="C294" s="369"/>
      <c r="D294" s="389" t="str">
        <f t="shared" si="7"/>
        <v>Saturday</v>
      </c>
      <c r="E294" s="344" t="s">
        <v>162</v>
      </c>
      <c r="F294" s="370"/>
      <c r="G294" s="370"/>
      <c r="H294" s="357">
        <f t="shared" si="29"/>
        <v>0</v>
      </c>
      <c r="I294" s="346">
        <f t="shared" si="31"/>
        <v>0</v>
      </c>
      <c r="J294" s="354" t="s">
        <v>636</v>
      </c>
      <c r="M294" s="360">
        <f t="shared" si="12"/>
        <v>47357</v>
      </c>
      <c r="N294" s="360">
        <f t="shared" si="9"/>
        <v>47363</v>
      </c>
      <c r="O294" s="2">
        <f t="shared" si="10"/>
        <v>0</v>
      </c>
      <c r="P294" s="2">
        <f t="shared" si="11"/>
        <v>0</v>
      </c>
    </row>
    <row r="295">
      <c r="A295" s="344">
        <f t="shared" si="5"/>
        <v>850</v>
      </c>
      <c r="B295" s="344">
        <f t="shared" si="6"/>
        <v>90</v>
      </c>
      <c r="C295" s="369"/>
      <c r="D295" s="389" t="str">
        <f t="shared" si="7"/>
        <v>Saturday</v>
      </c>
      <c r="E295" s="344" t="s">
        <v>162</v>
      </c>
      <c r="F295" s="370"/>
      <c r="G295" s="370"/>
      <c r="H295" s="357">
        <f t="shared" si="29"/>
        <v>0</v>
      </c>
      <c r="I295" s="346">
        <f t="shared" si="31"/>
        <v>0</v>
      </c>
      <c r="J295" s="354" t="s">
        <v>636</v>
      </c>
      <c r="M295" s="360">
        <f t="shared" si="12"/>
        <v>47364</v>
      </c>
      <c r="N295" s="360">
        <f t="shared" si="9"/>
        <v>47370</v>
      </c>
      <c r="O295" s="2">
        <f t="shared" si="10"/>
        <v>0</v>
      </c>
      <c r="P295" s="2">
        <f t="shared" si="11"/>
        <v>0</v>
      </c>
    </row>
    <row r="296">
      <c r="A296" s="344">
        <f t="shared" si="5"/>
        <v>850</v>
      </c>
      <c r="B296" s="344">
        <f t="shared" si="6"/>
        <v>90</v>
      </c>
      <c r="C296" s="369"/>
      <c r="D296" s="389" t="str">
        <f t="shared" si="7"/>
        <v>Saturday</v>
      </c>
      <c r="E296" s="344" t="s">
        <v>162</v>
      </c>
      <c r="F296" s="370"/>
      <c r="G296" s="370"/>
      <c r="H296" s="357">
        <f t="shared" si="29"/>
        <v>0</v>
      </c>
      <c r="I296" s="346">
        <f t="shared" si="31"/>
        <v>0</v>
      </c>
      <c r="J296" s="354" t="s">
        <v>636</v>
      </c>
      <c r="M296" s="360">
        <f t="shared" si="12"/>
        <v>47371</v>
      </c>
      <c r="N296" s="360">
        <f t="shared" si="9"/>
        <v>47377</v>
      </c>
      <c r="O296" s="2">
        <f t="shared" si="10"/>
        <v>0</v>
      </c>
      <c r="P296" s="2">
        <f t="shared" si="11"/>
        <v>0</v>
      </c>
    </row>
    <row r="297">
      <c r="A297" s="344">
        <f t="shared" si="5"/>
        <v>850</v>
      </c>
      <c r="B297" s="344">
        <f t="shared" si="6"/>
        <v>90</v>
      </c>
      <c r="C297" s="369"/>
      <c r="D297" s="389" t="str">
        <f t="shared" si="7"/>
        <v>Saturday</v>
      </c>
      <c r="E297" s="344" t="s">
        <v>162</v>
      </c>
      <c r="F297" s="370"/>
      <c r="G297" s="370"/>
      <c r="H297" s="357">
        <f t="shared" si="29"/>
        <v>0</v>
      </c>
      <c r="I297" s="346">
        <f t="shared" si="31"/>
        <v>0</v>
      </c>
      <c r="J297" s="354" t="s">
        <v>636</v>
      </c>
      <c r="M297" s="360">
        <f t="shared" si="12"/>
        <v>47378</v>
      </c>
      <c r="N297" s="360">
        <f t="shared" si="9"/>
        <v>47384</v>
      </c>
      <c r="O297" s="2">
        <f t="shared" si="10"/>
        <v>0</v>
      </c>
      <c r="P297" s="2">
        <f t="shared" si="11"/>
        <v>0</v>
      </c>
    </row>
    <row r="298">
      <c r="A298" s="344">
        <f t="shared" si="5"/>
        <v>850</v>
      </c>
      <c r="B298" s="344">
        <f t="shared" si="6"/>
        <v>90</v>
      </c>
      <c r="C298" s="369"/>
      <c r="D298" s="389" t="str">
        <f t="shared" si="7"/>
        <v>Saturday</v>
      </c>
      <c r="E298" s="344" t="s">
        <v>162</v>
      </c>
      <c r="F298" s="370"/>
      <c r="G298" s="370"/>
      <c r="H298" s="357">
        <f t="shared" si="29"/>
        <v>0</v>
      </c>
      <c r="I298" s="346">
        <f t="shared" si="31"/>
        <v>0</v>
      </c>
      <c r="J298" s="354" t="s">
        <v>636</v>
      </c>
      <c r="M298" s="360">
        <f t="shared" si="12"/>
        <v>47385</v>
      </c>
      <c r="N298" s="360">
        <f t="shared" si="9"/>
        <v>47391</v>
      </c>
      <c r="O298" s="2">
        <f t="shared" si="10"/>
        <v>0</v>
      </c>
      <c r="P298" s="2">
        <f t="shared" si="11"/>
        <v>0</v>
      </c>
    </row>
    <row r="299">
      <c r="A299" s="344">
        <f t="shared" si="5"/>
        <v>850</v>
      </c>
      <c r="B299" s="344">
        <f t="shared" si="6"/>
        <v>90</v>
      </c>
      <c r="C299" s="369"/>
      <c r="D299" s="389" t="str">
        <f t="shared" si="7"/>
        <v>Saturday</v>
      </c>
      <c r="E299" s="344" t="s">
        <v>162</v>
      </c>
      <c r="F299" s="370"/>
      <c r="G299" s="370"/>
      <c r="H299" s="357">
        <f t="shared" si="29"/>
        <v>0</v>
      </c>
      <c r="I299" s="346">
        <f t="shared" si="31"/>
        <v>0</v>
      </c>
      <c r="J299" s="354" t="s">
        <v>636</v>
      </c>
      <c r="M299" s="360">
        <f t="shared" si="12"/>
        <v>47392</v>
      </c>
      <c r="N299" s="360">
        <f t="shared" si="9"/>
        <v>47398</v>
      </c>
      <c r="O299" s="2">
        <f t="shared" si="10"/>
        <v>0</v>
      </c>
      <c r="P299" s="2">
        <f t="shared" si="11"/>
        <v>0</v>
      </c>
    </row>
    <row r="300">
      <c r="A300" s="344">
        <f t="shared" si="5"/>
        <v>850</v>
      </c>
      <c r="B300" s="344">
        <f t="shared" si="6"/>
        <v>90</v>
      </c>
      <c r="C300" s="369"/>
      <c r="D300" s="389" t="str">
        <f t="shared" si="7"/>
        <v>Saturday</v>
      </c>
      <c r="E300" s="344" t="s">
        <v>162</v>
      </c>
      <c r="F300" s="370"/>
      <c r="G300" s="370"/>
      <c r="H300" s="357">
        <f t="shared" si="29"/>
        <v>0</v>
      </c>
      <c r="I300" s="346">
        <f t="shared" si="31"/>
        <v>0</v>
      </c>
      <c r="J300" s="354" t="s">
        <v>636</v>
      </c>
      <c r="M300" s="360">
        <f t="shared" si="12"/>
        <v>47399</v>
      </c>
      <c r="N300" s="360">
        <f t="shared" si="9"/>
        <v>47405</v>
      </c>
      <c r="O300" s="2">
        <f t="shared" si="10"/>
        <v>0</v>
      </c>
      <c r="P300" s="2">
        <f t="shared" si="11"/>
        <v>0</v>
      </c>
    </row>
    <row r="301">
      <c r="A301" s="344">
        <f t="shared" si="5"/>
        <v>850</v>
      </c>
      <c r="B301" s="344">
        <f t="shared" si="6"/>
        <v>90</v>
      </c>
      <c r="C301" s="369"/>
      <c r="D301" s="389" t="str">
        <f t="shared" si="7"/>
        <v>Saturday</v>
      </c>
      <c r="E301" s="344" t="s">
        <v>162</v>
      </c>
      <c r="F301" s="370"/>
      <c r="G301" s="370"/>
      <c r="H301" s="357">
        <f t="shared" si="29"/>
        <v>0</v>
      </c>
      <c r="I301" s="346">
        <f t="shared" si="31"/>
        <v>0</v>
      </c>
      <c r="J301" s="354" t="s">
        <v>636</v>
      </c>
      <c r="M301" s="360">
        <f t="shared" si="12"/>
        <v>47406</v>
      </c>
      <c r="N301" s="360">
        <f t="shared" si="9"/>
        <v>47412</v>
      </c>
      <c r="O301" s="2">
        <f t="shared" si="10"/>
        <v>0</v>
      </c>
      <c r="P301" s="2">
        <f t="shared" si="11"/>
        <v>0</v>
      </c>
    </row>
    <row r="302">
      <c r="A302" s="344">
        <f t="shared" si="5"/>
        <v>850</v>
      </c>
      <c r="B302" s="344">
        <f t="shared" si="6"/>
        <v>90</v>
      </c>
      <c r="C302" s="369"/>
      <c r="D302" s="389" t="str">
        <f t="shared" si="7"/>
        <v>Saturday</v>
      </c>
      <c r="E302" s="344" t="s">
        <v>162</v>
      </c>
      <c r="F302" s="370"/>
      <c r="G302" s="370"/>
      <c r="H302" s="357">
        <f t="shared" si="29"/>
        <v>0</v>
      </c>
      <c r="I302" s="346">
        <f t="shared" si="31"/>
        <v>0</v>
      </c>
      <c r="J302" s="354" t="s">
        <v>636</v>
      </c>
      <c r="M302" s="360">
        <f t="shared" si="12"/>
        <v>47413</v>
      </c>
      <c r="N302" s="360">
        <f t="shared" si="9"/>
        <v>47419</v>
      </c>
      <c r="O302" s="2">
        <f t="shared" si="10"/>
        <v>0</v>
      </c>
      <c r="P302" s="2">
        <f t="shared" si="11"/>
        <v>0</v>
      </c>
    </row>
    <row r="303">
      <c r="A303" s="344">
        <f t="shared" si="5"/>
        <v>850</v>
      </c>
      <c r="B303" s="344">
        <f t="shared" si="6"/>
        <v>90</v>
      </c>
      <c r="C303" s="369"/>
      <c r="D303" s="389" t="str">
        <f t="shared" si="7"/>
        <v>Saturday</v>
      </c>
      <c r="E303" s="344" t="s">
        <v>162</v>
      </c>
      <c r="F303" s="370"/>
      <c r="G303" s="370"/>
      <c r="H303" s="357">
        <f t="shared" si="29"/>
        <v>0</v>
      </c>
      <c r="I303" s="346">
        <f t="shared" si="31"/>
        <v>0</v>
      </c>
      <c r="J303" s="354" t="s">
        <v>636</v>
      </c>
      <c r="M303" s="360">
        <f t="shared" si="12"/>
        <v>47420</v>
      </c>
      <c r="N303" s="360">
        <f t="shared" si="9"/>
        <v>47426</v>
      </c>
      <c r="O303" s="2">
        <f t="shared" si="10"/>
        <v>0</v>
      </c>
      <c r="P303" s="2">
        <f t="shared" si="11"/>
        <v>0</v>
      </c>
    </row>
    <row r="304">
      <c r="A304" s="344">
        <f t="shared" si="5"/>
        <v>850</v>
      </c>
      <c r="B304" s="344">
        <f t="shared" si="6"/>
        <v>90</v>
      </c>
      <c r="C304" s="369"/>
      <c r="D304" s="389" t="str">
        <f t="shared" si="7"/>
        <v>Saturday</v>
      </c>
      <c r="E304" s="344" t="s">
        <v>162</v>
      </c>
      <c r="F304" s="370"/>
      <c r="G304" s="370"/>
      <c r="H304" s="357">
        <f t="shared" si="29"/>
        <v>0</v>
      </c>
      <c r="I304" s="346">
        <f t="shared" si="31"/>
        <v>0</v>
      </c>
      <c r="J304" s="354" t="s">
        <v>636</v>
      </c>
      <c r="M304" s="360">
        <f t="shared" si="12"/>
        <v>47427</v>
      </c>
      <c r="N304" s="360">
        <f t="shared" si="9"/>
        <v>47433</v>
      </c>
      <c r="O304" s="2">
        <f t="shared" si="10"/>
        <v>0</v>
      </c>
      <c r="P304" s="2">
        <f t="shared" si="11"/>
        <v>0</v>
      </c>
    </row>
    <row r="305">
      <c r="A305" s="344">
        <f t="shared" si="5"/>
        <v>850</v>
      </c>
      <c r="B305" s="344">
        <f t="shared" si="6"/>
        <v>90</v>
      </c>
      <c r="C305" s="369"/>
      <c r="D305" s="389" t="str">
        <f t="shared" si="7"/>
        <v>Saturday</v>
      </c>
      <c r="E305" s="344" t="s">
        <v>162</v>
      </c>
      <c r="F305" s="370"/>
      <c r="G305" s="370"/>
      <c r="H305" s="357">
        <f t="shared" si="29"/>
        <v>0</v>
      </c>
      <c r="I305" s="346">
        <f t="shared" si="31"/>
        <v>0</v>
      </c>
      <c r="J305" s="354" t="s">
        <v>636</v>
      </c>
      <c r="M305" s="360">
        <f t="shared" si="12"/>
        <v>47434</v>
      </c>
      <c r="N305" s="360">
        <f t="shared" si="9"/>
        <v>47440</v>
      </c>
      <c r="O305" s="2">
        <f t="shared" si="10"/>
        <v>0</v>
      </c>
      <c r="P305" s="2">
        <f t="shared" si="11"/>
        <v>0</v>
      </c>
    </row>
    <row r="306">
      <c r="A306" s="344">
        <f t="shared" si="5"/>
        <v>850</v>
      </c>
      <c r="B306" s="344">
        <f t="shared" si="6"/>
        <v>90</v>
      </c>
      <c r="C306" s="369"/>
      <c r="D306" s="389" t="str">
        <f t="shared" si="7"/>
        <v>Saturday</v>
      </c>
      <c r="E306" s="344" t="s">
        <v>162</v>
      </c>
      <c r="F306" s="370"/>
      <c r="G306" s="370"/>
      <c r="H306" s="357">
        <f t="shared" si="29"/>
        <v>0</v>
      </c>
      <c r="I306" s="346">
        <f t="shared" si="31"/>
        <v>0</v>
      </c>
      <c r="J306" s="354" t="s">
        <v>636</v>
      </c>
      <c r="M306" s="360">
        <f t="shared" si="12"/>
        <v>47441</v>
      </c>
      <c r="N306" s="360">
        <f t="shared" si="9"/>
        <v>47447</v>
      </c>
      <c r="O306" s="2">
        <f t="shared" si="10"/>
        <v>0</v>
      </c>
      <c r="P306" s="2">
        <f t="shared" si="11"/>
        <v>0</v>
      </c>
    </row>
    <row r="307">
      <c r="A307" s="344">
        <f t="shared" si="5"/>
        <v>850</v>
      </c>
      <c r="B307" s="344">
        <f t="shared" si="6"/>
        <v>90</v>
      </c>
      <c r="C307" s="369"/>
      <c r="D307" s="389" t="str">
        <f t="shared" si="7"/>
        <v>Saturday</v>
      </c>
      <c r="E307" s="344" t="s">
        <v>162</v>
      </c>
      <c r="F307" s="370"/>
      <c r="G307" s="370"/>
      <c r="H307" s="357">
        <f t="shared" si="29"/>
        <v>0</v>
      </c>
      <c r="I307" s="346">
        <f t="shared" si="31"/>
        <v>0</v>
      </c>
      <c r="J307" s="354" t="s">
        <v>636</v>
      </c>
      <c r="M307" s="360">
        <f t="shared" si="12"/>
        <v>47448</v>
      </c>
      <c r="N307" s="360">
        <f t="shared" si="9"/>
        <v>47454</v>
      </c>
      <c r="O307" s="2">
        <f t="shared" si="10"/>
        <v>0</v>
      </c>
      <c r="P307" s="2">
        <f t="shared" si="11"/>
        <v>0</v>
      </c>
    </row>
    <row r="308">
      <c r="A308" s="344">
        <f t="shared" si="5"/>
        <v>850</v>
      </c>
      <c r="B308" s="344">
        <f t="shared" si="6"/>
        <v>90</v>
      </c>
      <c r="C308" s="369"/>
      <c r="D308" s="389" t="str">
        <f t="shared" si="7"/>
        <v>Saturday</v>
      </c>
      <c r="E308" s="344" t="s">
        <v>162</v>
      </c>
      <c r="F308" s="370"/>
      <c r="G308" s="370"/>
      <c r="H308" s="357">
        <f t="shared" si="29"/>
        <v>0</v>
      </c>
      <c r="I308" s="346">
        <f t="shared" si="31"/>
        <v>0</v>
      </c>
      <c r="J308" s="354" t="s">
        <v>636</v>
      </c>
      <c r="M308" s="360">
        <f t="shared" si="12"/>
        <v>47455</v>
      </c>
      <c r="N308" s="360">
        <f t="shared" si="9"/>
        <v>47461</v>
      </c>
      <c r="O308" s="2">
        <f t="shared" si="10"/>
        <v>0</v>
      </c>
      <c r="P308" s="2">
        <f t="shared" si="11"/>
        <v>0</v>
      </c>
    </row>
    <row r="309">
      <c r="A309" s="344">
        <f t="shared" si="5"/>
        <v>850</v>
      </c>
      <c r="B309" s="344">
        <f t="shared" si="6"/>
        <v>90</v>
      </c>
      <c r="C309" s="369"/>
      <c r="D309" s="389" t="str">
        <f t="shared" si="7"/>
        <v>Saturday</v>
      </c>
      <c r="E309" s="344" t="s">
        <v>162</v>
      </c>
      <c r="F309" s="370"/>
      <c r="G309" s="370"/>
      <c r="H309" s="357">
        <f t="shared" si="29"/>
        <v>0</v>
      </c>
      <c r="I309" s="346">
        <f t="shared" si="31"/>
        <v>0</v>
      </c>
      <c r="J309" s="354" t="s">
        <v>636</v>
      </c>
      <c r="M309" s="360">
        <f t="shared" si="12"/>
        <v>47462</v>
      </c>
      <c r="N309" s="360">
        <f t="shared" si="9"/>
        <v>47468</v>
      </c>
      <c r="O309" s="2">
        <f t="shared" si="10"/>
        <v>0</v>
      </c>
      <c r="P309" s="2">
        <f t="shared" si="11"/>
        <v>0</v>
      </c>
    </row>
    <row r="310">
      <c r="A310" s="344">
        <f t="shared" si="5"/>
        <v>850</v>
      </c>
      <c r="B310" s="344">
        <f t="shared" si="6"/>
        <v>90</v>
      </c>
      <c r="C310" s="369"/>
      <c r="D310" s="389" t="str">
        <f t="shared" si="7"/>
        <v>Saturday</v>
      </c>
      <c r="E310" s="344" t="s">
        <v>162</v>
      </c>
      <c r="F310" s="370"/>
      <c r="G310" s="370"/>
      <c r="H310" s="357">
        <f t="shared" si="29"/>
        <v>0</v>
      </c>
      <c r="I310" s="346">
        <f t="shared" si="31"/>
        <v>0</v>
      </c>
      <c r="J310" s="354" t="s">
        <v>636</v>
      </c>
      <c r="M310" s="360">
        <f t="shared" si="12"/>
        <v>47469</v>
      </c>
      <c r="N310" s="360">
        <f t="shared" si="9"/>
        <v>47475</v>
      </c>
      <c r="O310" s="2">
        <f t="shared" si="10"/>
        <v>0</v>
      </c>
      <c r="P310" s="2">
        <f t="shared" si="11"/>
        <v>0</v>
      </c>
    </row>
    <row r="311">
      <c r="A311" s="344">
        <f t="shared" si="5"/>
        <v>850</v>
      </c>
      <c r="B311" s="344">
        <f t="shared" si="6"/>
        <v>90</v>
      </c>
      <c r="C311" s="369"/>
      <c r="D311" s="389" t="str">
        <f t="shared" si="7"/>
        <v>Saturday</v>
      </c>
      <c r="E311" s="344" t="s">
        <v>162</v>
      </c>
      <c r="F311" s="370"/>
      <c r="G311" s="370"/>
      <c r="H311" s="357">
        <f t="shared" si="29"/>
        <v>0</v>
      </c>
      <c r="I311" s="346">
        <f t="shared" si="31"/>
        <v>0</v>
      </c>
      <c r="J311" s="354" t="s">
        <v>636</v>
      </c>
      <c r="M311" s="360">
        <f t="shared" si="12"/>
        <v>47476</v>
      </c>
      <c r="N311" s="360">
        <f t="shared" si="9"/>
        <v>47482</v>
      </c>
      <c r="O311" s="2">
        <f t="shared" si="10"/>
        <v>0</v>
      </c>
      <c r="P311" s="2">
        <f t="shared" si="11"/>
        <v>0</v>
      </c>
    </row>
    <row r="312">
      <c r="A312" s="344">
        <f t="shared" si="5"/>
        <v>850</v>
      </c>
      <c r="B312" s="344">
        <f t="shared" si="6"/>
        <v>90</v>
      </c>
      <c r="C312" s="369"/>
      <c r="D312" s="389" t="str">
        <f t="shared" si="7"/>
        <v>Saturday</v>
      </c>
      <c r="E312" s="344" t="s">
        <v>162</v>
      </c>
      <c r="F312" s="370"/>
      <c r="G312" s="370"/>
      <c r="H312" s="357">
        <f t="shared" si="29"/>
        <v>0</v>
      </c>
      <c r="I312" s="346">
        <f t="shared" si="31"/>
        <v>0</v>
      </c>
      <c r="J312" s="354" t="s">
        <v>636</v>
      </c>
      <c r="M312" s="360">
        <f t="shared" si="12"/>
        <v>47483</v>
      </c>
      <c r="N312" s="360">
        <f t="shared" si="9"/>
        <v>47489</v>
      </c>
      <c r="O312" s="2">
        <f t="shared" si="10"/>
        <v>0</v>
      </c>
      <c r="P312" s="2">
        <f t="shared" si="11"/>
        <v>0</v>
      </c>
    </row>
    <row r="313">
      <c r="A313" s="344">
        <f t="shared" si="5"/>
        <v>850</v>
      </c>
      <c r="B313" s="344">
        <f t="shared" si="6"/>
        <v>90</v>
      </c>
      <c r="C313" s="369"/>
      <c r="D313" s="389" t="str">
        <f t="shared" si="7"/>
        <v>Saturday</v>
      </c>
      <c r="E313" s="344" t="s">
        <v>162</v>
      </c>
      <c r="F313" s="370"/>
      <c r="G313" s="370"/>
      <c r="H313" s="357">
        <f t="shared" si="29"/>
        <v>0</v>
      </c>
      <c r="I313" s="346">
        <f t="shared" si="31"/>
        <v>0</v>
      </c>
      <c r="J313" s="354" t="s">
        <v>636</v>
      </c>
      <c r="M313" s="360">
        <f t="shared" si="12"/>
        <v>47490</v>
      </c>
      <c r="N313" s="360">
        <f t="shared" si="9"/>
        <v>47496</v>
      </c>
      <c r="O313" s="2">
        <f t="shared" si="10"/>
        <v>0</v>
      </c>
      <c r="P313" s="2">
        <f t="shared" si="11"/>
        <v>0</v>
      </c>
    </row>
    <row r="314">
      <c r="A314" s="344">
        <f t="shared" si="5"/>
        <v>850</v>
      </c>
      <c r="B314" s="344">
        <f t="shared" si="6"/>
        <v>90</v>
      </c>
      <c r="C314" s="369"/>
      <c r="D314" s="389" t="str">
        <f t="shared" si="7"/>
        <v>Saturday</v>
      </c>
      <c r="E314" s="344" t="s">
        <v>162</v>
      </c>
      <c r="F314" s="370"/>
      <c r="G314" s="370"/>
      <c r="H314" s="357">
        <f t="shared" si="29"/>
        <v>0</v>
      </c>
      <c r="I314" s="346">
        <f t="shared" si="31"/>
        <v>0</v>
      </c>
      <c r="J314" s="354" t="s">
        <v>636</v>
      </c>
      <c r="M314" s="360">
        <f t="shared" si="12"/>
        <v>47497</v>
      </c>
      <c r="N314" s="360">
        <f t="shared" si="9"/>
        <v>47503</v>
      </c>
      <c r="O314" s="2">
        <f t="shared" si="10"/>
        <v>0</v>
      </c>
      <c r="P314" s="2">
        <f t="shared" si="11"/>
        <v>0</v>
      </c>
    </row>
    <row r="315">
      <c r="A315" s="344">
        <f t="shared" si="5"/>
        <v>850</v>
      </c>
      <c r="B315" s="344">
        <f t="shared" si="6"/>
        <v>90</v>
      </c>
      <c r="C315" s="369"/>
      <c r="D315" s="389" t="str">
        <f t="shared" si="7"/>
        <v>Saturday</v>
      </c>
      <c r="E315" s="344" t="s">
        <v>162</v>
      </c>
      <c r="F315" s="370"/>
      <c r="G315" s="370"/>
      <c r="H315" s="357">
        <f t="shared" si="29"/>
        <v>0</v>
      </c>
      <c r="I315" s="346">
        <f t="shared" si="31"/>
        <v>0</v>
      </c>
      <c r="J315" s="354" t="s">
        <v>636</v>
      </c>
      <c r="M315" s="360">
        <f t="shared" si="12"/>
        <v>47504</v>
      </c>
      <c r="N315" s="360">
        <f t="shared" si="9"/>
        <v>47510</v>
      </c>
      <c r="O315" s="2">
        <f t="shared" si="10"/>
        <v>0</v>
      </c>
      <c r="P315" s="2">
        <f t="shared" si="11"/>
        <v>0</v>
      </c>
    </row>
    <row r="316">
      <c r="A316" s="344">
        <f t="shared" si="5"/>
        <v>850</v>
      </c>
      <c r="B316" s="344">
        <f t="shared" si="6"/>
        <v>90</v>
      </c>
      <c r="C316" s="369"/>
      <c r="D316" s="389" t="str">
        <f t="shared" si="7"/>
        <v>Saturday</v>
      </c>
      <c r="E316" s="344" t="s">
        <v>162</v>
      </c>
      <c r="F316" s="370"/>
      <c r="G316" s="370"/>
      <c r="H316" s="357">
        <f t="shared" si="29"/>
        <v>0</v>
      </c>
      <c r="I316" s="346">
        <f t="shared" si="31"/>
        <v>0</v>
      </c>
      <c r="J316" s="354" t="s">
        <v>636</v>
      </c>
      <c r="M316" s="360">
        <f t="shared" si="12"/>
        <v>47511</v>
      </c>
      <c r="N316" s="360">
        <f t="shared" si="9"/>
        <v>47517</v>
      </c>
      <c r="O316" s="2">
        <f t="shared" si="10"/>
        <v>0</v>
      </c>
      <c r="P316" s="2">
        <f t="shared" si="11"/>
        <v>0</v>
      </c>
    </row>
    <row r="317">
      <c r="A317" s="344">
        <f t="shared" si="5"/>
        <v>850</v>
      </c>
      <c r="B317" s="344">
        <f t="shared" si="6"/>
        <v>90</v>
      </c>
      <c r="C317" s="369"/>
      <c r="D317" s="389" t="str">
        <f t="shared" si="7"/>
        <v>Saturday</v>
      </c>
      <c r="E317" s="344" t="s">
        <v>162</v>
      </c>
      <c r="F317" s="370"/>
      <c r="G317" s="370"/>
      <c r="H317" s="357">
        <f t="shared" si="29"/>
        <v>0</v>
      </c>
      <c r="I317" s="346">
        <f t="shared" si="31"/>
        <v>0</v>
      </c>
      <c r="J317" s="354" t="s">
        <v>636</v>
      </c>
      <c r="M317" s="360">
        <f t="shared" si="12"/>
        <v>47518</v>
      </c>
      <c r="N317" s="360">
        <f t="shared" si="9"/>
        <v>47524</v>
      </c>
      <c r="O317" s="2">
        <f t="shared" si="10"/>
        <v>0</v>
      </c>
      <c r="P317" s="2">
        <f t="shared" si="11"/>
        <v>0</v>
      </c>
    </row>
    <row r="318">
      <c r="A318" s="344">
        <f t="shared" si="5"/>
        <v>850</v>
      </c>
      <c r="B318" s="344">
        <f t="shared" si="6"/>
        <v>90</v>
      </c>
      <c r="C318" s="369"/>
      <c r="D318" s="389" t="str">
        <f t="shared" si="7"/>
        <v>Saturday</v>
      </c>
      <c r="E318" s="344" t="s">
        <v>162</v>
      </c>
      <c r="F318" s="370"/>
      <c r="G318" s="370"/>
      <c r="H318" s="357">
        <f t="shared" si="29"/>
        <v>0</v>
      </c>
      <c r="I318" s="346">
        <f t="shared" si="31"/>
        <v>0</v>
      </c>
      <c r="J318" s="354" t="s">
        <v>636</v>
      </c>
      <c r="M318" s="360">
        <f t="shared" si="12"/>
        <v>47525</v>
      </c>
      <c r="N318" s="360">
        <f t="shared" si="9"/>
        <v>47531</v>
      </c>
      <c r="O318" s="2">
        <f t="shared" si="10"/>
        <v>0</v>
      </c>
      <c r="P318" s="2">
        <f t="shared" si="11"/>
        <v>0</v>
      </c>
    </row>
    <row r="319">
      <c r="A319" s="344">
        <f t="shared" si="5"/>
        <v>850</v>
      </c>
      <c r="B319" s="344">
        <f t="shared" si="6"/>
        <v>90</v>
      </c>
      <c r="C319" s="369"/>
      <c r="D319" s="389" t="str">
        <f t="shared" si="7"/>
        <v>Saturday</v>
      </c>
      <c r="E319" s="344" t="s">
        <v>162</v>
      </c>
      <c r="F319" s="370"/>
      <c r="G319" s="370"/>
      <c r="H319" s="357">
        <f t="shared" si="29"/>
        <v>0</v>
      </c>
      <c r="I319" s="346">
        <f t="shared" si="31"/>
        <v>0</v>
      </c>
      <c r="J319" s="354" t="s">
        <v>636</v>
      </c>
      <c r="M319" s="360">
        <f t="shared" si="12"/>
        <v>47532</v>
      </c>
      <c r="N319" s="360">
        <f t="shared" si="9"/>
        <v>47538</v>
      </c>
      <c r="O319" s="2">
        <f t="shared" si="10"/>
        <v>0</v>
      </c>
      <c r="P319" s="2">
        <f t="shared" si="11"/>
        <v>0</v>
      </c>
    </row>
    <row r="320">
      <c r="A320" s="344">
        <f t="shared" si="5"/>
        <v>850</v>
      </c>
      <c r="B320" s="344">
        <f t="shared" si="6"/>
        <v>90</v>
      </c>
      <c r="C320" s="369"/>
      <c r="D320" s="389" t="str">
        <f t="shared" si="7"/>
        <v>Saturday</v>
      </c>
      <c r="E320" s="344" t="s">
        <v>162</v>
      </c>
      <c r="F320" s="370"/>
      <c r="G320" s="370"/>
      <c r="H320" s="357">
        <f t="shared" si="29"/>
        <v>0</v>
      </c>
      <c r="I320" s="346">
        <f t="shared" si="31"/>
        <v>0</v>
      </c>
      <c r="J320" s="354" t="s">
        <v>636</v>
      </c>
      <c r="M320" s="360">
        <f t="shared" si="12"/>
        <v>47539</v>
      </c>
      <c r="N320" s="360">
        <f t="shared" si="9"/>
        <v>47545</v>
      </c>
      <c r="O320" s="2">
        <f t="shared" si="10"/>
        <v>0</v>
      </c>
      <c r="P320" s="2">
        <f t="shared" si="11"/>
        <v>0</v>
      </c>
    </row>
    <row r="321">
      <c r="A321" s="344">
        <f t="shared" si="5"/>
        <v>850</v>
      </c>
      <c r="B321" s="344">
        <f t="shared" si="6"/>
        <v>90</v>
      </c>
      <c r="C321" s="369"/>
      <c r="D321" s="389" t="str">
        <f t="shared" si="7"/>
        <v>Saturday</v>
      </c>
      <c r="E321" s="344" t="s">
        <v>162</v>
      </c>
      <c r="F321" s="370"/>
      <c r="G321" s="370"/>
      <c r="H321" s="357">
        <f t="shared" si="29"/>
        <v>0</v>
      </c>
      <c r="I321" s="346">
        <f t="shared" si="31"/>
        <v>0</v>
      </c>
      <c r="J321" s="354" t="s">
        <v>636</v>
      </c>
      <c r="M321" s="360">
        <f t="shared" si="12"/>
        <v>47546</v>
      </c>
      <c r="N321" s="360">
        <f t="shared" si="9"/>
        <v>47552</v>
      </c>
      <c r="O321" s="2">
        <f t="shared" si="10"/>
        <v>0</v>
      </c>
      <c r="P321" s="2">
        <f t="shared" si="11"/>
        <v>0</v>
      </c>
    </row>
    <row r="322">
      <c r="A322" s="344">
        <f t="shared" si="5"/>
        <v>850</v>
      </c>
      <c r="B322" s="344">
        <f t="shared" si="6"/>
        <v>90</v>
      </c>
      <c r="C322" s="369"/>
      <c r="D322" s="389" t="str">
        <f t="shared" si="7"/>
        <v>Saturday</v>
      </c>
      <c r="E322" s="344" t="s">
        <v>162</v>
      </c>
      <c r="F322" s="370"/>
      <c r="G322" s="370"/>
      <c r="H322" s="357">
        <f t="shared" si="29"/>
        <v>0</v>
      </c>
      <c r="I322" s="346">
        <f t="shared" si="31"/>
        <v>0</v>
      </c>
      <c r="J322" s="354" t="s">
        <v>636</v>
      </c>
      <c r="M322" s="360">
        <f t="shared" si="12"/>
        <v>47553</v>
      </c>
      <c r="N322" s="360">
        <f t="shared" si="9"/>
        <v>47559</v>
      </c>
      <c r="O322" s="2">
        <f t="shared" si="10"/>
        <v>0</v>
      </c>
      <c r="P322" s="2">
        <f t="shared" si="11"/>
        <v>0</v>
      </c>
    </row>
    <row r="323">
      <c r="A323" s="344">
        <f t="shared" si="5"/>
        <v>850</v>
      </c>
      <c r="B323" s="344">
        <f t="shared" si="6"/>
        <v>90</v>
      </c>
      <c r="C323" s="369"/>
      <c r="D323" s="389" t="str">
        <f t="shared" si="7"/>
        <v>Saturday</v>
      </c>
      <c r="E323" s="344" t="s">
        <v>162</v>
      </c>
      <c r="F323" s="370"/>
      <c r="G323" s="370"/>
      <c r="H323" s="357">
        <f t="shared" si="29"/>
        <v>0</v>
      </c>
      <c r="I323" s="346">
        <f t="shared" si="31"/>
        <v>0</v>
      </c>
      <c r="J323" s="354" t="s">
        <v>636</v>
      </c>
      <c r="M323" s="360">
        <f t="shared" si="12"/>
        <v>47560</v>
      </c>
      <c r="N323" s="360">
        <f t="shared" si="9"/>
        <v>47566</v>
      </c>
      <c r="O323" s="2">
        <f t="shared" si="10"/>
        <v>0</v>
      </c>
      <c r="P323" s="2">
        <f t="shared" si="11"/>
        <v>0</v>
      </c>
    </row>
    <row r="324">
      <c r="A324" s="344">
        <f t="shared" si="5"/>
        <v>850</v>
      </c>
      <c r="B324" s="344">
        <f t="shared" si="6"/>
        <v>90</v>
      </c>
      <c r="C324" s="369"/>
      <c r="D324" s="389" t="str">
        <f t="shared" si="7"/>
        <v>Saturday</v>
      </c>
      <c r="E324" s="344" t="s">
        <v>162</v>
      </c>
      <c r="F324" s="370"/>
      <c r="G324" s="370"/>
      <c r="H324" s="357">
        <f t="shared" si="29"/>
        <v>0</v>
      </c>
      <c r="I324" s="346">
        <f t="shared" si="31"/>
        <v>0</v>
      </c>
      <c r="J324" s="354" t="s">
        <v>636</v>
      </c>
      <c r="M324" s="360">
        <f t="shared" si="12"/>
        <v>47567</v>
      </c>
      <c r="N324" s="360">
        <f t="shared" si="9"/>
        <v>47573</v>
      </c>
      <c r="O324" s="2">
        <f t="shared" si="10"/>
        <v>0</v>
      </c>
      <c r="P324" s="2">
        <f t="shared" si="11"/>
        <v>0</v>
      </c>
    </row>
    <row r="325">
      <c r="A325" s="344">
        <f t="shared" si="5"/>
        <v>850</v>
      </c>
      <c r="B325" s="344">
        <f t="shared" si="6"/>
        <v>90</v>
      </c>
      <c r="C325" s="369"/>
      <c r="D325" s="389" t="str">
        <f t="shared" si="7"/>
        <v>Saturday</v>
      </c>
      <c r="E325" s="344" t="s">
        <v>162</v>
      </c>
      <c r="F325" s="370"/>
      <c r="G325" s="370"/>
      <c r="H325" s="357">
        <f t="shared" si="29"/>
        <v>0</v>
      </c>
      <c r="I325" s="346">
        <f t="shared" si="31"/>
        <v>0</v>
      </c>
      <c r="J325" s="354" t="s">
        <v>636</v>
      </c>
      <c r="M325" s="360">
        <f t="shared" si="12"/>
        <v>47574</v>
      </c>
      <c r="N325" s="360">
        <f t="shared" si="9"/>
        <v>47580</v>
      </c>
      <c r="O325" s="2">
        <f t="shared" si="10"/>
        <v>0</v>
      </c>
      <c r="P325" s="2">
        <f t="shared" si="11"/>
        <v>0</v>
      </c>
    </row>
    <row r="326">
      <c r="A326" s="344">
        <f t="shared" si="5"/>
        <v>850</v>
      </c>
      <c r="B326" s="344">
        <f t="shared" si="6"/>
        <v>90</v>
      </c>
      <c r="C326" s="369"/>
      <c r="D326" s="389" t="str">
        <f t="shared" si="7"/>
        <v>Saturday</v>
      </c>
      <c r="E326" s="344" t="s">
        <v>162</v>
      </c>
      <c r="F326" s="370"/>
      <c r="G326" s="370"/>
      <c r="H326" s="357">
        <f t="shared" si="29"/>
        <v>0</v>
      </c>
      <c r="I326" s="346">
        <f t="shared" si="31"/>
        <v>0</v>
      </c>
      <c r="J326" s="354" t="s">
        <v>636</v>
      </c>
      <c r="M326" s="360">
        <f t="shared" si="12"/>
        <v>47581</v>
      </c>
      <c r="N326" s="360">
        <f t="shared" si="9"/>
        <v>47587</v>
      </c>
      <c r="O326" s="2">
        <f t="shared" si="10"/>
        <v>0</v>
      </c>
      <c r="P326" s="2">
        <f t="shared" si="11"/>
        <v>0</v>
      </c>
    </row>
    <row r="327">
      <c r="A327" s="344">
        <f t="shared" si="5"/>
        <v>850</v>
      </c>
      <c r="B327" s="344">
        <f t="shared" si="6"/>
        <v>90</v>
      </c>
      <c r="C327" s="369"/>
      <c r="D327" s="389" t="str">
        <f t="shared" si="7"/>
        <v>Saturday</v>
      </c>
      <c r="E327" s="344" t="s">
        <v>162</v>
      </c>
      <c r="F327" s="370"/>
      <c r="G327" s="370"/>
      <c r="H327" s="357">
        <f t="shared" si="29"/>
        <v>0</v>
      </c>
      <c r="I327" s="346">
        <f t="shared" si="31"/>
        <v>0</v>
      </c>
      <c r="J327" s="354" t="s">
        <v>636</v>
      </c>
      <c r="M327" s="360">
        <f t="shared" si="12"/>
        <v>47588</v>
      </c>
      <c r="N327" s="360">
        <f t="shared" si="9"/>
        <v>47594</v>
      </c>
      <c r="O327" s="2">
        <f t="shared" si="10"/>
        <v>0</v>
      </c>
      <c r="P327" s="2">
        <f t="shared" si="11"/>
        <v>0</v>
      </c>
    </row>
    <row r="328">
      <c r="A328" s="344">
        <f t="shared" si="5"/>
        <v>850</v>
      </c>
      <c r="B328" s="344">
        <f t="shared" si="6"/>
        <v>90</v>
      </c>
      <c r="C328" s="369"/>
      <c r="D328" s="389" t="str">
        <f t="shared" si="7"/>
        <v>Saturday</v>
      </c>
      <c r="E328" s="344" t="s">
        <v>162</v>
      </c>
      <c r="F328" s="370"/>
      <c r="G328" s="370"/>
      <c r="H328" s="357">
        <f t="shared" si="29"/>
        <v>0</v>
      </c>
      <c r="I328" s="346">
        <f t="shared" si="31"/>
        <v>0</v>
      </c>
      <c r="J328" s="354" t="s">
        <v>636</v>
      </c>
      <c r="M328" s="360">
        <f t="shared" si="12"/>
        <v>47595</v>
      </c>
      <c r="N328" s="360">
        <f t="shared" si="9"/>
        <v>47601</v>
      </c>
      <c r="O328" s="2">
        <f t="shared" si="10"/>
        <v>0</v>
      </c>
      <c r="P328" s="2">
        <f t="shared" si="11"/>
        <v>0</v>
      </c>
    </row>
    <row r="329">
      <c r="A329" s="344">
        <f t="shared" si="5"/>
        <v>850</v>
      </c>
      <c r="B329" s="344">
        <f t="shared" si="6"/>
        <v>90</v>
      </c>
      <c r="C329" s="369"/>
      <c r="D329" s="389" t="str">
        <f t="shared" si="7"/>
        <v>Saturday</v>
      </c>
      <c r="E329" s="344" t="s">
        <v>162</v>
      </c>
      <c r="F329" s="370"/>
      <c r="G329" s="370"/>
      <c r="H329" s="357">
        <f t="shared" si="29"/>
        <v>0</v>
      </c>
      <c r="I329" s="346">
        <f t="shared" si="31"/>
        <v>0</v>
      </c>
      <c r="J329" s="354" t="s">
        <v>636</v>
      </c>
      <c r="M329" s="360">
        <f t="shared" si="12"/>
        <v>47602</v>
      </c>
      <c r="N329" s="360">
        <f t="shared" si="9"/>
        <v>47608</v>
      </c>
      <c r="O329" s="2">
        <f t="shared" si="10"/>
        <v>0</v>
      </c>
      <c r="P329" s="2">
        <f t="shared" si="11"/>
        <v>0</v>
      </c>
    </row>
    <row r="330">
      <c r="A330" s="344">
        <f t="shared" si="5"/>
        <v>850</v>
      </c>
      <c r="B330" s="344">
        <f t="shared" si="6"/>
        <v>90</v>
      </c>
      <c r="C330" s="369"/>
      <c r="D330" s="389" t="str">
        <f t="shared" si="7"/>
        <v>Saturday</v>
      </c>
      <c r="E330" s="344" t="s">
        <v>162</v>
      </c>
      <c r="F330" s="370"/>
      <c r="G330" s="370"/>
      <c r="H330" s="357">
        <f t="shared" si="29"/>
        <v>0</v>
      </c>
      <c r="I330" s="346">
        <f t="shared" si="31"/>
        <v>0</v>
      </c>
      <c r="J330" s="354" t="s">
        <v>636</v>
      </c>
      <c r="M330" s="360">
        <f t="shared" si="12"/>
        <v>47609</v>
      </c>
      <c r="N330" s="360">
        <f t="shared" si="9"/>
        <v>47615</v>
      </c>
      <c r="O330" s="2">
        <f t="shared" si="10"/>
        <v>0</v>
      </c>
      <c r="P330" s="2">
        <f t="shared" si="11"/>
        <v>0</v>
      </c>
    </row>
    <row r="331">
      <c r="A331" s="344">
        <f t="shared" si="5"/>
        <v>850</v>
      </c>
      <c r="B331" s="344">
        <f t="shared" si="6"/>
        <v>90</v>
      </c>
      <c r="C331" s="369"/>
      <c r="D331" s="389" t="str">
        <f t="shared" si="7"/>
        <v>Saturday</v>
      </c>
      <c r="E331" s="344" t="s">
        <v>162</v>
      </c>
      <c r="F331" s="370"/>
      <c r="G331" s="370"/>
      <c r="H331" s="357">
        <f t="shared" si="29"/>
        <v>0</v>
      </c>
      <c r="I331" s="346">
        <f t="shared" si="31"/>
        <v>0</v>
      </c>
      <c r="J331" s="354" t="s">
        <v>636</v>
      </c>
      <c r="M331" s="360">
        <f t="shared" si="12"/>
        <v>47616</v>
      </c>
      <c r="N331" s="360">
        <f t="shared" si="9"/>
        <v>47622</v>
      </c>
      <c r="O331" s="2">
        <f t="shared" si="10"/>
        <v>0</v>
      </c>
      <c r="P331" s="2">
        <f t="shared" si="11"/>
        <v>0</v>
      </c>
    </row>
    <row r="332">
      <c r="A332" s="344">
        <f t="shared" si="5"/>
        <v>850</v>
      </c>
      <c r="B332" s="344">
        <f t="shared" si="6"/>
        <v>90</v>
      </c>
      <c r="C332" s="369"/>
      <c r="D332" s="389" t="str">
        <f t="shared" si="7"/>
        <v>Saturday</v>
      </c>
      <c r="E332" s="344" t="s">
        <v>162</v>
      </c>
      <c r="F332" s="370"/>
      <c r="G332" s="370"/>
      <c r="H332" s="357">
        <f t="shared" si="29"/>
        <v>0</v>
      </c>
      <c r="I332" s="346">
        <f t="shared" si="31"/>
        <v>0</v>
      </c>
      <c r="J332" s="354" t="s">
        <v>636</v>
      </c>
      <c r="M332" s="360">
        <f t="shared" si="12"/>
        <v>47623</v>
      </c>
      <c r="N332" s="360">
        <f t="shared" si="9"/>
        <v>47629</v>
      </c>
      <c r="O332" s="2">
        <f t="shared" si="10"/>
        <v>0</v>
      </c>
      <c r="P332" s="2">
        <f t="shared" si="11"/>
        <v>0</v>
      </c>
    </row>
    <row r="333">
      <c r="A333" s="344">
        <f t="shared" si="5"/>
        <v>850</v>
      </c>
      <c r="B333" s="344">
        <f t="shared" si="6"/>
        <v>90</v>
      </c>
      <c r="C333" s="369"/>
      <c r="D333" s="389" t="str">
        <f t="shared" si="7"/>
        <v>Saturday</v>
      </c>
      <c r="E333" s="344" t="s">
        <v>162</v>
      </c>
      <c r="F333" s="370"/>
      <c r="G333" s="370"/>
      <c r="H333" s="357">
        <f t="shared" si="29"/>
        <v>0</v>
      </c>
      <c r="I333" s="346">
        <f t="shared" si="31"/>
        <v>0</v>
      </c>
      <c r="J333" s="354" t="s">
        <v>636</v>
      </c>
      <c r="M333" s="360">
        <f t="shared" si="12"/>
        <v>47630</v>
      </c>
      <c r="N333" s="360">
        <f t="shared" si="9"/>
        <v>47636</v>
      </c>
      <c r="O333" s="2">
        <f t="shared" si="10"/>
        <v>0</v>
      </c>
      <c r="P333" s="2">
        <f t="shared" si="11"/>
        <v>0</v>
      </c>
    </row>
    <row r="334">
      <c r="A334" s="344">
        <f t="shared" si="5"/>
        <v>850</v>
      </c>
      <c r="B334" s="344">
        <f t="shared" si="6"/>
        <v>90</v>
      </c>
      <c r="C334" s="369"/>
      <c r="D334" s="389" t="str">
        <f t="shared" si="7"/>
        <v>Saturday</v>
      </c>
      <c r="E334" s="344" t="s">
        <v>162</v>
      </c>
      <c r="F334" s="370"/>
      <c r="G334" s="370"/>
      <c r="H334" s="357">
        <f t="shared" si="29"/>
        <v>0</v>
      </c>
      <c r="I334" s="346">
        <f t="shared" si="31"/>
        <v>0</v>
      </c>
      <c r="J334" s="354" t="s">
        <v>636</v>
      </c>
      <c r="M334" s="360">
        <f t="shared" si="12"/>
        <v>47637</v>
      </c>
      <c r="N334" s="360">
        <f t="shared" si="9"/>
        <v>47643</v>
      </c>
      <c r="O334" s="2">
        <f t="shared" si="10"/>
        <v>0</v>
      </c>
      <c r="P334" s="2">
        <f t="shared" si="11"/>
        <v>0</v>
      </c>
    </row>
    <row r="335">
      <c r="A335" s="344">
        <f t="shared" si="5"/>
        <v>850</v>
      </c>
      <c r="B335" s="344">
        <f t="shared" si="6"/>
        <v>90</v>
      </c>
      <c r="C335" s="369"/>
      <c r="D335" s="389" t="str">
        <f t="shared" si="7"/>
        <v>Saturday</v>
      </c>
      <c r="E335" s="344" t="s">
        <v>162</v>
      </c>
      <c r="F335" s="370"/>
      <c r="G335" s="370"/>
      <c r="H335" s="357">
        <f t="shared" si="29"/>
        <v>0</v>
      </c>
      <c r="I335" s="346">
        <f t="shared" si="31"/>
        <v>0</v>
      </c>
      <c r="J335" s="354" t="s">
        <v>636</v>
      </c>
      <c r="M335" s="360">
        <f t="shared" si="12"/>
        <v>47644</v>
      </c>
      <c r="N335" s="360">
        <f t="shared" si="9"/>
        <v>47650</v>
      </c>
      <c r="O335" s="2">
        <f t="shared" si="10"/>
        <v>0</v>
      </c>
      <c r="P335" s="2">
        <f t="shared" si="11"/>
        <v>0</v>
      </c>
    </row>
    <row r="336">
      <c r="A336" s="344">
        <f t="shared" si="5"/>
        <v>850</v>
      </c>
      <c r="B336" s="344">
        <f t="shared" si="6"/>
        <v>90</v>
      </c>
      <c r="C336" s="369"/>
      <c r="D336" s="389" t="str">
        <f t="shared" si="7"/>
        <v>Saturday</v>
      </c>
      <c r="E336" s="344" t="s">
        <v>162</v>
      </c>
      <c r="F336" s="370"/>
      <c r="G336" s="370"/>
      <c r="H336" s="357">
        <f t="shared" si="29"/>
        <v>0</v>
      </c>
      <c r="I336" s="346">
        <f t="shared" si="31"/>
        <v>0</v>
      </c>
      <c r="J336" s="354" t="s">
        <v>636</v>
      </c>
      <c r="M336" s="360">
        <f t="shared" si="12"/>
        <v>47651</v>
      </c>
      <c r="N336" s="360">
        <f t="shared" si="9"/>
        <v>47657</v>
      </c>
      <c r="O336" s="2">
        <f t="shared" si="10"/>
        <v>0</v>
      </c>
      <c r="P336" s="2">
        <f t="shared" si="11"/>
        <v>0</v>
      </c>
    </row>
    <row r="337">
      <c r="A337" s="344">
        <f t="shared" si="5"/>
        <v>850</v>
      </c>
      <c r="B337" s="344">
        <f t="shared" si="6"/>
        <v>90</v>
      </c>
      <c r="C337" s="369"/>
      <c r="D337" s="389" t="str">
        <f t="shared" si="7"/>
        <v>Saturday</v>
      </c>
      <c r="E337" s="344" t="s">
        <v>162</v>
      </c>
      <c r="F337" s="370"/>
      <c r="G337" s="370"/>
      <c r="H337" s="357">
        <f t="shared" si="29"/>
        <v>0</v>
      </c>
      <c r="I337" s="346">
        <f t="shared" si="31"/>
        <v>0</v>
      </c>
      <c r="J337" s="354" t="s">
        <v>636</v>
      </c>
      <c r="M337" s="360">
        <f t="shared" si="12"/>
        <v>47658</v>
      </c>
      <c r="N337" s="360">
        <f t="shared" si="9"/>
        <v>47664</v>
      </c>
      <c r="O337" s="2">
        <f t="shared" si="10"/>
        <v>0</v>
      </c>
      <c r="P337" s="2">
        <f t="shared" si="11"/>
        <v>0</v>
      </c>
    </row>
    <row r="338">
      <c r="A338" s="344">
        <f t="shared" si="5"/>
        <v>850</v>
      </c>
      <c r="B338" s="344">
        <f t="shared" si="6"/>
        <v>90</v>
      </c>
      <c r="C338" s="369"/>
      <c r="D338" s="389" t="str">
        <f t="shared" si="7"/>
        <v>Saturday</v>
      </c>
      <c r="E338" s="344" t="s">
        <v>162</v>
      </c>
      <c r="F338" s="370"/>
      <c r="G338" s="370"/>
      <c r="H338" s="357">
        <f t="shared" si="29"/>
        <v>0</v>
      </c>
      <c r="I338" s="346">
        <f t="shared" si="31"/>
        <v>0</v>
      </c>
      <c r="J338" s="354" t="s">
        <v>636</v>
      </c>
      <c r="M338" s="360">
        <f t="shared" si="12"/>
        <v>47665</v>
      </c>
      <c r="N338" s="360">
        <f t="shared" si="9"/>
        <v>47671</v>
      </c>
      <c r="O338" s="2">
        <f t="shared" si="10"/>
        <v>0</v>
      </c>
      <c r="P338" s="2">
        <f t="shared" si="11"/>
        <v>0</v>
      </c>
    </row>
    <row r="339">
      <c r="A339" s="344">
        <f t="shared" si="5"/>
        <v>850</v>
      </c>
      <c r="B339" s="344">
        <f t="shared" si="6"/>
        <v>90</v>
      </c>
      <c r="C339" s="369"/>
      <c r="D339" s="389" t="str">
        <f t="shared" si="7"/>
        <v>Saturday</v>
      </c>
      <c r="E339" s="344" t="s">
        <v>162</v>
      </c>
      <c r="F339" s="370"/>
      <c r="G339" s="370"/>
      <c r="H339" s="357">
        <f t="shared" si="29"/>
        <v>0</v>
      </c>
      <c r="I339" s="346">
        <f t="shared" si="31"/>
        <v>0</v>
      </c>
      <c r="J339" s="354" t="s">
        <v>636</v>
      </c>
      <c r="M339" s="360">
        <f t="shared" si="12"/>
        <v>47672</v>
      </c>
      <c r="N339" s="360">
        <f t="shared" si="9"/>
        <v>47678</v>
      </c>
      <c r="O339" s="2">
        <f t="shared" si="10"/>
        <v>0</v>
      </c>
      <c r="P339" s="2">
        <f t="shared" si="11"/>
        <v>0</v>
      </c>
    </row>
    <row r="340">
      <c r="A340" s="344">
        <f t="shared" si="5"/>
        <v>850</v>
      </c>
      <c r="B340" s="344">
        <f t="shared" si="6"/>
        <v>90</v>
      </c>
      <c r="C340" s="369"/>
      <c r="D340" s="389" t="str">
        <f t="shared" si="7"/>
        <v>Saturday</v>
      </c>
      <c r="E340" s="344" t="s">
        <v>162</v>
      </c>
      <c r="F340" s="370"/>
      <c r="G340" s="370"/>
      <c r="H340" s="357">
        <f t="shared" si="29"/>
        <v>0</v>
      </c>
      <c r="I340" s="346">
        <f t="shared" si="31"/>
        <v>0</v>
      </c>
      <c r="J340" s="354" t="s">
        <v>636</v>
      </c>
      <c r="M340" s="360">
        <f t="shared" si="12"/>
        <v>47679</v>
      </c>
      <c r="N340" s="360">
        <f t="shared" si="9"/>
        <v>47685</v>
      </c>
      <c r="O340" s="2">
        <f t="shared" si="10"/>
        <v>0</v>
      </c>
      <c r="P340" s="2">
        <f t="shared" si="11"/>
        <v>0</v>
      </c>
    </row>
    <row r="341">
      <c r="A341" s="344">
        <f t="shared" si="5"/>
        <v>850</v>
      </c>
      <c r="B341" s="344">
        <f t="shared" si="6"/>
        <v>90</v>
      </c>
      <c r="C341" s="369"/>
      <c r="D341" s="389" t="str">
        <f t="shared" si="7"/>
        <v>Saturday</v>
      </c>
      <c r="E341" s="344" t="s">
        <v>162</v>
      </c>
      <c r="F341" s="370"/>
      <c r="G341" s="370"/>
      <c r="H341" s="357">
        <f t="shared" si="29"/>
        <v>0</v>
      </c>
      <c r="I341" s="346">
        <f t="shared" si="31"/>
        <v>0</v>
      </c>
      <c r="J341" s="354" t="s">
        <v>636</v>
      </c>
      <c r="M341" s="360">
        <f t="shared" si="12"/>
        <v>47686</v>
      </c>
      <c r="N341" s="360">
        <f t="shared" si="9"/>
        <v>47692</v>
      </c>
      <c r="O341" s="2">
        <f t="shared" si="10"/>
        <v>0</v>
      </c>
      <c r="P341" s="2">
        <f t="shared" si="11"/>
        <v>0</v>
      </c>
    </row>
    <row r="342">
      <c r="A342" s="344">
        <f t="shared" si="5"/>
        <v>850</v>
      </c>
      <c r="B342" s="344">
        <f t="shared" si="6"/>
        <v>90</v>
      </c>
      <c r="C342" s="369"/>
      <c r="D342" s="389" t="str">
        <f t="shared" si="7"/>
        <v>Saturday</v>
      </c>
      <c r="E342" s="344" t="s">
        <v>162</v>
      </c>
      <c r="F342" s="370"/>
      <c r="G342" s="370"/>
      <c r="H342" s="357">
        <f t="shared" si="29"/>
        <v>0</v>
      </c>
      <c r="I342" s="346">
        <f t="shared" si="31"/>
        <v>0</v>
      </c>
      <c r="J342" s="354" t="s">
        <v>636</v>
      </c>
      <c r="M342" s="360">
        <f t="shared" si="12"/>
        <v>47693</v>
      </c>
      <c r="N342" s="360">
        <f t="shared" si="9"/>
        <v>47699</v>
      </c>
      <c r="O342" s="2">
        <f t="shared" si="10"/>
        <v>0</v>
      </c>
      <c r="P342" s="2">
        <f t="shared" si="11"/>
        <v>0</v>
      </c>
    </row>
    <row r="343">
      <c r="A343" s="344">
        <f t="shared" si="5"/>
        <v>850</v>
      </c>
      <c r="B343" s="344">
        <f t="shared" si="6"/>
        <v>90</v>
      </c>
      <c r="C343" s="369"/>
      <c r="D343" s="389" t="str">
        <f t="shared" si="7"/>
        <v>Saturday</v>
      </c>
      <c r="E343" s="344" t="s">
        <v>162</v>
      </c>
      <c r="F343" s="370"/>
      <c r="G343" s="370"/>
      <c r="H343" s="357">
        <f t="shared" si="29"/>
        <v>0</v>
      </c>
      <c r="I343" s="346">
        <f t="shared" si="31"/>
        <v>0</v>
      </c>
      <c r="J343" s="354" t="s">
        <v>636</v>
      </c>
      <c r="M343" s="360">
        <f t="shared" si="12"/>
        <v>47700</v>
      </c>
      <c r="N343" s="360">
        <f t="shared" si="9"/>
        <v>47706</v>
      </c>
      <c r="O343" s="2">
        <f t="shared" si="10"/>
        <v>0</v>
      </c>
      <c r="P343" s="2">
        <f t="shared" si="11"/>
        <v>0</v>
      </c>
    </row>
    <row r="344">
      <c r="A344" s="344">
        <f t="shared" si="5"/>
        <v>850</v>
      </c>
      <c r="B344" s="344">
        <f t="shared" si="6"/>
        <v>90</v>
      </c>
      <c r="C344" s="369"/>
      <c r="D344" s="389" t="str">
        <f t="shared" si="7"/>
        <v>Saturday</v>
      </c>
      <c r="E344" s="344" t="s">
        <v>162</v>
      </c>
      <c r="F344" s="370"/>
      <c r="G344" s="370"/>
      <c r="H344" s="357">
        <f t="shared" si="29"/>
        <v>0</v>
      </c>
      <c r="I344" s="346">
        <f t="shared" si="31"/>
        <v>0</v>
      </c>
      <c r="J344" s="354" t="s">
        <v>636</v>
      </c>
      <c r="M344" s="360">
        <f t="shared" si="12"/>
        <v>47707</v>
      </c>
      <c r="N344" s="360">
        <f t="shared" si="9"/>
        <v>47713</v>
      </c>
      <c r="O344" s="2">
        <f t="shared" si="10"/>
        <v>0</v>
      </c>
      <c r="P344" s="2">
        <f t="shared" si="11"/>
        <v>0</v>
      </c>
    </row>
    <row r="345">
      <c r="A345" s="344">
        <f t="shared" si="5"/>
        <v>850</v>
      </c>
      <c r="B345" s="344">
        <f t="shared" si="6"/>
        <v>90</v>
      </c>
      <c r="C345" s="369"/>
      <c r="D345" s="389" t="str">
        <f t="shared" si="7"/>
        <v>Saturday</v>
      </c>
      <c r="E345" s="344" t="s">
        <v>162</v>
      </c>
      <c r="F345" s="370"/>
      <c r="G345" s="370"/>
      <c r="H345" s="357">
        <f t="shared" si="29"/>
        <v>0</v>
      </c>
      <c r="I345" s="346">
        <f t="shared" si="31"/>
        <v>0</v>
      </c>
      <c r="J345" s="354" t="s">
        <v>636</v>
      </c>
      <c r="M345" s="360">
        <f t="shared" si="12"/>
        <v>47714</v>
      </c>
      <c r="N345" s="360">
        <f t="shared" si="9"/>
        <v>47720</v>
      </c>
      <c r="O345" s="2">
        <f t="shared" si="10"/>
        <v>0</v>
      </c>
      <c r="P345" s="2">
        <f t="shared" si="11"/>
        <v>0</v>
      </c>
    </row>
    <row r="346">
      <c r="A346" s="344">
        <f t="shared" si="5"/>
        <v>850</v>
      </c>
      <c r="B346" s="344">
        <f t="shared" si="6"/>
        <v>90</v>
      </c>
      <c r="C346" s="369"/>
      <c r="D346" s="389" t="str">
        <f t="shared" si="7"/>
        <v>Saturday</v>
      </c>
      <c r="E346" s="344" t="s">
        <v>162</v>
      </c>
      <c r="F346" s="370"/>
      <c r="G346" s="370"/>
      <c r="H346" s="357">
        <f t="shared" si="29"/>
        <v>0</v>
      </c>
      <c r="I346" s="346">
        <f t="shared" si="31"/>
        <v>0</v>
      </c>
      <c r="J346" s="354" t="s">
        <v>636</v>
      </c>
      <c r="M346" s="360">
        <f t="shared" si="12"/>
        <v>47721</v>
      </c>
      <c r="N346" s="360">
        <f t="shared" si="9"/>
        <v>47727</v>
      </c>
      <c r="O346" s="2">
        <f t="shared" si="10"/>
        <v>0</v>
      </c>
      <c r="P346" s="2">
        <f t="shared" si="11"/>
        <v>0</v>
      </c>
    </row>
    <row r="347">
      <c r="A347" s="344">
        <f t="shared" si="5"/>
        <v>850</v>
      </c>
      <c r="B347" s="344">
        <f t="shared" si="6"/>
        <v>90</v>
      </c>
      <c r="C347" s="369"/>
      <c r="D347" s="389" t="str">
        <f t="shared" si="7"/>
        <v>Saturday</v>
      </c>
      <c r="E347" s="344" t="s">
        <v>162</v>
      </c>
      <c r="F347" s="370"/>
      <c r="G347" s="370"/>
      <c r="H347" s="357">
        <f t="shared" si="29"/>
        <v>0</v>
      </c>
      <c r="I347" s="346">
        <f t="shared" si="31"/>
        <v>0</v>
      </c>
      <c r="J347" s="354" t="s">
        <v>636</v>
      </c>
      <c r="M347" s="360">
        <f t="shared" si="12"/>
        <v>47728</v>
      </c>
      <c r="N347" s="360">
        <f t="shared" si="9"/>
        <v>47734</v>
      </c>
      <c r="O347" s="2">
        <f t="shared" si="10"/>
        <v>0</v>
      </c>
      <c r="P347" s="2">
        <f t="shared" si="11"/>
        <v>0</v>
      </c>
    </row>
    <row r="348">
      <c r="A348" s="344">
        <f t="shared" si="5"/>
        <v>850</v>
      </c>
      <c r="B348" s="344">
        <f t="shared" si="6"/>
        <v>90</v>
      </c>
      <c r="C348" s="369"/>
      <c r="D348" s="389" t="str">
        <f t="shared" si="7"/>
        <v>Saturday</v>
      </c>
      <c r="E348" s="344" t="s">
        <v>162</v>
      </c>
      <c r="F348" s="370"/>
      <c r="G348" s="370"/>
      <c r="H348" s="357">
        <f t="shared" si="29"/>
        <v>0</v>
      </c>
      <c r="I348" s="346">
        <f t="shared" si="31"/>
        <v>0</v>
      </c>
      <c r="J348" s="354" t="s">
        <v>636</v>
      </c>
      <c r="M348" s="360">
        <f t="shared" si="12"/>
        <v>47735</v>
      </c>
      <c r="N348" s="360">
        <f t="shared" si="9"/>
        <v>47741</v>
      </c>
      <c r="O348" s="2">
        <f t="shared" si="10"/>
        <v>0</v>
      </c>
      <c r="P348" s="2">
        <f t="shared" si="11"/>
        <v>0</v>
      </c>
    </row>
    <row r="349">
      <c r="A349" s="344">
        <f t="shared" si="5"/>
        <v>850</v>
      </c>
      <c r="B349" s="344">
        <f t="shared" si="6"/>
        <v>90</v>
      </c>
      <c r="C349" s="369"/>
      <c r="D349" s="389" t="str">
        <f t="shared" si="7"/>
        <v>Saturday</v>
      </c>
      <c r="E349" s="344" t="s">
        <v>162</v>
      </c>
      <c r="F349" s="370"/>
      <c r="G349" s="370"/>
      <c r="H349" s="357">
        <f t="shared" si="29"/>
        <v>0</v>
      </c>
      <c r="I349" s="346">
        <f t="shared" si="31"/>
        <v>0</v>
      </c>
      <c r="J349" s="354" t="s">
        <v>636</v>
      </c>
      <c r="M349" s="360">
        <f t="shared" si="12"/>
        <v>47742</v>
      </c>
      <c r="N349" s="360">
        <f t="shared" si="9"/>
        <v>47748</v>
      </c>
      <c r="O349" s="2">
        <f t="shared" si="10"/>
        <v>0</v>
      </c>
      <c r="P349" s="2">
        <f t="shared" si="11"/>
        <v>0</v>
      </c>
    </row>
    <row r="350">
      <c r="A350" s="344">
        <f t="shared" si="5"/>
        <v>850</v>
      </c>
      <c r="B350" s="344">
        <f t="shared" si="6"/>
        <v>90</v>
      </c>
      <c r="C350" s="369"/>
      <c r="D350" s="389" t="str">
        <f t="shared" si="7"/>
        <v>Saturday</v>
      </c>
      <c r="E350" s="344" t="s">
        <v>162</v>
      </c>
      <c r="F350" s="370"/>
      <c r="G350" s="370"/>
      <c r="H350" s="357">
        <f t="shared" si="29"/>
        <v>0</v>
      </c>
      <c r="I350" s="346">
        <f t="shared" si="31"/>
        <v>0</v>
      </c>
      <c r="J350" s="354" t="s">
        <v>636</v>
      </c>
      <c r="M350" s="360">
        <f t="shared" si="12"/>
        <v>47749</v>
      </c>
      <c r="N350" s="360">
        <f t="shared" si="9"/>
        <v>47755</v>
      </c>
      <c r="O350" s="2">
        <f t="shared" si="10"/>
        <v>0</v>
      </c>
      <c r="P350" s="2">
        <f t="shared" si="11"/>
        <v>0</v>
      </c>
    </row>
    <row r="351">
      <c r="A351" s="344">
        <f t="shared" si="5"/>
        <v>850</v>
      </c>
      <c r="B351" s="344">
        <f t="shared" si="6"/>
        <v>90</v>
      </c>
      <c r="C351" s="369"/>
      <c r="D351" s="389" t="str">
        <f t="shared" si="7"/>
        <v>Saturday</v>
      </c>
      <c r="E351" s="344" t="s">
        <v>162</v>
      </c>
      <c r="F351" s="370"/>
      <c r="G351" s="370"/>
      <c r="H351" s="357">
        <f t="shared" si="29"/>
        <v>0</v>
      </c>
      <c r="I351" s="346">
        <f t="shared" si="31"/>
        <v>0</v>
      </c>
      <c r="J351" s="354" t="s">
        <v>636</v>
      </c>
      <c r="M351" s="360">
        <f t="shared" si="12"/>
        <v>47756</v>
      </c>
      <c r="N351" s="360">
        <f t="shared" si="9"/>
        <v>47762</v>
      </c>
      <c r="O351" s="2">
        <f t="shared" si="10"/>
        <v>0</v>
      </c>
      <c r="P351" s="2">
        <f t="shared" si="11"/>
        <v>0</v>
      </c>
    </row>
    <row r="352">
      <c r="A352" s="344">
        <f t="shared" si="5"/>
        <v>850</v>
      </c>
      <c r="B352" s="344">
        <f t="shared" si="6"/>
        <v>90</v>
      </c>
      <c r="C352" s="369"/>
      <c r="D352" s="389" t="str">
        <f t="shared" si="7"/>
        <v>Saturday</v>
      </c>
      <c r="E352" s="344" t="s">
        <v>162</v>
      </c>
      <c r="F352" s="370"/>
      <c r="G352" s="370"/>
      <c r="H352" s="357">
        <f t="shared" si="29"/>
        <v>0</v>
      </c>
      <c r="I352" s="346">
        <f t="shared" si="31"/>
        <v>0</v>
      </c>
      <c r="J352" s="354" t="s">
        <v>636</v>
      </c>
      <c r="M352" s="360">
        <f t="shared" si="12"/>
        <v>47763</v>
      </c>
      <c r="N352" s="360">
        <f t="shared" si="9"/>
        <v>47769</v>
      </c>
      <c r="O352" s="2">
        <f t="shared" si="10"/>
        <v>0</v>
      </c>
      <c r="P352" s="2">
        <f t="shared" si="11"/>
        <v>0</v>
      </c>
    </row>
    <row r="353">
      <c r="A353" s="344">
        <f t="shared" si="5"/>
        <v>850</v>
      </c>
      <c r="B353" s="344">
        <f t="shared" si="6"/>
        <v>90</v>
      </c>
      <c r="C353" s="369"/>
      <c r="D353" s="389" t="str">
        <f t="shared" si="7"/>
        <v>Saturday</v>
      </c>
      <c r="E353" s="344" t="s">
        <v>162</v>
      </c>
      <c r="F353" s="370"/>
      <c r="G353" s="370"/>
      <c r="H353" s="357">
        <f t="shared" si="29"/>
        <v>0</v>
      </c>
      <c r="I353" s="346">
        <f t="shared" si="31"/>
        <v>0</v>
      </c>
      <c r="J353" s="354" t="s">
        <v>636</v>
      </c>
      <c r="M353" s="360">
        <f t="shared" si="12"/>
        <v>47770</v>
      </c>
      <c r="N353" s="360">
        <f t="shared" si="9"/>
        <v>47776</v>
      </c>
      <c r="O353" s="2">
        <f t="shared" si="10"/>
        <v>0</v>
      </c>
      <c r="P353" s="2">
        <f t="shared" si="11"/>
        <v>0</v>
      </c>
    </row>
    <row r="354">
      <c r="A354" s="344">
        <f t="shared" si="5"/>
        <v>850</v>
      </c>
      <c r="B354" s="344">
        <f t="shared" si="6"/>
        <v>90</v>
      </c>
      <c r="C354" s="369"/>
      <c r="D354" s="389" t="str">
        <f t="shared" si="7"/>
        <v>Saturday</v>
      </c>
      <c r="E354" s="344" t="s">
        <v>162</v>
      </c>
      <c r="F354" s="370"/>
      <c r="G354" s="370"/>
      <c r="H354" s="357">
        <f t="shared" si="29"/>
        <v>0</v>
      </c>
      <c r="I354" s="346">
        <f t="shared" si="31"/>
        <v>0</v>
      </c>
      <c r="J354" s="354" t="s">
        <v>636</v>
      </c>
      <c r="M354" s="360">
        <f t="shared" si="12"/>
        <v>47777</v>
      </c>
      <c r="N354" s="360">
        <f t="shared" si="9"/>
        <v>47783</v>
      </c>
      <c r="O354" s="2">
        <f t="shared" si="10"/>
        <v>0</v>
      </c>
      <c r="P354" s="2">
        <f t="shared" si="11"/>
        <v>0</v>
      </c>
    </row>
    <row r="355">
      <c r="A355" s="344">
        <f t="shared" si="5"/>
        <v>850</v>
      </c>
      <c r="B355" s="344">
        <f t="shared" si="6"/>
        <v>90</v>
      </c>
      <c r="C355" s="369"/>
      <c r="D355" s="389" t="str">
        <f t="shared" si="7"/>
        <v>Saturday</v>
      </c>
      <c r="E355" s="344" t="s">
        <v>162</v>
      </c>
      <c r="F355" s="370"/>
      <c r="G355" s="370"/>
      <c r="H355" s="357">
        <f t="shared" si="29"/>
        <v>0</v>
      </c>
      <c r="I355" s="346">
        <f t="shared" si="31"/>
        <v>0</v>
      </c>
      <c r="J355" s="354" t="s">
        <v>636</v>
      </c>
      <c r="M355" s="360">
        <f t="shared" si="12"/>
        <v>47784</v>
      </c>
      <c r="N355" s="360">
        <f t="shared" si="9"/>
        <v>47790</v>
      </c>
      <c r="O355" s="2">
        <f t="shared" si="10"/>
        <v>0</v>
      </c>
      <c r="P355" s="2">
        <f t="shared" si="11"/>
        <v>0</v>
      </c>
    </row>
    <row r="356">
      <c r="A356" s="344">
        <f t="shared" si="5"/>
        <v>850</v>
      </c>
      <c r="B356" s="344">
        <f t="shared" si="6"/>
        <v>90</v>
      </c>
      <c r="C356" s="369"/>
      <c r="D356" s="389" t="str">
        <f t="shared" si="7"/>
        <v>Saturday</v>
      </c>
      <c r="E356" s="344" t="s">
        <v>162</v>
      </c>
      <c r="F356" s="370"/>
      <c r="G356" s="370"/>
      <c r="H356" s="357">
        <f t="shared" si="29"/>
        <v>0</v>
      </c>
      <c r="I356" s="346">
        <f t="shared" si="31"/>
        <v>0</v>
      </c>
      <c r="J356" s="354" t="s">
        <v>636</v>
      </c>
      <c r="M356" s="360">
        <f t="shared" si="12"/>
        <v>47791</v>
      </c>
      <c r="N356" s="360">
        <f t="shared" si="9"/>
        <v>47797</v>
      </c>
      <c r="O356" s="2">
        <f t="shared" si="10"/>
        <v>0</v>
      </c>
      <c r="P356" s="2">
        <f t="shared" si="11"/>
        <v>0</v>
      </c>
    </row>
    <row r="357">
      <c r="A357" s="344">
        <f t="shared" si="5"/>
        <v>850</v>
      </c>
      <c r="B357" s="344">
        <f t="shared" si="6"/>
        <v>90</v>
      </c>
      <c r="C357" s="369"/>
      <c r="D357" s="389" t="str">
        <f t="shared" si="7"/>
        <v>Saturday</v>
      </c>
      <c r="E357" s="344" t="s">
        <v>162</v>
      </c>
      <c r="F357" s="370"/>
      <c r="G357" s="370"/>
      <c r="H357" s="357">
        <f t="shared" si="29"/>
        <v>0</v>
      </c>
      <c r="I357" s="346">
        <f t="shared" si="31"/>
        <v>0</v>
      </c>
      <c r="J357" s="354" t="s">
        <v>636</v>
      </c>
      <c r="M357" s="360">
        <f t="shared" si="12"/>
        <v>47798</v>
      </c>
      <c r="N357" s="360">
        <f t="shared" si="9"/>
        <v>47804</v>
      </c>
      <c r="O357" s="2">
        <f t="shared" si="10"/>
        <v>0</v>
      </c>
      <c r="P357" s="2">
        <f t="shared" si="11"/>
        <v>0</v>
      </c>
    </row>
    <row r="358">
      <c r="A358" s="344">
        <f t="shared" si="5"/>
        <v>850</v>
      </c>
      <c r="B358" s="344">
        <f t="shared" si="6"/>
        <v>90</v>
      </c>
      <c r="C358" s="369"/>
      <c r="D358" s="389" t="str">
        <f t="shared" si="7"/>
        <v>Saturday</v>
      </c>
      <c r="E358" s="344" t="s">
        <v>162</v>
      </c>
      <c r="F358" s="370"/>
      <c r="G358" s="370"/>
      <c r="H358" s="357">
        <f t="shared" si="29"/>
        <v>0</v>
      </c>
      <c r="I358" s="346">
        <f t="shared" si="31"/>
        <v>0</v>
      </c>
      <c r="J358" s="354" t="s">
        <v>636</v>
      </c>
      <c r="M358" s="360">
        <f t="shared" si="12"/>
        <v>47805</v>
      </c>
      <c r="N358" s="360">
        <f t="shared" si="9"/>
        <v>47811</v>
      </c>
      <c r="O358" s="2">
        <f t="shared" si="10"/>
        <v>0</v>
      </c>
      <c r="P358" s="2">
        <f t="shared" si="11"/>
        <v>0</v>
      </c>
    </row>
    <row r="359">
      <c r="A359" s="344">
        <f t="shared" si="5"/>
        <v>850</v>
      </c>
      <c r="B359" s="344">
        <f t="shared" si="6"/>
        <v>90</v>
      </c>
      <c r="C359" s="369"/>
      <c r="D359" s="389" t="str">
        <f t="shared" si="7"/>
        <v>Saturday</v>
      </c>
      <c r="E359" s="344" t="s">
        <v>162</v>
      </c>
      <c r="F359" s="370"/>
      <c r="G359" s="370"/>
      <c r="H359" s="357">
        <f t="shared" si="29"/>
        <v>0</v>
      </c>
      <c r="I359" s="346">
        <f t="shared" si="31"/>
        <v>0</v>
      </c>
      <c r="J359" s="354" t="s">
        <v>636</v>
      </c>
      <c r="M359" s="360">
        <f t="shared" si="12"/>
        <v>47812</v>
      </c>
      <c r="N359" s="360">
        <f t="shared" si="9"/>
        <v>47818</v>
      </c>
      <c r="O359" s="2">
        <f t="shared" si="10"/>
        <v>0</v>
      </c>
      <c r="P359" s="2">
        <f t="shared" si="11"/>
        <v>0</v>
      </c>
    </row>
    <row r="360">
      <c r="A360" s="344">
        <f t="shared" si="5"/>
        <v>850</v>
      </c>
      <c r="B360" s="344">
        <f t="shared" si="6"/>
        <v>90</v>
      </c>
      <c r="C360" s="369"/>
      <c r="D360" s="389" t="str">
        <f t="shared" si="7"/>
        <v>Saturday</v>
      </c>
      <c r="E360" s="344" t="s">
        <v>162</v>
      </c>
      <c r="F360" s="370"/>
      <c r="G360" s="370"/>
      <c r="H360" s="357">
        <f t="shared" si="29"/>
        <v>0</v>
      </c>
      <c r="I360" s="346">
        <f t="shared" si="31"/>
        <v>0</v>
      </c>
      <c r="J360" s="354" t="s">
        <v>636</v>
      </c>
      <c r="M360" s="360">
        <f t="shared" si="12"/>
        <v>47819</v>
      </c>
      <c r="N360" s="360">
        <f t="shared" si="9"/>
        <v>47825</v>
      </c>
      <c r="O360" s="2">
        <f t="shared" si="10"/>
        <v>0</v>
      </c>
      <c r="P360" s="2">
        <f t="shared" si="11"/>
        <v>0</v>
      </c>
    </row>
    <row r="361">
      <c r="A361" s="344">
        <f t="shared" si="5"/>
        <v>850</v>
      </c>
      <c r="B361" s="344">
        <f t="shared" si="6"/>
        <v>90</v>
      </c>
      <c r="C361" s="369"/>
      <c r="D361" s="389" t="str">
        <f t="shared" si="7"/>
        <v>Saturday</v>
      </c>
      <c r="E361" s="344" t="s">
        <v>162</v>
      </c>
      <c r="F361" s="370"/>
      <c r="G361" s="370"/>
      <c r="H361" s="357">
        <f t="shared" si="29"/>
        <v>0</v>
      </c>
      <c r="I361" s="346">
        <f t="shared" si="31"/>
        <v>0</v>
      </c>
      <c r="J361" s="354" t="s">
        <v>636</v>
      </c>
      <c r="M361" s="360">
        <f t="shared" si="12"/>
        <v>47826</v>
      </c>
      <c r="N361" s="360">
        <f t="shared" si="9"/>
        <v>47832</v>
      </c>
      <c r="O361" s="2">
        <f t="shared" si="10"/>
        <v>0</v>
      </c>
      <c r="P361" s="2">
        <f t="shared" si="11"/>
        <v>0</v>
      </c>
    </row>
    <row r="362">
      <c r="A362" s="344">
        <f t="shared" si="5"/>
        <v>850</v>
      </c>
      <c r="B362" s="344">
        <f t="shared" si="6"/>
        <v>90</v>
      </c>
      <c r="C362" s="369"/>
      <c r="D362" s="389" t="str">
        <f t="shared" si="7"/>
        <v>Saturday</v>
      </c>
      <c r="E362" s="344" t="s">
        <v>162</v>
      </c>
      <c r="F362" s="370"/>
      <c r="G362" s="370"/>
      <c r="H362" s="357">
        <f t="shared" si="29"/>
        <v>0</v>
      </c>
      <c r="I362" s="346">
        <f t="shared" si="31"/>
        <v>0</v>
      </c>
      <c r="J362" s="354" t="s">
        <v>636</v>
      </c>
      <c r="M362" s="360">
        <f t="shared" si="12"/>
        <v>47833</v>
      </c>
      <c r="N362" s="360">
        <f t="shared" si="9"/>
        <v>47839</v>
      </c>
      <c r="O362" s="2">
        <f t="shared" si="10"/>
        <v>0</v>
      </c>
      <c r="P362" s="2">
        <f t="shared" si="11"/>
        <v>0</v>
      </c>
    </row>
    <row r="363">
      <c r="A363" s="344">
        <f t="shared" si="5"/>
        <v>850</v>
      </c>
      <c r="B363" s="344">
        <f t="shared" si="6"/>
        <v>90</v>
      </c>
      <c r="C363" s="369"/>
      <c r="D363" s="389" t="str">
        <f t="shared" si="7"/>
        <v>Saturday</v>
      </c>
      <c r="E363" s="344" t="s">
        <v>162</v>
      </c>
      <c r="F363" s="370"/>
      <c r="G363" s="370"/>
      <c r="H363" s="357">
        <f t="shared" si="29"/>
        <v>0</v>
      </c>
      <c r="I363" s="346">
        <f t="shared" si="31"/>
        <v>0</v>
      </c>
      <c r="J363" s="354" t="s">
        <v>636</v>
      </c>
      <c r="M363" s="360">
        <f t="shared" si="12"/>
        <v>47840</v>
      </c>
      <c r="N363" s="360">
        <f t="shared" si="9"/>
        <v>47846</v>
      </c>
      <c r="O363" s="2">
        <f t="shared" si="10"/>
        <v>0</v>
      </c>
      <c r="P363" s="2">
        <f t="shared" si="11"/>
        <v>0</v>
      </c>
    </row>
    <row r="364">
      <c r="A364" s="344">
        <f t="shared" si="5"/>
        <v>850</v>
      </c>
      <c r="B364" s="344">
        <f t="shared" si="6"/>
        <v>90</v>
      </c>
      <c r="C364" s="369"/>
      <c r="D364" s="389" t="str">
        <f t="shared" si="7"/>
        <v>Saturday</v>
      </c>
      <c r="E364" s="344" t="s">
        <v>162</v>
      </c>
      <c r="F364" s="370"/>
      <c r="G364" s="370"/>
      <c r="H364" s="357">
        <f t="shared" si="29"/>
        <v>0</v>
      </c>
      <c r="I364" s="346">
        <f t="shared" si="31"/>
        <v>0</v>
      </c>
      <c r="J364" s="354" t="s">
        <v>636</v>
      </c>
      <c r="M364" s="360">
        <f t="shared" si="12"/>
        <v>47847</v>
      </c>
      <c r="N364" s="360">
        <f t="shared" si="9"/>
        <v>47853</v>
      </c>
      <c r="O364" s="2">
        <f t="shared" si="10"/>
        <v>0</v>
      </c>
      <c r="P364" s="2">
        <f t="shared" si="11"/>
        <v>0</v>
      </c>
    </row>
    <row r="365">
      <c r="A365" s="344">
        <f t="shared" si="5"/>
        <v>850</v>
      </c>
      <c r="B365" s="344">
        <f t="shared" si="6"/>
        <v>90</v>
      </c>
      <c r="C365" s="369"/>
      <c r="D365" s="389" t="str">
        <f t="shared" si="7"/>
        <v>Saturday</v>
      </c>
      <c r="E365" s="344" t="s">
        <v>162</v>
      </c>
      <c r="F365" s="370"/>
      <c r="G365" s="370"/>
      <c r="H365" s="357">
        <f t="shared" si="29"/>
        <v>0</v>
      </c>
      <c r="I365" s="346">
        <f t="shared" si="31"/>
        <v>0</v>
      </c>
      <c r="J365" s="354" t="s">
        <v>636</v>
      </c>
      <c r="M365" s="360">
        <f t="shared" si="12"/>
        <v>47854</v>
      </c>
      <c r="N365" s="360">
        <f t="shared" si="9"/>
        <v>47860</v>
      </c>
      <c r="O365" s="2">
        <f t="shared" si="10"/>
        <v>0</v>
      </c>
      <c r="P365" s="2">
        <f t="shared" si="11"/>
        <v>0</v>
      </c>
    </row>
    <row r="366">
      <c r="A366" s="344">
        <f t="shared" si="5"/>
        <v>850</v>
      </c>
      <c r="B366" s="344">
        <f t="shared" si="6"/>
        <v>90</v>
      </c>
      <c r="C366" s="369"/>
      <c r="D366" s="389" t="str">
        <f t="shared" si="7"/>
        <v>Saturday</v>
      </c>
      <c r="E366" s="344" t="s">
        <v>162</v>
      </c>
      <c r="F366" s="370"/>
      <c r="G366" s="370"/>
      <c r="H366" s="357">
        <f t="shared" si="29"/>
        <v>0</v>
      </c>
      <c r="I366" s="346">
        <f t="shared" si="31"/>
        <v>0</v>
      </c>
      <c r="J366" s="354" t="s">
        <v>636</v>
      </c>
      <c r="M366" s="360">
        <f t="shared" si="12"/>
        <v>47861</v>
      </c>
      <c r="N366" s="360">
        <f t="shared" si="9"/>
        <v>47867</v>
      </c>
      <c r="O366" s="2">
        <f t="shared" si="10"/>
        <v>0</v>
      </c>
      <c r="P366" s="2">
        <f t="shared" si="11"/>
        <v>0</v>
      </c>
    </row>
    <row r="367">
      <c r="A367" s="344">
        <f t="shared" si="5"/>
        <v>850</v>
      </c>
      <c r="B367" s="344">
        <f t="shared" si="6"/>
        <v>90</v>
      </c>
      <c r="C367" s="369"/>
      <c r="D367" s="389" t="str">
        <f t="shared" si="7"/>
        <v>Saturday</v>
      </c>
      <c r="E367" s="344" t="s">
        <v>162</v>
      </c>
      <c r="F367" s="370"/>
      <c r="G367" s="370"/>
      <c r="H367" s="357">
        <f t="shared" si="29"/>
        <v>0</v>
      </c>
      <c r="I367" s="346">
        <f t="shared" si="31"/>
        <v>0</v>
      </c>
      <c r="J367" s="354" t="s">
        <v>636</v>
      </c>
      <c r="M367" s="360">
        <f t="shared" si="12"/>
        <v>47868</v>
      </c>
      <c r="N367" s="360">
        <f t="shared" si="9"/>
        <v>47874</v>
      </c>
      <c r="O367" s="2">
        <f t="shared" si="10"/>
        <v>0</v>
      </c>
      <c r="P367" s="2">
        <f t="shared" si="11"/>
        <v>0</v>
      </c>
    </row>
    <row r="368">
      <c r="A368" s="344">
        <f t="shared" si="5"/>
        <v>850</v>
      </c>
      <c r="B368" s="344">
        <f t="shared" si="6"/>
        <v>90</v>
      </c>
      <c r="C368" s="369"/>
      <c r="D368" s="389" t="str">
        <f t="shared" si="7"/>
        <v>Saturday</v>
      </c>
      <c r="E368" s="344" t="s">
        <v>162</v>
      </c>
      <c r="F368" s="370"/>
      <c r="G368" s="370"/>
      <c r="H368" s="357">
        <f t="shared" si="29"/>
        <v>0</v>
      </c>
      <c r="I368" s="346">
        <f t="shared" si="31"/>
        <v>0</v>
      </c>
      <c r="J368" s="354" t="s">
        <v>636</v>
      </c>
      <c r="M368" s="360">
        <f t="shared" si="12"/>
        <v>47875</v>
      </c>
      <c r="N368" s="360">
        <f t="shared" si="9"/>
        <v>47881</v>
      </c>
      <c r="O368" s="2">
        <f t="shared" si="10"/>
        <v>0</v>
      </c>
      <c r="P368" s="2">
        <f t="shared" si="11"/>
        <v>0</v>
      </c>
    </row>
    <row r="369">
      <c r="A369" s="344">
        <f t="shared" si="5"/>
        <v>850</v>
      </c>
      <c r="B369" s="344">
        <f t="shared" si="6"/>
        <v>90</v>
      </c>
      <c r="C369" s="369"/>
      <c r="D369" s="389" t="str">
        <f t="shared" si="7"/>
        <v>Saturday</v>
      </c>
      <c r="E369" s="344" t="s">
        <v>162</v>
      </c>
      <c r="F369" s="370"/>
      <c r="G369" s="370"/>
      <c r="H369" s="357">
        <f t="shared" si="29"/>
        <v>0</v>
      </c>
      <c r="I369" s="346">
        <f t="shared" si="31"/>
        <v>0</v>
      </c>
      <c r="J369" s="354" t="s">
        <v>636</v>
      </c>
      <c r="M369" s="360">
        <f t="shared" si="12"/>
        <v>47882</v>
      </c>
      <c r="N369" s="360">
        <f t="shared" si="9"/>
        <v>47888</v>
      </c>
      <c r="O369" s="2">
        <f t="shared" si="10"/>
        <v>0</v>
      </c>
      <c r="P369" s="2">
        <f t="shared" si="11"/>
        <v>0</v>
      </c>
    </row>
    <row r="370">
      <c r="A370" s="344">
        <f t="shared" si="5"/>
        <v>850</v>
      </c>
      <c r="B370" s="344">
        <f t="shared" si="6"/>
        <v>90</v>
      </c>
      <c r="C370" s="369"/>
      <c r="D370" s="389" t="str">
        <f t="shared" si="7"/>
        <v>Saturday</v>
      </c>
      <c r="E370" s="344" t="s">
        <v>162</v>
      </c>
      <c r="F370" s="370"/>
      <c r="G370" s="370"/>
      <c r="H370" s="357">
        <f t="shared" si="29"/>
        <v>0</v>
      </c>
      <c r="I370" s="346">
        <f t="shared" si="31"/>
        <v>0</v>
      </c>
      <c r="J370" s="354" t="s">
        <v>636</v>
      </c>
      <c r="M370" s="360">
        <f t="shared" si="12"/>
        <v>47889</v>
      </c>
      <c r="N370" s="360">
        <f t="shared" si="9"/>
        <v>47895</v>
      </c>
      <c r="O370" s="2">
        <f t="shared" si="10"/>
        <v>0</v>
      </c>
      <c r="P370" s="2">
        <f t="shared" si="11"/>
        <v>0</v>
      </c>
    </row>
    <row r="371">
      <c r="A371" s="344">
        <f t="shared" si="5"/>
        <v>850</v>
      </c>
      <c r="B371" s="344">
        <f t="shared" si="6"/>
        <v>90</v>
      </c>
      <c r="C371" s="369"/>
      <c r="D371" s="389" t="str">
        <f t="shared" si="7"/>
        <v>Saturday</v>
      </c>
      <c r="E371" s="344" t="s">
        <v>162</v>
      </c>
      <c r="F371" s="370"/>
      <c r="G371" s="370"/>
      <c r="H371" s="357">
        <f t="shared" si="29"/>
        <v>0</v>
      </c>
      <c r="I371" s="346">
        <f t="shared" si="31"/>
        <v>0</v>
      </c>
      <c r="J371" s="354" t="s">
        <v>636</v>
      </c>
      <c r="M371" s="360">
        <f t="shared" si="12"/>
        <v>47896</v>
      </c>
      <c r="N371" s="360">
        <f t="shared" si="9"/>
        <v>47902</v>
      </c>
      <c r="O371" s="2">
        <f t="shared" si="10"/>
        <v>0</v>
      </c>
      <c r="P371" s="2">
        <f t="shared" si="11"/>
        <v>0</v>
      </c>
    </row>
    <row r="372">
      <c r="A372" s="344">
        <f t="shared" si="5"/>
        <v>850</v>
      </c>
      <c r="B372" s="344">
        <f t="shared" si="6"/>
        <v>90</v>
      </c>
      <c r="C372" s="369"/>
      <c r="D372" s="389" t="str">
        <f t="shared" si="7"/>
        <v>Saturday</v>
      </c>
      <c r="E372" s="344" t="s">
        <v>162</v>
      </c>
      <c r="F372" s="370"/>
      <c r="G372" s="370"/>
      <c r="H372" s="357">
        <f t="shared" si="29"/>
        <v>0</v>
      </c>
      <c r="I372" s="346">
        <f t="shared" si="31"/>
        <v>0</v>
      </c>
      <c r="J372" s="354" t="s">
        <v>636</v>
      </c>
      <c r="M372" s="360">
        <f t="shared" si="12"/>
        <v>47903</v>
      </c>
      <c r="N372" s="360">
        <f t="shared" si="9"/>
        <v>47909</v>
      </c>
      <c r="O372" s="2">
        <f t="shared" si="10"/>
        <v>0</v>
      </c>
      <c r="P372" s="2">
        <f t="shared" si="11"/>
        <v>0</v>
      </c>
    </row>
    <row r="373">
      <c r="A373" s="344">
        <f t="shared" si="5"/>
        <v>850</v>
      </c>
      <c r="B373" s="344">
        <f t="shared" si="6"/>
        <v>90</v>
      </c>
      <c r="C373" s="369"/>
      <c r="D373" s="389" t="str">
        <f t="shared" si="7"/>
        <v>Saturday</v>
      </c>
      <c r="E373" s="344" t="s">
        <v>162</v>
      </c>
      <c r="F373" s="370"/>
      <c r="G373" s="370"/>
      <c r="H373" s="357">
        <f t="shared" si="29"/>
        <v>0</v>
      </c>
      <c r="I373" s="346">
        <f t="shared" si="31"/>
        <v>0</v>
      </c>
      <c r="J373" s="354" t="s">
        <v>636</v>
      </c>
      <c r="M373" s="360">
        <f t="shared" si="12"/>
        <v>47910</v>
      </c>
      <c r="N373" s="360">
        <f t="shared" si="9"/>
        <v>47916</v>
      </c>
      <c r="O373" s="2">
        <f t="shared" si="10"/>
        <v>0</v>
      </c>
      <c r="P373" s="2">
        <f t="shared" si="11"/>
        <v>0</v>
      </c>
    </row>
    <row r="374">
      <c r="A374" s="344">
        <f t="shared" si="5"/>
        <v>850</v>
      </c>
      <c r="B374" s="344">
        <f t="shared" si="6"/>
        <v>90</v>
      </c>
      <c r="C374" s="369"/>
      <c r="D374" s="389" t="str">
        <f t="shared" si="7"/>
        <v>Saturday</v>
      </c>
      <c r="E374" s="344" t="s">
        <v>162</v>
      </c>
      <c r="F374" s="370"/>
      <c r="G374" s="370"/>
      <c r="H374" s="357">
        <f t="shared" si="29"/>
        <v>0</v>
      </c>
      <c r="I374" s="346">
        <f t="shared" si="31"/>
        <v>0</v>
      </c>
      <c r="J374" s="354" t="s">
        <v>636</v>
      </c>
      <c r="M374" s="360">
        <f t="shared" si="12"/>
        <v>47917</v>
      </c>
      <c r="N374" s="360">
        <f t="shared" si="9"/>
        <v>47923</v>
      </c>
      <c r="O374" s="2">
        <f t="shared" si="10"/>
        <v>0</v>
      </c>
      <c r="P374" s="2">
        <f t="shared" si="11"/>
        <v>0</v>
      </c>
    </row>
    <row r="375">
      <c r="A375" s="344">
        <f t="shared" si="5"/>
        <v>850</v>
      </c>
      <c r="B375" s="344">
        <f t="shared" si="6"/>
        <v>90</v>
      </c>
      <c r="C375" s="369"/>
      <c r="D375" s="389" t="str">
        <f t="shared" si="7"/>
        <v>Saturday</v>
      </c>
      <c r="E375" s="344" t="s">
        <v>162</v>
      </c>
      <c r="F375" s="370"/>
      <c r="G375" s="370"/>
      <c r="H375" s="357">
        <f t="shared" si="29"/>
        <v>0</v>
      </c>
      <c r="I375" s="346">
        <f t="shared" si="31"/>
        <v>0</v>
      </c>
      <c r="J375" s="354" t="s">
        <v>636</v>
      </c>
      <c r="M375" s="360">
        <f t="shared" si="12"/>
        <v>47924</v>
      </c>
      <c r="N375" s="360">
        <f t="shared" si="9"/>
        <v>47930</v>
      </c>
      <c r="O375" s="2">
        <f t="shared" si="10"/>
        <v>0</v>
      </c>
      <c r="P375" s="2">
        <f t="shared" si="11"/>
        <v>0</v>
      </c>
    </row>
    <row r="376">
      <c r="A376" s="344">
        <f t="shared" si="5"/>
        <v>850</v>
      </c>
      <c r="B376" s="344">
        <f t="shared" si="6"/>
        <v>90</v>
      </c>
      <c r="C376" s="369"/>
      <c r="D376" s="389" t="str">
        <f t="shared" si="7"/>
        <v>Saturday</v>
      </c>
      <c r="E376" s="344" t="s">
        <v>162</v>
      </c>
      <c r="F376" s="370"/>
      <c r="G376" s="370"/>
      <c r="H376" s="357">
        <f t="shared" si="29"/>
        <v>0</v>
      </c>
      <c r="I376" s="346">
        <f t="shared" si="31"/>
        <v>0</v>
      </c>
      <c r="J376" s="354" t="s">
        <v>636</v>
      </c>
      <c r="M376" s="360">
        <f t="shared" si="12"/>
        <v>47931</v>
      </c>
      <c r="N376" s="360">
        <f t="shared" si="9"/>
        <v>47937</v>
      </c>
      <c r="O376" s="2">
        <f t="shared" si="10"/>
        <v>0</v>
      </c>
      <c r="P376" s="2">
        <f t="shared" si="11"/>
        <v>0</v>
      </c>
    </row>
    <row r="377">
      <c r="A377" s="344">
        <f t="shared" si="5"/>
        <v>850</v>
      </c>
      <c r="B377" s="344">
        <f t="shared" si="6"/>
        <v>90</v>
      </c>
      <c r="C377" s="369"/>
      <c r="D377" s="389" t="str">
        <f t="shared" si="7"/>
        <v>Saturday</v>
      </c>
      <c r="E377" s="344" t="s">
        <v>162</v>
      </c>
      <c r="F377" s="370"/>
      <c r="G377" s="370"/>
      <c r="H377" s="357">
        <f t="shared" si="29"/>
        <v>0</v>
      </c>
      <c r="I377" s="346">
        <f t="shared" si="31"/>
        <v>0</v>
      </c>
      <c r="J377" s="354" t="s">
        <v>636</v>
      </c>
      <c r="M377" s="360">
        <f t="shared" si="12"/>
        <v>47938</v>
      </c>
      <c r="N377" s="360">
        <f t="shared" si="9"/>
        <v>47944</v>
      </c>
      <c r="O377" s="2">
        <f t="shared" si="10"/>
        <v>0</v>
      </c>
      <c r="P377" s="2">
        <f t="shared" si="11"/>
        <v>0</v>
      </c>
    </row>
    <row r="378">
      <c r="A378" s="344">
        <f t="shared" si="5"/>
        <v>850</v>
      </c>
      <c r="B378" s="344">
        <f t="shared" si="6"/>
        <v>90</v>
      </c>
      <c r="C378" s="369"/>
      <c r="D378" s="389" t="str">
        <f t="shared" si="7"/>
        <v>Saturday</v>
      </c>
      <c r="E378" s="344" t="s">
        <v>162</v>
      </c>
      <c r="F378" s="370"/>
      <c r="G378" s="370"/>
      <c r="H378" s="357">
        <f t="shared" si="29"/>
        <v>0</v>
      </c>
      <c r="I378" s="346">
        <f t="shared" si="31"/>
        <v>0</v>
      </c>
      <c r="J378" s="354" t="s">
        <v>636</v>
      </c>
      <c r="M378" s="360">
        <f t="shared" si="12"/>
        <v>47945</v>
      </c>
      <c r="N378" s="360">
        <f t="shared" si="9"/>
        <v>47951</v>
      </c>
      <c r="O378" s="2">
        <f t="shared" si="10"/>
        <v>0</v>
      </c>
      <c r="P378" s="2">
        <f t="shared" si="11"/>
        <v>0</v>
      </c>
    </row>
    <row r="379">
      <c r="A379" s="344">
        <f t="shared" si="5"/>
        <v>850</v>
      </c>
      <c r="B379" s="344">
        <f t="shared" si="6"/>
        <v>90</v>
      </c>
      <c r="C379" s="369"/>
      <c r="D379" s="389" t="str">
        <f t="shared" si="7"/>
        <v>Saturday</v>
      </c>
      <c r="E379" s="344" t="s">
        <v>162</v>
      </c>
      <c r="F379" s="370"/>
      <c r="G379" s="370"/>
      <c r="H379" s="357">
        <f t="shared" si="29"/>
        <v>0</v>
      </c>
      <c r="I379" s="346">
        <f t="shared" si="31"/>
        <v>0</v>
      </c>
      <c r="J379" s="354" t="s">
        <v>636</v>
      </c>
      <c r="M379" s="360">
        <f t="shared" si="12"/>
        <v>47952</v>
      </c>
      <c r="N379" s="360">
        <f t="shared" si="9"/>
        <v>47958</v>
      </c>
      <c r="O379" s="2">
        <f t="shared" si="10"/>
        <v>0</v>
      </c>
      <c r="P379" s="2">
        <f t="shared" si="11"/>
        <v>0</v>
      </c>
    </row>
    <row r="380">
      <c r="A380" s="344">
        <f t="shared" si="5"/>
        <v>850</v>
      </c>
      <c r="B380" s="344">
        <f t="shared" si="6"/>
        <v>90</v>
      </c>
      <c r="C380" s="369"/>
      <c r="D380" s="389" t="str">
        <f t="shared" si="7"/>
        <v>Saturday</v>
      </c>
      <c r="E380" s="344" t="s">
        <v>162</v>
      </c>
      <c r="F380" s="370"/>
      <c r="G380" s="370"/>
      <c r="H380" s="357">
        <f t="shared" si="29"/>
        <v>0</v>
      </c>
      <c r="I380" s="346">
        <f t="shared" si="31"/>
        <v>0</v>
      </c>
      <c r="J380" s="354" t="s">
        <v>636</v>
      </c>
      <c r="M380" s="360">
        <f t="shared" si="12"/>
        <v>47959</v>
      </c>
      <c r="N380" s="360">
        <f t="shared" si="9"/>
        <v>47965</v>
      </c>
      <c r="O380" s="2">
        <f t="shared" si="10"/>
        <v>0</v>
      </c>
      <c r="P380" s="2">
        <f t="shared" si="11"/>
        <v>0</v>
      </c>
    </row>
    <row r="381">
      <c r="A381" s="344">
        <f t="shared" si="5"/>
        <v>850</v>
      </c>
      <c r="B381" s="344">
        <f t="shared" si="6"/>
        <v>90</v>
      </c>
      <c r="C381" s="369"/>
      <c r="D381" s="389" t="str">
        <f t="shared" si="7"/>
        <v>Saturday</v>
      </c>
      <c r="E381" s="344" t="s">
        <v>162</v>
      </c>
      <c r="F381" s="370"/>
      <c r="G381" s="370"/>
      <c r="H381" s="357">
        <f t="shared" si="29"/>
        <v>0</v>
      </c>
      <c r="I381" s="346">
        <f t="shared" si="31"/>
        <v>0</v>
      </c>
      <c r="J381" s="354" t="s">
        <v>636</v>
      </c>
      <c r="M381" s="360">
        <f t="shared" si="12"/>
        <v>47966</v>
      </c>
      <c r="N381" s="360">
        <f t="shared" si="9"/>
        <v>47972</v>
      </c>
      <c r="O381" s="2">
        <f t="shared" si="10"/>
        <v>0</v>
      </c>
      <c r="P381" s="2">
        <f t="shared" si="11"/>
        <v>0</v>
      </c>
    </row>
    <row r="382">
      <c r="A382" s="344">
        <f t="shared" si="5"/>
        <v>850</v>
      </c>
      <c r="B382" s="344">
        <f t="shared" si="6"/>
        <v>90</v>
      </c>
      <c r="C382" s="369"/>
      <c r="D382" s="389" t="str">
        <f t="shared" si="7"/>
        <v>Saturday</v>
      </c>
      <c r="E382" s="344" t="s">
        <v>162</v>
      </c>
      <c r="F382" s="370"/>
      <c r="G382" s="370"/>
      <c r="H382" s="357">
        <f t="shared" si="29"/>
        <v>0</v>
      </c>
      <c r="I382" s="346">
        <f t="shared" si="31"/>
        <v>0</v>
      </c>
      <c r="J382" s="354" t="s">
        <v>636</v>
      </c>
      <c r="M382" s="360">
        <f t="shared" si="12"/>
        <v>47973</v>
      </c>
      <c r="N382" s="360">
        <f t="shared" si="9"/>
        <v>47979</v>
      </c>
      <c r="O382" s="2">
        <f t="shared" si="10"/>
        <v>0</v>
      </c>
      <c r="P382" s="2">
        <f t="shared" si="11"/>
        <v>0</v>
      </c>
    </row>
    <row r="383">
      <c r="A383" s="344">
        <f t="shared" si="5"/>
        <v>850</v>
      </c>
      <c r="B383" s="344">
        <f t="shared" si="6"/>
        <v>90</v>
      </c>
      <c r="C383" s="369"/>
      <c r="D383" s="389" t="str">
        <f t="shared" si="7"/>
        <v>Saturday</v>
      </c>
      <c r="E383" s="344" t="s">
        <v>162</v>
      </c>
      <c r="F383" s="370"/>
      <c r="G383" s="370"/>
      <c r="H383" s="357">
        <f t="shared" si="29"/>
        <v>0</v>
      </c>
      <c r="I383" s="346">
        <f t="shared" si="31"/>
        <v>0</v>
      </c>
      <c r="J383" s="354" t="s">
        <v>636</v>
      </c>
      <c r="M383" s="360">
        <f t="shared" si="12"/>
        <v>47980</v>
      </c>
      <c r="N383" s="360">
        <f t="shared" si="9"/>
        <v>47986</v>
      </c>
      <c r="O383" s="2">
        <f t="shared" si="10"/>
        <v>0</v>
      </c>
      <c r="P383" s="2">
        <f t="shared" si="11"/>
        <v>0</v>
      </c>
    </row>
    <row r="384">
      <c r="A384" s="344">
        <f t="shared" si="5"/>
        <v>850</v>
      </c>
      <c r="B384" s="344">
        <f t="shared" si="6"/>
        <v>90</v>
      </c>
      <c r="C384" s="369"/>
      <c r="D384" s="389" t="str">
        <f t="shared" si="7"/>
        <v>Saturday</v>
      </c>
      <c r="E384" s="344" t="s">
        <v>162</v>
      </c>
      <c r="F384" s="370"/>
      <c r="G384" s="370"/>
      <c r="H384" s="357">
        <f t="shared" si="29"/>
        <v>0</v>
      </c>
      <c r="I384" s="346">
        <f t="shared" si="31"/>
        <v>0</v>
      </c>
      <c r="J384" s="354" t="s">
        <v>636</v>
      </c>
      <c r="M384" s="360">
        <f t="shared" si="12"/>
        <v>47987</v>
      </c>
      <c r="N384" s="360">
        <f t="shared" si="9"/>
        <v>47993</v>
      </c>
      <c r="O384" s="2">
        <f t="shared" si="10"/>
        <v>0</v>
      </c>
      <c r="P384" s="2">
        <f t="shared" si="11"/>
        <v>0</v>
      </c>
    </row>
    <row r="385">
      <c r="A385" s="344">
        <f t="shared" si="5"/>
        <v>850</v>
      </c>
      <c r="B385" s="344">
        <f t="shared" si="6"/>
        <v>90</v>
      </c>
      <c r="C385" s="369"/>
      <c r="D385" s="389" t="str">
        <f t="shared" si="7"/>
        <v>Saturday</v>
      </c>
      <c r="E385" s="344" t="s">
        <v>162</v>
      </c>
      <c r="F385" s="370"/>
      <c r="G385" s="370"/>
      <c r="H385" s="357">
        <f t="shared" si="29"/>
        <v>0</v>
      </c>
      <c r="I385" s="346">
        <f t="shared" si="31"/>
        <v>0</v>
      </c>
      <c r="J385" s="354" t="s">
        <v>636</v>
      </c>
      <c r="M385" s="360">
        <f t="shared" si="12"/>
        <v>47994</v>
      </c>
      <c r="N385" s="360">
        <f t="shared" si="9"/>
        <v>48000</v>
      </c>
      <c r="O385" s="2">
        <f t="shared" si="10"/>
        <v>0</v>
      </c>
      <c r="P385" s="2">
        <f t="shared" si="11"/>
        <v>0</v>
      </c>
    </row>
    <row r="386">
      <c r="A386" s="344">
        <f t="shared" si="5"/>
        <v>850</v>
      </c>
      <c r="B386" s="344">
        <f t="shared" si="6"/>
        <v>90</v>
      </c>
      <c r="C386" s="369"/>
      <c r="D386" s="389" t="str">
        <f t="shared" si="7"/>
        <v>Saturday</v>
      </c>
      <c r="E386" s="344" t="s">
        <v>162</v>
      </c>
      <c r="F386" s="370"/>
      <c r="G386" s="370"/>
      <c r="H386" s="357">
        <f t="shared" si="29"/>
        <v>0</v>
      </c>
      <c r="I386" s="346">
        <f t="shared" si="31"/>
        <v>0</v>
      </c>
      <c r="J386" s="354" t="s">
        <v>636</v>
      </c>
      <c r="M386" s="360">
        <f t="shared" si="12"/>
        <v>48001</v>
      </c>
      <c r="N386" s="360">
        <f t="shared" si="9"/>
        <v>48007</v>
      </c>
      <c r="O386" s="2">
        <f t="shared" si="10"/>
        <v>0</v>
      </c>
      <c r="P386" s="2">
        <f t="shared" si="11"/>
        <v>0</v>
      </c>
    </row>
    <row r="387">
      <c r="A387" s="344">
        <f t="shared" si="5"/>
        <v>850</v>
      </c>
      <c r="B387" s="344">
        <f t="shared" si="6"/>
        <v>90</v>
      </c>
      <c r="C387" s="369"/>
      <c r="D387" s="389" t="str">
        <f t="shared" si="7"/>
        <v>Saturday</v>
      </c>
      <c r="E387" s="344" t="s">
        <v>162</v>
      </c>
      <c r="F387" s="370"/>
      <c r="G387" s="370"/>
      <c r="H387" s="357">
        <f t="shared" si="29"/>
        <v>0</v>
      </c>
      <c r="I387" s="346">
        <f t="shared" si="31"/>
        <v>0</v>
      </c>
      <c r="J387" s="354" t="s">
        <v>636</v>
      </c>
      <c r="M387" s="360">
        <f t="shared" si="12"/>
        <v>48008</v>
      </c>
      <c r="N387" s="360">
        <f t="shared" si="9"/>
        <v>48014</v>
      </c>
      <c r="O387" s="2">
        <f t="shared" si="10"/>
        <v>0</v>
      </c>
      <c r="P387" s="2">
        <f t="shared" si="11"/>
        <v>0</v>
      </c>
    </row>
    <row r="388">
      <c r="A388" s="344">
        <f t="shared" si="5"/>
        <v>850</v>
      </c>
      <c r="B388" s="344">
        <f t="shared" si="6"/>
        <v>90</v>
      </c>
      <c r="C388" s="369"/>
      <c r="D388" s="389" t="str">
        <f t="shared" si="7"/>
        <v>Saturday</v>
      </c>
      <c r="E388" s="344" t="s">
        <v>162</v>
      </c>
      <c r="F388" s="370"/>
      <c r="G388" s="370"/>
      <c r="H388" s="357">
        <f t="shared" si="29"/>
        <v>0</v>
      </c>
      <c r="I388" s="346">
        <f t="shared" si="31"/>
        <v>0</v>
      </c>
      <c r="J388" s="354" t="s">
        <v>636</v>
      </c>
      <c r="M388" s="360">
        <f t="shared" si="12"/>
        <v>48015</v>
      </c>
      <c r="N388" s="360">
        <f t="shared" si="9"/>
        <v>48021</v>
      </c>
      <c r="O388" s="2">
        <f t="shared" si="10"/>
        <v>0</v>
      </c>
      <c r="P388" s="2">
        <f t="shared" si="11"/>
        <v>0</v>
      </c>
    </row>
    <row r="389">
      <c r="A389" s="344">
        <f t="shared" si="5"/>
        <v>850</v>
      </c>
      <c r="B389" s="344">
        <f t="shared" si="6"/>
        <v>90</v>
      </c>
      <c r="C389" s="369"/>
      <c r="D389" s="389" t="str">
        <f t="shared" si="7"/>
        <v>Saturday</v>
      </c>
      <c r="E389" s="344" t="s">
        <v>162</v>
      </c>
      <c r="F389" s="370"/>
      <c r="G389" s="370"/>
      <c r="H389" s="357">
        <f t="shared" si="29"/>
        <v>0</v>
      </c>
      <c r="I389" s="346">
        <f t="shared" si="31"/>
        <v>0</v>
      </c>
      <c r="J389" s="354" t="s">
        <v>636</v>
      </c>
      <c r="M389" s="360">
        <f t="shared" si="12"/>
        <v>48022</v>
      </c>
      <c r="N389" s="360">
        <f t="shared" si="9"/>
        <v>48028</v>
      </c>
      <c r="O389" s="2">
        <f t="shared" si="10"/>
        <v>0</v>
      </c>
      <c r="P389" s="2">
        <f t="shared" si="11"/>
        <v>0</v>
      </c>
    </row>
    <row r="390">
      <c r="A390" s="344">
        <f t="shared" si="5"/>
        <v>850</v>
      </c>
      <c r="B390" s="344">
        <f t="shared" si="6"/>
        <v>90</v>
      </c>
      <c r="C390" s="369"/>
      <c r="D390" s="389" t="str">
        <f t="shared" si="7"/>
        <v>Saturday</v>
      </c>
      <c r="E390" s="344" t="s">
        <v>162</v>
      </c>
      <c r="F390" s="370"/>
      <c r="G390" s="370"/>
      <c r="H390" s="357">
        <f t="shared" si="29"/>
        <v>0</v>
      </c>
      <c r="I390" s="346">
        <f t="shared" si="31"/>
        <v>0</v>
      </c>
      <c r="J390" s="354" t="s">
        <v>636</v>
      </c>
      <c r="M390" s="360">
        <f t="shared" si="12"/>
        <v>48029</v>
      </c>
      <c r="N390" s="360">
        <f t="shared" si="9"/>
        <v>48035</v>
      </c>
      <c r="O390" s="2">
        <f t="shared" si="10"/>
        <v>0</v>
      </c>
      <c r="P390" s="2">
        <f t="shared" si="11"/>
        <v>0</v>
      </c>
    </row>
    <row r="391">
      <c r="A391" s="344">
        <f t="shared" si="5"/>
        <v>850</v>
      </c>
      <c r="B391" s="344">
        <f t="shared" si="6"/>
        <v>90</v>
      </c>
      <c r="C391" s="369"/>
      <c r="D391" s="389" t="str">
        <f t="shared" si="7"/>
        <v>Saturday</v>
      </c>
      <c r="E391" s="344" t="s">
        <v>162</v>
      </c>
      <c r="F391" s="370"/>
      <c r="G391" s="370"/>
      <c r="H391" s="357">
        <f t="shared" si="29"/>
        <v>0</v>
      </c>
      <c r="I391" s="346">
        <f t="shared" si="31"/>
        <v>0</v>
      </c>
      <c r="J391" s="354" t="s">
        <v>636</v>
      </c>
      <c r="M391" s="360">
        <f t="shared" si="12"/>
        <v>48036</v>
      </c>
      <c r="N391" s="360">
        <f t="shared" si="9"/>
        <v>48042</v>
      </c>
      <c r="O391" s="2">
        <f t="shared" si="10"/>
        <v>0</v>
      </c>
      <c r="P391" s="2">
        <f t="shared" si="11"/>
        <v>0</v>
      </c>
    </row>
    <row r="392">
      <c r="A392" s="344">
        <f t="shared" si="5"/>
        <v>850</v>
      </c>
      <c r="B392" s="344">
        <f t="shared" si="6"/>
        <v>90</v>
      </c>
      <c r="C392" s="369"/>
      <c r="D392" s="389" t="str">
        <f t="shared" si="7"/>
        <v>Saturday</v>
      </c>
      <c r="E392" s="344" t="s">
        <v>162</v>
      </c>
      <c r="F392" s="370"/>
      <c r="G392" s="370"/>
      <c r="H392" s="357">
        <f t="shared" si="29"/>
        <v>0</v>
      </c>
      <c r="I392" s="346">
        <f t="shared" si="31"/>
        <v>0</v>
      </c>
      <c r="J392" s="354" t="s">
        <v>636</v>
      </c>
      <c r="M392" s="360">
        <f t="shared" si="12"/>
        <v>48043</v>
      </c>
      <c r="N392" s="360">
        <f t="shared" si="9"/>
        <v>48049</v>
      </c>
      <c r="O392" s="2">
        <f t="shared" si="10"/>
        <v>0</v>
      </c>
      <c r="P392" s="2">
        <f t="shared" si="11"/>
        <v>0</v>
      </c>
    </row>
    <row r="393">
      <c r="A393" s="344">
        <f t="shared" si="5"/>
        <v>850</v>
      </c>
      <c r="B393" s="344">
        <f t="shared" si="6"/>
        <v>90</v>
      </c>
      <c r="C393" s="369"/>
      <c r="D393" s="389" t="str">
        <f t="shared" si="7"/>
        <v>Saturday</v>
      </c>
      <c r="E393" s="344" t="s">
        <v>162</v>
      </c>
      <c r="F393" s="370"/>
      <c r="G393" s="370"/>
      <c r="H393" s="357">
        <f t="shared" si="29"/>
        <v>0</v>
      </c>
      <c r="I393" s="346">
        <f t="shared" si="31"/>
        <v>0</v>
      </c>
      <c r="J393" s="354" t="s">
        <v>636</v>
      </c>
      <c r="M393" s="360">
        <f t="shared" si="12"/>
        <v>48050</v>
      </c>
      <c r="N393" s="360">
        <f t="shared" si="9"/>
        <v>48056</v>
      </c>
      <c r="O393" s="2">
        <f t="shared" si="10"/>
        <v>0</v>
      </c>
      <c r="P393" s="2">
        <f t="shared" si="11"/>
        <v>0</v>
      </c>
    </row>
    <row r="394">
      <c r="A394" s="344">
        <f t="shared" si="5"/>
        <v>850</v>
      </c>
      <c r="B394" s="344">
        <f t="shared" si="6"/>
        <v>90</v>
      </c>
      <c r="C394" s="369"/>
      <c r="D394" s="389" t="str">
        <f t="shared" si="7"/>
        <v>Saturday</v>
      </c>
      <c r="E394" s="344" t="s">
        <v>162</v>
      </c>
      <c r="F394" s="370"/>
      <c r="G394" s="370"/>
      <c r="H394" s="357">
        <f t="shared" si="29"/>
        <v>0</v>
      </c>
      <c r="I394" s="346">
        <f t="shared" si="31"/>
        <v>0</v>
      </c>
      <c r="J394" s="354" t="s">
        <v>636</v>
      </c>
      <c r="M394" s="360">
        <f t="shared" si="12"/>
        <v>48057</v>
      </c>
      <c r="N394" s="360">
        <f t="shared" si="9"/>
        <v>48063</v>
      </c>
      <c r="O394" s="2">
        <f t="shared" si="10"/>
        <v>0</v>
      </c>
      <c r="P394" s="2">
        <f t="shared" si="11"/>
        <v>0</v>
      </c>
    </row>
    <row r="395">
      <c r="A395" s="344">
        <f t="shared" si="5"/>
        <v>850</v>
      </c>
      <c r="B395" s="344">
        <f t="shared" si="6"/>
        <v>90</v>
      </c>
      <c r="C395" s="369"/>
      <c r="D395" s="389" t="str">
        <f t="shared" si="7"/>
        <v>Saturday</v>
      </c>
      <c r="E395" s="344" t="s">
        <v>162</v>
      </c>
      <c r="F395" s="370"/>
      <c r="G395" s="370"/>
      <c r="H395" s="357">
        <f t="shared" si="29"/>
        <v>0</v>
      </c>
      <c r="I395" s="346">
        <f t="shared" si="31"/>
        <v>0</v>
      </c>
      <c r="J395" s="354" t="s">
        <v>636</v>
      </c>
      <c r="M395" s="360">
        <f t="shared" si="12"/>
        <v>48064</v>
      </c>
      <c r="N395" s="360">
        <f t="shared" si="9"/>
        <v>48070</v>
      </c>
      <c r="O395" s="2">
        <f t="shared" si="10"/>
        <v>0</v>
      </c>
      <c r="P395" s="2">
        <f t="shared" si="11"/>
        <v>0</v>
      </c>
    </row>
    <row r="396">
      <c r="A396" s="344">
        <f t="shared" si="5"/>
        <v>850</v>
      </c>
      <c r="B396" s="344">
        <f t="shared" si="6"/>
        <v>90</v>
      </c>
      <c r="C396" s="369"/>
      <c r="D396" s="389" t="str">
        <f t="shared" si="7"/>
        <v>Saturday</v>
      </c>
      <c r="E396" s="344" t="s">
        <v>162</v>
      </c>
      <c r="F396" s="370"/>
      <c r="G396" s="370"/>
      <c r="H396" s="357">
        <f t="shared" si="29"/>
        <v>0</v>
      </c>
      <c r="I396" s="346">
        <f t="shared" si="31"/>
        <v>0</v>
      </c>
      <c r="J396" s="354" t="s">
        <v>636</v>
      </c>
      <c r="M396" s="360">
        <f t="shared" si="12"/>
        <v>48071</v>
      </c>
      <c r="N396" s="360">
        <f t="shared" si="9"/>
        <v>48077</v>
      </c>
      <c r="O396" s="2">
        <f t="shared" si="10"/>
        <v>0</v>
      </c>
      <c r="P396" s="2">
        <f t="shared" si="11"/>
        <v>0</v>
      </c>
    </row>
    <row r="397">
      <c r="A397" s="344">
        <f t="shared" si="5"/>
        <v>850</v>
      </c>
      <c r="B397" s="344">
        <f t="shared" si="6"/>
        <v>90</v>
      </c>
      <c r="C397" s="369"/>
      <c r="D397" s="389" t="str">
        <f t="shared" si="7"/>
        <v>Saturday</v>
      </c>
      <c r="E397" s="344" t="s">
        <v>162</v>
      </c>
      <c r="F397" s="370"/>
      <c r="G397" s="370"/>
      <c r="H397" s="357">
        <f t="shared" si="29"/>
        <v>0</v>
      </c>
      <c r="I397" s="346">
        <f t="shared" si="31"/>
        <v>0</v>
      </c>
      <c r="J397" s="354" t="s">
        <v>636</v>
      </c>
      <c r="M397" s="360">
        <f t="shared" si="12"/>
        <v>48078</v>
      </c>
      <c r="N397" s="360">
        <f t="shared" si="9"/>
        <v>48084</v>
      </c>
      <c r="O397" s="2">
        <f t="shared" si="10"/>
        <v>0</v>
      </c>
      <c r="P397" s="2">
        <f t="shared" si="11"/>
        <v>0</v>
      </c>
    </row>
    <row r="398">
      <c r="A398" s="344">
        <f t="shared" si="5"/>
        <v>850</v>
      </c>
      <c r="B398" s="344">
        <f t="shared" si="6"/>
        <v>90</v>
      </c>
      <c r="C398" s="369"/>
      <c r="D398" s="389" t="str">
        <f t="shared" si="7"/>
        <v>Saturday</v>
      </c>
      <c r="E398" s="344" t="s">
        <v>162</v>
      </c>
      <c r="F398" s="370"/>
      <c r="G398" s="370"/>
      <c r="H398" s="357">
        <f t="shared" si="29"/>
        <v>0</v>
      </c>
      <c r="I398" s="346">
        <f t="shared" si="31"/>
        <v>0</v>
      </c>
      <c r="J398" s="354" t="s">
        <v>636</v>
      </c>
      <c r="M398" s="360">
        <f t="shared" si="12"/>
        <v>48085</v>
      </c>
      <c r="N398" s="360">
        <f t="shared" si="9"/>
        <v>48091</v>
      </c>
      <c r="O398" s="2">
        <f t="shared" si="10"/>
        <v>0</v>
      </c>
      <c r="P398" s="2">
        <f t="shared" si="11"/>
        <v>0</v>
      </c>
    </row>
    <row r="399">
      <c r="A399" s="344">
        <f t="shared" si="5"/>
        <v>850</v>
      </c>
      <c r="B399" s="344">
        <f t="shared" si="6"/>
        <v>90</v>
      </c>
      <c r="C399" s="369"/>
      <c r="D399" s="389" t="str">
        <f t="shared" si="7"/>
        <v>Saturday</v>
      </c>
      <c r="E399" s="344" t="s">
        <v>162</v>
      </c>
      <c r="F399" s="370"/>
      <c r="G399" s="370"/>
      <c r="H399" s="357">
        <f t="shared" si="29"/>
        <v>0</v>
      </c>
      <c r="I399" s="346">
        <f t="shared" si="31"/>
        <v>0</v>
      </c>
      <c r="J399" s="354" t="s">
        <v>636</v>
      </c>
      <c r="M399" s="360">
        <f t="shared" si="12"/>
        <v>48092</v>
      </c>
      <c r="N399" s="360">
        <f t="shared" si="9"/>
        <v>48098</v>
      </c>
      <c r="O399" s="2">
        <f t="shared" si="10"/>
        <v>0</v>
      </c>
      <c r="P399" s="2">
        <f t="shared" si="11"/>
        <v>0</v>
      </c>
    </row>
    <row r="400">
      <c r="A400" s="344">
        <f t="shared" si="5"/>
        <v>850</v>
      </c>
      <c r="B400" s="344">
        <f t="shared" si="6"/>
        <v>90</v>
      </c>
      <c r="C400" s="369"/>
      <c r="D400" s="389" t="str">
        <f t="shared" si="7"/>
        <v>Saturday</v>
      </c>
      <c r="E400" s="344" t="s">
        <v>162</v>
      </c>
      <c r="F400" s="370"/>
      <c r="G400" s="370"/>
      <c r="H400" s="357">
        <f t="shared" si="29"/>
        <v>0</v>
      </c>
      <c r="I400" s="346">
        <f t="shared" si="31"/>
        <v>0</v>
      </c>
      <c r="J400" s="354" t="s">
        <v>636</v>
      </c>
      <c r="M400" s="360">
        <f t="shared" si="12"/>
        <v>48099</v>
      </c>
      <c r="N400" s="360">
        <f t="shared" si="9"/>
        <v>48105</v>
      </c>
      <c r="O400" s="2">
        <f t="shared" si="10"/>
        <v>0</v>
      </c>
      <c r="P400" s="2">
        <f t="shared" si="11"/>
        <v>0</v>
      </c>
    </row>
    <row r="401">
      <c r="A401" s="344">
        <f t="shared" si="5"/>
        <v>850</v>
      </c>
      <c r="B401" s="344">
        <f t="shared" si="6"/>
        <v>90</v>
      </c>
      <c r="C401" s="369"/>
      <c r="D401" s="389" t="str">
        <f t="shared" si="7"/>
        <v>Saturday</v>
      </c>
      <c r="E401" s="344" t="s">
        <v>162</v>
      </c>
      <c r="F401" s="370"/>
      <c r="G401" s="370"/>
      <c r="H401" s="357">
        <f t="shared" si="29"/>
        <v>0</v>
      </c>
      <c r="I401" s="346">
        <f t="shared" si="31"/>
        <v>0</v>
      </c>
      <c r="J401" s="354" t="s">
        <v>636</v>
      </c>
      <c r="M401" s="360">
        <f t="shared" si="12"/>
        <v>48106</v>
      </c>
      <c r="N401" s="360">
        <f t="shared" si="9"/>
        <v>48112</v>
      </c>
      <c r="O401" s="2">
        <f t="shared" si="10"/>
        <v>0</v>
      </c>
      <c r="P401" s="2">
        <f t="shared" si="11"/>
        <v>0</v>
      </c>
    </row>
    <row r="402">
      <c r="A402" s="344">
        <f t="shared" si="5"/>
        <v>850</v>
      </c>
      <c r="B402" s="344">
        <f t="shared" si="6"/>
        <v>90</v>
      </c>
      <c r="C402" s="369"/>
      <c r="D402" s="389" t="str">
        <f t="shared" si="7"/>
        <v>Saturday</v>
      </c>
      <c r="E402" s="344" t="s">
        <v>162</v>
      </c>
      <c r="F402" s="370"/>
      <c r="G402" s="370"/>
      <c r="H402" s="357">
        <f t="shared" si="29"/>
        <v>0</v>
      </c>
      <c r="I402" s="346">
        <f t="shared" si="31"/>
        <v>0</v>
      </c>
      <c r="J402" s="354" t="s">
        <v>636</v>
      </c>
      <c r="M402" s="360">
        <f t="shared" si="12"/>
        <v>48113</v>
      </c>
      <c r="N402" s="360">
        <f t="shared" si="9"/>
        <v>48119</v>
      </c>
      <c r="O402" s="2">
        <f t="shared" si="10"/>
        <v>0</v>
      </c>
      <c r="P402" s="2">
        <f t="shared" si="11"/>
        <v>0</v>
      </c>
    </row>
    <row r="403">
      <c r="A403" s="344">
        <f t="shared" si="5"/>
        <v>850</v>
      </c>
      <c r="B403" s="344">
        <f t="shared" si="6"/>
        <v>90</v>
      </c>
      <c r="C403" s="369"/>
      <c r="D403" s="389" t="str">
        <f t="shared" si="7"/>
        <v>Saturday</v>
      </c>
      <c r="E403" s="344" t="s">
        <v>162</v>
      </c>
      <c r="F403" s="370"/>
      <c r="G403" s="370"/>
      <c r="H403" s="357">
        <f t="shared" si="29"/>
        <v>0</v>
      </c>
      <c r="I403" s="346">
        <f t="shared" si="31"/>
        <v>0</v>
      </c>
      <c r="J403" s="354" t="s">
        <v>636</v>
      </c>
      <c r="M403" s="360">
        <f t="shared" si="12"/>
        <v>48120</v>
      </c>
      <c r="N403" s="360">
        <f t="shared" si="9"/>
        <v>48126</v>
      </c>
      <c r="O403" s="2">
        <f t="shared" si="10"/>
        <v>0</v>
      </c>
      <c r="P403" s="2">
        <f t="shared" si="11"/>
        <v>0</v>
      </c>
    </row>
    <row r="404">
      <c r="A404" s="344">
        <f t="shared" si="5"/>
        <v>850</v>
      </c>
      <c r="B404" s="344">
        <f t="shared" si="6"/>
        <v>90</v>
      </c>
      <c r="C404" s="369"/>
      <c r="D404" s="389" t="str">
        <f t="shared" si="7"/>
        <v>Saturday</v>
      </c>
      <c r="E404" s="344" t="s">
        <v>162</v>
      </c>
      <c r="F404" s="370"/>
      <c r="G404" s="370"/>
      <c r="H404" s="357">
        <f t="shared" si="29"/>
        <v>0</v>
      </c>
      <c r="I404" s="346">
        <f t="shared" si="31"/>
        <v>0</v>
      </c>
      <c r="J404" s="354" t="s">
        <v>636</v>
      </c>
      <c r="M404" s="360">
        <f t="shared" si="12"/>
        <v>48127</v>
      </c>
      <c r="N404" s="360">
        <f t="shared" si="9"/>
        <v>48133</v>
      </c>
      <c r="O404" s="2">
        <f t="shared" si="10"/>
        <v>0</v>
      </c>
      <c r="P404" s="2">
        <f t="shared" si="11"/>
        <v>0</v>
      </c>
    </row>
    <row r="405">
      <c r="A405" s="344">
        <f t="shared" si="5"/>
        <v>850</v>
      </c>
      <c r="B405" s="344">
        <f t="shared" si="6"/>
        <v>90</v>
      </c>
      <c r="C405" s="369"/>
      <c r="D405" s="389" t="str">
        <f t="shared" si="7"/>
        <v>Saturday</v>
      </c>
      <c r="E405" s="344" t="s">
        <v>162</v>
      </c>
      <c r="F405" s="370"/>
      <c r="G405" s="370"/>
      <c r="H405" s="357">
        <f t="shared" si="29"/>
        <v>0</v>
      </c>
      <c r="I405" s="346">
        <f t="shared" si="31"/>
        <v>0</v>
      </c>
      <c r="J405" s="354" t="s">
        <v>636</v>
      </c>
      <c r="M405" s="360">
        <f t="shared" si="12"/>
        <v>48134</v>
      </c>
      <c r="N405" s="360">
        <f t="shared" si="9"/>
        <v>48140</v>
      </c>
      <c r="O405" s="2">
        <f t="shared" si="10"/>
        <v>0</v>
      </c>
      <c r="P405" s="2">
        <f t="shared" si="11"/>
        <v>0</v>
      </c>
    </row>
    <row r="406">
      <c r="A406" s="344">
        <f t="shared" si="5"/>
        <v>850</v>
      </c>
      <c r="B406" s="344">
        <f t="shared" si="6"/>
        <v>90</v>
      </c>
      <c r="C406" s="369"/>
      <c r="D406" s="389" t="str">
        <f t="shared" si="7"/>
        <v>Saturday</v>
      </c>
      <c r="E406" s="344" t="s">
        <v>162</v>
      </c>
      <c r="F406" s="370"/>
      <c r="G406" s="370"/>
      <c r="H406" s="357">
        <f t="shared" si="29"/>
        <v>0</v>
      </c>
      <c r="I406" s="346">
        <f t="shared" si="31"/>
        <v>0</v>
      </c>
      <c r="J406" s="354" t="s">
        <v>636</v>
      </c>
      <c r="M406" s="360">
        <f t="shared" si="12"/>
        <v>48141</v>
      </c>
      <c r="N406" s="360">
        <f t="shared" si="9"/>
        <v>48147</v>
      </c>
      <c r="O406" s="2">
        <f t="shared" si="10"/>
        <v>0</v>
      </c>
      <c r="P406" s="2">
        <f t="shared" si="11"/>
        <v>0</v>
      </c>
    </row>
    <row r="407">
      <c r="A407" s="344">
        <f t="shared" si="5"/>
        <v>850</v>
      </c>
      <c r="B407" s="344">
        <f t="shared" si="6"/>
        <v>90</v>
      </c>
      <c r="C407" s="369"/>
      <c r="D407" s="389" t="str">
        <f t="shared" si="7"/>
        <v>Saturday</v>
      </c>
      <c r="E407" s="344" t="s">
        <v>162</v>
      </c>
      <c r="F407" s="370"/>
      <c r="G407" s="370"/>
      <c r="H407" s="357">
        <f t="shared" si="29"/>
        <v>0</v>
      </c>
      <c r="I407" s="346">
        <f t="shared" si="31"/>
        <v>0</v>
      </c>
      <c r="J407" s="354" t="s">
        <v>636</v>
      </c>
      <c r="M407" s="360">
        <f t="shared" si="12"/>
        <v>48148</v>
      </c>
      <c r="N407" s="360">
        <f t="shared" si="9"/>
        <v>48154</v>
      </c>
      <c r="O407" s="2">
        <f t="shared" si="10"/>
        <v>0</v>
      </c>
      <c r="P407" s="2">
        <f t="shared" si="11"/>
        <v>0</v>
      </c>
    </row>
    <row r="408">
      <c r="A408" s="344">
        <f t="shared" si="5"/>
        <v>850</v>
      </c>
      <c r="B408" s="344">
        <f t="shared" si="6"/>
        <v>90</v>
      </c>
      <c r="C408" s="369"/>
      <c r="D408" s="389" t="str">
        <f t="shared" si="7"/>
        <v>Saturday</v>
      </c>
      <c r="E408" s="344" t="s">
        <v>162</v>
      </c>
      <c r="F408" s="370"/>
      <c r="G408" s="370"/>
      <c r="H408" s="357">
        <f t="shared" si="29"/>
        <v>0</v>
      </c>
      <c r="I408" s="346">
        <f t="shared" si="31"/>
        <v>0</v>
      </c>
      <c r="J408" s="354" t="s">
        <v>636</v>
      </c>
      <c r="M408" s="360">
        <f t="shared" si="12"/>
        <v>48155</v>
      </c>
      <c r="N408" s="360">
        <f t="shared" si="9"/>
        <v>48161</v>
      </c>
      <c r="O408" s="2">
        <f t="shared" si="10"/>
        <v>0</v>
      </c>
      <c r="P408" s="2">
        <f t="shared" si="11"/>
        <v>0</v>
      </c>
    </row>
    <row r="409">
      <c r="A409" s="344">
        <f t="shared" si="5"/>
        <v>850</v>
      </c>
      <c r="B409" s="344">
        <f t="shared" si="6"/>
        <v>90</v>
      </c>
      <c r="C409" s="369"/>
      <c r="D409" s="389" t="str">
        <f t="shared" si="7"/>
        <v>Saturday</v>
      </c>
      <c r="E409" s="344" t="s">
        <v>162</v>
      </c>
      <c r="F409" s="370"/>
      <c r="G409" s="370"/>
      <c r="H409" s="357">
        <f t="shared" si="29"/>
        <v>0</v>
      </c>
      <c r="I409" s="346">
        <f t="shared" si="31"/>
        <v>0</v>
      </c>
      <c r="J409" s="354" t="s">
        <v>636</v>
      </c>
      <c r="M409" s="360">
        <f t="shared" si="12"/>
        <v>48162</v>
      </c>
      <c r="N409" s="360">
        <f t="shared" si="9"/>
        <v>48168</v>
      </c>
      <c r="O409" s="2">
        <f t="shared" si="10"/>
        <v>0</v>
      </c>
      <c r="P409" s="2">
        <f t="shared" si="11"/>
        <v>0</v>
      </c>
    </row>
    <row r="410">
      <c r="A410" s="344">
        <f t="shared" si="5"/>
        <v>850</v>
      </c>
      <c r="B410" s="344">
        <f t="shared" si="6"/>
        <v>90</v>
      </c>
      <c r="C410" s="369"/>
      <c r="D410" s="389" t="str">
        <f t="shared" si="7"/>
        <v>Saturday</v>
      </c>
      <c r="E410" s="344" t="s">
        <v>162</v>
      </c>
      <c r="F410" s="370"/>
      <c r="G410" s="370"/>
      <c r="H410" s="357">
        <f t="shared" si="29"/>
        <v>0</v>
      </c>
      <c r="I410" s="346">
        <f t="shared" si="31"/>
        <v>0</v>
      </c>
      <c r="J410" s="354" t="s">
        <v>636</v>
      </c>
      <c r="M410" s="360">
        <f t="shared" si="12"/>
        <v>48169</v>
      </c>
      <c r="N410" s="360">
        <f t="shared" si="9"/>
        <v>48175</v>
      </c>
      <c r="O410" s="2">
        <f t="shared" si="10"/>
        <v>0</v>
      </c>
      <c r="P410" s="2">
        <f t="shared" si="11"/>
        <v>0</v>
      </c>
    </row>
    <row r="411">
      <c r="A411" s="344">
        <f t="shared" si="5"/>
        <v>850</v>
      </c>
      <c r="B411" s="344">
        <f t="shared" si="6"/>
        <v>90</v>
      </c>
      <c r="C411" s="369"/>
      <c r="D411" s="389" t="str">
        <f t="shared" si="7"/>
        <v>Saturday</v>
      </c>
      <c r="E411" s="344" t="s">
        <v>162</v>
      </c>
      <c r="F411" s="370"/>
      <c r="G411" s="370"/>
      <c r="H411" s="357">
        <f t="shared" si="29"/>
        <v>0</v>
      </c>
      <c r="I411" s="346">
        <f t="shared" si="31"/>
        <v>0</v>
      </c>
      <c r="J411" s="354" t="s">
        <v>636</v>
      </c>
      <c r="M411" s="360">
        <f t="shared" si="12"/>
        <v>48176</v>
      </c>
      <c r="N411" s="360">
        <f t="shared" si="9"/>
        <v>48182</v>
      </c>
      <c r="O411" s="2">
        <f t="shared" si="10"/>
        <v>0</v>
      </c>
      <c r="P411" s="2">
        <f t="shared" si="11"/>
        <v>0</v>
      </c>
    </row>
    <row r="412">
      <c r="A412" s="344">
        <f t="shared" si="5"/>
        <v>850</v>
      </c>
      <c r="B412" s="344">
        <f t="shared" si="6"/>
        <v>90</v>
      </c>
      <c r="C412" s="369"/>
      <c r="D412" s="389" t="str">
        <f t="shared" si="7"/>
        <v>Saturday</v>
      </c>
      <c r="E412" s="344" t="s">
        <v>162</v>
      </c>
      <c r="F412" s="370"/>
      <c r="G412" s="370"/>
      <c r="H412" s="357">
        <f t="shared" si="29"/>
        <v>0</v>
      </c>
      <c r="I412" s="346">
        <f t="shared" si="31"/>
        <v>0</v>
      </c>
      <c r="J412" s="354" t="s">
        <v>636</v>
      </c>
      <c r="M412" s="360">
        <f t="shared" si="12"/>
        <v>48183</v>
      </c>
      <c r="N412" s="360">
        <f t="shared" si="9"/>
        <v>48189</v>
      </c>
      <c r="O412" s="2">
        <f t="shared" si="10"/>
        <v>0</v>
      </c>
      <c r="P412" s="2">
        <f t="shared" si="11"/>
        <v>0</v>
      </c>
    </row>
    <row r="413">
      <c r="A413" s="344">
        <f t="shared" si="5"/>
        <v>850</v>
      </c>
      <c r="B413" s="344">
        <f t="shared" si="6"/>
        <v>90</v>
      </c>
      <c r="C413" s="369"/>
      <c r="D413" s="389" t="str">
        <f t="shared" si="7"/>
        <v>Saturday</v>
      </c>
      <c r="E413" s="344" t="s">
        <v>162</v>
      </c>
      <c r="F413" s="370"/>
      <c r="G413" s="370"/>
      <c r="H413" s="357">
        <f t="shared" si="29"/>
        <v>0</v>
      </c>
      <c r="I413" s="346">
        <f t="shared" si="31"/>
        <v>0</v>
      </c>
      <c r="J413" s="354" t="s">
        <v>636</v>
      </c>
      <c r="M413" s="360">
        <f t="shared" si="12"/>
        <v>48190</v>
      </c>
      <c r="N413" s="360">
        <f t="shared" si="9"/>
        <v>48196</v>
      </c>
      <c r="O413" s="2">
        <f t="shared" si="10"/>
        <v>0</v>
      </c>
      <c r="P413" s="2">
        <f t="shared" si="11"/>
        <v>0</v>
      </c>
    </row>
    <row r="414">
      <c r="A414" s="344">
        <f t="shared" si="5"/>
        <v>850</v>
      </c>
      <c r="B414" s="344">
        <f t="shared" si="6"/>
        <v>90</v>
      </c>
      <c r="C414" s="369"/>
      <c r="D414" s="389" t="str">
        <f t="shared" si="7"/>
        <v>Saturday</v>
      </c>
      <c r="E414" s="344" t="s">
        <v>162</v>
      </c>
      <c r="F414" s="370"/>
      <c r="G414" s="370"/>
      <c r="H414" s="357">
        <f t="shared" si="29"/>
        <v>0</v>
      </c>
      <c r="I414" s="346">
        <f t="shared" si="31"/>
        <v>0</v>
      </c>
      <c r="J414" s="354" t="s">
        <v>636</v>
      </c>
      <c r="M414" s="360">
        <f t="shared" si="12"/>
        <v>48197</v>
      </c>
      <c r="N414" s="360">
        <f t="shared" si="9"/>
        <v>48203</v>
      </c>
      <c r="O414" s="2">
        <f t="shared" si="10"/>
        <v>0</v>
      </c>
      <c r="P414" s="2">
        <f t="shared" si="11"/>
        <v>0</v>
      </c>
    </row>
    <row r="415">
      <c r="A415" s="344">
        <f t="shared" si="5"/>
        <v>850</v>
      </c>
      <c r="B415" s="344">
        <f t="shared" si="6"/>
        <v>90</v>
      </c>
      <c r="C415" s="369"/>
      <c r="D415" s="389" t="str">
        <f t="shared" si="7"/>
        <v>Saturday</v>
      </c>
      <c r="E415" s="344" t="s">
        <v>162</v>
      </c>
      <c r="F415" s="370"/>
      <c r="G415" s="370"/>
      <c r="H415" s="357">
        <f t="shared" si="29"/>
        <v>0</v>
      </c>
      <c r="I415" s="346">
        <f t="shared" si="31"/>
        <v>0</v>
      </c>
      <c r="J415" s="354" t="s">
        <v>636</v>
      </c>
      <c r="M415" s="360">
        <f t="shared" si="12"/>
        <v>48204</v>
      </c>
      <c r="N415" s="360">
        <f t="shared" si="9"/>
        <v>48210</v>
      </c>
      <c r="O415" s="2">
        <f t="shared" si="10"/>
        <v>0</v>
      </c>
      <c r="P415" s="2">
        <f t="shared" si="11"/>
        <v>0</v>
      </c>
    </row>
    <row r="416">
      <c r="A416" s="344">
        <f t="shared" si="5"/>
        <v>850</v>
      </c>
      <c r="B416" s="344">
        <f t="shared" si="6"/>
        <v>90</v>
      </c>
      <c r="C416" s="369"/>
      <c r="D416" s="389" t="str">
        <f t="shared" si="7"/>
        <v>Saturday</v>
      </c>
      <c r="E416" s="344" t="s">
        <v>162</v>
      </c>
      <c r="F416" s="370"/>
      <c r="G416" s="370"/>
      <c r="H416" s="357">
        <f t="shared" si="29"/>
        <v>0</v>
      </c>
      <c r="I416" s="346">
        <f t="shared" si="31"/>
        <v>0</v>
      </c>
      <c r="J416" s="354" t="s">
        <v>636</v>
      </c>
      <c r="M416" s="360">
        <f t="shared" si="12"/>
        <v>48211</v>
      </c>
      <c r="N416" s="360">
        <f t="shared" si="9"/>
        <v>48217</v>
      </c>
      <c r="O416" s="2">
        <f t="shared" si="10"/>
        <v>0</v>
      </c>
      <c r="P416" s="2">
        <f t="shared" si="11"/>
        <v>0</v>
      </c>
    </row>
    <row r="417">
      <c r="A417" s="344">
        <f t="shared" si="5"/>
        <v>850</v>
      </c>
      <c r="B417" s="344">
        <f t="shared" si="6"/>
        <v>90</v>
      </c>
      <c r="C417" s="369"/>
      <c r="D417" s="389" t="str">
        <f t="shared" si="7"/>
        <v>Saturday</v>
      </c>
      <c r="E417" s="344" t="s">
        <v>162</v>
      </c>
      <c r="F417" s="370"/>
      <c r="G417" s="370"/>
      <c r="H417" s="357">
        <f t="shared" si="29"/>
        <v>0</v>
      </c>
      <c r="I417" s="346">
        <f t="shared" si="31"/>
        <v>0</v>
      </c>
      <c r="J417" s="354" t="s">
        <v>636</v>
      </c>
      <c r="M417" s="360">
        <f t="shared" si="12"/>
        <v>48218</v>
      </c>
      <c r="N417" s="360">
        <f t="shared" si="9"/>
        <v>48224</v>
      </c>
      <c r="O417" s="2">
        <f t="shared" si="10"/>
        <v>0</v>
      </c>
      <c r="P417" s="2">
        <f t="shared" si="11"/>
        <v>0</v>
      </c>
    </row>
    <row r="418">
      <c r="A418" s="344">
        <f t="shared" si="5"/>
        <v>850</v>
      </c>
      <c r="B418" s="344">
        <f t="shared" si="6"/>
        <v>90</v>
      </c>
      <c r="C418" s="369"/>
      <c r="D418" s="389" t="str">
        <f t="shared" si="7"/>
        <v>Saturday</v>
      </c>
      <c r="E418" s="344" t="s">
        <v>162</v>
      </c>
      <c r="F418" s="370"/>
      <c r="G418" s="370"/>
      <c r="H418" s="357">
        <f t="shared" si="29"/>
        <v>0</v>
      </c>
      <c r="I418" s="346">
        <f t="shared" si="31"/>
        <v>0</v>
      </c>
      <c r="J418" s="354" t="s">
        <v>636</v>
      </c>
      <c r="M418" s="360">
        <f t="shared" si="12"/>
        <v>48225</v>
      </c>
      <c r="N418" s="360">
        <f t="shared" si="9"/>
        <v>48231</v>
      </c>
      <c r="O418" s="2">
        <f t="shared" si="10"/>
        <v>0</v>
      </c>
      <c r="P418" s="2">
        <f t="shared" si="11"/>
        <v>0</v>
      </c>
    </row>
    <row r="419">
      <c r="A419" s="344">
        <f t="shared" si="5"/>
        <v>850</v>
      </c>
      <c r="B419" s="344">
        <f t="shared" si="6"/>
        <v>90</v>
      </c>
      <c r="C419" s="369"/>
      <c r="D419" s="389" t="str">
        <f t="shared" si="7"/>
        <v>Saturday</v>
      </c>
      <c r="E419" s="344" t="s">
        <v>162</v>
      </c>
      <c r="F419" s="370"/>
      <c r="G419" s="370"/>
      <c r="H419" s="357">
        <f t="shared" si="29"/>
        <v>0</v>
      </c>
      <c r="I419" s="346">
        <f t="shared" si="31"/>
        <v>0</v>
      </c>
      <c r="J419" s="354" t="s">
        <v>636</v>
      </c>
      <c r="M419" s="360">
        <f t="shared" si="12"/>
        <v>48232</v>
      </c>
      <c r="N419" s="360">
        <f t="shared" si="9"/>
        <v>48238</v>
      </c>
      <c r="O419" s="2">
        <f t="shared" si="10"/>
        <v>0</v>
      </c>
      <c r="P419" s="2">
        <f t="shared" si="11"/>
        <v>0</v>
      </c>
    </row>
    <row r="420">
      <c r="A420" s="344">
        <f t="shared" si="5"/>
        <v>850</v>
      </c>
      <c r="B420" s="344">
        <f t="shared" si="6"/>
        <v>90</v>
      </c>
      <c r="C420" s="369"/>
      <c r="D420" s="389" t="str">
        <f t="shared" si="7"/>
        <v>Saturday</v>
      </c>
      <c r="E420" s="344" t="s">
        <v>162</v>
      </c>
      <c r="F420" s="370"/>
      <c r="G420" s="370"/>
      <c r="H420" s="357">
        <f t="shared" si="29"/>
        <v>0</v>
      </c>
      <c r="I420" s="346">
        <f t="shared" si="31"/>
        <v>0</v>
      </c>
      <c r="J420" s="354" t="s">
        <v>636</v>
      </c>
      <c r="M420" s="360">
        <f t="shared" si="12"/>
        <v>48239</v>
      </c>
      <c r="N420" s="360">
        <f t="shared" si="9"/>
        <v>48245</v>
      </c>
      <c r="O420" s="2">
        <f t="shared" si="10"/>
        <v>0</v>
      </c>
      <c r="P420" s="2">
        <f t="shared" si="11"/>
        <v>0</v>
      </c>
    </row>
    <row r="421">
      <c r="A421" s="344">
        <f t="shared" si="5"/>
        <v>850</v>
      </c>
      <c r="B421" s="344">
        <f t="shared" si="6"/>
        <v>90</v>
      </c>
      <c r="C421" s="369"/>
      <c r="D421" s="389" t="str">
        <f t="shared" si="7"/>
        <v>Saturday</v>
      </c>
      <c r="E421" s="344" t="s">
        <v>162</v>
      </c>
      <c r="F421" s="370"/>
      <c r="G421" s="370"/>
      <c r="H421" s="357">
        <f t="shared" si="29"/>
        <v>0</v>
      </c>
      <c r="I421" s="346">
        <f t="shared" si="31"/>
        <v>0</v>
      </c>
      <c r="J421" s="354" t="s">
        <v>636</v>
      </c>
      <c r="M421" s="360">
        <f t="shared" si="12"/>
        <v>48246</v>
      </c>
      <c r="N421" s="360">
        <f t="shared" si="9"/>
        <v>48252</v>
      </c>
      <c r="O421" s="2">
        <f t="shared" si="10"/>
        <v>0</v>
      </c>
      <c r="P421" s="2">
        <f t="shared" si="11"/>
        <v>0</v>
      </c>
    </row>
    <row r="422">
      <c r="A422" s="344">
        <f t="shared" si="5"/>
        <v>850</v>
      </c>
      <c r="B422" s="344">
        <f t="shared" si="6"/>
        <v>90</v>
      </c>
      <c r="C422" s="369"/>
      <c r="D422" s="389" t="str">
        <f t="shared" si="7"/>
        <v>Saturday</v>
      </c>
      <c r="E422" s="344" t="s">
        <v>162</v>
      </c>
      <c r="F422" s="370"/>
      <c r="G422" s="370"/>
      <c r="H422" s="357">
        <f t="shared" si="29"/>
        <v>0</v>
      </c>
      <c r="I422" s="346">
        <f t="shared" si="31"/>
        <v>0</v>
      </c>
      <c r="J422" s="354" t="s">
        <v>636</v>
      </c>
      <c r="M422" s="360">
        <f t="shared" si="12"/>
        <v>48253</v>
      </c>
      <c r="N422" s="360">
        <f t="shared" si="9"/>
        <v>48259</v>
      </c>
      <c r="O422" s="2">
        <f t="shared" si="10"/>
        <v>0</v>
      </c>
      <c r="P422" s="2">
        <f t="shared" si="11"/>
        <v>0</v>
      </c>
    </row>
    <row r="423">
      <c r="A423" s="344">
        <f t="shared" si="5"/>
        <v>850</v>
      </c>
      <c r="B423" s="344">
        <f t="shared" si="6"/>
        <v>90</v>
      </c>
      <c r="C423" s="369"/>
      <c r="D423" s="389" t="str">
        <f t="shared" si="7"/>
        <v>Saturday</v>
      </c>
      <c r="E423" s="344" t="s">
        <v>162</v>
      </c>
      <c r="F423" s="370"/>
      <c r="G423" s="370"/>
      <c r="H423" s="357">
        <f t="shared" si="29"/>
        <v>0</v>
      </c>
      <c r="I423" s="346">
        <f t="shared" si="31"/>
        <v>0</v>
      </c>
      <c r="J423" s="354" t="s">
        <v>636</v>
      </c>
      <c r="M423" s="360">
        <f t="shared" si="12"/>
        <v>48260</v>
      </c>
      <c r="N423" s="360">
        <f t="shared" si="9"/>
        <v>48266</v>
      </c>
      <c r="O423" s="2">
        <f t="shared" si="10"/>
        <v>0</v>
      </c>
      <c r="P423" s="2">
        <f t="shared" si="11"/>
        <v>0</v>
      </c>
    </row>
    <row r="424">
      <c r="A424" s="344">
        <f t="shared" si="5"/>
        <v>850</v>
      </c>
      <c r="B424" s="344">
        <f t="shared" si="6"/>
        <v>90</v>
      </c>
      <c r="C424" s="369"/>
      <c r="D424" s="389" t="str">
        <f t="shared" si="7"/>
        <v>Saturday</v>
      </c>
      <c r="E424" s="344" t="s">
        <v>162</v>
      </c>
      <c r="F424" s="370"/>
      <c r="G424" s="370"/>
      <c r="H424" s="357">
        <f t="shared" si="29"/>
        <v>0</v>
      </c>
      <c r="I424" s="346">
        <f t="shared" si="31"/>
        <v>0</v>
      </c>
      <c r="J424" s="354" t="s">
        <v>636</v>
      </c>
      <c r="M424" s="360">
        <f t="shared" si="12"/>
        <v>48267</v>
      </c>
      <c r="N424" s="360">
        <f t="shared" si="9"/>
        <v>48273</v>
      </c>
      <c r="O424" s="2">
        <f t="shared" si="10"/>
        <v>0</v>
      </c>
      <c r="P424" s="2">
        <f t="shared" si="11"/>
        <v>0</v>
      </c>
    </row>
    <row r="425">
      <c r="A425" s="344">
        <f t="shared" si="5"/>
        <v>850</v>
      </c>
      <c r="B425" s="344">
        <f t="shared" si="6"/>
        <v>90</v>
      </c>
      <c r="C425" s="369"/>
      <c r="D425" s="389" t="str">
        <f t="shared" si="7"/>
        <v>Saturday</v>
      </c>
      <c r="E425" s="344" t="s">
        <v>162</v>
      </c>
      <c r="F425" s="370"/>
      <c r="G425" s="370"/>
      <c r="H425" s="357">
        <f t="shared" si="29"/>
        <v>0</v>
      </c>
      <c r="I425" s="346">
        <f t="shared" si="31"/>
        <v>0</v>
      </c>
      <c r="J425" s="354" t="s">
        <v>636</v>
      </c>
      <c r="M425" s="360">
        <f t="shared" si="12"/>
        <v>48274</v>
      </c>
      <c r="N425" s="360">
        <f t="shared" si="9"/>
        <v>48280</v>
      </c>
      <c r="O425" s="2">
        <f t="shared" si="10"/>
        <v>0</v>
      </c>
      <c r="P425" s="2">
        <f t="shared" si="11"/>
        <v>0</v>
      </c>
    </row>
    <row r="426">
      <c r="A426" s="344">
        <f t="shared" si="5"/>
        <v>850</v>
      </c>
      <c r="B426" s="344">
        <f t="shared" si="6"/>
        <v>90</v>
      </c>
      <c r="C426" s="369"/>
      <c r="D426" s="389" t="str">
        <f t="shared" si="7"/>
        <v>Saturday</v>
      </c>
      <c r="E426" s="344" t="s">
        <v>162</v>
      </c>
      <c r="F426" s="370"/>
      <c r="G426" s="370"/>
      <c r="H426" s="357">
        <f t="shared" si="29"/>
        <v>0</v>
      </c>
      <c r="I426" s="346">
        <f t="shared" si="31"/>
        <v>0</v>
      </c>
      <c r="J426" s="354" t="s">
        <v>636</v>
      </c>
      <c r="M426" s="360">
        <f t="shared" si="12"/>
        <v>48281</v>
      </c>
      <c r="N426" s="360">
        <f t="shared" si="9"/>
        <v>48287</v>
      </c>
      <c r="O426" s="2">
        <f t="shared" si="10"/>
        <v>0</v>
      </c>
      <c r="P426" s="2">
        <f t="shared" si="11"/>
        <v>0</v>
      </c>
    </row>
    <row r="427">
      <c r="A427" s="344">
        <f t="shared" si="5"/>
        <v>850</v>
      </c>
      <c r="B427" s="344">
        <f t="shared" si="6"/>
        <v>90</v>
      </c>
      <c r="C427" s="369"/>
      <c r="D427" s="389" t="str">
        <f t="shared" si="7"/>
        <v>Saturday</v>
      </c>
      <c r="E427" s="344" t="s">
        <v>162</v>
      </c>
      <c r="F427" s="370"/>
      <c r="G427" s="370"/>
      <c r="H427" s="357">
        <f t="shared" si="29"/>
        <v>0</v>
      </c>
      <c r="I427" s="346">
        <f t="shared" si="31"/>
        <v>0</v>
      </c>
      <c r="J427" s="354" t="s">
        <v>636</v>
      </c>
      <c r="M427" s="360">
        <f t="shared" si="12"/>
        <v>48288</v>
      </c>
      <c r="N427" s="360">
        <f t="shared" si="9"/>
        <v>48294</v>
      </c>
      <c r="O427" s="2">
        <f t="shared" si="10"/>
        <v>0</v>
      </c>
      <c r="P427" s="2">
        <f t="shared" si="11"/>
        <v>0</v>
      </c>
    </row>
    <row r="428">
      <c r="A428" s="344">
        <f t="shared" si="5"/>
        <v>850</v>
      </c>
      <c r="B428" s="344">
        <f t="shared" si="6"/>
        <v>90</v>
      </c>
      <c r="C428" s="369"/>
      <c r="D428" s="389" t="str">
        <f t="shared" si="7"/>
        <v>Saturday</v>
      </c>
      <c r="E428" s="344" t="s">
        <v>162</v>
      </c>
      <c r="F428" s="370"/>
      <c r="G428" s="370"/>
      <c r="H428" s="357">
        <f t="shared" si="29"/>
        <v>0</v>
      </c>
      <c r="I428" s="346">
        <f t="shared" si="31"/>
        <v>0</v>
      </c>
      <c r="J428" s="354" t="s">
        <v>636</v>
      </c>
      <c r="M428" s="360">
        <f t="shared" si="12"/>
        <v>48295</v>
      </c>
      <c r="N428" s="360">
        <f t="shared" si="9"/>
        <v>48301</v>
      </c>
      <c r="O428" s="2">
        <f t="shared" si="10"/>
        <v>0</v>
      </c>
      <c r="P428" s="2">
        <f t="shared" si="11"/>
        <v>0</v>
      </c>
    </row>
    <row r="429">
      <c r="A429" s="344">
        <f t="shared" si="5"/>
        <v>850</v>
      </c>
      <c r="B429" s="344">
        <f t="shared" si="6"/>
        <v>90</v>
      </c>
      <c r="C429" s="369"/>
      <c r="D429" s="389" t="str">
        <f t="shared" si="7"/>
        <v>Saturday</v>
      </c>
      <c r="E429" s="344" t="s">
        <v>162</v>
      </c>
      <c r="F429" s="370"/>
      <c r="G429" s="370"/>
      <c r="H429" s="357">
        <f t="shared" si="29"/>
        <v>0</v>
      </c>
      <c r="I429" s="346">
        <f t="shared" si="31"/>
        <v>0</v>
      </c>
      <c r="J429" s="354" t="s">
        <v>636</v>
      </c>
      <c r="M429" s="360">
        <f t="shared" si="12"/>
        <v>48302</v>
      </c>
      <c r="N429" s="360">
        <f t="shared" si="9"/>
        <v>48308</v>
      </c>
      <c r="O429" s="2">
        <f t="shared" si="10"/>
        <v>0</v>
      </c>
      <c r="P429" s="2">
        <f t="shared" si="11"/>
        <v>0</v>
      </c>
    </row>
    <row r="430">
      <c r="A430" s="344">
        <f t="shared" si="5"/>
        <v>850</v>
      </c>
      <c r="B430" s="344">
        <f t="shared" si="6"/>
        <v>90</v>
      </c>
      <c r="C430" s="369"/>
      <c r="D430" s="389" t="str">
        <f t="shared" si="7"/>
        <v>Saturday</v>
      </c>
      <c r="E430" s="344" t="s">
        <v>162</v>
      </c>
      <c r="F430" s="370"/>
      <c r="G430" s="370"/>
      <c r="H430" s="357">
        <f t="shared" si="29"/>
        <v>0</v>
      </c>
      <c r="I430" s="346">
        <f t="shared" si="31"/>
        <v>0</v>
      </c>
      <c r="J430" s="354" t="s">
        <v>636</v>
      </c>
      <c r="M430" s="360">
        <f t="shared" si="12"/>
        <v>48309</v>
      </c>
      <c r="N430" s="360">
        <f t="shared" si="9"/>
        <v>48315</v>
      </c>
      <c r="O430" s="2">
        <f t="shared" si="10"/>
        <v>0</v>
      </c>
      <c r="P430" s="2">
        <f t="shared" si="11"/>
        <v>0</v>
      </c>
    </row>
    <row r="431">
      <c r="A431" s="344">
        <f t="shared" si="5"/>
        <v>850</v>
      </c>
      <c r="B431" s="344">
        <f t="shared" si="6"/>
        <v>90</v>
      </c>
      <c r="C431" s="369"/>
      <c r="D431" s="389" t="str">
        <f t="shared" si="7"/>
        <v>Saturday</v>
      </c>
      <c r="E431" s="344" t="s">
        <v>162</v>
      </c>
      <c r="F431" s="370"/>
      <c r="G431" s="370"/>
      <c r="H431" s="357">
        <f t="shared" si="29"/>
        <v>0</v>
      </c>
      <c r="I431" s="346">
        <f t="shared" si="31"/>
        <v>0</v>
      </c>
      <c r="J431" s="354" t="s">
        <v>636</v>
      </c>
      <c r="M431" s="360">
        <f t="shared" si="12"/>
        <v>48316</v>
      </c>
      <c r="N431" s="360">
        <f t="shared" si="9"/>
        <v>48322</v>
      </c>
      <c r="O431" s="2">
        <f t="shared" si="10"/>
        <v>0</v>
      </c>
      <c r="P431" s="2">
        <f t="shared" si="11"/>
        <v>0</v>
      </c>
    </row>
    <row r="432">
      <c r="A432" s="344">
        <f t="shared" si="5"/>
        <v>850</v>
      </c>
      <c r="B432" s="344">
        <f t="shared" si="6"/>
        <v>90</v>
      </c>
      <c r="C432" s="369"/>
      <c r="D432" s="389" t="str">
        <f t="shared" si="7"/>
        <v>Saturday</v>
      </c>
      <c r="E432" s="344" t="s">
        <v>162</v>
      </c>
      <c r="F432" s="370"/>
      <c r="G432" s="370"/>
      <c r="H432" s="357">
        <f t="shared" si="29"/>
        <v>0</v>
      </c>
      <c r="I432" s="346">
        <f t="shared" si="31"/>
        <v>0</v>
      </c>
      <c r="J432" s="354" t="s">
        <v>636</v>
      </c>
      <c r="M432" s="360">
        <f t="shared" si="12"/>
        <v>48323</v>
      </c>
      <c r="N432" s="360">
        <f t="shared" si="9"/>
        <v>48329</v>
      </c>
      <c r="O432" s="2">
        <f t="shared" si="10"/>
        <v>0</v>
      </c>
      <c r="P432" s="2">
        <f t="shared" si="11"/>
        <v>0</v>
      </c>
    </row>
    <row r="433">
      <c r="A433" s="344">
        <f t="shared" si="5"/>
        <v>850</v>
      </c>
      <c r="B433" s="344">
        <f t="shared" si="6"/>
        <v>90</v>
      </c>
      <c r="C433" s="369"/>
      <c r="D433" s="389" t="str">
        <f t="shared" si="7"/>
        <v>Saturday</v>
      </c>
      <c r="E433" s="344" t="s">
        <v>162</v>
      </c>
      <c r="F433" s="370"/>
      <c r="G433" s="370"/>
      <c r="H433" s="357">
        <f t="shared" si="29"/>
        <v>0</v>
      </c>
      <c r="I433" s="346">
        <f t="shared" si="31"/>
        <v>0</v>
      </c>
      <c r="J433" s="354" t="s">
        <v>636</v>
      </c>
      <c r="M433" s="360">
        <f t="shared" si="12"/>
        <v>48330</v>
      </c>
      <c r="N433" s="360">
        <f t="shared" si="9"/>
        <v>48336</v>
      </c>
      <c r="O433" s="2">
        <f t="shared" si="10"/>
        <v>0</v>
      </c>
      <c r="P433" s="2">
        <f t="shared" si="11"/>
        <v>0</v>
      </c>
    </row>
    <row r="434">
      <c r="A434" s="344">
        <f t="shared" si="5"/>
        <v>850</v>
      </c>
      <c r="B434" s="344">
        <f t="shared" si="6"/>
        <v>90</v>
      </c>
      <c r="C434" s="369"/>
      <c r="D434" s="389" t="str">
        <f t="shared" si="7"/>
        <v>Saturday</v>
      </c>
      <c r="E434" s="344" t="s">
        <v>162</v>
      </c>
      <c r="F434" s="370"/>
      <c r="G434" s="370"/>
      <c r="H434" s="357">
        <f t="shared" si="29"/>
        <v>0</v>
      </c>
      <c r="I434" s="346">
        <f t="shared" si="31"/>
        <v>0</v>
      </c>
      <c r="J434" s="354" t="s">
        <v>636</v>
      </c>
      <c r="M434" s="360">
        <f t="shared" si="12"/>
        <v>48337</v>
      </c>
      <c r="N434" s="360">
        <f t="shared" si="9"/>
        <v>48343</v>
      </c>
      <c r="O434" s="2">
        <f t="shared" si="10"/>
        <v>0</v>
      </c>
      <c r="P434" s="2">
        <f t="shared" si="11"/>
        <v>0</v>
      </c>
    </row>
    <row r="435">
      <c r="A435" s="344">
        <f t="shared" si="5"/>
        <v>850</v>
      </c>
      <c r="B435" s="344">
        <f t="shared" si="6"/>
        <v>90</v>
      </c>
      <c r="C435" s="369"/>
      <c r="D435" s="389" t="str">
        <f t="shared" si="7"/>
        <v>Saturday</v>
      </c>
      <c r="E435" s="344" t="s">
        <v>162</v>
      </c>
      <c r="F435" s="370"/>
      <c r="G435" s="370"/>
      <c r="H435" s="357">
        <f t="shared" si="29"/>
        <v>0</v>
      </c>
      <c r="I435" s="346">
        <f t="shared" si="31"/>
        <v>0</v>
      </c>
      <c r="J435" s="354" t="s">
        <v>636</v>
      </c>
      <c r="M435" s="360">
        <f t="shared" si="12"/>
        <v>48344</v>
      </c>
      <c r="N435" s="360">
        <f t="shared" si="9"/>
        <v>48350</v>
      </c>
      <c r="O435" s="2">
        <f t="shared" si="10"/>
        <v>0</v>
      </c>
      <c r="P435" s="2">
        <f t="shared" si="11"/>
        <v>0</v>
      </c>
    </row>
    <row r="436">
      <c r="A436" s="344">
        <f t="shared" si="5"/>
        <v>850</v>
      </c>
      <c r="B436" s="344">
        <f t="shared" si="6"/>
        <v>90</v>
      </c>
      <c r="C436" s="369"/>
      <c r="D436" s="389" t="str">
        <f t="shared" si="7"/>
        <v>Saturday</v>
      </c>
      <c r="E436" s="344" t="s">
        <v>162</v>
      </c>
      <c r="F436" s="370"/>
      <c r="G436" s="370"/>
      <c r="H436" s="357">
        <f t="shared" si="29"/>
        <v>0</v>
      </c>
      <c r="I436" s="346">
        <f t="shared" si="31"/>
        <v>0</v>
      </c>
      <c r="J436" s="354" t="s">
        <v>636</v>
      </c>
      <c r="M436" s="360">
        <f t="shared" si="12"/>
        <v>48351</v>
      </c>
      <c r="N436" s="360">
        <f t="shared" si="9"/>
        <v>48357</v>
      </c>
      <c r="O436" s="2">
        <f t="shared" si="10"/>
        <v>0</v>
      </c>
      <c r="P436" s="2">
        <f t="shared" si="11"/>
        <v>0</v>
      </c>
    </row>
    <row r="437">
      <c r="A437" s="344">
        <f t="shared" si="5"/>
        <v>850</v>
      </c>
      <c r="B437" s="344">
        <f t="shared" si="6"/>
        <v>90</v>
      </c>
      <c r="C437" s="369"/>
      <c r="D437" s="389" t="str">
        <f t="shared" si="7"/>
        <v>Saturday</v>
      </c>
      <c r="E437" s="344" t="s">
        <v>162</v>
      </c>
      <c r="F437" s="370"/>
      <c r="G437" s="370"/>
      <c r="H437" s="357">
        <f t="shared" si="29"/>
        <v>0</v>
      </c>
      <c r="I437" s="346">
        <f t="shared" si="31"/>
        <v>0</v>
      </c>
      <c r="J437" s="354" t="s">
        <v>636</v>
      </c>
      <c r="M437" s="360">
        <f t="shared" si="12"/>
        <v>48358</v>
      </c>
      <c r="N437" s="360">
        <f t="shared" si="9"/>
        <v>48364</v>
      </c>
      <c r="O437" s="2">
        <f t="shared" si="10"/>
        <v>0</v>
      </c>
      <c r="P437" s="2">
        <f t="shared" si="11"/>
        <v>0</v>
      </c>
    </row>
    <row r="438">
      <c r="A438" s="344">
        <f t="shared" si="5"/>
        <v>850</v>
      </c>
      <c r="B438" s="344">
        <f t="shared" si="6"/>
        <v>90</v>
      </c>
      <c r="C438" s="369"/>
      <c r="D438" s="389" t="str">
        <f t="shared" si="7"/>
        <v>Saturday</v>
      </c>
      <c r="E438" s="344" t="s">
        <v>162</v>
      </c>
      <c r="F438" s="370"/>
      <c r="G438" s="370"/>
      <c r="H438" s="357">
        <f t="shared" si="29"/>
        <v>0</v>
      </c>
      <c r="I438" s="346">
        <f t="shared" si="31"/>
        <v>0</v>
      </c>
      <c r="J438" s="354" t="s">
        <v>636</v>
      </c>
      <c r="M438" s="360">
        <f t="shared" si="12"/>
        <v>48365</v>
      </c>
      <c r="N438" s="360">
        <f t="shared" si="9"/>
        <v>48371</v>
      </c>
      <c r="O438" s="2">
        <f t="shared" si="10"/>
        <v>0</v>
      </c>
      <c r="P438" s="2">
        <f t="shared" si="11"/>
        <v>0</v>
      </c>
    </row>
    <row r="439">
      <c r="A439" s="344">
        <f t="shared" si="5"/>
        <v>850</v>
      </c>
      <c r="B439" s="344">
        <f t="shared" si="6"/>
        <v>90</v>
      </c>
      <c r="C439" s="369"/>
      <c r="D439" s="389" t="str">
        <f t="shared" si="7"/>
        <v>Saturday</v>
      </c>
      <c r="E439" s="344" t="s">
        <v>162</v>
      </c>
      <c r="F439" s="370"/>
      <c r="G439" s="370"/>
      <c r="H439" s="357">
        <f t="shared" si="29"/>
        <v>0</v>
      </c>
      <c r="I439" s="346">
        <f t="shared" si="31"/>
        <v>0</v>
      </c>
      <c r="J439" s="354" t="s">
        <v>636</v>
      </c>
      <c r="M439" s="360">
        <f t="shared" si="12"/>
        <v>48372</v>
      </c>
      <c r="N439" s="360">
        <f t="shared" si="9"/>
        <v>48378</v>
      </c>
      <c r="O439" s="2">
        <f t="shared" si="10"/>
        <v>0</v>
      </c>
      <c r="P439" s="2">
        <f t="shared" si="11"/>
        <v>0</v>
      </c>
    </row>
    <row r="440">
      <c r="A440" s="344">
        <f t="shared" si="5"/>
        <v>850</v>
      </c>
      <c r="B440" s="344">
        <f t="shared" si="6"/>
        <v>90</v>
      </c>
      <c r="C440" s="369"/>
      <c r="D440" s="389" t="str">
        <f t="shared" si="7"/>
        <v>Saturday</v>
      </c>
      <c r="E440" s="344" t="s">
        <v>162</v>
      </c>
      <c r="F440" s="370"/>
      <c r="G440" s="370"/>
      <c r="H440" s="357">
        <f t="shared" si="29"/>
        <v>0</v>
      </c>
      <c r="I440" s="346">
        <f t="shared" si="31"/>
        <v>0</v>
      </c>
      <c r="J440" s="354" t="s">
        <v>636</v>
      </c>
      <c r="M440" s="360">
        <f t="shared" si="12"/>
        <v>48379</v>
      </c>
      <c r="N440" s="360">
        <f t="shared" si="9"/>
        <v>48385</v>
      </c>
      <c r="O440" s="2">
        <f t="shared" si="10"/>
        <v>0</v>
      </c>
      <c r="P440" s="2">
        <f t="shared" si="11"/>
        <v>0</v>
      </c>
    </row>
    <row r="441">
      <c r="A441" s="344">
        <f t="shared" si="5"/>
        <v>850</v>
      </c>
      <c r="B441" s="344">
        <f t="shared" si="6"/>
        <v>90</v>
      </c>
      <c r="C441" s="369"/>
      <c r="D441" s="389" t="str">
        <f t="shared" si="7"/>
        <v>Saturday</v>
      </c>
      <c r="E441" s="344" t="s">
        <v>162</v>
      </c>
      <c r="F441" s="370"/>
      <c r="G441" s="370"/>
      <c r="H441" s="357">
        <f t="shared" si="29"/>
        <v>0</v>
      </c>
      <c r="I441" s="346">
        <f t="shared" si="31"/>
        <v>0</v>
      </c>
      <c r="J441" s="354" t="s">
        <v>636</v>
      </c>
      <c r="M441" s="360">
        <f t="shared" si="12"/>
        <v>48386</v>
      </c>
      <c r="N441" s="360">
        <f t="shared" si="9"/>
        <v>48392</v>
      </c>
      <c r="O441" s="2">
        <f t="shared" si="10"/>
        <v>0</v>
      </c>
      <c r="P441" s="2">
        <f t="shared" si="11"/>
        <v>0</v>
      </c>
    </row>
    <row r="442">
      <c r="A442" s="344">
        <f t="shared" si="5"/>
        <v>850</v>
      </c>
      <c r="B442" s="344">
        <f t="shared" si="6"/>
        <v>90</v>
      </c>
      <c r="C442" s="369"/>
      <c r="D442" s="389" t="str">
        <f t="shared" si="7"/>
        <v>Saturday</v>
      </c>
      <c r="E442" s="344" t="s">
        <v>162</v>
      </c>
      <c r="F442" s="370"/>
      <c r="G442" s="370"/>
      <c r="H442" s="357">
        <f t="shared" si="29"/>
        <v>0</v>
      </c>
      <c r="I442" s="346">
        <f t="shared" si="31"/>
        <v>0</v>
      </c>
      <c r="J442" s="354" t="s">
        <v>636</v>
      </c>
      <c r="M442" s="360">
        <f t="shared" si="12"/>
        <v>48393</v>
      </c>
      <c r="N442" s="360">
        <f t="shared" si="9"/>
        <v>48399</v>
      </c>
      <c r="O442" s="2">
        <f t="shared" si="10"/>
        <v>0</v>
      </c>
      <c r="P442" s="2">
        <f t="shared" si="11"/>
        <v>0</v>
      </c>
    </row>
    <row r="443">
      <c r="A443" s="344">
        <f t="shared" si="5"/>
        <v>850</v>
      </c>
      <c r="B443" s="344">
        <f t="shared" si="6"/>
        <v>90</v>
      </c>
      <c r="C443" s="369"/>
      <c r="D443" s="389" t="str">
        <f t="shared" si="7"/>
        <v>Saturday</v>
      </c>
      <c r="E443" s="344" t="s">
        <v>162</v>
      </c>
      <c r="F443" s="370"/>
      <c r="G443" s="370"/>
      <c r="H443" s="357">
        <f t="shared" si="29"/>
        <v>0</v>
      </c>
      <c r="I443" s="346">
        <f t="shared" si="31"/>
        <v>0</v>
      </c>
      <c r="J443" s="354" t="s">
        <v>636</v>
      </c>
      <c r="M443" s="360">
        <f t="shared" si="12"/>
        <v>48400</v>
      </c>
      <c r="N443" s="360">
        <f t="shared" si="9"/>
        <v>48406</v>
      </c>
      <c r="O443" s="2">
        <f t="shared" si="10"/>
        <v>0</v>
      </c>
      <c r="P443" s="2">
        <f t="shared" si="11"/>
        <v>0</v>
      </c>
    </row>
    <row r="444">
      <c r="A444" s="344">
        <f t="shared" si="5"/>
        <v>850</v>
      </c>
      <c r="B444" s="344">
        <f t="shared" si="6"/>
        <v>90</v>
      </c>
      <c r="C444" s="369"/>
      <c r="D444" s="389" t="str">
        <f t="shared" si="7"/>
        <v>Saturday</v>
      </c>
      <c r="E444" s="344" t="s">
        <v>162</v>
      </c>
      <c r="F444" s="370"/>
      <c r="G444" s="370"/>
      <c r="H444" s="357">
        <f t="shared" si="29"/>
        <v>0</v>
      </c>
      <c r="I444" s="346">
        <f t="shared" si="31"/>
        <v>0</v>
      </c>
      <c r="J444" s="354" t="s">
        <v>636</v>
      </c>
      <c r="M444" s="360">
        <f t="shared" si="12"/>
        <v>48407</v>
      </c>
      <c r="N444" s="360">
        <f t="shared" si="9"/>
        <v>48413</v>
      </c>
      <c r="O444" s="2">
        <f t="shared" si="10"/>
        <v>0</v>
      </c>
      <c r="P444" s="2">
        <f t="shared" si="11"/>
        <v>0</v>
      </c>
    </row>
    <row r="445">
      <c r="A445" s="344">
        <f t="shared" si="5"/>
        <v>850</v>
      </c>
      <c r="B445" s="344">
        <f t="shared" si="6"/>
        <v>90</v>
      </c>
      <c r="C445" s="369"/>
      <c r="D445" s="389" t="str">
        <f t="shared" si="7"/>
        <v>Saturday</v>
      </c>
      <c r="E445" s="344" t="s">
        <v>162</v>
      </c>
      <c r="F445" s="370"/>
      <c r="G445" s="370"/>
      <c r="H445" s="357">
        <f t="shared" si="29"/>
        <v>0</v>
      </c>
      <c r="I445" s="346">
        <f t="shared" si="31"/>
        <v>0</v>
      </c>
      <c r="J445" s="354" t="s">
        <v>636</v>
      </c>
      <c r="M445" s="360">
        <f t="shared" si="12"/>
        <v>48414</v>
      </c>
      <c r="N445" s="360">
        <f t="shared" si="9"/>
        <v>48420</v>
      </c>
      <c r="O445" s="2">
        <f t="shared" si="10"/>
        <v>0</v>
      </c>
      <c r="P445" s="2">
        <f t="shared" si="11"/>
        <v>0</v>
      </c>
    </row>
    <row r="446">
      <c r="A446" s="344">
        <f t="shared" si="5"/>
        <v>850</v>
      </c>
      <c r="B446" s="344">
        <f t="shared" si="6"/>
        <v>90</v>
      </c>
      <c r="C446" s="369"/>
      <c r="D446" s="389" t="str">
        <f t="shared" si="7"/>
        <v>Saturday</v>
      </c>
      <c r="E446" s="344" t="s">
        <v>162</v>
      </c>
      <c r="F446" s="370"/>
      <c r="G446" s="370"/>
      <c r="H446" s="357">
        <f t="shared" si="29"/>
        <v>0</v>
      </c>
      <c r="I446" s="346">
        <f t="shared" si="31"/>
        <v>0</v>
      </c>
      <c r="J446" s="354" t="s">
        <v>636</v>
      </c>
      <c r="M446" s="360">
        <f t="shared" si="12"/>
        <v>48421</v>
      </c>
      <c r="N446" s="360">
        <f t="shared" si="9"/>
        <v>48427</v>
      </c>
      <c r="O446" s="2">
        <f t="shared" si="10"/>
        <v>0</v>
      </c>
      <c r="P446" s="2">
        <f t="shared" si="11"/>
        <v>0</v>
      </c>
    </row>
    <row r="447">
      <c r="A447" s="344">
        <f t="shared" si="5"/>
        <v>850</v>
      </c>
      <c r="B447" s="344">
        <f t="shared" si="6"/>
        <v>90</v>
      </c>
      <c r="C447" s="369"/>
      <c r="D447" s="389" t="str">
        <f t="shared" si="7"/>
        <v>Saturday</v>
      </c>
      <c r="E447" s="344" t="s">
        <v>162</v>
      </c>
      <c r="F447" s="370"/>
      <c r="G447" s="370"/>
      <c r="H447" s="357">
        <f t="shared" si="29"/>
        <v>0</v>
      </c>
      <c r="I447" s="346">
        <f t="shared" si="31"/>
        <v>0</v>
      </c>
      <c r="J447" s="354" t="s">
        <v>636</v>
      </c>
      <c r="M447" s="360">
        <f t="shared" si="12"/>
        <v>48428</v>
      </c>
      <c r="N447" s="360">
        <f t="shared" si="9"/>
        <v>48434</v>
      </c>
      <c r="O447" s="2">
        <f t="shared" si="10"/>
        <v>0</v>
      </c>
      <c r="P447" s="2">
        <f t="shared" si="11"/>
        <v>0</v>
      </c>
    </row>
    <row r="448">
      <c r="A448" s="344">
        <f t="shared" si="5"/>
        <v>850</v>
      </c>
      <c r="B448" s="344">
        <f t="shared" si="6"/>
        <v>90</v>
      </c>
      <c r="C448" s="369"/>
      <c r="D448" s="389" t="str">
        <f t="shared" si="7"/>
        <v>Saturday</v>
      </c>
      <c r="E448" s="344" t="s">
        <v>162</v>
      </c>
      <c r="F448" s="370"/>
      <c r="G448" s="370"/>
      <c r="H448" s="357">
        <f t="shared" si="29"/>
        <v>0</v>
      </c>
      <c r="I448" s="346">
        <f t="shared" si="31"/>
        <v>0</v>
      </c>
      <c r="J448" s="354" t="s">
        <v>636</v>
      </c>
      <c r="M448" s="360">
        <f t="shared" si="12"/>
        <v>48435</v>
      </c>
      <c r="N448" s="360">
        <f t="shared" si="9"/>
        <v>48441</v>
      </c>
      <c r="O448" s="2">
        <f t="shared" si="10"/>
        <v>0</v>
      </c>
      <c r="P448" s="2">
        <f t="shared" si="11"/>
        <v>0</v>
      </c>
    </row>
    <row r="449">
      <c r="A449" s="344">
        <f t="shared" si="5"/>
        <v>850</v>
      </c>
      <c r="B449" s="344">
        <f t="shared" si="6"/>
        <v>90</v>
      </c>
      <c r="C449" s="369"/>
      <c r="D449" s="389" t="str">
        <f t="shared" si="7"/>
        <v>Saturday</v>
      </c>
      <c r="E449" s="344" t="s">
        <v>162</v>
      </c>
      <c r="F449" s="370"/>
      <c r="G449" s="370"/>
      <c r="H449" s="357">
        <f t="shared" si="29"/>
        <v>0</v>
      </c>
      <c r="I449" s="346">
        <f t="shared" si="31"/>
        <v>0</v>
      </c>
      <c r="J449" s="354" t="s">
        <v>636</v>
      </c>
      <c r="M449" s="360">
        <f t="shared" si="12"/>
        <v>48442</v>
      </c>
      <c r="N449" s="360">
        <f t="shared" si="9"/>
        <v>48448</v>
      </c>
      <c r="O449" s="2">
        <f t="shared" si="10"/>
        <v>0</v>
      </c>
      <c r="P449" s="2">
        <f t="shared" si="11"/>
        <v>0</v>
      </c>
    </row>
    <row r="450">
      <c r="A450" s="344">
        <f t="shared" si="5"/>
        <v>850</v>
      </c>
      <c r="B450" s="344">
        <f t="shared" si="6"/>
        <v>90</v>
      </c>
      <c r="C450" s="369"/>
      <c r="D450" s="389" t="str">
        <f t="shared" si="7"/>
        <v>Saturday</v>
      </c>
      <c r="E450" s="344" t="s">
        <v>162</v>
      </c>
      <c r="F450" s="370"/>
      <c r="G450" s="370"/>
      <c r="H450" s="357">
        <f t="shared" si="29"/>
        <v>0</v>
      </c>
      <c r="I450" s="346">
        <f t="shared" si="31"/>
        <v>0</v>
      </c>
      <c r="J450" s="354" t="s">
        <v>636</v>
      </c>
      <c r="M450" s="360">
        <f t="shared" si="12"/>
        <v>48449</v>
      </c>
      <c r="N450" s="360">
        <f t="shared" si="9"/>
        <v>48455</v>
      </c>
      <c r="O450" s="2">
        <f t="shared" si="10"/>
        <v>0</v>
      </c>
      <c r="P450" s="2">
        <f t="shared" si="11"/>
        <v>0</v>
      </c>
    </row>
    <row r="451">
      <c r="A451" s="344">
        <f t="shared" si="5"/>
        <v>850</v>
      </c>
      <c r="B451" s="344">
        <f t="shared" si="6"/>
        <v>90</v>
      </c>
      <c r="C451" s="369"/>
      <c r="D451" s="389" t="str">
        <f t="shared" si="7"/>
        <v>Saturday</v>
      </c>
      <c r="E451" s="344" t="s">
        <v>162</v>
      </c>
      <c r="F451" s="370"/>
      <c r="G451" s="370"/>
      <c r="H451" s="357">
        <f t="shared" si="29"/>
        <v>0</v>
      </c>
      <c r="I451" s="346">
        <f t="shared" si="31"/>
        <v>0</v>
      </c>
      <c r="J451" s="354" t="s">
        <v>636</v>
      </c>
      <c r="M451" s="360">
        <f t="shared" si="12"/>
        <v>48456</v>
      </c>
      <c r="N451" s="360">
        <f t="shared" si="9"/>
        <v>48462</v>
      </c>
      <c r="O451" s="2">
        <f t="shared" si="10"/>
        <v>0</v>
      </c>
      <c r="P451" s="2">
        <f t="shared" si="11"/>
        <v>0</v>
      </c>
    </row>
    <row r="452">
      <c r="A452" s="344">
        <f t="shared" si="5"/>
        <v>850</v>
      </c>
      <c r="B452" s="344">
        <f t="shared" si="6"/>
        <v>90</v>
      </c>
      <c r="C452" s="369"/>
      <c r="D452" s="389" t="str">
        <f t="shared" si="7"/>
        <v>Saturday</v>
      </c>
      <c r="E452" s="344" t="s">
        <v>162</v>
      </c>
      <c r="F452" s="370"/>
      <c r="G452" s="370"/>
      <c r="H452" s="357">
        <f t="shared" si="29"/>
        <v>0</v>
      </c>
      <c r="I452" s="346">
        <f t="shared" si="31"/>
        <v>0</v>
      </c>
      <c r="J452" s="354" t="s">
        <v>636</v>
      </c>
      <c r="M452" s="360">
        <f t="shared" si="12"/>
        <v>48463</v>
      </c>
      <c r="N452" s="360">
        <f t="shared" si="9"/>
        <v>48469</v>
      </c>
      <c r="O452" s="2">
        <f t="shared" si="10"/>
        <v>0</v>
      </c>
      <c r="P452" s="2">
        <f t="shared" si="11"/>
        <v>0</v>
      </c>
    </row>
    <row r="453">
      <c r="A453" s="344">
        <f t="shared" si="5"/>
        <v>850</v>
      </c>
      <c r="B453" s="344">
        <f t="shared" si="6"/>
        <v>90</v>
      </c>
      <c r="C453" s="369"/>
      <c r="D453" s="389" t="str">
        <f t="shared" si="7"/>
        <v>Saturday</v>
      </c>
      <c r="E453" s="344" t="s">
        <v>162</v>
      </c>
      <c r="F453" s="370"/>
      <c r="G453" s="370"/>
      <c r="H453" s="357">
        <f t="shared" si="29"/>
        <v>0</v>
      </c>
      <c r="I453" s="346">
        <f t="shared" si="31"/>
        <v>0</v>
      </c>
      <c r="J453" s="354" t="s">
        <v>636</v>
      </c>
      <c r="M453" s="360">
        <f t="shared" si="12"/>
        <v>48470</v>
      </c>
      <c r="N453" s="360">
        <f t="shared" si="9"/>
        <v>48476</v>
      </c>
      <c r="O453" s="2">
        <f t="shared" si="10"/>
        <v>0</v>
      </c>
      <c r="P453" s="2">
        <f t="shared" si="11"/>
        <v>0</v>
      </c>
    </row>
    <row r="454">
      <c r="A454" s="344">
        <f t="shared" si="5"/>
        <v>850</v>
      </c>
      <c r="B454" s="344">
        <f t="shared" si="6"/>
        <v>90</v>
      </c>
      <c r="C454" s="369"/>
      <c r="D454" s="389" t="str">
        <f t="shared" si="7"/>
        <v>Saturday</v>
      </c>
      <c r="E454" s="344" t="s">
        <v>162</v>
      </c>
      <c r="F454" s="370"/>
      <c r="G454" s="370"/>
      <c r="H454" s="357">
        <f t="shared" si="29"/>
        <v>0</v>
      </c>
      <c r="I454" s="346">
        <f t="shared" si="31"/>
        <v>0</v>
      </c>
      <c r="J454" s="354" t="s">
        <v>636</v>
      </c>
      <c r="M454" s="360">
        <f t="shared" si="12"/>
        <v>48477</v>
      </c>
      <c r="N454" s="360">
        <f t="shared" si="9"/>
        <v>48483</v>
      </c>
      <c r="O454" s="2">
        <f t="shared" si="10"/>
        <v>0</v>
      </c>
      <c r="P454" s="2">
        <f t="shared" si="11"/>
        <v>0</v>
      </c>
    </row>
    <row r="455">
      <c r="A455" s="344">
        <f t="shared" si="5"/>
        <v>850</v>
      </c>
      <c r="B455" s="344">
        <f t="shared" si="6"/>
        <v>90</v>
      </c>
      <c r="C455" s="369"/>
      <c r="D455" s="389" t="str">
        <f t="shared" si="7"/>
        <v>Saturday</v>
      </c>
      <c r="E455" s="344" t="s">
        <v>162</v>
      </c>
      <c r="F455" s="370"/>
      <c r="G455" s="370"/>
      <c r="H455" s="357">
        <f t="shared" si="29"/>
        <v>0</v>
      </c>
      <c r="I455" s="346">
        <f t="shared" si="31"/>
        <v>0</v>
      </c>
      <c r="J455" s="354" t="s">
        <v>636</v>
      </c>
      <c r="M455" s="360">
        <f t="shared" si="12"/>
        <v>48484</v>
      </c>
      <c r="N455" s="360">
        <f t="shared" si="9"/>
        <v>48490</v>
      </c>
      <c r="O455" s="2">
        <f t="shared" si="10"/>
        <v>0</v>
      </c>
      <c r="P455" s="2">
        <f t="shared" si="11"/>
        <v>0</v>
      </c>
    </row>
    <row r="456">
      <c r="A456" s="344">
        <f t="shared" si="5"/>
        <v>850</v>
      </c>
      <c r="B456" s="344">
        <f t="shared" si="6"/>
        <v>90</v>
      </c>
      <c r="C456" s="369"/>
      <c r="D456" s="389" t="str">
        <f t="shared" si="7"/>
        <v>Saturday</v>
      </c>
      <c r="E456" s="344" t="s">
        <v>162</v>
      </c>
      <c r="F456" s="370"/>
      <c r="G456" s="370"/>
      <c r="H456" s="357">
        <f t="shared" si="29"/>
        <v>0</v>
      </c>
      <c r="I456" s="346">
        <f t="shared" si="31"/>
        <v>0</v>
      </c>
      <c r="J456" s="354" t="s">
        <v>636</v>
      </c>
      <c r="M456" s="360">
        <f t="shared" si="12"/>
        <v>48491</v>
      </c>
      <c r="N456" s="360">
        <f t="shared" si="9"/>
        <v>48497</v>
      </c>
      <c r="O456" s="2">
        <f t="shared" si="10"/>
        <v>0</v>
      </c>
      <c r="P456" s="2">
        <f t="shared" si="11"/>
        <v>0</v>
      </c>
    </row>
    <row r="457">
      <c r="A457" s="344">
        <f t="shared" si="5"/>
        <v>850</v>
      </c>
      <c r="B457" s="344">
        <f t="shared" si="6"/>
        <v>90</v>
      </c>
      <c r="C457" s="369"/>
      <c r="D457" s="389" t="str">
        <f t="shared" si="7"/>
        <v>Saturday</v>
      </c>
      <c r="E457" s="344" t="s">
        <v>162</v>
      </c>
      <c r="F457" s="370"/>
      <c r="G457" s="370"/>
      <c r="H457" s="357">
        <f t="shared" si="29"/>
        <v>0</v>
      </c>
      <c r="I457" s="346">
        <f t="shared" si="31"/>
        <v>0</v>
      </c>
      <c r="J457" s="354" t="s">
        <v>636</v>
      </c>
      <c r="M457" s="360">
        <f t="shared" si="12"/>
        <v>48498</v>
      </c>
      <c r="N457" s="360">
        <f t="shared" si="9"/>
        <v>48504</v>
      </c>
      <c r="O457" s="2">
        <f t="shared" si="10"/>
        <v>0</v>
      </c>
      <c r="P457" s="2">
        <f t="shared" si="11"/>
        <v>0</v>
      </c>
    </row>
    <row r="458">
      <c r="A458" s="344">
        <f t="shared" si="5"/>
        <v>850</v>
      </c>
      <c r="B458" s="344">
        <f t="shared" si="6"/>
        <v>90</v>
      </c>
      <c r="C458" s="369"/>
      <c r="D458" s="389" t="str">
        <f t="shared" si="7"/>
        <v>Saturday</v>
      </c>
      <c r="E458" s="344" t="s">
        <v>162</v>
      </c>
      <c r="F458" s="370"/>
      <c r="G458" s="370"/>
      <c r="H458" s="357">
        <f t="shared" si="29"/>
        <v>0</v>
      </c>
      <c r="I458" s="346">
        <f t="shared" si="31"/>
        <v>0</v>
      </c>
      <c r="J458" s="354" t="s">
        <v>636</v>
      </c>
      <c r="M458" s="360">
        <f t="shared" si="12"/>
        <v>48505</v>
      </c>
      <c r="N458" s="360">
        <f t="shared" si="9"/>
        <v>48511</v>
      </c>
      <c r="O458" s="2">
        <f t="shared" si="10"/>
        <v>0</v>
      </c>
      <c r="P458" s="2">
        <f t="shared" si="11"/>
        <v>0</v>
      </c>
    </row>
    <row r="459">
      <c r="A459" s="344">
        <f t="shared" si="5"/>
        <v>850</v>
      </c>
      <c r="B459" s="344">
        <f t="shared" si="6"/>
        <v>90</v>
      </c>
      <c r="C459" s="369"/>
      <c r="D459" s="389" t="str">
        <f t="shared" si="7"/>
        <v>Saturday</v>
      </c>
      <c r="E459" s="344" t="s">
        <v>162</v>
      </c>
      <c r="F459" s="370"/>
      <c r="G459" s="370"/>
      <c r="H459" s="357">
        <f t="shared" si="29"/>
        <v>0</v>
      </c>
      <c r="I459" s="346">
        <f t="shared" si="31"/>
        <v>0</v>
      </c>
      <c r="J459" s="354" t="s">
        <v>636</v>
      </c>
      <c r="M459" s="360">
        <f t="shared" si="12"/>
        <v>48512</v>
      </c>
      <c r="N459" s="360">
        <f t="shared" si="9"/>
        <v>48518</v>
      </c>
      <c r="O459" s="2">
        <f t="shared" si="10"/>
        <v>0</v>
      </c>
      <c r="P459" s="2">
        <f t="shared" si="11"/>
        <v>0</v>
      </c>
    </row>
    <row r="460">
      <c r="A460" s="344">
        <f t="shared" si="5"/>
        <v>850</v>
      </c>
      <c r="B460" s="344">
        <f t="shared" si="6"/>
        <v>90</v>
      </c>
      <c r="C460" s="369"/>
      <c r="D460" s="389" t="str">
        <f t="shared" si="7"/>
        <v>Saturday</v>
      </c>
      <c r="E460" s="344" t="s">
        <v>162</v>
      </c>
      <c r="F460" s="370"/>
      <c r="G460" s="370"/>
      <c r="H460" s="357">
        <f t="shared" si="29"/>
        <v>0</v>
      </c>
      <c r="I460" s="346">
        <f t="shared" si="31"/>
        <v>0</v>
      </c>
      <c r="J460" s="354" t="s">
        <v>636</v>
      </c>
      <c r="M460" s="360">
        <f t="shared" si="12"/>
        <v>48519</v>
      </c>
      <c r="N460" s="360">
        <f t="shared" si="9"/>
        <v>48525</v>
      </c>
      <c r="O460" s="2">
        <f t="shared" si="10"/>
        <v>0</v>
      </c>
      <c r="P460" s="2">
        <f t="shared" si="11"/>
        <v>0</v>
      </c>
    </row>
    <row r="461">
      <c r="A461" s="344">
        <f t="shared" si="5"/>
        <v>850</v>
      </c>
      <c r="B461" s="344">
        <f t="shared" si="6"/>
        <v>90</v>
      </c>
      <c r="C461" s="369"/>
      <c r="D461" s="389" t="str">
        <f t="shared" si="7"/>
        <v>Saturday</v>
      </c>
      <c r="E461" s="344" t="s">
        <v>162</v>
      </c>
      <c r="F461" s="370"/>
      <c r="G461" s="370"/>
      <c r="H461" s="357">
        <f t="shared" si="29"/>
        <v>0</v>
      </c>
      <c r="I461" s="346">
        <f t="shared" si="31"/>
        <v>0</v>
      </c>
      <c r="J461" s="354" t="s">
        <v>636</v>
      </c>
      <c r="M461" s="360">
        <f t="shared" si="12"/>
        <v>48526</v>
      </c>
      <c r="N461" s="360">
        <f t="shared" si="9"/>
        <v>48532</v>
      </c>
      <c r="O461" s="2">
        <f t="shared" si="10"/>
        <v>0</v>
      </c>
      <c r="P461" s="2">
        <f t="shared" si="11"/>
        <v>0</v>
      </c>
    </row>
    <row r="462">
      <c r="A462" s="344">
        <f t="shared" si="5"/>
        <v>850</v>
      </c>
      <c r="B462" s="344">
        <f t="shared" si="6"/>
        <v>90</v>
      </c>
      <c r="C462" s="369"/>
      <c r="D462" s="389" t="str">
        <f t="shared" si="7"/>
        <v>Saturday</v>
      </c>
      <c r="E462" s="344" t="s">
        <v>162</v>
      </c>
      <c r="F462" s="370"/>
      <c r="G462" s="370"/>
      <c r="H462" s="357">
        <f t="shared" si="29"/>
        <v>0</v>
      </c>
      <c r="I462" s="346">
        <f t="shared" si="31"/>
        <v>0</v>
      </c>
      <c r="J462" s="354" t="s">
        <v>636</v>
      </c>
      <c r="M462" s="360">
        <f t="shared" si="12"/>
        <v>48533</v>
      </c>
      <c r="N462" s="360">
        <f t="shared" si="9"/>
        <v>48539</v>
      </c>
      <c r="O462" s="2">
        <f t="shared" si="10"/>
        <v>0</v>
      </c>
      <c r="P462" s="2">
        <f t="shared" si="11"/>
        <v>0</v>
      </c>
    </row>
    <row r="463">
      <c r="A463" s="344">
        <f t="shared" si="5"/>
        <v>850</v>
      </c>
      <c r="B463" s="344">
        <f t="shared" si="6"/>
        <v>90</v>
      </c>
      <c r="C463" s="369"/>
      <c r="D463" s="389" t="str">
        <f t="shared" si="7"/>
        <v>Saturday</v>
      </c>
      <c r="E463" s="344" t="s">
        <v>162</v>
      </c>
      <c r="F463" s="370"/>
      <c r="G463" s="370"/>
      <c r="H463" s="357">
        <f t="shared" si="29"/>
        <v>0</v>
      </c>
      <c r="I463" s="346">
        <f t="shared" si="31"/>
        <v>0</v>
      </c>
      <c r="J463" s="354" t="s">
        <v>636</v>
      </c>
      <c r="M463" s="360">
        <f t="shared" si="12"/>
        <v>48540</v>
      </c>
      <c r="N463" s="360">
        <f t="shared" si="9"/>
        <v>48546</v>
      </c>
      <c r="O463" s="2">
        <f t="shared" si="10"/>
        <v>0</v>
      </c>
      <c r="P463" s="2">
        <f t="shared" si="11"/>
        <v>0</v>
      </c>
    </row>
    <row r="464">
      <c r="A464" s="344">
        <f t="shared" si="5"/>
        <v>850</v>
      </c>
      <c r="B464" s="344">
        <f t="shared" si="6"/>
        <v>90</v>
      </c>
      <c r="C464" s="369"/>
      <c r="D464" s="389" t="str">
        <f t="shared" si="7"/>
        <v>Saturday</v>
      </c>
      <c r="E464" s="344" t="s">
        <v>162</v>
      </c>
      <c r="F464" s="370"/>
      <c r="G464" s="370"/>
      <c r="H464" s="357">
        <f t="shared" si="29"/>
        <v>0</v>
      </c>
      <c r="I464" s="346">
        <f t="shared" si="31"/>
        <v>0</v>
      </c>
      <c r="J464" s="354" t="s">
        <v>636</v>
      </c>
      <c r="M464" s="360">
        <f t="shared" si="12"/>
        <v>48547</v>
      </c>
      <c r="N464" s="360">
        <f t="shared" si="9"/>
        <v>48553</v>
      </c>
      <c r="O464" s="2">
        <f t="shared" si="10"/>
        <v>0</v>
      </c>
      <c r="P464" s="2">
        <f t="shared" si="11"/>
        <v>0</v>
      </c>
    </row>
    <row r="465">
      <c r="A465" s="344">
        <f t="shared" si="5"/>
        <v>850</v>
      </c>
      <c r="B465" s="344">
        <f t="shared" si="6"/>
        <v>90</v>
      </c>
      <c r="C465" s="369"/>
      <c r="D465" s="389" t="str">
        <f t="shared" si="7"/>
        <v>Saturday</v>
      </c>
      <c r="E465" s="344" t="s">
        <v>162</v>
      </c>
      <c r="F465" s="370"/>
      <c r="G465" s="370"/>
      <c r="H465" s="357">
        <f t="shared" si="29"/>
        <v>0</v>
      </c>
      <c r="I465" s="346">
        <f t="shared" si="31"/>
        <v>0</v>
      </c>
      <c r="J465" s="354" t="s">
        <v>636</v>
      </c>
      <c r="M465" s="360">
        <f t="shared" si="12"/>
        <v>48554</v>
      </c>
      <c r="N465" s="360">
        <f t="shared" si="9"/>
        <v>48560</v>
      </c>
      <c r="O465" s="2">
        <f t="shared" si="10"/>
        <v>0</v>
      </c>
      <c r="P465" s="2">
        <f t="shared" si="11"/>
        <v>0</v>
      </c>
    </row>
    <row r="466">
      <c r="A466" s="344">
        <f t="shared" si="5"/>
        <v>850</v>
      </c>
      <c r="B466" s="344">
        <f t="shared" si="6"/>
        <v>90</v>
      </c>
      <c r="C466" s="369"/>
      <c r="D466" s="389" t="str">
        <f t="shared" si="7"/>
        <v>Saturday</v>
      </c>
      <c r="E466" s="344" t="s">
        <v>162</v>
      </c>
      <c r="F466" s="370"/>
      <c r="G466" s="370"/>
      <c r="H466" s="357">
        <f t="shared" si="29"/>
        <v>0</v>
      </c>
      <c r="I466" s="346">
        <f t="shared" si="31"/>
        <v>0</v>
      </c>
      <c r="J466" s="354" t="s">
        <v>636</v>
      </c>
      <c r="M466" s="360">
        <f t="shared" si="12"/>
        <v>48561</v>
      </c>
      <c r="N466" s="360">
        <f t="shared" si="9"/>
        <v>48567</v>
      </c>
      <c r="O466" s="2">
        <f t="shared" si="10"/>
        <v>0</v>
      </c>
      <c r="P466" s="2">
        <f t="shared" si="11"/>
        <v>0</v>
      </c>
    </row>
    <row r="467">
      <c r="A467" s="344">
        <f t="shared" si="5"/>
        <v>850</v>
      </c>
      <c r="B467" s="344">
        <f t="shared" si="6"/>
        <v>90</v>
      </c>
      <c r="C467" s="369"/>
      <c r="D467" s="389" t="str">
        <f t="shared" si="7"/>
        <v>Saturday</v>
      </c>
      <c r="E467" s="344" t="s">
        <v>162</v>
      </c>
      <c r="F467" s="370"/>
      <c r="G467" s="370"/>
      <c r="H467" s="357">
        <f t="shared" si="29"/>
        <v>0</v>
      </c>
      <c r="I467" s="346">
        <f t="shared" si="31"/>
        <v>0</v>
      </c>
      <c r="J467" s="354" t="s">
        <v>636</v>
      </c>
      <c r="M467" s="360">
        <f t="shared" si="12"/>
        <v>48568</v>
      </c>
      <c r="N467" s="360">
        <f t="shared" si="9"/>
        <v>48574</v>
      </c>
      <c r="O467" s="2">
        <f t="shared" si="10"/>
        <v>0</v>
      </c>
      <c r="P467" s="2">
        <f t="shared" si="11"/>
        <v>0</v>
      </c>
    </row>
    <row r="468">
      <c r="A468" s="344">
        <f t="shared" si="5"/>
        <v>850</v>
      </c>
      <c r="B468" s="344">
        <f t="shared" si="6"/>
        <v>90</v>
      </c>
      <c r="C468" s="369"/>
      <c r="D468" s="389" t="str">
        <f t="shared" si="7"/>
        <v>Saturday</v>
      </c>
      <c r="E468" s="344" t="s">
        <v>162</v>
      </c>
      <c r="F468" s="370"/>
      <c r="G468" s="370"/>
      <c r="H468" s="357">
        <f t="shared" si="29"/>
        <v>0</v>
      </c>
      <c r="I468" s="346">
        <f t="shared" si="31"/>
        <v>0</v>
      </c>
      <c r="J468" s="354" t="s">
        <v>636</v>
      </c>
      <c r="M468" s="360">
        <f t="shared" si="12"/>
        <v>48575</v>
      </c>
      <c r="N468" s="360">
        <f t="shared" si="9"/>
        <v>48581</v>
      </c>
      <c r="O468" s="2">
        <f t="shared" si="10"/>
        <v>0</v>
      </c>
      <c r="P468" s="2">
        <f t="shared" si="11"/>
        <v>0</v>
      </c>
    </row>
    <row r="469">
      <c r="A469" s="344">
        <f t="shared" si="5"/>
        <v>850</v>
      </c>
      <c r="B469" s="344">
        <f t="shared" si="6"/>
        <v>90</v>
      </c>
      <c r="C469" s="369"/>
      <c r="D469" s="389" t="str">
        <f t="shared" si="7"/>
        <v>Saturday</v>
      </c>
      <c r="E469" s="344" t="s">
        <v>162</v>
      </c>
      <c r="F469" s="370"/>
      <c r="G469" s="370"/>
      <c r="H469" s="357">
        <f t="shared" si="29"/>
        <v>0</v>
      </c>
      <c r="I469" s="346">
        <f t="shared" si="31"/>
        <v>0</v>
      </c>
      <c r="J469" s="354" t="s">
        <v>636</v>
      </c>
      <c r="M469" s="360">
        <f t="shared" si="12"/>
        <v>48582</v>
      </c>
      <c r="N469" s="360">
        <f t="shared" si="9"/>
        <v>48588</v>
      </c>
      <c r="O469" s="2">
        <f t="shared" si="10"/>
        <v>0</v>
      </c>
      <c r="P469" s="2">
        <f t="shared" si="11"/>
        <v>0</v>
      </c>
    </row>
    <row r="470">
      <c r="A470" s="344">
        <f t="shared" si="5"/>
        <v>850</v>
      </c>
      <c r="B470" s="344">
        <f t="shared" si="6"/>
        <v>90</v>
      </c>
      <c r="C470" s="369"/>
      <c r="D470" s="389" t="str">
        <f t="shared" si="7"/>
        <v>Saturday</v>
      </c>
      <c r="E470" s="344" t="s">
        <v>162</v>
      </c>
      <c r="F470" s="370"/>
      <c r="G470" s="370"/>
      <c r="H470" s="357">
        <f t="shared" si="29"/>
        <v>0</v>
      </c>
      <c r="I470" s="346">
        <f t="shared" si="31"/>
        <v>0</v>
      </c>
      <c r="J470" s="354" t="s">
        <v>636</v>
      </c>
      <c r="M470" s="360">
        <f t="shared" si="12"/>
        <v>48589</v>
      </c>
      <c r="N470" s="360">
        <f t="shared" si="9"/>
        <v>48595</v>
      </c>
      <c r="O470" s="2">
        <f t="shared" si="10"/>
        <v>0</v>
      </c>
      <c r="P470" s="2">
        <f t="shared" si="11"/>
        <v>0</v>
      </c>
    </row>
    <row r="471">
      <c r="A471" s="344">
        <f t="shared" si="5"/>
        <v>850</v>
      </c>
      <c r="B471" s="344">
        <f t="shared" si="6"/>
        <v>90</v>
      </c>
      <c r="C471" s="369"/>
      <c r="D471" s="389" t="str">
        <f t="shared" si="7"/>
        <v>Saturday</v>
      </c>
      <c r="E471" s="344" t="s">
        <v>162</v>
      </c>
      <c r="F471" s="370"/>
      <c r="G471" s="370"/>
      <c r="H471" s="357">
        <f t="shared" si="29"/>
        <v>0</v>
      </c>
      <c r="I471" s="346">
        <f t="shared" si="31"/>
        <v>0</v>
      </c>
      <c r="J471" s="354" t="s">
        <v>636</v>
      </c>
      <c r="M471" s="360">
        <f t="shared" si="12"/>
        <v>48596</v>
      </c>
      <c r="N471" s="360">
        <f t="shared" si="9"/>
        <v>48602</v>
      </c>
      <c r="O471" s="2">
        <f t="shared" si="10"/>
        <v>0</v>
      </c>
      <c r="P471" s="2">
        <f t="shared" si="11"/>
        <v>0</v>
      </c>
    </row>
    <row r="472">
      <c r="A472" s="344">
        <f t="shared" si="5"/>
        <v>850</v>
      </c>
      <c r="B472" s="344">
        <f t="shared" si="6"/>
        <v>90</v>
      </c>
      <c r="C472" s="369"/>
      <c r="D472" s="389" t="str">
        <f t="shared" si="7"/>
        <v>Saturday</v>
      </c>
      <c r="E472" s="344" t="s">
        <v>162</v>
      </c>
      <c r="F472" s="370"/>
      <c r="G472" s="370"/>
      <c r="H472" s="357">
        <f t="shared" si="29"/>
        <v>0</v>
      </c>
      <c r="I472" s="346">
        <f t="shared" si="31"/>
        <v>0</v>
      </c>
      <c r="J472" s="354" t="s">
        <v>636</v>
      </c>
      <c r="M472" s="360">
        <f t="shared" si="12"/>
        <v>48603</v>
      </c>
      <c r="N472" s="360">
        <f t="shared" si="9"/>
        <v>48609</v>
      </c>
      <c r="O472" s="2">
        <f t="shared" si="10"/>
        <v>0</v>
      </c>
      <c r="P472" s="2">
        <f t="shared" si="11"/>
        <v>0</v>
      </c>
    </row>
    <row r="473">
      <c r="A473" s="344">
        <f t="shared" si="5"/>
        <v>850</v>
      </c>
      <c r="B473" s="344">
        <f t="shared" si="6"/>
        <v>90</v>
      </c>
      <c r="C473" s="369"/>
      <c r="D473" s="389" t="str">
        <f t="shared" si="7"/>
        <v>Saturday</v>
      </c>
      <c r="E473" s="344" t="s">
        <v>162</v>
      </c>
      <c r="F473" s="370"/>
      <c r="G473" s="370"/>
      <c r="H473" s="357">
        <f t="shared" si="29"/>
        <v>0</v>
      </c>
      <c r="I473" s="346">
        <f t="shared" si="31"/>
        <v>0</v>
      </c>
      <c r="J473" s="354" t="s">
        <v>636</v>
      </c>
      <c r="M473" s="360">
        <f t="shared" si="12"/>
        <v>48610</v>
      </c>
      <c r="N473" s="360">
        <f t="shared" si="9"/>
        <v>48616</v>
      </c>
      <c r="O473" s="2">
        <f t="shared" si="10"/>
        <v>0</v>
      </c>
      <c r="P473" s="2">
        <f t="shared" si="11"/>
        <v>0</v>
      </c>
    </row>
    <row r="474">
      <c r="A474" s="344">
        <f t="shared" si="5"/>
        <v>850</v>
      </c>
      <c r="B474" s="344">
        <f t="shared" si="6"/>
        <v>90</v>
      </c>
      <c r="C474" s="369"/>
      <c r="D474" s="389" t="str">
        <f t="shared" si="7"/>
        <v>Saturday</v>
      </c>
      <c r="E474" s="344" t="s">
        <v>162</v>
      </c>
      <c r="F474" s="370"/>
      <c r="G474" s="370"/>
      <c r="H474" s="357">
        <f t="shared" si="29"/>
        <v>0</v>
      </c>
      <c r="I474" s="346">
        <f t="shared" si="31"/>
        <v>0</v>
      </c>
      <c r="J474" s="354" t="s">
        <v>636</v>
      </c>
      <c r="M474" s="360">
        <f t="shared" si="12"/>
        <v>48617</v>
      </c>
      <c r="N474" s="360">
        <f t="shared" si="9"/>
        <v>48623</v>
      </c>
      <c r="O474" s="2">
        <f t="shared" si="10"/>
        <v>0</v>
      </c>
      <c r="P474" s="2">
        <f t="shared" si="11"/>
        <v>0</v>
      </c>
    </row>
    <row r="475">
      <c r="A475" s="344">
        <f t="shared" si="5"/>
        <v>850</v>
      </c>
      <c r="B475" s="344">
        <f t="shared" si="6"/>
        <v>90</v>
      </c>
      <c r="C475" s="369"/>
      <c r="D475" s="389" t="str">
        <f t="shared" si="7"/>
        <v>Saturday</v>
      </c>
      <c r="E475" s="344" t="s">
        <v>162</v>
      </c>
      <c r="F475" s="370"/>
      <c r="G475" s="370"/>
      <c r="H475" s="357">
        <f t="shared" si="29"/>
        <v>0</v>
      </c>
      <c r="I475" s="346">
        <f t="shared" si="31"/>
        <v>0</v>
      </c>
      <c r="J475" s="354" t="s">
        <v>636</v>
      </c>
      <c r="M475" s="360">
        <f t="shared" si="12"/>
        <v>48624</v>
      </c>
      <c r="N475" s="360">
        <f t="shared" si="9"/>
        <v>48630</v>
      </c>
      <c r="O475" s="2">
        <f t="shared" si="10"/>
        <v>0</v>
      </c>
      <c r="P475" s="2">
        <f t="shared" si="11"/>
        <v>0</v>
      </c>
    </row>
    <row r="476">
      <c r="A476" s="344">
        <f t="shared" si="5"/>
        <v>850</v>
      </c>
      <c r="B476" s="344">
        <f t="shared" si="6"/>
        <v>90</v>
      </c>
      <c r="C476" s="369"/>
      <c r="D476" s="389" t="str">
        <f t="shared" si="7"/>
        <v>Saturday</v>
      </c>
      <c r="E476" s="344" t="s">
        <v>162</v>
      </c>
      <c r="F476" s="370"/>
      <c r="G476" s="370"/>
      <c r="H476" s="357">
        <f t="shared" si="29"/>
        <v>0</v>
      </c>
      <c r="I476" s="346">
        <f t="shared" si="31"/>
        <v>0</v>
      </c>
      <c r="J476" s="354" t="s">
        <v>636</v>
      </c>
      <c r="M476" s="360">
        <f t="shared" si="12"/>
        <v>48631</v>
      </c>
      <c r="N476" s="360">
        <f t="shared" si="9"/>
        <v>48637</v>
      </c>
      <c r="O476" s="2">
        <f t="shared" si="10"/>
        <v>0</v>
      </c>
      <c r="P476" s="2">
        <f t="shared" si="11"/>
        <v>0</v>
      </c>
    </row>
    <row r="477">
      <c r="A477" s="344">
        <f t="shared" si="5"/>
        <v>850</v>
      </c>
      <c r="B477" s="344">
        <f t="shared" si="6"/>
        <v>90</v>
      </c>
      <c r="C477" s="369"/>
      <c r="D477" s="389" t="str">
        <f t="shared" si="7"/>
        <v>Saturday</v>
      </c>
      <c r="E477" s="344" t="s">
        <v>162</v>
      </c>
      <c r="F477" s="370"/>
      <c r="G477" s="370"/>
      <c r="H477" s="357">
        <f t="shared" si="29"/>
        <v>0</v>
      </c>
      <c r="I477" s="346">
        <f t="shared" si="31"/>
        <v>0</v>
      </c>
      <c r="J477" s="354" t="s">
        <v>636</v>
      </c>
      <c r="M477" s="360">
        <f t="shared" si="12"/>
        <v>48638</v>
      </c>
      <c r="N477" s="360">
        <f t="shared" si="9"/>
        <v>48644</v>
      </c>
      <c r="O477" s="2">
        <f t="shared" si="10"/>
        <v>0</v>
      </c>
      <c r="P477" s="2">
        <f t="shared" si="11"/>
        <v>0</v>
      </c>
    </row>
    <row r="478">
      <c r="A478" s="344">
        <f t="shared" si="5"/>
        <v>850</v>
      </c>
      <c r="B478" s="344">
        <f t="shared" si="6"/>
        <v>90</v>
      </c>
      <c r="C478" s="369"/>
      <c r="D478" s="389" t="str">
        <f t="shared" si="7"/>
        <v>Saturday</v>
      </c>
      <c r="E478" s="344" t="s">
        <v>162</v>
      </c>
      <c r="F478" s="370"/>
      <c r="G478" s="370"/>
      <c r="H478" s="357">
        <f t="shared" si="29"/>
        <v>0</v>
      </c>
      <c r="I478" s="346">
        <f t="shared" si="31"/>
        <v>0</v>
      </c>
      <c r="J478" s="354" t="s">
        <v>636</v>
      </c>
      <c r="M478" s="360">
        <f t="shared" si="12"/>
        <v>48645</v>
      </c>
      <c r="N478" s="360">
        <f t="shared" si="9"/>
        <v>48651</v>
      </c>
      <c r="O478" s="2">
        <f t="shared" si="10"/>
        <v>0</v>
      </c>
      <c r="P478" s="2">
        <f t="shared" si="11"/>
        <v>0</v>
      </c>
    </row>
    <row r="479">
      <c r="A479" s="344">
        <f t="shared" si="5"/>
        <v>850</v>
      </c>
      <c r="B479" s="344">
        <f t="shared" si="6"/>
        <v>90</v>
      </c>
      <c r="C479" s="369"/>
      <c r="D479" s="389" t="str">
        <f t="shared" si="7"/>
        <v>Saturday</v>
      </c>
      <c r="E479" s="344" t="s">
        <v>162</v>
      </c>
      <c r="F479" s="370"/>
      <c r="G479" s="370"/>
      <c r="H479" s="357">
        <f t="shared" si="29"/>
        <v>0</v>
      </c>
      <c r="I479" s="346">
        <f t="shared" si="31"/>
        <v>0</v>
      </c>
      <c r="J479" s="354" t="s">
        <v>636</v>
      </c>
      <c r="M479" s="360">
        <f t="shared" si="12"/>
        <v>48652</v>
      </c>
      <c r="N479" s="360">
        <f t="shared" si="9"/>
        <v>48658</v>
      </c>
      <c r="O479" s="2">
        <f t="shared" si="10"/>
        <v>0</v>
      </c>
      <c r="P479" s="2">
        <f t="shared" si="11"/>
        <v>0</v>
      </c>
    </row>
    <row r="480">
      <c r="A480" s="344">
        <f t="shared" si="5"/>
        <v>850</v>
      </c>
      <c r="B480" s="344">
        <f t="shared" si="6"/>
        <v>90</v>
      </c>
      <c r="C480" s="369"/>
      <c r="D480" s="389" t="str">
        <f t="shared" si="7"/>
        <v>Saturday</v>
      </c>
      <c r="E480" s="344" t="s">
        <v>162</v>
      </c>
      <c r="F480" s="370"/>
      <c r="G480" s="370"/>
      <c r="H480" s="357">
        <f t="shared" si="29"/>
        <v>0</v>
      </c>
      <c r="I480" s="346">
        <f t="shared" si="31"/>
        <v>0</v>
      </c>
      <c r="J480" s="354" t="s">
        <v>636</v>
      </c>
      <c r="M480" s="360">
        <f t="shared" si="12"/>
        <v>48659</v>
      </c>
      <c r="N480" s="360">
        <f t="shared" si="9"/>
        <v>48665</v>
      </c>
      <c r="O480" s="2">
        <f t="shared" si="10"/>
        <v>0</v>
      </c>
      <c r="P480" s="2">
        <f t="shared" si="11"/>
        <v>0</v>
      </c>
    </row>
    <row r="481">
      <c r="A481" s="344">
        <f t="shared" si="5"/>
        <v>850</v>
      </c>
      <c r="B481" s="344">
        <f t="shared" si="6"/>
        <v>90</v>
      </c>
      <c r="C481" s="369"/>
      <c r="D481" s="389" t="str">
        <f t="shared" si="7"/>
        <v>Saturday</v>
      </c>
      <c r="E481" s="344" t="s">
        <v>162</v>
      </c>
      <c r="F481" s="370"/>
      <c r="G481" s="370"/>
      <c r="H481" s="357">
        <f t="shared" si="29"/>
        <v>0</v>
      </c>
      <c r="I481" s="346">
        <f t="shared" si="31"/>
        <v>0</v>
      </c>
      <c r="J481" s="354" t="s">
        <v>636</v>
      </c>
      <c r="M481" s="360">
        <f t="shared" si="12"/>
        <v>48666</v>
      </c>
      <c r="N481" s="360">
        <f t="shared" si="9"/>
        <v>48672</v>
      </c>
      <c r="O481" s="2">
        <f t="shared" si="10"/>
        <v>0</v>
      </c>
      <c r="P481" s="2">
        <f t="shared" si="11"/>
        <v>0</v>
      </c>
    </row>
    <row r="482">
      <c r="A482" s="344">
        <f t="shared" si="5"/>
        <v>850</v>
      </c>
      <c r="B482" s="344">
        <f t="shared" si="6"/>
        <v>90</v>
      </c>
      <c r="C482" s="369"/>
      <c r="D482" s="389" t="str">
        <f t="shared" si="7"/>
        <v>Saturday</v>
      </c>
      <c r="E482" s="344" t="s">
        <v>162</v>
      </c>
      <c r="F482" s="370"/>
      <c r="G482" s="370"/>
      <c r="H482" s="357">
        <f t="shared" si="29"/>
        <v>0</v>
      </c>
      <c r="I482" s="346">
        <f t="shared" si="31"/>
        <v>0</v>
      </c>
      <c r="J482" s="354" t="s">
        <v>636</v>
      </c>
      <c r="M482" s="360">
        <f t="shared" si="12"/>
        <v>48673</v>
      </c>
      <c r="N482" s="360">
        <f t="shared" si="9"/>
        <v>48679</v>
      </c>
      <c r="O482" s="2">
        <f t="shared" si="10"/>
        <v>0</v>
      </c>
      <c r="P482" s="2">
        <f t="shared" si="11"/>
        <v>0</v>
      </c>
    </row>
    <row r="483">
      <c r="A483" s="344">
        <f t="shared" si="5"/>
        <v>850</v>
      </c>
      <c r="B483" s="344">
        <f t="shared" si="6"/>
        <v>90</v>
      </c>
      <c r="C483" s="369"/>
      <c r="D483" s="389" t="str">
        <f t="shared" si="7"/>
        <v>Saturday</v>
      </c>
      <c r="E483" s="344" t="s">
        <v>162</v>
      </c>
      <c r="F483" s="370"/>
      <c r="G483" s="370"/>
      <c r="H483" s="357">
        <f t="shared" si="29"/>
        <v>0</v>
      </c>
      <c r="I483" s="346">
        <f t="shared" si="31"/>
        <v>0</v>
      </c>
      <c r="J483" s="354" t="s">
        <v>636</v>
      </c>
      <c r="M483" s="360">
        <f t="shared" si="12"/>
        <v>48680</v>
      </c>
      <c r="N483" s="360">
        <f t="shared" si="9"/>
        <v>48686</v>
      </c>
      <c r="O483" s="2">
        <f t="shared" si="10"/>
        <v>0</v>
      </c>
      <c r="P483" s="2">
        <f t="shared" si="11"/>
        <v>0</v>
      </c>
    </row>
    <row r="484">
      <c r="A484" s="344">
        <f t="shared" si="5"/>
        <v>850</v>
      </c>
      <c r="B484" s="344">
        <f t="shared" si="6"/>
        <v>90</v>
      </c>
      <c r="C484" s="369"/>
      <c r="D484" s="389" t="str">
        <f t="shared" si="7"/>
        <v>Saturday</v>
      </c>
      <c r="E484" s="344" t="s">
        <v>162</v>
      </c>
      <c r="F484" s="370"/>
      <c r="G484" s="370"/>
      <c r="H484" s="357">
        <f t="shared" si="29"/>
        <v>0</v>
      </c>
      <c r="I484" s="346">
        <f t="shared" si="31"/>
        <v>0</v>
      </c>
      <c r="J484" s="354" t="s">
        <v>636</v>
      </c>
      <c r="M484" s="360">
        <f t="shared" si="12"/>
        <v>48687</v>
      </c>
      <c r="N484" s="360">
        <f t="shared" si="9"/>
        <v>48693</v>
      </c>
      <c r="O484" s="2">
        <f t="shared" si="10"/>
        <v>0</v>
      </c>
      <c r="P484" s="2">
        <f t="shared" si="11"/>
        <v>0</v>
      </c>
    </row>
    <row r="485">
      <c r="A485" s="344">
        <f t="shared" si="5"/>
        <v>850</v>
      </c>
      <c r="B485" s="344">
        <f t="shared" si="6"/>
        <v>90</v>
      </c>
      <c r="C485" s="369"/>
      <c r="D485" s="389" t="str">
        <f t="shared" si="7"/>
        <v>Saturday</v>
      </c>
      <c r="E485" s="344" t="s">
        <v>162</v>
      </c>
      <c r="F485" s="370"/>
      <c r="G485" s="370"/>
      <c r="H485" s="357">
        <f t="shared" si="29"/>
        <v>0</v>
      </c>
      <c r="I485" s="346">
        <f t="shared" si="31"/>
        <v>0</v>
      </c>
      <c r="J485" s="354" t="s">
        <v>636</v>
      </c>
      <c r="M485" s="360">
        <f t="shared" si="12"/>
        <v>48694</v>
      </c>
      <c r="N485" s="360">
        <f t="shared" si="9"/>
        <v>48700</v>
      </c>
      <c r="O485" s="2">
        <f t="shared" si="10"/>
        <v>0</v>
      </c>
      <c r="P485" s="2">
        <f t="shared" si="11"/>
        <v>0</v>
      </c>
    </row>
    <row r="486">
      <c r="A486" s="344">
        <f t="shared" si="5"/>
        <v>850</v>
      </c>
      <c r="B486" s="344">
        <f t="shared" si="6"/>
        <v>90</v>
      </c>
      <c r="C486" s="369"/>
      <c r="D486" s="389" t="str">
        <f t="shared" si="7"/>
        <v>Saturday</v>
      </c>
      <c r="E486" s="344" t="s">
        <v>162</v>
      </c>
      <c r="F486" s="370"/>
      <c r="G486" s="370"/>
      <c r="H486" s="357">
        <f t="shared" si="29"/>
        <v>0</v>
      </c>
      <c r="I486" s="346">
        <f t="shared" si="31"/>
        <v>0</v>
      </c>
      <c r="J486" s="354" t="s">
        <v>636</v>
      </c>
      <c r="M486" s="360">
        <f t="shared" si="12"/>
        <v>48701</v>
      </c>
      <c r="N486" s="360">
        <f t="shared" si="9"/>
        <v>48707</v>
      </c>
      <c r="O486" s="2">
        <f t="shared" si="10"/>
        <v>0</v>
      </c>
      <c r="P486" s="2">
        <f t="shared" si="11"/>
        <v>0</v>
      </c>
    </row>
    <row r="487">
      <c r="A487" s="344">
        <f t="shared" si="5"/>
        <v>850</v>
      </c>
      <c r="B487" s="344">
        <f t="shared" si="6"/>
        <v>90</v>
      </c>
      <c r="C487" s="369"/>
      <c r="D487" s="389" t="str">
        <f t="shared" si="7"/>
        <v>Saturday</v>
      </c>
      <c r="E487" s="344" t="s">
        <v>162</v>
      </c>
      <c r="F487" s="370"/>
      <c r="G487" s="370"/>
      <c r="H487" s="357">
        <f t="shared" si="29"/>
        <v>0</v>
      </c>
      <c r="I487" s="346">
        <f t="shared" si="31"/>
        <v>0</v>
      </c>
      <c r="J487" s="354" t="s">
        <v>636</v>
      </c>
      <c r="M487" s="360">
        <f t="shared" si="12"/>
        <v>48708</v>
      </c>
      <c r="N487" s="360">
        <f t="shared" si="9"/>
        <v>48714</v>
      </c>
      <c r="O487" s="2">
        <f t="shared" si="10"/>
        <v>0</v>
      </c>
      <c r="P487" s="2">
        <f t="shared" si="11"/>
        <v>0</v>
      </c>
    </row>
    <row r="488">
      <c r="A488" s="344">
        <f t="shared" si="5"/>
        <v>850</v>
      </c>
      <c r="B488" s="344">
        <f t="shared" si="6"/>
        <v>90</v>
      </c>
      <c r="C488" s="369"/>
      <c r="D488" s="389" t="str">
        <f t="shared" si="7"/>
        <v>Saturday</v>
      </c>
      <c r="E488" s="344" t="s">
        <v>162</v>
      </c>
      <c r="F488" s="370"/>
      <c r="G488" s="370"/>
      <c r="H488" s="357">
        <f t="shared" si="29"/>
        <v>0</v>
      </c>
      <c r="I488" s="346">
        <f t="shared" si="31"/>
        <v>0</v>
      </c>
      <c r="J488" s="354" t="s">
        <v>636</v>
      </c>
      <c r="M488" s="360">
        <f t="shared" si="12"/>
        <v>48715</v>
      </c>
      <c r="N488" s="360">
        <f t="shared" si="9"/>
        <v>48721</v>
      </c>
      <c r="O488" s="2">
        <f t="shared" si="10"/>
        <v>0</v>
      </c>
      <c r="P488" s="2">
        <f t="shared" si="11"/>
        <v>0</v>
      </c>
    </row>
    <row r="489">
      <c r="A489" s="344">
        <f t="shared" si="5"/>
        <v>850</v>
      </c>
      <c r="B489" s="344">
        <f t="shared" si="6"/>
        <v>90</v>
      </c>
      <c r="C489" s="369"/>
      <c r="D489" s="389" t="str">
        <f t="shared" si="7"/>
        <v>Saturday</v>
      </c>
      <c r="E489" s="344" t="s">
        <v>162</v>
      </c>
      <c r="F489" s="370"/>
      <c r="G489" s="370"/>
      <c r="H489" s="357">
        <f t="shared" si="29"/>
        <v>0</v>
      </c>
      <c r="I489" s="346">
        <f t="shared" si="31"/>
        <v>0</v>
      </c>
      <c r="J489" s="354" t="s">
        <v>636</v>
      </c>
      <c r="M489" s="360">
        <f t="shared" si="12"/>
        <v>48722</v>
      </c>
      <c r="N489" s="360">
        <f t="shared" si="9"/>
        <v>48728</v>
      </c>
      <c r="O489" s="2">
        <f t="shared" si="10"/>
        <v>0</v>
      </c>
      <c r="P489" s="2">
        <f t="shared" si="11"/>
        <v>0</v>
      </c>
    </row>
    <row r="490">
      <c r="A490" s="344">
        <f t="shared" si="5"/>
        <v>850</v>
      </c>
      <c r="B490" s="344">
        <f t="shared" si="6"/>
        <v>90</v>
      </c>
      <c r="C490" s="369"/>
      <c r="D490" s="389" t="str">
        <f t="shared" si="7"/>
        <v>Saturday</v>
      </c>
      <c r="E490" s="344" t="s">
        <v>162</v>
      </c>
      <c r="F490" s="370"/>
      <c r="G490" s="370"/>
      <c r="H490" s="357">
        <f t="shared" si="29"/>
        <v>0</v>
      </c>
      <c r="I490" s="346">
        <f t="shared" si="31"/>
        <v>0</v>
      </c>
      <c r="J490" s="354" t="s">
        <v>636</v>
      </c>
      <c r="M490" s="360">
        <f t="shared" si="12"/>
        <v>48729</v>
      </c>
      <c r="N490" s="360">
        <f t="shared" si="9"/>
        <v>48735</v>
      </c>
      <c r="O490" s="2">
        <f t="shared" si="10"/>
        <v>0</v>
      </c>
      <c r="P490" s="2">
        <f t="shared" si="11"/>
        <v>0</v>
      </c>
    </row>
    <row r="491">
      <c r="A491" s="344">
        <f t="shared" si="5"/>
        <v>850</v>
      </c>
      <c r="B491" s="344">
        <f t="shared" si="6"/>
        <v>90</v>
      </c>
      <c r="C491" s="369"/>
      <c r="D491" s="389" t="str">
        <f t="shared" si="7"/>
        <v>Saturday</v>
      </c>
      <c r="E491" s="344" t="s">
        <v>162</v>
      </c>
      <c r="F491" s="370"/>
      <c r="G491" s="370"/>
      <c r="H491" s="357">
        <f t="shared" si="29"/>
        <v>0</v>
      </c>
      <c r="I491" s="346">
        <f t="shared" si="31"/>
        <v>0</v>
      </c>
      <c r="J491" s="354" t="s">
        <v>636</v>
      </c>
      <c r="M491" s="360">
        <f t="shared" si="12"/>
        <v>48736</v>
      </c>
      <c r="N491" s="360">
        <f t="shared" si="9"/>
        <v>48742</v>
      </c>
      <c r="O491" s="2">
        <f t="shared" si="10"/>
        <v>0</v>
      </c>
      <c r="P491" s="2">
        <f t="shared" si="11"/>
        <v>0</v>
      </c>
    </row>
    <row r="492">
      <c r="A492" s="344">
        <f t="shared" si="5"/>
        <v>850</v>
      </c>
      <c r="B492" s="344">
        <f t="shared" si="6"/>
        <v>90</v>
      </c>
      <c r="C492" s="369"/>
      <c r="D492" s="389" t="str">
        <f t="shared" si="7"/>
        <v>Saturday</v>
      </c>
      <c r="E492" s="344" t="s">
        <v>162</v>
      </c>
      <c r="F492" s="370"/>
      <c r="G492" s="370"/>
      <c r="H492" s="357">
        <f t="shared" si="29"/>
        <v>0</v>
      </c>
      <c r="I492" s="346">
        <f t="shared" si="31"/>
        <v>0</v>
      </c>
      <c r="J492" s="354" t="s">
        <v>636</v>
      </c>
      <c r="M492" s="360">
        <f t="shared" si="12"/>
        <v>48743</v>
      </c>
      <c r="N492" s="360">
        <f t="shared" si="9"/>
        <v>48749</v>
      </c>
      <c r="O492" s="2">
        <f t="shared" si="10"/>
        <v>0</v>
      </c>
      <c r="P492" s="2">
        <f t="shared" si="11"/>
        <v>0</v>
      </c>
    </row>
    <row r="493">
      <c r="A493" s="344">
        <f t="shared" si="5"/>
        <v>850</v>
      </c>
      <c r="B493" s="344">
        <f t="shared" si="6"/>
        <v>90</v>
      </c>
      <c r="C493" s="369"/>
      <c r="D493" s="389" t="str">
        <f t="shared" si="7"/>
        <v>Saturday</v>
      </c>
      <c r="E493" s="344" t="s">
        <v>162</v>
      </c>
      <c r="F493" s="370"/>
      <c r="G493" s="370"/>
      <c r="H493" s="357">
        <f t="shared" si="29"/>
        <v>0</v>
      </c>
      <c r="I493" s="346">
        <f t="shared" si="31"/>
        <v>0</v>
      </c>
      <c r="J493" s="354" t="s">
        <v>636</v>
      </c>
      <c r="M493" s="360">
        <f t="shared" si="12"/>
        <v>48750</v>
      </c>
      <c r="N493" s="360">
        <f t="shared" si="9"/>
        <v>48756</v>
      </c>
      <c r="O493" s="2">
        <f t="shared" si="10"/>
        <v>0</v>
      </c>
      <c r="P493" s="2">
        <f t="shared" si="11"/>
        <v>0</v>
      </c>
    </row>
    <row r="494">
      <c r="A494" s="344">
        <f t="shared" si="5"/>
        <v>850</v>
      </c>
      <c r="B494" s="344">
        <f t="shared" si="6"/>
        <v>90</v>
      </c>
      <c r="C494" s="369"/>
      <c r="D494" s="389" t="str">
        <f t="shared" si="7"/>
        <v>Saturday</v>
      </c>
      <c r="E494" s="344" t="s">
        <v>162</v>
      </c>
      <c r="F494" s="370"/>
      <c r="G494" s="370"/>
      <c r="H494" s="357">
        <f t="shared" si="29"/>
        <v>0</v>
      </c>
      <c r="I494" s="346">
        <f t="shared" si="31"/>
        <v>0</v>
      </c>
      <c r="J494" s="354" t="s">
        <v>636</v>
      </c>
      <c r="M494" s="360">
        <f t="shared" si="12"/>
        <v>48757</v>
      </c>
      <c r="N494" s="360">
        <f t="shared" si="9"/>
        <v>48763</v>
      </c>
      <c r="O494" s="2">
        <f t="shared" si="10"/>
        <v>0</v>
      </c>
      <c r="P494" s="2">
        <f t="shared" si="11"/>
        <v>0</v>
      </c>
    </row>
    <row r="495">
      <c r="A495" s="344">
        <f t="shared" si="5"/>
        <v>850</v>
      </c>
      <c r="B495" s="344">
        <f t="shared" si="6"/>
        <v>90</v>
      </c>
      <c r="C495" s="369"/>
      <c r="D495" s="389" t="str">
        <f t="shared" si="7"/>
        <v>Saturday</v>
      </c>
      <c r="E495" s="344" t="s">
        <v>162</v>
      </c>
      <c r="F495" s="370"/>
      <c r="G495" s="370"/>
      <c r="H495" s="357">
        <f t="shared" si="29"/>
        <v>0</v>
      </c>
      <c r="I495" s="346">
        <f t="shared" si="31"/>
        <v>0</v>
      </c>
      <c r="J495" s="354" t="s">
        <v>636</v>
      </c>
      <c r="M495" s="360">
        <f t="shared" si="12"/>
        <v>48764</v>
      </c>
      <c r="N495" s="360">
        <f t="shared" si="9"/>
        <v>48770</v>
      </c>
      <c r="O495" s="2">
        <f t="shared" si="10"/>
        <v>0</v>
      </c>
      <c r="P495" s="2">
        <f t="shared" si="11"/>
        <v>0</v>
      </c>
    </row>
    <row r="496">
      <c r="A496" s="344">
        <f t="shared" si="5"/>
        <v>850</v>
      </c>
      <c r="B496" s="344">
        <f t="shared" si="6"/>
        <v>90</v>
      </c>
      <c r="C496" s="369"/>
      <c r="D496" s="389" t="str">
        <f t="shared" si="7"/>
        <v>Saturday</v>
      </c>
      <c r="E496" s="344" t="s">
        <v>162</v>
      </c>
      <c r="F496" s="370"/>
      <c r="G496" s="370"/>
      <c r="H496" s="357">
        <f t="shared" si="29"/>
        <v>0</v>
      </c>
      <c r="I496" s="346">
        <f t="shared" si="31"/>
        <v>0</v>
      </c>
      <c r="J496" s="354" t="s">
        <v>636</v>
      </c>
      <c r="M496" s="360">
        <f t="shared" si="12"/>
        <v>48771</v>
      </c>
      <c r="N496" s="360">
        <f t="shared" si="9"/>
        <v>48777</v>
      </c>
      <c r="O496" s="2">
        <f t="shared" si="10"/>
        <v>0</v>
      </c>
      <c r="P496" s="2">
        <f t="shared" si="11"/>
        <v>0</v>
      </c>
    </row>
    <row r="497">
      <c r="A497" s="344">
        <f t="shared" si="5"/>
        <v>850</v>
      </c>
      <c r="B497" s="344">
        <f t="shared" si="6"/>
        <v>90</v>
      </c>
      <c r="C497" s="369"/>
      <c r="D497" s="389" t="str">
        <f t="shared" si="7"/>
        <v>Saturday</v>
      </c>
      <c r="E497" s="344" t="s">
        <v>162</v>
      </c>
      <c r="F497" s="370"/>
      <c r="G497" s="370"/>
      <c r="H497" s="357">
        <f t="shared" si="29"/>
        <v>0</v>
      </c>
      <c r="I497" s="346">
        <f t="shared" si="31"/>
        <v>0</v>
      </c>
      <c r="J497" s="354" t="s">
        <v>636</v>
      </c>
      <c r="M497" s="360">
        <f t="shared" si="12"/>
        <v>48778</v>
      </c>
      <c r="N497" s="360">
        <f t="shared" si="9"/>
        <v>48784</v>
      </c>
      <c r="O497" s="2">
        <f t="shared" si="10"/>
        <v>0</v>
      </c>
      <c r="P497" s="2">
        <f t="shared" si="11"/>
        <v>0</v>
      </c>
    </row>
    <row r="498">
      <c r="A498" s="344">
        <f t="shared" si="5"/>
        <v>850</v>
      </c>
      <c r="B498" s="344">
        <f t="shared" si="6"/>
        <v>90</v>
      </c>
      <c r="C498" s="369"/>
      <c r="D498" s="389" t="str">
        <f t="shared" si="7"/>
        <v>Saturday</v>
      </c>
      <c r="E498" s="344" t="s">
        <v>162</v>
      </c>
      <c r="F498" s="370"/>
      <c r="G498" s="370"/>
      <c r="H498" s="357">
        <f t="shared" si="29"/>
        <v>0</v>
      </c>
      <c r="I498" s="346">
        <f t="shared" si="31"/>
        <v>0</v>
      </c>
      <c r="J498" s="354" t="s">
        <v>636</v>
      </c>
      <c r="M498" s="360">
        <f t="shared" si="12"/>
        <v>48785</v>
      </c>
      <c r="N498" s="360">
        <f t="shared" si="9"/>
        <v>48791</v>
      </c>
      <c r="O498" s="2">
        <f t="shared" si="10"/>
        <v>0</v>
      </c>
      <c r="P498" s="2">
        <f t="shared" si="11"/>
        <v>0</v>
      </c>
    </row>
    <row r="499">
      <c r="A499" s="344">
        <f t="shared" si="5"/>
        <v>850</v>
      </c>
      <c r="B499" s="344">
        <f t="shared" si="6"/>
        <v>90</v>
      </c>
      <c r="C499" s="369"/>
      <c r="D499" s="389" t="str">
        <f t="shared" si="7"/>
        <v>Saturday</v>
      </c>
      <c r="E499" s="344" t="s">
        <v>162</v>
      </c>
      <c r="F499" s="370"/>
      <c r="G499" s="370"/>
      <c r="H499" s="357">
        <f t="shared" si="29"/>
        <v>0</v>
      </c>
      <c r="I499" s="346">
        <f t="shared" si="31"/>
        <v>0</v>
      </c>
      <c r="J499" s="354" t="s">
        <v>636</v>
      </c>
      <c r="M499" s="360">
        <f t="shared" si="12"/>
        <v>48792</v>
      </c>
      <c r="N499" s="360">
        <f t="shared" si="9"/>
        <v>48798</v>
      </c>
      <c r="O499" s="2">
        <f t="shared" si="10"/>
        <v>0</v>
      </c>
      <c r="P499" s="2">
        <f t="shared" si="11"/>
        <v>0</v>
      </c>
    </row>
    <row r="500">
      <c r="A500" s="344">
        <f t="shared" si="5"/>
        <v>850</v>
      </c>
      <c r="B500" s="344">
        <f t="shared" si="6"/>
        <v>90</v>
      </c>
      <c r="C500" s="369"/>
      <c r="D500" s="389" t="str">
        <f t="shared" si="7"/>
        <v>Saturday</v>
      </c>
      <c r="E500" s="344" t="s">
        <v>162</v>
      </c>
      <c r="F500" s="370"/>
      <c r="G500" s="370"/>
      <c r="H500" s="357">
        <f t="shared" si="29"/>
        <v>0</v>
      </c>
      <c r="I500" s="346">
        <f t="shared" si="31"/>
        <v>0</v>
      </c>
      <c r="J500" s="354" t="s">
        <v>636</v>
      </c>
      <c r="M500" s="360">
        <f t="shared" si="12"/>
        <v>48799</v>
      </c>
      <c r="N500" s="360">
        <f t="shared" si="9"/>
        <v>48805</v>
      </c>
      <c r="O500" s="2">
        <f t="shared" si="10"/>
        <v>0</v>
      </c>
      <c r="P500" s="2">
        <f t="shared" si="11"/>
        <v>0</v>
      </c>
    </row>
    <row r="501">
      <c r="A501" s="344">
        <f t="shared" si="5"/>
        <v>850</v>
      </c>
      <c r="B501" s="344">
        <f t="shared" si="6"/>
        <v>90</v>
      </c>
      <c r="C501" s="369"/>
      <c r="D501" s="389" t="str">
        <f t="shared" si="7"/>
        <v>Saturday</v>
      </c>
      <c r="E501" s="344" t="s">
        <v>162</v>
      </c>
      <c r="F501" s="370"/>
      <c r="G501" s="370"/>
      <c r="H501" s="357">
        <f t="shared" si="29"/>
        <v>0</v>
      </c>
      <c r="I501" s="346">
        <f t="shared" si="31"/>
        <v>0</v>
      </c>
      <c r="J501" s="354" t="s">
        <v>636</v>
      </c>
      <c r="M501" s="360">
        <f t="shared" si="12"/>
        <v>48806</v>
      </c>
      <c r="N501" s="360">
        <f t="shared" si="9"/>
        <v>48812</v>
      </c>
      <c r="O501" s="2">
        <f t="shared" si="10"/>
        <v>0</v>
      </c>
      <c r="P501" s="2">
        <f t="shared" si="11"/>
        <v>0</v>
      </c>
    </row>
    <row r="502">
      <c r="A502" s="344">
        <f t="shared" si="5"/>
        <v>850</v>
      </c>
      <c r="B502" s="344">
        <f t="shared" si="6"/>
        <v>90</v>
      </c>
      <c r="C502" s="369"/>
      <c r="D502" s="389" t="str">
        <f t="shared" si="7"/>
        <v>Saturday</v>
      </c>
      <c r="E502" s="344" t="s">
        <v>162</v>
      </c>
      <c r="F502" s="370"/>
      <c r="G502" s="370"/>
      <c r="H502" s="357">
        <f t="shared" si="29"/>
        <v>0</v>
      </c>
      <c r="I502" s="346">
        <f t="shared" si="31"/>
        <v>0</v>
      </c>
      <c r="J502" s="354" t="s">
        <v>636</v>
      </c>
      <c r="M502" s="360">
        <f t="shared" si="12"/>
        <v>48813</v>
      </c>
      <c r="N502" s="360">
        <f t="shared" si="9"/>
        <v>48819</v>
      </c>
      <c r="O502" s="2">
        <f t="shared" si="10"/>
        <v>0</v>
      </c>
      <c r="P502" s="2">
        <f t="shared" si="11"/>
        <v>0</v>
      </c>
    </row>
    <row r="503">
      <c r="A503" s="344">
        <f t="shared" si="5"/>
        <v>850</v>
      </c>
      <c r="B503" s="344">
        <f t="shared" si="6"/>
        <v>90</v>
      </c>
      <c r="C503" s="369"/>
      <c r="D503" s="389" t="str">
        <f t="shared" si="7"/>
        <v>Saturday</v>
      </c>
      <c r="E503" s="344" t="s">
        <v>162</v>
      </c>
      <c r="F503" s="370"/>
      <c r="G503" s="370"/>
      <c r="H503" s="357">
        <f t="shared" si="29"/>
        <v>0</v>
      </c>
      <c r="I503" s="346">
        <f t="shared" si="31"/>
        <v>0</v>
      </c>
      <c r="J503" s="354" t="s">
        <v>636</v>
      </c>
      <c r="M503" s="360">
        <f t="shared" si="12"/>
        <v>48820</v>
      </c>
      <c r="N503" s="360">
        <f t="shared" si="9"/>
        <v>48826</v>
      </c>
      <c r="O503" s="2">
        <f t="shared" si="10"/>
        <v>0</v>
      </c>
      <c r="P503" s="2">
        <f t="shared" si="11"/>
        <v>0</v>
      </c>
    </row>
    <row r="504">
      <c r="A504" s="344">
        <f t="shared" si="5"/>
        <v>850</v>
      </c>
      <c r="B504" s="344">
        <f t="shared" si="6"/>
        <v>90</v>
      </c>
      <c r="C504" s="369"/>
      <c r="D504" s="389" t="str">
        <f t="shared" si="7"/>
        <v>Saturday</v>
      </c>
      <c r="E504" s="344" t="s">
        <v>162</v>
      </c>
      <c r="F504" s="370"/>
      <c r="G504" s="370"/>
      <c r="H504" s="357">
        <f t="shared" si="29"/>
        <v>0</v>
      </c>
      <c r="I504" s="346">
        <f t="shared" si="31"/>
        <v>0</v>
      </c>
      <c r="J504" s="354" t="s">
        <v>636</v>
      </c>
      <c r="M504" s="360">
        <f t="shared" si="12"/>
        <v>48827</v>
      </c>
      <c r="N504" s="360">
        <f t="shared" si="9"/>
        <v>48833</v>
      </c>
      <c r="O504" s="2">
        <f t="shared" si="10"/>
        <v>0</v>
      </c>
      <c r="P504" s="2">
        <f t="shared" si="11"/>
        <v>0</v>
      </c>
    </row>
    <row r="505">
      <c r="A505" s="344">
        <f t="shared" si="5"/>
        <v>850</v>
      </c>
      <c r="B505" s="344">
        <f t="shared" si="6"/>
        <v>90</v>
      </c>
      <c r="C505" s="369"/>
      <c r="D505" s="389" t="str">
        <f t="shared" si="7"/>
        <v>Saturday</v>
      </c>
      <c r="E505" s="344" t="s">
        <v>162</v>
      </c>
      <c r="F505" s="370"/>
      <c r="G505" s="370"/>
      <c r="H505" s="357">
        <f t="shared" si="29"/>
        <v>0</v>
      </c>
      <c r="I505" s="346">
        <f t="shared" si="31"/>
        <v>0</v>
      </c>
      <c r="J505" s="354" t="s">
        <v>636</v>
      </c>
      <c r="M505" s="360">
        <f t="shared" si="12"/>
        <v>48834</v>
      </c>
      <c r="N505" s="360">
        <f t="shared" si="9"/>
        <v>48840</v>
      </c>
      <c r="O505" s="2">
        <f t="shared" si="10"/>
        <v>0</v>
      </c>
      <c r="P505" s="2">
        <f t="shared" si="11"/>
        <v>0</v>
      </c>
    </row>
    <row r="506">
      <c r="A506" s="344">
        <f t="shared" si="5"/>
        <v>850</v>
      </c>
      <c r="B506" s="344">
        <f t="shared" si="6"/>
        <v>90</v>
      </c>
      <c r="C506" s="369"/>
      <c r="D506" s="389" t="str">
        <f t="shared" si="7"/>
        <v>Saturday</v>
      </c>
      <c r="E506" s="344" t="s">
        <v>162</v>
      </c>
      <c r="F506" s="370"/>
      <c r="G506" s="370"/>
      <c r="H506" s="357">
        <f t="shared" si="29"/>
        <v>0</v>
      </c>
      <c r="I506" s="346">
        <f t="shared" si="31"/>
        <v>0</v>
      </c>
      <c r="J506" s="354" t="s">
        <v>636</v>
      </c>
      <c r="M506" s="360">
        <f t="shared" si="12"/>
        <v>48841</v>
      </c>
      <c r="N506" s="360">
        <f t="shared" si="9"/>
        <v>48847</v>
      </c>
      <c r="O506" s="2">
        <f t="shared" si="10"/>
        <v>0</v>
      </c>
      <c r="P506" s="2">
        <f t="shared" si="11"/>
        <v>0</v>
      </c>
    </row>
    <row r="507">
      <c r="A507" s="344">
        <f t="shared" si="5"/>
        <v>850</v>
      </c>
      <c r="B507" s="344">
        <f t="shared" si="6"/>
        <v>90</v>
      </c>
      <c r="C507" s="369"/>
      <c r="D507" s="389" t="str">
        <f t="shared" si="7"/>
        <v>Saturday</v>
      </c>
      <c r="E507" s="344" t="s">
        <v>162</v>
      </c>
      <c r="F507" s="370"/>
      <c r="G507" s="370"/>
      <c r="H507" s="357">
        <f t="shared" si="29"/>
        <v>0</v>
      </c>
      <c r="I507" s="346">
        <f t="shared" si="31"/>
        <v>0</v>
      </c>
      <c r="J507" s="354" t="s">
        <v>636</v>
      </c>
      <c r="M507" s="360">
        <f t="shared" si="12"/>
        <v>48848</v>
      </c>
      <c r="N507" s="360">
        <f t="shared" si="9"/>
        <v>48854</v>
      </c>
      <c r="O507" s="2">
        <f t="shared" si="10"/>
        <v>0</v>
      </c>
      <c r="P507" s="2">
        <f t="shared" si="11"/>
        <v>0</v>
      </c>
    </row>
    <row r="508">
      <c r="A508" s="344">
        <f t="shared" si="5"/>
        <v>850</v>
      </c>
      <c r="B508" s="344">
        <f t="shared" si="6"/>
        <v>90</v>
      </c>
      <c r="C508" s="369"/>
      <c r="D508" s="389" t="str">
        <f t="shared" si="7"/>
        <v>Saturday</v>
      </c>
      <c r="E508" s="344" t="s">
        <v>162</v>
      </c>
      <c r="F508" s="370"/>
      <c r="G508" s="370"/>
      <c r="H508" s="357">
        <f t="shared" si="29"/>
        <v>0</v>
      </c>
      <c r="I508" s="346">
        <f t="shared" si="31"/>
        <v>0</v>
      </c>
      <c r="J508" s="354" t="s">
        <v>636</v>
      </c>
      <c r="M508" s="360">
        <f t="shared" si="12"/>
        <v>48855</v>
      </c>
      <c r="N508" s="360">
        <f t="shared" si="9"/>
        <v>48861</v>
      </c>
      <c r="O508" s="2">
        <f t="shared" si="10"/>
        <v>0</v>
      </c>
      <c r="P508" s="2">
        <f t="shared" si="11"/>
        <v>0</v>
      </c>
    </row>
    <row r="509">
      <c r="A509" s="344">
        <f t="shared" si="5"/>
        <v>850</v>
      </c>
      <c r="B509" s="344">
        <f t="shared" si="6"/>
        <v>90</v>
      </c>
      <c r="C509" s="369"/>
      <c r="D509" s="389" t="str">
        <f t="shared" si="7"/>
        <v>Saturday</v>
      </c>
      <c r="E509" s="344" t="s">
        <v>162</v>
      </c>
      <c r="F509" s="370"/>
      <c r="G509" s="370"/>
      <c r="H509" s="357">
        <f t="shared" si="29"/>
        <v>0</v>
      </c>
      <c r="I509" s="346">
        <f t="shared" si="31"/>
        <v>0</v>
      </c>
      <c r="J509" s="354" t="s">
        <v>636</v>
      </c>
      <c r="M509" s="360">
        <f t="shared" si="12"/>
        <v>48862</v>
      </c>
      <c r="N509" s="360">
        <f t="shared" si="9"/>
        <v>48868</v>
      </c>
      <c r="O509" s="2">
        <f t="shared" si="10"/>
        <v>0</v>
      </c>
      <c r="P509" s="2">
        <f t="shared" si="11"/>
        <v>0</v>
      </c>
    </row>
    <row r="510">
      <c r="A510" s="344">
        <f t="shared" si="5"/>
        <v>850</v>
      </c>
      <c r="B510" s="344">
        <f t="shared" si="6"/>
        <v>90</v>
      </c>
      <c r="C510" s="369"/>
      <c r="D510" s="389" t="str">
        <f t="shared" si="7"/>
        <v>Saturday</v>
      </c>
      <c r="E510" s="344" t="s">
        <v>162</v>
      </c>
      <c r="F510" s="370"/>
      <c r="G510" s="370"/>
      <c r="H510" s="357">
        <f t="shared" si="29"/>
        <v>0</v>
      </c>
      <c r="I510" s="346">
        <f t="shared" si="31"/>
        <v>0</v>
      </c>
      <c r="J510" s="354" t="s">
        <v>636</v>
      </c>
      <c r="M510" s="360">
        <f t="shared" si="12"/>
        <v>48869</v>
      </c>
      <c r="N510" s="360">
        <f t="shared" si="9"/>
        <v>48875</v>
      </c>
      <c r="O510" s="2">
        <f t="shared" si="10"/>
        <v>0</v>
      </c>
      <c r="P510" s="2">
        <f t="shared" si="11"/>
        <v>0</v>
      </c>
    </row>
    <row r="511">
      <c r="A511" s="344">
        <f t="shared" si="5"/>
        <v>850</v>
      </c>
      <c r="B511" s="344">
        <f t="shared" si="6"/>
        <v>90</v>
      </c>
      <c r="C511" s="369"/>
      <c r="D511" s="389" t="str">
        <f t="shared" si="7"/>
        <v>Saturday</v>
      </c>
      <c r="E511" s="344" t="s">
        <v>162</v>
      </c>
      <c r="F511" s="370"/>
      <c r="G511" s="370"/>
      <c r="H511" s="357">
        <f t="shared" si="29"/>
        <v>0</v>
      </c>
      <c r="I511" s="346">
        <f t="shared" si="31"/>
        <v>0</v>
      </c>
      <c r="J511" s="354" t="s">
        <v>636</v>
      </c>
      <c r="M511" s="360">
        <f t="shared" si="12"/>
        <v>48876</v>
      </c>
      <c r="N511" s="360">
        <f t="shared" si="9"/>
        <v>48882</v>
      </c>
      <c r="O511" s="2">
        <f t="shared" si="10"/>
        <v>0</v>
      </c>
      <c r="P511" s="2">
        <f t="shared" si="11"/>
        <v>0</v>
      </c>
    </row>
    <row r="512">
      <c r="A512" s="344">
        <f t="shared" si="5"/>
        <v>850</v>
      </c>
      <c r="B512" s="344">
        <f t="shared" si="6"/>
        <v>90</v>
      </c>
      <c r="C512" s="369"/>
      <c r="D512" s="389" t="str">
        <f t="shared" si="7"/>
        <v>Saturday</v>
      </c>
      <c r="E512" s="344" t="s">
        <v>162</v>
      </c>
      <c r="F512" s="370"/>
      <c r="G512" s="370"/>
      <c r="H512" s="357">
        <f t="shared" si="29"/>
        <v>0</v>
      </c>
      <c r="I512" s="346">
        <f t="shared" si="31"/>
        <v>0</v>
      </c>
      <c r="J512" s="354" t="s">
        <v>636</v>
      </c>
      <c r="M512" s="360">
        <f t="shared" si="12"/>
        <v>48883</v>
      </c>
      <c r="N512" s="360">
        <f t="shared" si="9"/>
        <v>48889</v>
      </c>
      <c r="O512" s="2">
        <f t="shared" si="10"/>
        <v>0</v>
      </c>
      <c r="P512" s="2">
        <f t="shared" si="11"/>
        <v>0</v>
      </c>
    </row>
    <row r="513">
      <c r="A513" s="344">
        <f t="shared" si="5"/>
        <v>850</v>
      </c>
      <c r="B513" s="344">
        <f t="shared" si="6"/>
        <v>90</v>
      </c>
      <c r="C513" s="369"/>
      <c r="D513" s="389" t="str">
        <f t="shared" si="7"/>
        <v>Saturday</v>
      </c>
      <c r="E513" s="344" t="s">
        <v>162</v>
      </c>
      <c r="F513" s="370"/>
      <c r="G513" s="370"/>
      <c r="H513" s="357">
        <f t="shared" si="29"/>
        <v>0</v>
      </c>
      <c r="I513" s="346">
        <f t="shared" si="31"/>
        <v>0</v>
      </c>
      <c r="J513" s="354" t="s">
        <v>636</v>
      </c>
      <c r="M513" s="360">
        <f t="shared" si="12"/>
        <v>48890</v>
      </c>
      <c r="N513" s="360">
        <f t="shared" si="9"/>
        <v>48896</v>
      </c>
      <c r="O513" s="2">
        <f t="shared" si="10"/>
        <v>0</v>
      </c>
      <c r="P513" s="2">
        <f t="shared" si="11"/>
        <v>0</v>
      </c>
    </row>
    <row r="514">
      <c r="A514" s="344">
        <f t="shared" si="5"/>
        <v>850</v>
      </c>
      <c r="B514" s="344">
        <f t="shared" si="6"/>
        <v>90</v>
      </c>
      <c r="C514" s="369"/>
      <c r="D514" s="389" t="str">
        <f t="shared" si="7"/>
        <v>Saturday</v>
      </c>
      <c r="E514" s="344" t="s">
        <v>162</v>
      </c>
      <c r="F514" s="370"/>
      <c r="G514" s="370"/>
      <c r="H514" s="357">
        <f t="shared" si="29"/>
        <v>0</v>
      </c>
      <c r="I514" s="346">
        <f t="shared" si="31"/>
        <v>0</v>
      </c>
      <c r="J514" s="354" t="s">
        <v>636</v>
      </c>
      <c r="M514" s="360">
        <f t="shared" si="12"/>
        <v>48897</v>
      </c>
      <c r="N514" s="360">
        <f t="shared" si="9"/>
        <v>48903</v>
      </c>
      <c r="O514" s="2">
        <f t="shared" si="10"/>
        <v>0</v>
      </c>
      <c r="P514" s="2">
        <f t="shared" si="11"/>
        <v>0</v>
      </c>
    </row>
    <row r="515">
      <c r="A515" s="344">
        <f t="shared" si="5"/>
        <v>850</v>
      </c>
      <c r="B515" s="344">
        <f t="shared" si="6"/>
        <v>90</v>
      </c>
      <c r="C515" s="369"/>
      <c r="D515" s="389" t="str">
        <f t="shared" si="7"/>
        <v>Saturday</v>
      </c>
      <c r="E515" s="344" t="s">
        <v>162</v>
      </c>
      <c r="F515" s="370"/>
      <c r="G515" s="370"/>
      <c r="H515" s="357">
        <f t="shared" si="29"/>
        <v>0</v>
      </c>
      <c r="I515" s="346">
        <f t="shared" si="31"/>
        <v>0</v>
      </c>
      <c r="J515" s="354" t="s">
        <v>636</v>
      </c>
      <c r="M515" s="360">
        <f t="shared" si="12"/>
        <v>48904</v>
      </c>
      <c r="N515" s="360">
        <f t="shared" si="9"/>
        <v>48910</v>
      </c>
      <c r="O515" s="2">
        <f t="shared" si="10"/>
        <v>0</v>
      </c>
      <c r="P515" s="2">
        <f t="shared" si="11"/>
        <v>0</v>
      </c>
    </row>
    <row r="516">
      <c r="A516" s="344">
        <f t="shared" si="5"/>
        <v>850</v>
      </c>
      <c r="B516" s="344">
        <f t="shared" si="6"/>
        <v>90</v>
      </c>
      <c r="C516" s="369"/>
      <c r="D516" s="389" t="str">
        <f t="shared" si="7"/>
        <v>Saturday</v>
      </c>
      <c r="E516" s="344" t="s">
        <v>162</v>
      </c>
      <c r="F516" s="370"/>
      <c r="G516" s="370"/>
      <c r="H516" s="357">
        <f t="shared" si="29"/>
        <v>0</v>
      </c>
      <c r="I516" s="346">
        <f t="shared" si="31"/>
        <v>0</v>
      </c>
      <c r="J516" s="354" t="s">
        <v>636</v>
      </c>
      <c r="M516" s="360">
        <f t="shared" si="12"/>
        <v>48911</v>
      </c>
      <c r="N516" s="360">
        <f t="shared" si="9"/>
        <v>48917</v>
      </c>
      <c r="O516" s="2">
        <f t="shared" si="10"/>
        <v>0</v>
      </c>
      <c r="P516" s="2">
        <f t="shared" si="11"/>
        <v>0</v>
      </c>
    </row>
    <row r="517">
      <c r="A517" s="344">
        <f t="shared" si="5"/>
        <v>850</v>
      </c>
      <c r="B517" s="344">
        <f t="shared" si="6"/>
        <v>90</v>
      </c>
      <c r="C517" s="369"/>
      <c r="D517" s="389" t="str">
        <f t="shared" si="7"/>
        <v>Saturday</v>
      </c>
      <c r="E517" s="344" t="s">
        <v>162</v>
      </c>
      <c r="F517" s="370"/>
      <c r="G517" s="370"/>
      <c r="H517" s="357">
        <f t="shared" si="29"/>
        <v>0</v>
      </c>
      <c r="I517" s="346">
        <f t="shared" si="31"/>
        <v>0</v>
      </c>
      <c r="J517" s="354" t="s">
        <v>636</v>
      </c>
      <c r="M517" s="360">
        <f t="shared" si="12"/>
        <v>48918</v>
      </c>
      <c r="N517" s="360">
        <f t="shared" si="9"/>
        <v>48924</v>
      </c>
      <c r="O517" s="2">
        <f t="shared" si="10"/>
        <v>0</v>
      </c>
      <c r="P517" s="2">
        <f t="shared" si="11"/>
        <v>0</v>
      </c>
    </row>
    <row r="518">
      <c r="A518" s="344">
        <f t="shared" si="5"/>
        <v>850</v>
      </c>
      <c r="B518" s="344">
        <f t="shared" si="6"/>
        <v>90</v>
      </c>
      <c r="C518" s="369"/>
      <c r="D518" s="389" t="str">
        <f t="shared" si="7"/>
        <v>Saturday</v>
      </c>
      <c r="E518" s="344" t="s">
        <v>162</v>
      </c>
      <c r="F518" s="370"/>
      <c r="G518" s="370"/>
      <c r="H518" s="357">
        <f t="shared" si="29"/>
        <v>0</v>
      </c>
      <c r="I518" s="346">
        <f t="shared" si="31"/>
        <v>0</v>
      </c>
      <c r="J518" s="354" t="s">
        <v>636</v>
      </c>
      <c r="M518" s="360">
        <f t="shared" si="12"/>
        <v>48925</v>
      </c>
      <c r="N518" s="360">
        <f t="shared" si="9"/>
        <v>48931</v>
      </c>
      <c r="O518" s="2">
        <f t="shared" si="10"/>
        <v>0</v>
      </c>
      <c r="P518" s="2">
        <f t="shared" si="11"/>
        <v>0</v>
      </c>
    </row>
    <row r="519">
      <c r="A519" s="344">
        <f t="shared" si="5"/>
        <v>850</v>
      </c>
      <c r="B519" s="344">
        <f t="shared" si="6"/>
        <v>90</v>
      </c>
      <c r="C519" s="369"/>
      <c r="D519" s="389" t="str">
        <f t="shared" si="7"/>
        <v>Saturday</v>
      </c>
      <c r="E519" s="344" t="s">
        <v>162</v>
      </c>
      <c r="F519" s="370"/>
      <c r="G519" s="370"/>
      <c r="H519" s="357">
        <f t="shared" si="29"/>
        <v>0</v>
      </c>
      <c r="I519" s="346">
        <f t="shared" si="31"/>
        <v>0</v>
      </c>
      <c r="J519" s="354" t="s">
        <v>636</v>
      </c>
      <c r="M519" s="360">
        <f t="shared" si="12"/>
        <v>48932</v>
      </c>
      <c r="N519" s="360">
        <f t="shared" si="9"/>
        <v>48938</v>
      </c>
      <c r="O519" s="2">
        <f t="shared" si="10"/>
        <v>0</v>
      </c>
      <c r="P519" s="2">
        <f t="shared" si="11"/>
        <v>0</v>
      </c>
    </row>
    <row r="520">
      <c r="A520" s="344">
        <f t="shared" si="5"/>
        <v>850</v>
      </c>
      <c r="B520" s="344">
        <f t="shared" si="6"/>
        <v>90</v>
      </c>
      <c r="C520" s="369"/>
      <c r="D520" s="389" t="str">
        <f t="shared" si="7"/>
        <v>Saturday</v>
      </c>
      <c r="E520" s="344" t="s">
        <v>162</v>
      </c>
      <c r="F520" s="370"/>
      <c r="G520" s="370"/>
      <c r="H520" s="357">
        <f t="shared" si="29"/>
        <v>0</v>
      </c>
      <c r="I520" s="346">
        <f t="shared" si="31"/>
        <v>0</v>
      </c>
      <c r="J520" s="354" t="s">
        <v>636</v>
      </c>
      <c r="M520" s="360">
        <f t="shared" si="12"/>
        <v>48939</v>
      </c>
      <c r="N520" s="360">
        <f t="shared" si="9"/>
        <v>48945</v>
      </c>
      <c r="O520" s="2">
        <f t="shared" si="10"/>
        <v>0</v>
      </c>
      <c r="P520" s="2">
        <f t="shared" si="11"/>
        <v>0</v>
      </c>
    </row>
    <row r="521">
      <c r="A521" s="344">
        <f t="shared" si="5"/>
        <v>850</v>
      </c>
      <c r="B521" s="344">
        <f t="shared" si="6"/>
        <v>90</v>
      </c>
      <c r="C521" s="369"/>
      <c r="D521" s="389" t="str">
        <f t="shared" si="7"/>
        <v>Saturday</v>
      </c>
      <c r="E521" s="344" t="s">
        <v>162</v>
      </c>
      <c r="F521" s="370"/>
      <c r="G521" s="370"/>
      <c r="H521" s="357">
        <f t="shared" si="29"/>
        <v>0</v>
      </c>
      <c r="I521" s="346">
        <f t="shared" si="31"/>
        <v>0</v>
      </c>
      <c r="J521" s="354" t="s">
        <v>636</v>
      </c>
      <c r="M521" s="360">
        <f t="shared" si="12"/>
        <v>48946</v>
      </c>
      <c r="N521" s="360">
        <f t="shared" si="9"/>
        <v>48952</v>
      </c>
      <c r="O521" s="2">
        <f t="shared" si="10"/>
        <v>0</v>
      </c>
      <c r="P521" s="2">
        <f t="shared" si="11"/>
        <v>0</v>
      </c>
    </row>
    <row r="522">
      <c r="A522" s="344">
        <f t="shared" si="5"/>
        <v>850</v>
      </c>
      <c r="B522" s="344">
        <f t="shared" si="6"/>
        <v>90</v>
      </c>
      <c r="C522" s="369"/>
      <c r="D522" s="389" t="str">
        <f t="shared" si="7"/>
        <v>Saturday</v>
      </c>
      <c r="E522" s="344" t="s">
        <v>162</v>
      </c>
      <c r="F522" s="370"/>
      <c r="G522" s="370"/>
      <c r="H522" s="357">
        <f t="shared" si="29"/>
        <v>0</v>
      </c>
      <c r="I522" s="346">
        <f t="shared" si="31"/>
        <v>0</v>
      </c>
      <c r="J522" s="354" t="s">
        <v>636</v>
      </c>
      <c r="M522" s="360">
        <f t="shared" si="12"/>
        <v>48953</v>
      </c>
      <c r="N522" s="360">
        <f t="shared" si="9"/>
        <v>48959</v>
      </c>
      <c r="O522" s="2">
        <f t="shared" si="10"/>
        <v>0</v>
      </c>
      <c r="P522" s="2">
        <f t="shared" si="11"/>
        <v>0</v>
      </c>
    </row>
    <row r="523">
      <c r="A523" s="344">
        <f t="shared" si="5"/>
        <v>850</v>
      </c>
      <c r="B523" s="344">
        <f t="shared" si="6"/>
        <v>90</v>
      </c>
      <c r="C523" s="369"/>
      <c r="D523" s="389" t="str">
        <f t="shared" si="7"/>
        <v>Saturday</v>
      </c>
      <c r="E523" s="344" t="s">
        <v>162</v>
      </c>
      <c r="F523" s="370"/>
      <c r="G523" s="370"/>
      <c r="H523" s="357">
        <f t="shared" si="29"/>
        <v>0</v>
      </c>
      <c r="I523" s="346">
        <f t="shared" si="31"/>
        <v>0</v>
      </c>
      <c r="J523" s="354" t="s">
        <v>636</v>
      </c>
      <c r="M523" s="360">
        <f t="shared" si="12"/>
        <v>48960</v>
      </c>
      <c r="N523" s="360">
        <f t="shared" si="9"/>
        <v>48966</v>
      </c>
      <c r="O523" s="2">
        <f t="shared" si="10"/>
        <v>0</v>
      </c>
      <c r="P523" s="2">
        <f t="shared" si="11"/>
        <v>0</v>
      </c>
    </row>
    <row r="524">
      <c r="A524" s="344">
        <f t="shared" si="5"/>
        <v>850</v>
      </c>
      <c r="B524" s="344">
        <f t="shared" si="6"/>
        <v>90</v>
      </c>
      <c r="C524" s="369"/>
      <c r="D524" s="389" t="str">
        <f t="shared" si="7"/>
        <v>Saturday</v>
      </c>
      <c r="E524" s="344" t="s">
        <v>162</v>
      </c>
      <c r="F524" s="370"/>
      <c r="G524" s="370"/>
      <c r="H524" s="357">
        <f t="shared" si="29"/>
        <v>0</v>
      </c>
      <c r="I524" s="346">
        <f t="shared" si="31"/>
        <v>0</v>
      </c>
      <c r="J524" s="354" t="s">
        <v>636</v>
      </c>
      <c r="M524" s="360">
        <f t="shared" si="12"/>
        <v>48967</v>
      </c>
      <c r="N524" s="360">
        <f t="shared" si="9"/>
        <v>48973</v>
      </c>
      <c r="O524" s="2">
        <f t="shared" si="10"/>
        <v>0</v>
      </c>
      <c r="P524" s="2">
        <f t="shared" si="11"/>
        <v>0</v>
      </c>
    </row>
    <row r="525">
      <c r="A525" s="344">
        <f t="shared" si="5"/>
        <v>850</v>
      </c>
      <c r="B525" s="344">
        <f t="shared" si="6"/>
        <v>90</v>
      </c>
      <c r="C525" s="369"/>
      <c r="D525" s="389" t="str">
        <f t="shared" si="7"/>
        <v>Saturday</v>
      </c>
      <c r="E525" s="344" t="s">
        <v>162</v>
      </c>
      <c r="F525" s="370"/>
      <c r="G525" s="370"/>
      <c r="H525" s="357">
        <f t="shared" si="29"/>
        <v>0</v>
      </c>
      <c r="I525" s="346">
        <f t="shared" si="31"/>
        <v>0</v>
      </c>
      <c r="J525" s="354" t="s">
        <v>636</v>
      </c>
      <c r="M525" s="360">
        <f t="shared" si="12"/>
        <v>48974</v>
      </c>
      <c r="N525" s="360">
        <f t="shared" si="9"/>
        <v>48980</v>
      </c>
      <c r="O525" s="2">
        <f t="shared" si="10"/>
        <v>0</v>
      </c>
      <c r="P525" s="2">
        <f t="shared" si="11"/>
        <v>0</v>
      </c>
    </row>
    <row r="526">
      <c r="A526" s="344">
        <f t="shared" si="5"/>
        <v>850</v>
      </c>
      <c r="B526" s="344">
        <f t="shared" si="6"/>
        <v>90</v>
      </c>
      <c r="C526" s="369"/>
      <c r="D526" s="389" t="str">
        <f t="shared" si="7"/>
        <v>Saturday</v>
      </c>
      <c r="E526" s="344" t="s">
        <v>162</v>
      </c>
      <c r="F526" s="370"/>
      <c r="G526" s="370"/>
      <c r="H526" s="357">
        <f t="shared" si="29"/>
        <v>0</v>
      </c>
      <c r="I526" s="346">
        <f t="shared" si="31"/>
        <v>0</v>
      </c>
      <c r="J526" s="354" t="s">
        <v>636</v>
      </c>
      <c r="M526" s="360">
        <f t="shared" si="12"/>
        <v>48981</v>
      </c>
      <c r="N526" s="360">
        <f t="shared" si="9"/>
        <v>48987</v>
      </c>
      <c r="O526" s="2">
        <f t="shared" si="10"/>
        <v>0</v>
      </c>
      <c r="P526" s="2">
        <f t="shared" si="11"/>
        <v>0</v>
      </c>
    </row>
    <row r="527">
      <c r="A527" s="344">
        <f t="shared" si="5"/>
        <v>850</v>
      </c>
      <c r="B527" s="344">
        <f t="shared" si="6"/>
        <v>90</v>
      </c>
      <c r="C527" s="369"/>
      <c r="D527" s="389" t="str">
        <f t="shared" si="7"/>
        <v>Saturday</v>
      </c>
      <c r="E527" s="344" t="s">
        <v>162</v>
      </c>
      <c r="F527" s="370"/>
      <c r="G527" s="370"/>
      <c r="H527" s="357">
        <f t="shared" si="29"/>
        <v>0</v>
      </c>
      <c r="I527" s="346">
        <f t="shared" si="31"/>
        <v>0</v>
      </c>
      <c r="J527" s="354" t="s">
        <v>636</v>
      </c>
      <c r="M527" s="360">
        <f t="shared" si="12"/>
        <v>48988</v>
      </c>
      <c r="N527" s="360">
        <f t="shared" si="9"/>
        <v>48994</v>
      </c>
      <c r="O527" s="2">
        <f t="shared" si="10"/>
        <v>0</v>
      </c>
      <c r="P527" s="2">
        <f t="shared" si="11"/>
        <v>0</v>
      </c>
    </row>
    <row r="528">
      <c r="A528" s="344">
        <f t="shared" si="5"/>
        <v>850</v>
      </c>
      <c r="B528" s="344">
        <f t="shared" si="6"/>
        <v>90</v>
      </c>
      <c r="C528" s="369"/>
      <c r="D528" s="389" t="str">
        <f t="shared" si="7"/>
        <v>Saturday</v>
      </c>
      <c r="E528" s="344" t="s">
        <v>162</v>
      </c>
      <c r="F528" s="370"/>
      <c r="G528" s="370"/>
      <c r="H528" s="357">
        <f t="shared" si="29"/>
        <v>0</v>
      </c>
      <c r="I528" s="346">
        <f t="shared" si="31"/>
        <v>0</v>
      </c>
      <c r="J528" s="354" t="s">
        <v>636</v>
      </c>
      <c r="M528" s="360">
        <f t="shared" si="12"/>
        <v>48995</v>
      </c>
      <c r="N528" s="360">
        <f t="shared" si="9"/>
        <v>49001</v>
      </c>
      <c r="O528" s="2">
        <f t="shared" si="10"/>
        <v>0</v>
      </c>
      <c r="P528" s="2">
        <f t="shared" si="11"/>
        <v>0</v>
      </c>
    </row>
    <row r="529">
      <c r="A529" s="344">
        <f t="shared" si="5"/>
        <v>850</v>
      </c>
      <c r="B529" s="344">
        <f t="shared" si="6"/>
        <v>90</v>
      </c>
      <c r="C529" s="369"/>
      <c r="D529" s="389" t="str">
        <f t="shared" si="7"/>
        <v>Saturday</v>
      </c>
      <c r="E529" s="344" t="s">
        <v>162</v>
      </c>
      <c r="F529" s="370"/>
      <c r="G529" s="370"/>
      <c r="H529" s="357">
        <f t="shared" si="29"/>
        <v>0</v>
      </c>
      <c r="I529" s="346">
        <f t="shared" si="31"/>
        <v>0</v>
      </c>
      <c r="J529" s="354" t="s">
        <v>636</v>
      </c>
      <c r="M529" s="360">
        <f t="shared" si="12"/>
        <v>49002</v>
      </c>
      <c r="N529" s="360">
        <f t="shared" si="9"/>
        <v>49008</v>
      </c>
      <c r="O529" s="2">
        <f t="shared" si="10"/>
        <v>0</v>
      </c>
      <c r="P529" s="2">
        <f t="shared" si="11"/>
        <v>0</v>
      </c>
    </row>
    <row r="530">
      <c r="A530" s="344">
        <f t="shared" si="5"/>
        <v>850</v>
      </c>
      <c r="B530" s="344">
        <f t="shared" si="6"/>
        <v>90</v>
      </c>
      <c r="C530" s="369"/>
      <c r="D530" s="389" t="str">
        <f t="shared" si="7"/>
        <v>Saturday</v>
      </c>
      <c r="E530" s="344" t="s">
        <v>162</v>
      </c>
      <c r="F530" s="370"/>
      <c r="G530" s="370"/>
      <c r="H530" s="357">
        <f t="shared" si="29"/>
        <v>0</v>
      </c>
      <c r="I530" s="346">
        <f t="shared" si="31"/>
        <v>0</v>
      </c>
      <c r="J530" s="354" t="s">
        <v>636</v>
      </c>
      <c r="M530" s="360">
        <f t="shared" si="12"/>
        <v>49009</v>
      </c>
      <c r="N530" s="360">
        <f t="shared" si="9"/>
        <v>49015</v>
      </c>
      <c r="O530" s="2">
        <f t="shared" si="10"/>
        <v>0</v>
      </c>
      <c r="P530" s="2">
        <f t="shared" si="11"/>
        <v>0</v>
      </c>
    </row>
    <row r="531">
      <c r="A531" s="344">
        <f t="shared" si="5"/>
        <v>850</v>
      </c>
      <c r="B531" s="344">
        <f t="shared" si="6"/>
        <v>90</v>
      </c>
      <c r="C531" s="369"/>
      <c r="D531" s="389" t="str">
        <f t="shared" si="7"/>
        <v>Saturday</v>
      </c>
      <c r="E531" s="344" t="s">
        <v>162</v>
      </c>
      <c r="F531" s="370"/>
      <c r="G531" s="370"/>
      <c r="H531" s="357">
        <f t="shared" si="29"/>
        <v>0</v>
      </c>
      <c r="I531" s="346">
        <f t="shared" si="31"/>
        <v>0</v>
      </c>
      <c r="J531" s="354" t="s">
        <v>636</v>
      </c>
      <c r="M531" s="360">
        <f t="shared" si="12"/>
        <v>49016</v>
      </c>
      <c r="N531" s="360">
        <f t="shared" si="9"/>
        <v>49022</v>
      </c>
      <c r="O531" s="2">
        <f t="shared" si="10"/>
        <v>0</v>
      </c>
      <c r="P531" s="2">
        <f t="shared" si="11"/>
        <v>0</v>
      </c>
    </row>
    <row r="532">
      <c r="A532" s="344">
        <f t="shared" si="5"/>
        <v>850</v>
      </c>
      <c r="B532" s="344">
        <f t="shared" si="6"/>
        <v>90</v>
      </c>
      <c r="C532" s="369"/>
      <c r="D532" s="389" t="str">
        <f t="shared" si="7"/>
        <v>Saturday</v>
      </c>
      <c r="E532" s="344" t="s">
        <v>162</v>
      </c>
      <c r="F532" s="370"/>
      <c r="G532" s="370"/>
      <c r="H532" s="357">
        <f t="shared" si="29"/>
        <v>0</v>
      </c>
      <c r="I532" s="346">
        <f t="shared" si="31"/>
        <v>0</v>
      </c>
      <c r="J532" s="354" t="s">
        <v>636</v>
      </c>
      <c r="M532" s="360">
        <f t="shared" si="12"/>
        <v>49023</v>
      </c>
      <c r="N532" s="360">
        <f t="shared" si="9"/>
        <v>49029</v>
      </c>
      <c r="O532" s="2">
        <f t="shared" si="10"/>
        <v>0</v>
      </c>
      <c r="P532" s="2">
        <f t="shared" si="11"/>
        <v>0</v>
      </c>
    </row>
    <row r="533">
      <c r="A533" s="344">
        <f t="shared" si="5"/>
        <v>850</v>
      </c>
      <c r="B533" s="344">
        <f t="shared" si="6"/>
        <v>90</v>
      </c>
      <c r="C533" s="369"/>
      <c r="D533" s="389" t="str">
        <f t="shared" si="7"/>
        <v>Saturday</v>
      </c>
      <c r="E533" s="344" t="s">
        <v>162</v>
      </c>
      <c r="F533" s="370"/>
      <c r="G533" s="370"/>
      <c r="H533" s="357">
        <f t="shared" si="29"/>
        <v>0</v>
      </c>
      <c r="I533" s="346">
        <f t="shared" si="31"/>
        <v>0</v>
      </c>
      <c r="J533" s="354" t="s">
        <v>636</v>
      </c>
      <c r="M533" s="360">
        <f t="shared" si="12"/>
        <v>49030</v>
      </c>
      <c r="N533" s="360">
        <f t="shared" si="9"/>
        <v>49036</v>
      </c>
      <c r="O533" s="2">
        <f t="shared" si="10"/>
        <v>0</v>
      </c>
      <c r="P533" s="2">
        <f t="shared" si="11"/>
        <v>0</v>
      </c>
    </row>
    <row r="534">
      <c r="A534" s="344">
        <f t="shared" si="5"/>
        <v>850</v>
      </c>
      <c r="B534" s="344">
        <f t="shared" si="6"/>
        <v>90</v>
      </c>
      <c r="C534" s="369"/>
      <c r="D534" s="389" t="str">
        <f t="shared" si="7"/>
        <v>Saturday</v>
      </c>
      <c r="E534" s="344" t="s">
        <v>162</v>
      </c>
      <c r="F534" s="370"/>
      <c r="G534" s="370"/>
      <c r="H534" s="357">
        <f t="shared" si="29"/>
        <v>0</v>
      </c>
      <c r="I534" s="346">
        <f t="shared" si="31"/>
        <v>0</v>
      </c>
      <c r="J534" s="354" t="s">
        <v>636</v>
      </c>
      <c r="M534" s="360">
        <f t="shared" si="12"/>
        <v>49037</v>
      </c>
      <c r="N534" s="360">
        <f t="shared" si="9"/>
        <v>49043</v>
      </c>
      <c r="O534" s="2">
        <f t="shared" si="10"/>
        <v>0</v>
      </c>
      <c r="P534" s="2">
        <f t="shared" si="11"/>
        <v>0</v>
      </c>
    </row>
    <row r="535">
      <c r="A535" s="344">
        <f t="shared" si="5"/>
        <v>850</v>
      </c>
      <c r="B535" s="344">
        <f t="shared" si="6"/>
        <v>90</v>
      </c>
      <c r="C535" s="369"/>
      <c r="D535" s="389" t="str">
        <f t="shared" si="7"/>
        <v>Saturday</v>
      </c>
      <c r="E535" s="344" t="s">
        <v>162</v>
      </c>
      <c r="F535" s="370"/>
      <c r="G535" s="370"/>
      <c r="H535" s="357">
        <f t="shared" si="29"/>
        <v>0</v>
      </c>
      <c r="I535" s="346">
        <f t="shared" si="31"/>
        <v>0</v>
      </c>
      <c r="J535" s="354" t="s">
        <v>636</v>
      </c>
      <c r="M535" s="360">
        <f t="shared" si="12"/>
        <v>49044</v>
      </c>
      <c r="N535" s="360">
        <f t="shared" si="9"/>
        <v>49050</v>
      </c>
      <c r="O535" s="2">
        <f t="shared" si="10"/>
        <v>0</v>
      </c>
      <c r="P535" s="2">
        <f t="shared" si="11"/>
        <v>0</v>
      </c>
    </row>
    <row r="536">
      <c r="A536" s="344">
        <f t="shared" si="5"/>
        <v>850</v>
      </c>
      <c r="B536" s="344">
        <f t="shared" si="6"/>
        <v>90</v>
      </c>
      <c r="C536" s="369"/>
      <c r="D536" s="389" t="str">
        <f t="shared" si="7"/>
        <v>Saturday</v>
      </c>
      <c r="E536" s="344" t="s">
        <v>162</v>
      </c>
      <c r="F536" s="370"/>
      <c r="G536" s="370"/>
      <c r="H536" s="357">
        <f t="shared" si="29"/>
        <v>0</v>
      </c>
      <c r="I536" s="346">
        <f t="shared" si="31"/>
        <v>0</v>
      </c>
      <c r="J536" s="354" t="s">
        <v>636</v>
      </c>
      <c r="M536" s="360">
        <f t="shared" si="12"/>
        <v>49051</v>
      </c>
      <c r="N536" s="360">
        <f t="shared" si="9"/>
        <v>49057</v>
      </c>
      <c r="O536" s="2">
        <f t="shared" si="10"/>
        <v>0</v>
      </c>
      <c r="P536" s="2">
        <f t="shared" si="11"/>
        <v>0</v>
      </c>
    </row>
    <row r="537">
      <c r="A537" s="344">
        <f t="shared" si="5"/>
        <v>850</v>
      </c>
      <c r="B537" s="344">
        <f t="shared" si="6"/>
        <v>90</v>
      </c>
      <c r="C537" s="369"/>
      <c r="D537" s="389" t="str">
        <f t="shared" si="7"/>
        <v>Saturday</v>
      </c>
      <c r="E537" s="344" t="s">
        <v>162</v>
      </c>
      <c r="F537" s="370"/>
      <c r="G537" s="370"/>
      <c r="H537" s="357">
        <f t="shared" si="29"/>
        <v>0</v>
      </c>
      <c r="I537" s="346">
        <f t="shared" si="31"/>
        <v>0</v>
      </c>
      <c r="J537" s="354" t="s">
        <v>636</v>
      </c>
      <c r="M537" s="360">
        <f t="shared" si="12"/>
        <v>49058</v>
      </c>
      <c r="N537" s="360">
        <f t="shared" si="9"/>
        <v>49064</v>
      </c>
      <c r="O537" s="2">
        <f t="shared" si="10"/>
        <v>0</v>
      </c>
      <c r="P537" s="2">
        <f t="shared" si="11"/>
        <v>0</v>
      </c>
    </row>
    <row r="538">
      <c r="A538" s="344">
        <f t="shared" si="5"/>
        <v>850</v>
      </c>
      <c r="B538" s="344">
        <f t="shared" si="6"/>
        <v>90</v>
      </c>
      <c r="C538" s="369"/>
      <c r="D538" s="389" t="str">
        <f t="shared" si="7"/>
        <v>Saturday</v>
      </c>
      <c r="E538" s="344" t="s">
        <v>162</v>
      </c>
      <c r="F538" s="370"/>
      <c r="G538" s="370"/>
      <c r="H538" s="357">
        <f t="shared" si="29"/>
        <v>0</v>
      </c>
      <c r="I538" s="346">
        <f t="shared" si="31"/>
        <v>0</v>
      </c>
      <c r="J538" s="354" t="s">
        <v>636</v>
      </c>
      <c r="M538" s="360">
        <f t="shared" si="12"/>
        <v>49065</v>
      </c>
      <c r="N538" s="360">
        <f t="shared" si="9"/>
        <v>49071</v>
      </c>
      <c r="O538" s="2">
        <f t="shared" si="10"/>
        <v>0</v>
      </c>
      <c r="P538" s="2">
        <f t="shared" si="11"/>
        <v>0</v>
      </c>
    </row>
    <row r="539">
      <c r="A539" s="344">
        <f t="shared" si="5"/>
        <v>850</v>
      </c>
      <c r="B539" s="344">
        <f t="shared" si="6"/>
        <v>90</v>
      </c>
      <c r="C539" s="369"/>
      <c r="D539" s="389" t="str">
        <f t="shared" si="7"/>
        <v>Saturday</v>
      </c>
      <c r="E539" s="344" t="s">
        <v>162</v>
      </c>
      <c r="F539" s="370"/>
      <c r="G539" s="370"/>
      <c r="H539" s="357">
        <f t="shared" si="29"/>
        <v>0</v>
      </c>
      <c r="I539" s="346">
        <f t="shared" si="31"/>
        <v>0</v>
      </c>
      <c r="J539" s="354" t="s">
        <v>636</v>
      </c>
      <c r="M539" s="360">
        <f t="shared" si="12"/>
        <v>49072</v>
      </c>
      <c r="N539" s="360">
        <f t="shared" si="9"/>
        <v>49078</v>
      </c>
      <c r="O539" s="2">
        <f t="shared" si="10"/>
        <v>0</v>
      </c>
      <c r="P539" s="2">
        <f t="shared" si="11"/>
        <v>0</v>
      </c>
    </row>
    <row r="540">
      <c r="A540" s="344">
        <f t="shared" si="5"/>
        <v>850</v>
      </c>
      <c r="B540" s="344">
        <f t="shared" si="6"/>
        <v>90</v>
      </c>
      <c r="C540" s="369"/>
      <c r="D540" s="389" t="str">
        <f t="shared" si="7"/>
        <v>Saturday</v>
      </c>
      <c r="E540" s="344" t="s">
        <v>162</v>
      </c>
      <c r="F540" s="370"/>
      <c r="G540" s="370"/>
      <c r="H540" s="357">
        <f t="shared" si="29"/>
        <v>0</v>
      </c>
      <c r="I540" s="346">
        <f t="shared" si="31"/>
        <v>0</v>
      </c>
      <c r="J540" s="354" t="s">
        <v>636</v>
      </c>
      <c r="M540" s="360">
        <f t="shared" si="12"/>
        <v>49079</v>
      </c>
      <c r="N540" s="360">
        <f t="shared" si="9"/>
        <v>49085</v>
      </c>
      <c r="O540" s="2">
        <f t="shared" si="10"/>
        <v>0</v>
      </c>
      <c r="P540" s="2">
        <f t="shared" si="11"/>
        <v>0</v>
      </c>
    </row>
    <row r="541">
      <c r="A541" s="344">
        <f t="shared" si="5"/>
        <v>850</v>
      </c>
      <c r="B541" s="344">
        <f t="shared" si="6"/>
        <v>90</v>
      </c>
      <c r="C541" s="369"/>
      <c r="D541" s="389" t="str">
        <f t="shared" si="7"/>
        <v>Saturday</v>
      </c>
      <c r="E541" s="344" t="s">
        <v>162</v>
      </c>
      <c r="F541" s="370"/>
      <c r="G541" s="370"/>
      <c r="H541" s="357">
        <f t="shared" si="29"/>
        <v>0</v>
      </c>
      <c r="I541" s="346">
        <f t="shared" si="31"/>
        <v>0</v>
      </c>
      <c r="J541" s="354" t="s">
        <v>636</v>
      </c>
      <c r="M541" s="360">
        <f t="shared" si="12"/>
        <v>49086</v>
      </c>
      <c r="N541" s="360">
        <f t="shared" si="9"/>
        <v>49092</v>
      </c>
      <c r="O541" s="2">
        <f t="shared" si="10"/>
        <v>0</v>
      </c>
      <c r="P541" s="2">
        <f t="shared" si="11"/>
        <v>0</v>
      </c>
    </row>
    <row r="542">
      <c r="A542" s="344">
        <f t="shared" si="5"/>
        <v>850</v>
      </c>
      <c r="B542" s="344">
        <f t="shared" si="6"/>
        <v>90</v>
      </c>
      <c r="C542" s="369"/>
      <c r="D542" s="389" t="str">
        <f t="shared" si="7"/>
        <v>Saturday</v>
      </c>
      <c r="E542" s="344" t="s">
        <v>162</v>
      </c>
      <c r="F542" s="370"/>
      <c r="G542" s="370"/>
      <c r="H542" s="357">
        <f t="shared" si="29"/>
        <v>0</v>
      </c>
      <c r="I542" s="346">
        <f t="shared" si="31"/>
        <v>0</v>
      </c>
      <c r="J542" s="354" t="s">
        <v>636</v>
      </c>
      <c r="M542" s="360">
        <f t="shared" si="12"/>
        <v>49093</v>
      </c>
      <c r="N542" s="360">
        <f t="shared" si="9"/>
        <v>49099</v>
      </c>
      <c r="O542" s="2">
        <f t="shared" si="10"/>
        <v>0</v>
      </c>
      <c r="P542" s="2">
        <f t="shared" si="11"/>
        <v>0</v>
      </c>
    </row>
    <row r="543">
      <c r="A543" s="344">
        <f t="shared" si="5"/>
        <v>850</v>
      </c>
      <c r="B543" s="344">
        <f t="shared" si="6"/>
        <v>90</v>
      </c>
      <c r="C543" s="369"/>
      <c r="D543" s="389" t="str">
        <f t="shared" si="7"/>
        <v>Saturday</v>
      </c>
      <c r="E543" s="344" t="s">
        <v>162</v>
      </c>
      <c r="F543" s="370"/>
      <c r="G543" s="370"/>
      <c r="H543" s="357">
        <f t="shared" si="29"/>
        <v>0</v>
      </c>
      <c r="I543" s="346">
        <f t="shared" si="31"/>
        <v>0</v>
      </c>
      <c r="J543" s="354" t="s">
        <v>636</v>
      </c>
      <c r="M543" s="360">
        <f t="shared" si="12"/>
        <v>49100</v>
      </c>
      <c r="N543" s="360">
        <f t="shared" si="9"/>
        <v>49106</v>
      </c>
      <c r="O543" s="2">
        <f t="shared" si="10"/>
        <v>0</v>
      </c>
      <c r="P543" s="2">
        <f t="shared" si="11"/>
        <v>0</v>
      </c>
    </row>
    <row r="544">
      <c r="A544" s="344">
        <f t="shared" si="5"/>
        <v>850</v>
      </c>
      <c r="B544" s="344">
        <f t="shared" si="6"/>
        <v>90</v>
      </c>
      <c r="C544" s="369"/>
      <c r="D544" s="389" t="str">
        <f t="shared" si="7"/>
        <v>Saturday</v>
      </c>
      <c r="E544" s="344" t="s">
        <v>162</v>
      </c>
      <c r="F544" s="370"/>
      <c r="G544" s="370"/>
      <c r="H544" s="357">
        <f t="shared" si="29"/>
        <v>0</v>
      </c>
      <c r="I544" s="346">
        <f t="shared" si="31"/>
        <v>0</v>
      </c>
      <c r="J544" s="354" t="s">
        <v>636</v>
      </c>
      <c r="M544" s="360">
        <f t="shared" si="12"/>
        <v>49107</v>
      </c>
      <c r="N544" s="360">
        <f t="shared" si="9"/>
        <v>49113</v>
      </c>
      <c r="O544" s="2">
        <f t="shared" si="10"/>
        <v>0</v>
      </c>
      <c r="P544" s="2">
        <f t="shared" si="11"/>
        <v>0</v>
      </c>
    </row>
    <row r="545">
      <c r="A545" s="344">
        <f t="shared" si="5"/>
        <v>850</v>
      </c>
      <c r="B545" s="344">
        <f t="shared" si="6"/>
        <v>90</v>
      </c>
      <c r="C545" s="369"/>
      <c r="D545" s="389" t="str">
        <f t="shared" si="7"/>
        <v>Saturday</v>
      </c>
      <c r="E545" s="344" t="s">
        <v>162</v>
      </c>
      <c r="F545" s="370"/>
      <c r="G545" s="370"/>
      <c r="H545" s="357">
        <f t="shared" si="29"/>
        <v>0</v>
      </c>
      <c r="I545" s="346">
        <f t="shared" si="31"/>
        <v>0</v>
      </c>
      <c r="J545" s="354" t="s">
        <v>636</v>
      </c>
      <c r="M545" s="360">
        <f t="shared" si="12"/>
        <v>49114</v>
      </c>
      <c r="N545" s="360">
        <f t="shared" si="9"/>
        <v>49120</v>
      </c>
      <c r="O545" s="2">
        <f t="shared" si="10"/>
        <v>0</v>
      </c>
      <c r="P545" s="2">
        <f t="shared" si="11"/>
        <v>0</v>
      </c>
    </row>
    <row r="546">
      <c r="A546" s="344">
        <f t="shared" si="5"/>
        <v>850</v>
      </c>
      <c r="B546" s="344">
        <f t="shared" si="6"/>
        <v>90</v>
      </c>
      <c r="C546" s="369"/>
      <c r="D546" s="389" t="str">
        <f t="shared" si="7"/>
        <v>Saturday</v>
      </c>
      <c r="E546" s="344" t="s">
        <v>162</v>
      </c>
      <c r="F546" s="370"/>
      <c r="G546" s="370"/>
      <c r="H546" s="357">
        <f t="shared" si="29"/>
        <v>0</v>
      </c>
      <c r="I546" s="346">
        <f t="shared" si="31"/>
        <v>0</v>
      </c>
      <c r="J546" s="354" t="s">
        <v>636</v>
      </c>
      <c r="M546" s="360">
        <f t="shared" si="12"/>
        <v>49121</v>
      </c>
      <c r="N546" s="360">
        <f t="shared" si="9"/>
        <v>49127</v>
      </c>
      <c r="O546" s="2">
        <f t="shared" si="10"/>
        <v>0</v>
      </c>
      <c r="P546" s="2">
        <f t="shared" si="11"/>
        <v>0</v>
      </c>
    </row>
    <row r="547">
      <c r="A547" s="344">
        <f t="shared" si="5"/>
        <v>850</v>
      </c>
      <c r="B547" s="344">
        <f t="shared" si="6"/>
        <v>90</v>
      </c>
      <c r="C547" s="369"/>
      <c r="D547" s="389" t="str">
        <f t="shared" si="7"/>
        <v>Saturday</v>
      </c>
      <c r="E547" s="344" t="s">
        <v>162</v>
      </c>
      <c r="F547" s="370"/>
      <c r="G547" s="370"/>
      <c r="H547" s="357">
        <f t="shared" si="29"/>
        <v>0</v>
      </c>
      <c r="I547" s="346">
        <f t="shared" si="31"/>
        <v>0</v>
      </c>
      <c r="J547" s="354" t="s">
        <v>636</v>
      </c>
      <c r="M547" s="360">
        <f t="shared" si="12"/>
        <v>49128</v>
      </c>
      <c r="N547" s="360">
        <f t="shared" si="9"/>
        <v>49134</v>
      </c>
      <c r="O547" s="2">
        <f t="shared" si="10"/>
        <v>0</v>
      </c>
      <c r="P547" s="2">
        <f t="shared" si="11"/>
        <v>0</v>
      </c>
    </row>
    <row r="548">
      <c r="A548" s="344">
        <f t="shared" si="5"/>
        <v>850</v>
      </c>
      <c r="B548" s="344">
        <f t="shared" si="6"/>
        <v>90</v>
      </c>
      <c r="C548" s="369"/>
      <c r="D548" s="389" t="str">
        <f t="shared" si="7"/>
        <v>Saturday</v>
      </c>
      <c r="E548" s="344" t="s">
        <v>162</v>
      </c>
      <c r="F548" s="370"/>
      <c r="G548" s="370"/>
      <c r="H548" s="357">
        <f t="shared" si="29"/>
        <v>0</v>
      </c>
      <c r="I548" s="346">
        <f t="shared" si="31"/>
        <v>0</v>
      </c>
      <c r="J548" s="354" t="s">
        <v>636</v>
      </c>
      <c r="M548" s="360">
        <f t="shared" si="12"/>
        <v>49135</v>
      </c>
      <c r="N548" s="360">
        <f t="shared" si="9"/>
        <v>49141</v>
      </c>
      <c r="O548" s="2">
        <f t="shared" si="10"/>
        <v>0</v>
      </c>
      <c r="P548" s="2">
        <f t="shared" si="11"/>
        <v>0</v>
      </c>
    </row>
    <row r="549">
      <c r="A549" s="344">
        <f t="shared" si="5"/>
        <v>850</v>
      </c>
      <c r="B549" s="344">
        <f t="shared" si="6"/>
        <v>90</v>
      </c>
      <c r="C549" s="369"/>
      <c r="D549" s="389" t="str">
        <f t="shared" si="7"/>
        <v>Saturday</v>
      </c>
      <c r="E549" s="344" t="s">
        <v>162</v>
      </c>
      <c r="F549" s="370"/>
      <c r="G549" s="370"/>
      <c r="H549" s="357">
        <f t="shared" si="29"/>
        <v>0</v>
      </c>
      <c r="I549" s="346">
        <f t="shared" si="31"/>
        <v>0</v>
      </c>
      <c r="J549" s="354" t="s">
        <v>636</v>
      </c>
      <c r="M549" s="360">
        <f t="shared" si="12"/>
        <v>49142</v>
      </c>
      <c r="N549" s="360">
        <f t="shared" si="9"/>
        <v>49148</v>
      </c>
      <c r="O549" s="2">
        <f t="shared" si="10"/>
        <v>0</v>
      </c>
      <c r="P549" s="2">
        <f t="shared" si="11"/>
        <v>0</v>
      </c>
    </row>
    <row r="550">
      <c r="A550" s="344">
        <f t="shared" si="5"/>
        <v>850</v>
      </c>
      <c r="B550" s="344">
        <f t="shared" si="6"/>
        <v>90</v>
      </c>
      <c r="C550" s="369"/>
      <c r="D550" s="389" t="str">
        <f t="shared" si="7"/>
        <v>Saturday</v>
      </c>
      <c r="E550" s="344" t="s">
        <v>162</v>
      </c>
      <c r="F550" s="370"/>
      <c r="G550" s="370"/>
      <c r="H550" s="357">
        <f t="shared" si="29"/>
        <v>0</v>
      </c>
      <c r="I550" s="346">
        <f t="shared" si="31"/>
        <v>0</v>
      </c>
      <c r="J550" s="354" t="s">
        <v>636</v>
      </c>
      <c r="M550" s="360">
        <f t="shared" si="12"/>
        <v>49149</v>
      </c>
      <c r="N550" s="360">
        <f t="shared" si="9"/>
        <v>49155</v>
      </c>
      <c r="O550" s="2">
        <f t="shared" si="10"/>
        <v>0</v>
      </c>
      <c r="P550" s="2">
        <f t="shared" si="11"/>
        <v>0</v>
      </c>
    </row>
    <row r="551">
      <c r="A551" s="344">
        <f t="shared" si="5"/>
        <v>850</v>
      </c>
      <c r="B551" s="344">
        <f t="shared" si="6"/>
        <v>90</v>
      </c>
      <c r="C551" s="369"/>
      <c r="D551" s="389" t="str">
        <f t="shared" si="7"/>
        <v>Saturday</v>
      </c>
      <c r="E551" s="344" t="s">
        <v>162</v>
      </c>
      <c r="F551" s="370"/>
      <c r="G551" s="370"/>
      <c r="H551" s="357">
        <f t="shared" si="29"/>
        <v>0</v>
      </c>
      <c r="I551" s="346">
        <f t="shared" si="31"/>
        <v>0</v>
      </c>
      <c r="J551" s="354" t="s">
        <v>636</v>
      </c>
      <c r="M551" s="360">
        <f t="shared" si="12"/>
        <v>49156</v>
      </c>
      <c r="N551" s="360">
        <f t="shared" si="9"/>
        <v>49162</v>
      </c>
      <c r="O551" s="2">
        <f t="shared" si="10"/>
        <v>0</v>
      </c>
      <c r="P551" s="2">
        <f t="shared" si="11"/>
        <v>0</v>
      </c>
    </row>
    <row r="552">
      <c r="A552" s="344">
        <f t="shared" si="5"/>
        <v>850</v>
      </c>
      <c r="B552" s="344">
        <f t="shared" si="6"/>
        <v>90</v>
      </c>
      <c r="C552" s="369"/>
      <c r="D552" s="389" t="str">
        <f t="shared" si="7"/>
        <v>Saturday</v>
      </c>
      <c r="E552" s="344" t="s">
        <v>162</v>
      </c>
      <c r="F552" s="370"/>
      <c r="G552" s="370"/>
      <c r="H552" s="357">
        <f t="shared" si="29"/>
        <v>0</v>
      </c>
      <c r="I552" s="346">
        <f t="shared" si="31"/>
        <v>0</v>
      </c>
      <c r="J552" s="354" t="s">
        <v>636</v>
      </c>
      <c r="M552" s="360">
        <f t="shared" si="12"/>
        <v>49163</v>
      </c>
      <c r="N552" s="360">
        <f t="shared" si="9"/>
        <v>49169</v>
      </c>
      <c r="O552" s="2">
        <f t="shared" si="10"/>
        <v>0</v>
      </c>
      <c r="P552" s="2">
        <f t="shared" si="11"/>
        <v>0</v>
      </c>
    </row>
    <row r="553">
      <c r="A553" s="344">
        <f t="shared" si="5"/>
        <v>850</v>
      </c>
      <c r="B553" s="344">
        <f t="shared" si="6"/>
        <v>90</v>
      </c>
      <c r="C553" s="369"/>
      <c r="D553" s="389" t="str">
        <f t="shared" si="7"/>
        <v>Saturday</v>
      </c>
      <c r="E553" s="344" t="s">
        <v>162</v>
      </c>
      <c r="F553" s="370"/>
      <c r="G553" s="370"/>
      <c r="H553" s="357">
        <f t="shared" si="29"/>
        <v>0</v>
      </c>
      <c r="I553" s="346">
        <f t="shared" si="31"/>
        <v>0</v>
      </c>
      <c r="J553" s="354" t="s">
        <v>636</v>
      </c>
      <c r="M553" s="360">
        <f t="shared" si="12"/>
        <v>49170</v>
      </c>
      <c r="N553" s="360">
        <f t="shared" si="9"/>
        <v>49176</v>
      </c>
      <c r="O553" s="2">
        <f t="shared" si="10"/>
        <v>0</v>
      </c>
      <c r="P553" s="2">
        <f t="shared" si="11"/>
        <v>0</v>
      </c>
    </row>
    <row r="554">
      <c r="A554" s="344">
        <f t="shared" si="5"/>
        <v>850</v>
      </c>
      <c r="B554" s="344">
        <f t="shared" si="6"/>
        <v>90</v>
      </c>
      <c r="C554" s="369"/>
      <c r="D554" s="389" t="str">
        <f t="shared" si="7"/>
        <v>Saturday</v>
      </c>
      <c r="E554" s="344" t="s">
        <v>162</v>
      </c>
      <c r="F554" s="370"/>
      <c r="G554" s="370"/>
      <c r="H554" s="357">
        <f t="shared" si="29"/>
        <v>0</v>
      </c>
      <c r="I554" s="346">
        <f t="shared" si="31"/>
        <v>0</v>
      </c>
      <c r="J554" s="354" t="s">
        <v>636</v>
      </c>
      <c r="M554" s="360">
        <f t="shared" si="12"/>
        <v>49177</v>
      </c>
      <c r="N554" s="360">
        <f t="shared" si="9"/>
        <v>49183</v>
      </c>
      <c r="O554" s="2">
        <f t="shared" si="10"/>
        <v>0</v>
      </c>
      <c r="P554" s="2">
        <f t="shared" si="11"/>
        <v>0</v>
      </c>
    </row>
    <row r="555">
      <c r="A555" s="344">
        <f t="shared" si="5"/>
        <v>850</v>
      </c>
      <c r="B555" s="344">
        <f t="shared" si="6"/>
        <v>90</v>
      </c>
      <c r="C555" s="369"/>
      <c r="D555" s="389" t="str">
        <f t="shared" si="7"/>
        <v>Saturday</v>
      </c>
      <c r="E555" s="344" t="s">
        <v>162</v>
      </c>
      <c r="F555" s="370"/>
      <c r="G555" s="370"/>
      <c r="H555" s="357">
        <f t="shared" si="29"/>
        <v>0</v>
      </c>
      <c r="I555" s="346">
        <f t="shared" si="31"/>
        <v>0</v>
      </c>
      <c r="J555" s="354" t="s">
        <v>636</v>
      </c>
      <c r="M555" s="360">
        <f t="shared" si="12"/>
        <v>49184</v>
      </c>
      <c r="N555" s="360">
        <f t="shared" si="9"/>
        <v>49190</v>
      </c>
      <c r="O555" s="2">
        <f t="shared" si="10"/>
        <v>0</v>
      </c>
      <c r="P555" s="2">
        <f t="shared" si="11"/>
        <v>0</v>
      </c>
    </row>
    <row r="556">
      <c r="A556" s="344">
        <f t="shared" si="5"/>
        <v>850</v>
      </c>
      <c r="B556" s="344">
        <f t="shared" si="6"/>
        <v>90</v>
      </c>
      <c r="C556" s="369"/>
      <c r="D556" s="389" t="str">
        <f t="shared" si="7"/>
        <v>Saturday</v>
      </c>
      <c r="E556" s="344" t="s">
        <v>162</v>
      </c>
      <c r="F556" s="370"/>
      <c r="G556" s="370"/>
      <c r="H556" s="357">
        <f t="shared" si="29"/>
        <v>0</v>
      </c>
      <c r="I556" s="346">
        <f t="shared" si="31"/>
        <v>0</v>
      </c>
      <c r="J556" s="354" t="s">
        <v>636</v>
      </c>
      <c r="M556" s="360">
        <f t="shared" si="12"/>
        <v>49191</v>
      </c>
      <c r="N556" s="360">
        <f t="shared" si="9"/>
        <v>49197</v>
      </c>
      <c r="O556" s="2">
        <f t="shared" si="10"/>
        <v>0</v>
      </c>
      <c r="P556" s="2">
        <f t="shared" si="11"/>
        <v>0</v>
      </c>
    </row>
    <row r="557">
      <c r="A557" s="344">
        <f t="shared" si="5"/>
        <v>850</v>
      </c>
      <c r="B557" s="344">
        <f t="shared" si="6"/>
        <v>90</v>
      </c>
      <c r="C557" s="369"/>
      <c r="D557" s="389" t="str">
        <f t="shared" si="7"/>
        <v>Saturday</v>
      </c>
      <c r="E557" s="344" t="s">
        <v>162</v>
      </c>
      <c r="F557" s="370"/>
      <c r="G557" s="370"/>
      <c r="H557" s="357">
        <f t="shared" si="29"/>
        <v>0</v>
      </c>
      <c r="I557" s="346">
        <f t="shared" si="31"/>
        <v>0</v>
      </c>
      <c r="J557" s="354" t="s">
        <v>636</v>
      </c>
      <c r="M557" s="360">
        <f t="shared" si="12"/>
        <v>49198</v>
      </c>
      <c r="N557" s="360">
        <f t="shared" si="9"/>
        <v>49204</v>
      </c>
      <c r="O557" s="2">
        <f t="shared" si="10"/>
        <v>0</v>
      </c>
      <c r="P557" s="2">
        <f t="shared" si="11"/>
        <v>0</v>
      </c>
    </row>
    <row r="558">
      <c r="A558" s="344">
        <f t="shared" si="5"/>
        <v>850</v>
      </c>
      <c r="B558" s="344">
        <f t="shared" si="6"/>
        <v>90</v>
      </c>
      <c r="C558" s="369"/>
      <c r="D558" s="389" t="str">
        <f t="shared" si="7"/>
        <v>Saturday</v>
      </c>
      <c r="E558" s="344" t="s">
        <v>162</v>
      </c>
      <c r="F558" s="370"/>
      <c r="G558" s="370"/>
      <c r="H558" s="357">
        <f t="shared" si="29"/>
        <v>0</v>
      </c>
      <c r="I558" s="346">
        <f t="shared" si="31"/>
        <v>0</v>
      </c>
      <c r="J558" s="354" t="s">
        <v>636</v>
      </c>
      <c r="M558" s="360">
        <f t="shared" si="12"/>
        <v>49205</v>
      </c>
      <c r="N558" s="360">
        <f t="shared" si="9"/>
        <v>49211</v>
      </c>
      <c r="O558" s="2">
        <f t="shared" si="10"/>
        <v>0</v>
      </c>
      <c r="P558" s="2">
        <f t="shared" si="11"/>
        <v>0</v>
      </c>
    </row>
    <row r="559">
      <c r="A559" s="344">
        <f t="shared" si="5"/>
        <v>850</v>
      </c>
      <c r="B559" s="344">
        <f t="shared" si="6"/>
        <v>90</v>
      </c>
      <c r="C559" s="369"/>
      <c r="D559" s="389" t="str">
        <f t="shared" si="7"/>
        <v>Saturday</v>
      </c>
      <c r="E559" s="344" t="s">
        <v>162</v>
      </c>
      <c r="F559" s="370"/>
      <c r="G559" s="370"/>
      <c r="H559" s="357">
        <f t="shared" si="29"/>
        <v>0</v>
      </c>
      <c r="I559" s="346">
        <f t="shared" si="31"/>
        <v>0</v>
      </c>
      <c r="J559" s="354" t="s">
        <v>636</v>
      </c>
      <c r="M559" s="360">
        <f t="shared" si="12"/>
        <v>49212</v>
      </c>
      <c r="N559" s="360">
        <f t="shared" si="9"/>
        <v>49218</v>
      </c>
      <c r="O559" s="2">
        <f t="shared" si="10"/>
        <v>0</v>
      </c>
      <c r="P559" s="2">
        <f t="shared" si="11"/>
        <v>0</v>
      </c>
    </row>
    <row r="560">
      <c r="A560" s="344">
        <f t="shared" si="5"/>
        <v>850</v>
      </c>
      <c r="B560" s="344">
        <f t="shared" si="6"/>
        <v>90</v>
      </c>
      <c r="C560" s="369"/>
      <c r="D560" s="389" t="str">
        <f t="shared" si="7"/>
        <v>Saturday</v>
      </c>
      <c r="E560" s="344" t="s">
        <v>162</v>
      </c>
      <c r="F560" s="370"/>
      <c r="G560" s="370"/>
      <c r="H560" s="357">
        <f t="shared" si="29"/>
        <v>0</v>
      </c>
      <c r="I560" s="346">
        <f t="shared" si="31"/>
        <v>0</v>
      </c>
      <c r="J560" s="354" t="s">
        <v>636</v>
      </c>
      <c r="M560" s="360">
        <f t="shared" si="12"/>
        <v>49219</v>
      </c>
      <c r="N560" s="360">
        <f t="shared" si="9"/>
        <v>49225</v>
      </c>
      <c r="O560" s="2">
        <f t="shared" si="10"/>
        <v>0</v>
      </c>
      <c r="P560" s="2">
        <f t="shared" si="11"/>
        <v>0</v>
      </c>
    </row>
    <row r="561">
      <c r="A561" s="344">
        <f t="shared" si="5"/>
        <v>850</v>
      </c>
      <c r="B561" s="344">
        <f t="shared" si="6"/>
        <v>90</v>
      </c>
      <c r="C561" s="369"/>
      <c r="D561" s="389" t="str">
        <f t="shared" si="7"/>
        <v>Saturday</v>
      </c>
      <c r="E561" s="344" t="s">
        <v>162</v>
      </c>
      <c r="F561" s="370"/>
      <c r="G561" s="370"/>
      <c r="H561" s="357">
        <f t="shared" si="29"/>
        <v>0</v>
      </c>
      <c r="I561" s="346">
        <f t="shared" si="31"/>
        <v>0</v>
      </c>
      <c r="J561" s="354" t="s">
        <v>636</v>
      </c>
      <c r="M561" s="360">
        <f t="shared" si="12"/>
        <v>49226</v>
      </c>
      <c r="N561" s="360">
        <f t="shared" si="9"/>
        <v>49232</v>
      </c>
      <c r="O561" s="2">
        <f t="shared" si="10"/>
        <v>0</v>
      </c>
      <c r="P561" s="2">
        <f t="shared" si="11"/>
        <v>0</v>
      </c>
    </row>
    <row r="562">
      <c r="A562" s="344">
        <f t="shared" si="5"/>
        <v>850</v>
      </c>
      <c r="B562" s="344">
        <f t="shared" si="6"/>
        <v>90</v>
      </c>
      <c r="C562" s="369"/>
      <c r="D562" s="389" t="str">
        <f t="shared" si="7"/>
        <v>Saturday</v>
      </c>
      <c r="E562" s="344" t="s">
        <v>162</v>
      </c>
      <c r="F562" s="370"/>
      <c r="G562" s="370"/>
      <c r="H562" s="357">
        <f t="shared" si="29"/>
        <v>0</v>
      </c>
      <c r="I562" s="346">
        <f t="shared" si="31"/>
        <v>0</v>
      </c>
      <c r="J562" s="354" t="s">
        <v>636</v>
      </c>
      <c r="M562" s="360">
        <f t="shared" si="12"/>
        <v>49233</v>
      </c>
      <c r="N562" s="360">
        <f t="shared" si="9"/>
        <v>49239</v>
      </c>
      <c r="O562" s="2">
        <f t="shared" si="10"/>
        <v>0</v>
      </c>
      <c r="P562" s="2">
        <f t="shared" si="11"/>
        <v>0</v>
      </c>
    </row>
    <row r="563">
      <c r="A563" s="344">
        <f t="shared" si="5"/>
        <v>850</v>
      </c>
      <c r="B563" s="344">
        <f t="shared" si="6"/>
        <v>90</v>
      </c>
      <c r="C563" s="369"/>
      <c r="D563" s="389" t="str">
        <f t="shared" si="7"/>
        <v>Saturday</v>
      </c>
      <c r="E563" s="344" t="s">
        <v>162</v>
      </c>
      <c r="F563" s="370"/>
      <c r="G563" s="370"/>
      <c r="H563" s="357">
        <f t="shared" si="29"/>
        <v>0</v>
      </c>
      <c r="I563" s="346">
        <f t="shared" si="31"/>
        <v>0</v>
      </c>
      <c r="J563" s="354" t="s">
        <v>636</v>
      </c>
      <c r="M563" s="360">
        <f t="shared" si="12"/>
        <v>49240</v>
      </c>
      <c r="N563" s="360">
        <f t="shared" si="9"/>
        <v>49246</v>
      </c>
      <c r="O563" s="2">
        <f t="shared" si="10"/>
        <v>0</v>
      </c>
      <c r="P563" s="2">
        <f t="shared" si="11"/>
        <v>0</v>
      </c>
    </row>
    <row r="564">
      <c r="A564" s="344">
        <f t="shared" si="5"/>
        <v>850</v>
      </c>
      <c r="B564" s="344">
        <f t="shared" si="6"/>
        <v>90</v>
      </c>
      <c r="C564" s="369"/>
      <c r="D564" s="389" t="str">
        <f t="shared" si="7"/>
        <v>Saturday</v>
      </c>
      <c r="E564" s="344" t="s">
        <v>162</v>
      </c>
      <c r="F564" s="370"/>
      <c r="G564" s="370"/>
      <c r="H564" s="357">
        <f t="shared" si="29"/>
        <v>0</v>
      </c>
      <c r="I564" s="346">
        <f t="shared" si="31"/>
        <v>0</v>
      </c>
      <c r="J564" s="354" t="s">
        <v>636</v>
      </c>
      <c r="M564" s="360">
        <f t="shared" si="12"/>
        <v>49247</v>
      </c>
      <c r="N564" s="360">
        <f t="shared" si="9"/>
        <v>49253</v>
      </c>
      <c r="O564" s="2">
        <f t="shared" si="10"/>
        <v>0</v>
      </c>
      <c r="P564" s="2">
        <f t="shared" si="11"/>
        <v>0</v>
      </c>
    </row>
    <row r="565">
      <c r="A565" s="344">
        <f t="shared" si="5"/>
        <v>850</v>
      </c>
      <c r="B565" s="344">
        <f t="shared" si="6"/>
        <v>90</v>
      </c>
      <c r="C565" s="369"/>
      <c r="D565" s="389" t="str">
        <f t="shared" si="7"/>
        <v>Saturday</v>
      </c>
      <c r="E565" s="344" t="s">
        <v>162</v>
      </c>
      <c r="F565" s="370"/>
      <c r="G565" s="370"/>
      <c r="H565" s="357">
        <f t="shared" si="29"/>
        <v>0</v>
      </c>
      <c r="I565" s="346">
        <f t="shared" si="31"/>
        <v>0</v>
      </c>
      <c r="J565" s="354" t="s">
        <v>636</v>
      </c>
      <c r="M565" s="360">
        <f t="shared" si="12"/>
        <v>49254</v>
      </c>
      <c r="N565" s="360">
        <f t="shared" si="9"/>
        <v>49260</v>
      </c>
      <c r="O565" s="2">
        <f t="shared" si="10"/>
        <v>0</v>
      </c>
      <c r="P565" s="2">
        <f t="shared" si="11"/>
        <v>0</v>
      </c>
    </row>
    <row r="566">
      <c r="A566" s="344">
        <f t="shared" si="5"/>
        <v>850</v>
      </c>
      <c r="B566" s="344">
        <f t="shared" si="6"/>
        <v>90</v>
      </c>
      <c r="C566" s="369"/>
      <c r="D566" s="389" t="str">
        <f t="shared" si="7"/>
        <v>Saturday</v>
      </c>
      <c r="E566" s="344" t="s">
        <v>162</v>
      </c>
      <c r="F566" s="370"/>
      <c r="G566" s="370"/>
      <c r="H566" s="357">
        <f t="shared" si="29"/>
        <v>0</v>
      </c>
      <c r="I566" s="346">
        <f t="shared" si="31"/>
        <v>0</v>
      </c>
      <c r="J566" s="354" t="s">
        <v>636</v>
      </c>
      <c r="M566" s="360">
        <f t="shared" si="12"/>
        <v>49261</v>
      </c>
      <c r="N566" s="360">
        <f t="shared" si="9"/>
        <v>49267</v>
      </c>
      <c r="O566" s="2">
        <f t="shared" si="10"/>
        <v>0</v>
      </c>
      <c r="P566" s="2">
        <f t="shared" si="11"/>
        <v>0</v>
      </c>
    </row>
    <row r="567">
      <c r="A567" s="344">
        <f t="shared" si="5"/>
        <v>850</v>
      </c>
      <c r="B567" s="344">
        <f t="shared" si="6"/>
        <v>90</v>
      </c>
      <c r="C567" s="369"/>
      <c r="D567" s="389" t="str">
        <f t="shared" si="7"/>
        <v>Saturday</v>
      </c>
      <c r="E567" s="344" t="s">
        <v>162</v>
      </c>
      <c r="F567" s="370"/>
      <c r="G567" s="370"/>
      <c r="H567" s="357">
        <f t="shared" si="29"/>
        <v>0</v>
      </c>
      <c r="I567" s="346">
        <f t="shared" si="31"/>
        <v>0</v>
      </c>
      <c r="J567" s="354" t="s">
        <v>636</v>
      </c>
      <c r="M567" s="360">
        <f t="shared" si="12"/>
        <v>49268</v>
      </c>
      <c r="N567" s="360">
        <f t="shared" si="9"/>
        <v>49274</v>
      </c>
      <c r="O567" s="2">
        <f t="shared" si="10"/>
        <v>0</v>
      </c>
      <c r="P567" s="2">
        <f t="shared" si="11"/>
        <v>0</v>
      </c>
    </row>
    <row r="568">
      <c r="A568" s="344">
        <f t="shared" si="5"/>
        <v>850</v>
      </c>
      <c r="B568" s="344">
        <f t="shared" si="6"/>
        <v>90</v>
      </c>
      <c r="C568" s="369"/>
      <c r="D568" s="389" t="str">
        <f t="shared" si="7"/>
        <v>Saturday</v>
      </c>
      <c r="E568" s="344" t="s">
        <v>162</v>
      </c>
      <c r="F568" s="370"/>
      <c r="G568" s="370"/>
      <c r="H568" s="357">
        <f t="shared" si="29"/>
        <v>0</v>
      </c>
      <c r="I568" s="346">
        <f t="shared" si="31"/>
        <v>0</v>
      </c>
      <c r="J568" s="354" t="s">
        <v>636</v>
      </c>
      <c r="M568" s="360">
        <f t="shared" si="12"/>
        <v>49275</v>
      </c>
      <c r="N568" s="360">
        <f t="shared" si="9"/>
        <v>49281</v>
      </c>
      <c r="O568" s="2">
        <f t="shared" si="10"/>
        <v>0</v>
      </c>
      <c r="P568" s="2">
        <f t="shared" si="11"/>
        <v>0</v>
      </c>
    </row>
    <row r="569">
      <c r="A569" s="344">
        <f t="shared" si="5"/>
        <v>850</v>
      </c>
      <c r="B569" s="344">
        <f t="shared" si="6"/>
        <v>90</v>
      </c>
      <c r="C569" s="369"/>
      <c r="D569" s="389" t="str">
        <f t="shared" si="7"/>
        <v>Saturday</v>
      </c>
      <c r="E569" s="344" t="s">
        <v>162</v>
      </c>
      <c r="F569" s="370"/>
      <c r="G569" s="370"/>
      <c r="H569" s="357">
        <f t="shared" si="29"/>
        <v>0</v>
      </c>
      <c r="I569" s="346">
        <f t="shared" si="31"/>
        <v>0</v>
      </c>
      <c r="J569" s="354" t="s">
        <v>636</v>
      </c>
      <c r="M569" s="360">
        <f t="shared" si="12"/>
        <v>49282</v>
      </c>
      <c r="N569" s="360">
        <f t="shared" si="9"/>
        <v>49288</v>
      </c>
      <c r="O569" s="2">
        <f t="shared" si="10"/>
        <v>0</v>
      </c>
      <c r="P569" s="2">
        <f t="shared" si="11"/>
        <v>0</v>
      </c>
    </row>
    <row r="570">
      <c r="A570" s="344">
        <f t="shared" si="5"/>
        <v>850</v>
      </c>
      <c r="B570" s="344">
        <f t="shared" si="6"/>
        <v>90</v>
      </c>
      <c r="C570" s="369"/>
      <c r="D570" s="389" t="str">
        <f t="shared" si="7"/>
        <v>Saturday</v>
      </c>
      <c r="E570" s="344" t="s">
        <v>162</v>
      </c>
      <c r="F570" s="370"/>
      <c r="G570" s="370"/>
      <c r="H570" s="357">
        <f t="shared" si="29"/>
        <v>0</v>
      </c>
      <c r="I570" s="346">
        <f t="shared" si="31"/>
        <v>0</v>
      </c>
      <c r="J570" s="354" t="s">
        <v>636</v>
      </c>
      <c r="M570" s="360">
        <f t="shared" si="12"/>
        <v>49289</v>
      </c>
      <c r="N570" s="360">
        <f t="shared" si="9"/>
        <v>49295</v>
      </c>
      <c r="O570" s="2">
        <f t="shared" si="10"/>
        <v>0</v>
      </c>
      <c r="P570" s="2">
        <f t="shared" si="11"/>
        <v>0</v>
      </c>
    </row>
    <row r="571">
      <c r="A571" s="344">
        <f t="shared" si="5"/>
        <v>850</v>
      </c>
      <c r="B571" s="344">
        <f t="shared" si="6"/>
        <v>90</v>
      </c>
      <c r="C571" s="369"/>
      <c r="D571" s="389" t="str">
        <f t="shared" si="7"/>
        <v>Saturday</v>
      </c>
      <c r="E571" s="344" t="s">
        <v>162</v>
      </c>
      <c r="F571" s="370"/>
      <c r="G571" s="370"/>
      <c r="H571" s="357">
        <f t="shared" si="29"/>
        <v>0</v>
      </c>
      <c r="I571" s="346">
        <f t="shared" si="31"/>
        <v>0</v>
      </c>
      <c r="J571" s="354" t="s">
        <v>636</v>
      </c>
      <c r="M571" s="360">
        <f t="shared" si="12"/>
        <v>49296</v>
      </c>
      <c r="N571" s="360">
        <f t="shared" si="9"/>
        <v>49302</v>
      </c>
      <c r="O571" s="2">
        <f t="shared" si="10"/>
        <v>0</v>
      </c>
      <c r="P571" s="2">
        <f t="shared" si="11"/>
        <v>0</v>
      </c>
    </row>
    <row r="572">
      <c r="A572" s="344">
        <f t="shared" si="5"/>
        <v>850</v>
      </c>
      <c r="B572" s="344">
        <f t="shared" si="6"/>
        <v>90</v>
      </c>
      <c r="C572" s="369"/>
      <c r="D572" s="389" t="str">
        <f t="shared" si="7"/>
        <v>Saturday</v>
      </c>
      <c r="E572" s="344" t="s">
        <v>162</v>
      </c>
      <c r="F572" s="370"/>
      <c r="G572" s="370"/>
      <c r="H572" s="357">
        <f t="shared" si="29"/>
        <v>0</v>
      </c>
      <c r="I572" s="346">
        <f t="shared" si="31"/>
        <v>0</v>
      </c>
      <c r="J572" s="354" t="s">
        <v>636</v>
      </c>
      <c r="M572" s="360">
        <f t="shared" si="12"/>
        <v>49303</v>
      </c>
      <c r="N572" s="360">
        <f t="shared" si="9"/>
        <v>49309</v>
      </c>
      <c r="O572" s="2">
        <f t="shared" si="10"/>
        <v>0</v>
      </c>
      <c r="P572" s="2">
        <f t="shared" si="11"/>
        <v>0</v>
      </c>
    </row>
    <row r="573">
      <c r="A573" s="344">
        <f t="shared" si="5"/>
        <v>850</v>
      </c>
      <c r="B573" s="344">
        <f t="shared" si="6"/>
        <v>90</v>
      </c>
      <c r="C573" s="369"/>
      <c r="D573" s="389" t="str">
        <f t="shared" si="7"/>
        <v>Saturday</v>
      </c>
      <c r="E573" s="344" t="s">
        <v>162</v>
      </c>
      <c r="F573" s="370"/>
      <c r="G573" s="370"/>
      <c r="H573" s="357">
        <f t="shared" si="29"/>
        <v>0</v>
      </c>
      <c r="I573" s="346">
        <f t="shared" si="31"/>
        <v>0</v>
      </c>
      <c r="J573" s="354" t="s">
        <v>636</v>
      </c>
      <c r="M573" s="360">
        <f t="shared" si="12"/>
        <v>49310</v>
      </c>
      <c r="N573" s="360">
        <f t="shared" si="9"/>
        <v>49316</v>
      </c>
      <c r="O573" s="2">
        <f t="shared" si="10"/>
        <v>0</v>
      </c>
      <c r="P573" s="2">
        <f t="shared" si="11"/>
        <v>0</v>
      </c>
    </row>
    <row r="574">
      <c r="A574" s="344">
        <f t="shared" si="5"/>
        <v>850</v>
      </c>
      <c r="B574" s="344">
        <f t="shared" si="6"/>
        <v>90</v>
      </c>
      <c r="C574" s="369"/>
      <c r="D574" s="389" t="str">
        <f t="shared" si="7"/>
        <v>Saturday</v>
      </c>
      <c r="E574" s="344" t="s">
        <v>162</v>
      </c>
      <c r="F574" s="370"/>
      <c r="G574" s="370"/>
      <c r="H574" s="357">
        <f t="shared" si="29"/>
        <v>0</v>
      </c>
      <c r="I574" s="346">
        <f t="shared" si="31"/>
        <v>0</v>
      </c>
      <c r="J574" s="354" t="s">
        <v>636</v>
      </c>
      <c r="M574" s="360">
        <f t="shared" si="12"/>
        <v>49317</v>
      </c>
      <c r="N574" s="360">
        <f t="shared" si="9"/>
        <v>49323</v>
      </c>
      <c r="O574" s="2">
        <f t="shared" si="10"/>
        <v>0</v>
      </c>
      <c r="P574" s="2">
        <f t="shared" si="11"/>
        <v>0</v>
      </c>
    </row>
    <row r="575">
      <c r="A575" s="344">
        <f t="shared" si="5"/>
        <v>850</v>
      </c>
      <c r="B575" s="344">
        <f t="shared" si="6"/>
        <v>90</v>
      </c>
      <c r="C575" s="369"/>
      <c r="D575" s="389" t="str">
        <f t="shared" si="7"/>
        <v>Saturday</v>
      </c>
      <c r="E575" s="344" t="s">
        <v>162</v>
      </c>
      <c r="F575" s="370"/>
      <c r="G575" s="370"/>
      <c r="H575" s="357">
        <f t="shared" si="29"/>
        <v>0</v>
      </c>
      <c r="I575" s="346">
        <f t="shared" si="31"/>
        <v>0</v>
      </c>
      <c r="J575" s="354" t="s">
        <v>636</v>
      </c>
      <c r="M575" s="360">
        <f t="shared" si="12"/>
        <v>49324</v>
      </c>
      <c r="N575" s="360">
        <f t="shared" si="9"/>
        <v>49330</v>
      </c>
      <c r="O575" s="2">
        <f t="shared" si="10"/>
        <v>0</v>
      </c>
      <c r="P575" s="2">
        <f t="shared" si="11"/>
        <v>0</v>
      </c>
    </row>
    <row r="576">
      <c r="A576" s="344">
        <f t="shared" si="5"/>
        <v>850</v>
      </c>
      <c r="B576" s="344">
        <f t="shared" si="6"/>
        <v>90</v>
      </c>
      <c r="C576" s="369"/>
      <c r="D576" s="389" t="str">
        <f t="shared" si="7"/>
        <v>Saturday</v>
      </c>
      <c r="E576" s="344" t="s">
        <v>162</v>
      </c>
      <c r="F576" s="370"/>
      <c r="G576" s="370"/>
      <c r="H576" s="357">
        <f t="shared" si="29"/>
        <v>0</v>
      </c>
      <c r="I576" s="346">
        <f t="shared" si="31"/>
        <v>0</v>
      </c>
      <c r="J576" s="354" t="s">
        <v>636</v>
      </c>
      <c r="M576" s="360">
        <f t="shared" si="12"/>
        <v>49331</v>
      </c>
      <c r="N576" s="360">
        <f t="shared" si="9"/>
        <v>49337</v>
      </c>
      <c r="O576" s="2">
        <f t="shared" si="10"/>
        <v>0</v>
      </c>
      <c r="P576" s="2">
        <f t="shared" si="11"/>
        <v>0</v>
      </c>
    </row>
    <row r="577">
      <c r="A577" s="344">
        <f t="shared" si="5"/>
        <v>850</v>
      </c>
      <c r="B577" s="344">
        <f t="shared" si="6"/>
        <v>90</v>
      </c>
      <c r="C577" s="369"/>
      <c r="D577" s="389" t="str">
        <f t="shared" si="7"/>
        <v>Saturday</v>
      </c>
      <c r="E577" s="344" t="s">
        <v>162</v>
      </c>
      <c r="F577" s="370"/>
      <c r="G577" s="370"/>
      <c r="H577" s="357">
        <f t="shared" si="29"/>
        <v>0</v>
      </c>
      <c r="I577" s="346">
        <f t="shared" si="31"/>
        <v>0</v>
      </c>
      <c r="J577" s="354" t="s">
        <v>636</v>
      </c>
      <c r="M577" s="360">
        <f t="shared" si="12"/>
        <v>49338</v>
      </c>
      <c r="N577" s="360">
        <f t="shared" si="9"/>
        <v>49344</v>
      </c>
      <c r="O577" s="2">
        <f t="shared" si="10"/>
        <v>0</v>
      </c>
      <c r="P577" s="2">
        <f t="shared" si="11"/>
        <v>0</v>
      </c>
    </row>
    <row r="578">
      <c r="A578" s="344">
        <f t="shared" si="5"/>
        <v>850</v>
      </c>
      <c r="B578" s="344">
        <f t="shared" si="6"/>
        <v>90</v>
      </c>
      <c r="C578" s="369"/>
      <c r="D578" s="389" t="str">
        <f t="shared" si="7"/>
        <v>Saturday</v>
      </c>
      <c r="E578" s="344" t="s">
        <v>162</v>
      </c>
      <c r="F578" s="370"/>
      <c r="G578" s="370"/>
      <c r="H578" s="357">
        <f t="shared" si="29"/>
        <v>0</v>
      </c>
      <c r="I578" s="346">
        <f t="shared" si="31"/>
        <v>0</v>
      </c>
      <c r="J578" s="354" t="s">
        <v>636</v>
      </c>
      <c r="M578" s="360">
        <f t="shared" si="12"/>
        <v>49345</v>
      </c>
      <c r="N578" s="360">
        <f t="shared" si="9"/>
        <v>49351</v>
      </c>
      <c r="O578" s="2">
        <f t="shared" si="10"/>
        <v>0</v>
      </c>
      <c r="P578" s="2">
        <f t="shared" si="11"/>
        <v>0</v>
      </c>
    </row>
    <row r="579">
      <c r="A579" s="344">
        <f t="shared" si="5"/>
        <v>850</v>
      </c>
      <c r="B579" s="344">
        <f t="shared" si="6"/>
        <v>90</v>
      </c>
      <c r="C579" s="369"/>
      <c r="D579" s="389" t="str">
        <f t="shared" si="7"/>
        <v>Saturday</v>
      </c>
      <c r="E579" s="344" t="s">
        <v>162</v>
      </c>
      <c r="F579" s="370"/>
      <c r="G579" s="370"/>
      <c r="H579" s="357">
        <f t="shared" si="29"/>
        <v>0</v>
      </c>
      <c r="I579" s="346">
        <f t="shared" si="31"/>
        <v>0</v>
      </c>
      <c r="J579" s="354" t="s">
        <v>636</v>
      </c>
      <c r="M579" s="360">
        <f t="shared" si="12"/>
        <v>49352</v>
      </c>
      <c r="N579" s="360">
        <f t="shared" si="9"/>
        <v>49358</v>
      </c>
      <c r="O579" s="2">
        <f t="shared" si="10"/>
        <v>0</v>
      </c>
      <c r="P579" s="2">
        <f t="shared" si="11"/>
        <v>0</v>
      </c>
    </row>
    <row r="580">
      <c r="A580" s="344">
        <f t="shared" si="5"/>
        <v>850</v>
      </c>
      <c r="B580" s="344">
        <f t="shared" si="6"/>
        <v>90</v>
      </c>
      <c r="C580" s="369"/>
      <c r="D580" s="389" t="str">
        <f t="shared" si="7"/>
        <v>Saturday</v>
      </c>
      <c r="E580" s="344" t="s">
        <v>162</v>
      </c>
      <c r="F580" s="370"/>
      <c r="G580" s="370"/>
      <c r="H580" s="357">
        <f t="shared" si="29"/>
        <v>0</v>
      </c>
      <c r="I580" s="346">
        <f t="shared" si="31"/>
        <v>0</v>
      </c>
      <c r="J580" s="354" t="s">
        <v>636</v>
      </c>
      <c r="M580" s="360">
        <f t="shared" si="12"/>
        <v>49359</v>
      </c>
      <c r="N580" s="360">
        <f t="shared" si="9"/>
        <v>49365</v>
      </c>
      <c r="O580" s="2">
        <f t="shared" si="10"/>
        <v>0</v>
      </c>
      <c r="P580" s="2">
        <f t="shared" si="11"/>
        <v>0</v>
      </c>
    </row>
    <row r="581">
      <c r="A581" s="344">
        <f t="shared" si="5"/>
        <v>850</v>
      </c>
      <c r="B581" s="344">
        <f t="shared" si="6"/>
        <v>90</v>
      </c>
      <c r="C581" s="369"/>
      <c r="D581" s="389" t="str">
        <f t="shared" si="7"/>
        <v>Saturday</v>
      </c>
      <c r="E581" s="344" t="s">
        <v>162</v>
      </c>
      <c r="F581" s="370"/>
      <c r="G581" s="370"/>
      <c r="H581" s="357">
        <f t="shared" si="29"/>
        <v>0</v>
      </c>
      <c r="I581" s="346">
        <f t="shared" si="31"/>
        <v>0</v>
      </c>
      <c r="J581" s="354" t="s">
        <v>636</v>
      </c>
      <c r="M581" s="360">
        <f t="shared" si="12"/>
        <v>49366</v>
      </c>
      <c r="N581" s="360">
        <f t="shared" si="9"/>
        <v>49372</v>
      </c>
      <c r="O581" s="2">
        <f t="shared" si="10"/>
        <v>0</v>
      </c>
      <c r="P581" s="2">
        <f t="shared" si="11"/>
        <v>0</v>
      </c>
    </row>
    <row r="582">
      <c r="A582" s="344">
        <f t="shared" si="5"/>
        <v>850</v>
      </c>
      <c r="B582" s="344">
        <f t="shared" si="6"/>
        <v>90</v>
      </c>
      <c r="C582" s="369"/>
      <c r="D582" s="389" t="str">
        <f t="shared" si="7"/>
        <v>Saturday</v>
      </c>
      <c r="E582" s="344" t="s">
        <v>162</v>
      </c>
      <c r="F582" s="370"/>
      <c r="G582" s="370"/>
      <c r="H582" s="357">
        <f t="shared" si="29"/>
        <v>0</v>
      </c>
      <c r="I582" s="346">
        <f t="shared" si="31"/>
        <v>0</v>
      </c>
      <c r="J582" s="354" t="s">
        <v>636</v>
      </c>
      <c r="M582" s="360">
        <f t="shared" si="12"/>
        <v>49373</v>
      </c>
      <c r="N582" s="360">
        <f t="shared" si="9"/>
        <v>49379</v>
      </c>
      <c r="O582" s="2">
        <f t="shared" si="10"/>
        <v>0</v>
      </c>
      <c r="P582" s="2">
        <f t="shared" si="11"/>
        <v>0</v>
      </c>
    </row>
    <row r="583">
      <c r="A583" s="344">
        <f t="shared" si="5"/>
        <v>850</v>
      </c>
      <c r="B583" s="344">
        <f t="shared" si="6"/>
        <v>90</v>
      </c>
      <c r="C583" s="369"/>
      <c r="D583" s="389" t="str">
        <f t="shared" si="7"/>
        <v>Saturday</v>
      </c>
      <c r="E583" s="344" t="s">
        <v>162</v>
      </c>
      <c r="F583" s="370"/>
      <c r="G583" s="370"/>
      <c r="H583" s="357">
        <f t="shared" si="29"/>
        <v>0</v>
      </c>
      <c r="I583" s="346">
        <f t="shared" si="31"/>
        <v>0</v>
      </c>
      <c r="J583" s="354" t="s">
        <v>636</v>
      </c>
      <c r="M583" s="360">
        <f t="shared" si="12"/>
        <v>49380</v>
      </c>
      <c r="N583" s="360">
        <f t="shared" si="9"/>
        <v>49386</v>
      </c>
      <c r="O583" s="2">
        <f t="shared" si="10"/>
        <v>0</v>
      </c>
      <c r="P583" s="2">
        <f t="shared" si="11"/>
        <v>0</v>
      </c>
    </row>
    <row r="584">
      <c r="A584" s="344">
        <f t="shared" si="5"/>
        <v>850</v>
      </c>
      <c r="B584" s="344">
        <f t="shared" si="6"/>
        <v>90</v>
      </c>
      <c r="C584" s="369"/>
      <c r="D584" s="389" t="str">
        <f t="shared" si="7"/>
        <v>Saturday</v>
      </c>
      <c r="E584" s="344" t="s">
        <v>162</v>
      </c>
      <c r="F584" s="370"/>
      <c r="G584" s="370"/>
      <c r="H584" s="357">
        <f t="shared" si="29"/>
        <v>0</v>
      </c>
      <c r="I584" s="346">
        <f t="shared" si="31"/>
        <v>0</v>
      </c>
      <c r="J584" s="354" t="s">
        <v>636</v>
      </c>
      <c r="M584" s="360">
        <f t="shared" si="12"/>
        <v>49387</v>
      </c>
      <c r="N584" s="360">
        <f t="shared" si="9"/>
        <v>49393</v>
      </c>
      <c r="O584" s="2">
        <f t="shared" si="10"/>
        <v>0</v>
      </c>
      <c r="P584" s="2">
        <f t="shared" si="11"/>
        <v>0</v>
      </c>
    </row>
    <row r="585">
      <c r="A585" s="344">
        <f t="shared" si="5"/>
        <v>850</v>
      </c>
      <c r="B585" s="344">
        <f t="shared" si="6"/>
        <v>90</v>
      </c>
      <c r="C585" s="369"/>
      <c r="D585" s="389" t="str">
        <f t="shared" si="7"/>
        <v>Saturday</v>
      </c>
      <c r="E585" s="344" t="s">
        <v>162</v>
      </c>
      <c r="F585" s="370"/>
      <c r="G585" s="370"/>
      <c r="H585" s="357">
        <f t="shared" si="29"/>
        <v>0</v>
      </c>
      <c r="I585" s="346">
        <f t="shared" si="31"/>
        <v>0</v>
      </c>
      <c r="J585" s="354" t="s">
        <v>636</v>
      </c>
      <c r="M585" s="360">
        <f t="shared" si="12"/>
        <v>49394</v>
      </c>
      <c r="N585" s="360">
        <f t="shared" si="9"/>
        <v>49400</v>
      </c>
      <c r="O585" s="2">
        <f t="shared" si="10"/>
        <v>0</v>
      </c>
      <c r="P585" s="2">
        <f t="shared" si="11"/>
        <v>0</v>
      </c>
    </row>
    <row r="586">
      <c r="A586" s="344">
        <f t="shared" si="5"/>
        <v>850</v>
      </c>
      <c r="B586" s="344">
        <f t="shared" si="6"/>
        <v>90</v>
      </c>
      <c r="C586" s="369"/>
      <c r="D586" s="389" t="str">
        <f t="shared" si="7"/>
        <v>Saturday</v>
      </c>
      <c r="E586" s="344" t="s">
        <v>162</v>
      </c>
      <c r="F586" s="370"/>
      <c r="G586" s="370"/>
      <c r="H586" s="357">
        <f t="shared" si="29"/>
        <v>0</v>
      </c>
      <c r="I586" s="346">
        <f t="shared" si="31"/>
        <v>0</v>
      </c>
      <c r="J586" s="354" t="s">
        <v>636</v>
      </c>
      <c r="M586" s="360">
        <f t="shared" si="12"/>
        <v>49401</v>
      </c>
      <c r="N586" s="360">
        <f t="shared" si="9"/>
        <v>49407</v>
      </c>
      <c r="O586" s="2">
        <f t="shared" si="10"/>
        <v>0</v>
      </c>
      <c r="P586" s="2">
        <f t="shared" si="11"/>
        <v>0</v>
      </c>
    </row>
    <row r="587">
      <c r="A587" s="344">
        <f t="shared" si="5"/>
        <v>850</v>
      </c>
      <c r="B587" s="344">
        <f t="shared" si="6"/>
        <v>90</v>
      </c>
      <c r="C587" s="369"/>
      <c r="D587" s="389" t="str">
        <f t="shared" si="7"/>
        <v>Saturday</v>
      </c>
      <c r="E587" s="344" t="s">
        <v>162</v>
      </c>
      <c r="F587" s="370"/>
      <c r="G587" s="370"/>
      <c r="H587" s="357">
        <f t="shared" si="29"/>
        <v>0</v>
      </c>
      <c r="I587" s="346">
        <f t="shared" si="31"/>
        <v>0</v>
      </c>
      <c r="J587" s="354" t="s">
        <v>636</v>
      </c>
      <c r="M587" s="360">
        <f t="shared" si="12"/>
        <v>49408</v>
      </c>
      <c r="N587" s="360">
        <f t="shared" si="9"/>
        <v>49414</v>
      </c>
      <c r="O587" s="2">
        <f t="shared" si="10"/>
        <v>0</v>
      </c>
      <c r="P587" s="2">
        <f t="shared" si="11"/>
        <v>0</v>
      </c>
    </row>
    <row r="588">
      <c r="A588" s="344">
        <f t="shared" si="5"/>
        <v>850</v>
      </c>
      <c r="B588" s="344">
        <f t="shared" si="6"/>
        <v>90</v>
      </c>
      <c r="C588" s="369"/>
      <c r="D588" s="389" t="str">
        <f t="shared" si="7"/>
        <v>Saturday</v>
      </c>
      <c r="E588" s="344" t="s">
        <v>162</v>
      </c>
      <c r="F588" s="370"/>
      <c r="G588" s="370"/>
      <c r="H588" s="357">
        <f t="shared" si="29"/>
        <v>0</v>
      </c>
      <c r="I588" s="346">
        <f t="shared" si="31"/>
        <v>0</v>
      </c>
      <c r="J588" s="354" t="s">
        <v>636</v>
      </c>
      <c r="M588" s="360">
        <f t="shared" si="12"/>
        <v>49415</v>
      </c>
      <c r="N588" s="360">
        <f t="shared" si="9"/>
        <v>49421</v>
      </c>
      <c r="O588" s="2">
        <f t="shared" si="10"/>
        <v>0</v>
      </c>
      <c r="P588" s="2">
        <f t="shared" si="11"/>
        <v>0</v>
      </c>
    </row>
    <row r="589">
      <c r="A589" s="344">
        <f t="shared" si="5"/>
        <v>850</v>
      </c>
      <c r="B589" s="344">
        <f t="shared" si="6"/>
        <v>90</v>
      </c>
      <c r="C589" s="369"/>
      <c r="D589" s="389" t="str">
        <f t="shared" si="7"/>
        <v>Saturday</v>
      </c>
      <c r="E589" s="344" t="s">
        <v>162</v>
      </c>
      <c r="F589" s="370"/>
      <c r="G589" s="370"/>
      <c r="H589" s="357">
        <f t="shared" si="29"/>
        <v>0</v>
      </c>
      <c r="I589" s="346">
        <f t="shared" si="31"/>
        <v>0</v>
      </c>
      <c r="J589" s="354" t="s">
        <v>636</v>
      </c>
      <c r="M589" s="360">
        <f t="shared" si="12"/>
        <v>49422</v>
      </c>
      <c r="N589" s="360">
        <f t="shared" si="9"/>
        <v>49428</v>
      </c>
      <c r="O589" s="2">
        <f t="shared" si="10"/>
        <v>0</v>
      </c>
      <c r="P589" s="2">
        <f t="shared" si="11"/>
        <v>0</v>
      </c>
    </row>
    <row r="590">
      <c r="A590" s="344">
        <f t="shared" si="5"/>
        <v>850</v>
      </c>
      <c r="B590" s="344">
        <f t="shared" si="6"/>
        <v>90</v>
      </c>
      <c r="C590" s="369"/>
      <c r="D590" s="389" t="str">
        <f t="shared" si="7"/>
        <v>Saturday</v>
      </c>
      <c r="E590" s="344" t="s">
        <v>162</v>
      </c>
      <c r="F590" s="370"/>
      <c r="G590" s="370"/>
      <c r="H590" s="357">
        <f t="shared" si="29"/>
        <v>0</v>
      </c>
      <c r="I590" s="346">
        <f t="shared" si="31"/>
        <v>0</v>
      </c>
      <c r="J590" s="354" t="s">
        <v>636</v>
      </c>
      <c r="M590" s="360">
        <f t="shared" si="12"/>
        <v>49429</v>
      </c>
      <c r="N590" s="360">
        <f t="shared" si="9"/>
        <v>49435</v>
      </c>
      <c r="O590" s="2">
        <f t="shared" si="10"/>
        <v>0</v>
      </c>
      <c r="P590" s="2">
        <f t="shared" si="11"/>
        <v>0</v>
      </c>
    </row>
    <row r="591">
      <c r="A591" s="344">
        <f t="shared" si="5"/>
        <v>850</v>
      </c>
      <c r="B591" s="344">
        <f t="shared" si="6"/>
        <v>90</v>
      </c>
      <c r="C591" s="369"/>
      <c r="D591" s="389" t="str">
        <f t="shared" si="7"/>
        <v>Saturday</v>
      </c>
      <c r="E591" s="344" t="s">
        <v>162</v>
      </c>
      <c r="F591" s="370"/>
      <c r="G591" s="370"/>
      <c r="H591" s="357">
        <f t="shared" si="29"/>
        <v>0</v>
      </c>
      <c r="I591" s="346">
        <f t="shared" si="31"/>
        <v>0</v>
      </c>
      <c r="J591" s="354" t="s">
        <v>636</v>
      </c>
      <c r="M591" s="360">
        <f t="shared" si="12"/>
        <v>49436</v>
      </c>
      <c r="N591" s="360">
        <f t="shared" si="9"/>
        <v>49442</v>
      </c>
      <c r="O591" s="2">
        <f t="shared" si="10"/>
        <v>0</v>
      </c>
      <c r="P591" s="2">
        <f t="shared" si="11"/>
        <v>0</v>
      </c>
    </row>
    <row r="592">
      <c r="A592" s="344">
        <f t="shared" si="5"/>
        <v>850</v>
      </c>
      <c r="B592" s="344">
        <f t="shared" si="6"/>
        <v>90</v>
      </c>
      <c r="C592" s="369"/>
      <c r="D592" s="389" t="str">
        <f t="shared" si="7"/>
        <v>Saturday</v>
      </c>
      <c r="E592" s="344" t="s">
        <v>162</v>
      </c>
      <c r="F592" s="370"/>
      <c r="G592" s="370"/>
      <c r="H592" s="357">
        <f t="shared" si="29"/>
        <v>0</v>
      </c>
      <c r="I592" s="346">
        <f t="shared" si="31"/>
        <v>0</v>
      </c>
      <c r="J592" s="354" t="s">
        <v>636</v>
      </c>
      <c r="M592" s="360">
        <f t="shared" si="12"/>
        <v>49443</v>
      </c>
      <c r="N592" s="360">
        <f t="shared" si="9"/>
        <v>49449</v>
      </c>
      <c r="O592" s="2">
        <f t="shared" si="10"/>
        <v>0</v>
      </c>
      <c r="P592" s="2">
        <f t="shared" si="11"/>
        <v>0</v>
      </c>
    </row>
    <row r="593">
      <c r="A593" s="344">
        <f t="shared" si="5"/>
        <v>850</v>
      </c>
      <c r="B593" s="344">
        <f t="shared" si="6"/>
        <v>90</v>
      </c>
      <c r="C593" s="369"/>
      <c r="D593" s="389" t="str">
        <f t="shared" si="7"/>
        <v>Saturday</v>
      </c>
      <c r="E593" s="344" t="s">
        <v>162</v>
      </c>
      <c r="F593" s="370"/>
      <c r="G593" s="370"/>
      <c r="H593" s="357">
        <f t="shared" si="29"/>
        <v>0</v>
      </c>
      <c r="I593" s="346">
        <f t="shared" si="31"/>
        <v>0</v>
      </c>
      <c r="J593" s="354" t="s">
        <v>636</v>
      </c>
      <c r="M593" s="360">
        <f t="shared" si="12"/>
        <v>49450</v>
      </c>
      <c r="N593" s="360">
        <f t="shared" si="9"/>
        <v>49456</v>
      </c>
      <c r="O593" s="2">
        <f t="shared" si="10"/>
        <v>0</v>
      </c>
      <c r="P593" s="2">
        <f t="shared" si="11"/>
        <v>0</v>
      </c>
    </row>
    <row r="594">
      <c r="A594" s="344">
        <f t="shared" si="5"/>
        <v>850</v>
      </c>
      <c r="B594" s="344">
        <f t="shared" si="6"/>
        <v>90</v>
      </c>
      <c r="C594" s="369"/>
      <c r="D594" s="389" t="str">
        <f t="shared" si="7"/>
        <v>Saturday</v>
      </c>
      <c r="E594" s="344" t="s">
        <v>162</v>
      </c>
      <c r="F594" s="370"/>
      <c r="G594" s="370"/>
      <c r="H594" s="357">
        <f t="shared" si="29"/>
        <v>0</v>
      </c>
      <c r="I594" s="346">
        <f t="shared" si="31"/>
        <v>0</v>
      </c>
      <c r="J594" s="354" t="s">
        <v>636</v>
      </c>
      <c r="M594" s="360">
        <f t="shared" si="12"/>
        <v>49457</v>
      </c>
      <c r="N594" s="360">
        <f t="shared" si="9"/>
        <v>49463</v>
      </c>
      <c r="O594" s="2">
        <f t="shared" si="10"/>
        <v>0</v>
      </c>
      <c r="P594" s="2">
        <f t="shared" si="11"/>
        <v>0</v>
      </c>
    </row>
    <row r="595">
      <c r="A595" s="344">
        <f t="shared" si="5"/>
        <v>850</v>
      </c>
      <c r="B595" s="344">
        <f t="shared" si="6"/>
        <v>90</v>
      </c>
      <c r="C595" s="369"/>
      <c r="D595" s="389" t="str">
        <f t="shared" si="7"/>
        <v>Saturday</v>
      </c>
      <c r="E595" s="344" t="s">
        <v>162</v>
      </c>
      <c r="F595" s="370"/>
      <c r="G595" s="370"/>
      <c r="H595" s="357">
        <f t="shared" si="29"/>
        <v>0</v>
      </c>
      <c r="I595" s="346">
        <f t="shared" si="31"/>
        <v>0</v>
      </c>
      <c r="J595" s="354" t="s">
        <v>636</v>
      </c>
      <c r="M595" s="360">
        <f t="shared" si="12"/>
        <v>49464</v>
      </c>
      <c r="N595" s="360">
        <f t="shared" si="9"/>
        <v>49470</v>
      </c>
      <c r="O595" s="2">
        <f t="shared" si="10"/>
        <v>0</v>
      </c>
      <c r="P595" s="2">
        <f t="shared" si="11"/>
        <v>0</v>
      </c>
    </row>
    <row r="596">
      <c r="A596" s="344">
        <f t="shared" si="5"/>
        <v>850</v>
      </c>
      <c r="B596" s="344">
        <f t="shared" si="6"/>
        <v>90</v>
      </c>
      <c r="C596" s="369"/>
      <c r="D596" s="389" t="str">
        <f t="shared" si="7"/>
        <v>Saturday</v>
      </c>
      <c r="E596" s="344" t="s">
        <v>162</v>
      </c>
      <c r="F596" s="370"/>
      <c r="G596" s="370"/>
      <c r="H596" s="357">
        <f t="shared" si="29"/>
        <v>0</v>
      </c>
      <c r="I596" s="346">
        <f t="shared" si="31"/>
        <v>0</v>
      </c>
      <c r="J596" s="354" t="s">
        <v>636</v>
      </c>
      <c r="M596" s="360">
        <f t="shared" si="12"/>
        <v>49471</v>
      </c>
      <c r="N596" s="360">
        <f t="shared" si="9"/>
        <v>49477</v>
      </c>
      <c r="O596" s="2">
        <f t="shared" si="10"/>
        <v>0</v>
      </c>
      <c r="P596" s="2">
        <f t="shared" si="11"/>
        <v>0</v>
      </c>
    </row>
    <row r="597">
      <c r="A597" s="344">
        <f t="shared" si="5"/>
        <v>850</v>
      </c>
      <c r="B597" s="344">
        <f t="shared" si="6"/>
        <v>90</v>
      </c>
      <c r="C597" s="369"/>
      <c r="D597" s="389" t="str">
        <f t="shared" si="7"/>
        <v>Saturday</v>
      </c>
      <c r="E597" s="344" t="s">
        <v>162</v>
      </c>
      <c r="F597" s="370"/>
      <c r="G597" s="370"/>
      <c r="H597" s="357">
        <f t="shared" si="29"/>
        <v>0</v>
      </c>
      <c r="I597" s="346">
        <f t="shared" si="31"/>
        <v>0</v>
      </c>
      <c r="J597" s="354" t="s">
        <v>636</v>
      </c>
      <c r="M597" s="360">
        <f t="shared" si="12"/>
        <v>49478</v>
      </c>
      <c r="N597" s="360">
        <f t="shared" si="9"/>
        <v>49484</v>
      </c>
      <c r="O597" s="2">
        <f t="shared" si="10"/>
        <v>0</v>
      </c>
      <c r="P597" s="2">
        <f t="shared" si="11"/>
        <v>0</v>
      </c>
    </row>
    <row r="598">
      <c r="A598" s="344">
        <f t="shared" si="5"/>
        <v>850</v>
      </c>
      <c r="B598" s="344">
        <f t="shared" si="6"/>
        <v>90</v>
      </c>
      <c r="C598" s="369"/>
      <c r="D598" s="389" t="str">
        <f t="shared" si="7"/>
        <v>Saturday</v>
      </c>
      <c r="E598" s="344" t="s">
        <v>162</v>
      </c>
      <c r="F598" s="370"/>
      <c r="G598" s="370"/>
      <c r="H598" s="357">
        <f t="shared" si="29"/>
        <v>0</v>
      </c>
      <c r="I598" s="346">
        <f t="shared" si="31"/>
        <v>0</v>
      </c>
      <c r="J598" s="354" t="s">
        <v>636</v>
      </c>
      <c r="M598" s="360">
        <f t="shared" si="12"/>
        <v>49485</v>
      </c>
      <c r="N598" s="360">
        <f t="shared" si="9"/>
        <v>49491</v>
      </c>
      <c r="O598" s="2">
        <f t="shared" si="10"/>
        <v>0</v>
      </c>
      <c r="P598" s="2">
        <f t="shared" si="11"/>
        <v>0</v>
      </c>
    </row>
    <row r="599">
      <c r="A599" s="344">
        <f t="shared" si="5"/>
        <v>850</v>
      </c>
      <c r="B599" s="344">
        <f t="shared" si="6"/>
        <v>90</v>
      </c>
      <c r="C599" s="369"/>
      <c r="D599" s="389" t="str">
        <f t="shared" si="7"/>
        <v>Saturday</v>
      </c>
      <c r="E599" s="344" t="s">
        <v>162</v>
      </c>
      <c r="F599" s="370"/>
      <c r="G599" s="370"/>
      <c r="H599" s="357">
        <f t="shared" si="29"/>
        <v>0</v>
      </c>
      <c r="I599" s="346">
        <f t="shared" si="31"/>
        <v>0</v>
      </c>
      <c r="J599" s="354" t="s">
        <v>636</v>
      </c>
      <c r="M599" s="360">
        <f t="shared" si="12"/>
        <v>49492</v>
      </c>
      <c r="N599" s="360">
        <f t="shared" si="9"/>
        <v>49498</v>
      </c>
      <c r="O599" s="2">
        <f t="shared" si="10"/>
        <v>0</v>
      </c>
      <c r="P599" s="2">
        <f t="shared" si="11"/>
        <v>0</v>
      </c>
    </row>
    <row r="600">
      <c r="A600" s="344">
        <f t="shared" si="5"/>
        <v>850</v>
      </c>
      <c r="B600" s="344">
        <f t="shared" si="6"/>
        <v>90</v>
      </c>
      <c r="C600" s="369"/>
      <c r="D600" s="389" t="str">
        <f t="shared" si="7"/>
        <v>Saturday</v>
      </c>
      <c r="E600" s="344" t="s">
        <v>162</v>
      </c>
      <c r="F600" s="370"/>
      <c r="G600" s="370"/>
      <c r="H600" s="357">
        <f t="shared" si="29"/>
        <v>0</v>
      </c>
      <c r="I600" s="346">
        <f t="shared" si="31"/>
        <v>0</v>
      </c>
      <c r="J600" s="354" t="s">
        <v>636</v>
      </c>
      <c r="M600" s="360">
        <f t="shared" si="12"/>
        <v>49499</v>
      </c>
      <c r="N600" s="360">
        <f t="shared" si="9"/>
        <v>49505</v>
      </c>
      <c r="O600" s="2">
        <f t="shared" si="10"/>
        <v>0</v>
      </c>
      <c r="P600" s="2">
        <f t="shared" si="11"/>
        <v>0</v>
      </c>
    </row>
    <row r="601">
      <c r="A601" s="344">
        <f t="shared" si="5"/>
        <v>850</v>
      </c>
      <c r="B601" s="344">
        <f t="shared" si="6"/>
        <v>90</v>
      </c>
      <c r="C601" s="369"/>
      <c r="D601" s="389" t="str">
        <f t="shared" si="7"/>
        <v>Saturday</v>
      </c>
      <c r="E601" s="344" t="s">
        <v>162</v>
      </c>
      <c r="F601" s="370"/>
      <c r="G601" s="370"/>
      <c r="H601" s="357">
        <f t="shared" si="29"/>
        <v>0</v>
      </c>
      <c r="I601" s="346">
        <f t="shared" si="31"/>
        <v>0</v>
      </c>
      <c r="J601" s="354" t="s">
        <v>636</v>
      </c>
      <c r="M601" s="360">
        <f t="shared" si="12"/>
        <v>49506</v>
      </c>
      <c r="N601" s="360">
        <f t="shared" si="9"/>
        <v>49512</v>
      </c>
      <c r="O601" s="2">
        <f t="shared" si="10"/>
        <v>0</v>
      </c>
      <c r="P601" s="2">
        <f t="shared" si="11"/>
        <v>0</v>
      </c>
    </row>
    <row r="602">
      <c r="A602" s="344">
        <f t="shared" si="5"/>
        <v>850</v>
      </c>
      <c r="B602" s="344">
        <f t="shared" si="6"/>
        <v>90</v>
      </c>
      <c r="C602" s="369"/>
      <c r="D602" s="389" t="str">
        <f t="shared" si="7"/>
        <v>Saturday</v>
      </c>
      <c r="E602" s="344" t="s">
        <v>162</v>
      </c>
      <c r="F602" s="370"/>
      <c r="G602" s="370"/>
      <c r="H602" s="357">
        <f t="shared" si="29"/>
        <v>0</v>
      </c>
      <c r="I602" s="346">
        <f t="shared" si="31"/>
        <v>0</v>
      </c>
      <c r="J602" s="354" t="s">
        <v>636</v>
      </c>
      <c r="M602" s="360">
        <f t="shared" si="12"/>
        <v>49513</v>
      </c>
      <c r="N602" s="360">
        <f t="shared" si="9"/>
        <v>49519</v>
      </c>
      <c r="O602" s="2">
        <f t="shared" si="10"/>
        <v>0</v>
      </c>
      <c r="P602" s="2">
        <f t="shared" si="11"/>
        <v>0</v>
      </c>
    </row>
    <row r="603">
      <c r="A603" s="344">
        <f t="shared" si="5"/>
        <v>850</v>
      </c>
      <c r="B603" s="344">
        <f t="shared" si="6"/>
        <v>90</v>
      </c>
      <c r="C603" s="369"/>
      <c r="D603" s="389" t="str">
        <f t="shared" si="7"/>
        <v>Saturday</v>
      </c>
      <c r="E603" s="344" t="s">
        <v>162</v>
      </c>
      <c r="F603" s="370"/>
      <c r="G603" s="370"/>
      <c r="H603" s="357">
        <f t="shared" si="29"/>
        <v>0</v>
      </c>
      <c r="I603" s="346">
        <f t="shared" si="31"/>
        <v>0</v>
      </c>
      <c r="J603" s="354" t="s">
        <v>636</v>
      </c>
      <c r="M603" s="360">
        <f t="shared" si="12"/>
        <v>49520</v>
      </c>
      <c r="N603" s="360">
        <f t="shared" si="9"/>
        <v>49526</v>
      </c>
      <c r="O603" s="2">
        <f t="shared" si="10"/>
        <v>0</v>
      </c>
      <c r="P603" s="2">
        <f t="shared" si="11"/>
        <v>0</v>
      </c>
    </row>
    <row r="604">
      <c r="A604" s="344">
        <f t="shared" si="5"/>
        <v>850</v>
      </c>
      <c r="B604" s="344">
        <f t="shared" si="6"/>
        <v>90</v>
      </c>
      <c r="C604" s="369"/>
      <c r="D604" s="389" t="str">
        <f t="shared" si="7"/>
        <v>Saturday</v>
      </c>
      <c r="E604" s="344" t="s">
        <v>162</v>
      </c>
      <c r="F604" s="370"/>
      <c r="G604" s="370"/>
      <c r="H604" s="357">
        <f t="shared" si="29"/>
        <v>0</v>
      </c>
      <c r="I604" s="346">
        <f t="shared" si="31"/>
        <v>0</v>
      </c>
      <c r="J604" s="354" t="s">
        <v>636</v>
      </c>
      <c r="M604" s="360">
        <f t="shared" si="12"/>
        <v>49527</v>
      </c>
      <c r="N604" s="360">
        <f t="shared" si="9"/>
        <v>49533</v>
      </c>
      <c r="O604" s="2">
        <f t="shared" si="10"/>
        <v>0</v>
      </c>
      <c r="P604" s="2">
        <f t="shared" si="11"/>
        <v>0</v>
      </c>
    </row>
    <row r="605">
      <c r="A605" s="344">
        <f t="shared" si="5"/>
        <v>850</v>
      </c>
      <c r="B605" s="344">
        <f t="shared" si="6"/>
        <v>90</v>
      </c>
      <c r="C605" s="369"/>
      <c r="D605" s="389" t="str">
        <f t="shared" si="7"/>
        <v>Saturday</v>
      </c>
      <c r="E605" s="344" t="s">
        <v>162</v>
      </c>
      <c r="F605" s="370"/>
      <c r="G605" s="370"/>
      <c r="H605" s="357">
        <f t="shared" si="29"/>
        <v>0</v>
      </c>
      <c r="I605" s="346">
        <f t="shared" si="31"/>
        <v>0</v>
      </c>
      <c r="J605" s="354" t="s">
        <v>636</v>
      </c>
      <c r="M605" s="360">
        <f t="shared" si="12"/>
        <v>49534</v>
      </c>
      <c r="N605" s="360">
        <f t="shared" si="9"/>
        <v>49540</v>
      </c>
      <c r="O605" s="2">
        <f t="shared" si="10"/>
        <v>0</v>
      </c>
      <c r="P605" s="2">
        <f t="shared" si="11"/>
        <v>0</v>
      </c>
    </row>
    <row r="606">
      <c r="A606" s="344">
        <f t="shared" si="5"/>
        <v>850</v>
      </c>
      <c r="B606" s="344">
        <f t="shared" si="6"/>
        <v>90</v>
      </c>
      <c r="C606" s="369"/>
      <c r="D606" s="389" t="str">
        <f t="shared" si="7"/>
        <v>Saturday</v>
      </c>
      <c r="E606" s="344" t="s">
        <v>162</v>
      </c>
      <c r="F606" s="370"/>
      <c r="G606" s="370"/>
      <c r="H606" s="357">
        <f t="shared" si="29"/>
        <v>0</v>
      </c>
      <c r="I606" s="346">
        <f t="shared" si="31"/>
        <v>0</v>
      </c>
      <c r="J606" s="354" t="s">
        <v>636</v>
      </c>
      <c r="M606" s="360">
        <f t="shared" si="12"/>
        <v>49541</v>
      </c>
      <c r="N606" s="360">
        <f t="shared" si="9"/>
        <v>49547</v>
      </c>
      <c r="O606" s="2">
        <f t="shared" si="10"/>
        <v>0</v>
      </c>
      <c r="P606" s="2">
        <f t="shared" si="11"/>
        <v>0</v>
      </c>
    </row>
    <row r="607">
      <c r="A607" s="344">
        <f t="shared" si="5"/>
        <v>850</v>
      </c>
      <c r="B607" s="344">
        <f t="shared" si="6"/>
        <v>90</v>
      </c>
      <c r="C607" s="369"/>
      <c r="D607" s="389" t="str">
        <f t="shared" si="7"/>
        <v>Saturday</v>
      </c>
      <c r="E607" s="344" t="s">
        <v>162</v>
      </c>
      <c r="F607" s="370"/>
      <c r="G607" s="370"/>
      <c r="H607" s="357">
        <f t="shared" si="29"/>
        <v>0</v>
      </c>
      <c r="I607" s="346">
        <f t="shared" si="31"/>
        <v>0</v>
      </c>
      <c r="J607" s="354" t="s">
        <v>636</v>
      </c>
      <c r="M607" s="360">
        <f t="shared" si="12"/>
        <v>49548</v>
      </c>
      <c r="N607" s="360">
        <f t="shared" si="9"/>
        <v>49554</v>
      </c>
      <c r="O607" s="2">
        <f t="shared" si="10"/>
        <v>0</v>
      </c>
      <c r="P607" s="2">
        <f t="shared" si="11"/>
        <v>0</v>
      </c>
    </row>
    <row r="608">
      <c r="A608" s="344">
        <f t="shared" si="5"/>
        <v>850</v>
      </c>
      <c r="B608" s="344">
        <f t="shared" si="6"/>
        <v>90</v>
      </c>
      <c r="C608" s="369"/>
      <c r="D608" s="389" t="str">
        <f t="shared" si="7"/>
        <v>Saturday</v>
      </c>
      <c r="E608" s="344" t="s">
        <v>162</v>
      </c>
      <c r="F608" s="370"/>
      <c r="G608" s="370"/>
      <c r="H608" s="357">
        <f t="shared" si="29"/>
        <v>0</v>
      </c>
      <c r="I608" s="346">
        <f t="shared" si="31"/>
        <v>0</v>
      </c>
      <c r="J608" s="354" t="s">
        <v>636</v>
      </c>
      <c r="M608" s="360">
        <f t="shared" si="12"/>
        <v>49555</v>
      </c>
      <c r="N608" s="360">
        <f t="shared" si="9"/>
        <v>49561</v>
      </c>
      <c r="O608" s="2">
        <f t="shared" si="10"/>
        <v>0</v>
      </c>
      <c r="P608" s="2">
        <f t="shared" si="11"/>
        <v>0</v>
      </c>
    </row>
    <row r="609">
      <c r="A609" s="344">
        <f t="shared" si="5"/>
        <v>850</v>
      </c>
      <c r="B609" s="344">
        <f t="shared" si="6"/>
        <v>90</v>
      </c>
      <c r="C609" s="369"/>
      <c r="D609" s="389" t="str">
        <f t="shared" si="7"/>
        <v>Saturday</v>
      </c>
      <c r="E609" s="344" t="s">
        <v>162</v>
      </c>
      <c r="F609" s="370"/>
      <c r="G609" s="370"/>
      <c r="H609" s="357">
        <f t="shared" si="29"/>
        <v>0</v>
      </c>
      <c r="I609" s="346">
        <f t="shared" si="31"/>
        <v>0</v>
      </c>
      <c r="J609" s="354" t="s">
        <v>636</v>
      </c>
      <c r="M609" s="360">
        <f t="shared" si="12"/>
        <v>49562</v>
      </c>
      <c r="N609" s="360">
        <f t="shared" si="9"/>
        <v>49568</v>
      </c>
      <c r="O609" s="2">
        <f t="shared" si="10"/>
        <v>0</v>
      </c>
      <c r="P609" s="2">
        <f t="shared" si="11"/>
        <v>0</v>
      </c>
    </row>
    <row r="610">
      <c r="A610" s="344">
        <f t="shared" si="5"/>
        <v>850</v>
      </c>
      <c r="B610" s="344">
        <f t="shared" si="6"/>
        <v>90</v>
      </c>
      <c r="C610" s="369"/>
      <c r="D610" s="389" t="str">
        <f t="shared" si="7"/>
        <v>Saturday</v>
      </c>
      <c r="E610" s="344" t="s">
        <v>162</v>
      </c>
      <c r="F610" s="370"/>
      <c r="G610" s="370"/>
      <c r="H610" s="357">
        <f t="shared" si="29"/>
        <v>0</v>
      </c>
      <c r="I610" s="346">
        <f t="shared" si="31"/>
        <v>0</v>
      </c>
      <c r="J610" s="354" t="s">
        <v>636</v>
      </c>
      <c r="M610" s="360">
        <f t="shared" si="12"/>
        <v>49569</v>
      </c>
      <c r="N610" s="360">
        <f t="shared" si="9"/>
        <v>49575</v>
      </c>
      <c r="O610" s="2">
        <f t="shared" si="10"/>
        <v>0</v>
      </c>
      <c r="P610" s="2">
        <f t="shared" si="11"/>
        <v>0</v>
      </c>
    </row>
    <row r="611">
      <c r="A611" s="344">
        <f t="shared" si="5"/>
        <v>850</v>
      </c>
      <c r="B611" s="344">
        <f t="shared" si="6"/>
        <v>90</v>
      </c>
      <c r="C611" s="369"/>
      <c r="D611" s="389" t="str">
        <f t="shared" si="7"/>
        <v>Saturday</v>
      </c>
      <c r="E611" s="344" t="s">
        <v>162</v>
      </c>
      <c r="F611" s="370"/>
      <c r="G611" s="370"/>
      <c r="H611" s="357">
        <f t="shared" si="29"/>
        <v>0</v>
      </c>
      <c r="I611" s="346">
        <f t="shared" si="31"/>
        <v>0</v>
      </c>
      <c r="J611" s="354" t="s">
        <v>636</v>
      </c>
      <c r="M611" s="360">
        <f t="shared" si="12"/>
        <v>49576</v>
      </c>
      <c r="N611" s="360">
        <f t="shared" si="9"/>
        <v>49582</v>
      </c>
      <c r="O611" s="2">
        <f t="shared" si="10"/>
        <v>0</v>
      </c>
      <c r="P611" s="2">
        <f t="shared" si="11"/>
        <v>0</v>
      </c>
    </row>
    <row r="612">
      <c r="A612" s="344">
        <f t="shared" si="5"/>
        <v>850</v>
      </c>
      <c r="B612" s="344">
        <f t="shared" si="6"/>
        <v>90</v>
      </c>
      <c r="C612" s="369"/>
      <c r="D612" s="389" t="str">
        <f t="shared" si="7"/>
        <v>Saturday</v>
      </c>
      <c r="E612" s="344" t="s">
        <v>162</v>
      </c>
      <c r="F612" s="370"/>
      <c r="G612" s="370"/>
      <c r="H612" s="357">
        <f t="shared" si="29"/>
        <v>0</v>
      </c>
      <c r="I612" s="346">
        <f t="shared" si="31"/>
        <v>0</v>
      </c>
      <c r="J612" s="354" t="s">
        <v>636</v>
      </c>
      <c r="M612" s="360">
        <f t="shared" si="12"/>
        <v>49583</v>
      </c>
      <c r="N612" s="360">
        <f t="shared" si="9"/>
        <v>49589</v>
      </c>
      <c r="O612" s="2">
        <f t="shared" si="10"/>
        <v>0</v>
      </c>
      <c r="P612" s="2">
        <f t="shared" si="11"/>
        <v>0</v>
      </c>
    </row>
    <row r="613">
      <c r="A613" s="344">
        <f t="shared" si="5"/>
        <v>850</v>
      </c>
      <c r="B613" s="344">
        <f t="shared" si="6"/>
        <v>90</v>
      </c>
      <c r="C613" s="369"/>
      <c r="D613" s="389" t="str">
        <f t="shared" si="7"/>
        <v>Saturday</v>
      </c>
      <c r="E613" s="344" t="s">
        <v>162</v>
      </c>
      <c r="F613" s="370"/>
      <c r="G613" s="370"/>
      <c r="H613" s="357">
        <f t="shared" si="29"/>
        <v>0</v>
      </c>
      <c r="I613" s="346">
        <f t="shared" si="31"/>
        <v>0</v>
      </c>
      <c r="J613" s="354" t="s">
        <v>636</v>
      </c>
      <c r="M613" s="360">
        <f t="shared" si="12"/>
        <v>49590</v>
      </c>
      <c r="N613" s="360">
        <f t="shared" si="9"/>
        <v>49596</v>
      </c>
      <c r="O613" s="2">
        <f t="shared" si="10"/>
        <v>0</v>
      </c>
      <c r="P613" s="2">
        <f t="shared" si="11"/>
        <v>0</v>
      </c>
    </row>
    <row r="614">
      <c r="A614" s="344">
        <f t="shared" si="5"/>
        <v>850</v>
      </c>
      <c r="B614" s="344">
        <f t="shared" si="6"/>
        <v>90</v>
      </c>
      <c r="C614" s="369"/>
      <c r="D614" s="389" t="str">
        <f t="shared" si="7"/>
        <v>Saturday</v>
      </c>
      <c r="E614" s="344" t="s">
        <v>162</v>
      </c>
      <c r="F614" s="370"/>
      <c r="G614" s="370"/>
      <c r="H614" s="357">
        <f t="shared" si="29"/>
        <v>0</v>
      </c>
      <c r="I614" s="346">
        <f t="shared" si="31"/>
        <v>0</v>
      </c>
      <c r="J614" s="354" t="s">
        <v>636</v>
      </c>
      <c r="M614" s="360">
        <f t="shared" si="12"/>
        <v>49597</v>
      </c>
      <c r="N614" s="360">
        <f t="shared" si="9"/>
        <v>49603</v>
      </c>
      <c r="O614" s="2">
        <f t="shared" si="10"/>
        <v>0</v>
      </c>
      <c r="P614" s="2">
        <f t="shared" si="11"/>
        <v>0</v>
      </c>
    </row>
    <row r="615">
      <c r="A615" s="344">
        <f t="shared" si="5"/>
        <v>850</v>
      </c>
      <c r="B615" s="344">
        <f t="shared" si="6"/>
        <v>90</v>
      </c>
      <c r="C615" s="369"/>
      <c r="D615" s="389" t="str">
        <f t="shared" si="7"/>
        <v>Saturday</v>
      </c>
      <c r="E615" s="344" t="s">
        <v>162</v>
      </c>
      <c r="F615" s="370"/>
      <c r="G615" s="370"/>
      <c r="H615" s="357">
        <f t="shared" si="29"/>
        <v>0</v>
      </c>
      <c r="I615" s="346">
        <f t="shared" si="31"/>
        <v>0</v>
      </c>
      <c r="J615" s="354" t="s">
        <v>636</v>
      </c>
      <c r="M615" s="360">
        <f t="shared" si="12"/>
        <v>49604</v>
      </c>
      <c r="N615" s="360">
        <f t="shared" si="9"/>
        <v>49610</v>
      </c>
      <c r="O615" s="2">
        <f t="shared" si="10"/>
        <v>0</v>
      </c>
      <c r="P615" s="2">
        <f t="shared" si="11"/>
        <v>0</v>
      </c>
    </row>
    <row r="616">
      <c r="A616" s="344">
        <f t="shared" si="5"/>
        <v>850</v>
      </c>
      <c r="B616" s="344">
        <f t="shared" si="6"/>
        <v>90</v>
      </c>
      <c r="C616" s="369"/>
      <c r="D616" s="389" t="str">
        <f t="shared" si="7"/>
        <v>Saturday</v>
      </c>
      <c r="E616" s="344" t="s">
        <v>162</v>
      </c>
      <c r="F616" s="370"/>
      <c r="G616" s="370"/>
      <c r="H616" s="357">
        <f t="shared" si="29"/>
        <v>0</v>
      </c>
      <c r="I616" s="346">
        <f t="shared" si="31"/>
        <v>0</v>
      </c>
      <c r="J616" s="354" t="s">
        <v>636</v>
      </c>
      <c r="M616" s="360">
        <f t="shared" si="12"/>
        <v>49611</v>
      </c>
      <c r="N616" s="360">
        <f t="shared" si="9"/>
        <v>49617</v>
      </c>
      <c r="O616" s="2">
        <f t="shared" si="10"/>
        <v>0</v>
      </c>
      <c r="P616" s="2">
        <f t="shared" si="11"/>
        <v>0</v>
      </c>
    </row>
    <row r="617">
      <c r="A617" s="344">
        <f t="shared" si="5"/>
        <v>850</v>
      </c>
      <c r="B617" s="344">
        <f t="shared" si="6"/>
        <v>90</v>
      </c>
      <c r="C617" s="369"/>
      <c r="D617" s="389" t="str">
        <f t="shared" si="7"/>
        <v>Saturday</v>
      </c>
      <c r="E617" s="344" t="s">
        <v>162</v>
      </c>
      <c r="F617" s="370"/>
      <c r="G617" s="370"/>
      <c r="H617" s="357">
        <f t="shared" si="29"/>
        <v>0</v>
      </c>
      <c r="I617" s="346">
        <f t="shared" si="31"/>
        <v>0</v>
      </c>
      <c r="J617" s="354" t="s">
        <v>636</v>
      </c>
      <c r="M617" s="360">
        <f t="shared" si="12"/>
        <v>49618</v>
      </c>
      <c r="N617" s="360">
        <f t="shared" si="9"/>
        <v>49624</v>
      </c>
      <c r="O617" s="2">
        <f t="shared" si="10"/>
        <v>0</v>
      </c>
      <c r="P617" s="2">
        <f t="shared" si="11"/>
        <v>0</v>
      </c>
    </row>
    <row r="618">
      <c r="A618" s="344">
        <f t="shared" si="5"/>
        <v>850</v>
      </c>
      <c r="B618" s="344">
        <f t="shared" si="6"/>
        <v>90</v>
      </c>
      <c r="C618" s="369"/>
      <c r="D618" s="389" t="str">
        <f t="shared" si="7"/>
        <v>Saturday</v>
      </c>
      <c r="E618" s="344" t="s">
        <v>162</v>
      </c>
      <c r="F618" s="370"/>
      <c r="G618" s="370"/>
      <c r="H618" s="357">
        <f t="shared" si="29"/>
        <v>0</v>
      </c>
      <c r="I618" s="346">
        <f t="shared" si="31"/>
        <v>0</v>
      </c>
      <c r="J618" s="354" t="s">
        <v>636</v>
      </c>
      <c r="M618" s="360">
        <f t="shared" si="12"/>
        <v>49625</v>
      </c>
      <c r="N618" s="360">
        <f t="shared" si="9"/>
        <v>49631</v>
      </c>
      <c r="O618" s="2">
        <f t="shared" si="10"/>
        <v>0</v>
      </c>
      <c r="P618" s="2">
        <f t="shared" si="11"/>
        <v>0</v>
      </c>
    </row>
    <row r="619">
      <c r="A619" s="344">
        <f t="shared" si="5"/>
        <v>850</v>
      </c>
      <c r="B619" s="344">
        <f t="shared" si="6"/>
        <v>90</v>
      </c>
      <c r="C619" s="369"/>
      <c r="D619" s="389" t="str">
        <f t="shared" si="7"/>
        <v>Saturday</v>
      </c>
      <c r="E619" s="344" t="s">
        <v>162</v>
      </c>
      <c r="F619" s="370"/>
      <c r="G619" s="370"/>
      <c r="H619" s="357">
        <f t="shared" si="29"/>
        <v>0</v>
      </c>
      <c r="I619" s="346">
        <f t="shared" si="31"/>
        <v>0</v>
      </c>
      <c r="J619" s="354" t="s">
        <v>636</v>
      </c>
      <c r="M619" s="360">
        <f t="shared" si="12"/>
        <v>49632</v>
      </c>
      <c r="N619" s="360">
        <f t="shared" si="9"/>
        <v>49638</v>
      </c>
      <c r="O619" s="2">
        <f t="shared" si="10"/>
        <v>0</v>
      </c>
      <c r="P619" s="2">
        <f t="shared" si="11"/>
        <v>0</v>
      </c>
    </row>
    <row r="620">
      <c r="A620" s="344">
        <f t="shared" si="5"/>
        <v>850</v>
      </c>
      <c r="B620" s="344">
        <f t="shared" si="6"/>
        <v>90</v>
      </c>
      <c r="C620" s="369"/>
      <c r="D620" s="389" t="str">
        <f t="shared" si="7"/>
        <v>Saturday</v>
      </c>
      <c r="E620" s="344" t="s">
        <v>162</v>
      </c>
      <c r="F620" s="370"/>
      <c r="G620" s="370"/>
      <c r="H620" s="357">
        <f t="shared" si="29"/>
        <v>0</v>
      </c>
      <c r="I620" s="346">
        <f t="shared" si="31"/>
        <v>0</v>
      </c>
      <c r="J620" s="354" t="s">
        <v>636</v>
      </c>
      <c r="M620" s="360">
        <f t="shared" si="12"/>
        <v>49639</v>
      </c>
      <c r="N620" s="360">
        <f t="shared" si="9"/>
        <v>49645</v>
      </c>
      <c r="O620" s="2">
        <f t="shared" si="10"/>
        <v>0</v>
      </c>
      <c r="P620" s="2">
        <f t="shared" si="11"/>
        <v>0</v>
      </c>
    </row>
    <row r="621">
      <c r="A621" s="344">
        <f t="shared" si="5"/>
        <v>850</v>
      </c>
      <c r="B621" s="344">
        <f t="shared" si="6"/>
        <v>90</v>
      </c>
      <c r="C621" s="369"/>
      <c r="D621" s="389" t="str">
        <f t="shared" si="7"/>
        <v>Saturday</v>
      </c>
      <c r="E621" s="344" t="s">
        <v>162</v>
      </c>
      <c r="F621" s="370"/>
      <c r="G621" s="370"/>
      <c r="H621" s="357">
        <f t="shared" si="29"/>
        <v>0</v>
      </c>
      <c r="I621" s="346">
        <f t="shared" si="31"/>
        <v>0</v>
      </c>
      <c r="J621" s="354" t="s">
        <v>636</v>
      </c>
      <c r="M621" s="360">
        <f t="shared" si="12"/>
        <v>49646</v>
      </c>
      <c r="N621" s="360">
        <f t="shared" si="9"/>
        <v>49652</v>
      </c>
      <c r="O621" s="2">
        <f t="shared" si="10"/>
        <v>0</v>
      </c>
      <c r="P621" s="2">
        <f t="shared" si="11"/>
        <v>0</v>
      </c>
    </row>
    <row r="622">
      <c r="A622" s="344">
        <f t="shared" si="5"/>
        <v>850</v>
      </c>
      <c r="B622" s="344">
        <f t="shared" si="6"/>
        <v>90</v>
      </c>
      <c r="C622" s="369"/>
      <c r="D622" s="389" t="str">
        <f t="shared" si="7"/>
        <v>Saturday</v>
      </c>
      <c r="E622" s="344" t="s">
        <v>162</v>
      </c>
      <c r="F622" s="370"/>
      <c r="G622" s="370"/>
      <c r="H622" s="357">
        <f t="shared" si="29"/>
        <v>0</v>
      </c>
      <c r="I622" s="346">
        <f t="shared" si="31"/>
        <v>0</v>
      </c>
      <c r="J622" s="354" t="s">
        <v>636</v>
      </c>
      <c r="M622" s="360">
        <f t="shared" si="12"/>
        <v>49653</v>
      </c>
      <c r="N622" s="360">
        <f t="shared" si="9"/>
        <v>49659</v>
      </c>
      <c r="O622" s="2">
        <f t="shared" si="10"/>
        <v>0</v>
      </c>
      <c r="P622" s="2">
        <f t="shared" si="11"/>
        <v>0</v>
      </c>
    </row>
    <row r="623">
      <c r="A623" s="344">
        <f t="shared" si="5"/>
        <v>850</v>
      </c>
      <c r="B623" s="344">
        <f t="shared" si="6"/>
        <v>90</v>
      </c>
      <c r="C623" s="369"/>
      <c r="D623" s="389" t="str">
        <f t="shared" si="7"/>
        <v>Saturday</v>
      </c>
      <c r="E623" s="344" t="s">
        <v>162</v>
      </c>
      <c r="F623" s="370"/>
      <c r="G623" s="370"/>
      <c r="H623" s="357">
        <f t="shared" si="29"/>
        <v>0</v>
      </c>
      <c r="I623" s="346">
        <f t="shared" si="31"/>
        <v>0</v>
      </c>
      <c r="J623" s="354" t="s">
        <v>636</v>
      </c>
      <c r="M623" s="360">
        <f t="shared" si="12"/>
        <v>49660</v>
      </c>
      <c r="N623" s="360">
        <f t="shared" si="9"/>
        <v>49666</v>
      </c>
      <c r="O623" s="2">
        <f t="shared" si="10"/>
        <v>0</v>
      </c>
      <c r="P623" s="2">
        <f t="shared" si="11"/>
        <v>0</v>
      </c>
    </row>
    <row r="624">
      <c r="A624" s="344">
        <f t="shared" si="5"/>
        <v>850</v>
      </c>
      <c r="B624" s="344">
        <f t="shared" si="6"/>
        <v>90</v>
      </c>
      <c r="C624" s="369"/>
      <c r="D624" s="389" t="str">
        <f t="shared" si="7"/>
        <v>Saturday</v>
      </c>
      <c r="E624" s="344" t="s">
        <v>162</v>
      </c>
      <c r="F624" s="370"/>
      <c r="G624" s="370"/>
      <c r="H624" s="357">
        <f t="shared" si="29"/>
        <v>0</v>
      </c>
      <c r="I624" s="346">
        <f t="shared" si="31"/>
        <v>0</v>
      </c>
      <c r="J624" s="354" t="s">
        <v>636</v>
      </c>
      <c r="M624" s="360">
        <f t="shared" si="12"/>
        <v>49667</v>
      </c>
      <c r="N624" s="360">
        <f t="shared" si="9"/>
        <v>49673</v>
      </c>
      <c r="O624" s="2">
        <f t="shared" si="10"/>
        <v>0</v>
      </c>
      <c r="P624" s="2">
        <f t="shared" si="11"/>
        <v>0</v>
      </c>
    </row>
    <row r="625">
      <c r="A625" s="344">
        <f t="shared" si="5"/>
        <v>850</v>
      </c>
      <c r="B625" s="344">
        <f t="shared" si="6"/>
        <v>90</v>
      </c>
      <c r="C625" s="369"/>
      <c r="D625" s="389" t="str">
        <f t="shared" si="7"/>
        <v>Saturday</v>
      </c>
      <c r="E625" s="344" t="s">
        <v>162</v>
      </c>
      <c r="F625" s="370"/>
      <c r="G625" s="370"/>
      <c r="H625" s="357">
        <f t="shared" si="29"/>
        <v>0</v>
      </c>
      <c r="I625" s="346">
        <f t="shared" si="31"/>
        <v>0</v>
      </c>
      <c r="J625" s="354" t="s">
        <v>636</v>
      </c>
      <c r="M625" s="360">
        <f t="shared" si="12"/>
        <v>49674</v>
      </c>
      <c r="N625" s="360">
        <f t="shared" si="9"/>
        <v>49680</v>
      </c>
      <c r="O625" s="2">
        <f t="shared" si="10"/>
        <v>0</v>
      </c>
      <c r="P625" s="2">
        <f t="shared" si="11"/>
        <v>0</v>
      </c>
    </row>
    <row r="626">
      <c r="A626" s="344">
        <f t="shared" si="5"/>
        <v>850</v>
      </c>
      <c r="B626" s="344">
        <f t="shared" si="6"/>
        <v>90</v>
      </c>
      <c r="C626" s="369"/>
      <c r="D626" s="389" t="str">
        <f t="shared" si="7"/>
        <v>Saturday</v>
      </c>
      <c r="E626" s="344" t="s">
        <v>162</v>
      </c>
      <c r="F626" s="370"/>
      <c r="G626" s="370"/>
      <c r="H626" s="357">
        <f t="shared" si="29"/>
        <v>0</v>
      </c>
      <c r="I626" s="346">
        <f t="shared" si="31"/>
        <v>0</v>
      </c>
      <c r="J626" s="354" t="s">
        <v>636</v>
      </c>
      <c r="M626" s="360">
        <f t="shared" si="12"/>
        <v>49681</v>
      </c>
      <c r="N626" s="360">
        <f t="shared" si="9"/>
        <v>49687</v>
      </c>
      <c r="O626" s="2">
        <f t="shared" si="10"/>
        <v>0</v>
      </c>
      <c r="P626" s="2">
        <f t="shared" si="11"/>
        <v>0</v>
      </c>
    </row>
    <row r="627">
      <c r="A627" s="344">
        <f t="shared" si="5"/>
        <v>850</v>
      </c>
      <c r="B627" s="344">
        <f t="shared" si="6"/>
        <v>90</v>
      </c>
      <c r="C627" s="369"/>
      <c r="D627" s="389" t="str">
        <f t="shared" si="7"/>
        <v>Saturday</v>
      </c>
      <c r="E627" s="344" t="s">
        <v>162</v>
      </c>
      <c r="F627" s="370"/>
      <c r="G627" s="370"/>
      <c r="H627" s="357">
        <f t="shared" si="29"/>
        <v>0</v>
      </c>
      <c r="I627" s="346">
        <f t="shared" si="31"/>
        <v>0</v>
      </c>
      <c r="J627" s="354" t="s">
        <v>636</v>
      </c>
      <c r="M627" s="360">
        <f t="shared" si="12"/>
        <v>49688</v>
      </c>
      <c r="N627" s="360">
        <f t="shared" si="9"/>
        <v>49694</v>
      </c>
      <c r="O627" s="2">
        <f t="shared" si="10"/>
        <v>0</v>
      </c>
      <c r="P627" s="2">
        <f t="shared" si="11"/>
        <v>0</v>
      </c>
    </row>
    <row r="628">
      <c r="A628" s="344">
        <f t="shared" si="5"/>
        <v>850</v>
      </c>
      <c r="B628" s="344">
        <f t="shared" si="6"/>
        <v>90</v>
      </c>
      <c r="C628" s="369"/>
      <c r="D628" s="389" t="str">
        <f t="shared" si="7"/>
        <v>Saturday</v>
      </c>
      <c r="E628" s="344" t="s">
        <v>162</v>
      </c>
      <c r="F628" s="370"/>
      <c r="G628" s="370"/>
      <c r="H628" s="357">
        <f t="shared" si="29"/>
        <v>0</v>
      </c>
      <c r="I628" s="346">
        <f t="shared" si="31"/>
        <v>0</v>
      </c>
      <c r="J628" s="354" t="s">
        <v>636</v>
      </c>
      <c r="M628" s="360">
        <f t="shared" si="12"/>
        <v>49695</v>
      </c>
      <c r="N628" s="360">
        <f t="shared" si="9"/>
        <v>49701</v>
      </c>
      <c r="O628" s="2">
        <f t="shared" si="10"/>
        <v>0</v>
      </c>
      <c r="P628" s="2">
        <f t="shared" si="11"/>
        <v>0</v>
      </c>
    </row>
    <row r="629">
      <c r="A629" s="344">
        <f t="shared" si="5"/>
        <v>850</v>
      </c>
      <c r="B629" s="344">
        <f t="shared" si="6"/>
        <v>90</v>
      </c>
      <c r="C629" s="369"/>
      <c r="D629" s="389" t="str">
        <f t="shared" si="7"/>
        <v>Saturday</v>
      </c>
      <c r="E629" s="344" t="s">
        <v>162</v>
      </c>
      <c r="F629" s="370"/>
      <c r="G629" s="370"/>
      <c r="H629" s="357">
        <f t="shared" si="29"/>
        <v>0</v>
      </c>
      <c r="I629" s="346">
        <f t="shared" si="31"/>
        <v>0</v>
      </c>
      <c r="J629" s="354" t="s">
        <v>636</v>
      </c>
      <c r="M629" s="360">
        <f t="shared" si="12"/>
        <v>49702</v>
      </c>
      <c r="N629" s="360">
        <f t="shared" si="9"/>
        <v>49708</v>
      </c>
      <c r="O629" s="2">
        <f t="shared" si="10"/>
        <v>0</v>
      </c>
      <c r="P629" s="2">
        <f t="shared" si="11"/>
        <v>0</v>
      </c>
    </row>
    <row r="630">
      <c r="A630" s="344">
        <f t="shared" si="5"/>
        <v>850</v>
      </c>
      <c r="B630" s="344">
        <f t="shared" si="6"/>
        <v>90</v>
      </c>
      <c r="C630" s="369"/>
      <c r="D630" s="389" t="str">
        <f t="shared" si="7"/>
        <v>Saturday</v>
      </c>
      <c r="E630" s="344" t="s">
        <v>162</v>
      </c>
      <c r="F630" s="370"/>
      <c r="G630" s="370"/>
      <c r="H630" s="357">
        <f t="shared" si="29"/>
        <v>0</v>
      </c>
      <c r="I630" s="346">
        <f t="shared" si="31"/>
        <v>0</v>
      </c>
      <c r="J630" s="354" t="s">
        <v>636</v>
      </c>
      <c r="M630" s="360">
        <f t="shared" si="12"/>
        <v>49709</v>
      </c>
      <c r="N630" s="360">
        <f t="shared" si="9"/>
        <v>49715</v>
      </c>
      <c r="O630" s="2">
        <f t="shared" si="10"/>
        <v>0</v>
      </c>
      <c r="P630" s="2">
        <f t="shared" si="11"/>
        <v>0</v>
      </c>
    </row>
    <row r="631">
      <c r="A631" s="344">
        <f t="shared" si="5"/>
        <v>850</v>
      </c>
      <c r="B631" s="344">
        <f t="shared" si="6"/>
        <v>90</v>
      </c>
      <c r="C631" s="369"/>
      <c r="D631" s="389" t="str">
        <f t="shared" si="7"/>
        <v>Saturday</v>
      </c>
      <c r="E631" s="344" t="s">
        <v>162</v>
      </c>
      <c r="F631" s="370"/>
      <c r="G631" s="370"/>
      <c r="H631" s="357">
        <f t="shared" si="29"/>
        <v>0</v>
      </c>
      <c r="I631" s="346">
        <f t="shared" si="31"/>
        <v>0</v>
      </c>
      <c r="J631" s="354" t="s">
        <v>636</v>
      </c>
      <c r="M631" s="360">
        <f t="shared" si="12"/>
        <v>49716</v>
      </c>
      <c r="N631" s="360">
        <f t="shared" si="9"/>
        <v>49722</v>
      </c>
      <c r="O631" s="2">
        <f t="shared" si="10"/>
        <v>0</v>
      </c>
      <c r="P631" s="2">
        <f t="shared" si="11"/>
        <v>0</v>
      </c>
    </row>
    <row r="632">
      <c r="A632" s="344">
        <f t="shared" si="5"/>
        <v>850</v>
      </c>
      <c r="B632" s="344">
        <f t="shared" si="6"/>
        <v>90</v>
      </c>
      <c r="C632" s="369"/>
      <c r="D632" s="389" t="str">
        <f t="shared" si="7"/>
        <v>Saturday</v>
      </c>
      <c r="E632" s="344" t="s">
        <v>162</v>
      </c>
      <c r="F632" s="370"/>
      <c r="G632" s="370"/>
      <c r="H632" s="357">
        <f t="shared" si="29"/>
        <v>0</v>
      </c>
      <c r="I632" s="346">
        <f t="shared" si="31"/>
        <v>0</v>
      </c>
      <c r="J632" s="354" t="s">
        <v>636</v>
      </c>
      <c r="M632" s="360">
        <f t="shared" si="12"/>
        <v>49723</v>
      </c>
      <c r="N632" s="360">
        <f t="shared" si="9"/>
        <v>49729</v>
      </c>
      <c r="O632" s="2">
        <f t="shared" si="10"/>
        <v>0</v>
      </c>
      <c r="P632" s="2">
        <f t="shared" si="11"/>
        <v>0</v>
      </c>
    </row>
    <row r="633">
      <c r="A633" s="344">
        <f t="shared" si="5"/>
        <v>850</v>
      </c>
      <c r="B633" s="344">
        <f t="shared" si="6"/>
        <v>90</v>
      </c>
      <c r="C633" s="369"/>
      <c r="D633" s="389" t="str">
        <f t="shared" si="7"/>
        <v>Saturday</v>
      </c>
      <c r="E633" s="344" t="s">
        <v>162</v>
      </c>
      <c r="F633" s="370"/>
      <c r="G633" s="370"/>
      <c r="H633" s="357">
        <f t="shared" si="29"/>
        <v>0</v>
      </c>
      <c r="I633" s="346">
        <f t="shared" si="31"/>
        <v>0</v>
      </c>
      <c r="J633" s="354" t="s">
        <v>636</v>
      </c>
      <c r="M633" s="360">
        <f t="shared" si="12"/>
        <v>49730</v>
      </c>
      <c r="N633" s="360">
        <f t="shared" si="9"/>
        <v>49736</v>
      </c>
      <c r="O633" s="2">
        <f t="shared" si="10"/>
        <v>0</v>
      </c>
      <c r="P633" s="2">
        <f t="shared" si="11"/>
        <v>0</v>
      </c>
    </row>
    <row r="634">
      <c r="A634" s="344">
        <f t="shared" si="5"/>
        <v>850</v>
      </c>
      <c r="B634" s="344">
        <f t="shared" si="6"/>
        <v>90</v>
      </c>
      <c r="C634" s="369"/>
      <c r="D634" s="389" t="str">
        <f t="shared" si="7"/>
        <v>Saturday</v>
      </c>
      <c r="E634" s="344" t="s">
        <v>162</v>
      </c>
      <c r="F634" s="370"/>
      <c r="G634" s="370"/>
      <c r="H634" s="357">
        <f t="shared" si="29"/>
        <v>0</v>
      </c>
      <c r="I634" s="346">
        <f t="shared" si="31"/>
        <v>0</v>
      </c>
      <c r="J634" s="354" t="s">
        <v>636</v>
      </c>
      <c r="M634" s="360">
        <f t="shared" si="12"/>
        <v>49737</v>
      </c>
      <c r="N634" s="360">
        <f t="shared" si="9"/>
        <v>49743</v>
      </c>
      <c r="O634" s="2">
        <f t="shared" si="10"/>
        <v>0</v>
      </c>
      <c r="P634" s="2">
        <f t="shared" si="11"/>
        <v>0</v>
      </c>
    </row>
    <row r="635">
      <c r="A635" s="344">
        <f t="shared" si="5"/>
        <v>850</v>
      </c>
      <c r="B635" s="344">
        <f t="shared" si="6"/>
        <v>90</v>
      </c>
      <c r="C635" s="369"/>
      <c r="D635" s="389" t="str">
        <f t="shared" si="7"/>
        <v>Saturday</v>
      </c>
      <c r="E635" s="344" t="s">
        <v>162</v>
      </c>
      <c r="F635" s="370"/>
      <c r="G635" s="370"/>
      <c r="H635" s="357">
        <f t="shared" si="29"/>
        <v>0</v>
      </c>
      <c r="I635" s="346">
        <f t="shared" si="31"/>
        <v>0</v>
      </c>
      <c r="J635" s="354" t="s">
        <v>636</v>
      </c>
      <c r="M635" s="360">
        <f t="shared" si="12"/>
        <v>49744</v>
      </c>
      <c r="N635" s="360">
        <f t="shared" si="9"/>
        <v>49750</v>
      </c>
      <c r="O635" s="2">
        <f t="shared" si="10"/>
        <v>0</v>
      </c>
      <c r="P635" s="2">
        <f t="shared" si="11"/>
        <v>0</v>
      </c>
    </row>
    <row r="636">
      <c r="A636" s="344">
        <f t="shared" si="5"/>
        <v>850</v>
      </c>
      <c r="B636" s="344">
        <f t="shared" si="6"/>
        <v>90</v>
      </c>
      <c r="C636" s="369"/>
      <c r="D636" s="389" t="str">
        <f t="shared" si="7"/>
        <v>Saturday</v>
      </c>
      <c r="E636" s="344" t="s">
        <v>162</v>
      </c>
      <c r="F636" s="370"/>
      <c r="G636" s="370"/>
      <c r="H636" s="357">
        <f t="shared" si="29"/>
        <v>0</v>
      </c>
      <c r="I636" s="346">
        <f t="shared" si="31"/>
        <v>0</v>
      </c>
      <c r="J636" s="354" t="s">
        <v>636</v>
      </c>
      <c r="M636" s="360">
        <f t="shared" si="12"/>
        <v>49751</v>
      </c>
      <c r="N636" s="360">
        <f t="shared" si="9"/>
        <v>49757</v>
      </c>
      <c r="O636" s="2">
        <f t="shared" si="10"/>
        <v>0</v>
      </c>
      <c r="P636" s="2">
        <f t="shared" si="11"/>
        <v>0</v>
      </c>
    </row>
    <row r="637">
      <c r="A637" s="344">
        <f t="shared" si="5"/>
        <v>850</v>
      </c>
      <c r="B637" s="344">
        <f t="shared" si="6"/>
        <v>90</v>
      </c>
      <c r="C637" s="369"/>
      <c r="D637" s="389" t="str">
        <f t="shared" si="7"/>
        <v>Saturday</v>
      </c>
      <c r="E637" s="344" t="s">
        <v>162</v>
      </c>
      <c r="F637" s="370"/>
      <c r="G637" s="370"/>
      <c r="H637" s="357">
        <f t="shared" si="29"/>
        <v>0</v>
      </c>
      <c r="I637" s="346">
        <f t="shared" si="31"/>
        <v>0</v>
      </c>
      <c r="J637" s="354" t="s">
        <v>636</v>
      </c>
      <c r="M637" s="360">
        <f t="shared" si="12"/>
        <v>49758</v>
      </c>
      <c r="N637" s="360">
        <f t="shared" si="9"/>
        <v>49764</v>
      </c>
      <c r="O637" s="2">
        <f t="shared" si="10"/>
        <v>0</v>
      </c>
      <c r="P637" s="2">
        <f t="shared" si="11"/>
        <v>0</v>
      </c>
    </row>
    <row r="638">
      <c r="A638" s="344">
        <f t="shared" si="5"/>
        <v>850</v>
      </c>
      <c r="B638" s="344">
        <f t="shared" si="6"/>
        <v>90</v>
      </c>
      <c r="C638" s="369"/>
      <c r="D638" s="389" t="str">
        <f t="shared" si="7"/>
        <v>Saturday</v>
      </c>
      <c r="E638" s="344" t="s">
        <v>162</v>
      </c>
      <c r="F638" s="370"/>
      <c r="G638" s="370"/>
      <c r="H638" s="357">
        <f t="shared" si="29"/>
        <v>0</v>
      </c>
      <c r="I638" s="346">
        <f t="shared" si="31"/>
        <v>0</v>
      </c>
      <c r="J638" s="354" t="s">
        <v>636</v>
      </c>
      <c r="M638" s="360">
        <f t="shared" si="12"/>
        <v>49765</v>
      </c>
      <c r="N638" s="360">
        <f t="shared" si="9"/>
        <v>49771</v>
      </c>
      <c r="O638" s="2">
        <f t="shared" si="10"/>
        <v>0</v>
      </c>
      <c r="P638" s="2">
        <f t="shared" si="11"/>
        <v>0</v>
      </c>
    </row>
    <row r="639">
      <c r="A639" s="344">
        <f t="shared" si="5"/>
        <v>850</v>
      </c>
      <c r="B639" s="344">
        <f t="shared" si="6"/>
        <v>90</v>
      </c>
      <c r="C639" s="369"/>
      <c r="D639" s="389" t="str">
        <f t="shared" si="7"/>
        <v>Saturday</v>
      </c>
      <c r="E639" s="344" t="s">
        <v>162</v>
      </c>
      <c r="F639" s="370"/>
      <c r="G639" s="370"/>
      <c r="H639" s="357">
        <f t="shared" si="29"/>
        <v>0</v>
      </c>
      <c r="I639" s="346">
        <f t="shared" si="31"/>
        <v>0</v>
      </c>
      <c r="J639" s="354" t="s">
        <v>636</v>
      </c>
      <c r="M639" s="360">
        <f t="shared" si="12"/>
        <v>49772</v>
      </c>
      <c r="N639" s="360">
        <f t="shared" si="9"/>
        <v>49778</v>
      </c>
      <c r="O639" s="2">
        <f t="shared" si="10"/>
        <v>0</v>
      </c>
      <c r="P639" s="2">
        <f t="shared" si="11"/>
        <v>0</v>
      </c>
    </row>
    <row r="640">
      <c r="A640" s="344">
        <f t="shared" si="5"/>
        <v>850</v>
      </c>
      <c r="B640" s="344">
        <f t="shared" si="6"/>
        <v>90</v>
      </c>
      <c r="C640" s="369"/>
      <c r="D640" s="389" t="str">
        <f t="shared" si="7"/>
        <v>Saturday</v>
      </c>
      <c r="E640" s="344" t="s">
        <v>162</v>
      </c>
      <c r="F640" s="370"/>
      <c r="G640" s="370"/>
      <c r="H640" s="357">
        <f t="shared" si="29"/>
        <v>0</v>
      </c>
      <c r="I640" s="346">
        <f t="shared" si="31"/>
        <v>0</v>
      </c>
      <c r="J640" s="354" t="s">
        <v>636</v>
      </c>
      <c r="M640" s="360">
        <f t="shared" si="12"/>
        <v>49779</v>
      </c>
      <c r="N640" s="360">
        <f t="shared" si="9"/>
        <v>49785</v>
      </c>
      <c r="O640" s="2">
        <f t="shared" si="10"/>
        <v>0</v>
      </c>
      <c r="P640" s="2">
        <f t="shared" si="11"/>
        <v>0</v>
      </c>
    </row>
    <row r="641">
      <c r="A641" s="344">
        <f t="shared" si="5"/>
        <v>850</v>
      </c>
      <c r="B641" s="344">
        <f t="shared" si="6"/>
        <v>90</v>
      </c>
      <c r="C641" s="369"/>
      <c r="D641" s="389" t="str">
        <f t="shared" si="7"/>
        <v>Saturday</v>
      </c>
      <c r="E641" s="344" t="s">
        <v>162</v>
      </c>
      <c r="F641" s="370"/>
      <c r="G641" s="370"/>
      <c r="H641" s="357">
        <f t="shared" si="29"/>
        <v>0</v>
      </c>
      <c r="I641" s="346">
        <f t="shared" si="31"/>
        <v>0</v>
      </c>
      <c r="J641" s="354" t="s">
        <v>636</v>
      </c>
      <c r="M641" s="360">
        <f t="shared" si="12"/>
        <v>49786</v>
      </c>
      <c r="N641" s="360">
        <f t="shared" si="9"/>
        <v>49792</v>
      </c>
      <c r="O641" s="2">
        <f t="shared" si="10"/>
        <v>0</v>
      </c>
      <c r="P641" s="2">
        <f t="shared" si="11"/>
        <v>0</v>
      </c>
    </row>
    <row r="642">
      <c r="A642" s="344">
        <f t="shared" si="5"/>
        <v>850</v>
      </c>
      <c r="B642" s="344">
        <f t="shared" si="6"/>
        <v>90</v>
      </c>
      <c r="C642" s="369"/>
      <c r="D642" s="389" t="str">
        <f t="shared" si="7"/>
        <v>Saturday</v>
      </c>
      <c r="E642" s="344" t="s">
        <v>162</v>
      </c>
      <c r="F642" s="370"/>
      <c r="G642" s="370"/>
      <c r="H642" s="357">
        <f t="shared" si="29"/>
        <v>0</v>
      </c>
      <c r="I642" s="346">
        <f t="shared" si="31"/>
        <v>0</v>
      </c>
      <c r="J642" s="354" t="s">
        <v>636</v>
      </c>
      <c r="M642" s="360">
        <f t="shared" si="12"/>
        <v>49793</v>
      </c>
      <c r="N642" s="360">
        <f t="shared" si="9"/>
        <v>49799</v>
      </c>
      <c r="O642" s="2">
        <f t="shared" si="10"/>
        <v>0</v>
      </c>
      <c r="P642" s="2">
        <f t="shared" si="11"/>
        <v>0</v>
      </c>
    </row>
    <row r="643">
      <c r="A643" s="344">
        <f t="shared" si="5"/>
        <v>850</v>
      </c>
      <c r="B643" s="344">
        <f t="shared" si="6"/>
        <v>90</v>
      </c>
      <c r="C643" s="369"/>
      <c r="D643" s="389" t="str">
        <f t="shared" si="7"/>
        <v>Saturday</v>
      </c>
      <c r="E643" s="344" t="s">
        <v>162</v>
      </c>
      <c r="F643" s="370"/>
      <c r="G643" s="370"/>
      <c r="H643" s="357">
        <f t="shared" si="29"/>
        <v>0</v>
      </c>
      <c r="I643" s="346">
        <f t="shared" si="31"/>
        <v>0</v>
      </c>
      <c r="J643" s="354" t="s">
        <v>636</v>
      </c>
      <c r="M643" s="360">
        <f t="shared" si="12"/>
        <v>49800</v>
      </c>
      <c r="N643" s="360">
        <f t="shared" si="9"/>
        <v>49806</v>
      </c>
      <c r="O643" s="2">
        <f t="shared" si="10"/>
        <v>0</v>
      </c>
      <c r="P643" s="2">
        <f t="shared" si="11"/>
        <v>0</v>
      </c>
    </row>
    <row r="644">
      <c r="A644" s="344">
        <f t="shared" si="5"/>
        <v>850</v>
      </c>
      <c r="B644" s="344">
        <f t="shared" si="6"/>
        <v>90</v>
      </c>
      <c r="C644" s="369"/>
      <c r="D644" s="389" t="str">
        <f t="shared" si="7"/>
        <v>Saturday</v>
      </c>
      <c r="E644" s="344" t="s">
        <v>162</v>
      </c>
      <c r="F644" s="370"/>
      <c r="G644" s="370"/>
      <c r="H644" s="357">
        <f t="shared" si="29"/>
        <v>0</v>
      </c>
      <c r="I644" s="346">
        <f t="shared" si="31"/>
        <v>0</v>
      </c>
      <c r="J644" s="354" t="s">
        <v>636</v>
      </c>
      <c r="M644" s="360">
        <f t="shared" si="12"/>
        <v>49807</v>
      </c>
      <c r="N644" s="360">
        <f t="shared" si="9"/>
        <v>49813</v>
      </c>
      <c r="O644" s="2">
        <f t="shared" si="10"/>
        <v>0</v>
      </c>
      <c r="P644" s="2">
        <f t="shared" si="11"/>
        <v>0</v>
      </c>
    </row>
    <row r="645">
      <c r="A645" s="344">
        <f t="shared" si="5"/>
        <v>850</v>
      </c>
      <c r="B645" s="344">
        <f t="shared" si="6"/>
        <v>90</v>
      </c>
      <c r="C645" s="369"/>
      <c r="D645" s="389" t="str">
        <f t="shared" si="7"/>
        <v>Saturday</v>
      </c>
      <c r="E645" s="344" t="s">
        <v>162</v>
      </c>
      <c r="F645" s="370"/>
      <c r="G645" s="370"/>
      <c r="H645" s="357">
        <f t="shared" si="29"/>
        <v>0</v>
      </c>
      <c r="I645" s="346">
        <f t="shared" si="31"/>
        <v>0</v>
      </c>
      <c r="J645" s="354" t="s">
        <v>636</v>
      </c>
      <c r="M645" s="360">
        <f t="shared" si="12"/>
        <v>49814</v>
      </c>
      <c r="N645" s="360">
        <f t="shared" si="9"/>
        <v>49820</v>
      </c>
      <c r="O645" s="2">
        <f t="shared" si="10"/>
        <v>0</v>
      </c>
      <c r="P645" s="2">
        <f t="shared" si="11"/>
        <v>0</v>
      </c>
    </row>
    <row r="646">
      <c r="A646" s="344">
        <f t="shared" si="5"/>
        <v>850</v>
      </c>
      <c r="B646" s="344">
        <f t="shared" si="6"/>
        <v>90</v>
      </c>
      <c r="C646" s="369"/>
      <c r="D646" s="389" t="str">
        <f t="shared" si="7"/>
        <v>Saturday</v>
      </c>
      <c r="E646" s="344" t="s">
        <v>162</v>
      </c>
      <c r="F646" s="370"/>
      <c r="G646" s="370"/>
      <c r="H646" s="357">
        <f t="shared" si="29"/>
        <v>0</v>
      </c>
      <c r="I646" s="346">
        <f t="shared" si="31"/>
        <v>0</v>
      </c>
      <c r="J646" s="354" t="s">
        <v>636</v>
      </c>
      <c r="M646" s="360">
        <f t="shared" si="12"/>
        <v>49821</v>
      </c>
      <c r="N646" s="360">
        <f t="shared" si="9"/>
        <v>49827</v>
      </c>
      <c r="O646" s="2">
        <f t="shared" si="10"/>
        <v>0</v>
      </c>
      <c r="P646" s="2">
        <f t="shared" si="11"/>
        <v>0</v>
      </c>
    </row>
    <row r="647">
      <c r="A647" s="344">
        <f t="shared" si="5"/>
        <v>850</v>
      </c>
      <c r="B647" s="344">
        <f t="shared" si="6"/>
        <v>90</v>
      </c>
      <c r="C647" s="369"/>
      <c r="D647" s="389" t="str">
        <f t="shared" si="7"/>
        <v>Saturday</v>
      </c>
      <c r="E647" s="344" t="s">
        <v>162</v>
      </c>
      <c r="F647" s="370"/>
      <c r="G647" s="370"/>
      <c r="H647" s="357">
        <f t="shared" si="29"/>
        <v>0</v>
      </c>
      <c r="I647" s="346">
        <f t="shared" si="31"/>
        <v>0</v>
      </c>
      <c r="J647" s="354" t="s">
        <v>636</v>
      </c>
      <c r="M647" s="360">
        <f t="shared" si="12"/>
        <v>49828</v>
      </c>
      <c r="N647" s="360">
        <f t="shared" si="9"/>
        <v>49834</v>
      </c>
      <c r="O647" s="2">
        <f t="shared" si="10"/>
        <v>0</v>
      </c>
      <c r="P647" s="2">
        <f t="shared" si="11"/>
        <v>0</v>
      </c>
    </row>
    <row r="648">
      <c r="A648" s="344">
        <f t="shared" si="5"/>
        <v>850</v>
      </c>
      <c r="B648" s="344">
        <f t="shared" si="6"/>
        <v>90</v>
      </c>
      <c r="C648" s="369"/>
      <c r="D648" s="389" t="str">
        <f t="shared" si="7"/>
        <v>Saturday</v>
      </c>
      <c r="E648" s="344" t="s">
        <v>162</v>
      </c>
      <c r="F648" s="370"/>
      <c r="G648" s="370"/>
      <c r="H648" s="357">
        <f t="shared" si="29"/>
        <v>0</v>
      </c>
      <c r="I648" s="346">
        <f t="shared" si="31"/>
        <v>0</v>
      </c>
      <c r="J648" s="354" t="s">
        <v>636</v>
      </c>
      <c r="M648" s="360">
        <f t="shared" si="12"/>
        <v>49835</v>
      </c>
      <c r="N648" s="360">
        <f t="shared" si="9"/>
        <v>49841</v>
      </c>
      <c r="O648" s="2">
        <f t="shared" si="10"/>
        <v>0</v>
      </c>
      <c r="P648" s="2">
        <f t="shared" si="11"/>
        <v>0</v>
      </c>
    </row>
    <row r="649">
      <c r="A649" s="344">
        <f t="shared" si="5"/>
        <v>850</v>
      </c>
      <c r="B649" s="344">
        <f t="shared" si="6"/>
        <v>90</v>
      </c>
      <c r="C649" s="369"/>
      <c r="D649" s="389" t="str">
        <f t="shared" si="7"/>
        <v>Saturday</v>
      </c>
      <c r="E649" s="344" t="s">
        <v>162</v>
      </c>
      <c r="F649" s="370"/>
      <c r="G649" s="370"/>
      <c r="H649" s="357">
        <f t="shared" si="29"/>
        <v>0</v>
      </c>
      <c r="I649" s="346">
        <f t="shared" si="31"/>
        <v>0</v>
      </c>
      <c r="J649" s="354" t="s">
        <v>636</v>
      </c>
      <c r="M649" s="360">
        <f t="shared" si="12"/>
        <v>49842</v>
      </c>
      <c r="N649" s="360">
        <f t="shared" si="9"/>
        <v>49848</v>
      </c>
      <c r="O649" s="2">
        <f t="shared" si="10"/>
        <v>0</v>
      </c>
      <c r="P649" s="2">
        <f t="shared" si="11"/>
        <v>0</v>
      </c>
    </row>
    <row r="650">
      <c r="A650" s="344">
        <f t="shared" si="5"/>
        <v>850</v>
      </c>
      <c r="B650" s="344">
        <f t="shared" si="6"/>
        <v>90</v>
      </c>
      <c r="C650" s="369"/>
      <c r="D650" s="389" t="str">
        <f t="shared" si="7"/>
        <v>Saturday</v>
      </c>
      <c r="E650" s="344" t="s">
        <v>162</v>
      </c>
      <c r="F650" s="370"/>
      <c r="G650" s="370"/>
      <c r="H650" s="357">
        <f t="shared" si="29"/>
        <v>0</v>
      </c>
      <c r="I650" s="346">
        <f t="shared" si="31"/>
        <v>0</v>
      </c>
      <c r="J650" s="354" t="s">
        <v>636</v>
      </c>
      <c r="M650" s="360">
        <f t="shared" si="12"/>
        <v>49849</v>
      </c>
      <c r="N650" s="360">
        <f t="shared" si="9"/>
        <v>49855</v>
      </c>
      <c r="O650" s="2">
        <f t="shared" si="10"/>
        <v>0</v>
      </c>
      <c r="P650" s="2">
        <f t="shared" si="11"/>
        <v>0</v>
      </c>
    </row>
    <row r="651">
      <c r="A651" s="344">
        <f t="shared" si="5"/>
        <v>850</v>
      </c>
      <c r="B651" s="344">
        <f t="shared" si="6"/>
        <v>90</v>
      </c>
      <c r="C651" s="369"/>
      <c r="D651" s="389" t="str">
        <f t="shared" si="7"/>
        <v>Saturday</v>
      </c>
      <c r="E651" s="344" t="s">
        <v>162</v>
      </c>
      <c r="F651" s="370"/>
      <c r="G651" s="370"/>
      <c r="H651" s="357">
        <f t="shared" si="29"/>
        <v>0</v>
      </c>
      <c r="I651" s="346">
        <f t="shared" si="31"/>
        <v>0</v>
      </c>
      <c r="J651" s="354" t="s">
        <v>636</v>
      </c>
      <c r="M651" s="360">
        <f t="shared" si="12"/>
        <v>49856</v>
      </c>
      <c r="N651" s="360">
        <f t="shared" si="9"/>
        <v>49862</v>
      </c>
      <c r="O651" s="2">
        <f t="shared" si="10"/>
        <v>0</v>
      </c>
      <c r="P651" s="2">
        <f t="shared" si="11"/>
        <v>0</v>
      </c>
    </row>
    <row r="652">
      <c r="A652" s="344">
        <f t="shared" si="5"/>
        <v>850</v>
      </c>
      <c r="B652" s="344">
        <f t="shared" si="6"/>
        <v>90</v>
      </c>
      <c r="C652" s="369"/>
      <c r="D652" s="389" t="str">
        <f t="shared" si="7"/>
        <v>Saturday</v>
      </c>
      <c r="E652" s="344" t="s">
        <v>162</v>
      </c>
      <c r="F652" s="370"/>
      <c r="G652" s="370"/>
      <c r="H652" s="357">
        <f t="shared" si="29"/>
        <v>0</v>
      </c>
      <c r="I652" s="346">
        <f t="shared" si="31"/>
        <v>0</v>
      </c>
      <c r="J652" s="354" t="s">
        <v>636</v>
      </c>
      <c r="M652" s="360">
        <f t="shared" si="12"/>
        <v>49863</v>
      </c>
      <c r="N652" s="360">
        <f t="shared" si="9"/>
        <v>49869</v>
      </c>
      <c r="O652" s="2">
        <f t="shared" si="10"/>
        <v>0</v>
      </c>
      <c r="P652" s="2">
        <f t="shared" si="11"/>
        <v>0</v>
      </c>
    </row>
    <row r="653">
      <c r="A653" s="344">
        <f t="shared" si="5"/>
        <v>850</v>
      </c>
      <c r="B653" s="344">
        <f t="shared" si="6"/>
        <v>90</v>
      </c>
      <c r="C653" s="369"/>
      <c r="D653" s="389" t="str">
        <f t="shared" si="7"/>
        <v>Saturday</v>
      </c>
      <c r="E653" s="344" t="s">
        <v>162</v>
      </c>
      <c r="F653" s="370"/>
      <c r="G653" s="370"/>
      <c r="H653" s="357">
        <f t="shared" si="29"/>
        <v>0</v>
      </c>
      <c r="I653" s="346">
        <f t="shared" si="31"/>
        <v>0</v>
      </c>
      <c r="J653" s="354" t="s">
        <v>636</v>
      </c>
      <c r="M653" s="360">
        <f t="shared" si="12"/>
        <v>49870</v>
      </c>
      <c r="N653" s="360">
        <f t="shared" si="9"/>
        <v>49876</v>
      </c>
      <c r="O653" s="2">
        <f t="shared" si="10"/>
        <v>0</v>
      </c>
      <c r="P653" s="2">
        <f t="shared" si="11"/>
        <v>0</v>
      </c>
    </row>
    <row r="654">
      <c r="A654" s="344">
        <f t="shared" si="5"/>
        <v>850</v>
      </c>
      <c r="B654" s="344">
        <f t="shared" si="6"/>
        <v>90</v>
      </c>
      <c r="C654" s="369"/>
      <c r="D654" s="389" t="str">
        <f t="shared" si="7"/>
        <v>Saturday</v>
      </c>
      <c r="E654" s="344" t="s">
        <v>162</v>
      </c>
      <c r="F654" s="370"/>
      <c r="G654" s="370"/>
      <c r="H654" s="357">
        <f t="shared" si="29"/>
        <v>0</v>
      </c>
      <c r="I654" s="346">
        <f t="shared" si="31"/>
        <v>0</v>
      </c>
      <c r="J654" s="354" t="s">
        <v>636</v>
      </c>
      <c r="M654" s="360">
        <f t="shared" si="12"/>
        <v>49877</v>
      </c>
      <c r="N654" s="360">
        <f t="shared" si="9"/>
        <v>49883</v>
      </c>
      <c r="O654" s="2">
        <f t="shared" si="10"/>
        <v>0</v>
      </c>
      <c r="P654" s="2">
        <f t="shared" si="11"/>
        <v>0</v>
      </c>
    </row>
    <row r="655">
      <c r="A655" s="344">
        <f t="shared" si="5"/>
        <v>850</v>
      </c>
      <c r="B655" s="344">
        <f t="shared" si="6"/>
        <v>90</v>
      </c>
      <c r="C655" s="369"/>
      <c r="D655" s="389" t="str">
        <f t="shared" si="7"/>
        <v>Saturday</v>
      </c>
      <c r="E655" s="344" t="s">
        <v>162</v>
      </c>
      <c r="F655" s="370"/>
      <c r="G655" s="370"/>
      <c r="H655" s="357">
        <f t="shared" si="29"/>
        <v>0</v>
      </c>
      <c r="I655" s="346">
        <f t="shared" si="31"/>
        <v>0</v>
      </c>
      <c r="J655" s="354" t="s">
        <v>636</v>
      </c>
      <c r="M655" s="360">
        <f t="shared" si="12"/>
        <v>49884</v>
      </c>
      <c r="N655" s="360">
        <f t="shared" si="9"/>
        <v>49890</v>
      </c>
      <c r="O655" s="2">
        <f t="shared" si="10"/>
        <v>0</v>
      </c>
      <c r="P655" s="2">
        <f t="shared" si="11"/>
        <v>0</v>
      </c>
    </row>
    <row r="656">
      <c r="A656" s="344">
        <f t="shared" si="5"/>
        <v>850</v>
      </c>
      <c r="B656" s="344">
        <f t="shared" si="6"/>
        <v>90</v>
      </c>
      <c r="C656" s="369"/>
      <c r="D656" s="389" t="str">
        <f t="shared" si="7"/>
        <v>Saturday</v>
      </c>
      <c r="E656" s="344" t="s">
        <v>162</v>
      </c>
      <c r="F656" s="370"/>
      <c r="G656" s="370"/>
      <c r="H656" s="357">
        <f t="shared" si="29"/>
        <v>0</v>
      </c>
      <c r="I656" s="346">
        <f t="shared" si="31"/>
        <v>0</v>
      </c>
      <c r="J656" s="354" t="s">
        <v>636</v>
      </c>
      <c r="M656" s="360">
        <f t="shared" si="12"/>
        <v>49891</v>
      </c>
      <c r="N656" s="360">
        <f t="shared" si="9"/>
        <v>49897</v>
      </c>
      <c r="O656" s="2">
        <f t="shared" si="10"/>
        <v>0</v>
      </c>
      <c r="P656" s="2">
        <f t="shared" si="11"/>
        <v>0</v>
      </c>
    </row>
    <row r="657">
      <c r="A657" s="344">
        <f t="shared" si="5"/>
        <v>850</v>
      </c>
      <c r="B657" s="344">
        <f t="shared" si="6"/>
        <v>90</v>
      </c>
      <c r="C657" s="369"/>
      <c r="D657" s="389" t="str">
        <f t="shared" si="7"/>
        <v>Saturday</v>
      </c>
      <c r="E657" s="344" t="s">
        <v>162</v>
      </c>
      <c r="F657" s="370"/>
      <c r="G657" s="370"/>
      <c r="H657" s="357">
        <f t="shared" si="29"/>
        <v>0</v>
      </c>
      <c r="I657" s="346">
        <f t="shared" si="31"/>
        <v>0</v>
      </c>
      <c r="J657" s="354" t="s">
        <v>636</v>
      </c>
      <c r="M657" s="360">
        <f t="shared" si="12"/>
        <v>49898</v>
      </c>
      <c r="N657" s="360">
        <f t="shared" si="9"/>
        <v>49904</v>
      </c>
      <c r="O657" s="2">
        <f t="shared" si="10"/>
        <v>0</v>
      </c>
      <c r="P657" s="2">
        <f t="shared" si="11"/>
        <v>0</v>
      </c>
    </row>
    <row r="658">
      <c r="A658" s="344">
        <f t="shared" si="5"/>
        <v>850</v>
      </c>
      <c r="B658" s="344">
        <f t="shared" si="6"/>
        <v>90</v>
      </c>
      <c r="C658" s="369"/>
      <c r="D658" s="389" t="str">
        <f t="shared" si="7"/>
        <v>Saturday</v>
      </c>
      <c r="E658" s="344" t="s">
        <v>162</v>
      </c>
      <c r="F658" s="370"/>
      <c r="G658" s="370"/>
      <c r="H658" s="357">
        <f t="shared" si="29"/>
        <v>0</v>
      </c>
      <c r="I658" s="346">
        <f t="shared" si="31"/>
        <v>0</v>
      </c>
      <c r="J658" s="354" t="s">
        <v>636</v>
      </c>
      <c r="M658" s="360">
        <f t="shared" si="12"/>
        <v>49905</v>
      </c>
      <c r="N658" s="360">
        <f t="shared" si="9"/>
        <v>49911</v>
      </c>
      <c r="O658" s="2">
        <f t="shared" si="10"/>
        <v>0</v>
      </c>
      <c r="P658" s="2">
        <f t="shared" si="11"/>
        <v>0</v>
      </c>
    </row>
    <row r="659">
      <c r="A659" s="344">
        <f t="shared" si="5"/>
        <v>850</v>
      </c>
      <c r="B659" s="344">
        <f t="shared" si="6"/>
        <v>90</v>
      </c>
      <c r="C659" s="369"/>
      <c r="D659" s="389" t="str">
        <f t="shared" si="7"/>
        <v>Saturday</v>
      </c>
      <c r="E659" s="344" t="s">
        <v>162</v>
      </c>
      <c r="F659" s="370"/>
      <c r="G659" s="370"/>
      <c r="H659" s="357">
        <f t="shared" si="29"/>
        <v>0</v>
      </c>
      <c r="I659" s="346">
        <f t="shared" si="31"/>
        <v>0</v>
      </c>
      <c r="J659" s="354" t="s">
        <v>636</v>
      </c>
      <c r="M659" s="360">
        <f t="shared" si="12"/>
        <v>49912</v>
      </c>
      <c r="N659" s="360">
        <f t="shared" si="9"/>
        <v>49918</v>
      </c>
      <c r="O659" s="2">
        <f t="shared" si="10"/>
        <v>0</v>
      </c>
      <c r="P659" s="2">
        <f t="shared" si="11"/>
        <v>0</v>
      </c>
    </row>
    <row r="660">
      <c r="A660" s="344">
        <f t="shared" si="5"/>
        <v>850</v>
      </c>
      <c r="B660" s="344">
        <f t="shared" si="6"/>
        <v>90</v>
      </c>
      <c r="C660" s="369"/>
      <c r="D660" s="389" t="str">
        <f t="shared" si="7"/>
        <v>Saturday</v>
      </c>
      <c r="E660" s="344" t="s">
        <v>162</v>
      </c>
      <c r="F660" s="370"/>
      <c r="G660" s="370"/>
      <c r="H660" s="357">
        <f t="shared" si="29"/>
        <v>0</v>
      </c>
      <c r="I660" s="346">
        <f t="shared" si="31"/>
        <v>0</v>
      </c>
      <c r="J660" s="354" t="s">
        <v>636</v>
      </c>
      <c r="M660" s="360">
        <f t="shared" si="12"/>
        <v>49919</v>
      </c>
      <c r="N660" s="360">
        <f t="shared" si="9"/>
        <v>49925</v>
      </c>
      <c r="O660" s="2">
        <f t="shared" si="10"/>
        <v>0</v>
      </c>
      <c r="P660" s="2">
        <f t="shared" si="11"/>
        <v>0</v>
      </c>
    </row>
    <row r="661">
      <c r="A661" s="344">
        <f t="shared" si="5"/>
        <v>850</v>
      </c>
      <c r="B661" s="344">
        <f t="shared" si="6"/>
        <v>90</v>
      </c>
      <c r="C661" s="369"/>
      <c r="D661" s="389" t="str">
        <f t="shared" si="7"/>
        <v>Saturday</v>
      </c>
      <c r="E661" s="344" t="s">
        <v>162</v>
      </c>
      <c r="F661" s="370"/>
      <c r="G661" s="370"/>
      <c r="H661" s="357">
        <f t="shared" si="29"/>
        <v>0</v>
      </c>
      <c r="I661" s="346">
        <f t="shared" si="31"/>
        <v>0</v>
      </c>
      <c r="J661" s="354" t="s">
        <v>636</v>
      </c>
      <c r="M661" s="360">
        <f t="shared" si="12"/>
        <v>49926</v>
      </c>
      <c r="N661" s="360">
        <f t="shared" si="9"/>
        <v>49932</v>
      </c>
      <c r="O661" s="2">
        <f t="shared" si="10"/>
        <v>0</v>
      </c>
      <c r="P661" s="2">
        <f t="shared" si="11"/>
        <v>0</v>
      </c>
    </row>
    <row r="662">
      <c r="A662" s="344">
        <f t="shared" si="5"/>
        <v>850</v>
      </c>
      <c r="B662" s="344">
        <f t="shared" si="6"/>
        <v>90</v>
      </c>
      <c r="C662" s="369"/>
      <c r="D662" s="389" t="str">
        <f t="shared" si="7"/>
        <v>Saturday</v>
      </c>
      <c r="E662" s="344" t="s">
        <v>162</v>
      </c>
      <c r="F662" s="370"/>
      <c r="G662" s="370"/>
      <c r="H662" s="357">
        <f t="shared" si="29"/>
        <v>0</v>
      </c>
      <c r="I662" s="346">
        <f t="shared" si="31"/>
        <v>0</v>
      </c>
      <c r="J662" s="354" t="s">
        <v>636</v>
      </c>
      <c r="M662" s="360">
        <f t="shared" si="12"/>
        <v>49933</v>
      </c>
      <c r="N662" s="360">
        <f t="shared" si="9"/>
        <v>49939</v>
      </c>
      <c r="O662" s="2">
        <f t="shared" si="10"/>
        <v>0</v>
      </c>
      <c r="P662" s="2">
        <f t="shared" si="11"/>
        <v>0</v>
      </c>
    </row>
    <row r="663">
      <c r="A663" s="344">
        <f t="shared" si="5"/>
        <v>850</v>
      </c>
      <c r="B663" s="344">
        <f t="shared" si="6"/>
        <v>90</v>
      </c>
      <c r="C663" s="369"/>
      <c r="D663" s="389" t="str">
        <f t="shared" si="7"/>
        <v>Saturday</v>
      </c>
      <c r="E663" s="344" t="s">
        <v>162</v>
      </c>
      <c r="F663" s="370"/>
      <c r="G663" s="370"/>
      <c r="H663" s="357">
        <f t="shared" si="29"/>
        <v>0</v>
      </c>
      <c r="I663" s="346">
        <f t="shared" si="31"/>
        <v>0</v>
      </c>
      <c r="J663" s="354" t="s">
        <v>636</v>
      </c>
      <c r="M663" s="360">
        <f t="shared" si="12"/>
        <v>49940</v>
      </c>
      <c r="N663" s="360">
        <f t="shared" si="9"/>
        <v>49946</v>
      </c>
      <c r="O663" s="2">
        <f t="shared" si="10"/>
        <v>0</v>
      </c>
      <c r="P663" s="2">
        <f t="shared" si="11"/>
        <v>0</v>
      </c>
    </row>
    <row r="664">
      <c r="A664" s="344">
        <f t="shared" si="5"/>
        <v>850</v>
      </c>
      <c r="B664" s="344">
        <f t="shared" si="6"/>
        <v>90</v>
      </c>
      <c r="C664" s="369"/>
      <c r="D664" s="389" t="str">
        <f t="shared" si="7"/>
        <v>Saturday</v>
      </c>
      <c r="E664" s="344" t="s">
        <v>162</v>
      </c>
      <c r="F664" s="370"/>
      <c r="G664" s="370"/>
      <c r="H664" s="357">
        <f t="shared" si="29"/>
        <v>0</v>
      </c>
      <c r="I664" s="346">
        <f t="shared" si="31"/>
        <v>0</v>
      </c>
      <c r="J664" s="354" t="s">
        <v>636</v>
      </c>
      <c r="M664" s="360">
        <f t="shared" si="12"/>
        <v>49947</v>
      </c>
      <c r="N664" s="360">
        <f t="shared" si="9"/>
        <v>49953</v>
      </c>
      <c r="O664" s="2">
        <f t="shared" si="10"/>
        <v>0</v>
      </c>
      <c r="P664" s="2">
        <f t="shared" si="11"/>
        <v>0</v>
      </c>
    </row>
    <row r="665">
      <c r="A665" s="344">
        <f t="shared" si="5"/>
        <v>850</v>
      </c>
      <c r="B665" s="344">
        <f t="shared" si="6"/>
        <v>90</v>
      </c>
      <c r="C665" s="369"/>
      <c r="D665" s="389" t="str">
        <f t="shared" si="7"/>
        <v>Saturday</v>
      </c>
      <c r="E665" s="344" t="s">
        <v>162</v>
      </c>
      <c r="F665" s="370"/>
      <c r="G665" s="370"/>
      <c r="H665" s="357">
        <f t="shared" si="29"/>
        <v>0</v>
      </c>
      <c r="I665" s="346">
        <f t="shared" si="31"/>
        <v>0</v>
      </c>
      <c r="J665" s="354" t="s">
        <v>636</v>
      </c>
      <c r="M665" s="360">
        <f t="shared" si="12"/>
        <v>49954</v>
      </c>
      <c r="N665" s="360">
        <f t="shared" si="9"/>
        <v>49960</v>
      </c>
      <c r="O665" s="2">
        <f t="shared" si="10"/>
        <v>0</v>
      </c>
      <c r="P665" s="2">
        <f t="shared" si="11"/>
        <v>0</v>
      </c>
    </row>
    <row r="666">
      <c r="A666" s="344">
        <f t="shared" si="5"/>
        <v>850</v>
      </c>
      <c r="B666" s="344">
        <f t="shared" si="6"/>
        <v>90</v>
      </c>
      <c r="C666" s="369"/>
      <c r="D666" s="389" t="str">
        <f t="shared" si="7"/>
        <v>Saturday</v>
      </c>
      <c r="E666" s="344" t="s">
        <v>162</v>
      </c>
      <c r="F666" s="370"/>
      <c r="G666" s="370"/>
      <c r="H666" s="357">
        <f t="shared" si="29"/>
        <v>0</v>
      </c>
      <c r="I666" s="346">
        <f t="shared" si="31"/>
        <v>0</v>
      </c>
      <c r="J666" s="354" t="s">
        <v>636</v>
      </c>
      <c r="M666" s="360">
        <f t="shared" si="12"/>
        <v>49961</v>
      </c>
      <c r="N666" s="360">
        <f t="shared" si="9"/>
        <v>49967</v>
      </c>
      <c r="O666" s="2">
        <f t="shared" si="10"/>
        <v>0</v>
      </c>
      <c r="P666" s="2">
        <f t="shared" si="11"/>
        <v>0</v>
      </c>
    </row>
    <row r="667">
      <c r="A667" s="344">
        <f t="shared" si="5"/>
        <v>850</v>
      </c>
      <c r="B667" s="344">
        <f t="shared" si="6"/>
        <v>90</v>
      </c>
      <c r="C667" s="369"/>
      <c r="D667" s="389" t="str">
        <f t="shared" si="7"/>
        <v>Saturday</v>
      </c>
      <c r="E667" s="344" t="s">
        <v>162</v>
      </c>
      <c r="F667" s="370"/>
      <c r="G667" s="370"/>
      <c r="H667" s="357">
        <f t="shared" si="29"/>
        <v>0</v>
      </c>
      <c r="I667" s="346">
        <f t="shared" si="31"/>
        <v>0</v>
      </c>
      <c r="J667" s="354" t="s">
        <v>636</v>
      </c>
      <c r="M667" s="360">
        <f t="shared" si="12"/>
        <v>49968</v>
      </c>
      <c r="N667" s="360">
        <f t="shared" si="9"/>
        <v>49974</v>
      </c>
      <c r="O667" s="2">
        <f t="shared" si="10"/>
        <v>0</v>
      </c>
      <c r="P667" s="2">
        <f t="shared" si="11"/>
        <v>0</v>
      </c>
    </row>
    <row r="668">
      <c r="A668" s="344">
        <f t="shared" si="5"/>
        <v>850</v>
      </c>
      <c r="B668" s="344">
        <f t="shared" si="6"/>
        <v>90</v>
      </c>
      <c r="C668" s="369"/>
      <c r="D668" s="389" t="str">
        <f t="shared" si="7"/>
        <v>Saturday</v>
      </c>
      <c r="E668" s="344" t="s">
        <v>162</v>
      </c>
      <c r="F668" s="370"/>
      <c r="G668" s="370"/>
      <c r="H668" s="357">
        <f t="shared" si="29"/>
        <v>0</v>
      </c>
      <c r="I668" s="346">
        <f t="shared" si="31"/>
        <v>0</v>
      </c>
      <c r="J668" s="354" t="s">
        <v>636</v>
      </c>
      <c r="M668" s="360">
        <f t="shared" si="12"/>
        <v>49975</v>
      </c>
      <c r="N668" s="360">
        <f t="shared" si="9"/>
        <v>49981</v>
      </c>
      <c r="O668" s="2">
        <f t="shared" si="10"/>
        <v>0</v>
      </c>
      <c r="P668" s="2">
        <f t="shared" si="11"/>
        <v>0</v>
      </c>
    </row>
    <row r="669">
      <c r="A669" s="344">
        <f t="shared" si="5"/>
        <v>850</v>
      </c>
      <c r="B669" s="344">
        <f t="shared" si="6"/>
        <v>90</v>
      </c>
      <c r="C669" s="369"/>
      <c r="D669" s="389" t="str">
        <f t="shared" si="7"/>
        <v>Saturday</v>
      </c>
      <c r="E669" s="344" t="s">
        <v>162</v>
      </c>
      <c r="F669" s="370"/>
      <c r="G669" s="370"/>
      <c r="H669" s="357">
        <f t="shared" si="29"/>
        <v>0</v>
      </c>
      <c r="I669" s="346">
        <f t="shared" si="31"/>
        <v>0</v>
      </c>
      <c r="J669" s="354" t="s">
        <v>636</v>
      </c>
      <c r="M669" s="360">
        <f t="shared" si="12"/>
        <v>49982</v>
      </c>
      <c r="N669" s="360">
        <f t="shared" si="9"/>
        <v>49988</v>
      </c>
      <c r="O669" s="2">
        <f t="shared" si="10"/>
        <v>0</v>
      </c>
      <c r="P669" s="2">
        <f t="shared" si="11"/>
        <v>0</v>
      </c>
    </row>
    <row r="670">
      <c r="A670" s="344">
        <f t="shared" si="5"/>
        <v>850</v>
      </c>
      <c r="B670" s="344">
        <f t="shared" si="6"/>
        <v>90</v>
      </c>
      <c r="C670" s="369"/>
      <c r="D670" s="389" t="str">
        <f t="shared" si="7"/>
        <v>Saturday</v>
      </c>
      <c r="E670" s="344" t="s">
        <v>162</v>
      </c>
      <c r="F670" s="370"/>
      <c r="G670" s="370"/>
      <c r="H670" s="357">
        <f t="shared" si="29"/>
        <v>0</v>
      </c>
      <c r="I670" s="346">
        <f t="shared" si="31"/>
        <v>0</v>
      </c>
      <c r="J670" s="354" t="s">
        <v>636</v>
      </c>
      <c r="M670" s="360">
        <f t="shared" si="12"/>
        <v>49989</v>
      </c>
      <c r="N670" s="360">
        <f t="shared" si="9"/>
        <v>49995</v>
      </c>
      <c r="O670" s="2">
        <f t="shared" si="10"/>
        <v>0</v>
      </c>
      <c r="P670" s="2">
        <f t="shared" si="11"/>
        <v>0</v>
      </c>
    </row>
    <row r="671">
      <c r="A671" s="344">
        <f t="shared" si="5"/>
        <v>850</v>
      </c>
      <c r="B671" s="344">
        <f t="shared" si="6"/>
        <v>90</v>
      </c>
      <c r="C671" s="369"/>
      <c r="D671" s="389" t="str">
        <f t="shared" si="7"/>
        <v>Saturday</v>
      </c>
      <c r="E671" s="344" t="s">
        <v>162</v>
      </c>
      <c r="F671" s="370"/>
      <c r="G671" s="370"/>
      <c r="H671" s="357">
        <f t="shared" si="29"/>
        <v>0</v>
      </c>
      <c r="I671" s="346">
        <f t="shared" si="31"/>
        <v>0</v>
      </c>
      <c r="J671" s="354" t="s">
        <v>636</v>
      </c>
      <c r="M671" s="360">
        <f t="shared" si="12"/>
        <v>49996</v>
      </c>
      <c r="N671" s="360">
        <f t="shared" si="9"/>
        <v>50002</v>
      </c>
      <c r="O671" s="2">
        <f t="shared" si="10"/>
        <v>0</v>
      </c>
      <c r="P671" s="2">
        <f t="shared" si="11"/>
        <v>0</v>
      </c>
    </row>
    <row r="672">
      <c r="A672" s="344">
        <f t="shared" si="5"/>
        <v>850</v>
      </c>
      <c r="B672" s="344">
        <f t="shared" si="6"/>
        <v>90</v>
      </c>
      <c r="C672" s="369"/>
      <c r="D672" s="389" t="str">
        <f t="shared" si="7"/>
        <v>Saturday</v>
      </c>
      <c r="E672" s="344" t="s">
        <v>162</v>
      </c>
      <c r="F672" s="370"/>
      <c r="G672" s="370"/>
      <c r="H672" s="357">
        <f t="shared" si="29"/>
        <v>0</v>
      </c>
      <c r="I672" s="346">
        <f t="shared" si="31"/>
        <v>0</v>
      </c>
      <c r="J672" s="354" t="s">
        <v>636</v>
      </c>
      <c r="M672" s="360">
        <f t="shared" si="12"/>
        <v>50003</v>
      </c>
      <c r="N672" s="360">
        <f t="shared" si="9"/>
        <v>50009</v>
      </c>
      <c r="O672" s="2">
        <f t="shared" si="10"/>
        <v>0</v>
      </c>
      <c r="P672" s="2">
        <f t="shared" si="11"/>
        <v>0</v>
      </c>
    </row>
    <row r="673">
      <c r="A673" s="344">
        <f t="shared" si="5"/>
        <v>850</v>
      </c>
      <c r="B673" s="344">
        <f t="shared" si="6"/>
        <v>90</v>
      </c>
      <c r="C673" s="369"/>
      <c r="D673" s="389" t="str">
        <f t="shared" si="7"/>
        <v>Saturday</v>
      </c>
      <c r="E673" s="344" t="s">
        <v>162</v>
      </c>
      <c r="F673" s="370"/>
      <c r="G673" s="370"/>
      <c r="H673" s="357">
        <f t="shared" si="29"/>
        <v>0</v>
      </c>
      <c r="I673" s="346">
        <f t="shared" si="31"/>
        <v>0</v>
      </c>
      <c r="J673" s="354" t="s">
        <v>636</v>
      </c>
      <c r="M673" s="360">
        <f t="shared" si="12"/>
        <v>50010</v>
      </c>
      <c r="N673" s="360">
        <f t="shared" si="9"/>
        <v>50016</v>
      </c>
      <c r="O673" s="2">
        <f t="shared" si="10"/>
        <v>0</v>
      </c>
      <c r="P673" s="2">
        <f t="shared" si="11"/>
        <v>0</v>
      </c>
    </row>
    <row r="674">
      <c r="A674" s="344">
        <f t="shared" si="5"/>
        <v>850</v>
      </c>
      <c r="B674" s="344">
        <f t="shared" si="6"/>
        <v>90</v>
      </c>
      <c r="C674" s="369"/>
      <c r="D674" s="389" t="str">
        <f t="shared" si="7"/>
        <v>Saturday</v>
      </c>
      <c r="E674" s="344" t="s">
        <v>162</v>
      </c>
      <c r="F674" s="370"/>
      <c r="G674" s="370"/>
      <c r="H674" s="357">
        <f t="shared" si="29"/>
        <v>0</v>
      </c>
      <c r="I674" s="346">
        <f t="shared" si="31"/>
        <v>0</v>
      </c>
      <c r="J674" s="354" t="s">
        <v>636</v>
      </c>
      <c r="M674" s="360">
        <f t="shared" si="12"/>
        <v>50017</v>
      </c>
      <c r="N674" s="360">
        <f t="shared" si="9"/>
        <v>50023</v>
      </c>
      <c r="O674" s="2">
        <f t="shared" si="10"/>
        <v>0</v>
      </c>
      <c r="P674" s="2">
        <f t="shared" si="11"/>
        <v>0</v>
      </c>
    </row>
    <row r="675">
      <c r="A675" s="344">
        <f t="shared" si="5"/>
        <v>850</v>
      </c>
      <c r="B675" s="344">
        <f t="shared" si="6"/>
        <v>90</v>
      </c>
      <c r="C675" s="369"/>
      <c r="D675" s="389" t="str">
        <f t="shared" si="7"/>
        <v>Saturday</v>
      </c>
      <c r="E675" s="344" t="s">
        <v>162</v>
      </c>
      <c r="F675" s="370"/>
      <c r="G675" s="370"/>
      <c r="H675" s="357">
        <f t="shared" si="29"/>
        <v>0</v>
      </c>
      <c r="I675" s="346">
        <f t="shared" si="31"/>
        <v>0</v>
      </c>
      <c r="J675" s="354" t="s">
        <v>636</v>
      </c>
      <c r="M675" s="360">
        <f t="shared" si="12"/>
        <v>50024</v>
      </c>
      <c r="N675" s="360">
        <f t="shared" si="9"/>
        <v>50030</v>
      </c>
      <c r="O675" s="2">
        <f t="shared" si="10"/>
        <v>0</v>
      </c>
      <c r="P675" s="2">
        <f t="shared" si="11"/>
        <v>0</v>
      </c>
    </row>
    <row r="676">
      <c r="A676" s="344">
        <f t="shared" si="5"/>
        <v>850</v>
      </c>
      <c r="B676" s="344">
        <f t="shared" si="6"/>
        <v>90</v>
      </c>
      <c r="C676" s="369"/>
      <c r="D676" s="389" t="str">
        <f t="shared" si="7"/>
        <v>Saturday</v>
      </c>
      <c r="E676" s="344" t="s">
        <v>162</v>
      </c>
      <c r="F676" s="370"/>
      <c r="G676" s="370"/>
      <c r="H676" s="357">
        <f t="shared" si="29"/>
        <v>0</v>
      </c>
      <c r="I676" s="346">
        <f t="shared" si="31"/>
        <v>0</v>
      </c>
      <c r="J676" s="354" t="s">
        <v>636</v>
      </c>
      <c r="M676" s="360">
        <f t="shared" si="12"/>
        <v>50031</v>
      </c>
      <c r="N676" s="360">
        <f t="shared" si="9"/>
        <v>50037</v>
      </c>
      <c r="O676" s="2">
        <f t="shared" si="10"/>
        <v>0</v>
      </c>
      <c r="P676" s="2">
        <f t="shared" si="11"/>
        <v>0</v>
      </c>
    </row>
    <row r="677">
      <c r="A677" s="344">
        <f t="shared" si="5"/>
        <v>850</v>
      </c>
      <c r="B677" s="344">
        <f t="shared" si="6"/>
        <v>90</v>
      </c>
      <c r="C677" s="369"/>
      <c r="D677" s="389" t="str">
        <f t="shared" si="7"/>
        <v>Saturday</v>
      </c>
      <c r="E677" s="344" t="s">
        <v>162</v>
      </c>
      <c r="F677" s="370"/>
      <c r="G677" s="370"/>
      <c r="H677" s="357">
        <f t="shared" si="29"/>
        <v>0</v>
      </c>
      <c r="I677" s="346">
        <f t="shared" si="31"/>
        <v>0</v>
      </c>
      <c r="J677" s="354" t="s">
        <v>636</v>
      </c>
      <c r="M677" s="360">
        <f t="shared" si="12"/>
        <v>50038</v>
      </c>
      <c r="N677" s="360">
        <f t="shared" si="9"/>
        <v>50044</v>
      </c>
      <c r="O677" s="2">
        <f t="shared" si="10"/>
        <v>0</v>
      </c>
      <c r="P677" s="2">
        <f t="shared" si="11"/>
        <v>0</v>
      </c>
    </row>
    <row r="678">
      <c r="A678" s="344">
        <f t="shared" si="5"/>
        <v>850</v>
      </c>
      <c r="B678" s="344">
        <f t="shared" si="6"/>
        <v>90</v>
      </c>
      <c r="C678" s="369"/>
      <c r="D678" s="389" t="str">
        <f t="shared" si="7"/>
        <v>Saturday</v>
      </c>
      <c r="E678" s="344" t="s">
        <v>162</v>
      </c>
      <c r="F678" s="370"/>
      <c r="G678" s="370"/>
      <c r="H678" s="357">
        <f t="shared" si="29"/>
        <v>0</v>
      </c>
      <c r="I678" s="346">
        <f t="shared" si="31"/>
        <v>0</v>
      </c>
      <c r="J678" s="354" t="s">
        <v>636</v>
      </c>
      <c r="M678" s="360">
        <f t="shared" si="12"/>
        <v>50045</v>
      </c>
      <c r="N678" s="360">
        <f t="shared" si="9"/>
        <v>50051</v>
      </c>
      <c r="O678" s="2">
        <f t="shared" si="10"/>
        <v>0</v>
      </c>
      <c r="P678" s="2">
        <f t="shared" si="11"/>
        <v>0</v>
      </c>
    </row>
    <row r="679">
      <c r="A679" s="344">
        <f t="shared" si="5"/>
        <v>850</v>
      </c>
      <c r="B679" s="344">
        <f t="shared" si="6"/>
        <v>90</v>
      </c>
      <c r="C679" s="369"/>
      <c r="D679" s="389" t="str">
        <f t="shared" si="7"/>
        <v>Saturday</v>
      </c>
      <c r="E679" s="344" t="s">
        <v>162</v>
      </c>
      <c r="F679" s="370"/>
      <c r="G679" s="370"/>
      <c r="H679" s="357">
        <f t="shared" si="29"/>
        <v>0</v>
      </c>
      <c r="I679" s="346">
        <f t="shared" si="31"/>
        <v>0</v>
      </c>
      <c r="J679" s="354" t="s">
        <v>636</v>
      </c>
      <c r="M679" s="360">
        <f t="shared" si="12"/>
        <v>50052</v>
      </c>
      <c r="N679" s="360">
        <f t="shared" si="9"/>
        <v>50058</v>
      </c>
      <c r="O679" s="2">
        <f t="shared" si="10"/>
        <v>0</v>
      </c>
      <c r="P679" s="2">
        <f t="shared" si="11"/>
        <v>0</v>
      </c>
    </row>
    <row r="680">
      <c r="A680" s="344">
        <f t="shared" si="5"/>
        <v>850</v>
      </c>
      <c r="B680" s="344">
        <f t="shared" si="6"/>
        <v>90</v>
      </c>
      <c r="C680" s="369"/>
      <c r="D680" s="389" t="str">
        <f t="shared" si="7"/>
        <v>Saturday</v>
      </c>
      <c r="E680" s="344" t="s">
        <v>162</v>
      </c>
      <c r="F680" s="370"/>
      <c r="G680" s="370"/>
      <c r="H680" s="357">
        <f t="shared" si="29"/>
        <v>0</v>
      </c>
      <c r="I680" s="346">
        <f t="shared" si="31"/>
        <v>0</v>
      </c>
      <c r="J680" s="354" t="s">
        <v>636</v>
      </c>
      <c r="M680" s="360">
        <f t="shared" si="12"/>
        <v>50059</v>
      </c>
      <c r="N680" s="360">
        <f t="shared" si="9"/>
        <v>50065</v>
      </c>
      <c r="O680" s="2">
        <f t="shared" si="10"/>
        <v>0</v>
      </c>
      <c r="P680" s="2">
        <f t="shared" si="11"/>
        <v>0</v>
      </c>
    </row>
    <row r="681">
      <c r="A681" s="344">
        <f t="shared" si="5"/>
        <v>850</v>
      </c>
      <c r="B681" s="344">
        <f t="shared" si="6"/>
        <v>90</v>
      </c>
      <c r="C681" s="369"/>
      <c r="D681" s="389" t="str">
        <f t="shared" si="7"/>
        <v>Saturday</v>
      </c>
      <c r="E681" s="344" t="s">
        <v>162</v>
      </c>
      <c r="F681" s="370"/>
      <c r="G681" s="370"/>
      <c r="H681" s="357">
        <f t="shared" si="29"/>
        <v>0</v>
      </c>
      <c r="I681" s="346">
        <f t="shared" si="31"/>
        <v>0</v>
      </c>
      <c r="J681" s="354" t="s">
        <v>636</v>
      </c>
      <c r="M681" s="360">
        <f t="shared" si="12"/>
        <v>50066</v>
      </c>
      <c r="N681" s="360">
        <f t="shared" si="9"/>
        <v>50072</v>
      </c>
      <c r="O681" s="2">
        <f t="shared" si="10"/>
        <v>0</v>
      </c>
      <c r="P681" s="2">
        <f t="shared" si="11"/>
        <v>0</v>
      </c>
    </row>
    <row r="682">
      <c r="A682" s="344">
        <f t="shared" si="5"/>
        <v>850</v>
      </c>
      <c r="B682" s="344">
        <f t="shared" si="6"/>
        <v>90</v>
      </c>
      <c r="C682" s="369"/>
      <c r="D682" s="389" t="str">
        <f t="shared" si="7"/>
        <v>Saturday</v>
      </c>
      <c r="E682" s="344" t="s">
        <v>162</v>
      </c>
      <c r="F682" s="370"/>
      <c r="G682" s="370"/>
      <c r="H682" s="357">
        <f t="shared" si="29"/>
        <v>0</v>
      </c>
      <c r="I682" s="346">
        <f t="shared" si="31"/>
        <v>0</v>
      </c>
      <c r="J682" s="354" t="s">
        <v>636</v>
      </c>
      <c r="M682" s="360">
        <f t="shared" si="12"/>
        <v>50073</v>
      </c>
      <c r="N682" s="360">
        <f t="shared" si="9"/>
        <v>50079</v>
      </c>
      <c r="O682" s="2">
        <f t="shared" si="10"/>
        <v>0</v>
      </c>
      <c r="P682" s="2">
        <f t="shared" si="11"/>
        <v>0</v>
      </c>
    </row>
    <row r="683">
      <c r="A683" s="344">
        <f t="shared" si="5"/>
        <v>850</v>
      </c>
      <c r="B683" s="344">
        <f t="shared" si="6"/>
        <v>90</v>
      </c>
      <c r="C683" s="369"/>
      <c r="D683" s="389" t="str">
        <f t="shared" si="7"/>
        <v>Saturday</v>
      </c>
      <c r="E683" s="344" t="s">
        <v>162</v>
      </c>
      <c r="F683" s="370"/>
      <c r="G683" s="370"/>
      <c r="H683" s="357">
        <f t="shared" si="29"/>
        <v>0</v>
      </c>
      <c r="I683" s="346">
        <f t="shared" si="31"/>
        <v>0</v>
      </c>
      <c r="J683" s="354" t="s">
        <v>636</v>
      </c>
      <c r="M683" s="360">
        <f t="shared" si="12"/>
        <v>50080</v>
      </c>
      <c r="N683" s="360">
        <f t="shared" si="9"/>
        <v>50086</v>
      </c>
      <c r="O683" s="2">
        <f t="shared" si="10"/>
        <v>0</v>
      </c>
      <c r="P683" s="2">
        <f t="shared" si="11"/>
        <v>0</v>
      </c>
    </row>
    <row r="684">
      <c r="A684" s="344">
        <f t="shared" si="5"/>
        <v>850</v>
      </c>
      <c r="B684" s="344">
        <f t="shared" si="6"/>
        <v>90</v>
      </c>
      <c r="C684" s="369"/>
      <c r="D684" s="389" t="str">
        <f t="shared" si="7"/>
        <v>Saturday</v>
      </c>
      <c r="E684" s="344" t="s">
        <v>162</v>
      </c>
      <c r="F684" s="370"/>
      <c r="G684" s="370"/>
      <c r="H684" s="357">
        <f t="shared" si="29"/>
        <v>0</v>
      </c>
      <c r="I684" s="346">
        <f t="shared" si="31"/>
        <v>0</v>
      </c>
      <c r="J684" s="354" t="s">
        <v>636</v>
      </c>
      <c r="M684" s="360">
        <f t="shared" si="12"/>
        <v>50087</v>
      </c>
      <c r="N684" s="360">
        <f t="shared" si="9"/>
        <v>50093</v>
      </c>
      <c r="O684" s="2">
        <f t="shared" si="10"/>
        <v>0</v>
      </c>
      <c r="P684" s="2">
        <f t="shared" si="11"/>
        <v>0</v>
      </c>
    </row>
    <row r="685">
      <c r="A685" s="344">
        <f t="shared" si="5"/>
        <v>850</v>
      </c>
      <c r="B685" s="344">
        <f t="shared" si="6"/>
        <v>90</v>
      </c>
      <c r="C685" s="369"/>
      <c r="D685" s="389" t="str">
        <f t="shared" si="7"/>
        <v>Saturday</v>
      </c>
      <c r="E685" s="344" t="s">
        <v>162</v>
      </c>
      <c r="F685" s="370"/>
      <c r="G685" s="370"/>
      <c r="H685" s="357">
        <f t="shared" si="29"/>
        <v>0</v>
      </c>
      <c r="I685" s="346">
        <f t="shared" si="31"/>
        <v>0</v>
      </c>
      <c r="J685" s="354" t="s">
        <v>636</v>
      </c>
      <c r="M685" s="360">
        <f t="shared" si="12"/>
        <v>50094</v>
      </c>
      <c r="N685" s="360">
        <f t="shared" si="9"/>
        <v>50100</v>
      </c>
      <c r="O685" s="2">
        <f t="shared" si="10"/>
        <v>0</v>
      </c>
      <c r="P685" s="2">
        <f t="shared" si="11"/>
        <v>0</v>
      </c>
    </row>
    <row r="686">
      <c r="A686" s="344">
        <f t="shared" si="5"/>
        <v>850</v>
      </c>
      <c r="B686" s="344">
        <f t="shared" si="6"/>
        <v>90</v>
      </c>
      <c r="C686" s="369"/>
      <c r="D686" s="389" t="str">
        <f t="shared" si="7"/>
        <v>Saturday</v>
      </c>
      <c r="E686" s="344" t="s">
        <v>162</v>
      </c>
      <c r="F686" s="370"/>
      <c r="G686" s="370"/>
      <c r="H686" s="357">
        <f t="shared" si="29"/>
        <v>0</v>
      </c>
      <c r="I686" s="346">
        <f t="shared" si="31"/>
        <v>0</v>
      </c>
      <c r="J686" s="354" t="s">
        <v>636</v>
      </c>
      <c r="M686" s="360">
        <f t="shared" si="12"/>
        <v>50101</v>
      </c>
      <c r="N686" s="360">
        <f t="shared" si="9"/>
        <v>50107</v>
      </c>
      <c r="O686" s="2">
        <f t="shared" si="10"/>
        <v>0</v>
      </c>
      <c r="P686" s="2">
        <f t="shared" si="11"/>
        <v>0</v>
      </c>
    </row>
    <row r="687">
      <c r="A687" s="344">
        <f t="shared" si="5"/>
        <v>850</v>
      </c>
      <c r="B687" s="344">
        <f t="shared" si="6"/>
        <v>90</v>
      </c>
      <c r="C687" s="369"/>
      <c r="D687" s="389" t="str">
        <f t="shared" si="7"/>
        <v>Saturday</v>
      </c>
      <c r="E687" s="344" t="s">
        <v>162</v>
      </c>
      <c r="F687" s="370"/>
      <c r="G687" s="370"/>
      <c r="H687" s="357">
        <f t="shared" si="29"/>
        <v>0</v>
      </c>
      <c r="I687" s="346">
        <f t="shared" si="31"/>
        <v>0</v>
      </c>
      <c r="J687" s="354" t="s">
        <v>636</v>
      </c>
      <c r="M687" s="360">
        <f t="shared" si="12"/>
        <v>50108</v>
      </c>
      <c r="N687" s="360">
        <f t="shared" si="9"/>
        <v>50114</v>
      </c>
      <c r="O687" s="2">
        <f t="shared" si="10"/>
        <v>0</v>
      </c>
      <c r="P687" s="2">
        <f t="shared" si="11"/>
        <v>0</v>
      </c>
    </row>
    <row r="688">
      <c r="A688" s="344">
        <f t="shared" si="5"/>
        <v>850</v>
      </c>
      <c r="B688" s="344">
        <f t="shared" si="6"/>
        <v>90</v>
      </c>
      <c r="C688" s="369"/>
      <c r="D688" s="389" t="str">
        <f t="shared" si="7"/>
        <v>Saturday</v>
      </c>
      <c r="E688" s="344" t="s">
        <v>162</v>
      </c>
      <c r="F688" s="370"/>
      <c r="G688" s="370"/>
      <c r="H688" s="357">
        <f t="shared" si="29"/>
        <v>0</v>
      </c>
      <c r="I688" s="346">
        <f t="shared" si="31"/>
        <v>0</v>
      </c>
      <c r="J688" s="354" t="s">
        <v>636</v>
      </c>
      <c r="M688" s="360">
        <f t="shared" si="12"/>
        <v>50115</v>
      </c>
      <c r="N688" s="360">
        <f t="shared" si="9"/>
        <v>50121</v>
      </c>
      <c r="O688" s="2">
        <f t="shared" si="10"/>
        <v>0</v>
      </c>
      <c r="P688" s="2">
        <f t="shared" si="11"/>
        <v>0</v>
      </c>
    </row>
    <row r="689">
      <c r="A689" s="344">
        <f t="shared" si="5"/>
        <v>850</v>
      </c>
      <c r="B689" s="344">
        <f t="shared" si="6"/>
        <v>90</v>
      </c>
      <c r="C689" s="369"/>
      <c r="D689" s="389" t="str">
        <f t="shared" si="7"/>
        <v>Saturday</v>
      </c>
      <c r="E689" s="344" t="s">
        <v>162</v>
      </c>
      <c r="F689" s="370"/>
      <c r="G689" s="370"/>
      <c r="H689" s="357">
        <f t="shared" si="29"/>
        <v>0</v>
      </c>
      <c r="I689" s="346">
        <f t="shared" si="31"/>
        <v>0</v>
      </c>
      <c r="J689" s="354" t="s">
        <v>636</v>
      </c>
      <c r="M689" s="360">
        <f t="shared" si="12"/>
        <v>50122</v>
      </c>
      <c r="N689" s="360">
        <f t="shared" si="9"/>
        <v>50128</v>
      </c>
      <c r="O689" s="2">
        <f t="shared" si="10"/>
        <v>0</v>
      </c>
      <c r="P689" s="2">
        <f t="shared" si="11"/>
        <v>0</v>
      </c>
    </row>
    <row r="690">
      <c r="A690" s="344">
        <f t="shared" si="5"/>
        <v>850</v>
      </c>
      <c r="B690" s="344">
        <f t="shared" si="6"/>
        <v>90</v>
      </c>
      <c r="C690" s="369"/>
      <c r="D690" s="389" t="str">
        <f t="shared" si="7"/>
        <v>Saturday</v>
      </c>
      <c r="E690" s="344" t="s">
        <v>162</v>
      </c>
      <c r="F690" s="370"/>
      <c r="G690" s="370"/>
      <c r="H690" s="357">
        <f t="shared" si="29"/>
        <v>0</v>
      </c>
      <c r="I690" s="346">
        <f t="shared" si="31"/>
        <v>0</v>
      </c>
      <c r="J690" s="354" t="s">
        <v>636</v>
      </c>
      <c r="M690" s="360">
        <f t="shared" si="12"/>
        <v>50129</v>
      </c>
      <c r="N690" s="360">
        <f t="shared" si="9"/>
        <v>50135</v>
      </c>
      <c r="O690" s="2">
        <f t="shared" si="10"/>
        <v>0</v>
      </c>
      <c r="P690" s="2">
        <f t="shared" si="11"/>
        <v>0</v>
      </c>
    </row>
    <row r="691">
      <c r="A691" s="344">
        <f t="shared" si="5"/>
        <v>850</v>
      </c>
      <c r="B691" s="344">
        <f t="shared" si="6"/>
        <v>90</v>
      </c>
      <c r="C691" s="369"/>
      <c r="D691" s="389" t="str">
        <f t="shared" si="7"/>
        <v>Saturday</v>
      </c>
      <c r="E691" s="344" t="s">
        <v>162</v>
      </c>
      <c r="F691" s="370"/>
      <c r="G691" s="370"/>
      <c r="H691" s="357">
        <f t="shared" si="29"/>
        <v>0</v>
      </c>
      <c r="I691" s="346">
        <f t="shared" si="31"/>
        <v>0</v>
      </c>
      <c r="J691" s="354" t="s">
        <v>636</v>
      </c>
      <c r="M691" s="360">
        <f t="shared" si="12"/>
        <v>50136</v>
      </c>
      <c r="N691" s="360">
        <f t="shared" si="9"/>
        <v>50142</v>
      </c>
      <c r="O691" s="2">
        <f t="shared" si="10"/>
        <v>0</v>
      </c>
      <c r="P691" s="2">
        <f t="shared" si="11"/>
        <v>0</v>
      </c>
    </row>
    <row r="692">
      <c r="A692" s="344">
        <f t="shared" si="5"/>
        <v>850</v>
      </c>
      <c r="B692" s="344">
        <f t="shared" si="6"/>
        <v>90</v>
      </c>
      <c r="C692" s="369"/>
      <c r="D692" s="389" t="str">
        <f t="shared" si="7"/>
        <v>Saturday</v>
      </c>
      <c r="E692" s="344" t="s">
        <v>162</v>
      </c>
      <c r="F692" s="370"/>
      <c r="G692" s="370"/>
      <c r="H692" s="357">
        <f t="shared" si="29"/>
        <v>0</v>
      </c>
      <c r="I692" s="346">
        <f t="shared" si="31"/>
        <v>0</v>
      </c>
      <c r="J692" s="354" t="s">
        <v>636</v>
      </c>
      <c r="M692" s="360">
        <f t="shared" si="12"/>
        <v>50143</v>
      </c>
      <c r="N692" s="360">
        <f t="shared" si="9"/>
        <v>50149</v>
      </c>
      <c r="O692" s="2">
        <f t="shared" si="10"/>
        <v>0</v>
      </c>
      <c r="P692" s="2">
        <f t="shared" si="11"/>
        <v>0</v>
      </c>
    </row>
    <row r="693">
      <c r="A693" s="344">
        <f t="shared" si="5"/>
        <v>850</v>
      </c>
      <c r="B693" s="344">
        <f t="shared" si="6"/>
        <v>90</v>
      </c>
      <c r="C693" s="369"/>
      <c r="D693" s="389" t="str">
        <f t="shared" si="7"/>
        <v>Saturday</v>
      </c>
      <c r="E693" s="344" t="s">
        <v>162</v>
      </c>
      <c r="F693" s="370"/>
      <c r="G693" s="370"/>
      <c r="H693" s="357">
        <f t="shared" si="29"/>
        <v>0</v>
      </c>
      <c r="I693" s="346">
        <f t="shared" si="31"/>
        <v>0</v>
      </c>
      <c r="J693" s="354" t="s">
        <v>636</v>
      </c>
      <c r="M693" s="360">
        <f t="shared" si="12"/>
        <v>50150</v>
      </c>
      <c r="N693" s="360">
        <f t="shared" si="9"/>
        <v>50156</v>
      </c>
      <c r="O693" s="2">
        <f t="shared" si="10"/>
        <v>0</v>
      </c>
      <c r="P693" s="2">
        <f t="shared" si="11"/>
        <v>0</v>
      </c>
    </row>
    <row r="694">
      <c r="A694" s="344">
        <f t="shared" si="5"/>
        <v>850</v>
      </c>
      <c r="B694" s="344">
        <f t="shared" si="6"/>
        <v>90</v>
      </c>
      <c r="C694" s="369"/>
      <c r="D694" s="389" t="str">
        <f t="shared" si="7"/>
        <v>Saturday</v>
      </c>
      <c r="E694" s="344" t="s">
        <v>162</v>
      </c>
      <c r="F694" s="370"/>
      <c r="G694" s="370"/>
      <c r="H694" s="357">
        <f t="shared" si="29"/>
        <v>0</v>
      </c>
      <c r="I694" s="346">
        <f t="shared" si="31"/>
        <v>0</v>
      </c>
      <c r="J694" s="354" t="s">
        <v>636</v>
      </c>
      <c r="M694" s="360">
        <f t="shared" si="12"/>
        <v>50157</v>
      </c>
      <c r="N694" s="360">
        <f t="shared" si="9"/>
        <v>50163</v>
      </c>
      <c r="O694" s="2">
        <f t="shared" si="10"/>
        <v>0</v>
      </c>
      <c r="P694" s="2">
        <f t="shared" si="11"/>
        <v>0</v>
      </c>
    </row>
    <row r="695">
      <c r="A695" s="344">
        <f t="shared" si="5"/>
        <v>850</v>
      </c>
      <c r="B695" s="344">
        <f t="shared" si="6"/>
        <v>90</v>
      </c>
      <c r="C695" s="369"/>
      <c r="D695" s="389" t="str">
        <f t="shared" si="7"/>
        <v>Saturday</v>
      </c>
      <c r="E695" s="344" t="s">
        <v>162</v>
      </c>
      <c r="F695" s="370"/>
      <c r="G695" s="370"/>
      <c r="H695" s="357">
        <f t="shared" si="29"/>
        <v>0</v>
      </c>
      <c r="I695" s="346">
        <f t="shared" si="31"/>
        <v>0</v>
      </c>
      <c r="J695" s="354" t="s">
        <v>636</v>
      </c>
      <c r="M695" s="360">
        <f t="shared" si="12"/>
        <v>50164</v>
      </c>
      <c r="N695" s="360">
        <f t="shared" si="9"/>
        <v>50170</v>
      </c>
      <c r="O695" s="2">
        <f t="shared" si="10"/>
        <v>0</v>
      </c>
      <c r="P695" s="2">
        <f t="shared" si="11"/>
        <v>0</v>
      </c>
    </row>
    <row r="696">
      <c r="A696" s="344">
        <f t="shared" si="5"/>
        <v>850</v>
      </c>
      <c r="B696" s="344">
        <f t="shared" si="6"/>
        <v>90</v>
      </c>
      <c r="C696" s="369"/>
      <c r="D696" s="389" t="str">
        <f t="shared" si="7"/>
        <v>Saturday</v>
      </c>
      <c r="E696" s="344" t="s">
        <v>162</v>
      </c>
      <c r="F696" s="370"/>
      <c r="G696" s="370"/>
      <c r="H696" s="357">
        <f t="shared" si="29"/>
        <v>0</v>
      </c>
      <c r="I696" s="346">
        <f t="shared" si="31"/>
        <v>0</v>
      </c>
      <c r="J696" s="354" t="s">
        <v>636</v>
      </c>
      <c r="M696" s="360">
        <f t="shared" si="12"/>
        <v>50171</v>
      </c>
      <c r="N696" s="360">
        <f t="shared" si="9"/>
        <v>50177</v>
      </c>
      <c r="O696" s="2">
        <f t="shared" si="10"/>
        <v>0</v>
      </c>
      <c r="P696" s="2">
        <f t="shared" si="11"/>
        <v>0</v>
      </c>
    </row>
    <row r="697">
      <c r="A697" s="344">
        <f t="shared" si="5"/>
        <v>850</v>
      </c>
      <c r="B697" s="344">
        <f t="shared" si="6"/>
        <v>90</v>
      </c>
      <c r="C697" s="369"/>
      <c r="D697" s="389" t="str">
        <f t="shared" si="7"/>
        <v>Saturday</v>
      </c>
      <c r="E697" s="344" t="s">
        <v>162</v>
      </c>
      <c r="F697" s="370"/>
      <c r="G697" s="370"/>
      <c r="H697" s="357">
        <f t="shared" si="29"/>
        <v>0</v>
      </c>
      <c r="I697" s="346">
        <f t="shared" si="31"/>
        <v>0</v>
      </c>
      <c r="J697" s="354" t="s">
        <v>636</v>
      </c>
      <c r="M697" s="360">
        <f t="shared" si="12"/>
        <v>50178</v>
      </c>
      <c r="N697" s="360">
        <f t="shared" si="9"/>
        <v>50184</v>
      </c>
      <c r="O697" s="2">
        <f t="shared" si="10"/>
        <v>0</v>
      </c>
      <c r="P697" s="2">
        <f t="shared" si="11"/>
        <v>0</v>
      </c>
    </row>
    <row r="698">
      <c r="A698" s="344">
        <f t="shared" si="5"/>
        <v>850</v>
      </c>
      <c r="B698" s="344">
        <f t="shared" si="6"/>
        <v>90</v>
      </c>
      <c r="C698" s="369"/>
      <c r="D698" s="389" t="str">
        <f t="shared" si="7"/>
        <v>Saturday</v>
      </c>
      <c r="E698" s="344" t="s">
        <v>162</v>
      </c>
      <c r="F698" s="370"/>
      <c r="G698" s="370"/>
      <c r="H698" s="357">
        <f t="shared" si="29"/>
        <v>0</v>
      </c>
      <c r="I698" s="346">
        <f t="shared" si="31"/>
        <v>0</v>
      </c>
      <c r="J698" s="354" t="s">
        <v>636</v>
      </c>
      <c r="M698" s="360">
        <f t="shared" si="12"/>
        <v>50185</v>
      </c>
      <c r="N698" s="360">
        <f t="shared" si="9"/>
        <v>50191</v>
      </c>
      <c r="O698" s="2">
        <f t="shared" si="10"/>
        <v>0</v>
      </c>
      <c r="P698" s="2">
        <f t="shared" si="11"/>
        <v>0</v>
      </c>
    </row>
    <row r="699">
      <c r="A699" s="344">
        <f t="shared" si="5"/>
        <v>850</v>
      </c>
      <c r="B699" s="344">
        <f t="shared" si="6"/>
        <v>90</v>
      </c>
      <c r="C699" s="369"/>
      <c r="D699" s="389" t="str">
        <f t="shared" si="7"/>
        <v>Saturday</v>
      </c>
      <c r="E699" s="344" t="s">
        <v>162</v>
      </c>
      <c r="F699" s="370"/>
      <c r="G699" s="370"/>
      <c r="H699" s="357">
        <f t="shared" si="29"/>
        <v>0</v>
      </c>
      <c r="I699" s="346">
        <f t="shared" si="31"/>
        <v>0</v>
      </c>
      <c r="J699" s="354" t="s">
        <v>636</v>
      </c>
      <c r="M699" s="360">
        <f t="shared" si="12"/>
        <v>50192</v>
      </c>
      <c r="N699" s="360">
        <f t="shared" si="9"/>
        <v>50198</v>
      </c>
      <c r="O699" s="2">
        <f t="shared" si="10"/>
        <v>0</v>
      </c>
      <c r="P699" s="2">
        <f t="shared" si="11"/>
        <v>0</v>
      </c>
    </row>
    <row r="700">
      <c r="A700" s="344">
        <f t="shared" si="5"/>
        <v>850</v>
      </c>
      <c r="B700" s="344">
        <f t="shared" si="6"/>
        <v>90</v>
      </c>
      <c r="C700" s="369"/>
      <c r="D700" s="389" t="str">
        <f t="shared" si="7"/>
        <v>Saturday</v>
      </c>
      <c r="E700" s="344" t="s">
        <v>162</v>
      </c>
      <c r="F700" s="370"/>
      <c r="G700" s="370"/>
      <c r="H700" s="357">
        <f t="shared" si="29"/>
        <v>0</v>
      </c>
      <c r="I700" s="346">
        <f t="shared" si="31"/>
        <v>0</v>
      </c>
      <c r="J700" s="354" t="s">
        <v>636</v>
      </c>
      <c r="M700" s="360">
        <f t="shared" si="12"/>
        <v>50199</v>
      </c>
      <c r="N700" s="360">
        <f t="shared" si="9"/>
        <v>50205</v>
      </c>
      <c r="O700" s="2">
        <f t="shared" si="10"/>
        <v>0</v>
      </c>
      <c r="P700" s="2">
        <f t="shared" si="11"/>
        <v>0</v>
      </c>
    </row>
    <row r="701">
      <c r="A701" s="344">
        <f t="shared" si="5"/>
        <v>850</v>
      </c>
      <c r="B701" s="344">
        <f t="shared" si="6"/>
        <v>90</v>
      </c>
      <c r="C701" s="369"/>
      <c r="D701" s="389" t="str">
        <f t="shared" si="7"/>
        <v>Saturday</v>
      </c>
      <c r="E701" s="344" t="s">
        <v>162</v>
      </c>
      <c r="F701" s="370"/>
      <c r="G701" s="370"/>
      <c r="H701" s="357">
        <f t="shared" si="29"/>
        <v>0</v>
      </c>
      <c r="I701" s="346">
        <f t="shared" si="31"/>
        <v>0</v>
      </c>
      <c r="J701" s="354" t="s">
        <v>636</v>
      </c>
      <c r="M701" s="360">
        <f t="shared" si="12"/>
        <v>50206</v>
      </c>
      <c r="N701" s="360">
        <f t="shared" si="9"/>
        <v>50212</v>
      </c>
      <c r="O701" s="2">
        <f t="shared" si="10"/>
        <v>0</v>
      </c>
      <c r="P701" s="2">
        <f t="shared" si="11"/>
        <v>0</v>
      </c>
    </row>
    <row r="702">
      <c r="A702" s="344">
        <f t="shared" si="5"/>
        <v>850</v>
      </c>
      <c r="B702" s="344">
        <f t="shared" si="6"/>
        <v>90</v>
      </c>
      <c r="C702" s="369"/>
      <c r="D702" s="389" t="str">
        <f t="shared" si="7"/>
        <v>Saturday</v>
      </c>
      <c r="E702" s="344" t="s">
        <v>162</v>
      </c>
      <c r="F702" s="370"/>
      <c r="G702" s="370"/>
      <c r="H702" s="357">
        <f t="shared" si="29"/>
        <v>0</v>
      </c>
      <c r="I702" s="346">
        <f t="shared" si="31"/>
        <v>0</v>
      </c>
      <c r="J702" s="354" t="s">
        <v>636</v>
      </c>
      <c r="M702" s="360">
        <f t="shared" si="12"/>
        <v>50213</v>
      </c>
      <c r="N702" s="360">
        <f t="shared" si="9"/>
        <v>50219</v>
      </c>
      <c r="O702" s="2">
        <f t="shared" si="10"/>
        <v>0</v>
      </c>
      <c r="P702" s="2">
        <f t="shared" si="11"/>
        <v>0</v>
      </c>
    </row>
    <row r="703">
      <c r="A703" s="344">
        <f t="shared" si="5"/>
        <v>850</v>
      </c>
      <c r="B703" s="344">
        <f t="shared" si="6"/>
        <v>90</v>
      </c>
      <c r="C703" s="369"/>
      <c r="D703" s="389" t="str">
        <f t="shared" si="7"/>
        <v>Saturday</v>
      </c>
      <c r="E703" s="344" t="s">
        <v>162</v>
      </c>
      <c r="F703" s="370"/>
      <c r="G703" s="370"/>
      <c r="H703" s="357">
        <f t="shared" si="29"/>
        <v>0</v>
      </c>
      <c r="I703" s="346">
        <f t="shared" si="31"/>
        <v>0</v>
      </c>
      <c r="J703" s="354" t="s">
        <v>636</v>
      </c>
      <c r="M703" s="360">
        <f t="shared" si="12"/>
        <v>50220</v>
      </c>
      <c r="N703" s="360">
        <f t="shared" si="9"/>
        <v>50226</v>
      </c>
      <c r="O703" s="2">
        <f t="shared" si="10"/>
        <v>0</v>
      </c>
      <c r="P703" s="2">
        <f t="shared" si="11"/>
        <v>0</v>
      </c>
    </row>
    <row r="704">
      <c r="A704" s="344">
        <f t="shared" si="5"/>
        <v>850</v>
      </c>
      <c r="B704" s="344">
        <f t="shared" si="6"/>
        <v>90</v>
      </c>
      <c r="C704" s="369"/>
      <c r="D704" s="389" t="str">
        <f t="shared" si="7"/>
        <v>Saturday</v>
      </c>
      <c r="E704" s="344" t="s">
        <v>162</v>
      </c>
      <c r="F704" s="370"/>
      <c r="G704" s="370"/>
      <c r="H704" s="357">
        <f t="shared" si="29"/>
        <v>0</v>
      </c>
      <c r="I704" s="346">
        <f t="shared" si="31"/>
        <v>0</v>
      </c>
      <c r="J704" s="354" t="s">
        <v>636</v>
      </c>
      <c r="M704" s="360">
        <f t="shared" si="12"/>
        <v>50227</v>
      </c>
      <c r="N704" s="360">
        <f t="shared" si="9"/>
        <v>50233</v>
      </c>
      <c r="O704" s="2">
        <f t="shared" si="10"/>
        <v>0</v>
      </c>
      <c r="P704" s="2">
        <f t="shared" si="11"/>
        <v>0</v>
      </c>
    </row>
    <row r="705">
      <c r="A705" s="344">
        <f t="shared" si="5"/>
        <v>850</v>
      </c>
      <c r="B705" s="344">
        <f t="shared" si="6"/>
        <v>90</v>
      </c>
      <c r="C705" s="369"/>
      <c r="D705" s="389" t="str">
        <f t="shared" si="7"/>
        <v>Saturday</v>
      </c>
      <c r="E705" s="344" t="s">
        <v>162</v>
      </c>
      <c r="F705" s="370"/>
      <c r="G705" s="370"/>
      <c r="H705" s="357">
        <f t="shared" si="29"/>
        <v>0</v>
      </c>
      <c r="I705" s="346">
        <f t="shared" si="31"/>
        <v>0</v>
      </c>
      <c r="J705" s="354" t="s">
        <v>636</v>
      </c>
      <c r="M705" s="360">
        <f t="shared" si="12"/>
        <v>50234</v>
      </c>
      <c r="N705" s="360">
        <f t="shared" si="9"/>
        <v>50240</v>
      </c>
      <c r="O705" s="2">
        <f t="shared" si="10"/>
        <v>0</v>
      </c>
      <c r="P705" s="2">
        <f t="shared" si="11"/>
        <v>0</v>
      </c>
    </row>
    <row r="706">
      <c r="A706" s="344">
        <f t="shared" si="5"/>
        <v>850</v>
      </c>
      <c r="B706" s="344">
        <f t="shared" si="6"/>
        <v>90</v>
      </c>
      <c r="C706" s="369"/>
      <c r="D706" s="389" t="str">
        <f t="shared" si="7"/>
        <v>Saturday</v>
      </c>
      <c r="E706" s="344" t="s">
        <v>162</v>
      </c>
      <c r="F706" s="370"/>
      <c r="G706" s="370"/>
      <c r="H706" s="357">
        <f t="shared" si="29"/>
        <v>0</v>
      </c>
      <c r="I706" s="346">
        <f t="shared" si="31"/>
        <v>0</v>
      </c>
      <c r="J706" s="354" t="s">
        <v>636</v>
      </c>
      <c r="M706" s="360">
        <f t="shared" si="12"/>
        <v>50241</v>
      </c>
      <c r="N706" s="360">
        <f t="shared" si="9"/>
        <v>50247</v>
      </c>
      <c r="O706" s="2">
        <f t="shared" si="10"/>
        <v>0</v>
      </c>
      <c r="P706" s="2">
        <f t="shared" si="11"/>
        <v>0</v>
      </c>
    </row>
    <row r="707">
      <c r="A707" s="344">
        <f t="shared" si="5"/>
        <v>850</v>
      </c>
      <c r="B707" s="344">
        <f t="shared" si="6"/>
        <v>90</v>
      </c>
      <c r="C707" s="369"/>
      <c r="D707" s="389" t="str">
        <f t="shared" si="7"/>
        <v>Saturday</v>
      </c>
      <c r="E707" s="344" t="s">
        <v>162</v>
      </c>
      <c r="F707" s="370"/>
      <c r="G707" s="370"/>
      <c r="H707" s="357">
        <f t="shared" si="29"/>
        <v>0</v>
      </c>
      <c r="I707" s="346">
        <f t="shared" si="31"/>
        <v>0</v>
      </c>
      <c r="J707" s="354" t="s">
        <v>636</v>
      </c>
      <c r="M707" s="360">
        <f t="shared" si="12"/>
        <v>50248</v>
      </c>
      <c r="N707" s="360">
        <f t="shared" si="9"/>
        <v>50254</v>
      </c>
      <c r="O707" s="2">
        <f t="shared" si="10"/>
        <v>0</v>
      </c>
      <c r="P707" s="2">
        <f t="shared" si="11"/>
        <v>0</v>
      </c>
    </row>
    <row r="708">
      <c r="A708" s="344">
        <f t="shared" si="5"/>
        <v>850</v>
      </c>
      <c r="B708" s="344">
        <f t="shared" si="6"/>
        <v>90</v>
      </c>
      <c r="C708" s="369"/>
      <c r="D708" s="389" t="str">
        <f t="shared" si="7"/>
        <v>Saturday</v>
      </c>
      <c r="E708" s="344" t="s">
        <v>162</v>
      </c>
      <c r="F708" s="370"/>
      <c r="G708" s="370"/>
      <c r="H708" s="357">
        <f t="shared" si="29"/>
        <v>0</v>
      </c>
      <c r="I708" s="346">
        <f t="shared" si="31"/>
        <v>0</v>
      </c>
      <c r="J708" s="354" t="s">
        <v>636</v>
      </c>
      <c r="M708" s="360">
        <f t="shared" si="12"/>
        <v>50255</v>
      </c>
      <c r="N708" s="360">
        <f t="shared" si="9"/>
        <v>50261</v>
      </c>
      <c r="O708" s="2">
        <f t="shared" si="10"/>
        <v>0</v>
      </c>
      <c r="P708" s="2">
        <f t="shared" si="11"/>
        <v>0</v>
      </c>
    </row>
    <row r="709">
      <c r="A709" s="344">
        <f t="shared" si="5"/>
        <v>850</v>
      </c>
      <c r="B709" s="344">
        <f t="shared" si="6"/>
        <v>90</v>
      </c>
      <c r="C709" s="369"/>
      <c r="D709" s="389" t="str">
        <f t="shared" si="7"/>
        <v>Saturday</v>
      </c>
      <c r="E709" s="344" t="s">
        <v>162</v>
      </c>
      <c r="F709" s="370"/>
      <c r="G709" s="370"/>
      <c r="H709" s="357">
        <f t="shared" si="29"/>
        <v>0</v>
      </c>
      <c r="I709" s="346">
        <f t="shared" si="31"/>
        <v>0</v>
      </c>
      <c r="J709" s="354" t="s">
        <v>636</v>
      </c>
      <c r="M709" s="360">
        <f t="shared" si="12"/>
        <v>50262</v>
      </c>
      <c r="N709" s="360">
        <f t="shared" si="9"/>
        <v>50268</v>
      </c>
      <c r="O709" s="2">
        <f t="shared" si="10"/>
        <v>0</v>
      </c>
      <c r="P709" s="2">
        <f t="shared" si="11"/>
        <v>0</v>
      </c>
    </row>
    <row r="710">
      <c r="A710" s="344">
        <f t="shared" si="5"/>
        <v>850</v>
      </c>
      <c r="B710" s="344">
        <f t="shared" si="6"/>
        <v>90</v>
      </c>
      <c r="C710" s="369"/>
      <c r="D710" s="389" t="str">
        <f t="shared" si="7"/>
        <v>Saturday</v>
      </c>
      <c r="E710" s="344" t="s">
        <v>162</v>
      </c>
      <c r="F710" s="370"/>
      <c r="G710" s="370"/>
      <c r="H710" s="357">
        <f t="shared" si="29"/>
        <v>0</v>
      </c>
      <c r="I710" s="346">
        <f t="shared" si="31"/>
        <v>0</v>
      </c>
      <c r="J710" s="354" t="s">
        <v>636</v>
      </c>
      <c r="M710" s="360">
        <f t="shared" si="12"/>
        <v>50269</v>
      </c>
      <c r="N710" s="360">
        <f t="shared" si="9"/>
        <v>50275</v>
      </c>
      <c r="O710" s="2">
        <f t="shared" si="10"/>
        <v>0</v>
      </c>
      <c r="P710" s="2">
        <f t="shared" si="11"/>
        <v>0</v>
      </c>
    </row>
    <row r="711">
      <c r="A711" s="344">
        <f t="shared" si="5"/>
        <v>850</v>
      </c>
      <c r="B711" s="344">
        <f t="shared" si="6"/>
        <v>90</v>
      </c>
      <c r="C711" s="369"/>
      <c r="D711" s="389" t="str">
        <f t="shared" si="7"/>
        <v>Saturday</v>
      </c>
      <c r="E711" s="344" t="s">
        <v>162</v>
      </c>
      <c r="F711" s="370"/>
      <c r="G711" s="370"/>
      <c r="H711" s="357">
        <f t="shared" si="29"/>
        <v>0</v>
      </c>
      <c r="I711" s="346">
        <f t="shared" si="31"/>
        <v>0</v>
      </c>
      <c r="J711" s="354" t="s">
        <v>636</v>
      </c>
      <c r="M711" s="360">
        <f t="shared" si="12"/>
        <v>50276</v>
      </c>
      <c r="N711" s="360">
        <f t="shared" si="9"/>
        <v>50282</v>
      </c>
      <c r="O711" s="2">
        <f t="shared" si="10"/>
        <v>0</v>
      </c>
      <c r="P711" s="2">
        <f t="shared" si="11"/>
        <v>0</v>
      </c>
    </row>
    <row r="712">
      <c r="A712" s="344">
        <f t="shared" si="5"/>
        <v>850</v>
      </c>
      <c r="B712" s="344">
        <f t="shared" si="6"/>
        <v>90</v>
      </c>
      <c r="C712" s="369"/>
      <c r="D712" s="389" t="str">
        <f t="shared" si="7"/>
        <v>Saturday</v>
      </c>
      <c r="E712" s="344" t="s">
        <v>162</v>
      </c>
      <c r="F712" s="370"/>
      <c r="G712" s="370"/>
      <c r="H712" s="357">
        <f t="shared" si="29"/>
        <v>0</v>
      </c>
      <c r="I712" s="346">
        <f t="shared" si="31"/>
        <v>0</v>
      </c>
      <c r="J712" s="354" t="s">
        <v>636</v>
      </c>
      <c r="M712" s="360">
        <f t="shared" si="12"/>
        <v>50283</v>
      </c>
      <c r="N712" s="360">
        <f t="shared" si="9"/>
        <v>50289</v>
      </c>
      <c r="O712" s="2">
        <f t="shared" si="10"/>
        <v>0</v>
      </c>
      <c r="P712" s="2">
        <f t="shared" si="11"/>
        <v>0</v>
      </c>
    </row>
    <row r="713">
      <c r="A713" s="344">
        <f t="shared" si="5"/>
        <v>850</v>
      </c>
      <c r="B713" s="344">
        <f t="shared" si="6"/>
        <v>90</v>
      </c>
      <c r="C713" s="369"/>
      <c r="D713" s="389" t="str">
        <f t="shared" si="7"/>
        <v>Saturday</v>
      </c>
      <c r="E713" s="344" t="s">
        <v>162</v>
      </c>
      <c r="F713" s="370"/>
      <c r="G713" s="370"/>
      <c r="H713" s="357">
        <f t="shared" si="29"/>
        <v>0</v>
      </c>
      <c r="I713" s="346">
        <f t="shared" si="31"/>
        <v>0</v>
      </c>
      <c r="J713" s="354" t="s">
        <v>636</v>
      </c>
      <c r="M713" s="360">
        <f t="shared" si="12"/>
        <v>50290</v>
      </c>
      <c r="N713" s="360">
        <f t="shared" si="9"/>
        <v>50296</v>
      </c>
      <c r="O713" s="2">
        <f t="shared" si="10"/>
        <v>0</v>
      </c>
      <c r="P713" s="2">
        <f t="shared" si="11"/>
        <v>0</v>
      </c>
    </row>
    <row r="714">
      <c r="A714" s="344">
        <f t="shared" si="5"/>
        <v>850</v>
      </c>
      <c r="B714" s="344">
        <f t="shared" si="6"/>
        <v>90</v>
      </c>
      <c r="C714" s="369"/>
      <c r="D714" s="389" t="str">
        <f t="shared" si="7"/>
        <v>Saturday</v>
      </c>
      <c r="E714" s="344" t="s">
        <v>162</v>
      </c>
      <c r="F714" s="370"/>
      <c r="G714" s="370"/>
      <c r="H714" s="357">
        <f t="shared" si="29"/>
        <v>0</v>
      </c>
      <c r="I714" s="346">
        <f t="shared" si="31"/>
        <v>0</v>
      </c>
      <c r="J714" s="354" t="s">
        <v>636</v>
      </c>
      <c r="M714" s="360">
        <f t="shared" si="12"/>
        <v>50297</v>
      </c>
      <c r="N714" s="360">
        <f t="shared" si="9"/>
        <v>50303</v>
      </c>
      <c r="O714" s="2">
        <f t="shared" si="10"/>
        <v>0</v>
      </c>
      <c r="P714" s="2">
        <f t="shared" si="11"/>
        <v>0</v>
      </c>
    </row>
    <row r="715">
      <c r="A715" s="344">
        <f t="shared" si="5"/>
        <v>850</v>
      </c>
      <c r="B715" s="344">
        <f t="shared" si="6"/>
        <v>90</v>
      </c>
      <c r="C715" s="369"/>
      <c r="D715" s="389" t="str">
        <f t="shared" si="7"/>
        <v>Saturday</v>
      </c>
      <c r="E715" s="344" t="s">
        <v>162</v>
      </c>
      <c r="F715" s="370"/>
      <c r="G715" s="370"/>
      <c r="H715" s="357">
        <f t="shared" si="29"/>
        <v>0</v>
      </c>
      <c r="I715" s="346">
        <f t="shared" si="31"/>
        <v>0</v>
      </c>
      <c r="J715" s="354" t="s">
        <v>636</v>
      </c>
      <c r="M715" s="360">
        <f t="shared" si="12"/>
        <v>50304</v>
      </c>
      <c r="N715" s="360">
        <f t="shared" si="9"/>
        <v>50310</v>
      </c>
      <c r="O715" s="2">
        <f t="shared" si="10"/>
        <v>0</v>
      </c>
      <c r="P715" s="2">
        <f t="shared" si="11"/>
        <v>0</v>
      </c>
    </row>
    <row r="716">
      <c r="A716" s="344">
        <f t="shared" si="5"/>
        <v>850</v>
      </c>
      <c r="B716" s="344">
        <f t="shared" si="6"/>
        <v>90</v>
      </c>
      <c r="C716" s="369"/>
      <c r="D716" s="389" t="str">
        <f t="shared" si="7"/>
        <v>Saturday</v>
      </c>
      <c r="E716" s="344" t="s">
        <v>162</v>
      </c>
      <c r="F716" s="370"/>
      <c r="G716" s="370"/>
      <c r="H716" s="357">
        <f t="shared" si="29"/>
        <v>0</v>
      </c>
      <c r="I716" s="346">
        <f t="shared" si="31"/>
        <v>0</v>
      </c>
      <c r="J716" s="354" t="s">
        <v>636</v>
      </c>
      <c r="M716" s="360">
        <f t="shared" si="12"/>
        <v>50311</v>
      </c>
      <c r="N716" s="360">
        <f t="shared" si="9"/>
        <v>50317</v>
      </c>
      <c r="O716" s="2">
        <f t="shared" si="10"/>
        <v>0</v>
      </c>
      <c r="P716" s="2">
        <f t="shared" si="11"/>
        <v>0</v>
      </c>
    </row>
    <row r="717">
      <c r="A717" s="344">
        <f t="shared" si="5"/>
        <v>850</v>
      </c>
      <c r="B717" s="344">
        <f t="shared" si="6"/>
        <v>90</v>
      </c>
      <c r="C717" s="369"/>
      <c r="D717" s="389" t="str">
        <f t="shared" si="7"/>
        <v>Saturday</v>
      </c>
      <c r="E717" s="344" t="s">
        <v>162</v>
      </c>
      <c r="F717" s="370"/>
      <c r="G717" s="370"/>
      <c r="H717" s="357">
        <f t="shared" si="29"/>
        <v>0</v>
      </c>
      <c r="I717" s="346">
        <f t="shared" si="31"/>
        <v>0</v>
      </c>
      <c r="J717" s="354" t="s">
        <v>636</v>
      </c>
      <c r="M717" s="360">
        <f t="shared" si="12"/>
        <v>50318</v>
      </c>
      <c r="N717" s="360">
        <f t="shared" si="9"/>
        <v>50324</v>
      </c>
      <c r="O717" s="2">
        <f t="shared" si="10"/>
        <v>0</v>
      </c>
      <c r="P717" s="2">
        <f t="shared" si="11"/>
        <v>0</v>
      </c>
    </row>
    <row r="718">
      <c r="A718" s="344">
        <f t="shared" si="5"/>
        <v>850</v>
      </c>
      <c r="B718" s="344">
        <f t="shared" si="6"/>
        <v>90</v>
      </c>
      <c r="C718" s="369"/>
      <c r="D718" s="389" t="str">
        <f t="shared" si="7"/>
        <v>Saturday</v>
      </c>
      <c r="E718" s="344" t="s">
        <v>162</v>
      </c>
      <c r="F718" s="370"/>
      <c r="G718" s="370"/>
      <c r="H718" s="357">
        <f t="shared" si="29"/>
        <v>0</v>
      </c>
      <c r="I718" s="346">
        <f t="shared" si="31"/>
        <v>0</v>
      </c>
      <c r="J718" s="354" t="s">
        <v>636</v>
      </c>
      <c r="M718" s="360">
        <f t="shared" si="12"/>
        <v>50325</v>
      </c>
      <c r="N718" s="360">
        <f t="shared" si="9"/>
        <v>50331</v>
      </c>
      <c r="O718" s="2">
        <f t="shared" si="10"/>
        <v>0</v>
      </c>
      <c r="P718" s="2">
        <f t="shared" si="11"/>
        <v>0</v>
      </c>
    </row>
    <row r="719">
      <c r="A719" s="344">
        <f t="shared" si="5"/>
        <v>850</v>
      </c>
      <c r="B719" s="344">
        <f t="shared" si="6"/>
        <v>90</v>
      </c>
      <c r="C719" s="369"/>
      <c r="D719" s="389" t="str">
        <f t="shared" si="7"/>
        <v>Saturday</v>
      </c>
      <c r="E719" s="344" t="s">
        <v>162</v>
      </c>
      <c r="F719" s="370"/>
      <c r="G719" s="370"/>
      <c r="H719" s="357">
        <f t="shared" si="29"/>
        <v>0</v>
      </c>
      <c r="I719" s="346">
        <f t="shared" si="31"/>
        <v>0</v>
      </c>
      <c r="J719" s="354" t="s">
        <v>636</v>
      </c>
      <c r="M719" s="360">
        <f t="shared" si="12"/>
        <v>50332</v>
      </c>
      <c r="N719" s="360">
        <f t="shared" si="9"/>
        <v>50338</v>
      </c>
      <c r="O719" s="2">
        <f t="shared" si="10"/>
        <v>0</v>
      </c>
      <c r="P719" s="2">
        <f t="shared" si="11"/>
        <v>0</v>
      </c>
    </row>
    <row r="720">
      <c r="A720" s="344">
        <f t="shared" si="5"/>
        <v>850</v>
      </c>
      <c r="B720" s="344">
        <f t="shared" si="6"/>
        <v>90</v>
      </c>
      <c r="C720" s="369"/>
      <c r="D720" s="389" t="str">
        <f t="shared" si="7"/>
        <v>Saturday</v>
      </c>
      <c r="E720" s="344" t="s">
        <v>162</v>
      </c>
      <c r="F720" s="370"/>
      <c r="G720" s="370"/>
      <c r="H720" s="357">
        <f t="shared" si="29"/>
        <v>0</v>
      </c>
      <c r="I720" s="346">
        <f t="shared" si="31"/>
        <v>0</v>
      </c>
      <c r="J720" s="354" t="s">
        <v>636</v>
      </c>
      <c r="M720" s="360">
        <f t="shared" si="12"/>
        <v>50339</v>
      </c>
      <c r="N720" s="360">
        <f t="shared" si="9"/>
        <v>50345</v>
      </c>
      <c r="O720" s="2">
        <f t="shared" si="10"/>
        <v>0</v>
      </c>
      <c r="P720" s="2">
        <f t="shared" si="11"/>
        <v>0</v>
      </c>
    </row>
    <row r="721">
      <c r="A721" s="344">
        <f t="shared" si="5"/>
        <v>850</v>
      </c>
      <c r="B721" s="344">
        <f t="shared" si="6"/>
        <v>90</v>
      </c>
      <c r="C721" s="369"/>
      <c r="D721" s="389" t="str">
        <f t="shared" si="7"/>
        <v>Saturday</v>
      </c>
      <c r="E721" s="344" t="s">
        <v>162</v>
      </c>
      <c r="F721" s="370"/>
      <c r="G721" s="370"/>
      <c r="H721" s="357">
        <f t="shared" si="29"/>
        <v>0</v>
      </c>
      <c r="I721" s="346">
        <f t="shared" si="31"/>
        <v>0</v>
      </c>
      <c r="J721" s="354" t="s">
        <v>636</v>
      </c>
      <c r="M721" s="360">
        <f t="shared" si="12"/>
        <v>50346</v>
      </c>
      <c r="N721" s="360">
        <f t="shared" si="9"/>
        <v>50352</v>
      </c>
      <c r="O721" s="2">
        <f t="shared" si="10"/>
        <v>0</v>
      </c>
      <c r="P721" s="2">
        <f t="shared" si="11"/>
        <v>0</v>
      </c>
    </row>
    <row r="722">
      <c r="A722" s="344">
        <f t="shared" si="5"/>
        <v>850</v>
      </c>
      <c r="B722" s="344">
        <f t="shared" si="6"/>
        <v>90</v>
      </c>
      <c r="C722" s="369"/>
      <c r="D722" s="389" t="str">
        <f t="shared" si="7"/>
        <v>Saturday</v>
      </c>
      <c r="E722" s="344" t="s">
        <v>162</v>
      </c>
      <c r="F722" s="370"/>
      <c r="G722" s="370"/>
      <c r="H722" s="357">
        <f t="shared" si="29"/>
        <v>0</v>
      </c>
      <c r="I722" s="346">
        <f t="shared" si="31"/>
        <v>0</v>
      </c>
      <c r="J722" s="354" t="s">
        <v>636</v>
      </c>
      <c r="M722" s="360">
        <f t="shared" si="12"/>
        <v>50353</v>
      </c>
      <c r="N722" s="360">
        <f t="shared" si="9"/>
        <v>50359</v>
      </c>
      <c r="O722" s="2">
        <f t="shared" si="10"/>
        <v>0</v>
      </c>
      <c r="P722" s="2">
        <f t="shared" si="11"/>
        <v>0</v>
      </c>
    </row>
    <row r="723">
      <c r="A723" s="344">
        <f t="shared" si="5"/>
        <v>850</v>
      </c>
      <c r="B723" s="344">
        <f t="shared" si="6"/>
        <v>90</v>
      </c>
      <c r="C723" s="369"/>
      <c r="D723" s="389" t="str">
        <f t="shared" si="7"/>
        <v>Saturday</v>
      </c>
      <c r="E723" s="344" t="s">
        <v>162</v>
      </c>
      <c r="F723" s="370"/>
      <c r="G723" s="370"/>
      <c r="H723" s="357">
        <f t="shared" si="29"/>
        <v>0</v>
      </c>
      <c r="I723" s="346">
        <f t="shared" si="31"/>
        <v>0</v>
      </c>
      <c r="J723" s="354" t="s">
        <v>636</v>
      </c>
      <c r="M723" s="360">
        <f t="shared" si="12"/>
        <v>50360</v>
      </c>
      <c r="N723" s="360">
        <f t="shared" si="9"/>
        <v>50366</v>
      </c>
      <c r="O723" s="2">
        <f t="shared" si="10"/>
        <v>0</v>
      </c>
      <c r="P723" s="2">
        <f t="shared" si="11"/>
        <v>0</v>
      </c>
    </row>
    <row r="724">
      <c r="A724" s="344">
        <f t="shared" si="5"/>
        <v>850</v>
      </c>
      <c r="B724" s="344">
        <f t="shared" si="6"/>
        <v>90</v>
      </c>
      <c r="C724" s="369"/>
      <c r="D724" s="389" t="str">
        <f t="shared" si="7"/>
        <v>Saturday</v>
      </c>
      <c r="E724" s="344" t="s">
        <v>162</v>
      </c>
      <c r="F724" s="370"/>
      <c r="G724" s="370"/>
      <c r="H724" s="357">
        <f t="shared" si="29"/>
        <v>0</v>
      </c>
      <c r="I724" s="346">
        <f t="shared" si="31"/>
        <v>0</v>
      </c>
      <c r="J724" s="354" t="s">
        <v>636</v>
      </c>
      <c r="M724" s="360">
        <f t="shared" si="12"/>
        <v>50367</v>
      </c>
      <c r="N724" s="360">
        <f t="shared" si="9"/>
        <v>50373</v>
      </c>
      <c r="O724" s="2">
        <f t="shared" si="10"/>
        <v>0</v>
      </c>
      <c r="P724" s="2">
        <f t="shared" si="11"/>
        <v>0</v>
      </c>
    </row>
    <row r="725">
      <c r="A725" s="344">
        <f t="shared" si="5"/>
        <v>850</v>
      </c>
      <c r="B725" s="344">
        <f t="shared" si="6"/>
        <v>90</v>
      </c>
      <c r="C725" s="369"/>
      <c r="D725" s="389" t="str">
        <f t="shared" si="7"/>
        <v>Saturday</v>
      </c>
      <c r="E725" s="344" t="s">
        <v>162</v>
      </c>
      <c r="F725" s="370"/>
      <c r="G725" s="370"/>
      <c r="H725" s="357">
        <f t="shared" si="29"/>
        <v>0</v>
      </c>
      <c r="I725" s="346">
        <f t="shared" si="31"/>
        <v>0</v>
      </c>
      <c r="J725" s="354" t="s">
        <v>636</v>
      </c>
      <c r="M725" s="360">
        <f t="shared" si="12"/>
        <v>50374</v>
      </c>
      <c r="N725" s="360">
        <f t="shared" si="9"/>
        <v>50380</v>
      </c>
      <c r="O725" s="2">
        <f t="shared" si="10"/>
        <v>0</v>
      </c>
      <c r="P725" s="2">
        <f t="shared" si="11"/>
        <v>0</v>
      </c>
    </row>
    <row r="726">
      <c r="A726" s="344">
        <f t="shared" si="5"/>
        <v>850</v>
      </c>
      <c r="B726" s="344">
        <f t="shared" si="6"/>
        <v>90</v>
      </c>
      <c r="C726" s="369"/>
      <c r="D726" s="389" t="str">
        <f t="shared" si="7"/>
        <v>Saturday</v>
      </c>
      <c r="E726" s="344" t="s">
        <v>162</v>
      </c>
      <c r="F726" s="370"/>
      <c r="G726" s="370"/>
      <c r="H726" s="357">
        <f t="shared" si="29"/>
        <v>0</v>
      </c>
      <c r="I726" s="346">
        <f t="shared" si="31"/>
        <v>0</v>
      </c>
      <c r="J726" s="354" t="s">
        <v>636</v>
      </c>
      <c r="M726" s="360">
        <f t="shared" si="12"/>
        <v>50381</v>
      </c>
      <c r="N726" s="360">
        <f t="shared" si="9"/>
        <v>50387</v>
      </c>
      <c r="O726" s="2">
        <f t="shared" si="10"/>
        <v>0</v>
      </c>
      <c r="P726" s="2">
        <f t="shared" si="11"/>
        <v>0</v>
      </c>
    </row>
    <row r="727">
      <c r="A727" s="344">
        <f t="shared" si="5"/>
        <v>850</v>
      </c>
      <c r="B727" s="344">
        <f t="shared" si="6"/>
        <v>90</v>
      </c>
      <c r="C727" s="369"/>
      <c r="D727" s="389" t="str">
        <f t="shared" si="7"/>
        <v>Saturday</v>
      </c>
      <c r="E727" s="344" t="s">
        <v>162</v>
      </c>
      <c r="F727" s="370"/>
      <c r="G727" s="370"/>
      <c r="H727" s="357">
        <f t="shared" si="29"/>
        <v>0</v>
      </c>
      <c r="I727" s="346">
        <f t="shared" si="31"/>
        <v>0</v>
      </c>
      <c r="J727" s="354" t="s">
        <v>636</v>
      </c>
      <c r="M727" s="360">
        <f t="shared" si="12"/>
        <v>50388</v>
      </c>
      <c r="N727" s="360">
        <f t="shared" si="9"/>
        <v>50394</v>
      </c>
      <c r="O727" s="2">
        <f t="shared" si="10"/>
        <v>0</v>
      </c>
      <c r="P727" s="2">
        <f t="shared" si="11"/>
        <v>0</v>
      </c>
    </row>
    <row r="728">
      <c r="A728" s="344">
        <f t="shared" si="5"/>
        <v>850</v>
      </c>
      <c r="B728" s="344">
        <f t="shared" si="6"/>
        <v>90</v>
      </c>
      <c r="C728" s="369"/>
      <c r="D728" s="389" t="str">
        <f t="shared" si="7"/>
        <v>Saturday</v>
      </c>
      <c r="E728" s="344" t="s">
        <v>162</v>
      </c>
      <c r="F728" s="370"/>
      <c r="G728" s="370"/>
      <c r="H728" s="357">
        <f t="shared" si="29"/>
        <v>0</v>
      </c>
      <c r="I728" s="346">
        <f t="shared" si="31"/>
        <v>0</v>
      </c>
      <c r="J728" s="354" t="s">
        <v>636</v>
      </c>
      <c r="M728" s="360">
        <f t="shared" si="12"/>
        <v>50395</v>
      </c>
      <c r="N728" s="360">
        <f t="shared" si="9"/>
        <v>50401</v>
      </c>
      <c r="O728" s="2">
        <f t="shared" si="10"/>
        <v>0</v>
      </c>
      <c r="P728" s="2">
        <f t="shared" si="11"/>
        <v>0</v>
      </c>
    </row>
    <row r="729">
      <c r="A729" s="344">
        <f t="shared" si="5"/>
        <v>850</v>
      </c>
      <c r="B729" s="344">
        <f t="shared" si="6"/>
        <v>90</v>
      </c>
      <c r="C729" s="369"/>
      <c r="D729" s="389" t="str">
        <f t="shared" si="7"/>
        <v>Saturday</v>
      </c>
      <c r="E729" s="344" t="s">
        <v>162</v>
      </c>
      <c r="F729" s="370"/>
      <c r="G729" s="370"/>
      <c r="H729" s="357">
        <f t="shared" si="29"/>
        <v>0</v>
      </c>
      <c r="I729" s="346">
        <f t="shared" si="31"/>
        <v>0</v>
      </c>
      <c r="J729" s="354" t="s">
        <v>636</v>
      </c>
      <c r="M729" s="360">
        <f t="shared" si="12"/>
        <v>50402</v>
      </c>
      <c r="N729" s="360">
        <f t="shared" si="9"/>
        <v>50408</v>
      </c>
      <c r="O729" s="2">
        <f t="shared" si="10"/>
        <v>0</v>
      </c>
      <c r="P729" s="2">
        <f t="shared" si="11"/>
        <v>0</v>
      </c>
    </row>
    <row r="730">
      <c r="A730" s="344">
        <f t="shared" si="5"/>
        <v>850</v>
      </c>
      <c r="B730" s="344">
        <f t="shared" si="6"/>
        <v>90</v>
      </c>
      <c r="C730" s="369"/>
      <c r="D730" s="389" t="str">
        <f t="shared" si="7"/>
        <v>Saturday</v>
      </c>
      <c r="E730" s="344" t="s">
        <v>162</v>
      </c>
      <c r="F730" s="370"/>
      <c r="G730" s="370"/>
      <c r="H730" s="357">
        <f t="shared" si="29"/>
        <v>0</v>
      </c>
      <c r="I730" s="346">
        <f t="shared" si="31"/>
        <v>0</v>
      </c>
      <c r="J730" s="354" t="s">
        <v>636</v>
      </c>
      <c r="M730" s="360">
        <f t="shared" si="12"/>
        <v>50409</v>
      </c>
      <c r="N730" s="360">
        <f t="shared" si="9"/>
        <v>50415</v>
      </c>
      <c r="O730" s="2">
        <f t="shared" si="10"/>
        <v>0</v>
      </c>
      <c r="P730" s="2">
        <f t="shared" si="11"/>
        <v>0</v>
      </c>
    </row>
    <row r="731">
      <c r="A731" s="344">
        <f t="shared" si="5"/>
        <v>850</v>
      </c>
      <c r="B731" s="344">
        <f t="shared" si="6"/>
        <v>90</v>
      </c>
      <c r="C731" s="369"/>
      <c r="D731" s="389" t="str">
        <f t="shared" si="7"/>
        <v>Saturday</v>
      </c>
      <c r="E731" s="344" t="s">
        <v>162</v>
      </c>
      <c r="F731" s="370"/>
      <c r="G731" s="370"/>
      <c r="H731" s="357">
        <f t="shared" si="29"/>
        <v>0</v>
      </c>
      <c r="I731" s="346">
        <f t="shared" si="31"/>
        <v>0</v>
      </c>
      <c r="J731" s="354" t="s">
        <v>636</v>
      </c>
      <c r="M731" s="360">
        <f t="shared" si="12"/>
        <v>50416</v>
      </c>
      <c r="N731" s="360">
        <f t="shared" si="9"/>
        <v>50422</v>
      </c>
      <c r="O731" s="2">
        <f t="shared" si="10"/>
        <v>0</v>
      </c>
      <c r="P731" s="2">
        <f t="shared" si="11"/>
        <v>0</v>
      </c>
    </row>
    <row r="732">
      <c r="A732" s="344">
        <f t="shared" si="5"/>
        <v>850</v>
      </c>
      <c r="B732" s="344">
        <f t="shared" si="6"/>
        <v>90</v>
      </c>
      <c r="C732" s="369"/>
      <c r="D732" s="389" t="str">
        <f t="shared" si="7"/>
        <v>Saturday</v>
      </c>
      <c r="E732" s="344" t="s">
        <v>162</v>
      </c>
      <c r="F732" s="370"/>
      <c r="G732" s="370"/>
      <c r="H732" s="357">
        <f t="shared" si="29"/>
        <v>0</v>
      </c>
      <c r="I732" s="346">
        <f t="shared" si="31"/>
        <v>0</v>
      </c>
      <c r="J732" s="354" t="s">
        <v>636</v>
      </c>
      <c r="M732" s="360">
        <f t="shared" si="12"/>
        <v>50423</v>
      </c>
      <c r="N732" s="360">
        <f t="shared" si="9"/>
        <v>50429</v>
      </c>
      <c r="O732" s="2">
        <f t="shared" si="10"/>
        <v>0</v>
      </c>
      <c r="P732" s="2">
        <f t="shared" si="11"/>
        <v>0</v>
      </c>
    </row>
    <row r="733">
      <c r="A733" s="344">
        <f t="shared" si="5"/>
        <v>850</v>
      </c>
      <c r="B733" s="344">
        <f t="shared" si="6"/>
        <v>90</v>
      </c>
      <c r="C733" s="369"/>
      <c r="D733" s="389" t="str">
        <f t="shared" si="7"/>
        <v>Saturday</v>
      </c>
      <c r="E733" s="344" t="s">
        <v>162</v>
      </c>
      <c r="F733" s="370"/>
      <c r="G733" s="370"/>
      <c r="H733" s="357">
        <f t="shared" si="29"/>
        <v>0</v>
      </c>
      <c r="I733" s="346">
        <f t="shared" si="31"/>
        <v>0</v>
      </c>
      <c r="J733" s="354" t="s">
        <v>636</v>
      </c>
      <c r="M733" s="360">
        <f t="shared" si="12"/>
        <v>50430</v>
      </c>
      <c r="N733" s="360">
        <f t="shared" si="9"/>
        <v>50436</v>
      </c>
      <c r="O733" s="2">
        <f t="shared" si="10"/>
        <v>0</v>
      </c>
      <c r="P733" s="2">
        <f t="shared" si="11"/>
        <v>0</v>
      </c>
    </row>
    <row r="734">
      <c r="A734" s="344">
        <f t="shared" si="5"/>
        <v>850</v>
      </c>
      <c r="B734" s="344">
        <f t="shared" si="6"/>
        <v>90</v>
      </c>
      <c r="C734" s="369"/>
      <c r="D734" s="389" t="str">
        <f t="shared" si="7"/>
        <v>Saturday</v>
      </c>
      <c r="E734" s="344" t="s">
        <v>162</v>
      </c>
      <c r="F734" s="370"/>
      <c r="G734" s="370"/>
      <c r="H734" s="357">
        <f t="shared" si="29"/>
        <v>0</v>
      </c>
      <c r="I734" s="346">
        <f t="shared" si="31"/>
        <v>0</v>
      </c>
      <c r="J734" s="354" t="s">
        <v>636</v>
      </c>
      <c r="M734" s="360">
        <f t="shared" si="12"/>
        <v>50437</v>
      </c>
      <c r="N734" s="360">
        <f t="shared" si="9"/>
        <v>50443</v>
      </c>
      <c r="O734" s="2">
        <f t="shared" si="10"/>
        <v>0</v>
      </c>
      <c r="P734" s="2">
        <f t="shared" si="11"/>
        <v>0</v>
      </c>
    </row>
    <row r="735">
      <c r="A735" s="344">
        <f t="shared" si="5"/>
        <v>850</v>
      </c>
      <c r="B735" s="344">
        <f t="shared" si="6"/>
        <v>90</v>
      </c>
      <c r="C735" s="369"/>
      <c r="D735" s="389" t="str">
        <f t="shared" si="7"/>
        <v>Saturday</v>
      </c>
      <c r="E735" s="344" t="s">
        <v>162</v>
      </c>
      <c r="F735" s="370"/>
      <c r="G735" s="370"/>
      <c r="H735" s="357">
        <f t="shared" si="29"/>
        <v>0</v>
      </c>
      <c r="I735" s="346">
        <f t="shared" si="31"/>
        <v>0</v>
      </c>
      <c r="J735" s="354" t="s">
        <v>636</v>
      </c>
      <c r="M735" s="360">
        <f t="shared" si="12"/>
        <v>50444</v>
      </c>
      <c r="N735" s="360">
        <f t="shared" si="9"/>
        <v>50450</v>
      </c>
      <c r="O735" s="2">
        <f t="shared" si="10"/>
        <v>0</v>
      </c>
      <c r="P735" s="2">
        <f t="shared" si="11"/>
        <v>0</v>
      </c>
    </row>
    <row r="736">
      <c r="A736" s="344">
        <f t="shared" si="5"/>
        <v>850</v>
      </c>
      <c r="B736" s="344">
        <f t="shared" si="6"/>
        <v>90</v>
      </c>
      <c r="C736" s="369"/>
      <c r="D736" s="389" t="str">
        <f t="shared" si="7"/>
        <v>Saturday</v>
      </c>
      <c r="E736" s="344" t="s">
        <v>162</v>
      </c>
      <c r="F736" s="370"/>
      <c r="G736" s="370"/>
      <c r="H736" s="357">
        <f t="shared" si="29"/>
        <v>0</v>
      </c>
      <c r="I736" s="346">
        <f t="shared" si="31"/>
        <v>0</v>
      </c>
      <c r="J736" s="354" t="s">
        <v>636</v>
      </c>
      <c r="M736" s="360">
        <f t="shared" si="12"/>
        <v>50451</v>
      </c>
      <c r="N736" s="360">
        <f t="shared" si="9"/>
        <v>50457</v>
      </c>
      <c r="O736" s="2">
        <f t="shared" si="10"/>
        <v>0</v>
      </c>
      <c r="P736" s="2">
        <f t="shared" si="11"/>
        <v>0</v>
      </c>
    </row>
    <row r="737">
      <c r="A737" s="344">
        <f t="shared" si="5"/>
        <v>850</v>
      </c>
      <c r="B737" s="344">
        <f t="shared" si="6"/>
        <v>90</v>
      </c>
      <c r="C737" s="369"/>
      <c r="D737" s="389" t="str">
        <f t="shared" si="7"/>
        <v>Saturday</v>
      </c>
      <c r="E737" s="344" t="s">
        <v>162</v>
      </c>
      <c r="F737" s="370"/>
      <c r="G737" s="370"/>
      <c r="H737" s="357">
        <f t="shared" si="29"/>
        <v>0</v>
      </c>
      <c r="I737" s="346">
        <f t="shared" si="31"/>
        <v>0</v>
      </c>
      <c r="J737" s="354" t="s">
        <v>636</v>
      </c>
      <c r="M737" s="360">
        <f t="shared" si="12"/>
        <v>50458</v>
      </c>
      <c r="N737" s="360">
        <f t="shared" si="9"/>
        <v>50464</v>
      </c>
      <c r="O737" s="2">
        <f t="shared" si="10"/>
        <v>0</v>
      </c>
      <c r="P737" s="2">
        <f t="shared" si="11"/>
        <v>0</v>
      </c>
    </row>
    <row r="738">
      <c r="A738" s="344">
        <f t="shared" si="5"/>
        <v>850</v>
      </c>
      <c r="B738" s="344">
        <f t="shared" si="6"/>
        <v>90</v>
      </c>
      <c r="C738" s="369"/>
      <c r="D738" s="389" t="str">
        <f t="shared" si="7"/>
        <v>Saturday</v>
      </c>
      <c r="E738" s="344" t="s">
        <v>162</v>
      </c>
      <c r="F738" s="370"/>
      <c r="G738" s="370"/>
      <c r="H738" s="357">
        <f t="shared" si="29"/>
        <v>0</v>
      </c>
      <c r="I738" s="346">
        <f t="shared" si="31"/>
        <v>0</v>
      </c>
      <c r="J738" s="354" t="s">
        <v>636</v>
      </c>
      <c r="M738" s="360">
        <f t="shared" si="12"/>
        <v>50465</v>
      </c>
      <c r="N738" s="360">
        <f t="shared" si="9"/>
        <v>50471</v>
      </c>
      <c r="O738" s="2">
        <f t="shared" si="10"/>
        <v>0</v>
      </c>
      <c r="P738" s="2">
        <f t="shared" si="11"/>
        <v>0</v>
      </c>
    </row>
    <row r="739">
      <c r="A739" s="344">
        <f t="shared" si="5"/>
        <v>850</v>
      </c>
      <c r="B739" s="344">
        <f t="shared" si="6"/>
        <v>90</v>
      </c>
      <c r="C739" s="369"/>
      <c r="D739" s="389" t="str">
        <f t="shared" si="7"/>
        <v>Saturday</v>
      </c>
      <c r="E739" s="344" t="s">
        <v>162</v>
      </c>
      <c r="F739" s="370"/>
      <c r="G739" s="370"/>
      <c r="H739" s="357">
        <f t="shared" si="29"/>
        <v>0</v>
      </c>
      <c r="I739" s="346">
        <f t="shared" si="31"/>
        <v>0</v>
      </c>
      <c r="J739" s="354" t="s">
        <v>636</v>
      </c>
      <c r="M739" s="360">
        <f t="shared" si="12"/>
        <v>50472</v>
      </c>
      <c r="N739" s="360">
        <f t="shared" si="9"/>
        <v>50478</v>
      </c>
      <c r="O739" s="2">
        <f t="shared" si="10"/>
        <v>0</v>
      </c>
      <c r="P739" s="2">
        <f t="shared" si="11"/>
        <v>0</v>
      </c>
    </row>
    <row r="740">
      <c r="A740" s="344">
        <f t="shared" si="5"/>
        <v>850</v>
      </c>
      <c r="B740" s="344">
        <f t="shared" si="6"/>
        <v>90</v>
      </c>
      <c r="C740" s="369"/>
      <c r="D740" s="389" t="str">
        <f t="shared" si="7"/>
        <v>Saturday</v>
      </c>
      <c r="E740" s="344" t="s">
        <v>162</v>
      </c>
      <c r="F740" s="370"/>
      <c r="G740" s="370"/>
      <c r="H740" s="357">
        <f t="shared" si="29"/>
        <v>0</v>
      </c>
      <c r="I740" s="346">
        <f t="shared" si="31"/>
        <v>0</v>
      </c>
      <c r="J740" s="354" t="s">
        <v>636</v>
      </c>
      <c r="M740" s="360">
        <f t="shared" si="12"/>
        <v>50479</v>
      </c>
      <c r="N740" s="360">
        <f t="shared" si="9"/>
        <v>50485</v>
      </c>
      <c r="O740" s="2">
        <f t="shared" si="10"/>
        <v>0</v>
      </c>
      <c r="P740" s="2">
        <f t="shared" si="11"/>
        <v>0</v>
      </c>
    </row>
    <row r="741">
      <c r="A741" s="344">
        <f t="shared" si="5"/>
        <v>850</v>
      </c>
      <c r="B741" s="344">
        <f t="shared" si="6"/>
        <v>90</v>
      </c>
      <c r="C741" s="369"/>
      <c r="D741" s="389" t="str">
        <f t="shared" si="7"/>
        <v>Saturday</v>
      </c>
      <c r="E741" s="344" t="s">
        <v>162</v>
      </c>
      <c r="F741" s="370"/>
      <c r="G741" s="370"/>
      <c r="H741" s="357">
        <f t="shared" si="29"/>
        <v>0</v>
      </c>
      <c r="I741" s="346">
        <f t="shared" si="31"/>
        <v>0</v>
      </c>
      <c r="J741" s="354" t="s">
        <v>636</v>
      </c>
      <c r="M741" s="360">
        <f t="shared" si="12"/>
        <v>50486</v>
      </c>
      <c r="N741" s="360">
        <f t="shared" si="9"/>
        <v>50492</v>
      </c>
      <c r="O741" s="2">
        <f t="shared" si="10"/>
        <v>0</v>
      </c>
      <c r="P741" s="2">
        <f t="shared" si="11"/>
        <v>0</v>
      </c>
    </row>
    <row r="742">
      <c r="A742" s="344">
        <f t="shared" si="5"/>
        <v>850</v>
      </c>
      <c r="B742" s="344">
        <f t="shared" si="6"/>
        <v>90</v>
      </c>
      <c r="C742" s="369"/>
      <c r="D742" s="389" t="str">
        <f t="shared" si="7"/>
        <v>Saturday</v>
      </c>
      <c r="E742" s="344" t="s">
        <v>162</v>
      </c>
      <c r="F742" s="370"/>
      <c r="G742" s="370"/>
      <c r="H742" s="357">
        <f t="shared" si="29"/>
        <v>0</v>
      </c>
      <c r="I742" s="346">
        <f t="shared" si="31"/>
        <v>0</v>
      </c>
      <c r="J742" s="354" t="s">
        <v>636</v>
      </c>
      <c r="M742" s="360">
        <f t="shared" si="12"/>
        <v>50493</v>
      </c>
      <c r="N742" s="360">
        <f t="shared" si="9"/>
        <v>50499</v>
      </c>
      <c r="O742" s="2">
        <f t="shared" si="10"/>
        <v>0</v>
      </c>
      <c r="P742" s="2">
        <f t="shared" si="11"/>
        <v>0</v>
      </c>
    </row>
    <row r="743">
      <c r="A743" s="344">
        <f t="shared" si="5"/>
        <v>850</v>
      </c>
      <c r="B743" s="344">
        <f t="shared" si="6"/>
        <v>90</v>
      </c>
      <c r="C743" s="369"/>
      <c r="D743" s="389" t="str">
        <f t="shared" si="7"/>
        <v>Saturday</v>
      </c>
      <c r="E743" s="344" t="s">
        <v>162</v>
      </c>
      <c r="F743" s="370"/>
      <c r="G743" s="370"/>
      <c r="H743" s="357">
        <f t="shared" si="29"/>
        <v>0</v>
      </c>
      <c r="I743" s="346">
        <f t="shared" si="31"/>
        <v>0</v>
      </c>
      <c r="J743" s="354" t="s">
        <v>636</v>
      </c>
      <c r="M743" s="360">
        <f t="shared" si="12"/>
        <v>50500</v>
      </c>
      <c r="N743" s="360">
        <f t="shared" si="9"/>
        <v>50506</v>
      </c>
      <c r="O743" s="2">
        <f t="shared" si="10"/>
        <v>0</v>
      </c>
      <c r="P743" s="2">
        <f t="shared" si="11"/>
        <v>0</v>
      </c>
    </row>
    <row r="744">
      <c r="A744" s="344">
        <f t="shared" si="5"/>
        <v>850</v>
      </c>
      <c r="B744" s="344">
        <f t="shared" si="6"/>
        <v>90</v>
      </c>
      <c r="C744" s="369"/>
      <c r="D744" s="389" t="str">
        <f t="shared" si="7"/>
        <v>Saturday</v>
      </c>
      <c r="E744" s="344" t="s">
        <v>162</v>
      </c>
      <c r="F744" s="370"/>
      <c r="G744" s="370"/>
      <c r="H744" s="357">
        <f t="shared" si="29"/>
        <v>0</v>
      </c>
      <c r="I744" s="346">
        <f t="shared" si="31"/>
        <v>0</v>
      </c>
      <c r="J744" s="354" t="s">
        <v>636</v>
      </c>
      <c r="M744" s="360">
        <f t="shared" si="12"/>
        <v>50507</v>
      </c>
      <c r="N744" s="360">
        <f t="shared" si="9"/>
        <v>50513</v>
      </c>
      <c r="O744" s="2">
        <f t="shared" si="10"/>
        <v>0</v>
      </c>
      <c r="P744" s="2">
        <f t="shared" si="11"/>
        <v>0</v>
      </c>
    </row>
    <row r="745">
      <c r="A745" s="344">
        <f t="shared" si="5"/>
        <v>850</v>
      </c>
      <c r="B745" s="344">
        <f t="shared" si="6"/>
        <v>90</v>
      </c>
      <c r="C745" s="369"/>
      <c r="D745" s="389" t="str">
        <f t="shared" si="7"/>
        <v>Saturday</v>
      </c>
      <c r="E745" s="344" t="s">
        <v>162</v>
      </c>
      <c r="F745" s="370"/>
      <c r="G745" s="370"/>
      <c r="H745" s="357">
        <f t="shared" si="29"/>
        <v>0</v>
      </c>
      <c r="I745" s="346">
        <f t="shared" si="31"/>
        <v>0</v>
      </c>
      <c r="J745" s="354" t="s">
        <v>636</v>
      </c>
      <c r="M745" s="360">
        <f t="shared" si="12"/>
        <v>50514</v>
      </c>
      <c r="N745" s="360">
        <f t="shared" si="9"/>
        <v>50520</v>
      </c>
      <c r="O745" s="2">
        <f t="shared" si="10"/>
        <v>0</v>
      </c>
      <c r="P745" s="2">
        <f t="shared" si="11"/>
        <v>0</v>
      </c>
    </row>
    <row r="746">
      <c r="A746" s="344">
        <f t="shared" si="5"/>
        <v>850</v>
      </c>
      <c r="B746" s="344">
        <f t="shared" si="6"/>
        <v>90</v>
      </c>
      <c r="C746" s="369"/>
      <c r="D746" s="389" t="str">
        <f t="shared" si="7"/>
        <v>Saturday</v>
      </c>
      <c r="E746" s="344" t="s">
        <v>162</v>
      </c>
      <c r="F746" s="370"/>
      <c r="G746" s="370"/>
      <c r="H746" s="357">
        <f t="shared" si="29"/>
        <v>0</v>
      </c>
      <c r="I746" s="346">
        <f t="shared" si="31"/>
        <v>0</v>
      </c>
      <c r="J746" s="354" t="s">
        <v>636</v>
      </c>
      <c r="M746" s="360">
        <f t="shared" si="12"/>
        <v>50521</v>
      </c>
      <c r="N746" s="360">
        <f t="shared" si="9"/>
        <v>50527</v>
      </c>
      <c r="O746" s="2">
        <f t="shared" si="10"/>
        <v>0</v>
      </c>
      <c r="P746" s="2">
        <f t="shared" si="11"/>
        <v>0</v>
      </c>
    </row>
    <row r="747">
      <c r="A747" s="344">
        <f t="shared" si="5"/>
        <v>850</v>
      </c>
      <c r="B747" s="344">
        <f t="shared" si="6"/>
        <v>90</v>
      </c>
      <c r="C747" s="369"/>
      <c r="D747" s="389" t="str">
        <f t="shared" si="7"/>
        <v>Saturday</v>
      </c>
      <c r="E747" s="344" t="s">
        <v>162</v>
      </c>
      <c r="F747" s="370"/>
      <c r="G747" s="370"/>
      <c r="H747" s="357">
        <f t="shared" si="29"/>
        <v>0</v>
      </c>
      <c r="I747" s="346">
        <f t="shared" si="31"/>
        <v>0</v>
      </c>
      <c r="J747" s="354" t="s">
        <v>636</v>
      </c>
      <c r="M747" s="360">
        <f t="shared" si="12"/>
        <v>50528</v>
      </c>
      <c r="N747" s="360">
        <f t="shared" si="9"/>
        <v>50534</v>
      </c>
      <c r="O747" s="2">
        <f t="shared" si="10"/>
        <v>0</v>
      </c>
      <c r="P747" s="2">
        <f t="shared" si="11"/>
        <v>0</v>
      </c>
    </row>
    <row r="748">
      <c r="A748" s="344">
        <f t="shared" si="5"/>
        <v>850</v>
      </c>
      <c r="B748" s="344">
        <f t="shared" si="6"/>
        <v>90</v>
      </c>
      <c r="C748" s="369"/>
      <c r="D748" s="389" t="str">
        <f t="shared" si="7"/>
        <v>Saturday</v>
      </c>
      <c r="E748" s="344" t="s">
        <v>162</v>
      </c>
      <c r="F748" s="370"/>
      <c r="G748" s="370"/>
      <c r="H748" s="357">
        <f t="shared" si="29"/>
        <v>0</v>
      </c>
      <c r="I748" s="346">
        <f t="shared" si="31"/>
        <v>0</v>
      </c>
      <c r="J748" s="354" t="s">
        <v>636</v>
      </c>
      <c r="M748" s="360">
        <f t="shared" si="12"/>
        <v>50535</v>
      </c>
      <c r="N748" s="360">
        <f t="shared" si="9"/>
        <v>50541</v>
      </c>
      <c r="O748" s="2">
        <f t="shared" si="10"/>
        <v>0</v>
      </c>
      <c r="P748" s="2">
        <f t="shared" si="11"/>
        <v>0</v>
      </c>
    </row>
    <row r="749">
      <c r="A749" s="344">
        <f t="shared" si="5"/>
        <v>850</v>
      </c>
      <c r="B749" s="344">
        <f t="shared" si="6"/>
        <v>90</v>
      </c>
      <c r="C749" s="369"/>
      <c r="D749" s="389" t="str">
        <f t="shared" si="7"/>
        <v>Saturday</v>
      </c>
      <c r="E749" s="344" t="s">
        <v>162</v>
      </c>
      <c r="F749" s="370"/>
      <c r="G749" s="370"/>
      <c r="H749" s="357">
        <f t="shared" si="29"/>
        <v>0</v>
      </c>
      <c r="I749" s="346">
        <f t="shared" si="31"/>
        <v>0</v>
      </c>
      <c r="J749" s="354" t="s">
        <v>636</v>
      </c>
      <c r="M749" s="360">
        <f t="shared" si="12"/>
        <v>50542</v>
      </c>
      <c r="N749" s="360">
        <f t="shared" si="9"/>
        <v>50548</v>
      </c>
      <c r="O749" s="2">
        <f t="shared" si="10"/>
        <v>0</v>
      </c>
      <c r="P749" s="2">
        <f t="shared" si="11"/>
        <v>0</v>
      </c>
    </row>
    <row r="750">
      <c r="A750" s="344">
        <f t="shared" si="5"/>
        <v>850</v>
      </c>
      <c r="B750" s="344">
        <f t="shared" si="6"/>
        <v>90</v>
      </c>
      <c r="C750" s="369"/>
      <c r="D750" s="389" t="str">
        <f t="shared" si="7"/>
        <v>Saturday</v>
      </c>
      <c r="E750" s="344" t="s">
        <v>162</v>
      </c>
      <c r="F750" s="370"/>
      <c r="G750" s="370"/>
      <c r="H750" s="357">
        <f t="shared" si="29"/>
        <v>0</v>
      </c>
      <c r="I750" s="346">
        <f t="shared" si="31"/>
        <v>0</v>
      </c>
      <c r="J750" s="354" t="s">
        <v>636</v>
      </c>
      <c r="M750" s="360">
        <f t="shared" si="12"/>
        <v>50549</v>
      </c>
      <c r="N750" s="360">
        <f t="shared" si="9"/>
        <v>50555</v>
      </c>
      <c r="O750" s="2">
        <f t="shared" si="10"/>
        <v>0</v>
      </c>
      <c r="P750" s="2">
        <f t="shared" si="11"/>
        <v>0</v>
      </c>
    </row>
    <row r="751">
      <c r="A751" s="344">
        <f t="shared" si="5"/>
        <v>850</v>
      </c>
      <c r="B751" s="344">
        <f t="shared" si="6"/>
        <v>90</v>
      </c>
      <c r="C751" s="369"/>
      <c r="D751" s="389" t="str">
        <f t="shared" si="7"/>
        <v>Saturday</v>
      </c>
      <c r="E751" s="344" t="s">
        <v>162</v>
      </c>
      <c r="F751" s="370"/>
      <c r="G751" s="370"/>
      <c r="H751" s="357">
        <f t="shared" si="29"/>
        <v>0</v>
      </c>
      <c r="I751" s="346">
        <f t="shared" si="31"/>
        <v>0</v>
      </c>
      <c r="J751" s="354" t="s">
        <v>636</v>
      </c>
      <c r="M751" s="360">
        <f t="shared" si="12"/>
        <v>50556</v>
      </c>
      <c r="N751" s="360">
        <f t="shared" si="9"/>
        <v>50562</v>
      </c>
      <c r="O751" s="2">
        <f t="shared" si="10"/>
        <v>0</v>
      </c>
      <c r="P751" s="2">
        <f t="shared" si="11"/>
        <v>0</v>
      </c>
    </row>
    <row r="752">
      <c r="A752" s="344">
        <f t="shared" si="5"/>
        <v>850</v>
      </c>
      <c r="B752" s="344">
        <f t="shared" si="6"/>
        <v>90</v>
      </c>
      <c r="C752" s="369"/>
      <c r="D752" s="389" t="str">
        <f t="shared" si="7"/>
        <v>Saturday</v>
      </c>
      <c r="E752" s="344" t="s">
        <v>162</v>
      </c>
      <c r="F752" s="370"/>
      <c r="G752" s="370"/>
      <c r="H752" s="357">
        <f t="shared" si="29"/>
        <v>0</v>
      </c>
      <c r="I752" s="346">
        <f t="shared" si="31"/>
        <v>0</v>
      </c>
      <c r="J752" s="354" t="s">
        <v>636</v>
      </c>
      <c r="M752" s="360">
        <f t="shared" si="12"/>
        <v>50563</v>
      </c>
      <c r="N752" s="360">
        <f t="shared" si="9"/>
        <v>50569</v>
      </c>
      <c r="O752" s="2">
        <f t="shared" si="10"/>
        <v>0</v>
      </c>
      <c r="P752" s="2">
        <f t="shared" si="11"/>
        <v>0</v>
      </c>
    </row>
    <row r="753">
      <c r="A753" s="344">
        <f t="shared" si="5"/>
        <v>850</v>
      </c>
      <c r="B753" s="344">
        <f t="shared" si="6"/>
        <v>90</v>
      </c>
      <c r="C753" s="369"/>
      <c r="D753" s="389" t="str">
        <f t="shared" si="7"/>
        <v>Saturday</v>
      </c>
      <c r="E753" s="344" t="s">
        <v>162</v>
      </c>
      <c r="F753" s="370"/>
      <c r="G753" s="370"/>
      <c r="H753" s="357">
        <f t="shared" si="29"/>
        <v>0</v>
      </c>
      <c r="I753" s="346">
        <f t="shared" si="31"/>
        <v>0</v>
      </c>
      <c r="J753" s="354" t="s">
        <v>636</v>
      </c>
      <c r="M753" s="360">
        <f t="shared" si="12"/>
        <v>50570</v>
      </c>
      <c r="N753" s="360">
        <f t="shared" si="9"/>
        <v>50576</v>
      </c>
      <c r="O753" s="2">
        <f t="shared" si="10"/>
        <v>0</v>
      </c>
      <c r="P753" s="2">
        <f t="shared" si="11"/>
        <v>0</v>
      </c>
    </row>
    <row r="754">
      <c r="A754" s="344">
        <f t="shared" si="5"/>
        <v>850</v>
      </c>
      <c r="B754" s="344">
        <f t="shared" si="6"/>
        <v>90</v>
      </c>
      <c r="C754" s="369"/>
      <c r="D754" s="389" t="str">
        <f t="shared" si="7"/>
        <v>Saturday</v>
      </c>
      <c r="E754" s="344" t="s">
        <v>162</v>
      </c>
      <c r="F754" s="370"/>
      <c r="G754" s="370"/>
      <c r="H754" s="357">
        <f t="shared" si="29"/>
        <v>0</v>
      </c>
      <c r="I754" s="346">
        <f t="shared" si="31"/>
        <v>0</v>
      </c>
      <c r="J754" s="354" t="s">
        <v>636</v>
      </c>
      <c r="M754" s="360">
        <f t="shared" si="12"/>
        <v>50577</v>
      </c>
      <c r="N754" s="360">
        <f t="shared" si="9"/>
        <v>50583</v>
      </c>
      <c r="O754" s="2">
        <f t="shared" si="10"/>
        <v>0</v>
      </c>
      <c r="P754" s="2">
        <f t="shared" si="11"/>
        <v>0</v>
      </c>
    </row>
    <row r="755">
      <c r="A755" s="344">
        <f t="shared" si="5"/>
        <v>850</v>
      </c>
      <c r="B755" s="344">
        <f t="shared" si="6"/>
        <v>90</v>
      </c>
      <c r="C755" s="369"/>
      <c r="D755" s="389" t="str">
        <f t="shared" si="7"/>
        <v>Saturday</v>
      </c>
      <c r="E755" s="344" t="s">
        <v>162</v>
      </c>
      <c r="F755" s="370"/>
      <c r="G755" s="370"/>
      <c r="H755" s="357">
        <f t="shared" si="29"/>
        <v>0</v>
      </c>
      <c r="I755" s="346">
        <f t="shared" si="31"/>
        <v>0</v>
      </c>
      <c r="J755" s="354" t="s">
        <v>636</v>
      </c>
      <c r="M755" s="360">
        <f t="shared" si="12"/>
        <v>50584</v>
      </c>
      <c r="N755" s="360">
        <f t="shared" si="9"/>
        <v>50590</v>
      </c>
      <c r="O755" s="2">
        <f t="shared" si="10"/>
        <v>0</v>
      </c>
      <c r="P755" s="2">
        <f t="shared" si="11"/>
        <v>0</v>
      </c>
    </row>
    <row r="756">
      <c r="A756" s="344">
        <f t="shared" si="5"/>
        <v>850</v>
      </c>
      <c r="B756" s="344">
        <f t="shared" si="6"/>
        <v>90</v>
      </c>
      <c r="C756" s="369"/>
      <c r="D756" s="389" t="str">
        <f t="shared" si="7"/>
        <v>Saturday</v>
      </c>
      <c r="E756" s="344" t="s">
        <v>162</v>
      </c>
      <c r="F756" s="370"/>
      <c r="G756" s="370"/>
      <c r="H756" s="357">
        <f t="shared" si="29"/>
        <v>0</v>
      </c>
      <c r="I756" s="346">
        <f t="shared" si="31"/>
        <v>0</v>
      </c>
      <c r="J756" s="354" t="s">
        <v>636</v>
      </c>
      <c r="M756" s="360">
        <f t="shared" si="12"/>
        <v>50591</v>
      </c>
      <c r="N756" s="360">
        <f t="shared" si="9"/>
        <v>50597</v>
      </c>
      <c r="O756" s="2">
        <f t="shared" si="10"/>
        <v>0</v>
      </c>
      <c r="P756" s="2">
        <f t="shared" si="11"/>
        <v>0</v>
      </c>
    </row>
    <row r="757">
      <c r="A757" s="344">
        <f t="shared" si="5"/>
        <v>850</v>
      </c>
      <c r="B757" s="344">
        <f t="shared" si="6"/>
        <v>90</v>
      </c>
      <c r="C757" s="369"/>
      <c r="D757" s="389" t="str">
        <f t="shared" si="7"/>
        <v>Saturday</v>
      </c>
      <c r="E757" s="344" t="s">
        <v>162</v>
      </c>
      <c r="F757" s="370"/>
      <c r="G757" s="370"/>
      <c r="H757" s="357">
        <f t="shared" si="29"/>
        <v>0</v>
      </c>
      <c r="I757" s="346">
        <f t="shared" si="31"/>
        <v>0</v>
      </c>
      <c r="J757" s="354" t="s">
        <v>636</v>
      </c>
      <c r="M757" s="360">
        <f t="shared" si="12"/>
        <v>50598</v>
      </c>
      <c r="N757" s="360">
        <f t="shared" si="9"/>
        <v>50604</v>
      </c>
      <c r="O757" s="2">
        <f t="shared" si="10"/>
        <v>0</v>
      </c>
      <c r="P757" s="2">
        <f t="shared" si="11"/>
        <v>0</v>
      </c>
    </row>
    <row r="758">
      <c r="A758" s="344">
        <f t="shared" si="5"/>
        <v>850</v>
      </c>
      <c r="B758" s="344">
        <f t="shared" si="6"/>
        <v>90</v>
      </c>
      <c r="C758" s="369"/>
      <c r="D758" s="389" t="str">
        <f t="shared" si="7"/>
        <v>Saturday</v>
      </c>
      <c r="E758" s="344" t="s">
        <v>162</v>
      </c>
      <c r="F758" s="370"/>
      <c r="G758" s="370"/>
      <c r="H758" s="357">
        <f t="shared" si="29"/>
        <v>0</v>
      </c>
      <c r="I758" s="346">
        <f t="shared" si="31"/>
        <v>0</v>
      </c>
      <c r="J758" s="354" t="s">
        <v>636</v>
      </c>
      <c r="M758" s="360">
        <f t="shared" si="12"/>
        <v>50605</v>
      </c>
      <c r="N758" s="360">
        <f t="shared" si="9"/>
        <v>50611</v>
      </c>
      <c r="O758" s="2">
        <f t="shared" si="10"/>
        <v>0</v>
      </c>
      <c r="P758" s="2">
        <f t="shared" si="11"/>
        <v>0</v>
      </c>
    </row>
    <row r="759">
      <c r="A759" s="344">
        <f t="shared" si="5"/>
        <v>850</v>
      </c>
      <c r="B759" s="344">
        <f t="shared" si="6"/>
        <v>90</v>
      </c>
      <c r="C759" s="369"/>
      <c r="D759" s="389" t="str">
        <f t="shared" si="7"/>
        <v>Saturday</v>
      </c>
      <c r="E759" s="344" t="s">
        <v>162</v>
      </c>
      <c r="F759" s="370"/>
      <c r="G759" s="370"/>
      <c r="H759" s="357">
        <f t="shared" si="29"/>
        <v>0</v>
      </c>
      <c r="I759" s="346">
        <f t="shared" si="31"/>
        <v>0</v>
      </c>
      <c r="J759" s="354" t="s">
        <v>636</v>
      </c>
      <c r="M759" s="360">
        <f t="shared" si="12"/>
        <v>50612</v>
      </c>
      <c r="N759" s="360">
        <f t="shared" si="9"/>
        <v>50618</v>
      </c>
      <c r="O759" s="2">
        <f t="shared" si="10"/>
        <v>0</v>
      </c>
      <c r="P759" s="2">
        <f t="shared" si="11"/>
        <v>0</v>
      </c>
    </row>
    <row r="760">
      <c r="A760" s="344">
        <f t="shared" si="5"/>
        <v>850</v>
      </c>
      <c r="B760" s="344">
        <f t="shared" si="6"/>
        <v>90</v>
      </c>
      <c r="C760" s="369"/>
      <c r="D760" s="389" t="str">
        <f t="shared" si="7"/>
        <v>Saturday</v>
      </c>
      <c r="E760" s="344" t="s">
        <v>162</v>
      </c>
      <c r="F760" s="370"/>
      <c r="G760" s="370"/>
      <c r="H760" s="357">
        <f t="shared" si="29"/>
        <v>0</v>
      </c>
      <c r="I760" s="346">
        <f t="shared" si="31"/>
        <v>0</v>
      </c>
      <c r="J760" s="354" t="s">
        <v>636</v>
      </c>
      <c r="M760" s="360">
        <f t="shared" si="12"/>
        <v>50619</v>
      </c>
      <c r="N760" s="360">
        <f t="shared" si="9"/>
        <v>50625</v>
      </c>
      <c r="O760" s="2">
        <f t="shared" si="10"/>
        <v>0</v>
      </c>
      <c r="P760" s="2">
        <f t="shared" si="11"/>
        <v>0</v>
      </c>
    </row>
    <row r="761">
      <c r="A761" s="344">
        <f t="shared" si="5"/>
        <v>850</v>
      </c>
      <c r="B761" s="344">
        <f t="shared" si="6"/>
        <v>90</v>
      </c>
      <c r="C761" s="369"/>
      <c r="D761" s="389" t="str">
        <f t="shared" si="7"/>
        <v>Saturday</v>
      </c>
      <c r="E761" s="344" t="s">
        <v>162</v>
      </c>
      <c r="F761" s="370"/>
      <c r="G761" s="370"/>
      <c r="H761" s="357">
        <f t="shared" si="29"/>
        <v>0</v>
      </c>
      <c r="I761" s="346">
        <f t="shared" si="31"/>
        <v>0</v>
      </c>
      <c r="J761" s="354" t="s">
        <v>636</v>
      </c>
      <c r="M761" s="360">
        <f t="shared" si="12"/>
        <v>50626</v>
      </c>
      <c r="N761" s="360">
        <f t="shared" si="9"/>
        <v>50632</v>
      </c>
      <c r="O761" s="2">
        <f t="shared" si="10"/>
        <v>0</v>
      </c>
      <c r="P761" s="2">
        <f t="shared" si="11"/>
        <v>0</v>
      </c>
    </row>
    <row r="762">
      <c r="A762" s="344">
        <f t="shared" si="5"/>
        <v>850</v>
      </c>
      <c r="B762" s="344">
        <f t="shared" si="6"/>
        <v>90</v>
      </c>
      <c r="C762" s="369"/>
      <c r="D762" s="389" t="str">
        <f t="shared" si="7"/>
        <v>Saturday</v>
      </c>
      <c r="E762" s="344" t="s">
        <v>162</v>
      </c>
      <c r="F762" s="370"/>
      <c r="G762" s="370"/>
      <c r="H762" s="357">
        <f t="shared" si="29"/>
        <v>0</v>
      </c>
      <c r="I762" s="346">
        <f t="shared" si="31"/>
        <v>0</v>
      </c>
      <c r="J762" s="354" t="s">
        <v>636</v>
      </c>
      <c r="M762" s="360">
        <f t="shared" si="12"/>
        <v>50633</v>
      </c>
      <c r="N762" s="360">
        <f t="shared" si="9"/>
        <v>50639</v>
      </c>
      <c r="O762" s="2">
        <f t="shared" si="10"/>
        <v>0</v>
      </c>
      <c r="P762" s="2">
        <f t="shared" si="11"/>
        <v>0</v>
      </c>
    </row>
    <row r="763">
      <c r="A763" s="344">
        <f t="shared" si="5"/>
        <v>850</v>
      </c>
      <c r="B763" s="344">
        <f t="shared" si="6"/>
        <v>90</v>
      </c>
      <c r="C763" s="369"/>
      <c r="D763" s="389" t="str">
        <f t="shared" si="7"/>
        <v>Saturday</v>
      </c>
      <c r="E763" s="344" t="s">
        <v>162</v>
      </c>
      <c r="F763" s="370"/>
      <c r="G763" s="370"/>
      <c r="H763" s="357">
        <f t="shared" si="29"/>
        <v>0</v>
      </c>
      <c r="I763" s="346">
        <f t="shared" si="31"/>
        <v>0</v>
      </c>
      <c r="J763" s="354" t="s">
        <v>636</v>
      </c>
      <c r="M763" s="360">
        <f t="shared" si="12"/>
        <v>50640</v>
      </c>
      <c r="N763" s="360">
        <f t="shared" si="9"/>
        <v>50646</v>
      </c>
      <c r="O763" s="2">
        <f t="shared" si="10"/>
        <v>0</v>
      </c>
      <c r="P763" s="2">
        <f t="shared" si="11"/>
        <v>0</v>
      </c>
    </row>
    <row r="764">
      <c r="A764" s="344">
        <f t="shared" si="5"/>
        <v>850</v>
      </c>
      <c r="B764" s="344">
        <f t="shared" si="6"/>
        <v>90</v>
      </c>
      <c r="C764" s="369"/>
      <c r="D764" s="389" t="str">
        <f t="shared" si="7"/>
        <v>Saturday</v>
      </c>
      <c r="E764" s="344" t="s">
        <v>162</v>
      </c>
      <c r="F764" s="370"/>
      <c r="G764" s="370"/>
      <c r="H764" s="357">
        <f t="shared" si="29"/>
        <v>0</v>
      </c>
      <c r="I764" s="346">
        <f t="shared" si="31"/>
        <v>0</v>
      </c>
      <c r="J764" s="354" t="s">
        <v>636</v>
      </c>
      <c r="M764" s="360">
        <f t="shared" si="12"/>
        <v>50647</v>
      </c>
      <c r="N764" s="360">
        <f t="shared" si="9"/>
        <v>50653</v>
      </c>
      <c r="O764" s="2">
        <f t="shared" si="10"/>
        <v>0</v>
      </c>
      <c r="P764" s="2">
        <f t="shared" si="11"/>
        <v>0</v>
      </c>
    </row>
    <row r="765">
      <c r="A765" s="344">
        <f t="shared" si="5"/>
        <v>850</v>
      </c>
      <c r="B765" s="344">
        <f t="shared" si="6"/>
        <v>90</v>
      </c>
      <c r="C765" s="369"/>
      <c r="D765" s="389" t="str">
        <f t="shared" si="7"/>
        <v>Saturday</v>
      </c>
      <c r="E765" s="344" t="s">
        <v>162</v>
      </c>
      <c r="F765" s="370"/>
      <c r="G765" s="370"/>
      <c r="H765" s="357">
        <f t="shared" si="29"/>
        <v>0</v>
      </c>
      <c r="I765" s="346">
        <f t="shared" si="31"/>
        <v>0</v>
      </c>
      <c r="J765" s="354" t="s">
        <v>636</v>
      </c>
      <c r="M765" s="360">
        <f t="shared" si="12"/>
        <v>50654</v>
      </c>
      <c r="N765" s="360">
        <f t="shared" si="9"/>
        <v>50660</v>
      </c>
      <c r="O765" s="2">
        <f t="shared" si="10"/>
        <v>0</v>
      </c>
      <c r="P765" s="2">
        <f t="shared" si="11"/>
        <v>0</v>
      </c>
    </row>
    <row r="766">
      <c r="A766" s="344">
        <f t="shared" si="5"/>
        <v>850</v>
      </c>
      <c r="B766" s="344">
        <f t="shared" si="6"/>
        <v>90</v>
      </c>
      <c r="C766" s="369"/>
      <c r="D766" s="389" t="str">
        <f t="shared" si="7"/>
        <v>Saturday</v>
      </c>
      <c r="E766" s="344" t="s">
        <v>162</v>
      </c>
      <c r="F766" s="370"/>
      <c r="G766" s="370"/>
      <c r="H766" s="357">
        <f t="shared" si="29"/>
        <v>0</v>
      </c>
      <c r="I766" s="346">
        <f t="shared" si="31"/>
        <v>0</v>
      </c>
      <c r="J766" s="354" t="s">
        <v>636</v>
      </c>
      <c r="M766" s="360">
        <f t="shared" si="12"/>
        <v>50661</v>
      </c>
      <c r="N766" s="360">
        <f t="shared" si="9"/>
        <v>50667</v>
      </c>
      <c r="O766" s="2">
        <f t="shared" si="10"/>
        <v>0</v>
      </c>
      <c r="P766" s="2">
        <f t="shared" si="11"/>
        <v>0</v>
      </c>
    </row>
    <row r="767">
      <c r="A767" s="344">
        <f t="shared" si="5"/>
        <v>850</v>
      </c>
      <c r="B767" s="344">
        <f t="shared" si="6"/>
        <v>90</v>
      </c>
      <c r="C767" s="369"/>
      <c r="D767" s="389" t="str">
        <f t="shared" si="7"/>
        <v>Saturday</v>
      </c>
      <c r="E767" s="344" t="s">
        <v>162</v>
      </c>
      <c r="F767" s="370"/>
      <c r="G767" s="370"/>
      <c r="H767" s="357">
        <f t="shared" si="29"/>
        <v>0</v>
      </c>
      <c r="I767" s="346">
        <f t="shared" si="31"/>
        <v>0</v>
      </c>
      <c r="J767" s="354" t="s">
        <v>636</v>
      </c>
      <c r="M767" s="360">
        <f t="shared" si="12"/>
        <v>50668</v>
      </c>
      <c r="N767" s="360">
        <f t="shared" si="9"/>
        <v>50674</v>
      </c>
      <c r="O767" s="2">
        <f t="shared" si="10"/>
        <v>0</v>
      </c>
      <c r="P767" s="2">
        <f t="shared" si="11"/>
        <v>0</v>
      </c>
    </row>
    <row r="768">
      <c r="A768" s="344">
        <f t="shared" si="5"/>
        <v>850</v>
      </c>
      <c r="B768" s="344">
        <f t="shared" si="6"/>
        <v>90</v>
      </c>
      <c r="C768" s="369"/>
      <c r="D768" s="389" t="str">
        <f t="shared" si="7"/>
        <v>Saturday</v>
      </c>
      <c r="E768" s="344" t="s">
        <v>162</v>
      </c>
      <c r="F768" s="370"/>
      <c r="G768" s="370"/>
      <c r="H768" s="357">
        <f t="shared" si="29"/>
        <v>0</v>
      </c>
      <c r="I768" s="346">
        <f t="shared" si="31"/>
        <v>0</v>
      </c>
      <c r="J768" s="354" t="s">
        <v>636</v>
      </c>
      <c r="M768" s="360">
        <f t="shared" si="12"/>
        <v>50675</v>
      </c>
      <c r="N768" s="360">
        <f t="shared" si="9"/>
        <v>50681</v>
      </c>
      <c r="O768" s="2">
        <f t="shared" si="10"/>
        <v>0</v>
      </c>
      <c r="P768" s="2">
        <f t="shared" si="11"/>
        <v>0</v>
      </c>
    </row>
    <row r="769">
      <c r="A769" s="344">
        <f t="shared" si="5"/>
        <v>850</v>
      </c>
      <c r="B769" s="344">
        <f t="shared" si="6"/>
        <v>90</v>
      </c>
      <c r="C769" s="369"/>
      <c r="D769" s="389" t="str">
        <f t="shared" si="7"/>
        <v>Saturday</v>
      </c>
      <c r="E769" s="344" t="s">
        <v>162</v>
      </c>
      <c r="F769" s="370"/>
      <c r="G769" s="370"/>
      <c r="H769" s="357">
        <f t="shared" si="29"/>
        <v>0</v>
      </c>
      <c r="I769" s="346">
        <f t="shared" si="31"/>
        <v>0</v>
      </c>
      <c r="J769" s="354" t="s">
        <v>636</v>
      </c>
      <c r="M769" s="360">
        <f t="shared" si="12"/>
        <v>50682</v>
      </c>
      <c r="N769" s="360">
        <f t="shared" si="9"/>
        <v>50688</v>
      </c>
      <c r="O769" s="2">
        <f t="shared" si="10"/>
        <v>0</v>
      </c>
      <c r="P769" s="2">
        <f t="shared" si="11"/>
        <v>0</v>
      </c>
    </row>
    <row r="770">
      <c r="A770" s="344">
        <f t="shared" si="5"/>
        <v>850</v>
      </c>
      <c r="B770" s="344">
        <f t="shared" si="6"/>
        <v>90</v>
      </c>
      <c r="C770" s="369"/>
      <c r="D770" s="389" t="str">
        <f t="shared" si="7"/>
        <v>Saturday</v>
      </c>
      <c r="E770" s="344" t="s">
        <v>162</v>
      </c>
      <c r="F770" s="370"/>
      <c r="G770" s="370"/>
      <c r="H770" s="357">
        <f t="shared" si="29"/>
        <v>0</v>
      </c>
      <c r="I770" s="346">
        <f t="shared" si="31"/>
        <v>0</v>
      </c>
      <c r="J770" s="354" t="s">
        <v>636</v>
      </c>
      <c r="M770" s="360">
        <f t="shared" si="12"/>
        <v>50689</v>
      </c>
      <c r="N770" s="360">
        <f t="shared" si="9"/>
        <v>50695</v>
      </c>
      <c r="O770" s="2">
        <f t="shared" si="10"/>
        <v>0</v>
      </c>
      <c r="P770" s="2">
        <f t="shared" si="11"/>
        <v>0</v>
      </c>
    </row>
    <row r="771">
      <c r="A771" s="344">
        <f t="shared" si="5"/>
        <v>850</v>
      </c>
      <c r="B771" s="344">
        <f t="shared" si="6"/>
        <v>90</v>
      </c>
      <c r="C771" s="369"/>
      <c r="D771" s="389" t="str">
        <f t="shared" si="7"/>
        <v>Saturday</v>
      </c>
      <c r="E771" s="344" t="s">
        <v>162</v>
      </c>
      <c r="F771" s="370"/>
      <c r="G771" s="370"/>
      <c r="H771" s="357">
        <f t="shared" si="29"/>
        <v>0</v>
      </c>
      <c r="I771" s="346">
        <f t="shared" si="31"/>
        <v>0</v>
      </c>
      <c r="J771" s="354" t="s">
        <v>636</v>
      </c>
      <c r="M771" s="360">
        <f t="shared" si="12"/>
        <v>50696</v>
      </c>
      <c r="N771" s="360">
        <f t="shared" si="9"/>
        <v>50702</v>
      </c>
      <c r="O771" s="2">
        <f t="shared" si="10"/>
        <v>0</v>
      </c>
      <c r="P771" s="2">
        <f t="shared" si="11"/>
        <v>0</v>
      </c>
    </row>
    <row r="772">
      <c r="A772" s="344">
        <f t="shared" si="5"/>
        <v>850</v>
      </c>
      <c r="B772" s="344">
        <f t="shared" si="6"/>
        <v>90</v>
      </c>
      <c r="C772" s="369"/>
      <c r="D772" s="389" t="str">
        <f t="shared" si="7"/>
        <v>Saturday</v>
      </c>
      <c r="E772" s="344" t="s">
        <v>162</v>
      </c>
      <c r="F772" s="370"/>
      <c r="G772" s="370"/>
      <c r="H772" s="357">
        <f t="shared" si="29"/>
        <v>0</v>
      </c>
      <c r="I772" s="346">
        <f t="shared" si="31"/>
        <v>0</v>
      </c>
      <c r="J772" s="354" t="s">
        <v>636</v>
      </c>
      <c r="M772" s="360">
        <f t="shared" si="12"/>
        <v>50703</v>
      </c>
      <c r="N772" s="360">
        <f t="shared" si="9"/>
        <v>50709</v>
      </c>
      <c r="O772" s="2">
        <f t="shared" si="10"/>
        <v>0</v>
      </c>
      <c r="P772" s="2">
        <f t="shared" si="11"/>
        <v>0</v>
      </c>
    </row>
    <row r="773">
      <c r="A773" s="344">
        <f t="shared" si="5"/>
        <v>850</v>
      </c>
      <c r="B773" s="344">
        <f t="shared" si="6"/>
        <v>90</v>
      </c>
      <c r="C773" s="369"/>
      <c r="D773" s="389" t="str">
        <f t="shared" si="7"/>
        <v>Saturday</v>
      </c>
      <c r="E773" s="344" t="s">
        <v>162</v>
      </c>
      <c r="F773" s="370"/>
      <c r="G773" s="370"/>
      <c r="H773" s="357">
        <f t="shared" si="29"/>
        <v>0</v>
      </c>
      <c r="I773" s="346">
        <f t="shared" si="31"/>
        <v>0</v>
      </c>
      <c r="J773" s="354" t="s">
        <v>636</v>
      </c>
      <c r="M773" s="360">
        <f t="shared" si="12"/>
        <v>50710</v>
      </c>
      <c r="N773" s="360">
        <f t="shared" si="9"/>
        <v>50716</v>
      </c>
      <c r="O773" s="2">
        <f t="shared" si="10"/>
        <v>0</v>
      </c>
      <c r="P773" s="2">
        <f t="shared" si="11"/>
        <v>0</v>
      </c>
    </row>
    <row r="774">
      <c r="A774" s="344">
        <f t="shared" si="5"/>
        <v>850</v>
      </c>
      <c r="B774" s="344">
        <f t="shared" si="6"/>
        <v>90</v>
      </c>
      <c r="C774" s="369"/>
      <c r="D774" s="389" t="str">
        <f t="shared" si="7"/>
        <v>Saturday</v>
      </c>
      <c r="E774" s="344" t="s">
        <v>162</v>
      </c>
      <c r="F774" s="370"/>
      <c r="G774" s="370"/>
      <c r="H774" s="357">
        <f t="shared" si="29"/>
        <v>0</v>
      </c>
      <c r="I774" s="346">
        <f t="shared" si="31"/>
        <v>0</v>
      </c>
      <c r="J774" s="354" t="s">
        <v>636</v>
      </c>
      <c r="M774" s="360">
        <f t="shared" si="12"/>
        <v>50717</v>
      </c>
      <c r="N774" s="360">
        <f t="shared" si="9"/>
        <v>50723</v>
      </c>
      <c r="O774" s="2">
        <f t="shared" si="10"/>
        <v>0</v>
      </c>
      <c r="P774" s="2">
        <f t="shared" si="11"/>
        <v>0</v>
      </c>
    </row>
    <row r="775">
      <c r="A775" s="344">
        <f t="shared" si="5"/>
        <v>850</v>
      </c>
      <c r="B775" s="344">
        <f t="shared" si="6"/>
        <v>90</v>
      </c>
      <c r="C775" s="369"/>
      <c r="D775" s="389" t="str">
        <f t="shared" si="7"/>
        <v>Saturday</v>
      </c>
      <c r="E775" s="344" t="s">
        <v>162</v>
      </c>
      <c r="F775" s="370"/>
      <c r="G775" s="370"/>
      <c r="H775" s="357">
        <f t="shared" si="29"/>
        <v>0</v>
      </c>
      <c r="I775" s="346">
        <f t="shared" si="31"/>
        <v>0</v>
      </c>
      <c r="J775" s="354" t="s">
        <v>636</v>
      </c>
      <c r="M775" s="360">
        <f t="shared" si="12"/>
        <v>50724</v>
      </c>
      <c r="N775" s="360">
        <f t="shared" si="9"/>
        <v>50730</v>
      </c>
      <c r="O775" s="2">
        <f t="shared" si="10"/>
        <v>0</v>
      </c>
      <c r="P775" s="2">
        <f t="shared" si="11"/>
        <v>0</v>
      </c>
    </row>
    <row r="776">
      <c r="A776" s="344">
        <f t="shared" si="5"/>
        <v>850</v>
      </c>
      <c r="B776" s="344">
        <f t="shared" si="6"/>
        <v>90</v>
      </c>
      <c r="C776" s="369"/>
      <c r="D776" s="389" t="str">
        <f t="shared" si="7"/>
        <v>Saturday</v>
      </c>
      <c r="E776" s="344" t="s">
        <v>162</v>
      </c>
      <c r="F776" s="370"/>
      <c r="G776" s="370"/>
      <c r="H776" s="357">
        <f t="shared" si="29"/>
        <v>0</v>
      </c>
      <c r="I776" s="346">
        <f t="shared" si="31"/>
        <v>0</v>
      </c>
      <c r="J776" s="354" t="s">
        <v>636</v>
      </c>
      <c r="M776" s="360">
        <f t="shared" si="12"/>
        <v>50731</v>
      </c>
      <c r="N776" s="360">
        <f t="shared" si="9"/>
        <v>50737</v>
      </c>
      <c r="O776" s="2">
        <f t="shared" si="10"/>
        <v>0</v>
      </c>
      <c r="P776" s="2">
        <f t="shared" si="11"/>
        <v>0</v>
      </c>
    </row>
    <row r="777">
      <c r="A777" s="344">
        <f t="shared" si="5"/>
        <v>850</v>
      </c>
      <c r="B777" s="344">
        <f t="shared" si="6"/>
        <v>90</v>
      </c>
      <c r="C777" s="369"/>
      <c r="D777" s="389" t="str">
        <f t="shared" si="7"/>
        <v>Saturday</v>
      </c>
      <c r="E777" s="344" t="s">
        <v>162</v>
      </c>
      <c r="F777" s="370"/>
      <c r="G777" s="370"/>
      <c r="H777" s="357">
        <f t="shared" si="29"/>
        <v>0</v>
      </c>
      <c r="I777" s="346">
        <f t="shared" si="31"/>
        <v>0</v>
      </c>
      <c r="J777" s="354" t="s">
        <v>636</v>
      </c>
      <c r="M777" s="360">
        <f t="shared" si="12"/>
        <v>50738</v>
      </c>
      <c r="N777" s="360">
        <f t="shared" si="9"/>
        <v>50744</v>
      </c>
      <c r="O777" s="2">
        <f t="shared" si="10"/>
        <v>0</v>
      </c>
      <c r="P777" s="2">
        <f t="shared" si="11"/>
        <v>0</v>
      </c>
    </row>
    <row r="778">
      <c r="A778" s="344">
        <f t="shared" si="5"/>
        <v>850</v>
      </c>
      <c r="B778" s="344">
        <f t="shared" si="6"/>
        <v>90</v>
      </c>
      <c r="C778" s="369"/>
      <c r="D778" s="389" t="str">
        <f t="shared" si="7"/>
        <v>Saturday</v>
      </c>
      <c r="E778" s="344" t="s">
        <v>162</v>
      </c>
      <c r="F778" s="370"/>
      <c r="G778" s="370"/>
      <c r="H778" s="357">
        <f t="shared" si="29"/>
        <v>0</v>
      </c>
      <c r="I778" s="346">
        <f t="shared" si="31"/>
        <v>0</v>
      </c>
      <c r="J778" s="354" t="s">
        <v>636</v>
      </c>
      <c r="M778" s="360">
        <f t="shared" si="12"/>
        <v>50745</v>
      </c>
      <c r="N778" s="360">
        <f t="shared" si="9"/>
        <v>50751</v>
      </c>
      <c r="O778" s="2">
        <f t="shared" si="10"/>
        <v>0</v>
      </c>
      <c r="P778" s="2">
        <f t="shared" si="11"/>
        <v>0</v>
      </c>
    </row>
    <row r="779">
      <c r="A779" s="344">
        <f t="shared" si="5"/>
        <v>850</v>
      </c>
      <c r="B779" s="344">
        <f t="shared" si="6"/>
        <v>90</v>
      </c>
      <c r="C779" s="369"/>
      <c r="D779" s="389" t="str">
        <f t="shared" si="7"/>
        <v>Saturday</v>
      </c>
      <c r="E779" s="344" t="s">
        <v>162</v>
      </c>
      <c r="F779" s="370"/>
      <c r="G779" s="370"/>
      <c r="H779" s="357">
        <f t="shared" si="29"/>
        <v>0</v>
      </c>
      <c r="I779" s="346">
        <f t="shared" si="31"/>
        <v>0</v>
      </c>
      <c r="J779" s="354" t="s">
        <v>636</v>
      </c>
      <c r="M779" s="360">
        <f t="shared" si="12"/>
        <v>50752</v>
      </c>
      <c r="N779" s="360">
        <f t="shared" si="9"/>
        <v>50758</v>
      </c>
      <c r="O779" s="2">
        <f t="shared" si="10"/>
        <v>0</v>
      </c>
      <c r="P779" s="2">
        <f t="shared" si="11"/>
        <v>0</v>
      </c>
    </row>
    <row r="780">
      <c r="A780" s="344">
        <f t="shared" si="5"/>
        <v>850</v>
      </c>
      <c r="B780" s="344">
        <f t="shared" si="6"/>
        <v>90</v>
      </c>
      <c r="C780" s="369"/>
      <c r="D780" s="389" t="str">
        <f t="shared" si="7"/>
        <v>Saturday</v>
      </c>
      <c r="E780" s="344" t="s">
        <v>162</v>
      </c>
      <c r="F780" s="370"/>
      <c r="G780" s="370"/>
      <c r="H780" s="357">
        <f t="shared" si="29"/>
        <v>0</v>
      </c>
      <c r="I780" s="346">
        <f t="shared" si="31"/>
        <v>0</v>
      </c>
      <c r="J780" s="354" t="s">
        <v>636</v>
      </c>
      <c r="M780" s="360">
        <f t="shared" si="12"/>
        <v>50759</v>
      </c>
      <c r="N780" s="360">
        <f t="shared" si="9"/>
        <v>50765</v>
      </c>
      <c r="O780" s="2">
        <f t="shared" si="10"/>
        <v>0</v>
      </c>
      <c r="P780" s="2">
        <f t="shared" si="11"/>
        <v>0</v>
      </c>
    </row>
    <row r="781">
      <c r="A781" s="344">
        <f t="shared" si="5"/>
        <v>850</v>
      </c>
      <c r="B781" s="344">
        <f t="shared" si="6"/>
        <v>90</v>
      </c>
      <c r="C781" s="369"/>
      <c r="D781" s="389" t="str">
        <f t="shared" si="7"/>
        <v>Saturday</v>
      </c>
      <c r="E781" s="344" t="s">
        <v>162</v>
      </c>
      <c r="F781" s="370"/>
      <c r="G781" s="370"/>
      <c r="H781" s="357">
        <f t="shared" si="29"/>
        <v>0</v>
      </c>
      <c r="I781" s="346">
        <f t="shared" si="31"/>
        <v>0</v>
      </c>
      <c r="J781" s="354" t="s">
        <v>636</v>
      </c>
      <c r="M781" s="360">
        <f t="shared" si="12"/>
        <v>50766</v>
      </c>
      <c r="N781" s="360">
        <f t="shared" si="9"/>
        <v>50772</v>
      </c>
      <c r="O781" s="2">
        <f t="shared" si="10"/>
        <v>0</v>
      </c>
      <c r="P781" s="2">
        <f t="shared" si="11"/>
        <v>0</v>
      </c>
    </row>
    <row r="782">
      <c r="A782" s="344">
        <f t="shared" si="5"/>
        <v>850</v>
      </c>
      <c r="B782" s="344">
        <f t="shared" si="6"/>
        <v>90</v>
      </c>
      <c r="C782" s="369"/>
      <c r="D782" s="389" t="str">
        <f t="shared" si="7"/>
        <v>Saturday</v>
      </c>
      <c r="E782" s="344" t="s">
        <v>162</v>
      </c>
      <c r="F782" s="370"/>
      <c r="G782" s="370"/>
      <c r="H782" s="357">
        <f t="shared" si="29"/>
        <v>0</v>
      </c>
      <c r="I782" s="346">
        <f t="shared" si="31"/>
        <v>0</v>
      </c>
      <c r="J782" s="354" t="s">
        <v>636</v>
      </c>
      <c r="M782" s="360">
        <f t="shared" si="12"/>
        <v>50773</v>
      </c>
      <c r="N782" s="360">
        <f t="shared" si="9"/>
        <v>50779</v>
      </c>
      <c r="O782" s="2">
        <f t="shared" si="10"/>
        <v>0</v>
      </c>
      <c r="P782" s="2">
        <f t="shared" si="11"/>
        <v>0</v>
      </c>
    </row>
    <row r="783">
      <c r="A783" s="344">
        <f t="shared" si="5"/>
        <v>850</v>
      </c>
      <c r="B783" s="344">
        <f t="shared" si="6"/>
        <v>90</v>
      </c>
      <c r="C783" s="369"/>
      <c r="D783" s="389" t="str">
        <f t="shared" si="7"/>
        <v>Saturday</v>
      </c>
      <c r="E783" s="344" t="s">
        <v>162</v>
      </c>
      <c r="F783" s="370"/>
      <c r="G783" s="370"/>
      <c r="H783" s="357">
        <f t="shared" si="29"/>
        <v>0</v>
      </c>
      <c r="I783" s="346">
        <f t="shared" si="31"/>
        <v>0</v>
      </c>
      <c r="J783" s="354" t="s">
        <v>636</v>
      </c>
      <c r="M783" s="360">
        <f t="shared" si="12"/>
        <v>50780</v>
      </c>
      <c r="N783" s="360">
        <f t="shared" si="9"/>
        <v>50786</v>
      </c>
      <c r="O783" s="2">
        <f t="shared" si="10"/>
        <v>0</v>
      </c>
      <c r="P783" s="2">
        <f t="shared" si="11"/>
        <v>0</v>
      </c>
    </row>
    <row r="784">
      <c r="A784" s="344">
        <f t="shared" si="5"/>
        <v>850</v>
      </c>
      <c r="B784" s="344">
        <f t="shared" si="6"/>
        <v>90</v>
      </c>
      <c r="C784" s="369"/>
      <c r="D784" s="389" t="str">
        <f t="shared" si="7"/>
        <v>Saturday</v>
      </c>
      <c r="E784" s="344" t="s">
        <v>162</v>
      </c>
      <c r="F784" s="370"/>
      <c r="G784" s="370"/>
      <c r="H784" s="357">
        <f t="shared" si="29"/>
        <v>0</v>
      </c>
      <c r="I784" s="346">
        <f t="shared" si="31"/>
        <v>0</v>
      </c>
      <c r="J784" s="354" t="s">
        <v>636</v>
      </c>
      <c r="M784" s="360">
        <f t="shared" si="12"/>
        <v>50787</v>
      </c>
      <c r="N784" s="360">
        <f t="shared" si="9"/>
        <v>50793</v>
      </c>
      <c r="O784" s="2">
        <f t="shared" si="10"/>
        <v>0</v>
      </c>
      <c r="P784" s="2">
        <f t="shared" si="11"/>
        <v>0</v>
      </c>
    </row>
    <row r="785">
      <c r="A785" s="344">
        <f t="shared" si="5"/>
        <v>850</v>
      </c>
      <c r="B785" s="344">
        <f t="shared" si="6"/>
        <v>90</v>
      </c>
      <c r="C785" s="369"/>
      <c r="D785" s="389" t="str">
        <f t="shared" si="7"/>
        <v>Saturday</v>
      </c>
      <c r="E785" s="344" t="s">
        <v>162</v>
      </c>
      <c r="F785" s="370"/>
      <c r="G785" s="370"/>
      <c r="H785" s="357">
        <f t="shared" si="29"/>
        <v>0</v>
      </c>
      <c r="I785" s="346">
        <f t="shared" si="31"/>
        <v>0</v>
      </c>
      <c r="J785" s="354" t="s">
        <v>636</v>
      </c>
      <c r="M785" s="360">
        <f t="shared" si="12"/>
        <v>50794</v>
      </c>
      <c r="N785" s="360">
        <f t="shared" si="9"/>
        <v>50800</v>
      </c>
      <c r="O785" s="2">
        <f t="shared" si="10"/>
        <v>0</v>
      </c>
      <c r="P785" s="2">
        <f t="shared" si="11"/>
        <v>0</v>
      </c>
    </row>
    <row r="786">
      <c r="A786" s="344">
        <f t="shared" si="5"/>
        <v>850</v>
      </c>
      <c r="B786" s="344">
        <f t="shared" si="6"/>
        <v>90</v>
      </c>
      <c r="C786" s="369"/>
      <c r="D786" s="389" t="str">
        <f t="shared" si="7"/>
        <v>Saturday</v>
      </c>
      <c r="E786" s="344" t="s">
        <v>162</v>
      </c>
      <c r="F786" s="370"/>
      <c r="G786" s="370"/>
      <c r="H786" s="357">
        <f t="shared" si="29"/>
        <v>0</v>
      </c>
      <c r="I786" s="346">
        <f t="shared" si="31"/>
        <v>0</v>
      </c>
      <c r="J786" s="354" t="s">
        <v>636</v>
      </c>
      <c r="M786" s="360">
        <f t="shared" si="12"/>
        <v>50801</v>
      </c>
      <c r="N786" s="360">
        <f t="shared" si="9"/>
        <v>50807</v>
      </c>
      <c r="O786" s="2">
        <f t="shared" si="10"/>
        <v>0</v>
      </c>
      <c r="P786" s="2">
        <f t="shared" si="11"/>
        <v>0</v>
      </c>
    </row>
    <row r="787">
      <c r="A787" s="344">
        <f t="shared" si="5"/>
        <v>850</v>
      </c>
      <c r="B787" s="344">
        <f t="shared" si="6"/>
        <v>90</v>
      </c>
      <c r="C787" s="369"/>
      <c r="D787" s="389" t="str">
        <f t="shared" si="7"/>
        <v>Saturday</v>
      </c>
      <c r="E787" s="344" t="s">
        <v>162</v>
      </c>
      <c r="F787" s="370"/>
      <c r="G787" s="370"/>
      <c r="H787" s="357">
        <f t="shared" si="29"/>
        <v>0</v>
      </c>
      <c r="I787" s="346">
        <f t="shared" si="31"/>
        <v>0</v>
      </c>
      <c r="J787" s="354" t="s">
        <v>636</v>
      </c>
      <c r="M787" s="360">
        <f t="shared" si="12"/>
        <v>50808</v>
      </c>
      <c r="N787" s="360">
        <f t="shared" si="9"/>
        <v>50814</v>
      </c>
      <c r="O787" s="2">
        <f t="shared" si="10"/>
        <v>0</v>
      </c>
      <c r="P787" s="2">
        <f t="shared" si="11"/>
        <v>0</v>
      </c>
    </row>
    <row r="788">
      <c r="A788" s="344">
        <f t="shared" si="5"/>
        <v>850</v>
      </c>
      <c r="B788" s="344">
        <f t="shared" si="6"/>
        <v>90</v>
      </c>
      <c r="C788" s="369"/>
      <c r="D788" s="389" t="str">
        <f t="shared" si="7"/>
        <v>Saturday</v>
      </c>
      <c r="E788" s="344" t="s">
        <v>162</v>
      </c>
      <c r="F788" s="370"/>
      <c r="G788" s="370"/>
      <c r="H788" s="357">
        <f t="shared" si="29"/>
        <v>0</v>
      </c>
      <c r="I788" s="346">
        <f t="shared" si="31"/>
        <v>0</v>
      </c>
      <c r="J788" s="354" t="s">
        <v>636</v>
      </c>
      <c r="M788" s="360">
        <f t="shared" si="12"/>
        <v>50815</v>
      </c>
      <c r="N788" s="360">
        <f t="shared" si="9"/>
        <v>50821</v>
      </c>
      <c r="O788" s="2">
        <f t="shared" si="10"/>
        <v>0</v>
      </c>
      <c r="P788" s="2">
        <f t="shared" si="11"/>
        <v>0</v>
      </c>
    </row>
    <row r="789">
      <c r="A789" s="344">
        <f t="shared" si="5"/>
        <v>850</v>
      </c>
      <c r="B789" s="344">
        <f t="shared" si="6"/>
        <v>90</v>
      </c>
      <c r="C789" s="369"/>
      <c r="D789" s="389" t="str">
        <f t="shared" si="7"/>
        <v>Saturday</v>
      </c>
      <c r="E789" s="344" t="s">
        <v>162</v>
      </c>
      <c r="F789" s="370"/>
      <c r="G789" s="370"/>
      <c r="H789" s="357">
        <f t="shared" si="29"/>
        <v>0</v>
      </c>
      <c r="I789" s="346">
        <f t="shared" si="31"/>
        <v>0</v>
      </c>
      <c r="J789" s="354" t="s">
        <v>636</v>
      </c>
      <c r="M789" s="360">
        <f t="shared" si="12"/>
        <v>50822</v>
      </c>
      <c r="N789" s="360">
        <f t="shared" si="9"/>
        <v>50828</v>
      </c>
      <c r="O789" s="2">
        <f t="shared" si="10"/>
        <v>0</v>
      </c>
      <c r="P789" s="2">
        <f t="shared" si="11"/>
        <v>0</v>
      </c>
    </row>
    <row r="790">
      <c r="A790" s="344">
        <f t="shared" si="5"/>
        <v>850</v>
      </c>
      <c r="B790" s="344">
        <f t="shared" si="6"/>
        <v>90</v>
      </c>
      <c r="C790" s="369"/>
      <c r="D790" s="389" t="str">
        <f t="shared" si="7"/>
        <v>Saturday</v>
      </c>
      <c r="E790" s="344" t="s">
        <v>162</v>
      </c>
      <c r="F790" s="370"/>
      <c r="G790" s="370"/>
      <c r="H790" s="357">
        <f t="shared" si="29"/>
        <v>0</v>
      </c>
      <c r="I790" s="346">
        <f t="shared" si="31"/>
        <v>0</v>
      </c>
      <c r="J790" s="354" t="s">
        <v>636</v>
      </c>
      <c r="M790" s="360">
        <f t="shared" si="12"/>
        <v>50829</v>
      </c>
      <c r="N790" s="360">
        <f t="shared" si="9"/>
        <v>50835</v>
      </c>
      <c r="O790" s="2">
        <f t="shared" si="10"/>
        <v>0</v>
      </c>
      <c r="P790" s="2">
        <f t="shared" si="11"/>
        <v>0</v>
      </c>
    </row>
    <row r="791">
      <c r="A791" s="344">
        <f t="shared" si="5"/>
        <v>850</v>
      </c>
      <c r="B791" s="344">
        <f t="shared" si="6"/>
        <v>90</v>
      </c>
      <c r="C791" s="369"/>
      <c r="D791" s="389" t="str">
        <f t="shared" si="7"/>
        <v>Saturday</v>
      </c>
      <c r="E791" s="344" t="s">
        <v>162</v>
      </c>
      <c r="F791" s="370"/>
      <c r="G791" s="370"/>
      <c r="H791" s="357">
        <f t="shared" si="29"/>
        <v>0</v>
      </c>
      <c r="I791" s="346">
        <f t="shared" si="31"/>
        <v>0</v>
      </c>
      <c r="J791" s="354" t="s">
        <v>636</v>
      </c>
      <c r="M791" s="360">
        <f t="shared" si="12"/>
        <v>50836</v>
      </c>
      <c r="N791" s="360">
        <f t="shared" si="9"/>
        <v>50842</v>
      </c>
      <c r="O791" s="2">
        <f t="shared" si="10"/>
        <v>0</v>
      </c>
      <c r="P791" s="2">
        <f t="shared" si="11"/>
        <v>0</v>
      </c>
    </row>
    <row r="792">
      <c r="A792" s="344">
        <f t="shared" si="5"/>
        <v>850</v>
      </c>
      <c r="B792" s="344">
        <f t="shared" si="6"/>
        <v>90</v>
      </c>
      <c r="C792" s="369"/>
      <c r="D792" s="389" t="str">
        <f t="shared" si="7"/>
        <v>Saturday</v>
      </c>
      <c r="E792" s="344" t="s">
        <v>162</v>
      </c>
      <c r="F792" s="370"/>
      <c r="G792" s="370"/>
      <c r="H792" s="357">
        <f t="shared" si="29"/>
        <v>0</v>
      </c>
      <c r="I792" s="346">
        <f t="shared" si="31"/>
        <v>0</v>
      </c>
      <c r="J792" s="354" t="s">
        <v>636</v>
      </c>
      <c r="M792" s="360">
        <f t="shared" si="12"/>
        <v>50843</v>
      </c>
      <c r="N792" s="360">
        <f t="shared" si="9"/>
        <v>50849</v>
      </c>
      <c r="O792" s="2">
        <f t="shared" si="10"/>
        <v>0</v>
      </c>
      <c r="P792" s="2">
        <f t="shared" si="11"/>
        <v>0</v>
      </c>
    </row>
    <row r="793">
      <c r="A793" s="344">
        <f t="shared" si="5"/>
        <v>850</v>
      </c>
      <c r="B793" s="344">
        <f t="shared" si="6"/>
        <v>90</v>
      </c>
      <c r="C793" s="369"/>
      <c r="D793" s="389" t="str">
        <f t="shared" si="7"/>
        <v>Saturday</v>
      </c>
      <c r="E793" s="344" t="s">
        <v>162</v>
      </c>
      <c r="F793" s="370"/>
      <c r="G793" s="370"/>
      <c r="H793" s="357">
        <f t="shared" si="29"/>
        <v>0</v>
      </c>
      <c r="I793" s="346">
        <f t="shared" si="31"/>
        <v>0</v>
      </c>
      <c r="J793" s="354" t="s">
        <v>636</v>
      </c>
      <c r="M793" s="360">
        <f t="shared" si="12"/>
        <v>50850</v>
      </c>
      <c r="N793" s="360">
        <f t="shared" si="9"/>
        <v>50856</v>
      </c>
      <c r="O793" s="2">
        <f t="shared" si="10"/>
        <v>0</v>
      </c>
      <c r="P793" s="2">
        <f t="shared" si="11"/>
        <v>0</v>
      </c>
    </row>
    <row r="794">
      <c r="A794" s="344">
        <f t="shared" si="5"/>
        <v>850</v>
      </c>
      <c r="B794" s="344">
        <f t="shared" si="6"/>
        <v>90</v>
      </c>
      <c r="C794" s="369"/>
      <c r="D794" s="389" t="str">
        <f t="shared" si="7"/>
        <v>Saturday</v>
      </c>
      <c r="E794" s="344" t="s">
        <v>162</v>
      </c>
      <c r="F794" s="370"/>
      <c r="G794" s="370"/>
      <c r="H794" s="357">
        <f t="shared" si="29"/>
        <v>0</v>
      </c>
      <c r="I794" s="346">
        <f t="shared" si="31"/>
        <v>0</v>
      </c>
      <c r="J794" s="354" t="s">
        <v>636</v>
      </c>
      <c r="M794" s="360">
        <f t="shared" si="12"/>
        <v>50857</v>
      </c>
      <c r="N794" s="360">
        <f t="shared" si="9"/>
        <v>50863</v>
      </c>
      <c r="O794" s="2">
        <f t="shared" si="10"/>
        <v>0</v>
      </c>
      <c r="P794" s="2">
        <f t="shared" si="11"/>
        <v>0</v>
      </c>
    </row>
    <row r="795">
      <c r="A795" s="344">
        <f t="shared" si="5"/>
        <v>850</v>
      </c>
      <c r="B795" s="344">
        <f t="shared" si="6"/>
        <v>90</v>
      </c>
      <c r="C795" s="369"/>
      <c r="D795" s="389" t="str">
        <f t="shared" si="7"/>
        <v>Saturday</v>
      </c>
      <c r="E795" s="344" t="s">
        <v>162</v>
      </c>
      <c r="F795" s="370"/>
      <c r="G795" s="370"/>
      <c r="H795" s="357">
        <f t="shared" si="29"/>
        <v>0</v>
      </c>
      <c r="I795" s="346">
        <f t="shared" si="31"/>
        <v>0</v>
      </c>
      <c r="J795" s="354" t="s">
        <v>636</v>
      </c>
      <c r="M795" s="360">
        <f t="shared" si="12"/>
        <v>50864</v>
      </c>
      <c r="N795" s="360">
        <f t="shared" si="9"/>
        <v>50870</v>
      </c>
      <c r="O795" s="2">
        <f t="shared" si="10"/>
        <v>0</v>
      </c>
      <c r="P795" s="2">
        <f t="shared" si="11"/>
        <v>0</v>
      </c>
    </row>
    <row r="796">
      <c r="A796" s="344">
        <f t="shared" si="5"/>
        <v>850</v>
      </c>
      <c r="B796" s="344">
        <f t="shared" si="6"/>
        <v>90</v>
      </c>
      <c r="C796" s="369"/>
      <c r="D796" s="389" t="str">
        <f t="shared" si="7"/>
        <v>Saturday</v>
      </c>
      <c r="E796" s="344" t="s">
        <v>162</v>
      </c>
      <c r="F796" s="370"/>
      <c r="G796" s="370"/>
      <c r="H796" s="357">
        <f t="shared" si="29"/>
        <v>0</v>
      </c>
      <c r="I796" s="346">
        <f t="shared" si="31"/>
        <v>0</v>
      </c>
      <c r="J796" s="354" t="s">
        <v>636</v>
      </c>
      <c r="M796" s="360">
        <f t="shared" si="12"/>
        <v>50871</v>
      </c>
      <c r="N796" s="360">
        <f t="shared" si="9"/>
        <v>50877</v>
      </c>
      <c r="O796" s="2">
        <f t="shared" si="10"/>
        <v>0</v>
      </c>
      <c r="P796" s="2">
        <f t="shared" si="11"/>
        <v>0</v>
      </c>
    </row>
    <row r="797">
      <c r="A797" s="344">
        <f t="shared" si="5"/>
        <v>850</v>
      </c>
      <c r="B797" s="344">
        <f t="shared" si="6"/>
        <v>90</v>
      </c>
      <c r="C797" s="369"/>
      <c r="D797" s="389" t="str">
        <f t="shared" si="7"/>
        <v>Saturday</v>
      </c>
      <c r="E797" s="344" t="s">
        <v>162</v>
      </c>
      <c r="F797" s="370"/>
      <c r="G797" s="370"/>
      <c r="H797" s="357">
        <f t="shared" si="29"/>
        <v>0</v>
      </c>
      <c r="I797" s="346">
        <f t="shared" si="31"/>
        <v>0</v>
      </c>
      <c r="J797" s="354" t="s">
        <v>636</v>
      </c>
      <c r="M797" s="360">
        <f t="shared" si="12"/>
        <v>50878</v>
      </c>
      <c r="N797" s="360">
        <f t="shared" si="9"/>
        <v>50884</v>
      </c>
      <c r="O797" s="2">
        <f t="shared" si="10"/>
        <v>0</v>
      </c>
      <c r="P797" s="2">
        <f t="shared" si="11"/>
        <v>0</v>
      </c>
    </row>
    <row r="798">
      <c r="A798" s="344">
        <f t="shared" si="5"/>
        <v>850</v>
      </c>
      <c r="B798" s="344">
        <f t="shared" si="6"/>
        <v>90</v>
      </c>
      <c r="C798" s="369"/>
      <c r="D798" s="389" t="str">
        <f t="shared" si="7"/>
        <v>Saturday</v>
      </c>
      <c r="E798" s="344" t="s">
        <v>162</v>
      </c>
      <c r="F798" s="370"/>
      <c r="G798" s="370"/>
      <c r="H798" s="357">
        <f t="shared" si="29"/>
        <v>0</v>
      </c>
      <c r="I798" s="346">
        <f t="shared" si="31"/>
        <v>0</v>
      </c>
      <c r="J798" s="354" t="s">
        <v>636</v>
      </c>
      <c r="M798" s="360">
        <f t="shared" si="12"/>
        <v>50885</v>
      </c>
      <c r="N798" s="360">
        <f t="shared" si="9"/>
        <v>50891</v>
      </c>
      <c r="O798" s="2">
        <f t="shared" si="10"/>
        <v>0</v>
      </c>
      <c r="P798" s="2">
        <f t="shared" si="11"/>
        <v>0</v>
      </c>
    </row>
    <row r="799">
      <c r="A799" s="344">
        <f t="shared" si="5"/>
        <v>850</v>
      </c>
      <c r="B799" s="344">
        <f t="shared" si="6"/>
        <v>90</v>
      </c>
      <c r="C799" s="369"/>
      <c r="D799" s="389" t="str">
        <f t="shared" si="7"/>
        <v>Saturday</v>
      </c>
      <c r="E799" s="344" t="s">
        <v>162</v>
      </c>
      <c r="F799" s="370"/>
      <c r="G799" s="370"/>
      <c r="H799" s="357">
        <f t="shared" si="29"/>
        <v>0</v>
      </c>
      <c r="I799" s="346">
        <f t="shared" si="31"/>
        <v>0</v>
      </c>
      <c r="J799" s="354" t="s">
        <v>636</v>
      </c>
      <c r="M799" s="360">
        <f t="shared" si="12"/>
        <v>50892</v>
      </c>
      <c r="N799" s="360">
        <f t="shared" si="9"/>
        <v>50898</v>
      </c>
      <c r="O799" s="2">
        <f t="shared" si="10"/>
        <v>0</v>
      </c>
      <c r="P799" s="2">
        <f t="shared" si="11"/>
        <v>0</v>
      </c>
    </row>
    <row r="800">
      <c r="A800" s="344">
        <f t="shared" si="5"/>
        <v>850</v>
      </c>
      <c r="B800" s="344">
        <f t="shared" si="6"/>
        <v>90</v>
      </c>
      <c r="C800" s="369"/>
      <c r="D800" s="389" t="str">
        <f t="shared" si="7"/>
        <v>Saturday</v>
      </c>
      <c r="E800" s="344" t="s">
        <v>162</v>
      </c>
      <c r="F800" s="370"/>
      <c r="G800" s="370"/>
      <c r="H800" s="357">
        <f t="shared" si="29"/>
        <v>0</v>
      </c>
      <c r="I800" s="346">
        <f t="shared" si="31"/>
        <v>0</v>
      </c>
      <c r="J800" s="354" t="s">
        <v>636</v>
      </c>
      <c r="M800" s="360">
        <f t="shared" si="12"/>
        <v>50899</v>
      </c>
      <c r="N800" s="360">
        <f t="shared" si="9"/>
        <v>50905</v>
      </c>
      <c r="O800" s="2">
        <f t="shared" si="10"/>
        <v>0</v>
      </c>
      <c r="P800" s="2">
        <f t="shared" si="11"/>
        <v>0</v>
      </c>
    </row>
    <row r="801">
      <c r="A801" s="344">
        <f t="shared" si="5"/>
        <v>850</v>
      </c>
      <c r="B801" s="344">
        <f t="shared" si="6"/>
        <v>90</v>
      </c>
      <c r="C801" s="369"/>
      <c r="D801" s="389" t="str">
        <f t="shared" si="7"/>
        <v>Saturday</v>
      </c>
      <c r="E801" s="344" t="s">
        <v>162</v>
      </c>
      <c r="F801" s="370"/>
      <c r="G801" s="370"/>
      <c r="H801" s="357">
        <f t="shared" si="29"/>
        <v>0</v>
      </c>
      <c r="I801" s="346">
        <f t="shared" si="31"/>
        <v>0</v>
      </c>
      <c r="J801" s="354" t="s">
        <v>636</v>
      </c>
      <c r="M801" s="360">
        <f t="shared" si="12"/>
        <v>50906</v>
      </c>
      <c r="N801" s="360">
        <f t="shared" si="9"/>
        <v>50912</v>
      </c>
      <c r="O801" s="2">
        <f t="shared" si="10"/>
        <v>0</v>
      </c>
      <c r="P801" s="2">
        <f t="shared" si="11"/>
        <v>0</v>
      </c>
    </row>
    <row r="802">
      <c r="A802" s="344">
        <f t="shared" si="5"/>
        <v>850</v>
      </c>
      <c r="B802" s="344">
        <f t="shared" si="6"/>
        <v>90</v>
      </c>
      <c r="C802" s="369"/>
      <c r="D802" s="389" t="str">
        <f t="shared" si="7"/>
        <v>Saturday</v>
      </c>
      <c r="E802" s="344" t="s">
        <v>162</v>
      </c>
      <c r="F802" s="370"/>
      <c r="G802" s="370"/>
      <c r="H802" s="357">
        <f t="shared" si="29"/>
        <v>0</v>
      </c>
      <c r="I802" s="346">
        <f t="shared" si="31"/>
        <v>0</v>
      </c>
      <c r="J802" s="354" t="s">
        <v>636</v>
      </c>
      <c r="M802" s="360">
        <f t="shared" si="12"/>
        <v>50913</v>
      </c>
      <c r="N802" s="360">
        <f t="shared" si="9"/>
        <v>50919</v>
      </c>
      <c r="O802" s="2">
        <f t="shared" si="10"/>
        <v>0</v>
      </c>
      <c r="P802" s="2">
        <f t="shared" si="11"/>
        <v>0</v>
      </c>
    </row>
    <row r="803">
      <c r="A803" s="344">
        <f t="shared" si="5"/>
        <v>850</v>
      </c>
      <c r="B803" s="344">
        <f t="shared" si="6"/>
        <v>90</v>
      </c>
      <c r="C803" s="369"/>
      <c r="D803" s="389" t="str">
        <f t="shared" si="7"/>
        <v>Saturday</v>
      </c>
      <c r="E803" s="344" t="s">
        <v>162</v>
      </c>
      <c r="F803" s="370"/>
      <c r="G803" s="370"/>
      <c r="H803" s="357">
        <f t="shared" si="29"/>
        <v>0</v>
      </c>
      <c r="I803" s="346">
        <f t="shared" si="31"/>
        <v>0</v>
      </c>
      <c r="J803" s="354" t="s">
        <v>636</v>
      </c>
      <c r="M803" s="360">
        <f t="shared" si="12"/>
        <v>50920</v>
      </c>
      <c r="N803" s="360">
        <f t="shared" si="9"/>
        <v>50926</v>
      </c>
      <c r="O803" s="2">
        <f t="shared" si="10"/>
        <v>0</v>
      </c>
      <c r="P803" s="2">
        <f t="shared" si="11"/>
        <v>0</v>
      </c>
    </row>
    <row r="804">
      <c r="A804" s="344">
        <f t="shared" si="5"/>
        <v>850</v>
      </c>
      <c r="B804" s="344">
        <f t="shared" si="6"/>
        <v>90</v>
      </c>
      <c r="C804" s="369"/>
      <c r="D804" s="389" t="str">
        <f t="shared" si="7"/>
        <v>Saturday</v>
      </c>
      <c r="E804" s="344" t="s">
        <v>162</v>
      </c>
      <c r="F804" s="370"/>
      <c r="G804" s="370"/>
      <c r="H804" s="357">
        <f t="shared" si="29"/>
        <v>0</v>
      </c>
      <c r="I804" s="346">
        <f t="shared" si="31"/>
        <v>0</v>
      </c>
      <c r="J804" s="354" t="s">
        <v>636</v>
      </c>
      <c r="M804" s="360">
        <f t="shared" si="12"/>
        <v>50927</v>
      </c>
      <c r="N804" s="360">
        <f t="shared" si="9"/>
        <v>50933</v>
      </c>
      <c r="O804" s="2">
        <f t="shared" si="10"/>
        <v>0</v>
      </c>
      <c r="P804" s="2">
        <f t="shared" si="11"/>
        <v>0</v>
      </c>
    </row>
    <row r="805">
      <c r="A805" s="344">
        <f t="shared" si="5"/>
        <v>850</v>
      </c>
      <c r="B805" s="344">
        <f t="shared" si="6"/>
        <v>90</v>
      </c>
      <c r="C805" s="369"/>
      <c r="D805" s="389" t="str">
        <f t="shared" si="7"/>
        <v>Saturday</v>
      </c>
      <c r="E805" s="344" t="s">
        <v>162</v>
      </c>
      <c r="F805" s="370"/>
      <c r="G805" s="370"/>
      <c r="H805" s="357">
        <f t="shared" si="29"/>
        <v>0</v>
      </c>
      <c r="I805" s="346">
        <f t="shared" si="31"/>
        <v>0</v>
      </c>
      <c r="J805" s="354" t="s">
        <v>636</v>
      </c>
      <c r="M805" s="360">
        <f t="shared" si="12"/>
        <v>50934</v>
      </c>
      <c r="N805" s="360">
        <f t="shared" si="9"/>
        <v>50940</v>
      </c>
      <c r="O805" s="2">
        <f t="shared" si="10"/>
        <v>0</v>
      </c>
      <c r="P805" s="2">
        <f t="shared" si="11"/>
        <v>0</v>
      </c>
    </row>
    <row r="806">
      <c r="A806" s="344">
        <f t="shared" si="5"/>
        <v>850</v>
      </c>
      <c r="B806" s="344">
        <f t="shared" si="6"/>
        <v>90</v>
      </c>
      <c r="C806" s="369"/>
      <c r="D806" s="389" t="str">
        <f t="shared" si="7"/>
        <v>Saturday</v>
      </c>
      <c r="E806" s="344" t="s">
        <v>162</v>
      </c>
      <c r="F806" s="370"/>
      <c r="G806" s="370"/>
      <c r="H806" s="357">
        <f t="shared" si="29"/>
        <v>0</v>
      </c>
      <c r="I806" s="346">
        <f t="shared" si="31"/>
        <v>0</v>
      </c>
      <c r="J806" s="354" t="s">
        <v>636</v>
      </c>
      <c r="M806" s="360">
        <f t="shared" si="12"/>
        <v>50941</v>
      </c>
      <c r="N806" s="360">
        <f t="shared" si="9"/>
        <v>50947</v>
      </c>
      <c r="O806" s="2">
        <f t="shared" si="10"/>
        <v>0</v>
      </c>
      <c r="P806" s="2">
        <f t="shared" si="11"/>
        <v>0</v>
      </c>
    </row>
    <row r="807">
      <c r="A807" s="344">
        <f t="shared" si="5"/>
        <v>850</v>
      </c>
      <c r="B807" s="344">
        <f t="shared" si="6"/>
        <v>90</v>
      </c>
      <c r="C807" s="369"/>
      <c r="D807" s="389" t="str">
        <f t="shared" si="7"/>
        <v>Saturday</v>
      </c>
      <c r="E807" s="344" t="s">
        <v>162</v>
      </c>
      <c r="F807" s="370"/>
      <c r="G807" s="370"/>
      <c r="H807" s="357">
        <f t="shared" si="29"/>
        <v>0</v>
      </c>
      <c r="I807" s="346">
        <f t="shared" si="31"/>
        <v>0</v>
      </c>
      <c r="J807" s="354" t="s">
        <v>636</v>
      </c>
      <c r="M807" s="360">
        <f t="shared" si="12"/>
        <v>50948</v>
      </c>
      <c r="N807" s="360">
        <f t="shared" si="9"/>
        <v>50954</v>
      </c>
      <c r="O807" s="2">
        <f t="shared" si="10"/>
        <v>0</v>
      </c>
      <c r="P807" s="2">
        <f t="shared" si="11"/>
        <v>0</v>
      </c>
    </row>
    <row r="808">
      <c r="A808" s="344">
        <f t="shared" si="5"/>
        <v>850</v>
      </c>
      <c r="B808" s="344">
        <f t="shared" si="6"/>
        <v>90</v>
      </c>
      <c r="C808" s="369"/>
      <c r="D808" s="389" t="str">
        <f t="shared" si="7"/>
        <v>Saturday</v>
      </c>
      <c r="E808" s="344" t="s">
        <v>162</v>
      </c>
      <c r="F808" s="370"/>
      <c r="G808" s="370"/>
      <c r="H808" s="357">
        <f t="shared" si="29"/>
        <v>0</v>
      </c>
      <c r="I808" s="346">
        <f t="shared" si="31"/>
        <v>0</v>
      </c>
      <c r="J808" s="354" t="s">
        <v>636</v>
      </c>
      <c r="M808" s="360">
        <f t="shared" si="12"/>
        <v>50955</v>
      </c>
      <c r="N808" s="360">
        <f t="shared" si="9"/>
        <v>50961</v>
      </c>
      <c r="O808" s="2">
        <f t="shared" si="10"/>
        <v>0</v>
      </c>
      <c r="P808" s="2">
        <f t="shared" si="11"/>
        <v>0</v>
      </c>
    </row>
    <row r="809">
      <c r="A809" s="344">
        <f t="shared" si="5"/>
        <v>850</v>
      </c>
      <c r="B809" s="344">
        <f t="shared" si="6"/>
        <v>90</v>
      </c>
      <c r="C809" s="369"/>
      <c r="D809" s="389" t="str">
        <f t="shared" si="7"/>
        <v>Saturday</v>
      </c>
      <c r="E809" s="344" t="s">
        <v>162</v>
      </c>
      <c r="F809" s="370"/>
      <c r="G809" s="370"/>
      <c r="H809" s="357">
        <f t="shared" si="29"/>
        <v>0</v>
      </c>
      <c r="I809" s="346">
        <f t="shared" si="31"/>
        <v>0</v>
      </c>
      <c r="J809" s="354" t="s">
        <v>636</v>
      </c>
      <c r="M809" s="360">
        <f t="shared" si="12"/>
        <v>50962</v>
      </c>
      <c r="N809" s="360">
        <f t="shared" si="9"/>
        <v>50968</v>
      </c>
      <c r="O809" s="2">
        <f t="shared" si="10"/>
        <v>0</v>
      </c>
      <c r="P809" s="2">
        <f t="shared" si="11"/>
        <v>0</v>
      </c>
    </row>
    <row r="810">
      <c r="A810" s="344">
        <f t="shared" si="5"/>
        <v>850</v>
      </c>
      <c r="B810" s="344">
        <f t="shared" si="6"/>
        <v>90</v>
      </c>
      <c r="C810" s="369"/>
      <c r="D810" s="389" t="str">
        <f t="shared" si="7"/>
        <v>Saturday</v>
      </c>
      <c r="E810" s="344" t="s">
        <v>162</v>
      </c>
      <c r="F810" s="370"/>
      <c r="G810" s="370"/>
      <c r="H810" s="357">
        <f t="shared" si="29"/>
        <v>0</v>
      </c>
      <c r="I810" s="346">
        <f t="shared" si="31"/>
        <v>0</v>
      </c>
      <c r="J810" s="354" t="s">
        <v>636</v>
      </c>
      <c r="M810" s="360">
        <f t="shared" si="12"/>
        <v>50969</v>
      </c>
      <c r="N810" s="360">
        <f t="shared" si="9"/>
        <v>50975</v>
      </c>
      <c r="O810" s="2">
        <f t="shared" si="10"/>
        <v>0</v>
      </c>
      <c r="P810" s="2">
        <f t="shared" si="11"/>
        <v>0</v>
      </c>
    </row>
    <row r="811">
      <c r="A811" s="344">
        <f t="shared" si="5"/>
        <v>850</v>
      </c>
      <c r="B811" s="344">
        <f t="shared" si="6"/>
        <v>90</v>
      </c>
      <c r="C811" s="369"/>
      <c r="D811" s="389" t="str">
        <f t="shared" si="7"/>
        <v>Saturday</v>
      </c>
      <c r="E811" s="344" t="s">
        <v>162</v>
      </c>
      <c r="F811" s="370"/>
      <c r="G811" s="370"/>
      <c r="H811" s="357">
        <f t="shared" si="29"/>
        <v>0</v>
      </c>
      <c r="I811" s="346">
        <f t="shared" si="31"/>
        <v>0</v>
      </c>
      <c r="J811" s="354" t="s">
        <v>636</v>
      </c>
      <c r="M811" s="360">
        <f t="shared" si="12"/>
        <v>50976</v>
      </c>
      <c r="N811" s="360">
        <f t="shared" si="9"/>
        <v>50982</v>
      </c>
      <c r="O811" s="2">
        <f t="shared" si="10"/>
        <v>0</v>
      </c>
      <c r="P811" s="2">
        <f t="shared" si="11"/>
        <v>0</v>
      </c>
    </row>
    <row r="812">
      <c r="A812" s="344">
        <f t="shared" si="5"/>
        <v>850</v>
      </c>
      <c r="B812" s="344">
        <f t="shared" si="6"/>
        <v>90</v>
      </c>
      <c r="C812" s="369"/>
      <c r="D812" s="389" t="str">
        <f t="shared" si="7"/>
        <v>Saturday</v>
      </c>
      <c r="E812" s="344" t="s">
        <v>162</v>
      </c>
      <c r="F812" s="370"/>
      <c r="G812" s="370"/>
      <c r="H812" s="357">
        <f t="shared" si="29"/>
        <v>0</v>
      </c>
      <c r="I812" s="346">
        <f t="shared" si="31"/>
        <v>0</v>
      </c>
      <c r="J812" s="354" t="s">
        <v>636</v>
      </c>
      <c r="M812" s="360">
        <f t="shared" si="12"/>
        <v>50983</v>
      </c>
      <c r="N812" s="360">
        <f t="shared" si="9"/>
        <v>50989</v>
      </c>
      <c r="O812" s="2">
        <f t="shared" si="10"/>
        <v>0</v>
      </c>
      <c r="P812" s="2">
        <f t="shared" si="11"/>
        <v>0</v>
      </c>
    </row>
    <row r="813">
      <c r="A813" s="344">
        <f t="shared" si="5"/>
        <v>850</v>
      </c>
      <c r="B813" s="344">
        <f t="shared" si="6"/>
        <v>90</v>
      </c>
      <c r="C813" s="369"/>
      <c r="D813" s="389" t="str">
        <f t="shared" si="7"/>
        <v>Saturday</v>
      </c>
      <c r="E813" s="344" t="s">
        <v>162</v>
      </c>
      <c r="F813" s="370"/>
      <c r="G813" s="370"/>
      <c r="H813" s="357">
        <f t="shared" si="29"/>
        <v>0</v>
      </c>
      <c r="I813" s="346">
        <f t="shared" si="31"/>
        <v>0</v>
      </c>
      <c r="J813" s="354" t="s">
        <v>636</v>
      </c>
      <c r="M813" s="360">
        <f t="shared" si="12"/>
        <v>50990</v>
      </c>
      <c r="N813" s="360">
        <f t="shared" si="9"/>
        <v>50996</v>
      </c>
      <c r="O813" s="2">
        <f t="shared" si="10"/>
        <v>0</v>
      </c>
      <c r="P813" s="2">
        <f t="shared" si="11"/>
        <v>0</v>
      </c>
    </row>
    <row r="814">
      <c r="A814" s="344">
        <f t="shared" si="5"/>
        <v>850</v>
      </c>
      <c r="B814" s="344">
        <f t="shared" si="6"/>
        <v>90</v>
      </c>
      <c r="C814" s="369"/>
      <c r="D814" s="389" t="str">
        <f t="shared" si="7"/>
        <v>Saturday</v>
      </c>
      <c r="E814" s="344" t="s">
        <v>162</v>
      </c>
      <c r="F814" s="370"/>
      <c r="G814" s="370"/>
      <c r="H814" s="357">
        <f t="shared" si="29"/>
        <v>0</v>
      </c>
      <c r="I814" s="346">
        <f t="shared" si="31"/>
        <v>0</v>
      </c>
      <c r="J814" s="354" t="s">
        <v>636</v>
      </c>
      <c r="M814" s="360">
        <f t="shared" si="12"/>
        <v>50997</v>
      </c>
      <c r="N814" s="360">
        <f t="shared" si="9"/>
        <v>51003</v>
      </c>
      <c r="O814" s="2">
        <f t="shared" si="10"/>
        <v>0</v>
      </c>
      <c r="P814" s="2">
        <f t="shared" si="11"/>
        <v>0</v>
      </c>
    </row>
    <row r="815">
      <c r="A815" s="344">
        <f t="shared" si="5"/>
        <v>850</v>
      </c>
      <c r="B815" s="344">
        <f t="shared" si="6"/>
        <v>90</v>
      </c>
      <c r="C815" s="369"/>
      <c r="D815" s="389" t="str">
        <f t="shared" si="7"/>
        <v>Saturday</v>
      </c>
      <c r="E815" s="344" t="s">
        <v>162</v>
      </c>
      <c r="F815" s="370"/>
      <c r="G815" s="370"/>
      <c r="H815" s="357">
        <f t="shared" si="29"/>
        <v>0</v>
      </c>
      <c r="I815" s="346">
        <f t="shared" si="31"/>
        <v>0</v>
      </c>
      <c r="J815" s="354" t="s">
        <v>636</v>
      </c>
      <c r="M815" s="360">
        <f t="shared" si="12"/>
        <v>51004</v>
      </c>
      <c r="N815" s="360">
        <f t="shared" si="9"/>
        <v>51010</v>
      </c>
      <c r="O815" s="2">
        <f t="shared" si="10"/>
        <v>0</v>
      </c>
      <c r="P815" s="2">
        <f t="shared" si="11"/>
        <v>0</v>
      </c>
    </row>
    <row r="816">
      <c r="A816" s="344">
        <f t="shared" si="5"/>
        <v>850</v>
      </c>
      <c r="B816" s="344">
        <f t="shared" si="6"/>
        <v>90</v>
      </c>
      <c r="C816" s="369"/>
      <c r="D816" s="389" t="str">
        <f t="shared" si="7"/>
        <v>Saturday</v>
      </c>
      <c r="E816" s="344" t="s">
        <v>162</v>
      </c>
      <c r="F816" s="370"/>
      <c r="G816" s="370"/>
      <c r="H816" s="357">
        <f t="shared" si="29"/>
        <v>0</v>
      </c>
      <c r="I816" s="346">
        <f t="shared" si="31"/>
        <v>0</v>
      </c>
      <c r="J816" s="354" t="s">
        <v>636</v>
      </c>
      <c r="M816" s="360">
        <f t="shared" si="12"/>
        <v>51011</v>
      </c>
      <c r="N816" s="360">
        <f t="shared" si="9"/>
        <v>51017</v>
      </c>
      <c r="O816" s="2">
        <f t="shared" si="10"/>
        <v>0</v>
      </c>
      <c r="P816" s="2">
        <f t="shared" si="11"/>
        <v>0</v>
      </c>
    </row>
    <row r="817">
      <c r="A817" s="344">
        <f t="shared" si="5"/>
        <v>850</v>
      </c>
      <c r="B817" s="344">
        <f t="shared" si="6"/>
        <v>90</v>
      </c>
      <c r="C817" s="369"/>
      <c r="D817" s="389" t="str">
        <f t="shared" si="7"/>
        <v>Saturday</v>
      </c>
      <c r="E817" s="344" t="s">
        <v>162</v>
      </c>
      <c r="F817" s="370"/>
      <c r="G817" s="370"/>
      <c r="H817" s="357">
        <f t="shared" si="29"/>
        <v>0</v>
      </c>
      <c r="I817" s="346">
        <f t="shared" si="31"/>
        <v>0</v>
      </c>
      <c r="J817" s="354" t="s">
        <v>636</v>
      </c>
      <c r="M817" s="360">
        <f t="shared" si="12"/>
        <v>51018</v>
      </c>
      <c r="N817" s="360">
        <f t="shared" si="9"/>
        <v>51024</v>
      </c>
      <c r="O817" s="2">
        <f t="shared" si="10"/>
        <v>0</v>
      </c>
      <c r="P817" s="2">
        <f t="shared" si="11"/>
        <v>0</v>
      </c>
    </row>
    <row r="818">
      <c r="A818" s="344">
        <f t="shared" si="5"/>
        <v>850</v>
      </c>
      <c r="B818" s="344">
        <f t="shared" si="6"/>
        <v>90</v>
      </c>
      <c r="C818" s="369"/>
      <c r="D818" s="389" t="str">
        <f t="shared" si="7"/>
        <v>Saturday</v>
      </c>
      <c r="E818" s="344" t="s">
        <v>162</v>
      </c>
      <c r="F818" s="370"/>
      <c r="G818" s="370"/>
      <c r="H818" s="357">
        <f t="shared" si="29"/>
        <v>0</v>
      </c>
      <c r="I818" s="346">
        <f t="shared" si="31"/>
        <v>0</v>
      </c>
      <c r="J818" s="354" t="s">
        <v>636</v>
      </c>
      <c r="M818" s="360">
        <f t="shared" si="12"/>
        <v>51025</v>
      </c>
      <c r="N818" s="360">
        <f t="shared" si="9"/>
        <v>51031</v>
      </c>
      <c r="O818" s="2">
        <f t="shared" si="10"/>
        <v>0</v>
      </c>
      <c r="P818" s="2">
        <f t="shared" si="11"/>
        <v>0</v>
      </c>
    </row>
    <row r="819">
      <c r="A819" s="344">
        <f t="shared" si="5"/>
        <v>850</v>
      </c>
      <c r="B819" s="344">
        <f t="shared" si="6"/>
        <v>90</v>
      </c>
      <c r="C819" s="369"/>
      <c r="D819" s="389" t="str">
        <f t="shared" si="7"/>
        <v>Saturday</v>
      </c>
      <c r="E819" s="344" t="s">
        <v>162</v>
      </c>
      <c r="F819" s="370"/>
      <c r="G819" s="370"/>
      <c r="H819" s="357">
        <f t="shared" si="29"/>
        <v>0</v>
      </c>
      <c r="I819" s="346">
        <f t="shared" si="31"/>
        <v>0</v>
      </c>
      <c r="J819" s="354" t="s">
        <v>636</v>
      </c>
      <c r="M819" s="360">
        <f t="shared" si="12"/>
        <v>51032</v>
      </c>
      <c r="N819" s="360">
        <f t="shared" si="9"/>
        <v>51038</v>
      </c>
      <c r="O819" s="2">
        <f t="shared" si="10"/>
        <v>0</v>
      </c>
      <c r="P819" s="2">
        <f t="shared" si="11"/>
        <v>0</v>
      </c>
    </row>
    <row r="820">
      <c r="A820" s="344">
        <f t="shared" si="5"/>
        <v>850</v>
      </c>
      <c r="B820" s="344">
        <f t="shared" si="6"/>
        <v>90</v>
      </c>
      <c r="C820" s="369"/>
      <c r="D820" s="389" t="str">
        <f t="shared" si="7"/>
        <v>Saturday</v>
      </c>
      <c r="E820" s="344" t="s">
        <v>162</v>
      </c>
      <c r="F820" s="370"/>
      <c r="G820" s="370"/>
      <c r="H820" s="357">
        <f t="shared" si="29"/>
        <v>0</v>
      </c>
      <c r="I820" s="346">
        <f t="shared" si="31"/>
        <v>0</v>
      </c>
      <c r="J820" s="354" t="s">
        <v>636</v>
      </c>
      <c r="M820" s="360">
        <f t="shared" si="12"/>
        <v>51039</v>
      </c>
      <c r="N820" s="360">
        <f t="shared" si="9"/>
        <v>51045</v>
      </c>
      <c r="O820" s="2">
        <f t="shared" si="10"/>
        <v>0</v>
      </c>
      <c r="P820" s="2">
        <f t="shared" si="11"/>
        <v>0</v>
      </c>
    </row>
    <row r="821">
      <c r="A821" s="344">
        <f t="shared" si="5"/>
        <v>850</v>
      </c>
      <c r="B821" s="344">
        <f t="shared" si="6"/>
        <v>90</v>
      </c>
      <c r="C821" s="369"/>
      <c r="D821" s="389" t="str">
        <f t="shared" si="7"/>
        <v>Saturday</v>
      </c>
      <c r="E821" s="344" t="s">
        <v>162</v>
      </c>
      <c r="F821" s="370"/>
      <c r="G821" s="370"/>
      <c r="H821" s="357">
        <f t="shared" si="29"/>
        <v>0</v>
      </c>
      <c r="I821" s="346">
        <f t="shared" si="31"/>
        <v>0</v>
      </c>
      <c r="J821" s="354" t="s">
        <v>636</v>
      </c>
      <c r="M821" s="360">
        <f t="shared" si="12"/>
        <v>51046</v>
      </c>
      <c r="N821" s="360">
        <f t="shared" si="9"/>
        <v>51052</v>
      </c>
      <c r="O821" s="2">
        <f t="shared" si="10"/>
        <v>0</v>
      </c>
      <c r="P821" s="2">
        <f t="shared" si="11"/>
        <v>0</v>
      </c>
    </row>
    <row r="822">
      <c r="A822" s="344">
        <f t="shared" si="5"/>
        <v>850</v>
      </c>
      <c r="B822" s="344">
        <f t="shared" si="6"/>
        <v>90</v>
      </c>
      <c r="C822" s="369"/>
      <c r="D822" s="389" t="str">
        <f t="shared" si="7"/>
        <v>Saturday</v>
      </c>
      <c r="E822" s="344" t="s">
        <v>162</v>
      </c>
      <c r="F822" s="370"/>
      <c r="G822" s="370"/>
      <c r="H822" s="357">
        <f t="shared" si="29"/>
        <v>0</v>
      </c>
      <c r="I822" s="346">
        <f t="shared" si="31"/>
        <v>0</v>
      </c>
      <c r="J822" s="354" t="s">
        <v>636</v>
      </c>
      <c r="M822" s="360">
        <f t="shared" si="12"/>
        <v>51053</v>
      </c>
      <c r="N822" s="360">
        <f t="shared" si="9"/>
        <v>51059</v>
      </c>
      <c r="O822" s="2">
        <f t="shared" si="10"/>
        <v>0</v>
      </c>
      <c r="P822" s="2">
        <f t="shared" si="11"/>
        <v>0</v>
      </c>
    </row>
    <row r="823">
      <c r="A823" s="344">
        <f t="shared" si="5"/>
        <v>850</v>
      </c>
      <c r="B823" s="344">
        <f t="shared" si="6"/>
        <v>90</v>
      </c>
      <c r="C823" s="369"/>
      <c r="D823" s="389" t="str">
        <f t="shared" si="7"/>
        <v>Saturday</v>
      </c>
      <c r="E823" s="344" t="s">
        <v>162</v>
      </c>
      <c r="F823" s="370"/>
      <c r="G823" s="370"/>
      <c r="H823" s="357">
        <f t="shared" si="29"/>
        <v>0</v>
      </c>
      <c r="I823" s="346">
        <f t="shared" si="31"/>
        <v>0</v>
      </c>
      <c r="J823" s="354" t="s">
        <v>636</v>
      </c>
      <c r="M823" s="360">
        <f t="shared" si="12"/>
        <v>51060</v>
      </c>
      <c r="N823" s="360">
        <f t="shared" si="9"/>
        <v>51066</v>
      </c>
      <c r="O823" s="2">
        <f t="shared" si="10"/>
        <v>0</v>
      </c>
      <c r="P823" s="2">
        <f t="shared" si="11"/>
        <v>0</v>
      </c>
    </row>
    <row r="824">
      <c r="A824" s="344">
        <f t="shared" si="5"/>
        <v>850</v>
      </c>
      <c r="B824" s="344">
        <f t="shared" si="6"/>
        <v>90</v>
      </c>
      <c r="C824" s="369"/>
      <c r="D824" s="389" t="str">
        <f t="shared" si="7"/>
        <v>Saturday</v>
      </c>
      <c r="E824" s="344" t="s">
        <v>162</v>
      </c>
      <c r="F824" s="370"/>
      <c r="G824" s="370"/>
      <c r="H824" s="357">
        <f t="shared" si="29"/>
        <v>0</v>
      </c>
      <c r="I824" s="346">
        <f t="shared" si="31"/>
        <v>0</v>
      </c>
      <c r="J824" s="354" t="s">
        <v>636</v>
      </c>
      <c r="M824" s="360">
        <f t="shared" si="12"/>
        <v>51067</v>
      </c>
      <c r="N824" s="360">
        <f t="shared" si="9"/>
        <v>51073</v>
      </c>
      <c r="O824" s="2">
        <f t="shared" si="10"/>
        <v>0</v>
      </c>
      <c r="P824" s="2">
        <f t="shared" si="11"/>
        <v>0</v>
      </c>
    </row>
    <row r="825">
      <c r="A825" s="344">
        <f t="shared" si="5"/>
        <v>850</v>
      </c>
      <c r="B825" s="344">
        <f t="shared" si="6"/>
        <v>90</v>
      </c>
      <c r="C825" s="369"/>
      <c r="D825" s="389" t="str">
        <f t="shared" si="7"/>
        <v>Saturday</v>
      </c>
      <c r="E825" s="344" t="s">
        <v>162</v>
      </c>
      <c r="F825" s="370"/>
      <c r="G825" s="370"/>
      <c r="H825" s="357">
        <f t="shared" si="29"/>
        <v>0</v>
      </c>
      <c r="I825" s="346">
        <f t="shared" si="31"/>
        <v>0</v>
      </c>
      <c r="J825" s="354" t="s">
        <v>636</v>
      </c>
      <c r="M825" s="360">
        <f t="shared" si="12"/>
        <v>51074</v>
      </c>
      <c r="N825" s="360">
        <f t="shared" si="9"/>
        <v>51080</v>
      </c>
      <c r="O825" s="2">
        <f t="shared" si="10"/>
        <v>0</v>
      </c>
      <c r="P825" s="2">
        <f t="shared" si="11"/>
        <v>0</v>
      </c>
    </row>
    <row r="826">
      <c r="A826" s="344">
        <f t="shared" si="5"/>
        <v>850</v>
      </c>
      <c r="B826" s="344">
        <f t="shared" si="6"/>
        <v>90</v>
      </c>
      <c r="C826" s="369"/>
      <c r="D826" s="389" t="str">
        <f t="shared" si="7"/>
        <v>Saturday</v>
      </c>
      <c r="E826" s="344" t="s">
        <v>162</v>
      </c>
      <c r="F826" s="370"/>
      <c r="G826" s="370"/>
      <c r="H826" s="357">
        <f t="shared" si="29"/>
        <v>0</v>
      </c>
      <c r="I826" s="346">
        <f t="shared" si="31"/>
        <v>0</v>
      </c>
      <c r="J826" s="354" t="s">
        <v>636</v>
      </c>
      <c r="M826" s="360">
        <f t="shared" si="12"/>
        <v>51081</v>
      </c>
      <c r="N826" s="360">
        <f t="shared" si="9"/>
        <v>51087</v>
      </c>
      <c r="O826" s="2">
        <f t="shared" si="10"/>
        <v>0</v>
      </c>
      <c r="P826" s="2">
        <f t="shared" si="11"/>
        <v>0</v>
      </c>
    </row>
    <row r="827">
      <c r="A827" s="344">
        <f t="shared" si="5"/>
        <v>850</v>
      </c>
      <c r="B827" s="344">
        <f t="shared" si="6"/>
        <v>90</v>
      </c>
      <c r="C827" s="369"/>
      <c r="D827" s="389" t="str">
        <f t="shared" si="7"/>
        <v>Saturday</v>
      </c>
      <c r="E827" s="344" t="s">
        <v>162</v>
      </c>
      <c r="F827" s="370"/>
      <c r="G827" s="370"/>
      <c r="H827" s="357">
        <f t="shared" si="29"/>
        <v>0</v>
      </c>
      <c r="I827" s="346">
        <f t="shared" si="31"/>
        <v>0</v>
      </c>
      <c r="J827" s="354" t="s">
        <v>636</v>
      </c>
      <c r="M827" s="360">
        <f t="shared" si="12"/>
        <v>51088</v>
      </c>
      <c r="N827" s="360">
        <f t="shared" si="9"/>
        <v>51094</v>
      </c>
      <c r="O827" s="2">
        <f t="shared" si="10"/>
        <v>0</v>
      </c>
      <c r="P827" s="2">
        <f t="shared" si="11"/>
        <v>0</v>
      </c>
    </row>
    <row r="828">
      <c r="A828" s="344">
        <f t="shared" si="5"/>
        <v>850</v>
      </c>
      <c r="B828" s="344">
        <f t="shared" si="6"/>
        <v>90</v>
      </c>
      <c r="C828" s="369"/>
      <c r="D828" s="389" t="str">
        <f t="shared" si="7"/>
        <v>Saturday</v>
      </c>
      <c r="E828" s="344" t="s">
        <v>162</v>
      </c>
      <c r="F828" s="370"/>
      <c r="G828" s="370"/>
      <c r="H828" s="357">
        <f t="shared" si="29"/>
        <v>0</v>
      </c>
      <c r="I828" s="346">
        <f t="shared" si="31"/>
        <v>0</v>
      </c>
      <c r="J828" s="354" t="s">
        <v>636</v>
      </c>
      <c r="M828" s="360">
        <f t="shared" si="12"/>
        <v>51095</v>
      </c>
      <c r="N828" s="360">
        <f t="shared" si="9"/>
        <v>51101</v>
      </c>
      <c r="O828" s="2">
        <f t="shared" si="10"/>
        <v>0</v>
      </c>
      <c r="P828" s="2">
        <f t="shared" si="11"/>
        <v>0</v>
      </c>
    </row>
    <row r="829">
      <c r="A829" s="344">
        <f t="shared" si="5"/>
        <v>850</v>
      </c>
      <c r="B829" s="344">
        <f t="shared" si="6"/>
        <v>90</v>
      </c>
      <c r="C829" s="369"/>
      <c r="D829" s="389" t="str">
        <f t="shared" si="7"/>
        <v>Saturday</v>
      </c>
      <c r="E829" s="344" t="s">
        <v>162</v>
      </c>
      <c r="F829" s="370"/>
      <c r="G829" s="370"/>
      <c r="H829" s="357">
        <f t="shared" si="29"/>
        <v>0</v>
      </c>
      <c r="I829" s="346">
        <f t="shared" si="31"/>
        <v>0</v>
      </c>
      <c r="J829" s="354" t="s">
        <v>636</v>
      </c>
      <c r="M829" s="360">
        <f t="shared" si="12"/>
        <v>51102</v>
      </c>
      <c r="N829" s="360">
        <f t="shared" si="9"/>
        <v>51108</v>
      </c>
      <c r="O829" s="2">
        <f t="shared" si="10"/>
        <v>0</v>
      </c>
      <c r="P829" s="2">
        <f t="shared" si="11"/>
        <v>0</v>
      </c>
    </row>
    <row r="830">
      <c r="A830" s="344">
        <f t="shared" si="5"/>
        <v>850</v>
      </c>
      <c r="B830" s="344">
        <f t="shared" si="6"/>
        <v>90</v>
      </c>
      <c r="C830" s="369"/>
      <c r="D830" s="389" t="str">
        <f t="shared" si="7"/>
        <v>Saturday</v>
      </c>
      <c r="E830" s="344" t="s">
        <v>162</v>
      </c>
      <c r="F830" s="370"/>
      <c r="G830" s="370"/>
      <c r="H830" s="357">
        <f t="shared" si="29"/>
        <v>0</v>
      </c>
      <c r="I830" s="346">
        <f t="shared" si="31"/>
        <v>0</v>
      </c>
      <c r="J830" s="354" t="s">
        <v>636</v>
      </c>
      <c r="M830" s="360">
        <f t="shared" si="12"/>
        <v>51109</v>
      </c>
      <c r="N830" s="360">
        <f t="shared" si="9"/>
        <v>51115</v>
      </c>
      <c r="O830" s="2">
        <f t="shared" si="10"/>
        <v>0</v>
      </c>
      <c r="P830" s="2">
        <f t="shared" si="11"/>
        <v>0</v>
      </c>
    </row>
    <row r="831">
      <c r="A831" s="344">
        <f t="shared" si="5"/>
        <v>850</v>
      </c>
      <c r="B831" s="344">
        <f t="shared" si="6"/>
        <v>90</v>
      </c>
      <c r="C831" s="369"/>
      <c r="D831" s="389" t="str">
        <f t="shared" si="7"/>
        <v>Saturday</v>
      </c>
      <c r="E831" s="344" t="s">
        <v>162</v>
      </c>
      <c r="F831" s="370"/>
      <c r="G831" s="370"/>
      <c r="H831" s="357">
        <f t="shared" si="29"/>
        <v>0</v>
      </c>
      <c r="I831" s="346">
        <f t="shared" si="31"/>
        <v>0</v>
      </c>
      <c r="J831" s="354" t="s">
        <v>636</v>
      </c>
      <c r="M831" s="360">
        <f t="shared" si="12"/>
        <v>51116</v>
      </c>
      <c r="N831" s="360">
        <f t="shared" si="9"/>
        <v>51122</v>
      </c>
      <c r="O831" s="2">
        <f t="shared" si="10"/>
        <v>0</v>
      </c>
      <c r="P831" s="2">
        <f t="shared" si="11"/>
        <v>0</v>
      </c>
    </row>
    <row r="832">
      <c r="A832" s="344">
        <f t="shared" si="5"/>
        <v>850</v>
      </c>
      <c r="B832" s="344">
        <f t="shared" si="6"/>
        <v>90</v>
      </c>
      <c r="C832" s="369"/>
      <c r="D832" s="389" t="str">
        <f t="shared" si="7"/>
        <v>Saturday</v>
      </c>
      <c r="E832" s="344" t="s">
        <v>162</v>
      </c>
      <c r="F832" s="370"/>
      <c r="G832" s="370"/>
      <c r="H832" s="357">
        <f t="shared" si="29"/>
        <v>0</v>
      </c>
      <c r="I832" s="346">
        <f t="shared" si="31"/>
        <v>0</v>
      </c>
      <c r="J832" s="354" t="s">
        <v>636</v>
      </c>
      <c r="M832" s="360">
        <f t="shared" si="12"/>
        <v>51123</v>
      </c>
      <c r="N832" s="360">
        <f t="shared" si="9"/>
        <v>51129</v>
      </c>
      <c r="O832" s="2">
        <f t="shared" si="10"/>
        <v>0</v>
      </c>
      <c r="P832" s="2">
        <f t="shared" si="11"/>
        <v>0</v>
      </c>
    </row>
    <row r="833">
      <c r="A833" s="344">
        <f t="shared" si="5"/>
        <v>850</v>
      </c>
      <c r="B833" s="344">
        <f t="shared" si="6"/>
        <v>90</v>
      </c>
      <c r="C833" s="369"/>
      <c r="D833" s="389" t="str">
        <f t="shared" si="7"/>
        <v>Saturday</v>
      </c>
      <c r="E833" s="344" t="s">
        <v>162</v>
      </c>
      <c r="F833" s="370"/>
      <c r="G833" s="370"/>
      <c r="H833" s="357">
        <f t="shared" si="29"/>
        <v>0</v>
      </c>
      <c r="I833" s="346">
        <f t="shared" si="31"/>
        <v>0</v>
      </c>
      <c r="J833" s="354" t="s">
        <v>636</v>
      </c>
      <c r="M833" s="360">
        <f t="shared" si="12"/>
        <v>51130</v>
      </c>
      <c r="N833" s="360">
        <f t="shared" si="9"/>
        <v>51136</v>
      </c>
      <c r="O833" s="2">
        <f t="shared" si="10"/>
        <v>0</v>
      </c>
      <c r="P833" s="2">
        <f t="shared" si="11"/>
        <v>0</v>
      </c>
    </row>
    <row r="834">
      <c r="A834" s="344">
        <f t="shared" si="5"/>
        <v>850</v>
      </c>
      <c r="B834" s="344">
        <f t="shared" si="6"/>
        <v>90</v>
      </c>
      <c r="C834" s="369"/>
      <c r="D834" s="389" t="str">
        <f t="shared" si="7"/>
        <v>Saturday</v>
      </c>
      <c r="E834" s="344" t="s">
        <v>162</v>
      </c>
      <c r="F834" s="370"/>
      <c r="G834" s="370"/>
      <c r="H834" s="357">
        <f t="shared" si="29"/>
        <v>0</v>
      </c>
      <c r="I834" s="346">
        <f t="shared" si="31"/>
        <v>0</v>
      </c>
      <c r="J834" s="354" t="s">
        <v>636</v>
      </c>
      <c r="M834" s="360">
        <f t="shared" si="12"/>
        <v>51137</v>
      </c>
      <c r="N834" s="360">
        <f t="shared" si="9"/>
        <v>51143</v>
      </c>
      <c r="O834" s="2">
        <f t="shared" si="10"/>
        <v>0</v>
      </c>
      <c r="P834" s="2">
        <f t="shared" si="11"/>
        <v>0</v>
      </c>
    </row>
    <row r="835">
      <c r="A835" s="344">
        <f t="shared" si="5"/>
        <v>850</v>
      </c>
      <c r="B835" s="344">
        <f t="shared" si="6"/>
        <v>90</v>
      </c>
      <c r="C835" s="369"/>
      <c r="D835" s="389" t="str">
        <f t="shared" si="7"/>
        <v>Saturday</v>
      </c>
      <c r="E835" s="344" t="s">
        <v>162</v>
      </c>
      <c r="F835" s="370"/>
      <c r="G835" s="370"/>
      <c r="H835" s="357">
        <f t="shared" si="29"/>
        <v>0</v>
      </c>
      <c r="I835" s="346">
        <f t="shared" si="31"/>
        <v>0</v>
      </c>
      <c r="J835" s="354" t="s">
        <v>636</v>
      </c>
      <c r="M835" s="360">
        <f t="shared" si="12"/>
        <v>51144</v>
      </c>
      <c r="N835" s="360">
        <f t="shared" si="9"/>
        <v>51150</v>
      </c>
      <c r="O835" s="2">
        <f t="shared" si="10"/>
        <v>0</v>
      </c>
      <c r="P835" s="2">
        <f t="shared" si="11"/>
        <v>0</v>
      </c>
    </row>
    <row r="836">
      <c r="A836" s="344">
        <f t="shared" si="5"/>
        <v>850</v>
      </c>
      <c r="B836" s="344">
        <f t="shared" si="6"/>
        <v>90</v>
      </c>
      <c r="C836" s="369"/>
      <c r="D836" s="389" t="str">
        <f t="shared" si="7"/>
        <v>Saturday</v>
      </c>
      <c r="E836" s="344" t="s">
        <v>162</v>
      </c>
      <c r="F836" s="370"/>
      <c r="G836" s="370"/>
      <c r="H836" s="357">
        <f t="shared" si="29"/>
        <v>0</v>
      </c>
      <c r="I836" s="346">
        <f t="shared" si="31"/>
        <v>0</v>
      </c>
      <c r="J836" s="354" t="s">
        <v>636</v>
      </c>
      <c r="M836" s="360">
        <f t="shared" si="12"/>
        <v>51151</v>
      </c>
      <c r="N836" s="360">
        <f t="shared" si="9"/>
        <v>51157</v>
      </c>
      <c r="O836" s="2">
        <f t="shared" si="10"/>
        <v>0</v>
      </c>
      <c r="P836" s="2">
        <f t="shared" si="11"/>
        <v>0</v>
      </c>
    </row>
    <row r="837">
      <c r="A837" s="344">
        <f t="shared" si="5"/>
        <v>850</v>
      </c>
      <c r="B837" s="344">
        <f t="shared" si="6"/>
        <v>90</v>
      </c>
      <c r="C837" s="369"/>
      <c r="D837" s="389" t="str">
        <f t="shared" si="7"/>
        <v>Saturday</v>
      </c>
      <c r="E837" s="344" t="s">
        <v>162</v>
      </c>
      <c r="F837" s="370"/>
      <c r="G837" s="370"/>
      <c r="H837" s="357">
        <f t="shared" si="29"/>
        <v>0</v>
      </c>
      <c r="I837" s="346">
        <f t="shared" si="31"/>
        <v>0</v>
      </c>
      <c r="J837" s="354" t="s">
        <v>636</v>
      </c>
      <c r="M837" s="360">
        <f t="shared" si="12"/>
        <v>51158</v>
      </c>
      <c r="N837" s="360">
        <f t="shared" si="9"/>
        <v>51164</v>
      </c>
      <c r="O837" s="2">
        <f t="shared" si="10"/>
        <v>0</v>
      </c>
      <c r="P837" s="2">
        <f t="shared" si="11"/>
        <v>0</v>
      </c>
    </row>
    <row r="838">
      <c r="A838" s="344">
        <f t="shared" si="5"/>
        <v>850</v>
      </c>
      <c r="B838" s="344">
        <f t="shared" si="6"/>
        <v>90</v>
      </c>
      <c r="C838" s="369"/>
      <c r="D838" s="389" t="str">
        <f t="shared" si="7"/>
        <v>Saturday</v>
      </c>
      <c r="E838" s="344" t="s">
        <v>162</v>
      </c>
      <c r="F838" s="370"/>
      <c r="G838" s="370"/>
      <c r="H838" s="357">
        <f t="shared" si="29"/>
        <v>0</v>
      </c>
      <c r="I838" s="346">
        <f t="shared" si="31"/>
        <v>0</v>
      </c>
      <c r="J838" s="354" t="s">
        <v>636</v>
      </c>
      <c r="M838" s="360">
        <f t="shared" si="12"/>
        <v>51165</v>
      </c>
      <c r="N838" s="360">
        <f t="shared" si="9"/>
        <v>51171</v>
      </c>
      <c r="O838" s="2">
        <f t="shared" si="10"/>
        <v>0</v>
      </c>
      <c r="P838" s="2">
        <f t="shared" si="11"/>
        <v>0</v>
      </c>
    </row>
    <row r="839">
      <c r="A839" s="344">
        <f t="shared" si="5"/>
        <v>850</v>
      </c>
      <c r="B839" s="344">
        <f t="shared" si="6"/>
        <v>90</v>
      </c>
      <c r="C839" s="369"/>
      <c r="D839" s="389" t="str">
        <f t="shared" si="7"/>
        <v>Saturday</v>
      </c>
      <c r="E839" s="344" t="s">
        <v>162</v>
      </c>
      <c r="F839" s="370"/>
      <c r="G839" s="370"/>
      <c r="H839" s="357">
        <f t="shared" si="29"/>
        <v>0</v>
      </c>
      <c r="I839" s="346">
        <f t="shared" si="31"/>
        <v>0</v>
      </c>
      <c r="J839" s="354" t="s">
        <v>636</v>
      </c>
      <c r="M839" s="360">
        <f t="shared" si="12"/>
        <v>51172</v>
      </c>
      <c r="N839" s="360">
        <f t="shared" si="9"/>
        <v>51178</v>
      </c>
      <c r="O839" s="2">
        <f t="shared" si="10"/>
        <v>0</v>
      </c>
      <c r="P839" s="2">
        <f t="shared" si="11"/>
        <v>0</v>
      </c>
    </row>
    <row r="840">
      <c r="A840" s="344">
        <f t="shared" si="5"/>
        <v>850</v>
      </c>
      <c r="B840" s="344">
        <f t="shared" si="6"/>
        <v>90</v>
      </c>
      <c r="C840" s="369"/>
      <c r="D840" s="389" t="str">
        <f t="shared" si="7"/>
        <v>Saturday</v>
      </c>
      <c r="E840" s="344" t="s">
        <v>162</v>
      </c>
      <c r="F840" s="370"/>
      <c r="G840" s="370"/>
      <c r="H840" s="357">
        <f t="shared" si="29"/>
        <v>0</v>
      </c>
      <c r="I840" s="346">
        <f t="shared" si="31"/>
        <v>0</v>
      </c>
      <c r="J840" s="354" t="s">
        <v>636</v>
      </c>
      <c r="M840" s="360">
        <f t="shared" si="12"/>
        <v>51179</v>
      </c>
      <c r="N840" s="360">
        <f t="shared" si="9"/>
        <v>51185</v>
      </c>
      <c r="O840" s="2">
        <f t="shared" si="10"/>
        <v>0</v>
      </c>
      <c r="P840" s="2">
        <f t="shared" si="11"/>
        <v>0</v>
      </c>
    </row>
    <row r="841">
      <c r="A841" s="344">
        <f t="shared" si="5"/>
        <v>850</v>
      </c>
      <c r="B841" s="344">
        <f t="shared" si="6"/>
        <v>90</v>
      </c>
      <c r="C841" s="369"/>
      <c r="D841" s="389" t="str">
        <f t="shared" si="7"/>
        <v>Saturday</v>
      </c>
      <c r="E841" s="344" t="s">
        <v>162</v>
      </c>
      <c r="F841" s="370"/>
      <c r="G841" s="370"/>
      <c r="H841" s="357">
        <f t="shared" si="29"/>
        <v>0</v>
      </c>
      <c r="I841" s="346">
        <f t="shared" si="31"/>
        <v>0</v>
      </c>
      <c r="J841" s="354" t="s">
        <v>636</v>
      </c>
      <c r="M841" s="360">
        <f t="shared" si="12"/>
        <v>51186</v>
      </c>
      <c r="N841" s="360">
        <f t="shared" si="9"/>
        <v>51192</v>
      </c>
      <c r="O841" s="2">
        <f t="shared" si="10"/>
        <v>0</v>
      </c>
      <c r="P841" s="2">
        <f t="shared" si="11"/>
        <v>0</v>
      </c>
    </row>
    <row r="842">
      <c r="A842" s="344">
        <f t="shared" si="5"/>
        <v>850</v>
      </c>
      <c r="B842" s="344">
        <f t="shared" si="6"/>
        <v>90</v>
      </c>
      <c r="C842" s="369"/>
      <c r="D842" s="389" t="str">
        <f t="shared" si="7"/>
        <v>Saturday</v>
      </c>
      <c r="E842" s="344" t="s">
        <v>162</v>
      </c>
      <c r="F842" s="370"/>
      <c r="G842" s="370"/>
      <c r="H842" s="357">
        <f t="shared" si="29"/>
        <v>0</v>
      </c>
      <c r="I842" s="346">
        <f t="shared" si="31"/>
        <v>0</v>
      </c>
      <c r="J842" s="354" t="s">
        <v>636</v>
      </c>
      <c r="M842" s="360">
        <f t="shared" si="12"/>
        <v>51193</v>
      </c>
      <c r="N842" s="360">
        <f t="shared" si="9"/>
        <v>51199</v>
      </c>
      <c r="O842" s="2">
        <f t="shared" si="10"/>
        <v>0</v>
      </c>
      <c r="P842" s="2">
        <f t="shared" si="11"/>
        <v>0</v>
      </c>
    </row>
    <row r="843">
      <c r="A843" s="344">
        <f t="shared" si="5"/>
        <v>850</v>
      </c>
      <c r="B843" s="344">
        <f t="shared" si="6"/>
        <v>90</v>
      </c>
      <c r="C843" s="369"/>
      <c r="D843" s="389" t="str">
        <f t="shared" si="7"/>
        <v>Saturday</v>
      </c>
      <c r="E843" s="344" t="s">
        <v>162</v>
      </c>
      <c r="F843" s="370"/>
      <c r="G843" s="370"/>
      <c r="H843" s="357">
        <f t="shared" si="29"/>
        <v>0</v>
      </c>
      <c r="I843" s="346">
        <f t="shared" si="31"/>
        <v>0</v>
      </c>
      <c r="J843" s="354" t="s">
        <v>636</v>
      </c>
      <c r="M843" s="360">
        <f t="shared" si="12"/>
        <v>51200</v>
      </c>
      <c r="N843" s="360">
        <f t="shared" si="9"/>
        <v>51206</v>
      </c>
      <c r="O843" s="2">
        <f t="shared" si="10"/>
        <v>0</v>
      </c>
      <c r="P843" s="2">
        <f t="shared" si="11"/>
        <v>0</v>
      </c>
    </row>
    <row r="844">
      <c r="A844" s="344">
        <f t="shared" si="5"/>
        <v>850</v>
      </c>
      <c r="B844" s="344">
        <f t="shared" si="6"/>
        <v>90</v>
      </c>
      <c r="C844" s="369"/>
      <c r="D844" s="389" t="str">
        <f t="shared" si="7"/>
        <v>Saturday</v>
      </c>
      <c r="E844" s="344" t="s">
        <v>162</v>
      </c>
      <c r="F844" s="370"/>
      <c r="G844" s="370"/>
      <c r="H844" s="357">
        <f t="shared" si="29"/>
        <v>0</v>
      </c>
      <c r="I844" s="346">
        <f t="shared" si="31"/>
        <v>0</v>
      </c>
      <c r="J844" s="354" t="s">
        <v>636</v>
      </c>
      <c r="M844" s="360">
        <f t="shared" si="12"/>
        <v>51207</v>
      </c>
      <c r="N844" s="360">
        <f t="shared" si="9"/>
        <v>51213</v>
      </c>
      <c r="O844" s="2">
        <f t="shared" si="10"/>
        <v>0</v>
      </c>
      <c r="P844" s="2">
        <f t="shared" si="11"/>
        <v>0</v>
      </c>
    </row>
    <row r="845">
      <c r="A845" s="344">
        <f t="shared" si="5"/>
        <v>850</v>
      </c>
      <c r="B845" s="344">
        <f t="shared" si="6"/>
        <v>90</v>
      </c>
      <c r="C845" s="369"/>
      <c r="D845" s="389" t="str">
        <f t="shared" si="7"/>
        <v>Saturday</v>
      </c>
      <c r="E845" s="344" t="s">
        <v>162</v>
      </c>
      <c r="F845" s="370"/>
      <c r="G845" s="370"/>
      <c r="H845" s="357">
        <f t="shared" si="29"/>
        <v>0</v>
      </c>
      <c r="I845" s="346">
        <f t="shared" si="31"/>
        <v>0</v>
      </c>
      <c r="J845" s="354" t="s">
        <v>636</v>
      </c>
      <c r="M845" s="360">
        <f t="shared" si="12"/>
        <v>51214</v>
      </c>
      <c r="N845" s="360">
        <f t="shared" si="9"/>
        <v>51220</v>
      </c>
      <c r="O845" s="2">
        <f t="shared" si="10"/>
        <v>0</v>
      </c>
      <c r="P845" s="2">
        <f t="shared" si="11"/>
        <v>0</v>
      </c>
    </row>
    <row r="846">
      <c r="A846" s="344">
        <f t="shared" si="5"/>
        <v>850</v>
      </c>
      <c r="B846" s="344">
        <f t="shared" si="6"/>
        <v>90</v>
      </c>
      <c r="C846" s="369"/>
      <c r="D846" s="389" t="str">
        <f t="shared" si="7"/>
        <v>Saturday</v>
      </c>
      <c r="E846" s="344" t="s">
        <v>162</v>
      </c>
      <c r="F846" s="370"/>
      <c r="G846" s="370"/>
      <c r="H846" s="357">
        <f t="shared" si="29"/>
        <v>0</v>
      </c>
      <c r="I846" s="346">
        <f t="shared" si="31"/>
        <v>0</v>
      </c>
      <c r="J846" s="354" t="s">
        <v>636</v>
      </c>
      <c r="M846" s="360">
        <f t="shared" si="12"/>
        <v>51221</v>
      </c>
      <c r="N846" s="360">
        <f t="shared" si="9"/>
        <v>51227</v>
      </c>
      <c r="O846" s="2">
        <f t="shared" si="10"/>
        <v>0</v>
      </c>
      <c r="P846" s="2">
        <f t="shared" si="11"/>
        <v>0</v>
      </c>
    </row>
    <row r="847">
      <c r="A847" s="344">
        <f t="shared" si="5"/>
        <v>850</v>
      </c>
      <c r="B847" s="344">
        <f t="shared" si="6"/>
        <v>90</v>
      </c>
      <c r="C847" s="369"/>
      <c r="D847" s="389" t="str">
        <f t="shared" si="7"/>
        <v>Saturday</v>
      </c>
      <c r="E847" s="344" t="s">
        <v>162</v>
      </c>
      <c r="F847" s="370"/>
      <c r="G847" s="370"/>
      <c r="H847" s="357">
        <f t="shared" si="29"/>
        <v>0</v>
      </c>
      <c r="I847" s="346">
        <f t="shared" si="31"/>
        <v>0</v>
      </c>
      <c r="J847" s="354" t="s">
        <v>636</v>
      </c>
      <c r="M847" s="360">
        <f t="shared" si="12"/>
        <v>51228</v>
      </c>
      <c r="N847" s="360">
        <f t="shared" si="9"/>
        <v>51234</v>
      </c>
      <c r="O847" s="2">
        <f t="shared" si="10"/>
        <v>0</v>
      </c>
      <c r="P847" s="2">
        <f t="shared" si="11"/>
        <v>0</v>
      </c>
    </row>
    <row r="848">
      <c r="A848" s="344">
        <f t="shared" si="5"/>
        <v>850</v>
      </c>
      <c r="B848" s="344">
        <f t="shared" si="6"/>
        <v>90</v>
      </c>
      <c r="C848" s="369"/>
      <c r="D848" s="389" t="str">
        <f t="shared" si="7"/>
        <v>Saturday</v>
      </c>
      <c r="E848" s="344" t="s">
        <v>162</v>
      </c>
      <c r="F848" s="370"/>
      <c r="G848" s="370"/>
      <c r="H848" s="357">
        <f t="shared" si="29"/>
        <v>0</v>
      </c>
      <c r="I848" s="346">
        <f t="shared" si="31"/>
        <v>0</v>
      </c>
      <c r="J848" s="354" t="s">
        <v>636</v>
      </c>
      <c r="M848" s="360">
        <f t="shared" si="12"/>
        <v>51235</v>
      </c>
      <c r="N848" s="360">
        <f t="shared" si="9"/>
        <v>51241</v>
      </c>
      <c r="O848" s="2">
        <f t="shared" si="10"/>
        <v>0</v>
      </c>
      <c r="P848" s="2">
        <f t="shared" si="11"/>
        <v>0</v>
      </c>
    </row>
    <row r="849">
      <c r="A849" s="344">
        <f t="shared" si="5"/>
        <v>850</v>
      </c>
      <c r="B849" s="344">
        <f t="shared" si="6"/>
        <v>90</v>
      </c>
      <c r="C849" s="369"/>
      <c r="D849" s="389" t="str">
        <f t="shared" si="7"/>
        <v>Saturday</v>
      </c>
      <c r="E849" s="344" t="s">
        <v>162</v>
      </c>
      <c r="F849" s="370"/>
      <c r="G849" s="370"/>
      <c r="H849" s="357">
        <f t="shared" si="29"/>
        <v>0</v>
      </c>
      <c r="I849" s="346">
        <f t="shared" si="31"/>
        <v>0</v>
      </c>
      <c r="J849" s="354" t="s">
        <v>636</v>
      </c>
      <c r="M849" s="360">
        <f t="shared" si="12"/>
        <v>51242</v>
      </c>
      <c r="N849" s="360">
        <f t="shared" si="9"/>
        <v>51248</v>
      </c>
      <c r="O849" s="2">
        <f t="shared" si="10"/>
        <v>0</v>
      </c>
      <c r="P849" s="2">
        <f t="shared" si="11"/>
        <v>0</v>
      </c>
    </row>
    <row r="850">
      <c r="A850" s="344">
        <f t="shared" si="5"/>
        <v>850</v>
      </c>
      <c r="B850" s="344">
        <f t="shared" si="6"/>
        <v>90</v>
      </c>
      <c r="C850" s="369"/>
      <c r="D850" s="389" t="str">
        <f t="shared" si="7"/>
        <v>Saturday</v>
      </c>
      <c r="E850" s="344" t="s">
        <v>162</v>
      </c>
      <c r="F850" s="370"/>
      <c r="G850" s="370"/>
      <c r="H850" s="357">
        <f t="shared" si="29"/>
        <v>0</v>
      </c>
      <c r="I850" s="346">
        <f t="shared" si="31"/>
        <v>0</v>
      </c>
      <c r="J850" s="354" t="s">
        <v>636</v>
      </c>
      <c r="M850" s="360">
        <f t="shared" si="12"/>
        <v>51249</v>
      </c>
      <c r="N850" s="360">
        <f t="shared" si="9"/>
        <v>51255</v>
      </c>
      <c r="O850" s="2">
        <f t="shared" si="10"/>
        <v>0</v>
      </c>
      <c r="P850" s="2">
        <f t="shared" si="11"/>
        <v>0</v>
      </c>
    </row>
    <row r="851">
      <c r="A851" s="344">
        <f t="shared" si="5"/>
        <v>850</v>
      </c>
      <c r="B851" s="344">
        <f t="shared" si="6"/>
        <v>90</v>
      </c>
      <c r="C851" s="369"/>
      <c r="D851" s="389" t="str">
        <f t="shared" si="7"/>
        <v>Saturday</v>
      </c>
      <c r="E851" s="344" t="s">
        <v>162</v>
      </c>
      <c r="F851" s="370"/>
      <c r="G851" s="370"/>
      <c r="H851" s="357">
        <f t="shared" si="29"/>
        <v>0</v>
      </c>
      <c r="I851" s="346">
        <f t="shared" si="31"/>
        <v>0</v>
      </c>
      <c r="J851" s="354" t="s">
        <v>636</v>
      </c>
      <c r="M851" s="360">
        <f t="shared" si="12"/>
        <v>51256</v>
      </c>
      <c r="N851" s="360">
        <f t="shared" si="9"/>
        <v>51262</v>
      </c>
      <c r="O851" s="2">
        <f t="shared" si="10"/>
        <v>0</v>
      </c>
      <c r="P851" s="2">
        <f t="shared" si="11"/>
        <v>0</v>
      </c>
    </row>
    <row r="852">
      <c r="A852" s="344">
        <f t="shared" si="5"/>
        <v>850</v>
      </c>
      <c r="B852" s="344">
        <f t="shared" si="6"/>
        <v>90</v>
      </c>
      <c r="C852" s="369"/>
      <c r="D852" s="389" t="str">
        <f t="shared" si="7"/>
        <v>Saturday</v>
      </c>
      <c r="E852" s="344" t="s">
        <v>162</v>
      </c>
      <c r="F852" s="370"/>
      <c r="G852" s="370"/>
      <c r="H852" s="357">
        <f t="shared" si="29"/>
        <v>0</v>
      </c>
      <c r="I852" s="346">
        <f t="shared" si="31"/>
        <v>0</v>
      </c>
      <c r="J852" s="354" t="s">
        <v>636</v>
      </c>
      <c r="M852" s="360">
        <f t="shared" si="12"/>
        <v>51263</v>
      </c>
      <c r="N852" s="360">
        <f t="shared" si="9"/>
        <v>51269</v>
      </c>
      <c r="O852" s="2">
        <f t="shared" si="10"/>
        <v>0</v>
      </c>
      <c r="P852" s="2">
        <f t="shared" si="11"/>
        <v>0</v>
      </c>
    </row>
    <row r="853">
      <c r="A853" s="344">
        <f t="shared" si="5"/>
        <v>850</v>
      </c>
      <c r="B853" s="344">
        <f t="shared" si="6"/>
        <v>90</v>
      </c>
      <c r="C853" s="369"/>
      <c r="D853" s="389" t="str">
        <f t="shared" si="7"/>
        <v>Saturday</v>
      </c>
      <c r="E853" s="344" t="s">
        <v>162</v>
      </c>
      <c r="F853" s="370"/>
      <c r="G853" s="370"/>
      <c r="H853" s="357">
        <f t="shared" si="29"/>
        <v>0</v>
      </c>
      <c r="I853" s="346">
        <f t="shared" si="31"/>
        <v>0</v>
      </c>
      <c r="J853" s="354" t="s">
        <v>636</v>
      </c>
      <c r="M853" s="360">
        <f t="shared" si="12"/>
        <v>51270</v>
      </c>
      <c r="N853" s="360">
        <f t="shared" si="9"/>
        <v>51276</v>
      </c>
      <c r="O853" s="2">
        <f t="shared" si="10"/>
        <v>0</v>
      </c>
      <c r="P853" s="2">
        <f t="shared" si="11"/>
        <v>0</v>
      </c>
    </row>
    <row r="854">
      <c r="A854" s="344">
        <f t="shared" si="5"/>
        <v>850</v>
      </c>
      <c r="B854" s="344">
        <f t="shared" si="6"/>
        <v>90</v>
      </c>
      <c r="C854" s="369"/>
      <c r="D854" s="389" t="str">
        <f t="shared" si="7"/>
        <v>Saturday</v>
      </c>
      <c r="E854" s="344" t="s">
        <v>162</v>
      </c>
      <c r="F854" s="370"/>
      <c r="G854" s="370"/>
      <c r="H854" s="357">
        <f t="shared" si="29"/>
        <v>0</v>
      </c>
      <c r="I854" s="346">
        <f t="shared" si="31"/>
        <v>0</v>
      </c>
      <c r="J854" s="354" t="s">
        <v>636</v>
      </c>
      <c r="M854" s="360">
        <f t="shared" si="12"/>
        <v>51277</v>
      </c>
      <c r="N854" s="360">
        <f t="shared" si="9"/>
        <v>51283</v>
      </c>
      <c r="O854" s="2">
        <f t="shared" si="10"/>
        <v>0</v>
      </c>
      <c r="P854" s="2">
        <f t="shared" si="11"/>
        <v>0</v>
      </c>
    </row>
    <row r="855">
      <c r="A855" s="344">
        <f t="shared" si="5"/>
        <v>850</v>
      </c>
      <c r="B855" s="344">
        <f t="shared" si="6"/>
        <v>90</v>
      </c>
      <c r="C855" s="369"/>
      <c r="D855" s="389" t="str">
        <f t="shared" si="7"/>
        <v>Saturday</v>
      </c>
      <c r="E855" s="344" t="s">
        <v>162</v>
      </c>
      <c r="F855" s="370"/>
      <c r="G855" s="370"/>
      <c r="H855" s="357">
        <f t="shared" si="29"/>
        <v>0</v>
      </c>
      <c r="I855" s="346">
        <f t="shared" si="31"/>
        <v>0</v>
      </c>
      <c r="J855" s="354" t="s">
        <v>636</v>
      </c>
      <c r="M855" s="360">
        <f t="shared" si="12"/>
        <v>51284</v>
      </c>
      <c r="N855" s="360">
        <f t="shared" si="9"/>
        <v>51290</v>
      </c>
      <c r="O855" s="2">
        <f t="shared" si="10"/>
        <v>0</v>
      </c>
      <c r="P855" s="2">
        <f t="shared" si="11"/>
        <v>0</v>
      </c>
    </row>
    <row r="856">
      <c r="A856" s="344">
        <f t="shared" si="5"/>
        <v>850</v>
      </c>
      <c r="B856" s="344">
        <f t="shared" si="6"/>
        <v>90</v>
      </c>
      <c r="C856" s="369"/>
      <c r="D856" s="389" t="str">
        <f t="shared" si="7"/>
        <v>Saturday</v>
      </c>
      <c r="E856" s="344" t="s">
        <v>162</v>
      </c>
      <c r="F856" s="370"/>
      <c r="G856" s="370"/>
      <c r="H856" s="357">
        <f t="shared" si="29"/>
        <v>0</v>
      </c>
      <c r="I856" s="346">
        <f t="shared" si="31"/>
        <v>0</v>
      </c>
      <c r="J856" s="354" t="s">
        <v>636</v>
      </c>
      <c r="M856" s="360">
        <f t="shared" si="12"/>
        <v>51291</v>
      </c>
      <c r="N856" s="360">
        <f t="shared" si="9"/>
        <v>51297</v>
      </c>
      <c r="O856" s="2">
        <f t="shared" si="10"/>
        <v>0</v>
      </c>
      <c r="P856" s="2">
        <f t="shared" si="11"/>
        <v>0</v>
      </c>
    </row>
    <row r="857">
      <c r="A857" s="344">
        <f t="shared" si="5"/>
        <v>850</v>
      </c>
      <c r="B857" s="344">
        <f t="shared" si="6"/>
        <v>90</v>
      </c>
      <c r="C857" s="369"/>
      <c r="D857" s="389" t="str">
        <f t="shared" si="7"/>
        <v>Saturday</v>
      </c>
      <c r="E857" s="344" t="s">
        <v>162</v>
      </c>
      <c r="F857" s="370"/>
      <c r="G857" s="370"/>
      <c r="H857" s="357">
        <f t="shared" si="29"/>
        <v>0</v>
      </c>
      <c r="I857" s="346">
        <f t="shared" si="31"/>
        <v>0</v>
      </c>
      <c r="J857" s="354" t="s">
        <v>636</v>
      </c>
      <c r="M857" s="360">
        <f t="shared" si="12"/>
        <v>51298</v>
      </c>
      <c r="N857" s="360">
        <f t="shared" si="9"/>
        <v>51304</v>
      </c>
      <c r="O857" s="2">
        <f t="shared" si="10"/>
        <v>0</v>
      </c>
      <c r="P857" s="2">
        <f t="shared" si="11"/>
        <v>0</v>
      </c>
    </row>
    <row r="858">
      <c r="A858" s="344">
        <f t="shared" si="5"/>
        <v>850</v>
      </c>
      <c r="B858" s="344">
        <f t="shared" si="6"/>
        <v>90</v>
      </c>
      <c r="C858" s="369"/>
      <c r="D858" s="389" t="str">
        <f t="shared" si="7"/>
        <v>Saturday</v>
      </c>
      <c r="E858" s="344" t="s">
        <v>162</v>
      </c>
      <c r="F858" s="370"/>
      <c r="G858" s="370"/>
      <c r="H858" s="357">
        <f t="shared" si="29"/>
        <v>0</v>
      </c>
      <c r="I858" s="346">
        <f t="shared" si="31"/>
        <v>0</v>
      </c>
      <c r="J858" s="354" t="s">
        <v>636</v>
      </c>
      <c r="M858" s="360">
        <f t="shared" si="12"/>
        <v>51305</v>
      </c>
      <c r="N858" s="360">
        <f t="shared" si="9"/>
        <v>51311</v>
      </c>
      <c r="O858" s="2">
        <f t="shared" si="10"/>
        <v>0</v>
      </c>
      <c r="P858" s="2">
        <f t="shared" si="11"/>
        <v>0</v>
      </c>
    </row>
    <row r="859">
      <c r="A859" s="344">
        <f t="shared" si="5"/>
        <v>850</v>
      </c>
      <c r="B859" s="344">
        <f t="shared" si="6"/>
        <v>90</v>
      </c>
      <c r="C859" s="369"/>
      <c r="D859" s="389" t="str">
        <f t="shared" si="7"/>
        <v>Saturday</v>
      </c>
      <c r="E859" s="344" t="s">
        <v>162</v>
      </c>
      <c r="F859" s="370"/>
      <c r="G859" s="370"/>
      <c r="H859" s="357">
        <f t="shared" si="29"/>
        <v>0</v>
      </c>
      <c r="I859" s="346">
        <f t="shared" si="31"/>
        <v>0</v>
      </c>
      <c r="J859" s="354" t="s">
        <v>636</v>
      </c>
      <c r="M859" s="360">
        <f t="shared" si="12"/>
        <v>51312</v>
      </c>
      <c r="N859" s="360">
        <f t="shared" si="9"/>
        <v>51318</v>
      </c>
      <c r="O859" s="2">
        <f t="shared" si="10"/>
        <v>0</v>
      </c>
      <c r="P859" s="2">
        <f t="shared" si="11"/>
        <v>0</v>
      </c>
    </row>
    <row r="860">
      <c r="A860" s="344">
        <f t="shared" si="5"/>
        <v>850</v>
      </c>
      <c r="B860" s="344">
        <f t="shared" si="6"/>
        <v>90</v>
      </c>
      <c r="C860" s="369"/>
      <c r="D860" s="389" t="str">
        <f t="shared" si="7"/>
        <v>Saturday</v>
      </c>
      <c r="E860" s="344" t="s">
        <v>162</v>
      </c>
      <c r="F860" s="370"/>
      <c r="G860" s="370"/>
      <c r="H860" s="357">
        <f t="shared" si="29"/>
        <v>0</v>
      </c>
      <c r="I860" s="346">
        <f t="shared" si="31"/>
        <v>0</v>
      </c>
      <c r="J860" s="354" t="s">
        <v>636</v>
      </c>
      <c r="M860" s="360">
        <f t="shared" si="12"/>
        <v>51319</v>
      </c>
      <c r="N860" s="360">
        <f t="shared" si="9"/>
        <v>51325</v>
      </c>
      <c r="O860" s="2">
        <f t="shared" si="10"/>
        <v>0</v>
      </c>
      <c r="P860" s="2">
        <f t="shared" si="11"/>
        <v>0</v>
      </c>
    </row>
    <row r="861">
      <c r="A861" s="344">
        <f t="shared" si="5"/>
        <v>850</v>
      </c>
      <c r="B861" s="344">
        <f t="shared" si="6"/>
        <v>90</v>
      </c>
      <c r="C861" s="369"/>
      <c r="D861" s="389" t="str">
        <f t="shared" si="7"/>
        <v>Saturday</v>
      </c>
      <c r="E861" s="344" t="s">
        <v>162</v>
      </c>
      <c r="F861" s="370"/>
      <c r="G861" s="370"/>
      <c r="H861" s="357">
        <f t="shared" si="29"/>
        <v>0</v>
      </c>
      <c r="I861" s="346">
        <f t="shared" si="31"/>
        <v>0</v>
      </c>
      <c r="J861" s="354" t="s">
        <v>636</v>
      </c>
      <c r="M861" s="360">
        <f t="shared" si="12"/>
        <v>51326</v>
      </c>
      <c r="N861" s="360">
        <f t="shared" si="9"/>
        <v>51332</v>
      </c>
      <c r="O861" s="2">
        <f t="shared" si="10"/>
        <v>0</v>
      </c>
      <c r="P861" s="2">
        <f t="shared" si="11"/>
        <v>0</v>
      </c>
    </row>
    <row r="862">
      <c r="A862" s="344">
        <f t="shared" si="5"/>
        <v>850</v>
      </c>
      <c r="B862" s="344">
        <f t="shared" si="6"/>
        <v>90</v>
      </c>
      <c r="C862" s="369"/>
      <c r="D862" s="389" t="str">
        <f t="shared" si="7"/>
        <v>Saturday</v>
      </c>
      <c r="E862" s="344" t="s">
        <v>162</v>
      </c>
      <c r="F862" s="370"/>
      <c r="G862" s="370"/>
      <c r="H862" s="357">
        <f t="shared" si="29"/>
        <v>0</v>
      </c>
      <c r="I862" s="346">
        <f t="shared" si="31"/>
        <v>0</v>
      </c>
      <c r="J862" s="354" t="s">
        <v>636</v>
      </c>
      <c r="M862" s="360">
        <f t="shared" si="12"/>
        <v>51333</v>
      </c>
      <c r="N862" s="360">
        <f t="shared" si="9"/>
        <v>51339</v>
      </c>
      <c r="O862" s="2">
        <f t="shared" si="10"/>
        <v>0</v>
      </c>
      <c r="P862" s="2">
        <f t="shared" si="11"/>
        <v>0</v>
      </c>
    </row>
    <row r="863">
      <c r="A863" s="344">
        <f t="shared" si="5"/>
        <v>850</v>
      </c>
      <c r="B863" s="344">
        <f t="shared" si="6"/>
        <v>90</v>
      </c>
      <c r="C863" s="369"/>
      <c r="D863" s="389" t="str">
        <f t="shared" si="7"/>
        <v>Saturday</v>
      </c>
      <c r="E863" s="344" t="s">
        <v>162</v>
      </c>
      <c r="F863" s="370"/>
      <c r="G863" s="370"/>
      <c r="H863" s="357">
        <f t="shared" si="29"/>
        <v>0</v>
      </c>
      <c r="I863" s="346">
        <f t="shared" si="31"/>
        <v>0</v>
      </c>
      <c r="J863" s="354" t="s">
        <v>636</v>
      </c>
      <c r="M863" s="360">
        <f t="shared" si="12"/>
        <v>51340</v>
      </c>
      <c r="N863" s="360">
        <f t="shared" si="9"/>
        <v>51346</v>
      </c>
      <c r="O863" s="2">
        <f t="shared" si="10"/>
        <v>0</v>
      </c>
      <c r="P863" s="2">
        <f t="shared" si="11"/>
        <v>0</v>
      </c>
    </row>
    <row r="864">
      <c r="A864" s="344">
        <f t="shared" si="5"/>
        <v>850</v>
      </c>
      <c r="B864" s="344">
        <f t="shared" si="6"/>
        <v>90</v>
      </c>
      <c r="C864" s="369"/>
      <c r="D864" s="389" t="str">
        <f t="shared" si="7"/>
        <v>Saturday</v>
      </c>
      <c r="E864" s="344" t="s">
        <v>162</v>
      </c>
      <c r="F864" s="370"/>
      <c r="G864" s="370"/>
      <c r="H864" s="357">
        <f t="shared" si="29"/>
        <v>0</v>
      </c>
      <c r="I864" s="346">
        <f t="shared" si="31"/>
        <v>0</v>
      </c>
      <c r="J864" s="354" t="s">
        <v>636</v>
      </c>
      <c r="M864" s="360">
        <f t="shared" si="12"/>
        <v>51347</v>
      </c>
      <c r="N864" s="360">
        <f t="shared" si="9"/>
        <v>51353</v>
      </c>
      <c r="O864" s="2">
        <f t="shared" si="10"/>
        <v>0</v>
      </c>
      <c r="P864" s="2">
        <f t="shared" si="11"/>
        <v>0</v>
      </c>
    </row>
    <row r="865">
      <c r="A865" s="344">
        <f t="shared" si="5"/>
        <v>850</v>
      </c>
      <c r="B865" s="344">
        <f t="shared" si="6"/>
        <v>90</v>
      </c>
      <c r="C865" s="369"/>
      <c r="D865" s="389" t="str">
        <f t="shared" si="7"/>
        <v>Saturday</v>
      </c>
      <c r="E865" s="344" t="s">
        <v>162</v>
      </c>
      <c r="F865" s="370"/>
      <c r="G865" s="370"/>
      <c r="H865" s="357">
        <f t="shared" si="29"/>
        <v>0</v>
      </c>
      <c r="I865" s="346">
        <f t="shared" si="31"/>
        <v>0</v>
      </c>
      <c r="J865" s="354" t="s">
        <v>636</v>
      </c>
      <c r="M865" s="360">
        <f t="shared" si="12"/>
        <v>51354</v>
      </c>
      <c r="N865" s="360">
        <f t="shared" si="9"/>
        <v>51360</v>
      </c>
      <c r="O865" s="2">
        <f t="shared" si="10"/>
        <v>0</v>
      </c>
      <c r="P865" s="2">
        <f t="shared" si="11"/>
        <v>0</v>
      </c>
    </row>
    <row r="866">
      <c r="A866" s="344">
        <f t="shared" si="5"/>
        <v>850</v>
      </c>
      <c r="B866" s="344">
        <f t="shared" si="6"/>
        <v>90</v>
      </c>
      <c r="C866" s="369"/>
      <c r="D866" s="389" t="str">
        <f t="shared" si="7"/>
        <v>Saturday</v>
      </c>
      <c r="E866" s="344" t="s">
        <v>162</v>
      </c>
      <c r="F866" s="370"/>
      <c r="G866" s="370"/>
      <c r="H866" s="357">
        <f t="shared" si="29"/>
        <v>0</v>
      </c>
      <c r="I866" s="346">
        <f t="shared" si="31"/>
        <v>0</v>
      </c>
      <c r="J866" s="354" t="s">
        <v>636</v>
      </c>
      <c r="M866" s="360">
        <f t="shared" si="12"/>
        <v>51361</v>
      </c>
      <c r="N866" s="360">
        <f t="shared" si="9"/>
        <v>51367</v>
      </c>
      <c r="O866" s="2">
        <f t="shared" si="10"/>
        <v>0</v>
      </c>
      <c r="P866" s="2">
        <f t="shared" si="11"/>
        <v>0</v>
      </c>
    </row>
    <row r="867">
      <c r="A867" s="344">
        <f t="shared" si="5"/>
        <v>850</v>
      </c>
      <c r="B867" s="344">
        <f t="shared" si="6"/>
        <v>90</v>
      </c>
      <c r="C867" s="369"/>
      <c r="D867" s="389" t="str">
        <f t="shared" si="7"/>
        <v>Saturday</v>
      </c>
      <c r="E867" s="344" t="s">
        <v>162</v>
      </c>
      <c r="F867" s="370"/>
      <c r="G867" s="370"/>
      <c r="H867" s="357">
        <f t="shared" si="29"/>
        <v>0</v>
      </c>
      <c r="I867" s="346">
        <f t="shared" si="31"/>
        <v>0</v>
      </c>
      <c r="J867" s="354" t="s">
        <v>636</v>
      </c>
      <c r="M867" s="360">
        <f t="shared" si="12"/>
        <v>51368</v>
      </c>
      <c r="N867" s="360">
        <f t="shared" si="9"/>
        <v>51374</v>
      </c>
      <c r="O867" s="2">
        <f t="shared" si="10"/>
        <v>0</v>
      </c>
      <c r="P867" s="2">
        <f t="shared" si="11"/>
        <v>0</v>
      </c>
    </row>
    <row r="868">
      <c r="A868" s="344">
        <f t="shared" si="5"/>
        <v>850</v>
      </c>
      <c r="B868" s="344">
        <f t="shared" si="6"/>
        <v>90</v>
      </c>
      <c r="C868" s="369"/>
      <c r="D868" s="389" t="str">
        <f t="shared" si="7"/>
        <v>Saturday</v>
      </c>
      <c r="E868" s="344" t="s">
        <v>162</v>
      </c>
      <c r="F868" s="370"/>
      <c r="G868" s="370"/>
      <c r="H868" s="357">
        <f t="shared" si="29"/>
        <v>0</v>
      </c>
      <c r="I868" s="346">
        <f t="shared" si="31"/>
        <v>0</v>
      </c>
      <c r="J868" s="354" t="s">
        <v>636</v>
      </c>
      <c r="M868" s="360">
        <f t="shared" si="12"/>
        <v>51375</v>
      </c>
      <c r="N868" s="360">
        <f t="shared" si="9"/>
        <v>51381</v>
      </c>
      <c r="O868" s="2">
        <f t="shared" si="10"/>
        <v>0</v>
      </c>
      <c r="P868" s="2">
        <f t="shared" si="11"/>
        <v>0</v>
      </c>
    </row>
    <row r="869">
      <c r="A869" s="344">
        <f t="shared" si="5"/>
        <v>850</v>
      </c>
      <c r="B869" s="344">
        <f t="shared" si="6"/>
        <v>90</v>
      </c>
      <c r="C869" s="369"/>
      <c r="D869" s="389" t="str">
        <f t="shared" si="7"/>
        <v>Saturday</v>
      </c>
      <c r="E869" s="344" t="s">
        <v>162</v>
      </c>
      <c r="F869" s="370"/>
      <c r="G869" s="370"/>
      <c r="H869" s="357">
        <f t="shared" si="29"/>
        <v>0</v>
      </c>
      <c r="I869" s="346">
        <f t="shared" si="31"/>
        <v>0</v>
      </c>
      <c r="J869" s="354" t="s">
        <v>636</v>
      </c>
      <c r="M869" s="360">
        <f t="shared" si="12"/>
        <v>51382</v>
      </c>
      <c r="N869" s="360">
        <f t="shared" si="9"/>
        <v>51388</v>
      </c>
      <c r="O869" s="2">
        <f t="shared" si="10"/>
        <v>0</v>
      </c>
      <c r="P869" s="2">
        <f t="shared" si="11"/>
        <v>0</v>
      </c>
    </row>
    <row r="870">
      <c r="A870" s="344">
        <f t="shared" si="5"/>
        <v>850</v>
      </c>
      <c r="B870" s="344">
        <f t="shared" si="6"/>
        <v>90</v>
      </c>
      <c r="C870" s="369"/>
      <c r="D870" s="389" t="str">
        <f t="shared" si="7"/>
        <v>Saturday</v>
      </c>
      <c r="E870" s="344" t="s">
        <v>162</v>
      </c>
      <c r="F870" s="370"/>
      <c r="G870" s="370"/>
      <c r="H870" s="357">
        <f t="shared" si="29"/>
        <v>0</v>
      </c>
      <c r="I870" s="346">
        <f t="shared" si="31"/>
        <v>0</v>
      </c>
      <c r="J870" s="354" t="s">
        <v>636</v>
      </c>
      <c r="M870" s="360">
        <f t="shared" si="12"/>
        <v>51389</v>
      </c>
      <c r="N870" s="360">
        <f t="shared" si="9"/>
        <v>51395</v>
      </c>
      <c r="O870" s="2">
        <f t="shared" si="10"/>
        <v>0</v>
      </c>
      <c r="P870" s="2">
        <f t="shared" si="11"/>
        <v>0</v>
      </c>
    </row>
    <row r="871">
      <c r="A871" s="344">
        <f t="shared" si="5"/>
        <v>850</v>
      </c>
      <c r="B871" s="344">
        <f t="shared" si="6"/>
        <v>90</v>
      </c>
      <c r="C871" s="369"/>
      <c r="D871" s="389" t="str">
        <f t="shared" si="7"/>
        <v>Saturday</v>
      </c>
      <c r="E871" s="344" t="s">
        <v>162</v>
      </c>
      <c r="F871" s="370"/>
      <c r="G871" s="370"/>
      <c r="H871" s="357">
        <f t="shared" si="29"/>
        <v>0</v>
      </c>
      <c r="I871" s="346">
        <f t="shared" si="31"/>
        <v>0</v>
      </c>
      <c r="J871" s="354" t="s">
        <v>636</v>
      </c>
      <c r="M871" s="360">
        <f t="shared" si="12"/>
        <v>51396</v>
      </c>
      <c r="N871" s="360">
        <f t="shared" si="9"/>
        <v>51402</v>
      </c>
      <c r="O871" s="2">
        <f t="shared" si="10"/>
        <v>0</v>
      </c>
      <c r="P871" s="2">
        <f t="shared" si="11"/>
        <v>0</v>
      </c>
    </row>
    <row r="872">
      <c r="A872" s="344">
        <f t="shared" si="5"/>
        <v>850</v>
      </c>
      <c r="B872" s="344">
        <f t="shared" si="6"/>
        <v>90</v>
      </c>
      <c r="C872" s="369"/>
      <c r="D872" s="389" t="str">
        <f t="shared" si="7"/>
        <v>Saturday</v>
      </c>
      <c r="E872" s="344" t="s">
        <v>162</v>
      </c>
      <c r="F872" s="370"/>
      <c r="G872" s="370"/>
      <c r="H872" s="357">
        <f t="shared" si="29"/>
        <v>0</v>
      </c>
      <c r="I872" s="346">
        <f t="shared" si="31"/>
        <v>0</v>
      </c>
      <c r="J872" s="354" t="s">
        <v>636</v>
      </c>
      <c r="M872" s="360">
        <f t="shared" si="12"/>
        <v>51403</v>
      </c>
      <c r="N872" s="360">
        <f t="shared" si="9"/>
        <v>51409</v>
      </c>
      <c r="O872" s="2">
        <f t="shared" si="10"/>
        <v>0</v>
      </c>
      <c r="P872" s="2">
        <f t="shared" si="11"/>
        <v>0</v>
      </c>
    </row>
    <row r="873">
      <c r="A873" s="344">
        <f t="shared" si="5"/>
        <v>850</v>
      </c>
      <c r="B873" s="344">
        <f t="shared" si="6"/>
        <v>90</v>
      </c>
      <c r="C873" s="369"/>
      <c r="D873" s="389" t="str">
        <f t="shared" si="7"/>
        <v>Saturday</v>
      </c>
      <c r="E873" s="344" t="s">
        <v>162</v>
      </c>
      <c r="F873" s="370"/>
      <c r="G873" s="370"/>
      <c r="H873" s="357">
        <f t="shared" si="29"/>
        <v>0</v>
      </c>
      <c r="I873" s="346">
        <f t="shared" si="31"/>
        <v>0</v>
      </c>
      <c r="J873" s="354" t="s">
        <v>636</v>
      </c>
      <c r="M873" s="360">
        <f t="shared" si="12"/>
        <v>51410</v>
      </c>
      <c r="N873" s="360">
        <f t="shared" si="9"/>
        <v>51416</v>
      </c>
      <c r="O873" s="2">
        <f t="shared" si="10"/>
        <v>0</v>
      </c>
      <c r="P873" s="2">
        <f t="shared" si="11"/>
        <v>0</v>
      </c>
    </row>
    <row r="874">
      <c r="A874" s="344">
        <f t="shared" si="5"/>
        <v>850</v>
      </c>
      <c r="B874" s="344">
        <f t="shared" si="6"/>
        <v>90</v>
      </c>
      <c r="C874" s="369"/>
      <c r="D874" s="389" t="str">
        <f t="shared" si="7"/>
        <v>Saturday</v>
      </c>
      <c r="E874" s="344" t="s">
        <v>162</v>
      </c>
      <c r="F874" s="370"/>
      <c r="G874" s="370"/>
      <c r="H874" s="357">
        <f t="shared" si="29"/>
        <v>0</v>
      </c>
      <c r="I874" s="346">
        <f t="shared" si="31"/>
        <v>0</v>
      </c>
      <c r="J874" s="354" t="s">
        <v>636</v>
      </c>
      <c r="M874" s="360">
        <f t="shared" si="12"/>
        <v>51417</v>
      </c>
      <c r="N874" s="360">
        <f t="shared" si="9"/>
        <v>51423</v>
      </c>
      <c r="O874" s="2">
        <f t="shared" si="10"/>
        <v>0</v>
      </c>
      <c r="P874" s="2">
        <f t="shared" si="11"/>
        <v>0</v>
      </c>
    </row>
    <row r="875">
      <c r="A875" s="344">
        <f t="shared" si="5"/>
        <v>850</v>
      </c>
      <c r="B875" s="344">
        <f t="shared" si="6"/>
        <v>90</v>
      </c>
      <c r="C875" s="369"/>
      <c r="D875" s="389" t="str">
        <f t="shared" si="7"/>
        <v>Saturday</v>
      </c>
      <c r="E875" s="344" t="s">
        <v>162</v>
      </c>
      <c r="F875" s="370"/>
      <c r="G875" s="370"/>
      <c r="H875" s="357">
        <f t="shared" si="29"/>
        <v>0</v>
      </c>
      <c r="I875" s="346">
        <f t="shared" si="31"/>
        <v>0</v>
      </c>
      <c r="J875" s="354" t="s">
        <v>636</v>
      </c>
      <c r="M875" s="360">
        <f t="shared" si="12"/>
        <v>51424</v>
      </c>
      <c r="N875" s="360">
        <f t="shared" si="9"/>
        <v>51430</v>
      </c>
      <c r="O875" s="2">
        <f t="shared" si="10"/>
        <v>0</v>
      </c>
      <c r="P875" s="2">
        <f t="shared" si="11"/>
        <v>0</v>
      </c>
    </row>
    <row r="876">
      <c r="A876" s="344">
        <f t="shared" si="5"/>
        <v>850</v>
      </c>
      <c r="B876" s="344">
        <f t="shared" si="6"/>
        <v>90</v>
      </c>
      <c r="C876" s="369"/>
      <c r="D876" s="389" t="str">
        <f t="shared" si="7"/>
        <v>Saturday</v>
      </c>
      <c r="E876" s="344" t="s">
        <v>162</v>
      </c>
      <c r="F876" s="370"/>
      <c r="G876" s="370"/>
      <c r="H876" s="357">
        <f t="shared" si="29"/>
        <v>0</v>
      </c>
      <c r="I876" s="346">
        <f t="shared" si="31"/>
        <v>0</v>
      </c>
      <c r="J876" s="354" t="s">
        <v>636</v>
      </c>
      <c r="M876" s="360">
        <f t="shared" si="12"/>
        <v>51431</v>
      </c>
      <c r="N876" s="360">
        <f t="shared" si="9"/>
        <v>51437</v>
      </c>
      <c r="O876" s="2">
        <f t="shared" si="10"/>
        <v>0</v>
      </c>
      <c r="P876" s="2">
        <f t="shared" si="11"/>
        <v>0</v>
      </c>
    </row>
    <row r="877">
      <c r="A877" s="344">
        <f t="shared" si="5"/>
        <v>850</v>
      </c>
      <c r="B877" s="344">
        <f t="shared" si="6"/>
        <v>90</v>
      </c>
      <c r="C877" s="369"/>
      <c r="D877" s="389" t="str">
        <f t="shared" si="7"/>
        <v>Saturday</v>
      </c>
      <c r="E877" s="344" t="s">
        <v>162</v>
      </c>
      <c r="F877" s="370"/>
      <c r="G877" s="370"/>
      <c r="H877" s="357">
        <f t="shared" si="29"/>
        <v>0</v>
      </c>
      <c r="I877" s="346">
        <f t="shared" si="31"/>
        <v>0</v>
      </c>
      <c r="J877" s="354" t="s">
        <v>636</v>
      </c>
      <c r="M877" s="360">
        <f t="shared" si="12"/>
        <v>51438</v>
      </c>
      <c r="N877" s="360">
        <f t="shared" si="9"/>
        <v>51444</v>
      </c>
      <c r="O877" s="2">
        <f t="shared" si="10"/>
        <v>0</v>
      </c>
      <c r="P877" s="2">
        <f t="shared" si="11"/>
        <v>0</v>
      </c>
    </row>
    <row r="878">
      <c r="A878" s="344">
        <f t="shared" si="5"/>
        <v>850</v>
      </c>
      <c r="B878" s="344">
        <f t="shared" si="6"/>
        <v>90</v>
      </c>
      <c r="C878" s="369"/>
      <c r="D878" s="389" t="str">
        <f t="shared" si="7"/>
        <v>Saturday</v>
      </c>
      <c r="E878" s="344" t="s">
        <v>162</v>
      </c>
      <c r="F878" s="370"/>
      <c r="G878" s="370"/>
      <c r="H878" s="357">
        <f t="shared" si="29"/>
        <v>0</v>
      </c>
      <c r="I878" s="346">
        <f t="shared" si="31"/>
        <v>0</v>
      </c>
      <c r="J878" s="354" t="s">
        <v>636</v>
      </c>
      <c r="M878" s="360">
        <f t="shared" si="12"/>
        <v>51445</v>
      </c>
      <c r="N878" s="360">
        <f t="shared" si="9"/>
        <v>51451</v>
      </c>
      <c r="O878" s="2">
        <f t="shared" si="10"/>
        <v>0</v>
      </c>
      <c r="P878" s="2">
        <f t="shared" si="11"/>
        <v>0</v>
      </c>
    </row>
    <row r="879">
      <c r="A879" s="344">
        <f t="shared" si="5"/>
        <v>850</v>
      </c>
      <c r="B879" s="344">
        <f t="shared" si="6"/>
        <v>90</v>
      </c>
      <c r="C879" s="369"/>
      <c r="D879" s="389" t="str">
        <f t="shared" si="7"/>
        <v>Saturday</v>
      </c>
      <c r="E879" s="344" t="s">
        <v>162</v>
      </c>
      <c r="F879" s="370"/>
      <c r="G879" s="370"/>
      <c r="H879" s="357">
        <f t="shared" si="29"/>
        <v>0</v>
      </c>
      <c r="I879" s="346">
        <f t="shared" si="31"/>
        <v>0</v>
      </c>
      <c r="J879" s="354" t="s">
        <v>636</v>
      </c>
      <c r="M879" s="360">
        <f t="shared" si="12"/>
        <v>51452</v>
      </c>
      <c r="N879" s="360">
        <f t="shared" si="9"/>
        <v>51458</v>
      </c>
      <c r="O879" s="2">
        <f t="shared" si="10"/>
        <v>0</v>
      </c>
      <c r="P879" s="2">
        <f t="shared" si="11"/>
        <v>0</v>
      </c>
    </row>
    <row r="880">
      <c r="A880" s="344">
        <f t="shared" si="5"/>
        <v>850</v>
      </c>
      <c r="B880" s="344">
        <f t="shared" si="6"/>
        <v>90</v>
      </c>
      <c r="C880" s="369"/>
      <c r="D880" s="389" t="str">
        <f t="shared" si="7"/>
        <v>Saturday</v>
      </c>
      <c r="E880" s="344" t="s">
        <v>162</v>
      </c>
      <c r="F880" s="370"/>
      <c r="G880" s="370"/>
      <c r="H880" s="357">
        <f t="shared" si="29"/>
        <v>0</v>
      </c>
      <c r="I880" s="346">
        <f t="shared" si="31"/>
        <v>0</v>
      </c>
      <c r="J880" s="354" t="s">
        <v>636</v>
      </c>
      <c r="M880" s="360">
        <f t="shared" si="12"/>
        <v>51459</v>
      </c>
      <c r="N880" s="360">
        <f t="shared" si="9"/>
        <v>51465</v>
      </c>
      <c r="O880" s="2">
        <f t="shared" si="10"/>
        <v>0</v>
      </c>
      <c r="P880" s="2">
        <f t="shared" si="11"/>
        <v>0</v>
      </c>
    </row>
    <row r="881">
      <c r="A881" s="344">
        <f t="shared" si="5"/>
        <v>850</v>
      </c>
      <c r="B881" s="344">
        <f t="shared" si="6"/>
        <v>90</v>
      </c>
      <c r="C881" s="369"/>
      <c r="D881" s="389" t="str">
        <f t="shared" si="7"/>
        <v>Saturday</v>
      </c>
      <c r="E881" s="344" t="s">
        <v>162</v>
      </c>
      <c r="F881" s="370"/>
      <c r="G881" s="370"/>
      <c r="H881" s="357">
        <f t="shared" si="29"/>
        <v>0</v>
      </c>
      <c r="I881" s="346">
        <f t="shared" si="31"/>
        <v>0</v>
      </c>
      <c r="J881" s="354" t="s">
        <v>636</v>
      </c>
      <c r="M881" s="360">
        <f t="shared" si="12"/>
        <v>51466</v>
      </c>
      <c r="N881" s="360">
        <f t="shared" si="9"/>
        <v>51472</v>
      </c>
      <c r="O881" s="2">
        <f t="shared" si="10"/>
        <v>0</v>
      </c>
      <c r="P881" s="2">
        <f t="shared" si="11"/>
        <v>0</v>
      </c>
    </row>
    <row r="882">
      <c r="A882" s="344">
        <f t="shared" si="5"/>
        <v>850</v>
      </c>
      <c r="B882" s="344">
        <f t="shared" si="6"/>
        <v>90</v>
      </c>
      <c r="C882" s="369"/>
      <c r="D882" s="389" t="str">
        <f t="shared" si="7"/>
        <v>Saturday</v>
      </c>
      <c r="E882" s="344" t="s">
        <v>162</v>
      </c>
      <c r="F882" s="370"/>
      <c r="G882" s="370"/>
      <c r="H882" s="357">
        <f t="shared" si="29"/>
        <v>0</v>
      </c>
      <c r="I882" s="346">
        <f t="shared" si="31"/>
        <v>0</v>
      </c>
      <c r="J882" s="354" t="s">
        <v>636</v>
      </c>
      <c r="M882" s="360">
        <f t="shared" si="12"/>
        <v>51473</v>
      </c>
      <c r="N882" s="360">
        <f t="shared" si="9"/>
        <v>51479</v>
      </c>
      <c r="O882" s="2">
        <f t="shared" si="10"/>
        <v>0</v>
      </c>
      <c r="P882" s="2">
        <f t="shared" si="11"/>
        <v>0</v>
      </c>
    </row>
    <row r="883">
      <c r="A883" s="344">
        <f t="shared" si="5"/>
        <v>850</v>
      </c>
      <c r="B883" s="344">
        <f t="shared" si="6"/>
        <v>90</v>
      </c>
      <c r="C883" s="369"/>
      <c r="D883" s="389" t="str">
        <f t="shared" si="7"/>
        <v>Saturday</v>
      </c>
      <c r="E883" s="344" t="s">
        <v>162</v>
      </c>
      <c r="F883" s="370"/>
      <c r="G883" s="370"/>
      <c r="H883" s="357">
        <f t="shared" si="29"/>
        <v>0</v>
      </c>
      <c r="I883" s="346">
        <f t="shared" si="31"/>
        <v>0</v>
      </c>
      <c r="J883" s="354" t="s">
        <v>636</v>
      </c>
      <c r="M883" s="360">
        <f t="shared" si="12"/>
        <v>51480</v>
      </c>
      <c r="N883" s="360">
        <f t="shared" si="9"/>
        <v>51486</v>
      </c>
      <c r="O883" s="2">
        <f t="shared" si="10"/>
        <v>0</v>
      </c>
      <c r="P883" s="2">
        <f t="shared" si="11"/>
        <v>0</v>
      </c>
    </row>
    <row r="884">
      <c r="A884" s="344">
        <f t="shared" si="5"/>
        <v>850</v>
      </c>
      <c r="B884" s="344">
        <f t="shared" si="6"/>
        <v>90</v>
      </c>
      <c r="C884" s="369"/>
      <c r="D884" s="389" t="str">
        <f t="shared" si="7"/>
        <v>Saturday</v>
      </c>
      <c r="E884" s="344" t="s">
        <v>162</v>
      </c>
      <c r="F884" s="370"/>
      <c r="G884" s="370"/>
      <c r="H884" s="357">
        <f t="shared" si="29"/>
        <v>0</v>
      </c>
      <c r="I884" s="346">
        <f t="shared" si="31"/>
        <v>0</v>
      </c>
      <c r="J884" s="354" t="s">
        <v>636</v>
      </c>
      <c r="M884" s="360">
        <f t="shared" si="12"/>
        <v>51487</v>
      </c>
      <c r="N884" s="360">
        <f t="shared" si="9"/>
        <v>51493</v>
      </c>
      <c r="O884" s="2">
        <f t="shared" si="10"/>
        <v>0</v>
      </c>
      <c r="P884" s="2">
        <f t="shared" si="11"/>
        <v>0</v>
      </c>
    </row>
    <row r="885">
      <c r="A885" s="344">
        <f t="shared" si="5"/>
        <v>850</v>
      </c>
      <c r="B885" s="344">
        <f t="shared" si="6"/>
        <v>90</v>
      </c>
      <c r="C885" s="369"/>
      <c r="D885" s="389" t="str">
        <f t="shared" si="7"/>
        <v>Saturday</v>
      </c>
      <c r="E885" s="344" t="s">
        <v>162</v>
      </c>
      <c r="F885" s="370"/>
      <c r="G885" s="370"/>
      <c r="H885" s="357">
        <f t="shared" si="29"/>
        <v>0</v>
      </c>
      <c r="I885" s="346">
        <f t="shared" si="31"/>
        <v>0</v>
      </c>
      <c r="J885" s="354" t="s">
        <v>636</v>
      </c>
      <c r="M885" s="360">
        <f t="shared" si="12"/>
        <v>51494</v>
      </c>
      <c r="N885" s="360">
        <f t="shared" si="9"/>
        <v>51500</v>
      </c>
      <c r="O885" s="2">
        <f t="shared" si="10"/>
        <v>0</v>
      </c>
      <c r="P885" s="2">
        <f t="shared" si="11"/>
        <v>0</v>
      </c>
    </row>
    <row r="886">
      <c r="A886" s="344">
        <f t="shared" si="5"/>
        <v>850</v>
      </c>
      <c r="B886" s="344">
        <f t="shared" si="6"/>
        <v>90</v>
      </c>
      <c r="C886" s="369"/>
      <c r="D886" s="389" t="str">
        <f t="shared" si="7"/>
        <v>Saturday</v>
      </c>
      <c r="E886" s="344" t="s">
        <v>162</v>
      </c>
      <c r="F886" s="370"/>
      <c r="G886" s="370"/>
      <c r="H886" s="357">
        <f t="shared" si="29"/>
        <v>0</v>
      </c>
      <c r="I886" s="346">
        <f t="shared" si="31"/>
        <v>0</v>
      </c>
      <c r="J886" s="354" t="s">
        <v>636</v>
      </c>
      <c r="M886" s="360">
        <f t="shared" si="12"/>
        <v>51501</v>
      </c>
      <c r="N886" s="360">
        <f t="shared" si="9"/>
        <v>51507</v>
      </c>
      <c r="O886" s="2">
        <f t="shared" si="10"/>
        <v>0</v>
      </c>
      <c r="P886" s="2">
        <f t="shared" si="11"/>
        <v>0</v>
      </c>
    </row>
    <row r="887">
      <c r="A887" s="344">
        <f t="shared" si="5"/>
        <v>850</v>
      </c>
      <c r="B887" s="344">
        <f t="shared" si="6"/>
        <v>90</v>
      </c>
      <c r="C887" s="369"/>
      <c r="D887" s="389" t="str">
        <f t="shared" si="7"/>
        <v>Saturday</v>
      </c>
      <c r="E887" s="344" t="s">
        <v>162</v>
      </c>
      <c r="F887" s="370"/>
      <c r="G887" s="370"/>
      <c r="H887" s="357">
        <f t="shared" si="29"/>
        <v>0</v>
      </c>
      <c r="I887" s="346">
        <f t="shared" si="31"/>
        <v>0</v>
      </c>
      <c r="J887" s="354" t="s">
        <v>636</v>
      </c>
      <c r="M887" s="360">
        <f t="shared" si="12"/>
        <v>51508</v>
      </c>
      <c r="N887" s="360">
        <f t="shared" si="9"/>
        <v>51514</v>
      </c>
      <c r="O887" s="2">
        <f t="shared" si="10"/>
        <v>0</v>
      </c>
      <c r="P887" s="2">
        <f t="shared" si="11"/>
        <v>0</v>
      </c>
    </row>
    <row r="888">
      <c r="A888" s="344">
        <f t="shared" si="5"/>
        <v>850</v>
      </c>
      <c r="B888" s="344">
        <f t="shared" si="6"/>
        <v>90</v>
      </c>
      <c r="C888" s="369"/>
      <c r="D888" s="389" t="str">
        <f t="shared" si="7"/>
        <v>Saturday</v>
      </c>
      <c r="E888" s="344" t="s">
        <v>162</v>
      </c>
      <c r="F888" s="370"/>
      <c r="G888" s="370"/>
      <c r="H888" s="357">
        <f t="shared" si="29"/>
        <v>0</v>
      </c>
      <c r="I888" s="346">
        <f t="shared" si="31"/>
        <v>0</v>
      </c>
      <c r="J888" s="354" t="s">
        <v>636</v>
      </c>
      <c r="M888" s="360">
        <f t="shared" si="12"/>
        <v>51515</v>
      </c>
      <c r="N888" s="360">
        <f t="shared" si="9"/>
        <v>51521</v>
      </c>
      <c r="O888" s="2">
        <f t="shared" si="10"/>
        <v>0</v>
      </c>
      <c r="P888" s="2">
        <f t="shared" si="11"/>
        <v>0</v>
      </c>
    </row>
    <row r="889">
      <c r="A889" s="344">
        <f t="shared" si="5"/>
        <v>850</v>
      </c>
      <c r="B889" s="344">
        <f t="shared" si="6"/>
        <v>90</v>
      </c>
      <c r="C889" s="369"/>
      <c r="D889" s="389" t="str">
        <f t="shared" si="7"/>
        <v>Saturday</v>
      </c>
      <c r="E889" s="344" t="s">
        <v>162</v>
      </c>
      <c r="F889" s="370"/>
      <c r="G889" s="370"/>
      <c r="H889" s="357">
        <f t="shared" si="29"/>
        <v>0</v>
      </c>
      <c r="I889" s="346">
        <f t="shared" si="31"/>
        <v>0</v>
      </c>
      <c r="J889" s="354" t="s">
        <v>636</v>
      </c>
      <c r="M889" s="360">
        <f t="shared" si="12"/>
        <v>51522</v>
      </c>
      <c r="N889" s="360">
        <f t="shared" si="9"/>
        <v>51528</v>
      </c>
      <c r="O889" s="2">
        <f t="shared" si="10"/>
        <v>0</v>
      </c>
      <c r="P889" s="2">
        <f t="shared" si="11"/>
        <v>0</v>
      </c>
    </row>
    <row r="890">
      <c r="A890" s="344">
        <f t="shared" si="5"/>
        <v>850</v>
      </c>
      <c r="B890" s="344">
        <f t="shared" si="6"/>
        <v>90</v>
      </c>
      <c r="C890" s="369"/>
      <c r="D890" s="389" t="str">
        <f t="shared" si="7"/>
        <v>Saturday</v>
      </c>
      <c r="E890" s="344" t="s">
        <v>162</v>
      </c>
      <c r="F890" s="370"/>
      <c r="G890" s="370"/>
      <c r="H890" s="357">
        <f t="shared" si="29"/>
        <v>0</v>
      </c>
      <c r="I890" s="346">
        <f t="shared" si="31"/>
        <v>0</v>
      </c>
      <c r="J890" s="354" t="s">
        <v>636</v>
      </c>
      <c r="M890" s="360">
        <f t="shared" si="12"/>
        <v>51529</v>
      </c>
      <c r="N890" s="360">
        <f t="shared" si="9"/>
        <v>51535</v>
      </c>
      <c r="O890" s="2">
        <f t="shared" si="10"/>
        <v>0</v>
      </c>
      <c r="P890" s="2">
        <f t="shared" si="11"/>
        <v>0</v>
      </c>
    </row>
    <row r="891">
      <c r="A891" s="344">
        <f t="shared" si="5"/>
        <v>850</v>
      </c>
      <c r="B891" s="344">
        <f t="shared" si="6"/>
        <v>90</v>
      </c>
      <c r="C891" s="369"/>
      <c r="D891" s="389" t="str">
        <f t="shared" si="7"/>
        <v>Saturday</v>
      </c>
      <c r="E891" s="344" t="s">
        <v>162</v>
      </c>
      <c r="F891" s="370"/>
      <c r="G891" s="370"/>
      <c r="H891" s="357">
        <f t="shared" si="29"/>
        <v>0</v>
      </c>
      <c r="I891" s="346">
        <f t="shared" si="31"/>
        <v>0</v>
      </c>
      <c r="J891" s="354" t="s">
        <v>636</v>
      </c>
      <c r="M891" s="360">
        <f t="shared" si="12"/>
        <v>51536</v>
      </c>
      <c r="N891" s="360">
        <f t="shared" si="9"/>
        <v>51542</v>
      </c>
      <c r="O891" s="2">
        <f t="shared" si="10"/>
        <v>0</v>
      </c>
      <c r="P891" s="2">
        <f t="shared" si="11"/>
        <v>0</v>
      </c>
    </row>
    <row r="892">
      <c r="A892" s="344">
        <f t="shared" si="5"/>
        <v>850</v>
      </c>
      <c r="B892" s="344">
        <f t="shared" si="6"/>
        <v>90</v>
      </c>
      <c r="C892" s="369"/>
      <c r="D892" s="389" t="str">
        <f t="shared" si="7"/>
        <v>Saturday</v>
      </c>
      <c r="E892" s="344" t="s">
        <v>162</v>
      </c>
      <c r="F892" s="370"/>
      <c r="G892" s="370"/>
      <c r="H892" s="357">
        <f t="shared" si="29"/>
        <v>0</v>
      </c>
      <c r="I892" s="346">
        <f t="shared" si="31"/>
        <v>0</v>
      </c>
      <c r="J892" s="354" t="s">
        <v>636</v>
      </c>
      <c r="M892" s="360">
        <f t="shared" si="12"/>
        <v>51543</v>
      </c>
      <c r="N892" s="360">
        <f t="shared" si="9"/>
        <v>51549</v>
      </c>
      <c r="O892" s="2">
        <f t="shared" si="10"/>
        <v>0</v>
      </c>
      <c r="P892" s="2">
        <f t="shared" si="11"/>
        <v>0</v>
      </c>
    </row>
    <row r="893">
      <c r="A893" s="344">
        <f t="shared" si="5"/>
        <v>850</v>
      </c>
      <c r="B893" s="344">
        <f t="shared" si="6"/>
        <v>90</v>
      </c>
      <c r="C893" s="369"/>
      <c r="D893" s="389" t="str">
        <f t="shared" si="7"/>
        <v>Saturday</v>
      </c>
      <c r="E893" s="344" t="s">
        <v>162</v>
      </c>
      <c r="F893" s="370"/>
      <c r="G893" s="370"/>
      <c r="H893" s="357">
        <f t="shared" si="29"/>
        <v>0</v>
      </c>
      <c r="I893" s="346">
        <f t="shared" si="31"/>
        <v>0</v>
      </c>
      <c r="J893" s="354" t="s">
        <v>636</v>
      </c>
      <c r="M893" s="360">
        <f t="shared" si="12"/>
        <v>51550</v>
      </c>
      <c r="N893" s="360">
        <f t="shared" si="9"/>
        <v>51556</v>
      </c>
      <c r="O893" s="2">
        <f t="shared" si="10"/>
        <v>0</v>
      </c>
      <c r="P893" s="2">
        <f t="shared" si="11"/>
        <v>0</v>
      </c>
    </row>
    <row r="894">
      <c r="A894" s="344">
        <f t="shared" si="5"/>
        <v>850</v>
      </c>
      <c r="B894" s="344">
        <f t="shared" si="6"/>
        <v>90</v>
      </c>
      <c r="C894" s="369"/>
      <c r="D894" s="389" t="str">
        <f t="shared" si="7"/>
        <v>Saturday</v>
      </c>
      <c r="E894" s="344" t="s">
        <v>162</v>
      </c>
      <c r="F894" s="370"/>
      <c r="G894" s="370"/>
      <c r="H894" s="357">
        <f t="shared" si="29"/>
        <v>0</v>
      </c>
      <c r="I894" s="346">
        <f t="shared" si="31"/>
        <v>0</v>
      </c>
      <c r="J894" s="354" t="s">
        <v>636</v>
      </c>
      <c r="M894" s="360">
        <f t="shared" si="12"/>
        <v>51557</v>
      </c>
      <c r="N894" s="360">
        <f t="shared" si="9"/>
        <v>51563</v>
      </c>
      <c r="O894" s="2">
        <f t="shared" si="10"/>
        <v>0</v>
      </c>
      <c r="P894" s="2">
        <f t="shared" si="11"/>
        <v>0</v>
      </c>
    </row>
    <row r="895">
      <c r="A895" s="344">
        <f t="shared" si="5"/>
        <v>850</v>
      </c>
      <c r="B895" s="344">
        <f t="shared" si="6"/>
        <v>90</v>
      </c>
      <c r="C895" s="369"/>
      <c r="D895" s="389" t="str">
        <f t="shared" si="7"/>
        <v>Saturday</v>
      </c>
      <c r="E895" s="344" t="s">
        <v>162</v>
      </c>
      <c r="F895" s="370"/>
      <c r="G895" s="370"/>
      <c r="H895" s="357">
        <f t="shared" si="29"/>
        <v>0</v>
      </c>
      <c r="I895" s="346">
        <f t="shared" si="31"/>
        <v>0</v>
      </c>
      <c r="J895" s="354" t="s">
        <v>636</v>
      </c>
      <c r="M895" s="360">
        <f t="shared" si="12"/>
        <v>51564</v>
      </c>
      <c r="N895" s="360">
        <f t="shared" si="9"/>
        <v>51570</v>
      </c>
      <c r="O895" s="2">
        <f t="shared" si="10"/>
        <v>0</v>
      </c>
      <c r="P895" s="2">
        <f t="shared" si="11"/>
        <v>0</v>
      </c>
    </row>
    <row r="896">
      <c r="A896" s="344">
        <f t="shared" si="5"/>
        <v>850</v>
      </c>
      <c r="B896" s="344">
        <f t="shared" si="6"/>
        <v>90</v>
      </c>
      <c r="C896" s="369"/>
      <c r="D896" s="389" t="str">
        <f t="shared" si="7"/>
        <v>Saturday</v>
      </c>
      <c r="E896" s="344" t="s">
        <v>162</v>
      </c>
      <c r="F896" s="370"/>
      <c r="G896" s="370"/>
      <c r="H896" s="357">
        <f t="shared" si="29"/>
        <v>0</v>
      </c>
      <c r="I896" s="346">
        <f t="shared" si="31"/>
        <v>0</v>
      </c>
      <c r="J896" s="354" t="s">
        <v>636</v>
      </c>
      <c r="M896" s="360">
        <f t="shared" si="12"/>
        <v>51571</v>
      </c>
      <c r="N896" s="360">
        <f t="shared" si="9"/>
        <v>51577</v>
      </c>
      <c r="O896" s="2">
        <f t="shared" si="10"/>
        <v>0</v>
      </c>
      <c r="P896" s="2">
        <f t="shared" si="11"/>
        <v>0</v>
      </c>
    </row>
    <row r="897">
      <c r="A897" s="344">
        <f t="shared" si="5"/>
        <v>850</v>
      </c>
      <c r="B897" s="344">
        <f t="shared" si="6"/>
        <v>90</v>
      </c>
      <c r="C897" s="369"/>
      <c r="D897" s="389" t="str">
        <f t="shared" si="7"/>
        <v>Saturday</v>
      </c>
      <c r="E897" s="344" t="s">
        <v>162</v>
      </c>
      <c r="F897" s="370"/>
      <c r="G897" s="370"/>
      <c r="H897" s="357">
        <f t="shared" si="29"/>
        <v>0</v>
      </c>
      <c r="I897" s="346">
        <f t="shared" si="31"/>
        <v>0</v>
      </c>
      <c r="J897" s="354" t="s">
        <v>636</v>
      </c>
      <c r="M897" s="360">
        <f t="shared" si="12"/>
        <v>51578</v>
      </c>
      <c r="N897" s="360">
        <f t="shared" si="9"/>
        <v>51584</v>
      </c>
      <c r="O897" s="2">
        <f t="shared" si="10"/>
        <v>0</v>
      </c>
      <c r="P897" s="2">
        <f t="shared" si="11"/>
        <v>0</v>
      </c>
    </row>
    <row r="898">
      <c r="A898" s="344">
        <f t="shared" si="5"/>
        <v>850</v>
      </c>
      <c r="B898" s="344">
        <f t="shared" si="6"/>
        <v>90</v>
      </c>
      <c r="C898" s="369"/>
      <c r="D898" s="389" t="str">
        <f t="shared" si="7"/>
        <v>Saturday</v>
      </c>
      <c r="E898" s="344" t="s">
        <v>162</v>
      </c>
      <c r="F898" s="370"/>
      <c r="G898" s="370"/>
      <c r="H898" s="357">
        <f t="shared" si="29"/>
        <v>0</v>
      </c>
      <c r="I898" s="346">
        <f t="shared" si="31"/>
        <v>0</v>
      </c>
      <c r="J898" s="354" t="s">
        <v>636</v>
      </c>
      <c r="M898" s="360">
        <f t="shared" si="12"/>
        <v>51585</v>
      </c>
      <c r="N898" s="360">
        <f t="shared" si="9"/>
        <v>51591</v>
      </c>
      <c r="O898" s="2">
        <f t="shared" si="10"/>
        <v>0</v>
      </c>
      <c r="P898" s="2">
        <f t="shared" si="11"/>
        <v>0</v>
      </c>
    </row>
    <row r="899">
      <c r="A899" s="344">
        <f t="shared" si="5"/>
        <v>850</v>
      </c>
      <c r="B899" s="344">
        <f t="shared" si="6"/>
        <v>90</v>
      </c>
      <c r="C899" s="369"/>
      <c r="D899" s="389" t="str">
        <f t="shared" si="7"/>
        <v>Saturday</v>
      </c>
      <c r="E899" s="344" t="s">
        <v>162</v>
      </c>
      <c r="F899" s="370"/>
      <c r="G899" s="370"/>
      <c r="H899" s="357">
        <f t="shared" si="29"/>
        <v>0</v>
      </c>
      <c r="I899" s="346">
        <f t="shared" si="31"/>
        <v>0</v>
      </c>
      <c r="J899" s="354" t="s">
        <v>636</v>
      </c>
      <c r="M899" s="360">
        <f t="shared" si="12"/>
        <v>51592</v>
      </c>
      <c r="N899" s="360">
        <f t="shared" si="9"/>
        <v>51598</v>
      </c>
      <c r="O899" s="2">
        <f t="shared" si="10"/>
        <v>0</v>
      </c>
      <c r="P899" s="2">
        <f t="shared" si="11"/>
        <v>0</v>
      </c>
    </row>
    <row r="900">
      <c r="A900" s="344">
        <f t="shared" si="5"/>
        <v>850</v>
      </c>
      <c r="B900" s="344">
        <f t="shared" si="6"/>
        <v>90</v>
      </c>
      <c r="C900" s="369"/>
      <c r="D900" s="389" t="str">
        <f t="shared" si="7"/>
        <v>Saturday</v>
      </c>
      <c r="E900" s="344" t="s">
        <v>162</v>
      </c>
      <c r="F900" s="370"/>
      <c r="G900" s="370"/>
      <c r="H900" s="357">
        <f t="shared" si="29"/>
        <v>0</v>
      </c>
      <c r="I900" s="346">
        <f t="shared" si="31"/>
        <v>0</v>
      </c>
      <c r="J900" s="354" t="s">
        <v>636</v>
      </c>
      <c r="M900" s="360">
        <f t="shared" si="12"/>
        <v>51599</v>
      </c>
      <c r="N900" s="360">
        <f t="shared" si="9"/>
        <v>51605</v>
      </c>
      <c r="O900" s="2">
        <f t="shared" si="10"/>
        <v>0</v>
      </c>
      <c r="P900" s="2">
        <f t="shared" si="11"/>
        <v>0</v>
      </c>
    </row>
    <row r="901">
      <c r="A901" s="344">
        <f t="shared" si="5"/>
        <v>850</v>
      </c>
      <c r="B901" s="344">
        <f t="shared" si="6"/>
        <v>90</v>
      </c>
      <c r="C901" s="369"/>
      <c r="D901" s="389" t="str">
        <f t="shared" si="7"/>
        <v>Saturday</v>
      </c>
      <c r="E901" s="344" t="s">
        <v>162</v>
      </c>
      <c r="F901" s="370"/>
      <c r="G901" s="370"/>
      <c r="H901" s="357">
        <f t="shared" si="29"/>
        <v>0</v>
      </c>
      <c r="I901" s="346">
        <f t="shared" si="31"/>
        <v>0</v>
      </c>
      <c r="J901" s="354" t="s">
        <v>636</v>
      </c>
      <c r="M901" s="360">
        <f t="shared" si="12"/>
        <v>51606</v>
      </c>
      <c r="N901" s="360">
        <f t="shared" si="9"/>
        <v>51612</v>
      </c>
      <c r="O901" s="2">
        <f t="shared" si="10"/>
        <v>0</v>
      </c>
      <c r="P901" s="2">
        <f t="shared" si="11"/>
        <v>0</v>
      </c>
    </row>
    <row r="902">
      <c r="A902" s="344">
        <f t="shared" si="5"/>
        <v>850</v>
      </c>
      <c r="B902" s="344">
        <f t="shared" si="6"/>
        <v>90</v>
      </c>
      <c r="C902" s="369"/>
      <c r="D902" s="389" t="str">
        <f t="shared" si="7"/>
        <v>Saturday</v>
      </c>
      <c r="E902" s="344" t="s">
        <v>162</v>
      </c>
      <c r="F902" s="370"/>
      <c r="G902" s="370"/>
      <c r="H902" s="357">
        <f t="shared" si="29"/>
        <v>0</v>
      </c>
      <c r="I902" s="346">
        <f t="shared" si="31"/>
        <v>0</v>
      </c>
      <c r="J902" s="354" t="s">
        <v>636</v>
      </c>
      <c r="M902" s="360">
        <f t="shared" si="12"/>
        <v>51613</v>
      </c>
      <c r="N902" s="360">
        <f t="shared" si="9"/>
        <v>51619</v>
      </c>
      <c r="O902" s="2">
        <f t="shared" si="10"/>
        <v>0</v>
      </c>
      <c r="P902" s="2">
        <f t="shared" si="11"/>
        <v>0</v>
      </c>
    </row>
    <row r="903">
      <c r="A903" s="344">
        <f t="shared" si="5"/>
        <v>850</v>
      </c>
      <c r="B903" s="344">
        <f t="shared" si="6"/>
        <v>90</v>
      </c>
      <c r="C903" s="369"/>
      <c r="D903" s="389" t="str">
        <f t="shared" si="7"/>
        <v>Saturday</v>
      </c>
      <c r="E903" s="344" t="s">
        <v>162</v>
      </c>
      <c r="F903" s="370"/>
      <c r="G903" s="370"/>
      <c r="H903" s="357">
        <f t="shared" si="29"/>
        <v>0</v>
      </c>
      <c r="I903" s="346">
        <f t="shared" si="31"/>
        <v>0</v>
      </c>
      <c r="J903" s="354" t="s">
        <v>636</v>
      </c>
      <c r="M903" s="360">
        <f t="shared" si="12"/>
        <v>51620</v>
      </c>
      <c r="N903" s="360">
        <f t="shared" si="9"/>
        <v>51626</v>
      </c>
      <c r="O903" s="2">
        <f t="shared" si="10"/>
        <v>0</v>
      </c>
      <c r="P903" s="2">
        <f t="shared" si="11"/>
        <v>0</v>
      </c>
    </row>
    <row r="904">
      <c r="A904" s="344">
        <f t="shared" si="5"/>
        <v>850</v>
      </c>
      <c r="B904" s="344">
        <f t="shared" si="6"/>
        <v>90</v>
      </c>
      <c r="C904" s="369"/>
      <c r="D904" s="389" t="str">
        <f t="shared" si="7"/>
        <v>Saturday</v>
      </c>
      <c r="E904" s="344" t="s">
        <v>162</v>
      </c>
      <c r="F904" s="370"/>
      <c r="G904" s="370"/>
      <c r="H904" s="357">
        <f t="shared" si="29"/>
        <v>0</v>
      </c>
      <c r="I904" s="346">
        <f t="shared" si="31"/>
        <v>0</v>
      </c>
      <c r="J904" s="354" t="s">
        <v>636</v>
      </c>
      <c r="M904" s="360">
        <f t="shared" si="12"/>
        <v>51627</v>
      </c>
      <c r="N904" s="360">
        <f t="shared" si="9"/>
        <v>51633</v>
      </c>
      <c r="O904" s="2">
        <f t="shared" si="10"/>
        <v>0</v>
      </c>
      <c r="P904" s="2">
        <f t="shared" si="11"/>
        <v>0</v>
      </c>
    </row>
    <row r="905">
      <c r="A905" s="344">
        <f t="shared" si="5"/>
        <v>850</v>
      </c>
      <c r="B905" s="344">
        <f t="shared" si="6"/>
        <v>90</v>
      </c>
      <c r="C905" s="369"/>
      <c r="D905" s="389" t="str">
        <f t="shared" si="7"/>
        <v>Saturday</v>
      </c>
      <c r="E905" s="344" t="s">
        <v>162</v>
      </c>
      <c r="F905" s="370"/>
      <c r="G905" s="370"/>
      <c r="H905" s="357">
        <f t="shared" si="29"/>
        <v>0</v>
      </c>
      <c r="I905" s="346">
        <f t="shared" si="31"/>
        <v>0</v>
      </c>
      <c r="J905" s="354" t="s">
        <v>636</v>
      </c>
      <c r="M905" s="360">
        <f t="shared" si="12"/>
        <v>51634</v>
      </c>
      <c r="N905" s="360">
        <f t="shared" si="9"/>
        <v>51640</v>
      </c>
      <c r="O905" s="2">
        <f t="shared" si="10"/>
        <v>0</v>
      </c>
      <c r="P905" s="2">
        <f t="shared" si="11"/>
        <v>0</v>
      </c>
    </row>
    <row r="906">
      <c r="A906" s="344">
        <f t="shared" si="5"/>
        <v>850</v>
      </c>
      <c r="B906" s="344">
        <f t="shared" si="6"/>
        <v>90</v>
      </c>
      <c r="C906" s="369"/>
      <c r="D906" s="389" t="str">
        <f t="shared" si="7"/>
        <v>Saturday</v>
      </c>
      <c r="E906" s="344" t="s">
        <v>162</v>
      </c>
      <c r="F906" s="370"/>
      <c r="G906" s="370"/>
      <c r="H906" s="357">
        <f t="shared" si="29"/>
        <v>0</v>
      </c>
      <c r="I906" s="346">
        <f t="shared" si="31"/>
        <v>0</v>
      </c>
      <c r="J906" s="354" t="s">
        <v>636</v>
      </c>
      <c r="M906" s="360">
        <f t="shared" si="12"/>
        <v>51641</v>
      </c>
      <c r="N906" s="360">
        <f t="shared" si="9"/>
        <v>51647</v>
      </c>
      <c r="O906" s="2">
        <f t="shared" si="10"/>
        <v>0</v>
      </c>
      <c r="P906" s="2">
        <f t="shared" si="11"/>
        <v>0</v>
      </c>
    </row>
    <row r="907">
      <c r="A907" s="344">
        <f t="shared" si="5"/>
        <v>850</v>
      </c>
      <c r="B907" s="344">
        <f t="shared" si="6"/>
        <v>90</v>
      </c>
      <c r="C907" s="369"/>
      <c r="D907" s="389" t="str">
        <f t="shared" si="7"/>
        <v>Saturday</v>
      </c>
      <c r="E907" s="344" t="s">
        <v>162</v>
      </c>
      <c r="F907" s="370"/>
      <c r="G907" s="370"/>
      <c r="H907" s="357">
        <f t="shared" si="29"/>
        <v>0</v>
      </c>
      <c r="I907" s="346">
        <f t="shared" si="31"/>
        <v>0</v>
      </c>
      <c r="J907" s="354" t="s">
        <v>636</v>
      </c>
      <c r="M907" s="360">
        <f t="shared" si="12"/>
        <v>51648</v>
      </c>
      <c r="N907" s="360">
        <f t="shared" si="9"/>
        <v>51654</v>
      </c>
      <c r="O907" s="2">
        <f t="shared" si="10"/>
        <v>0</v>
      </c>
      <c r="P907" s="2">
        <f t="shared" si="11"/>
        <v>0</v>
      </c>
    </row>
    <row r="908">
      <c r="A908" s="344">
        <f t="shared" si="5"/>
        <v>850</v>
      </c>
      <c r="B908" s="344">
        <f t="shared" si="6"/>
        <v>90</v>
      </c>
      <c r="C908" s="369"/>
      <c r="D908" s="389" t="str">
        <f t="shared" si="7"/>
        <v>Saturday</v>
      </c>
      <c r="E908" s="344" t="s">
        <v>162</v>
      </c>
      <c r="F908" s="370"/>
      <c r="G908" s="370"/>
      <c r="H908" s="357">
        <f t="shared" si="29"/>
        <v>0</v>
      </c>
      <c r="I908" s="346">
        <f t="shared" si="31"/>
        <v>0</v>
      </c>
      <c r="J908" s="354" t="s">
        <v>636</v>
      </c>
      <c r="M908" s="360">
        <f t="shared" si="12"/>
        <v>51655</v>
      </c>
      <c r="N908" s="360">
        <f t="shared" si="9"/>
        <v>51661</v>
      </c>
      <c r="O908" s="2">
        <f t="shared" si="10"/>
        <v>0</v>
      </c>
      <c r="P908" s="2">
        <f t="shared" si="11"/>
        <v>0</v>
      </c>
    </row>
    <row r="909">
      <c r="A909" s="344">
        <f t="shared" si="5"/>
        <v>850</v>
      </c>
      <c r="B909" s="344">
        <f t="shared" si="6"/>
        <v>90</v>
      </c>
      <c r="C909" s="369"/>
      <c r="D909" s="389" t="str">
        <f t="shared" si="7"/>
        <v>Saturday</v>
      </c>
      <c r="E909" s="344" t="s">
        <v>162</v>
      </c>
      <c r="F909" s="370"/>
      <c r="G909" s="370"/>
      <c r="H909" s="357">
        <f t="shared" si="29"/>
        <v>0</v>
      </c>
      <c r="I909" s="346">
        <f t="shared" si="31"/>
        <v>0</v>
      </c>
      <c r="J909" s="354" t="s">
        <v>636</v>
      </c>
      <c r="M909" s="360">
        <f t="shared" si="12"/>
        <v>51662</v>
      </c>
      <c r="N909" s="360">
        <f t="shared" si="9"/>
        <v>51668</v>
      </c>
      <c r="O909" s="2">
        <f t="shared" si="10"/>
        <v>0</v>
      </c>
      <c r="P909" s="2">
        <f t="shared" si="11"/>
        <v>0</v>
      </c>
    </row>
    <row r="910">
      <c r="A910" s="344">
        <f t="shared" si="5"/>
        <v>850</v>
      </c>
      <c r="B910" s="344">
        <f t="shared" si="6"/>
        <v>90</v>
      </c>
      <c r="C910" s="369"/>
      <c r="D910" s="389" t="str">
        <f t="shared" si="7"/>
        <v>Saturday</v>
      </c>
      <c r="E910" s="344" t="s">
        <v>162</v>
      </c>
      <c r="F910" s="370"/>
      <c r="G910" s="370"/>
      <c r="H910" s="357">
        <f t="shared" si="29"/>
        <v>0</v>
      </c>
      <c r="I910" s="346">
        <f t="shared" si="31"/>
        <v>0</v>
      </c>
      <c r="J910" s="354" t="s">
        <v>636</v>
      </c>
      <c r="M910" s="360">
        <f t="shared" si="12"/>
        <v>51669</v>
      </c>
      <c r="N910" s="360">
        <f t="shared" si="9"/>
        <v>51675</v>
      </c>
      <c r="O910" s="2">
        <f t="shared" si="10"/>
        <v>0</v>
      </c>
      <c r="P910" s="2">
        <f t="shared" si="11"/>
        <v>0</v>
      </c>
    </row>
    <row r="911">
      <c r="A911" s="344">
        <f t="shared" si="5"/>
        <v>850</v>
      </c>
      <c r="B911" s="344">
        <f t="shared" si="6"/>
        <v>90</v>
      </c>
      <c r="C911" s="369"/>
      <c r="D911" s="389" t="str">
        <f t="shared" si="7"/>
        <v>Saturday</v>
      </c>
      <c r="E911" s="344" t="s">
        <v>162</v>
      </c>
      <c r="F911" s="370"/>
      <c r="G911" s="370"/>
      <c r="H911" s="357">
        <f t="shared" si="29"/>
        <v>0</v>
      </c>
      <c r="I911" s="346">
        <f t="shared" si="31"/>
        <v>0</v>
      </c>
      <c r="J911" s="354" t="s">
        <v>636</v>
      </c>
      <c r="M911" s="360">
        <f t="shared" si="12"/>
        <v>51676</v>
      </c>
      <c r="N911" s="360">
        <f t="shared" si="9"/>
        <v>51682</v>
      </c>
      <c r="O911" s="2">
        <f t="shared" si="10"/>
        <v>0</v>
      </c>
      <c r="P911" s="2">
        <f t="shared" si="11"/>
        <v>0</v>
      </c>
    </row>
    <row r="912">
      <c r="A912" s="344">
        <f t="shared" si="5"/>
        <v>850</v>
      </c>
      <c r="B912" s="344">
        <f t="shared" si="6"/>
        <v>90</v>
      </c>
      <c r="C912" s="369"/>
      <c r="D912" s="389" t="str">
        <f t="shared" si="7"/>
        <v>Saturday</v>
      </c>
      <c r="E912" s="344" t="s">
        <v>162</v>
      </c>
      <c r="F912" s="370"/>
      <c r="G912" s="370"/>
      <c r="H912" s="357">
        <f t="shared" si="29"/>
        <v>0</v>
      </c>
      <c r="I912" s="346">
        <f t="shared" si="31"/>
        <v>0</v>
      </c>
      <c r="J912" s="354" t="s">
        <v>636</v>
      </c>
      <c r="M912" s="360">
        <f t="shared" si="12"/>
        <v>51683</v>
      </c>
      <c r="N912" s="360">
        <f t="shared" si="9"/>
        <v>51689</v>
      </c>
      <c r="O912" s="2">
        <f t="shared" si="10"/>
        <v>0</v>
      </c>
      <c r="P912" s="2">
        <f t="shared" si="11"/>
        <v>0</v>
      </c>
    </row>
    <row r="913">
      <c r="A913" s="344">
        <f t="shared" si="5"/>
        <v>850</v>
      </c>
      <c r="B913" s="344">
        <f t="shared" si="6"/>
        <v>90</v>
      </c>
      <c r="C913" s="369"/>
      <c r="D913" s="389" t="str">
        <f t="shared" si="7"/>
        <v>Saturday</v>
      </c>
      <c r="E913" s="344" t="s">
        <v>162</v>
      </c>
      <c r="F913" s="370"/>
      <c r="G913" s="370"/>
      <c r="H913" s="357">
        <f t="shared" si="29"/>
        <v>0</v>
      </c>
      <c r="I913" s="346">
        <f t="shared" si="31"/>
        <v>0</v>
      </c>
      <c r="J913" s="354" t="s">
        <v>636</v>
      </c>
      <c r="M913" s="360">
        <f t="shared" si="12"/>
        <v>51690</v>
      </c>
      <c r="N913" s="360">
        <f t="shared" si="9"/>
        <v>51696</v>
      </c>
      <c r="O913" s="2">
        <f t="shared" si="10"/>
        <v>0</v>
      </c>
      <c r="P913" s="2">
        <f t="shared" si="11"/>
        <v>0</v>
      </c>
    </row>
    <row r="914">
      <c r="A914" s="344">
        <f t="shared" si="5"/>
        <v>850</v>
      </c>
      <c r="B914" s="344">
        <f t="shared" si="6"/>
        <v>90</v>
      </c>
      <c r="C914" s="369"/>
      <c r="D914" s="389" t="str">
        <f t="shared" si="7"/>
        <v>Saturday</v>
      </c>
      <c r="E914" s="344" t="s">
        <v>162</v>
      </c>
      <c r="F914" s="370"/>
      <c r="G914" s="370"/>
      <c r="H914" s="357">
        <f t="shared" si="29"/>
        <v>0</v>
      </c>
      <c r="I914" s="346">
        <f t="shared" si="31"/>
        <v>0</v>
      </c>
      <c r="J914" s="354" t="s">
        <v>636</v>
      </c>
      <c r="M914" s="360">
        <f t="shared" si="12"/>
        <v>51697</v>
      </c>
      <c r="N914" s="360">
        <f t="shared" si="9"/>
        <v>51703</v>
      </c>
      <c r="O914" s="2">
        <f t="shared" si="10"/>
        <v>0</v>
      </c>
      <c r="P914" s="2">
        <f t="shared" si="11"/>
        <v>0</v>
      </c>
    </row>
    <row r="915">
      <c r="A915" s="344">
        <f t="shared" si="5"/>
        <v>850</v>
      </c>
      <c r="B915" s="344">
        <f t="shared" si="6"/>
        <v>90</v>
      </c>
      <c r="C915" s="369"/>
      <c r="D915" s="389" t="str">
        <f t="shared" si="7"/>
        <v>Saturday</v>
      </c>
      <c r="E915" s="344" t="s">
        <v>162</v>
      </c>
      <c r="F915" s="370"/>
      <c r="G915" s="370"/>
      <c r="H915" s="357">
        <f t="shared" si="29"/>
        <v>0</v>
      </c>
      <c r="I915" s="346">
        <f t="shared" si="31"/>
        <v>0</v>
      </c>
      <c r="J915" s="354" t="s">
        <v>636</v>
      </c>
      <c r="M915" s="360">
        <f t="shared" si="12"/>
        <v>51704</v>
      </c>
      <c r="N915" s="360">
        <f t="shared" si="9"/>
        <v>51710</v>
      </c>
      <c r="O915" s="2">
        <f t="shared" si="10"/>
        <v>0</v>
      </c>
      <c r="P915" s="2">
        <f t="shared" si="11"/>
        <v>0</v>
      </c>
    </row>
    <row r="916">
      <c r="A916" s="344">
        <f t="shared" si="5"/>
        <v>850</v>
      </c>
      <c r="B916" s="344">
        <f t="shared" si="6"/>
        <v>90</v>
      </c>
      <c r="C916" s="369"/>
      <c r="D916" s="389" t="str">
        <f t="shared" si="7"/>
        <v>Saturday</v>
      </c>
      <c r="E916" s="344" t="s">
        <v>162</v>
      </c>
      <c r="F916" s="370"/>
      <c r="G916" s="370"/>
      <c r="H916" s="357">
        <f t="shared" si="29"/>
        <v>0</v>
      </c>
      <c r="I916" s="346">
        <f t="shared" si="31"/>
        <v>0</v>
      </c>
      <c r="J916" s="354" t="s">
        <v>636</v>
      </c>
      <c r="M916" s="360">
        <f t="shared" si="12"/>
        <v>51711</v>
      </c>
      <c r="N916" s="360">
        <f t="shared" si="9"/>
        <v>51717</v>
      </c>
      <c r="O916" s="2">
        <f t="shared" si="10"/>
        <v>0</v>
      </c>
      <c r="P916" s="2">
        <f t="shared" si="11"/>
        <v>0</v>
      </c>
    </row>
    <row r="917">
      <c r="A917" s="344">
        <f t="shared" si="5"/>
        <v>850</v>
      </c>
      <c r="B917" s="344">
        <f t="shared" si="6"/>
        <v>90</v>
      </c>
      <c r="C917" s="369"/>
      <c r="D917" s="389" t="str">
        <f t="shared" si="7"/>
        <v>Saturday</v>
      </c>
      <c r="E917" s="344" t="s">
        <v>162</v>
      </c>
      <c r="F917" s="370"/>
      <c r="G917" s="370"/>
      <c r="H917" s="357">
        <f t="shared" si="29"/>
        <v>0</v>
      </c>
      <c r="I917" s="346">
        <f t="shared" si="31"/>
        <v>0</v>
      </c>
      <c r="J917" s="354" t="s">
        <v>636</v>
      </c>
      <c r="M917" s="360">
        <f t="shared" si="12"/>
        <v>51718</v>
      </c>
      <c r="N917" s="360">
        <f t="shared" si="9"/>
        <v>51724</v>
      </c>
      <c r="O917" s="2">
        <f t="shared" si="10"/>
        <v>0</v>
      </c>
      <c r="P917" s="2">
        <f t="shared" si="11"/>
        <v>0</v>
      </c>
    </row>
    <row r="918">
      <c r="A918" s="344">
        <f t="shared" si="5"/>
        <v>850</v>
      </c>
      <c r="B918" s="344">
        <f t="shared" si="6"/>
        <v>90</v>
      </c>
      <c r="C918" s="369"/>
      <c r="D918" s="389" t="str">
        <f t="shared" si="7"/>
        <v>Saturday</v>
      </c>
      <c r="E918" s="344" t="s">
        <v>162</v>
      </c>
      <c r="F918" s="370"/>
      <c r="G918" s="370"/>
      <c r="H918" s="357">
        <f t="shared" si="29"/>
        <v>0</v>
      </c>
      <c r="I918" s="346">
        <f t="shared" si="31"/>
        <v>0</v>
      </c>
      <c r="J918" s="354" t="s">
        <v>636</v>
      </c>
      <c r="M918" s="360">
        <f t="shared" si="12"/>
        <v>51725</v>
      </c>
      <c r="N918" s="360">
        <f t="shared" si="9"/>
        <v>51731</v>
      </c>
      <c r="O918" s="2">
        <f t="shared" si="10"/>
        <v>0</v>
      </c>
      <c r="P918" s="2">
        <f t="shared" si="11"/>
        <v>0</v>
      </c>
    </row>
    <row r="919">
      <c r="A919" s="344">
        <f t="shared" si="5"/>
        <v>850</v>
      </c>
      <c r="B919" s="344">
        <f t="shared" si="6"/>
        <v>90</v>
      </c>
      <c r="C919" s="369"/>
      <c r="D919" s="389" t="str">
        <f t="shared" si="7"/>
        <v>Saturday</v>
      </c>
      <c r="E919" s="344" t="s">
        <v>162</v>
      </c>
      <c r="F919" s="370"/>
      <c r="G919" s="370"/>
      <c r="H919" s="357">
        <f t="shared" si="29"/>
        <v>0</v>
      </c>
      <c r="I919" s="346">
        <f t="shared" si="31"/>
        <v>0</v>
      </c>
      <c r="J919" s="354" t="s">
        <v>636</v>
      </c>
      <c r="M919" s="360">
        <f t="shared" si="12"/>
        <v>51732</v>
      </c>
      <c r="N919" s="360">
        <f t="shared" si="9"/>
        <v>51738</v>
      </c>
      <c r="O919" s="2">
        <f t="shared" si="10"/>
        <v>0</v>
      </c>
      <c r="P919" s="2">
        <f t="shared" si="11"/>
        <v>0</v>
      </c>
    </row>
    <row r="920">
      <c r="A920" s="344">
        <f t="shared" si="5"/>
        <v>850</v>
      </c>
      <c r="B920" s="344">
        <f t="shared" si="6"/>
        <v>90</v>
      </c>
      <c r="C920" s="369"/>
      <c r="D920" s="389" t="str">
        <f t="shared" si="7"/>
        <v>Saturday</v>
      </c>
      <c r="E920" s="344" t="s">
        <v>162</v>
      </c>
      <c r="F920" s="370"/>
      <c r="G920" s="370"/>
      <c r="H920" s="357">
        <f t="shared" si="29"/>
        <v>0</v>
      </c>
      <c r="I920" s="346">
        <f t="shared" si="31"/>
        <v>0</v>
      </c>
      <c r="J920" s="354" t="s">
        <v>636</v>
      </c>
      <c r="M920" s="360">
        <f t="shared" si="12"/>
        <v>51739</v>
      </c>
      <c r="N920" s="360">
        <f t="shared" si="9"/>
        <v>51745</v>
      </c>
      <c r="O920" s="2">
        <f t="shared" si="10"/>
        <v>0</v>
      </c>
      <c r="P920" s="2">
        <f t="shared" si="11"/>
        <v>0</v>
      </c>
    </row>
    <row r="921">
      <c r="A921" s="344">
        <f t="shared" si="5"/>
        <v>850</v>
      </c>
      <c r="B921" s="344">
        <f t="shared" si="6"/>
        <v>90</v>
      </c>
      <c r="C921" s="369"/>
      <c r="D921" s="389" t="str">
        <f t="shared" si="7"/>
        <v>Saturday</v>
      </c>
      <c r="E921" s="344" t="s">
        <v>162</v>
      </c>
      <c r="F921" s="370"/>
      <c r="G921" s="370"/>
      <c r="H921" s="357">
        <f t="shared" si="29"/>
        <v>0</v>
      </c>
      <c r="I921" s="346">
        <f t="shared" si="31"/>
        <v>0</v>
      </c>
      <c r="J921" s="354" t="s">
        <v>636</v>
      </c>
      <c r="M921" s="360">
        <f t="shared" si="12"/>
        <v>51746</v>
      </c>
      <c r="N921" s="360">
        <f t="shared" si="9"/>
        <v>51752</v>
      </c>
      <c r="O921" s="2">
        <f t="shared" si="10"/>
        <v>0</v>
      </c>
      <c r="P921" s="2">
        <f t="shared" si="11"/>
        <v>0</v>
      </c>
    </row>
    <row r="922">
      <c r="A922" s="344">
        <f t="shared" si="5"/>
        <v>850</v>
      </c>
      <c r="B922" s="344">
        <f t="shared" si="6"/>
        <v>90</v>
      </c>
      <c r="C922" s="369"/>
      <c r="D922" s="389" t="str">
        <f t="shared" si="7"/>
        <v>Saturday</v>
      </c>
      <c r="E922" s="344" t="s">
        <v>162</v>
      </c>
      <c r="F922" s="370"/>
      <c r="G922" s="370"/>
      <c r="H922" s="357">
        <f t="shared" si="29"/>
        <v>0</v>
      </c>
      <c r="I922" s="346">
        <f t="shared" si="31"/>
        <v>0</v>
      </c>
      <c r="J922" s="354" t="s">
        <v>636</v>
      </c>
      <c r="M922" s="360">
        <f t="shared" si="12"/>
        <v>51753</v>
      </c>
      <c r="N922" s="360">
        <f t="shared" si="9"/>
        <v>51759</v>
      </c>
      <c r="O922" s="2">
        <f t="shared" si="10"/>
        <v>0</v>
      </c>
      <c r="P922" s="2">
        <f t="shared" si="11"/>
        <v>0</v>
      </c>
    </row>
    <row r="923">
      <c r="A923" s="344">
        <f t="shared" si="5"/>
        <v>850</v>
      </c>
      <c r="B923" s="344">
        <f t="shared" si="6"/>
        <v>90</v>
      </c>
      <c r="C923" s="369"/>
      <c r="D923" s="389" t="str">
        <f t="shared" si="7"/>
        <v>Saturday</v>
      </c>
      <c r="E923" s="344" t="s">
        <v>162</v>
      </c>
      <c r="F923" s="370"/>
      <c r="G923" s="370"/>
      <c r="H923" s="357">
        <f t="shared" si="29"/>
        <v>0</v>
      </c>
      <c r="I923" s="346">
        <f t="shared" si="31"/>
        <v>0</v>
      </c>
      <c r="J923" s="354" t="s">
        <v>636</v>
      </c>
      <c r="M923" s="360">
        <f t="shared" si="12"/>
        <v>51760</v>
      </c>
      <c r="N923" s="360">
        <f t="shared" si="9"/>
        <v>51766</v>
      </c>
      <c r="O923" s="2">
        <f t="shared" si="10"/>
        <v>0</v>
      </c>
      <c r="P923" s="2">
        <f t="shared" si="11"/>
        <v>0</v>
      </c>
    </row>
    <row r="924">
      <c r="A924" s="344">
        <f t="shared" si="5"/>
        <v>850</v>
      </c>
      <c r="B924" s="344">
        <f t="shared" si="6"/>
        <v>90</v>
      </c>
      <c r="C924" s="369"/>
      <c r="D924" s="389" t="str">
        <f t="shared" si="7"/>
        <v>Saturday</v>
      </c>
      <c r="E924" s="344" t="s">
        <v>162</v>
      </c>
      <c r="F924" s="370"/>
      <c r="G924" s="370"/>
      <c r="H924" s="357">
        <f t="shared" si="29"/>
        <v>0</v>
      </c>
      <c r="I924" s="346">
        <f t="shared" si="31"/>
        <v>0</v>
      </c>
      <c r="J924" s="354" t="s">
        <v>636</v>
      </c>
      <c r="M924" s="360">
        <f t="shared" si="12"/>
        <v>51767</v>
      </c>
      <c r="N924" s="360">
        <f t="shared" si="9"/>
        <v>51773</v>
      </c>
      <c r="O924" s="2">
        <f t="shared" si="10"/>
        <v>0</v>
      </c>
      <c r="P924" s="2">
        <f t="shared" si="11"/>
        <v>0</v>
      </c>
    </row>
    <row r="925">
      <c r="A925" s="344">
        <f t="shared" si="5"/>
        <v>850</v>
      </c>
      <c r="B925" s="344">
        <f t="shared" si="6"/>
        <v>90</v>
      </c>
      <c r="C925" s="369"/>
      <c r="D925" s="389" t="str">
        <f t="shared" si="7"/>
        <v>Saturday</v>
      </c>
      <c r="E925" s="344" t="s">
        <v>162</v>
      </c>
      <c r="F925" s="370"/>
      <c r="G925" s="370"/>
      <c r="H925" s="357">
        <f t="shared" si="29"/>
        <v>0</v>
      </c>
      <c r="I925" s="346">
        <f t="shared" si="31"/>
        <v>0</v>
      </c>
      <c r="J925" s="354" t="s">
        <v>636</v>
      </c>
      <c r="M925" s="360">
        <f t="shared" si="12"/>
        <v>51774</v>
      </c>
      <c r="N925" s="360">
        <f t="shared" si="9"/>
        <v>51780</v>
      </c>
      <c r="O925" s="2">
        <f t="shared" si="10"/>
        <v>0</v>
      </c>
      <c r="P925" s="2">
        <f t="shared" si="11"/>
        <v>0</v>
      </c>
    </row>
    <row r="926">
      <c r="A926" s="344">
        <f t="shared" si="5"/>
        <v>850</v>
      </c>
      <c r="B926" s="344">
        <f t="shared" si="6"/>
        <v>90</v>
      </c>
      <c r="C926" s="369"/>
      <c r="D926" s="389" t="str">
        <f t="shared" si="7"/>
        <v>Saturday</v>
      </c>
      <c r="E926" s="344" t="s">
        <v>162</v>
      </c>
      <c r="F926" s="370"/>
      <c r="G926" s="370"/>
      <c r="H926" s="357">
        <f t="shared" si="29"/>
        <v>0</v>
      </c>
      <c r="I926" s="346">
        <f t="shared" si="31"/>
        <v>0</v>
      </c>
      <c r="J926" s="354" t="s">
        <v>636</v>
      </c>
      <c r="M926" s="360">
        <f t="shared" si="12"/>
        <v>51781</v>
      </c>
      <c r="N926" s="360">
        <f t="shared" si="9"/>
        <v>51787</v>
      </c>
      <c r="O926" s="2">
        <f t="shared" si="10"/>
        <v>0</v>
      </c>
      <c r="P926" s="2">
        <f t="shared" si="11"/>
        <v>0</v>
      </c>
    </row>
    <row r="927">
      <c r="A927" s="344">
        <f t="shared" si="5"/>
        <v>850</v>
      </c>
      <c r="B927" s="344">
        <f t="shared" si="6"/>
        <v>90</v>
      </c>
      <c r="C927" s="369"/>
      <c r="D927" s="389" t="str">
        <f t="shared" si="7"/>
        <v>Saturday</v>
      </c>
      <c r="E927" s="344" t="s">
        <v>162</v>
      </c>
      <c r="F927" s="370"/>
      <c r="G927" s="370"/>
      <c r="H927" s="357">
        <f t="shared" si="29"/>
        <v>0</v>
      </c>
      <c r="I927" s="346">
        <f t="shared" si="31"/>
        <v>0</v>
      </c>
      <c r="J927" s="354" t="s">
        <v>636</v>
      </c>
      <c r="M927" s="360">
        <f t="shared" si="12"/>
        <v>51788</v>
      </c>
      <c r="N927" s="360">
        <f t="shared" si="9"/>
        <v>51794</v>
      </c>
      <c r="O927" s="2">
        <f t="shared" si="10"/>
        <v>0</v>
      </c>
      <c r="P927" s="2">
        <f t="shared" si="11"/>
        <v>0</v>
      </c>
    </row>
    <row r="928">
      <c r="A928" s="344">
        <f t="shared" si="5"/>
        <v>850</v>
      </c>
      <c r="B928" s="344">
        <f t="shared" si="6"/>
        <v>90</v>
      </c>
      <c r="C928" s="369"/>
      <c r="D928" s="389" t="str">
        <f t="shared" si="7"/>
        <v>Saturday</v>
      </c>
      <c r="E928" s="344" t="s">
        <v>162</v>
      </c>
      <c r="F928" s="370"/>
      <c r="G928" s="370"/>
      <c r="H928" s="357">
        <f t="shared" si="29"/>
        <v>0</v>
      </c>
      <c r="I928" s="346">
        <f t="shared" si="31"/>
        <v>0</v>
      </c>
      <c r="J928" s="354" t="s">
        <v>636</v>
      </c>
      <c r="M928" s="360">
        <f t="shared" si="12"/>
        <v>51795</v>
      </c>
      <c r="N928" s="360">
        <f t="shared" si="9"/>
        <v>51801</v>
      </c>
      <c r="O928" s="2">
        <f t="shared" si="10"/>
        <v>0</v>
      </c>
      <c r="P928" s="2">
        <f t="shared" si="11"/>
        <v>0</v>
      </c>
    </row>
    <row r="929">
      <c r="A929" s="344">
        <f t="shared" si="5"/>
        <v>850</v>
      </c>
      <c r="B929" s="344">
        <f t="shared" si="6"/>
        <v>90</v>
      </c>
      <c r="C929" s="369"/>
      <c r="D929" s="389" t="str">
        <f t="shared" si="7"/>
        <v>Saturday</v>
      </c>
      <c r="E929" s="344" t="s">
        <v>162</v>
      </c>
      <c r="F929" s="370"/>
      <c r="G929" s="370"/>
      <c r="H929" s="357">
        <f t="shared" si="29"/>
        <v>0</v>
      </c>
      <c r="I929" s="346">
        <f t="shared" si="31"/>
        <v>0</v>
      </c>
      <c r="J929" s="354" t="s">
        <v>636</v>
      </c>
      <c r="M929" s="360">
        <f t="shared" si="12"/>
        <v>51802</v>
      </c>
      <c r="N929" s="360">
        <f t="shared" si="9"/>
        <v>51808</v>
      </c>
      <c r="O929" s="2">
        <f t="shared" si="10"/>
        <v>0</v>
      </c>
      <c r="P929" s="2">
        <f t="shared" si="11"/>
        <v>0</v>
      </c>
    </row>
    <row r="930">
      <c r="A930" s="344">
        <f t="shared" si="5"/>
        <v>850</v>
      </c>
      <c r="B930" s="344">
        <f t="shared" si="6"/>
        <v>90</v>
      </c>
      <c r="C930" s="369"/>
      <c r="D930" s="389" t="str">
        <f t="shared" si="7"/>
        <v>Saturday</v>
      </c>
      <c r="E930" s="344" t="s">
        <v>162</v>
      </c>
      <c r="F930" s="370"/>
      <c r="G930" s="370"/>
      <c r="H930" s="357">
        <f t="shared" si="29"/>
        <v>0</v>
      </c>
      <c r="I930" s="346">
        <f t="shared" si="31"/>
        <v>0</v>
      </c>
      <c r="J930" s="354" t="s">
        <v>636</v>
      </c>
      <c r="M930" s="360">
        <f t="shared" si="12"/>
        <v>51809</v>
      </c>
      <c r="N930" s="360">
        <f t="shared" si="9"/>
        <v>51815</v>
      </c>
      <c r="O930" s="2">
        <f t="shared" si="10"/>
        <v>0</v>
      </c>
      <c r="P930" s="2">
        <f t="shared" si="11"/>
        <v>0</v>
      </c>
    </row>
    <row r="931">
      <c r="A931" s="344">
        <f t="shared" si="5"/>
        <v>850</v>
      </c>
      <c r="B931" s="344">
        <f t="shared" si="6"/>
        <v>90</v>
      </c>
      <c r="C931" s="369"/>
      <c r="D931" s="389" t="str">
        <f t="shared" si="7"/>
        <v>Saturday</v>
      </c>
      <c r="E931" s="344" t="s">
        <v>162</v>
      </c>
      <c r="F931" s="370"/>
      <c r="G931" s="370"/>
      <c r="H931" s="357">
        <f t="shared" si="29"/>
        <v>0</v>
      </c>
      <c r="I931" s="346">
        <f t="shared" si="31"/>
        <v>0</v>
      </c>
      <c r="J931" s="354" t="s">
        <v>636</v>
      </c>
      <c r="M931" s="360">
        <f t="shared" si="12"/>
        <v>51816</v>
      </c>
      <c r="N931" s="360">
        <f t="shared" si="9"/>
        <v>51822</v>
      </c>
      <c r="O931" s="2">
        <f t="shared" si="10"/>
        <v>0</v>
      </c>
      <c r="P931" s="2">
        <f t="shared" si="11"/>
        <v>0</v>
      </c>
    </row>
    <row r="932">
      <c r="A932" s="344">
        <f t="shared" si="5"/>
        <v>850</v>
      </c>
      <c r="B932" s="344">
        <f t="shared" si="6"/>
        <v>90</v>
      </c>
      <c r="C932" s="369"/>
      <c r="D932" s="389" t="str">
        <f t="shared" si="7"/>
        <v>Saturday</v>
      </c>
      <c r="E932" s="344" t="s">
        <v>162</v>
      </c>
      <c r="F932" s="370"/>
      <c r="G932" s="370"/>
      <c r="H932" s="357">
        <f t="shared" si="29"/>
        <v>0</v>
      </c>
      <c r="I932" s="346">
        <f t="shared" si="31"/>
        <v>0</v>
      </c>
      <c r="J932" s="354" t="s">
        <v>636</v>
      </c>
      <c r="M932" s="360">
        <f t="shared" si="12"/>
        <v>51823</v>
      </c>
      <c r="N932" s="360">
        <f t="shared" si="9"/>
        <v>51829</v>
      </c>
      <c r="O932" s="2">
        <f t="shared" si="10"/>
        <v>0</v>
      </c>
      <c r="P932" s="2">
        <f t="shared" si="11"/>
        <v>0</v>
      </c>
    </row>
    <row r="933">
      <c r="A933" s="344">
        <f t="shared" si="5"/>
        <v>850</v>
      </c>
      <c r="B933" s="344">
        <f t="shared" si="6"/>
        <v>90</v>
      </c>
      <c r="C933" s="369"/>
      <c r="D933" s="389" t="str">
        <f t="shared" si="7"/>
        <v>Saturday</v>
      </c>
      <c r="E933" s="344" t="s">
        <v>162</v>
      </c>
      <c r="F933" s="370"/>
      <c r="G933" s="370"/>
      <c r="H933" s="357">
        <f t="shared" si="29"/>
        <v>0</v>
      </c>
      <c r="I933" s="346">
        <f t="shared" si="31"/>
        <v>0</v>
      </c>
      <c r="J933" s="354" t="s">
        <v>636</v>
      </c>
      <c r="M933" s="360">
        <f t="shared" si="12"/>
        <v>51830</v>
      </c>
      <c r="N933" s="360">
        <f t="shared" si="9"/>
        <v>51836</v>
      </c>
      <c r="O933" s="2">
        <f t="shared" si="10"/>
        <v>0</v>
      </c>
      <c r="P933" s="2">
        <f t="shared" si="11"/>
        <v>0</v>
      </c>
    </row>
    <row r="934">
      <c r="A934" s="344">
        <f t="shared" si="5"/>
        <v>850</v>
      </c>
      <c r="B934" s="344">
        <f t="shared" si="6"/>
        <v>90</v>
      </c>
      <c r="C934" s="369"/>
      <c r="D934" s="389" t="str">
        <f t="shared" si="7"/>
        <v>Saturday</v>
      </c>
      <c r="E934" s="344" t="s">
        <v>162</v>
      </c>
      <c r="F934" s="370"/>
      <c r="G934" s="370"/>
      <c r="H934" s="357">
        <f t="shared" si="29"/>
        <v>0</v>
      </c>
      <c r="I934" s="346">
        <f t="shared" si="31"/>
        <v>0</v>
      </c>
      <c r="J934" s="354" t="s">
        <v>636</v>
      </c>
      <c r="M934" s="360">
        <f t="shared" si="12"/>
        <v>51837</v>
      </c>
      <c r="N934" s="360">
        <f t="shared" si="9"/>
        <v>51843</v>
      </c>
      <c r="O934" s="2">
        <f t="shared" si="10"/>
        <v>0</v>
      </c>
      <c r="P934" s="2">
        <f t="shared" si="11"/>
        <v>0</v>
      </c>
    </row>
    <row r="935">
      <c r="A935" s="344">
        <f t="shared" si="5"/>
        <v>850</v>
      </c>
      <c r="B935" s="344">
        <f t="shared" si="6"/>
        <v>90</v>
      </c>
      <c r="C935" s="369"/>
      <c r="D935" s="389" t="str">
        <f t="shared" si="7"/>
        <v>Saturday</v>
      </c>
      <c r="E935" s="344" t="s">
        <v>162</v>
      </c>
      <c r="F935" s="370"/>
      <c r="G935" s="370"/>
      <c r="H935" s="357">
        <f t="shared" si="29"/>
        <v>0</v>
      </c>
      <c r="I935" s="346">
        <f t="shared" si="31"/>
        <v>0</v>
      </c>
      <c r="J935" s="354" t="s">
        <v>636</v>
      </c>
      <c r="M935" s="360">
        <f t="shared" si="12"/>
        <v>51844</v>
      </c>
      <c r="N935" s="360">
        <f t="shared" si="9"/>
        <v>51850</v>
      </c>
      <c r="O935" s="2">
        <f t="shared" si="10"/>
        <v>0</v>
      </c>
      <c r="P935" s="2">
        <f t="shared" si="11"/>
        <v>0</v>
      </c>
    </row>
    <row r="936">
      <c r="A936" s="344">
        <f t="shared" si="5"/>
        <v>850</v>
      </c>
      <c r="B936" s="344">
        <f t="shared" si="6"/>
        <v>90</v>
      </c>
      <c r="C936" s="369"/>
      <c r="D936" s="389" t="str">
        <f t="shared" si="7"/>
        <v>Saturday</v>
      </c>
      <c r="E936" s="344" t="s">
        <v>162</v>
      </c>
      <c r="F936" s="370"/>
      <c r="G936" s="370"/>
      <c r="H936" s="357">
        <f t="shared" si="29"/>
        <v>0</v>
      </c>
      <c r="I936" s="346">
        <f t="shared" si="31"/>
        <v>0</v>
      </c>
      <c r="J936" s="354" t="s">
        <v>636</v>
      </c>
      <c r="M936" s="360">
        <f t="shared" si="12"/>
        <v>51851</v>
      </c>
      <c r="N936" s="360">
        <f t="shared" si="9"/>
        <v>51857</v>
      </c>
      <c r="O936" s="2">
        <f t="shared" si="10"/>
        <v>0</v>
      </c>
      <c r="P936" s="2">
        <f t="shared" si="11"/>
        <v>0</v>
      </c>
    </row>
    <row r="937">
      <c r="A937" s="344">
        <f t="shared" si="5"/>
        <v>850</v>
      </c>
      <c r="B937" s="344">
        <f t="shared" si="6"/>
        <v>90</v>
      </c>
      <c r="C937" s="369"/>
      <c r="D937" s="389" t="str">
        <f t="shared" si="7"/>
        <v>Saturday</v>
      </c>
      <c r="E937" s="344" t="s">
        <v>162</v>
      </c>
      <c r="F937" s="370"/>
      <c r="G937" s="370"/>
      <c r="H937" s="357">
        <f t="shared" si="29"/>
        <v>0</v>
      </c>
      <c r="I937" s="346">
        <f t="shared" si="31"/>
        <v>0</v>
      </c>
      <c r="J937" s="354" t="s">
        <v>636</v>
      </c>
      <c r="M937" s="360">
        <f t="shared" si="12"/>
        <v>51858</v>
      </c>
      <c r="N937" s="360">
        <f t="shared" si="9"/>
        <v>51864</v>
      </c>
      <c r="O937" s="2">
        <f t="shared" si="10"/>
        <v>0</v>
      </c>
      <c r="P937" s="2">
        <f t="shared" si="11"/>
        <v>0</v>
      </c>
    </row>
    <row r="938">
      <c r="A938" s="344">
        <f t="shared" si="5"/>
        <v>850</v>
      </c>
      <c r="B938" s="344">
        <f t="shared" si="6"/>
        <v>90</v>
      </c>
      <c r="C938" s="369"/>
      <c r="D938" s="389" t="str">
        <f t="shared" si="7"/>
        <v>Saturday</v>
      </c>
      <c r="E938" s="344" t="s">
        <v>162</v>
      </c>
      <c r="F938" s="370"/>
      <c r="G938" s="370"/>
      <c r="H938" s="357">
        <f t="shared" si="29"/>
        <v>0</v>
      </c>
      <c r="I938" s="346">
        <f t="shared" si="31"/>
        <v>0</v>
      </c>
      <c r="J938" s="354" t="s">
        <v>636</v>
      </c>
      <c r="M938" s="360">
        <f t="shared" si="12"/>
        <v>51865</v>
      </c>
      <c r="N938" s="360">
        <f t="shared" si="9"/>
        <v>51871</v>
      </c>
      <c r="O938" s="2">
        <f t="shared" si="10"/>
        <v>0</v>
      </c>
      <c r="P938" s="2">
        <f t="shared" si="11"/>
        <v>0</v>
      </c>
    </row>
    <row r="939">
      <c r="A939" s="344">
        <f t="shared" si="5"/>
        <v>850</v>
      </c>
      <c r="B939" s="344">
        <f t="shared" si="6"/>
        <v>90</v>
      </c>
      <c r="C939" s="369"/>
      <c r="D939" s="389" t="str">
        <f t="shared" si="7"/>
        <v>Saturday</v>
      </c>
      <c r="E939" s="344" t="s">
        <v>162</v>
      </c>
      <c r="F939" s="370"/>
      <c r="G939" s="370"/>
      <c r="H939" s="357">
        <f t="shared" si="29"/>
        <v>0</v>
      </c>
      <c r="I939" s="346">
        <f t="shared" si="31"/>
        <v>0</v>
      </c>
      <c r="J939" s="354" t="s">
        <v>636</v>
      </c>
      <c r="M939" s="360">
        <f t="shared" si="12"/>
        <v>51872</v>
      </c>
      <c r="N939" s="360">
        <f t="shared" si="9"/>
        <v>51878</v>
      </c>
      <c r="O939" s="2">
        <f t="shared" si="10"/>
        <v>0</v>
      </c>
      <c r="P939" s="2">
        <f t="shared" si="11"/>
        <v>0</v>
      </c>
    </row>
    <row r="940">
      <c r="A940" s="344">
        <f t="shared" si="5"/>
        <v>850</v>
      </c>
      <c r="B940" s="344">
        <f t="shared" si="6"/>
        <v>90</v>
      </c>
      <c r="C940" s="369"/>
      <c r="D940" s="389" t="str">
        <f t="shared" si="7"/>
        <v>Saturday</v>
      </c>
      <c r="E940" s="344" t="s">
        <v>162</v>
      </c>
      <c r="F940" s="370"/>
      <c r="G940" s="370"/>
      <c r="H940" s="357">
        <f t="shared" si="29"/>
        <v>0</v>
      </c>
      <c r="I940" s="346">
        <f t="shared" si="31"/>
        <v>0</v>
      </c>
      <c r="J940" s="354" t="s">
        <v>636</v>
      </c>
      <c r="M940" s="360">
        <f t="shared" si="12"/>
        <v>51879</v>
      </c>
      <c r="N940" s="360">
        <f t="shared" si="9"/>
        <v>51885</v>
      </c>
      <c r="O940" s="2">
        <f t="shared" si="10"/>
        <v>0</v>
      </c>
      <c r="P940" s="2">
        <f t="shared" si="11"/>
        <v>0</v>
      </c>
    </row>
    <row r="941">
      <c r="A941" s="344">
        <f t="shared" si="5"/>
        <v>850</v>
      </c>
      <c r="B941" s="344">
        <f t="shared" si="6"/>
        <v>90</v>
      </c>
      <c r="C941" s="369"/>
      <c r="D941" s="389" t="str">
        <f t="shared" si="7"/>
        <v>Saturday</v>
      </c>
      <c r="E941" s="344" t="s">
        <v>162</v>
      </c>
      <c r="F941" s="370"/>
      <c r="G941" s="370"/>
      <c r="H941" s="357">
        <f t="shared" si="29"/>
        <v>0</v>
      </c>
      <c r="I941" s="346">
        <f t="shared" si="31"/>
        <v>0</v>
      </c>
      <c r="J941" s="354" t="s">
        <v>636</v>
      </c>
      <c r="M941" s="360">
        <f t="shared" si="12"/>
        <v>51886</v>
      </c>
      <c r="N941" s="360">
        <f t="shared" si="9"/>
        <v>51892</v>
      </c>
      <c r="O941" s="2">
        <f t="shared" si="10"/>
        <v>0</v>
      </c>
      <c r="P941" s="2">
        <f t="shared" si="11"/>
        <v>0</v>
      </c>
    </row>
    <row r="942">
      <c r="A942" s="344">
        <f t="shared" si="5"/>
        <v>850</v>
      </c>
      <c r="B942" s="344">
        <f t="shared" si="6"/>
        <v>90</v>
      </c>
      <c r="C942" s="369"/>
      <c r="D942" s="389" t="str">
        <f t="shared" si="7"/>
        <v>Saturday</v>
      </c>
      <c r="E942" s="344" t="s">
        <v>162</v>
      </c>
      <c r="F942" s="370"/>
      <c r="G942" s="370"/>
      <c r="H942" s="357">
        <f t="shared" si="29"/>
        <v>0</v>
      </c>
      <c r="I942" s="346">
        <f t="shared" si="31"/>
        <v>0</v>
      </c>
      <c r="J942" s="354" t="s">
        <v>636</v>
      </c>
      <c r="M942" s="360">
        <f t="shared" si="12"/>
        <v>51893</v>
      </c>
      <c r="N942" s="360">
        <f t="shared" si="9"/>
        <v>51899</v>
      </c>
      <c r="O942" s="2">
        <f t="shared" si="10"/>
        <v>0</v>
      </c>
      <c r="P942" s="2">
        <f t="shared" si="11"/>
        <v>0</v>
      </c>
    </row>
    <row r="943">
      <c r="A943" s="344">
        <f t="shared" si="5"/>
        <v>850</v>
      </c>
      <c r="B943" s="344">
        <f t="shared" si="6"/>
        <v>90</v>
      </c>
      <c r="C943" s="369"/>
      <c r="D943" s="389" t="str">
        <f t="shared" si="7"/>
        <v>Saturday</v>
      </c>
      <c r="E943" s="344" t="s">
        <v>162</v>
      </c>
      <c r="F943" s="370"/>
      <c r="G943" s="370"/>
      <c r="H943" s="357">
        <f t="shared" si="29"/>
        <v>0</v>
      </c>
      <c r="I943" s="346">
        <f t="shared" si="31"/>
        <v>0</v>
      </c>
      <c r="J943" s="354" t="s">
        <v>636</v>
      </c>
      <c r="M943" s="360">
        <f t="shared" si="12"/>
        <v>51900</v>
      </c>
      <c r="N943" s="360">
        <f t="shared" si="9"/>
        <v>51906</v>
      </c>
      <c r="O943" s="2">
        <f t="shared" si="10"/>
        <v>0</v>
      </c>
      <c r="P943" s="2">
        <f t="shared" si="11"/>
        <v>0</v>
      </c>
    </row>
    <row r="944">
      <c r="A944" s="344">
        <f t="shared" si="5"/>
        <v>850</v>
      </c>
      <c r="B944" s="344">
        <f t="shared" si="6"/>
        <v>90</v>
      </c>
      <c r="C944" s="369"/>
      <c r="D944" s="389" t="str">
        <f t="shared" si="7"/>
        <v>Saturday</v>
      </c>
      <c r="E944" s="344" t="s">
        <v>162</v>
      </c>
      <c r="F944" s="370"/>
      <c r="G944" s="370"/>
      <c r="H944" s="357">
        <f t="shared" si="29"/>
        <v>0</v>
      </c>
      <c r="I944" s="346">
        <f t="shared" si="31"/>
        <v>0</v>
      </c>
      <c r="J944" s="354" t="s">
        <v>636</v>
      </c>
      <c r="M944" s="360">
        <f t="shared" si="12"/>
        <v>51907</v>
      </c>
      <c r="N944" s="360">
        <f t="shared" si="9"/>
        <v>51913</v>
      </c>
      <c r="O944" s="2">
        <f t="shared" si="10"/>
        <v>0</v>
      </c>
      <c r="P944" s="2">
        <f t="shared" si="11"/>
        <v>0</v>
      </c>
    </row>
    <row r="945">
      <c r="A945" s="344">
        <f t="shared" si="5"/>
        <v>850</v>
      </c>
      <c r="B945" s="344">
        <f t="shared" si="6"/>
        <v>90</v>
      </c>
      <c r="C945" s="369"/>
      <c r="D945" s="389" t="str">
        <f t="shared" si="7"/>
        <v>Saturday</v>
      </c>
      <c r="E945" s="344" t="s">
        <v>162</v>
      </c>
      <c r="F945" s="370"/>
      <c r="G945" s="370"/>
      <c r="H945" s="357">
        <f t="shared" si="29"/>
        <v>0</v>
      </c>
      <c r="I945" s="346">
        <f t="shared" si="31"/>
        <v>0</v>
      </c>
      <c r="J945" s="354" t="s">
        <v>636</v>
      </c>
      <c r="M945" s="360">
        <f t="shared" si="12"/>
        <v>51914</v>
      </c>
      <c r="N945" s="360">
        <f t="shared" si="9"/>
        <v>51920</v>
      </c>
      <c r="O945" s="2">
        <f t="shared" si="10"/>
        <v>0</v>
      </c>
      <c r="P945" s="2">
        <f t="shared" si="11"/>
        <v>0</v>
      </c>
    </row>
    <row r="946">
      <c r="A946" s="344">
        <f t="shared" si="5"/>
        <v>850</v>
      </c>
      <c r="B946" s="344">
        <f t="shared" si="6"/>
        <v>90</v>
      </c>
      <c r="C946" s="369"/>
      <c r="D946" s="389" t="str">
        <f t="shared" si="7"/>
        <v>Saturday</v>
      </c>
      <c r="E946" s="344" t="s">
        <v>162</v>
      </c>
      <c r="F946" s="370"/>
      <c r="G946" s="370"/>
      <c r="H946" s="357">
        <f t="shared" si="29"/>
        <v>0</v>
      </c>
      <c r="I946" s="346">
        <f t="shared" si="31"/>
        <v>0</v>
      </c>
      <c r="J946" s="354" t="s">
        <v>636</v>
      </c>
      <c r="M946" s="360">
        <f t="shared" si="12"/>
        <v>51921</v>
      </c>
      <c r="N946" s="360">
        <f t="shared" si="9"/>
        <v>51927</v>
      </c>
      <c r="O946" s="2">
        <f t="shared" si="10"/>
        <v>0</v>
      </c>
      <c r="P946" s="2">
        <f t="shared" si="11"/>
        <v>0</v>
      </c>
    </row>
    <row r="947">
      <c r="A947" s="344">
        <f t="shared" si="5"/>
        <v>850</v>
      </c>
      <c r="B947" s="344">
        <f t="shared" si="6"/>
        <v>90</v>
      </c>
      <c r="C947" s="369"/>
      <c r="D947" s="389" t="str">
        <f t="shared" si="7"/>
        <v>Saturday</v>
      </c>
      <c r="E947" s="344" t="s">
        <v>162</v>
      </c>
      <c r="F947" s="370"/>
      <c r="G947" s="370"/>
      <c r="H947" s="357">
        <f t="shared" si="29"/>
        <v>0</v>
      </c>
      <c r="I947" s="346">
        <f t="shared" si="31"/>
        <v>0</v>
      </c>
      <c r="J947" s="354" t="s">
        <v>636</v>
      </c>
      <c r="M947" s="360">
        <f t="shared" si="12"/>
        <v>51928</v>
      </c>
      <c r="N947" s="360">
        <f t="shared" si="9"/>
        <v>51934</v>
      </c>
      <c r="O947" s="2">
        <f t="shared" si="10"/>
        <v>0</v>
      </c>
      <c r="P947" s="2">
        <f t="shared" si="11"/>
        <v>0</v>
      </c>
    </row>
    <row r="948">
      <c r="A948" s="344">
        <f t="shared" si="5"/>
        <v>850</v>
      </c>
      <c r="B948" s="344">
        <f t="shared" si="6"/>
        <v>90</v>
      </c>
      <c r="C948" s="369"/>
      <c r="D948" s="389" t="str">
        <f t="shared" si="7"/>
        <v>Saturday</v>
      </c>
      <c r="E948" s="344" t="s">
        <v>162</v>
      </c>
      <c r="F948" s="370"/>
      <c r="G948" s="370"/>
      <c r="H948" s="357">
        <f t="shared" si="29"/>
        <v>0</v>
      </c>
      <c r="I948" s="346">
        <f t="shared" si="31"/>
        <v>0</v>
      </c>
      <c r="J948" s="354" t="s">
        <v>636</v>
      </c>
      <c r="M948" s="360">
        <f t="shared" si="12"/>
        <v>51935</v>
      </c>
      <c r="N948" s="360">
        <f t="shared" si="9"/>
        <v>51941</v>
      </c>
      <c r="O948" s="2">
        <f t="shared" si="10"/>
        <v>0</v>
      </c>
      <c r="P948" s="2">
        <f t="shared" si="11"/>
        <v>0</v>
      </c>
    </row>
    <row r="949">
      <c r="A949" s="344">
        <f t="shared" si="5"/>
        <v>850</v>
      </c>
      <c r="B949" s="344">
        <f t="shared" si="6"/>
        <v>90</v>
      </c>
      <c r="C949" s="369"/>
      <c r="D949" s="389" t="str">
        <f t="shared" si="7"/>
        <v>Saturday</v>
      </c>
      <c r="E949" s="344" t="s">
        <v>162</v>
      </c>
      <c r="F949" s="370"/>
      <c r="G949" s="370"/>
      <c r="H949" s="357">
        <f t="shared" si="29"/>
        <v>0</v>
      </c>
      <c r="I949" s="346">
        <f t="shared" si="31"/>
        <v>0</v>
      </c>
      <c r="J949" s="354" t="s">
        <v>636</v>
      </c>
      <c r="M949" s="360">
        <f t="shared" si="12"/>
        <v>51942</v>
      </c>
      <c r="N949" s="360">
        <f t="shared" si="9"/>
        <v>51948</v>
      </c>
      <c r="O949" s="2">
        <f t="shared" si="10"/>
        <v>0</v>
      </c>
      <c r="P949" s="2">
        <f t="shared" si="11"/>
        <v>0</v>
      </c>
    </row>
    <row r="950">
      <c r="A950" s="344">
        <f t="shared" si="5"/>
        <v>850</v>
      </c>
      <c r="B950" s="344">
        <f t="shared" si="6"/>
        <v>90</v>
      </c>
      <c r="C950" s="369"/>
      <c r="D950" s="389" t="str">
        <f t="shared" si="7"/>
        <v>Saturday</v>
      </c>
      <c r="E950" s="344" t="s">
        <v>162</v>
      </c>
      <c r="F950" s="370"/>
      <c r="G950" s="370"/>
      <c r="H950" s="357">
        <f t="shared" si="29"/>
        <v>0</v>
      </c>
      <c r="I950" s="346">
        <f t="shared" si="31"/>
        <v>0</v>
      </c>
      <c r="J950" s="354" t="s">
        <v>636</v>
      </c>
      <c r="M950" s="360">
        <f t="shared" si="12"/>
        <v>51949</v>
      </c>
      <c r="N950" s="360">
        <f t="shared" si="9"/>
        <v>51955</v>
      </c>
      <c r="O950" s="2">
        <f t="shared" si="10"/>
        <v>0</v>
      </c>
      <c r="P950" s="2">
        <f t="shared" si="11"/>
        <v>0</v>
      </c>
    </row>
    <row r="951">
      <c r="A951" s="344">
        <f t="shared" si="5"/>
        <v>850</v>
      </c>
      <c r="B951" s="344">
        <f t="shared" si="6"/>
        <v>90</v>
      </c>
      <c r="C951" s="369"/>
      <c r="D951" s="389" t="str">
        <f t="shared" si="7"/>
        <v>Saturday</v>
      </c>
      <c r="E951" s="344" t="s">
        <v>162</v>
      </c>
      <c r="F951" s="370"/>
      <c r="G951" s="370"/>
      <c r="H951" s="357">
        <f t="shared" si="29"/>
        <v>0</v>
      </c>
      <c r="I951" s="346">
        <f t="shared" si="31"/>
        <v>0</v>
      </c>
      <c r="J951" s="354" t="s">
        <v>636</v>
      </c>
      <c r="M951" s="360">
        <f t="shared" si="12"/>
        <v>51956</v>
      </c>
      <c r="N951" s="360">
        <f t="shared" si="9"/>
        <v>51962</v>
      </c>
      <c r="O951" s="2">
        <f t="shared" si="10"/>
        <v>0</v>
      </c>
      <c r="P951" s="2">
        <f t="shared" si="11"/>
        <v>0</v>
      </c>
    </row>
    <row r="952">
      <c r="A952" s="344">
        <f t="shared" si="5"/>
        <v>850</v>
      </c>
      <c r="B952" s="344">
        <f t="shared" si="6"/>
        <v>90</v>
      </c>
      <c r="C952" s="369"/>
      <c r="D952" s="389" t="str">
        <f t="shared" si="7"/>
        <v>Saturday</v>
      </c>
      <c r="E952" s="344" t="s">
        <v>162</v>
      </c>
      <c r="F952" s="370"/>
      <c r="G952" s="370"/>
      <c r="H952" s="357">
        <f t="shared" si="29"/>
        <v>0</v>
      </c>
      <c r="I952" s="346">
        <f t="shared" si="31"/>
        <v>0</v>
      </c>
      <c r="J952" s="354" t="s">
        <v>636</v>
      </c>
      <c r="M952" s="360">
        <f t="shared" si="12"/>
        <v>51963</v>
      </c>
      <c r="N952" s="360">
        <f t="shared" si="9"/>
        <v>51969</v>
      </c>
      <c r="O952" s="2">
        <f t="shared" si="10"/>
        <v>0</v>
      </c>
      <c r="P952" s="2">
        <f t="shared" si="11"/>
        <v>0</v>
      </c>
    </row>
    <row r="953">
      <c r="A953" s="344">
        <f t="shared" si="5"/>
        <v>850</v>
      </c>
      <c r="B953" s="344">
        <f t="shared" si="6"/>
        <v>90</v>
      </c>
      <c r="C953" s="369"/>
      <c r="D953" s="389" t="str">
        <f t="shared" si="7"/>
        <v>Saturday</v>
      </c>
      <c r="E953" s="344" t="s">
        <v>162</v>
      </c>
      <c r="F953" s="370"/>
      <c r="G953" s="370"/>
      <c r="H953" s="357">
        <f t="shared" si="29"/>
        <v>0</v>
      </c>
      <c r="I953" s="346">
        <f t="shared" si="31"/>
        <v>0</v>
      </c>
      <c r="J953" s="354" t="s">
        <v>636</v>
      </c>
      <c r="M953" s="360">
        <f t="shared" si="12"/>
        <v>51970</v>
      </c>
      <c r="N953" s="360">
        <f t="shared" si="9"/>
        <v>51976</v>
      </c>
      <c r="O953" s="2">
        <f t="shared" si="10"/>
        <v>0</v>
      </c>
      <c r="P953" s="2">
        <f t="shared" si="11"/>
        <v>0</v>
      </c>
    </row>
    <row r="954">
      <c r="A954" s="344">
        <f t="shared" si="5"/>
        <v>850</v>
      </c>
      <c r="B954" s="344">
        <f t="shared" si="6"/>
        <v>90</v>
      </c>
      <c r="C954" s="369"/>
      <c r="D954" s="389" t="str">
        <f t="shared" si="7"/>
        <v>Saturday</v>
      </c>
      <c r="E954" s="344" t="s">
        <v>162</v>
      </c>
      <c r="F954" s="370"/>
      <c r="G954" s="370"/>
      <c r="H954" s="357">
        <f t="shared" si="29"/>
        <v>0</v>
      </c>
      <c r="I954" s="346">
        <f t="shared" si="31"/>
        <v>0</v>
      </c>
      <c r="J954" s="354" t="s">
        <v>636</v>
      </c>
      <c r="M954" s="360">
        <f t="shared" si="12"/>
        <v>51977</v>
      </c>
      <c r="N954" s="360">
        <f t="shared" si="9"/>
        <v>51983</v>
      </c>
      <c r="O954" s="2">
        <f t="shared" si="10"/>
        <v>0</v>
      </c>
      <c r="P954" s="2">
        <f t="shared" si="11"/>
        <v>0</v>
      </c>
    </row>
    <row r="955">
      <c r="A955" s="344">
        <f t="shared" si="5"/>
        <v>850</v>
      </c>
      <c r="B955" s="344">
        <f t="shared" si="6"/>
        <v>90</v>
      </c>
      <c r="C955" s="369"/>
      <c r="D955" s="389" t="str">
        <f t="shared" si="7"/>
        <v>Saturday</v>
      </c>
      <c r="E955" s="344" t="s">
        <v>162</v>
      </c>
      <c r="F955" s="370"/>
      <c r="G955" s="370"/>
      <c r="H955" s="357">
        <f t="shared" si="29"/>
        <v>0</v>
      </c>
      <c r="I955" s="346">
        <f t="shared" si="31"/>
        <v>0</v>
      </c>
      <c r="J955" s="354" t="s">
        <v>636</v>
      </c>
      <c r="M955" s="360">
        <f t="shared" si="12"/>
        <v>51984</v>
      </c>
      <c r="N955" s="360">
        <f t="shared" si="9"/>
        <v>51990</v>
      </c>
      <c r="O955" s="2">
        <f t="shared" si="10"/>
        <v>0</v>
      </c>
      <c r="P955" s="2">
        <f t="shared" si="11"/>
        <v>0</v>
      </c>
    </row>
    <row r="956">
      <c r="A956" s="344">
        <f t="shared" si="5"/>
        <v>850</v>
      </c>
      <c r="B956" s="344">
        <f t="shared" si="6"/>
        <v>90</v>
      </c>
      <c r="C956" s="369"/>
      <c r="D956" s="389" t="str">
        <f t="shared" si="7"/>
        <v>Saturday</v>
      </c>
      <c r="E956" s="344" t="s">
        <v>162</v>
      </c>
      <c r="F956" s="370"/>
      <c r="G956" s="370"/>
      <c r="H956" s="357">
        <f t="shared" si="29"/>
        <v>0</v>
      </c>
      <c r="I956" s="346">
        <f t="shared" si="31"/>
        <v>0</v>
      </c>
      <c r="J956" s="354" t="s">
        <v>636</v>
      </c>
      <c r="M956" s="360">
        <f t="shared" si="12"/>
        <v>51991</v>
      </c>
      <c r="N956" s="360">
        <f t="shared" si="9"/>
        <v>51997</v>
      </c>
      <c r="O956" s="2">
        <f t="shared" si="10"/>
        <v>0</v>
      </c>
      <c r="P956" s="2">
        <f t="shared" si="11"/>
        <v>0</v>
      </c>
    </row>
    <row r="957">
      <c r="A957" s="344">
        <f t="shared" si="5"/>
        <v>850</v>
      </c>
      <c r="B957" s="344">
        <f t="shared" si="6"/>
        <v>90</v>
      </c>
      <c r="C957" s="369"/>
      <c r="D957" s="389" t="str">
        <f t="shared" si="7"/>
        <v>Saturday</v>
      </c>
      <c r="E957" s="344" t="s">
        <v>162</v>
      </c>
      <c r="F957" s="370"/>
      <c r="G957" s="370"/>
      <c r="H957" s="357">
        <f t="shared" si="29"/>
        <v>0</v>
      </c>
      <c r="I957" s="346">
        <f t="shared" si="31"/>
        <v>0</v>
      </c>
      <c r="J957" s="354" t="s">
        <v>636</v>
      </c>
      <c r="M957" s="360">
        <f t="shared" si="12"/>
        <v>51998</v>
      </c>
      <c r="N957" s="360">
        <f t="shared" si="9"/>
        <v>52004</v>
      </c>
      <c r="O957" s="2">
        <f t="shared" si="10"/>
        <v>0</v>
      </c>
      <c r="P957" s="2">
        <f t="shared" si="11"/>
        <v>0</v>
      </c>
    </row>
    <row r="958">
      <c r="A958" s="344">
        <f t="shared" si="5"/>
        <v>850</v>
      </c>
      <c r="B958" s="344">
        <f t="shared" si="6"/>
        <v>90</v>
      </c>
      <c r="C958" s="369"/>
      <c r="D958" s="389" t="str">
        <f t="shared" si="7"/>
        <v>Saturday</v>
      </c>
      <c r="E958" s="344" t="s">
        <v>162</v>
      </c>
      <c r="F958" s="370"/>
      <c r="G958" s="370"/>
      <c r="H958" s="357">
        <f t="shared" si="29"/>
        <v>0</v>
      </c>
      <c r="I958" s="346">
        <f t="shared" si="31"/>
        <v>0</v>
      </c>
      <c r="J958" s="354" t="s">
        <v>636</v>
      </c>
      <c r="M958" s="360">
        <f t="shared" si="12"/>
        <v>52005</v>
      </c>
      <c r="N958" s="360">
        <f t="shared" si="9"/>
        <v>52011</v>
      </c>
      <c r="O958" s="2">
        <f t="shared" si="10"/>
        <v>0</v>
      </c>
      <c r="P958" s="2">
        <f t="shared" si="11"/>
        <v>0</v>
      </c>
    </row>
    <row r="959">
      <c r="A959" s="344">
        <f t="shared" si="5"/>
        <v>850</v>
      </c>
      <c r="B959" s="344">
        <f t="shared" si="6"/>
        <v>90</v>
      </c>
      <c r="C959" s="369"/>
      <c r="D959" s="389" t="str">
        <f t="shared" si="7"/>
        <v>Saturday</v>
      </c>
      <c r="E959" s="344" t="s">
        <v>162</v>
      </c>
      <c r="F959" s="370"/>
      <c r="G959" s="370"/>
      <c r="H959" s="357">
        <f t="shared" si="29"/>
        <v>0</v>
      </c>
      <c r="I959" s="346">
        <f t="shared" si="31"/>
        <v>0</v>
      </c>
      <c r="J959" s="354" t="s">
        <v>636</v>
      </c>
      <c r="M959" s="360">
        <f t="shared" si="12"/>
        <v>52012</v>
      </c>
      <c r="N959" s="360">
        <f t="shared" si="9"/>
        <v>52018</v>
      </c>
      <c r="O959" s="2">
        <f t="shared" si="10"/>
        <v>0</v>
      </c>
      <c r="P959" s="2">
        <f t="shared" si="11"/>
        <v>0</v>
      </c>
    </row>
    <row r="960">
      <c r="A960" s="344">
        <f t="shared" si="5"/>
        <v>850</v>
      </c>
      <c r="B960" s="344">
        <f t="shared" si="6"/>
        <v>90</v>
      </c>
      <c r="C960" s="369"/>
      <c r="D960" s="389" t="str">
        <f t="shared" si="7"/>
        <v>Saturday</v>
      </c>
      <c r="E960" s="344" t="s">
        <v>162</v>
      </c>
      <c r="F960" s="370"/>
      <c r="G960" s="370"/>
      <c r="H960" s="357">
        <f t="shared" si="29"/>
        <v>0</v>
      </c>
      <c r="I960" s="346">
        <f t="shared" si="31"/>
        <v>0</v>
      </c>
      <c r="J960" s="354" t="s">
        <v>636</v>
      </c>
      <c r="M960" s="360">
        <f t="shared" si="12"/>
        <v>52019</v>
      </c>
      <c r="N960" s="360">
        <f t="shared" si="9"/>
        <v>52025</v>
      </c>
      <c r="O960" s="2">
        <f t="shared" si="10"/>
        <v>0</v>
      </c>
      <c r="P960" s="2">
        <f t="shared" si="11"/>
        <v>0</v>
      </c>
    </row>
    <row r="961">
      <c r="A961" s="344">
        <f t="shared" si="5"/>
        <v>850</v>
      </c>
      <c r="B961" s="344">
        <f t="shared" si="6"/>
        <v>90</v>
      </c>
      <c r="C961" s="369"/>
      <c r="D961" s="389" t="str">
        <f t="shared" si="7"/>
        <v>Saturday</v>
      </c>
      <c r="E961" s="344" t="s">
        <v>162</v>
      </c>
      <c r="F961" s="370"/>
      <c r="G961" s="370"/>
      <c r="H961" s="357">
        <f t="shared" si="29"/>
        <v>0</v>
      </c>
      <c r="I961" s="346">
        <f t="shared" si="31"/>
        <v>0</v>
      </c>
      <c r="J961" s="354" t="s">
        <v>636</v>
      </c>
      <c r="M961" s="360">
        <f t="shared" si="12"/>
        <v>52026</v>
      </c>
      <c r="N961" s="360">
        <f t="shared" si="9"/>
        <v>52032</v>
      </c>
      <c r="O961" s="2">
        <f t="shared" si="10"/>
        <v>0</v>
      </c>
      <c r="P961" s="2">
        <f t="shared" si="11"/>
        <v>0</v>
      </c>
    </row>
    <row r="962">
      <c r="A962" s="344">
        <f t="shared" si="5"/>
        <v>850</v>
      </c>
      <c r="B962" s="344">
        <f t="shared" si="6"/>
        <v>90</v>
      </c>
      <c r="C962" s="369"/>
      <c r="D962" s="389" t="str">
        <f t="shared" si="7"/>
        <v>Saturday</v>
      </c>
      <c r="E962" s="344" t="s">
        <v>162</v>
      </c>
      <c r="F962" s="370"/>
      <c r="G962" s="370"/>
      <c r="H962" s="357">
        <f t="shared" si="29"/>
        <v>0</v>
      </c>
      <c r="I962" s="346">
        <f t="shared" si="31"/>
        <v>0</v>
      </c>
      <c r="J962" s="354" t="s">
        <v>636</v>
      </c>
      <c r="M962" s="360">
        <f t="shared" si="12"/>
        <v>52033</v>
      </c>
      <c r="N962" s="360">
        <f t="shared" si="9"/>
        <v>52039</v>
      </c>
      <c r="O962" s="2">
        <f t="shared" si="10"/>
        <v>0</v>
      </c>
      <c r="P962" s="2">
        <f t="shared" si="11"/>
        <v>0</v>
      </c>
    </row>
    <row r="963">
      <c r="A963" s="344">
        <f t="shared" si="5"/>
        <v>850</v>
      </c>
      <c r="B963" s="344">
        <f t="shared" si="6"/>
        <v>90</v>
      </c>
      <c r="C963" s="369"/>
      <c r="D963" s="389" t="str">
        <f t="shared" si="7"/>
        <v>Saturday</v>
      </c>
      <c r="E963" s="344" t="s">
        <v>162</v>
      </c>
      <c r="F963" s="370"/>
      <c r="G963" s="370"/>
      <c r="H963" s="357">
        <f t="shared" si="29"/>
        <v>0</v>
      </c>
      <c r="I963" s="346">
        <f t="shared" si="31"/>
        <v>0</v>
      </c>
      <c r="J963" s="354" t="s">
        <v>636</v>
      </c>
      <c r="M963" s="360">
        <f t="shared" si="12"/>
        <v>52040</v>
      </c>
      <c r="N963" s="360">
        <f t="shared" si="9"/>
        <v>52046</v>
      </c>
      <c r="O963" s="2">
        <f t="shared" si="10"/>
        <v>0</v>
      </c>
      <c r="P963" s="2">
        <f t="shared" si="11"/>
        <v>0</v>
      </c>
    </row>
    <row r="964">
      <c r="A964" s="344">
        <f t="shared" si="5"/>
        <v>850</v>
      </c>
      <c r="B964" s="344">
        <f t="shared" si="6"/>
        <v>90</v>
      </c>
      <c r="C964" s="369"/>
      <c r="D964" s="389" t="str">
        <f t="shared" si="7"/>
        <v>Saturday</v>
      </c>
      <c r="E964" s="344" t="s">
        <v>162</v>
      </c>
      <c r="F964" s="370"/>
      <c r="G964" s="370"/>
      <c r="H964" s="357">
        <f t="shared" si="29"/>
        <v>0</v>
      </c>
      <c r="I964" s="346">
        <f t="shared" si="31"/>
        <v>0</v>
      </c>
      <c r="J964" s="354" t="s">
        <v>636</v>
      </c>
      <c r="M964" s="360">
        <f t="shared" si="12"/>
        <v>52047</v>
      </c>
      <c r="N964" s="360">
        <f t="shared" si="9"/>
        <v>52053</v>
      </c>
      <c r="O964" s="2">
        <f t="shared" si="10"/>
        <v>0</v>
      </c>
      <c r="P964" s="2">
        <f t="shared" si="11"/>
        <v>0</v>
      </c>
    </row>
    <row r="965">
      <c r="A965" s="344">
        <f t="shared" si="5"/>
        <v>850</v>
      </c>
      <c r="B965" s="344">
        <f t="shared" si="6"/>
        <v>90</v>
      </c>
      <c r="C965" s="369"/>
      <c r="D965" s="389" t="str">
        <f t="shared" si="7"/>
        <v>Saturday</v>
      </c>
      <c r="E965" s="344" t="s">
        <v>162</v>
      </c>
      <c r="F965" s="370"/>
      <c r="G965" s="370"/>
      <c r="H965" s="357">
        <f t="shared" si="29"/>
        <v>0</v>
      </c>
      <c r="I965" s="346">
        <f t="shared" si="31"/>
        <v>0</v>
      </c>
      <c r="J965" s="354" t="s">
        <v>636</v>
      </c>
      <c r="M965" s="360">
        <f t="shared" si="12"/>
        <v>52054</v>
      </c>
      <c r="N965" s="360">
        <f t="shared" si="9"/>
        <v>52060</v>
      </c>
      <c r="O965" s="2">
        <f t="shared" si="10"/>
        <v>0</v>
      </c>
      <c r="P965" s="2">
        <f t="shared" si="11"/>
        <v>0</v>
      </c>
    </row>
    <row r="966">
      <c r="A966" s="344">
        <f t="shared" si="5"/>
        <v>850</v>
      </c>
      <c r="B966" s="344">
        <f t="shared" si="6"/>
        <v>90</v>
      </c>
      <c r="C966" s="369"/>
      <c r="D966" s="389" t="str">
        <f t="shared" si="7"/>
        <v>Saturday</v>
      </c>
      <c r="E966" s="344" t="s">
        <v>162</v>
      </c>
      <c r="F966" s="370"/>
      <c r="G966" s="370"/>
      <c r="H966" s="357">
        <f t="shared" si="29"/>
        <v>0</v>
      </c>
      <c r="I966" s="346">
        <f t="shared" si="31"/>
        <v>0</v>
      </c>
      <c r="J966" s="354" t="s">
        <v>636</v>
      </c>
      <c r="M966" s="360">
        <f t="shared" si="12"/>
        <v>52061</v>
      </c>
      <c r="N966" s="360">
        <f t="shared" si="9"/>
        <v>52067</v>
      </c>
      <c r="O966" s="2">
        <f t="shared" si="10"/>
        <v>0</v>
      </c>
      <c r="P966" s="2">
        <f t="shared" si="11"/>
        <v>0</v>
      </c>
    </row>
    <row r="967">
      <c r="A967" s="344">
        <f t="shared" si="5"/>
        <v>850</v>
      </c>
      <c r="B967" s="344">
        <f t="shared" si="6"/>
        <v>90</v>
      </c>
      <c r="C967" s="369"/>
      <c r="D967" s="389" t="str">
        <f t="shared" si="7"/>
        <v>Saturday</v>
      </c>
      <c r="E967" s="344" t="s">
        <v>162</v>
      </c>
      <c r="F967" s="370"/>
      <c r="G967" s="370"/>
      <c r="H967" s="357">
        <f t="shared" si="29"/>
        <v>0</v>
      </c>
      <c r="I967" s="346">
        <f t="shared" si="31"/>
        <v>0</v>
      </c>
      <c r="J967" s="354" t="s">
        <v>636</v>
      </c>
      <c r="M967" s="360">
        <f t="shared" si="12"/>
        <v>52068</v>
      </c>
      <c r="N967" s="360">
        <f t="shared" si="9"/>
        <v>52074</v>
      </c>
      <c r="O967" s="2">
        <f t="shared" si="10"/>
        <v>0</v>
      </c>
      <c r="P967" s="2">
        <f t="shared" si="11"/>
        <v>0</v>
      </c>
    </row>
    <row r="968">
      <c r="A968" s="344">
        <f t="shared" si="5"/>
        <v>850</v>
      </c>
      <c r="B968" s="344">
        <f t="shared" si="6"/>
        <v>90</v>
      </c>
      <c r="C968" s="369"/>
      <c r="D968" s="389" t="str">
        <f t="shared" si="7"/>
        <v>Saturday</v>
      </c>
      <c r="E968" s="344" t="s">
        <v>162</v>
      </c>
      <c r="F968" s="370"/>
      <c r="G968" s="370"/>
      <c r="H968" s="357">
        <f t="shared" si="29"/>
        <v>0</v>
      </c>
      <c r="I968" s="346">
        <f t="shared" si="31"/>
        <v>0</v>
      </c>
      <c r="J968" s="354" t="s">
        <v>636</v>
      </c>
      <c r="M968" s="360">
        <f t="shared" si="12"/>
        <v>52075</v>
      </c>
      <c r="N968" s="360">
        <f t="shared" si="9"/>
        <v>52081</v>
      </c>
      <c r="O968" s="2">
        <f t="shared" si="10"/>
        <v>0</v>
      </c>
      <c r="P968" s="2">
        <f t="shared" si="11"/>
        <v>0</v>
      </c>
    </row>
  </sheetData>
  <conditionalFormatting sqref="A1:Z989">
    <cfRule type="cellIs" dxfId="2" priority="1" operator="equal">
      <formula>"Soujanya"</formula>
    </cfRule>
  </conditionalFormatting>
  <conditionalFormatting sqref="A1:Z989">
    <cfRule type="cellIs" dxfId="5" priority="2" operator="equal">
      <formula>"Jaya"</formula>
    </cfRule>
  </conditionalFormatting>
  <conditionalFormatting sqref="A1:Z989">
    <cfRule type="cellIs" dxfId="20" priority="3" operator="equal">
      <formula>"NA"</formula>
    </cfRule>
  </conditionalFormatting>
  <conditionalFormatting sqref="A1:Z989">
    <cfRule type="cellIs" dxfId="4" priority="4" operator="equal">
      <formula>"Client"</formula>
    </cfRule>
  </conditionalFormatting>
  <conditionalFormatting sqref="A1:Z989">
    <cfRule type="cellIs" dxfId="3" priority="5" operator="equal">
      <formula>"Deepak"</formula>
    </cfRule>
  </conditionalFormatting>
  <conditionalFormatting sqref="A1:Z989">
    <cfRule type="cellIs" dxfId="6" priority="6" operator="equal">
      <formula>"Ishika"</formula>
    </cfRule>
  </conditionalFormatting>
  <dataValidations>
    <dataValidation type="list" allowBlank="1" showErrorMessage="1" sqref="J12:J968">
      <formula1>"Spend,Paid"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3.5"/>
    <col customWidth="1" min="2" max="2" width="15.75"/>
    <col customWidth="1" min="3" max="3" width="10.63"/>
    <col customWidth="1" min="4" max="4" width="9.75"/>
    <col customWidth="1" min="5" max="5" width="15.38"/>
    <col customWidth="1" min="6" max="6" width="19.75"/>
    <col customWidth="1" min="7" max="7" width="11.0"/>
    <col customWidth="1" min="8" max="8" width="14.75"/>
    <col customWidth="1" min="9" max="10" width="19.75"/>
  </cols>
  <sheetData>
    <row r="1">
      <c r="G1" s="6" t="s">
        <v>617</v>
      </c>
      <c r="H1" s="6" t="s">
        <v>618</v>
      </c>
      <c r="I1" s="6" t="s">
        <v>575</v>
      </c>
      <c r="J1" s="312"/>
    </row>
    <row r="2">
      <c r="G2" s="406">
        <v>14600.0</v>
      </c>
      <c r="H2" s="299">
        <f>G2-I2</f>
        <v>9224</v>
      </c>
      <c r="I2" s="407">
        <f>sum(I9:I947)</f>
        <v>5376</v>
      </c>
    </row>
    <row r="3">
      <c r="A3" s="341" t="s">
        <v>270</v>
      </c>
      <c r="B3" s="342">
        <v>45803.0</v>
      </c>
      <c r="C3" s="333"/>
      <c r="D3" s="333"/>
      <c r="E3" s="333"/>
      <c r="F3" s="312"/>
      <c r="G3" s="312"/>
      <c r="H3" s="312"/>
      <c r="I3" s="312"/>
      <c r="J3" s="312"/>
    </row>
    <row r="4">
      <c r="A4" s="343" t="s">
        <v>578</v>
      </c>
      <c r="B4" s="343" t="s">
        <v>579</v>
      </c>
      <c r="C4" s="343" t="s">
        <v>275</v>
      </c>
      <c r="D4" s="343" t="s">
        <v>580</v>
      </c>
      <c r="E4" s="343" t="s">
        <v>626</v>
      </c>
      <c r="F4" s="343" t="s">
        <v>581</v>
      </c>
      <c r="G4" s="343" t="s">
        <v>649</v>
      </c>
      <c r="H4" s="343" t="s">
        <v>583</v>
      </c>
      <c r="I4" s="343" t="s">
        <v>584</v>
      </c>
      <c r="J4" s="343" t="s">
        <v>650</v>
      </c>
    </row>
    <row r="5">
      <c r="A5" s="344" t="s">
        <v>317</v>
      </c>
      <c r="B5" s="344">
        <f>sum(I9:I947)</f>
        <v>5376</v>
      </c>
      <c r="C5" s="342">
        <f>min(C9:C947)</f>
        <v>45803</v>
      </c>
      <c r="D5" s="344" t="str">
        <f>text(WEEKDAY(C5),"dddd")</f>
        <v>Monday</v>
      </c>
      <c r="E5" s="342">
        <f>max(C9:C947)</f>
        <v>45812</v>
      </c>
      <c r="F5" s="345">
        <f>H7</f>
        <v>480</v>
      </c>
      <c r="G5" s="346">
        <f>I5*5/7*365/12</f>
        <v>14600</v>
      </c>
      <c r="H5" s="344">
        <f>COUNT(G9:G947)</f>
        <v>8</v>
      </c>
      <c r="I5" s="346">
        <f>ceiling(I2/H5,1)</f>
        <v>672</v>
      </c>
      <c r="J5" s="346">
        <f>sum(J9:J947)</f>
        <v>3415.85</v>
      </c>
    </row>
    <row r="6">
      <c r="A6" s="348"/>
      <c r="B6" s="312"/>
      <c r="C6" s="313"/>
      <c r="D6" s="313"/>
      <c r="E6" s="313"/>
      <c r="F6" s="313"/>
      <c r="G6" s="313"/>
      <c r="H6" s="312"/>
      <c r="I6" s="349"/>
      <c r="J6" s="312"/>
    </row>
    <row r="7">
      <c r="A7" s="348" t="s">
        <v>632</v>
      </c>
      <c r="B7" s="350">
        <f>H7/H5</f>
        <v>60</v>
      </c>
      <c r="C7" s="313"/>
      <c r="D7" s="313"/>
      <c r="E7" s="313"/>
      <c r="F7" s="313"/>
      <c r="G7" s="313"/>
      <c r="H7" s="351">
        <f>sum(H9:H947)</f>
        <v>480</v>
      </c>
      <c r="I7" s="349"/>
      <c r="J7" s="312"/>
    </row>
    <row r="8">
      <c r="A8" s="353" t="s">
        <v>585</v>
      </c>
      <c r="B8" s="353" t="s">
        <v>586</v>
      </c>
      <c r="C8" s="353" t="s">
        <v>129</v>
      </c>
      <c r="D8" s="353"/>
      <c r="E8" s="353" t="s">
        <v>587</v>
      </c>
      <c r="F8" s="353" t="s">
        <v>588</v>
      </c>
      <c r="G8" s="353" t="s">
        <v>589</v>
      </c>
      <c r="H8" s="353" t="s">
        <v>590</v>
      </c>
      <c r="I8" s="353" t="s">
        <v>591</v>
      </c>
      <c r="J8" s="353" t="s">
        <v>651</v>
      </c>
    </row>
    <row r="9">
      <c r="A9" s="344">
        <v>672.66</v>
      </c>
      <c r="B9" s="344">
        <v>60.0</v>
      </c>
      <c r="C9" s="355">
        <v>45803.0</v>
      </c>
      <c r="D9" s="344" t="str">
        <f t="shared" ref="D9:D947" si="1">text(WEEKDAY(C9),"dddd")</f>
        <v>Monday</v>
      </c>
      <c r="E9" s="344" t="s">
        <v>652</v>
      </c>
      <c r="F9" s="356">
        <v>0.8854166666666666</v>
      </c>
      <c r="G9" s="356">
        <v>0.9270833333333334</v>
      </c>
      <c r="H9" s="357">
        <f t="shared" ref="H9:H947" si="2">(G9-F9)*1440</f>
        <v>60</v>
      </c>
      <c r="I9" s="346">
        <f t="shared" ref="I9:I947" si="3">FLOOR(A9*H9/B9,1)</f>
        <v>672</v>
      </c>
      <c r="J9" s="313">
        <v>0.0</v>
      </c>
    </row>
    <row r="10">
      <c r="A10" s="344">
        <v>672.66</v>
      </c>
      <c r="B10" s="344">
        <v>60.0</v>
      </c>
      <c r="C10" s="355">
        <v>45804.0</v>
      </c>
      <c r="D10" s="344" t="str">
        <f t="shared" si="1"/>
        <v>Tuesday</v>
      </c>
      <c r="E10" s="344" t="s">
        <v>652</v>
      </c>
      <c r="F10" s="356">
        <v>0.8854166666666666</v>
      </c>
      <c r="G10" s="356">
        <v>0.9270833333333334</v>
      </c>
      <c r="H10" s="357">
        <f t="shared" si="2"/>
        <v>60</v>
      </c>
      <c r="I10" s="346">
        <f t="shared" si="3"/>
        <v>672</v>
      </c>
      <c r="J10" s="313">
        <v>0.0</v>
      </c>
    </row>
    <row r="11">
      <c r="A11" s="344">
        <v>672.66</v>
      </c>
      <c r="B11" s="344">
        <v>60.0</v>
      </c>
      <c r="C11" s="355">
        <v>45805.0</v>
      </c>
      <c r="D11" s="344" t="str">
        <f t="shared" si="1"/>
        <v>Wednesday</v>
      </c>
      <c r="E11" s="344" t="s">
        <v>652</v>
      </c>
      <c r="F11" s="356">
        <v>0.8854166666666666</v>
      </c>
      <c r="G11" s="356">
        <v>0.9270833333333334</v>
      </c>
      <c r="H11" s="357">
        <f t="shared" si="2"/>
        <v>60</v>
      </c>
      <c r="I11" s="346">
        <f t="shared" si="3"/>
        <v>672</v>
      </c>
      <c r="J11" s="313">
        <v>0.0</v>
      </c>
    </row>
    <row r="12">
      <c r="A12" s="344">
        <v>672.66</v>
      </c>
      <c r="B12" s="344">
        <v>60.0</v>
      </c>
      <c r="C12" s="355">
        <v>45806.0</v>
      </c>
      <c r="D12" s="344" t="str">
        <f t="shared" si="1"/>
        <v>Thursday</v>
      </c>
      <c r="E12" s="344" t="s">
        <v>652</v>
      </c>
      <c r="F12" s="356">
        <v>0.8854166666666666</v>
      </c>
      <c r="G12" s="356">
        <v>0.9270833333333334</v>
      </c>
      <c r="H12" s="357">
        <f t="shared" si="2"/>
        <v>60</v>
      </c>
      <c r="I12" s="346">
        <f t="shared" si="3"/>
        <v>672</v>
      </c>
      <c r="J12" s="313">
        <v>2070.01</v>
      </c>
    </row>
    <row r="13">
      <c r="A13" s="344">
        <v>672.66</v>
      </c>
      <c r="B13" s="344">
        <v>60.0</v>
      </c>
      <c r="C13" s="355">
        <v>45807.0</v>
      </c>
      <c r="D13" s="344" t="str">
        <f t="shared" si="1"/>
        <v>Friday</v>
      </c>
      <c r="E13" s="344" t="s">
        <v>652</v>
      </c>
      <c r="F13" s="356">
        <v>0.8854166666666666</v>
      </c>
      <c r="G13" s="356">
        <v>0.9270833333333334</v>
      </c>
      <c r="H13" s="357">
        <f t="shared" si="2"/>
        <v>60</v>
      </c>
      <c r="I13" s="346">
        <f t="shared" si="3"/>
        <v>672</v>
      </c>
      <c r="J13" s="313">
        <v>672.66</v>
      </c>
    </row>
    <row r="14">
      <c r="A14" s="344">
        <v>672.66</v>
      </c>
      <c r="B14" s="344">
        <v>60.0</v>
      </c>
      <c r="C14" s="355">
        <v>45810.0</v>
      </c>
      <c r="D14" s="344" t="str">
        <f t="shared" si="1"/>
        <v>Monday</v>
      </c>
      <c r="E14" s="344" t="s">
        <v>652</v>
      </c>
      <c r="F14" s="356">
        <v>0.8854166666666666</v>
      </c>
      <c r="G14" s="356">
        <v>0.9270833333333334</v>
      </c>
      <c r="H14" s="357">
        <f t="shared" si="2"/>
        <v>60</v>
      </c>
      <c r="I14" s="346">
        <f t="shared" si="3"/>
        <v>672</v>
      </c>
      <c r="J14" s="313">
        <v>673.18</v>
      </c>
    </row>
    <row r="15">
      <c r="A15" s="344">
        <v>672.66</v>
      </c>
      <c r="B15" s="344">
        <v>60.0</v>
      </c>
      <c r="C15" s="355">
        <v>45811.0</v>
      </c>
      <c r="D15" s="344" t="str">
        <f t="shared" si="1"/>
        <v>Tuesday</v>
      </c>
      <c r="E15" s="344" t="s">
        <v>652</v>
      </c>
      <c r="F15" s="356">
        <v>0.8854166666666666</v>
      </c>
      <c r="G15" s="356">
        <v>0.9270833333333334</v>
      </c>
      <c r="H15" s="357">
        <f t="shared" si="2"/>
        <v>60</v>
      </c>
      <c r="I15" s="346">
        <f t="shared" si="3"/>
        <v>672</v>
      </c>
      <c r="J15" s="312"/>
    </row>
    <row r="16">
      <c r="A16" s="344">
        <v>672.66</v>
      </c>
      <c r="B16" s="344">
        <v>60.0</v>
      </c>
      <c r="C16" s="355">
        <v>45812.0</v>
      </c>
      <c r="D16" s="344" t="str">
        <f t="shared" si="1"/>
        <v>Wednesday</v>
      </c>
      <c r="E16" s="344" t="s">
        <v>652</v>
      </c>
      <c r="F16" s="356">
        <v>0.8854166666666666</v>
      </c>
      <c r="G16" s="356">
        <v>0.9270833333333334</v>
      </c>
      <c r="H16" s="357">
        <f t="shared" si="2"/>
        <v>60</v>
      </c>
      <c r="I16" s="346">
        <f t="shared" si="3"/>
        <v>672</v>
      </c>
      <c r="J16" s="312"/>
    </row>
    <row r="17">
      <c r="A17" s="344">
        <v>672.66</v>
      </c>
      <c r="B17" s="344">
        <v>60.0</v>
      </c>
      <c r="C17" s="361"/>
      <c r="D17" s="344" t="str">
        <f t="shared" si="1"/>
        <v>Saturday</v>
      </c>
      <c r="E17" s="344"/>
      <c r="F17" s="356"/>
      <c r="G17" s="356"/>
      <c r="H17" s="357">
        <f t="shared" si="2"/>
        <v>0</v>
      </c>
      <c r="I17" s="346">
        <f t="shared" si="3"/>
        <v>0</v>
      </c>
      <c r="J17" s="312"/>
    </row>
    <row r="18">
      <c r="A18" s="344">
        <v>672.66</v>
      </c>
      <c r="B18" s="344">
        <v>60.0</v>
      </c>
      <c r="C18" s="361"/>
      <c r="D18" s="344" t="str">
        <f t="shared" si="1"/>
        <v>Saturday</v>
      </c>
      <c r="E18" s="344"/>
      <c r="F18" s="356"/>
      <c r="G18" s="356"/>
      <c r="H18" s="357">
        <f t="shared" si="2"/>
        <v>0</v>
      </c>
      <c r="I18" s="346">
        <f t="shared" si="3"/>
        <v>0</v>
      </c>
      <c r="J18" s="312"/>
    </row>
    <row r="19">
      <c r="A19" s="344">
        <v>672.66</v>
      </c>
      <c r="B19" s="344">
        <v>60.0</v>
      </c>
      <c r="C19" s="361"/>
      <c r="D19" s="344" t="str">
        <f t="shared" si="1"/>
        <v>Saturday</v>
      </c>
      <c r="E19" s="344"/>
      <c r="F19" s="356"/>
      <c r="G19" s="356"/>
      <c r="H19" s="357">
        <f t="shared" si="2"/>
        <v>0</v>
      </c>
      <c r="I19" s="346">
        <f t="shared" si="3"/>
        <v>0</v>
      </c>
      <c r="J19" s="312"/>
    </row>
    <row r="20">
      <c r="A20" s="344">
        <v>672.66</v>
      </c>
      <c r="B20" s="344">
        <v>60.0</v>
      </c>
      <c r="C20" s="361"/>
      <c r="D20" s="344" t="str">
        <f t="shared" si="1"/>
        <v>Saturday</v>
      </c>
      <c r="E20" s="344"/>
      <c r="F20" s="356"/>
      <c r="G20" s="356"/>
      <c r="H20" s="357">
        <f t="shared" si="2"/>
        <v>0</v>
      </c>
      <c r="I20" s="346">
        <f t="shared" si="3"/>
        <v>0</v>
      </c>
      <c r="J20" s="312"/>
    </row>
    <row r="21">
      <c r="A21" s="344">
        <v>672.66</v>
      </c>
      <c r="B21" s="344">
        <v>60.0</v>
      </c>
      <c r="C21" s="361"/>
      <c r="D21" s="344" t="str">
        <f t="shared" si="1"/>
        <v>Saturday</v>
      </c>
      <c r="E21" s="344"/>
      <c r="F21" s="356"/>
      <c r="G21" s="356"/>
      <c r="H21" s="357">
        <f t="shared" si="2"/>
        <v>0</v>
      </c>
      <c r="I21" s="346">
        <f t="shared" si="3"/>
        <v>0</v>
      </c>
      <c r="J21" s="312"/>
    </row>
    <row r="22">
      <c r="A22" s="344">
        <v>672.66</v>
      </c>
      <c r="B22" s="344">
        <v>60.0</v>
      </c>
      <c r="C22" s="361"/>
      <c r="D22" s="344" t="str">
        <f t="shared" si="1"/>
        <v>Saturday</v>
      </c>
      <c r="E22" s="344"/>
      <c r="F22" s="356"/>
      <c r="G22" s="356"/>
      <c r="H22" s="357">
        <f t="shared" si="2"/>
        <v>0</v>
      </c>
      <c r="I22" s="346">
        <f t="shared" si="3"/>
        <v>0</v>
      </c>
      <c r="J22" s="312"/>
    </row>
    <row r="23">
      <c r="A23" s="344">
        <v>672.66</v>
      </c>
      <c r="B23" s="344">
        <v>60.0</v>
      </c>
      <c r="C23" s="361"/>
      <c r="D23" s="344" t="str">
        <f t="shared" si="1"/>
        <v>Saturday</v>
      </c>
      <c r="E23" s="344"/>
      <c r="F23" s="356"/>
      <c r="G23" s="356"/>
      <c r="H23" s="357">
        <f t="shared" si="2"/>
        <v>0</v>
      </c>
      <c r="I23" s="346">
        <f t="shared" si="3"/>
        <v>0</v>
      </c>
      <c r="J23" s="312"/>
    </row>
    <row r="24">
      <c r="A24" s="344">
        <v>672.66</v>
      </c>
      <c r="B24" s="344">
        <v>60.0</v>
      </c>
      <c r="C24" s="361"/>
      <c r="D24" s="344" t="str">
        <f t="shared" si="1"/>
        <v>Saturday</v>
      </c>
      <c r="E24" s="344"/>
      <c r="F24" s="356"/>
      <c r="G24" s="356"/>
      <c r="H24" s="357">
        <f t="shared" si="2"/>
        <v>0</v>
      </c>
      <c r="I24" s="346">
        <f t="shared" si="3"/>
        <v>0</v>
      </c>
      <c r="J24" s="312"/>
    </row>
    <row r="25">
      <c r="A25" s="344">
        <v>672.66</v>
      </c>
      <c r="B25" s="344">
        <v>60.0</v>
      </c>
      <c r="C25" s="361"/>
      <c r="D25" s="344" t="str">
        <f t="shared" si="1"/>
        <v>Saturday</v>
      </c>
      <c r="E25" s="344"/>
      <c r="F25" s="356"/>
      <c r="G25" s="356"/>
      <c r="H25" s="357">
        <f t="shared" si="2"/>
        <v>0</v>
      </c>
      <c r="I25" s="346">
        <f t="shared" si="3"/>
        <v>0</v>
      </c>
      <c r="J25" s="312"/>
    </row>
    <row r="26">
      <c r="A26" s="344">
        <v>672.66</v>
      </c>
      <c r="B26" s="344">
        <v>60.0</v>
      </c>
      <c r="C26" s="361"/>
      <c r="D26" s="344" t="str">
        <f t="shared" si="1"/>
        <v>Saturday</v>
      </c>
      <c r="E26" s="344"/>
      <c r="F26" s="356"/>
      <c r="G26" s="356"/>
      <c r="H26" s="357">
        <f t="shared" si="2"/>
        <v>0</v>
      </c>
      <c r="I26" s="346">
        <f t="shared" si="3"/>
        <v>0</v>
      </c>
      <c r="J26" s="312"/>
    </row>
    <row r="27">
      <c r="A27" s="344">
        <v>672.66</v>
      </c>
      <c r="B27" s="344">
        <v>60.0</v>
      </c>
      <c r="C27" s="361"/>
      <c r="D27" s="344" t="str">
        <f t="shared" si="1"/>
        <v>Saturday</v>
      </c>
      <c r="E27" s="344"/>
      <c r="F27" s="356"/>
      <c r="G27" s="356"/>
      <c r="H27" s="357">
        <f t="shared" si="2"/>
        <v>0</v>
      </c>
      <c r="I27" s="346">
        <f t="shared" si="3"/>
        <v>0</v>
      </c>
      <c r="J27" s="312"/>
    </row>
    <row r="28">
      <c r="A28" s="344">
        <v>672.66</v>
      </c>
      <c r="B28" s="344">
        <v>60.0</v>
      </c>
      <c r="C28" s="361"/>
      <c r="D28" s="344" t="str">
        <f t="shared" si="1"/>
        <v>Saturday</v>
      </c>
      <c r="E28" s="344"/>
      <c r="F28" s="356"/>
      <c r="G28" s="356"/>
      <c r="H28" s="357">
        <f t="shared" si="2"/>
        <v>0</v>
      </c>
      <c r="I28" s="346">
        <f t="shared" si="3"/>
        <v>0</v>
      </c>
      <c r="J28" s="312"/>
    </row>
    <row r="29">
      <c r="A29" s="344">
        <v>672.66</v>
      </c>
      <c r="B29" s="344">
        <v>60.0</v>
      </c>
      <c r="C29" s="361"/>
      <c r="D29" s="344" t="str">
        <f t="shared" si="1"/>
        <v>Saturday</v>
      </c>
      <c r="E29" s="344"/>
      <c r="F29" s="356"/>
      <c r="G29" s="356"/>
      <c r="H29" s="357">
        <f t="shared" si="2"/>
        <v>0</v>
      </c>
      <c r="I29" s="346">
        <f t="shared" si="3"/>
        <v>0</v>
      </c>
      <c r="J29" s="312"/>
    </row>
    <row r="30">
      <c r="A30" s="344">
        <v>672.66</v>
      </c>
      <c r="B30" s="344">
        <v>60.0</v>
      </c>
      <c r="C30" s="361"/>
      <c r="D30" s="344" t="str">
        <f t="shared" si="1"/>
        <v>Saturday</v>
      </c>
      <c r="E30" s="344"/>
      <c r="F30" s="356"/>
      <c r="G30" s="356"/>
      <c r="H30" s="357">
        <f t="shared" si="2"/>
        <v>0</v>
      </c>
      <c r="I30" s="346">
        <f t="shared" si="3"/>
        <v>0</v>
      </c>
      <c r="J30" s="312"/>
    </row>
    <row r="31">
      <c r="A31" s="344">
        <v>672.66</v>
      </c>
      <c r="B31" s="344">
        <v>60.0</v>
      </c>
      <c r="C31" s="365"/>
      <c r="D31" s="344" t="str">
        <f t="shared" si="1"/>
        <v>Saturday</v>
      </c>
      <c r="E31" s="344"/>
      <c r="F31" s="366"/>
      <c r="G31" s="366"/>
      <c r="H31" s="357">
        <f t="shared" si="2"/>
        <v>0</v>
      </c>
      <c r="I31" s="346">
        <f t="shared" si="3"/>
        <v>0</v>
      </c>
      <c r="J31" s="312"/>
    </row>
    <row r="32">
      <c r="A32" s="344">
        <v>672.66</v>
      </c>
      <c r="B32" s="344">
        <v>60.0</v>
      </c>
      <c r="C32" s="365"/>
      <c r="D32" s="344" t="str">
        <f t="shared" si="1"/>
        <v>Saturday</v>
      </c>
      <c r="E32" s="344"/>
      <c r="F32" s="367"/>
      <c r="G32" s="367"/>
      <c r="H32" s="357">
        <f t="shared" si="2"/>
        <v>0</v>
      </c>
      <c r="I32" s="346">
        <f t="shared" si="3"/>
        <v>0</v>
      </c>
      <c r="J32" s="312"/>
    </row>
    <row r="33">
      <c r="A33" s="344">
        <v>672.66</v>
      </c>
      <c r="B33" s="344">
        <v>60.0</v>
      </c>
      <c r="C33" s="368"/>
      <c r="D33" s="344" t="str">
        <f t="shared" si="1"/>
        <v>Saturday</v>
      </c>
      <c r="E33" s="344"/>
      <c r="F33" s="367"/>
      <c r="G33" s="367"/>
      <c r="H33" s="357">
        <f t="shared" si="2"/>
        <v>0</v>
      </c>
      <c r="I33" s="346">
        <f t="shared" si="3"/>
        <v>0</v>
      </c>
      <c r="J33" s="312"/>
    </row>
    <row r="34">
      <c r="A34" s="344">
        <v>672.66</v>
      </c>
      <c r="B34" s="344">
        <v>60.0</v>
      </c>
      <c r="C34" s="365"/>
      <c r="D34" s="344" t="str">
        <f t="shared" si="1"/>
        <v>Saturday</v>
      </c>
      <c r="E34" s="344"/>
      <c r="F34" s="366"/>
      <c r="G34" s="366"/>
      <c r="H34" s="357">
        <f t="shared" si="2"/>
        <v>0</v>
      </c>
      <c r="I34" s="346">
        <f t="shared" si="3"/>
        <v>0</v>
      </c>
      <c r="J34" s="312"/>
    </row>
    <row r="35">
      <c r="A35" s="344">
        <v>672.66</v>
      </c>
      <c r="B35" s="344">
        <v>60.0</v>
      </c>
      <c r="C35" s="368"/>
      <c r="D35" s="344" t="str">
        <f t="shared" si="1"/>
        <v>Saturday</v>
      </c>
      <c r="E35" s="344"/>
      <c r="F35" s="367"/>
      <c r="G35" s="367"/>
      <c r="H35" s="357">
        <f t="shared" si="2"/>
        <v>0</v>
      </c>
      <c r="I35" s="346">
        <f t="shared" si="3"/>
        <v>0</v>
      </c>
      <c r="J35" s="312"/>
    </row>
    <row r="36">
      <c r="A36" s="344">
        <v>672.66</v>
      </c>
      <c r="B36" s="344">
        <v>60.0</v>
      </c>
      <c r="C36" s="368"/>
      <c r="D36" s="344" t="str">
        <f t="shared" si="1"/>
        <v>Saturday</v>
      </c>
      <c r="E36" s="344"/>
      <c r="F36" s="367"/>
      <c r="G36" s="367"/>
      <c r="H36" s="357">
        <f t="shared" si="2"/>
        <v>0</v>
      </c>
      <c r="I36" s="346">
        <f t="shared" si="3"/>
        <v>0</v>
      </c>
      <c r="J36" s="312"/>
    </row>
    <row r="37">
      <c r="A37" s="344">
        <v>672.66</v>
      </c>
      <c r="B37" s="344">
        <v>60.0</v>
      </c>
      <c r="C37" s="368"/>
      <c r="D37" s="344" t="str">
        <f t="shared" si="1"/>
        <v>Saturday</v>
      </c>
      <c r="E37" s="344"/>
      <c r="F37" s="367"/>
      <c r="G37" s="367"/>
      <c r="H37" s="357">
        <f t="shared" si="2"/>
        <v>0</v>
      </c>
      <c r="I37" s="346">
        <f t="shared" si="3"/>
        <v>0</v>
      </c>
      <c r="J37" s="312"/>
    </row>
    <row r="38">
      <c r="A38" s="344">
        <v>672.66</v>
      </c>
      <c r="B38" s="344">
        <v>60.0</v>
      </c>
      <c r="C38" s="368"/>
      <c r="D38" s="344" t="str">
        <f t="shared" si="1"/>
        <v>Saturday</v>
      </c>
      <c r="E38" s="344"/>
      <c r="F38" s="367"/>
      <c r="G38" s="367"/>
      <c r="H38" s="357">
        <f t="shared" si="2"/>
        <v>0</v>
      </c>
      <c r="I38" s="346">
        <f t="shared" si="3"/>
        <v>0</v>
      </c>
      <c r="J38" s="312"/>
    </row>
    <row r="39">
      <c r="A39" s="344">
        <v>672.66</v>
      </c>
      <c r="B39" s="344">
        <v>60.0</v>
      </c>
      <c r="C39" s="368"/>
      <c r="D39" s="344" t="str">
        <f t="shared" si="1"/>
        <v>Saturday</v>
      </c>
      <c r="E39" s="344"/>
      <c r="F39" s="367"/>
      <c r="G39" s="367"/>
      <c r="H39" s="357">
        <f t="shared" si="2"/>
        <v>0</v>
      </c>
      <c r="I39" s="346">
        <f t="shared" si="3"/>
        <v>0</v>
      </c>
      <c r="J39" s="312"/>
    </row>
    <row r="40">
      <c r="A40" s="344">
        <v>672.66</v>
      </c>
      <c r="B40" s="344">
        <v>60.0</v>
      </c>
      <c r="C40" s="368"/>
      <c r="D40" s="344" t="str">
        <f t="shared" si="1"/>
        <v>Saturday</v>
      </c>
      <c r="E40" s="344"/>
      <c r="F40" s="367"/>
      <c r="G40" s="367"/>
      <c r="H40" s="357">
        <f t="shared" si="2"/>
        <v>0</v>
      </c>
      <c r="I40" s="346">
        <f t="shared" si="3"/>
        <v>0</v>
      </c>
      <c r="J40" s="312"/>
    </row>
    <row r="41">
      <c r="A41" s="344">
        <v>672.66</v>
      </c>
      <c r="B41" s="344">
        <v>60.0</v>
      </c>
      <c r="C41" s="368"/>
      <c r="D41" s="344" t="str">
        <f t="shared" si="1"/>
        <v>Saturday</v>
      </c>
      <c r="E41" s="344"/>
      <c r="F41" s="367"/>
      <c r="G41" s="367"/>
      <c r="H41" s="357">
        <f t="shared" si="2"/>
        <v>0</v>
      </c>
      <c r="I41" s="346">
        <f t="shared" si="3"/>
        <v>0</v>
      </c>
      <c r="J41" s="312"/>
    </row>
    <row r="42">
      <c r="A42" s="344">
        <v>672.66</v>
      </c>
      <c r="B42" s="344">
        <v>60.0</v>
      </c>
      <c r="C42" s="368"/>
      <c r="D42" s="344" t="str">
        <f t="shared" si="1"/>
        <v>Saturday</v>
      </c>
      <c r="E42" s="344"/>
      <c r="F42" s="367"/>
      <c r="G42" s="367"/>
      <c r="H42" s="357">
        <f t="shared" si="2"/>
        <v>0</v>
      </c>
      <c r="I42" s="346">
        <f t="shared" si="3"/>
        <v>0</v>
      </c>
      <c r="J42" s="312"/>
    </row>
    <row r="43">
      <c r="A43" s="344">
        <v>672.66</v>
      </c>
      <c r="B43" s="344">
        <v>60.0</v>
      </c>
      <c r="C43" s="368"/>
      <c r="D43" s="344" t="str">
        <f t="shared" si="1"/>
        <v>Saturday</v>
      </c>
      <c r="E43" s="344"/>
      <c r="F43" s="367"/>
      <c r="G43" s="367"/>
      <c r="H43" s="357">
        <f t="shared" si="2"/>
        <v>0</v>
      </c>
      <c r="I43" s="346">
        <f t="shared" si="3"/>
        <v>0</v>
      </c>
      <c r="J43" s="312"/>
    </row>
    <row r="44">
      <c r="A44" s="344">
        <v>672.66</v>
      </c>
      <c r="B44" s="344">
        <v>60.0</v>
      </c>
      <c r="C44" s="368"/>
      <c r="D44" s="344" t="str">
        <f t="shared" si="1"/>
        <v>Saturday</v>
      </c>
      <c r="E44" s="344"/>
      <c r="F44" s="367"/>
      <c r="G44" s="367"/>
      <c r="H44" s="357">
        <f t="shared" si="2"/>
        <v>0</v>
      </c>
      <c r="I44" s="346">
        <f t="shared" si="3"/>
        <v>0</v>
      </c>
      <c r="J44" s="312"/>
    </row>
    <row r="45">
      <c r="A45" s="344">
        <v>672.66</v>
      </c>
      <c r="B45" s="344">
        <v>60.0</v>
      </c>
      <c r="C45" s="368"/>
      <c r="D45" s="344" t="str">
        <f t="shared" si="1"/>
        <v>Saturday</v>
      </c>
      <c r="E45" s="344"/>
      <c r="F45" s="367"/>
      <c r="G45" s="367"/>
      <c r="H45" s="357">
        <f t="shared" si="2"/>
        <v>0</v>
      </c>
      <c r="I45" s="346">
        <f t="shared" si="3"/>
        <v>0</v>
      </c>
      <c r="J45" s="312"/>
    </row>
    <row r="46">
      <c r="A46" s="344">
        <v>672.66</v>
      </c>
      <c r="B46" s="344">
        <v>60.0</v>
      </c>
      <c r="C46" s="368"/>
      <c r="D46" s="344" t="str">
        <f t="shared" si="1"/>
        <v>Saturday</v>
      </c>
      <c r="E46" s="344"/>
      <c r="F46" s="367"/>
      <c r="G46" s="367"/>
      <c r="H46" s="357">
        <f t="shared" si="2"/>
        <v>0</v>
      </c>
      <c r="I46" s="346">
        <f t="shared" si="3"/>
        <v>0</v>
      </c>
      <c r="J46" s="312"/>
    </row>
    <row r="47">
      <c r="A47" s="344">
        <v>672.66</v>
      </c>
      <c r="B47" s="344">
        <v>60.0</v>
      </c>
      <c r="C47" s="368"/>
      <c r="D47" s="344" t="str">
        <f t="shared" si="1"/>
        <v>Saturday</v>
      </c>
      <c r="E47" s="344"/>
      <c r="F47" s="367"/>
      <c r="G47" s="367"/>
      <c r="H47" s="357">
        <f t="shared" si="2"/>
        <v>0</v>
      </c>
      <c r="I47" s="346">
        <f t="shared" si="3"/>
        <v>0</v>
      </c>
      <c r="J47" s="312"/>
    </row>
    <row r="48">
      <c r="A48" s="344">
        <v>672.66</v>
      </c>
      <c r="B48" s="344">
        <v>60.0</v>
      </c>
      <c r="C48" s="368"/>
      <c r="D48" s="344" t="str">
        <f t="shared" si="1"/>
        <v>Saturday</v>
      </c>
      <c r="E48" s="344"/>
      <c r="F48" s="367"/>
      <c r="G48" s="367"/>
      <c r="H48" s="357">
        <f t="shared" si="2"/>
        <v>0</v>
      </c>
      <c r="I48" s="346">
        <f t="shared" si="3"/>
        <v>0</v>
      </c>
      <c r="J48" s="312"/>
    </row>
    <row r="49">
      <c r="A49" s="344">
        <v>672.66</v>
      </c>
      <c r="B49" s="344">
        <v>60.0</v>
      </c>
      <c r="C49" s="368"/>
      <c r="D49" s="344" t="str">
        <f t="shared" si="1"/>
        <v>Saturday</v>
      </c>
      <c r="E49" s="344"/>
      <c r="F49" s="367"/>
      <c r="G49" s="367"/>
      <c r="H49" s="357">
        <f t="shared" si="2"/>
        <v>0</v>
      </c>
      <c r="I49" s="346">
        <f t="shared" si="3"/>
        <v>0</v>
      </c>
      <c r="J49" s="312"/>
    </row>
    <row r="50">
      <c r="A50" s="344">
        <v>672.66</v>
      </c>
      <c r="B50" s="344">
        <v>60.0</v>
      </c>
      <c r="C50" s="368"/>
      <c r="D50" s="344" t="str">
        <f t="shared" si="1"/>
        <v>Saturday</v>
      </c>
      <c r="E50" s="344"/>
      <c r="F50" s="367"/>
      <c r="G50" s="367"/>
      <c r="H50" s="357">
        <f t="shared" si="2"/>
        <v>0</v>
      </c>
      <c r="I50" s="346">
        <f t="shared" si="3"/>
        <v>0</v>
      </c>
      <c r="J50" s="312"/>
    </row>
    <row r="51">
      <c r="A51" s="344">
        <v>672.66</v>
      </c>
      <c r="B51" s="344">
        <v>60.0</v>
      </c>
      <c r="C51" s="368"/>
      <c r="D51" s="344" t="str">
        <f t="shared" si="1"/>
        <v>Saturday</v>
      </c>
      <c r="E51" s="344"/>
      <c r="F51" s="367"/>
      <c r="G51" s="367"/>
      <c r="H51" s="357">
        <f t="shared" si="2"/>
        <v>0</v>
      </c>
      <c r="I51" s="346">
        <f t="shared" si="3"/>
        <v>0</v>
      </c>
      <c r="J51" s="312"/>
    </row>
    <row r="52">
      <c r="A52" s="344">
        <v>672.66</v>
      </c>
      <c r="B52" s="344">
        <v>60.0</v>
      </c>
      <c r="C52" s="368"/>
      <c r="D52" s="344" t="str">
        <f t="shared" si="1"/>
        <v>Saturday</v>
      </c>
      <c r="E52" s="344"/>
      <c r="F52" s="367"/>
      <c r="G52" s="367"/>
      <c r="H52" s="357">
        <f t="shared" si="2"/>
        <v>0</v>
      </c>
      <c r="I52" s="346">
        <f t="shared" si="3"/>
        <v>0</v>
      </c>
      <c r="J52" s="312"/>
    </row>
    <row r="53">
      <c r="A53" s="344">
        <v>672.66</v>
      </c>
      <c r="B53" s="344">
        <v>60.0</v>
      </c>
      <c r="C53" s="368"/>
      <c r="D53" s="344" t="str">
        <f t="shared" si="1"/>
        <v>Saturday</v>
      </c>
      <c r="E53" s="344"/>
      <c r="F53" s="367"/>
      <c r="G53" s="367"/>
      <c r="H53" s="357">
        <f t="shared" si="2"/>
        <v>0</v>
      </c>
      <c r="I53" s="346">
        <f t="shared" si="3"/>
        <v>0</v>
      </c>
      <c r="J53" s="312"/>
    </row>
    <row r="54">
      <c r="A54" s="344">
        <v>672.66</v>
      </c>
      <c r="B54" s="344">
        <v>60.0</v>
      </c>
      <c r="C54" s="368"/>
      <c r="D54" s="344" t="str">
        <f t="shared" si="1"/>
        <v>Saturday</v>
      </c>
      <c r="E54" s="344"/>
      <c r="F54" s="367"/>
      <c r="G54" s="367"/>
      <c r="H54" s="357">
        <f t="shared" si="2"/>
        <v>0</v>
      </c>
      <c r="I54" s="346">
        <f t="shared" si="3"/>
        <v>0</v>
      </c>
      <c r="J54" s="312"/>
    </row>
    <row r="55">
      <c r="A55" s="344">
        <v>672.66</v>
      </c>
      <c r="B55" s="344">
        <v>60.0</v>
      </c>
      <c r="C55" s="368"/>
      <c r="D55" s="344" t="str">
        <f t="shared" si="1"/>
        <v>Saturday</v>
      </c>
      <c r="E55" s="344"/>
      <c r="F55" s="367"/>
      <c r="G55" s="367"/>
      <c r="H55" s="357">
        <f t="shared" si="2"/>
        <v>0</v>
      </c>
      <c r="I55" s="346">
        <f t="shared" si="3"/>
        <v>0</v>
      </c>
      <c r="J55" s="312"/>
    </row>
    <row r="56">
      <c r="A56" s="344">
        <v>672.66</v>
      </c>
      <c r="B56" s="344">
        <v>60.0</v>
      </c>
      <c r="C56" s="368"/>
      <c r="D56" s="344" t="str">
        <f t="shared" si="1"/>
        <v>Saturday</v>
      </c>
      <c r="E56" s="344"/>
      <c r="F56" s="367"/>
      <c r="G56" s="367"/>
      <c r="H56" s="357">
        <f t="shared" si="2"/>
        <v>0</v>
      </c>
      <c r="I56" s="346">
        <f t="shared" si="3"/>
        <v>0</v>
      </c>
      <c r="J56" s="312"/>
    </row>
    <row r="57">
      <c r="A57" s="344">
        <v>672.66</v>
      </c>
      <c r="B57" s="344">
        <v>60.0</v>
      </c>
      <c r="C57" s="368"/>
      <c r="D57" s="344" t="str">
        <f t="shared" si="1"/>
        <v>Saturday</v>
      </c>
      <c r="E57" s="344"/>
      <c r="F57" s="367"/>
      <c r="G57" s="367"/>
      <c r="H57" s="357">
        <f t="shared" si="2"/>
        <v>0</v>
      </c>
      <c r="I57" s="346">
        <f t="shared" si="3"/>
        <v>0</v>
      </c>
      <c r="J57" s="312"/>
    </row>
    <row r="58">
      <c r="A58" s="344">
        <v>672.66</v>
      </c>
      <c r="B58" s="344">
        <v>60.0</v>
      </c>
      <c r="C58" s="368"/>
      <c r="D58" s="344" t="str">
        <f t="shared" si="1"/>
        <v>Saturday</v>
      </c>
      <c r="E58" s="344"/>
      <c r="F58" s="367"/>
      <c r="G58" s="367"/>
      <c r="H58" s="357">
        <f t="shared" si="2"/>
        <v>0</v>
      </c>
      <c r="I58" s="346">
        <f t="shared" si="3"/>
        <v>0</v>
      </c>
      <c r="J58" s="312"/>
    </row>
    <row r="59">
      <c r="A59" s="344">
        <v>672.66</v>
      </c>
      <c r="B59" s="344">
        <v>60.0</v>
      </c>
      <c r="C59" s="368"/>
      <c r="D59" s="344" t="str">
        <f t="shared" si="1"/>
        <v>Saturday</v>
      </c>
      <c r="E59" s="344"/>
      <c r="F59" s="367"/>
      <c r="G59" s="367"/>
      <c r="H59" s="357">
        <f t="shared" si="2"/>
        <v>0</v>
      </c>
      <c r="I59" s="346">
        <f t="shared" si="3"/>
        <v>0</v>
      </c>
      <c r="J59" s="312"/>
    </row>
    <row r="60">
      <c r="A60" s="344">
        <v>672.66</v>
      </c>
      <c r="B60" s="344">
        <v>60.0</v>
      </c>
      <c r="C60" s="368"/>
      <c r="D60" s="344" t="str">
        <f t="shared" si="1"/>
        <v>Saturday</v>
      </c>
      <c r="E60" s="344"/>
      <c r="F60" s="367"/>
      <c r="G60" s="367"/>
      <c r="H60" s="357">
        <f t="shared" si="2"/>
        <v>0</v>
      </c>
      <c r="I60" s="346">
        <f t="shared" si="3"/>
        <v>0</v>
      </c>
      <c r="J60" s="312"/>
    </row>
    <row r="61">
      <c r="A61" s="344">
        <v>672.66</v>
      </c>
      <c r="B61" s="344">
        <v>60.0</v>
      </c>
      <c r="C61" s="368"/>
      <c r="D61" s="344" t="str">
        <f t="shared" si="1"/>
        <v>Saturday</v>
      </c>
      <c r="E61" s="344"/>
      <c r="F61" s="367"/>
      <c r="G61" s="367"/>
      <c r="H61" s="357">
        <f t="shared" si="2"/>
        <v>0</v>
      </c>
      <c r="I61" s="346">
        <f t="shared" si="3"/>
        <v>0</v>
      </c>
      <c r="J61" s="312"/>
    </row>
    <row r="62">
      <c r="A62" s="344">
        <v>672.66</v>
      </c>
      <c r="B62" s="344">
        <v>60.0</v>
      </c>
      <c r="C62" s="368"/>
      <c r="D62" s="344" t="str">
        <f t="shared" si="1"/>
        <v>Saturday</v>
      </c>
      <c r="E62" s="344"/>
      <c r="F62" s="367"/>
      <c r="G62" s="367"/>
      <c r="H62" s="357">
        <f t="shared" si="2"/>
        <v>0</v>
      </c>
      <c r="I62" s="346">
        <f t="shared" si="3"/>
        <v>0</v>
      </c>
      <c r="J62" s="312"/>
    </row>
    <row r="63">
      <c r="A63" s="344">
        <v>672.66</v>
      </c>
      <c r="B63" s="344">
        <v>60.0</v>
      </c>
      <c r="C63" s="368"/>
      <c r="D63" s="344" t="str">
        <f t="shared" si="1"/>
        <v>Saturday</v>
      </c>
      <c r="E63" s="344"/>
      <c r="F63" s="367"/>
      <c r="G63" s="367"/>
      <c r="H63" s="357">
        <f t="shared" si="2"/>
        <v>0</v>
      </c>
      <c r="I63" s="346">
        <f t="shared" si="3"/>
        <v>0</v>
      </c>
      <c r="J63" s="312"/>
    </row>
    <row r="64">
      <c r="A64" s="344">
        <v>672.66</v>
      </c>
      <c r="B64" s="344">
        <v>60.0</v>
      </c>
      <c r="C64" s="368"/>
      <c r="D64" s="344" t="str">
        <f t="shared" si="1"/>
        <v>Saturday</v>
      </c>
      <c r="E64" s="344"/>
      <c r="F64" s="367"/>
      <c r="G64" s="367"/>
      <c r="H64" s="357">
        <f t="shared" si="2"/>
        <v>0</v>
      </c>
      <c r="I64" s="346">
        <f t="shared" si="3"/>
        <v>0</v>
      </c>
      <c r="J64" s="312"/>
    </row>
    <row r="65">
      <c r="A65" s="344">
        <v>672.66</v>
      </c>
      <c r="B65" s="344">
        <v>60.0</v>
      </c>
      <c r="C65" s="368"/>
      <c r="D65" s="344" t="str">
        <f t="shared" si="1"/>
        <v>Saturday</v>
      </c>
      <c r="E65" s="344"/>
      <c r="F65" s="367"/>
      <c r="G65" s="367"/>
      <c r="H65" s="357">
        <f t="shared" si="2"/>
        <v>0</v>
      </c>
      <c r="I65" s="346">
        <f t="shared" si="3"/>
        <v>0</v>
      </c>
      <c r="J65" s="312"/>
    </row>
    <row r="66">
      <c r="A66" s="344">
        <v>672.66</v>
      </c>
      <c r="B66" s="344">
        <v>60.0</v>
      </c>
      <c r="C66" s="368"/>
      <c r="D66" s="344" t="str">
        <f t="shared" si="1"/>
        <v>Saturday</v>
      </c>
      <c r="E66" s="344"/>
      <c r="F66" s="367"/>
      <c r="G66" s="367"/>
      <c r="H66" s="357">
        <f t="shared" si="2"/>
        <v>0</v>
      </c>
      <c r="I66" s="346">
        <f t="shared" si="3"/>
        <v>0</v>
      </c>
      <c r="J66" s="312"/>
    </row>
    <row r="67">
      <c r="A67" s="344">
        <v>672.66</v>
      </c>
      <c r="B67" s="344">
        <v>60.0</v>
      </c>
      <c r="C67" s="368"/>
      <c r="D67" s="344" t="str">
        <f t="shared" si="1"/>
        <v>Saturday</v>
      </c>
      <c r="E67" s="344"/>
      <c r="F67" s="367"/>
      <c r="G67" s="367"/>
      <c r="H67" s="357">
        <f t="shared" si="2"/>
        <v>0</v>
      </c>
      <c r="I67" s="346">
        <f t="shared" si="3"/>
        <v>0</v>
      </c>
      <c r="J67" s="312"/>
    </row>
    <row r="68">
      <c r="A68" s="344">
        <v>672.66</v>
      </c>
      <c r="B68" s="344">
        <v>60.0</v>
      </c>
      <c r="C68" s="368"/>
      <c r="D68" s="344" t="str">
        <f t="shared" si="1"/>
        <v>Saturday</v>
      </c>
      <c r="E68" s="344"/>
      <c r="F68" s="367"/>
      <c r="G68" s="367"/>
      <c r="H68" s="357">
        <f t="shared" si="2"/>
        <v>0</v>
      </c>
      <c r="I68" s="346">
        <f t="shared" si="3"/>
        <v>0</v>
      </c>
      <c r="J68" s="312"/>
    </row>
    <row r="69">
      <c r="A69" s="344">
        <v>672.66</v>
      </c>
      <c r="B69" s="344">
        <v>60.0</v>
      </c>
      <c r="C69" s="368"/>
      <c r="D69" s="344" t="str">
        <f t="shared" si="1"/>
        <v>Saturday</v>
      </c>
      <c r="E69" s="344"/>
      <c r="F69" s="367"/>
      <c r="G69" s="367"/>
      <c r="H69" s="357">
        <f t="shared" si="2"/>
        <v>0</v>
      </c>
      <c r="I69" s="346">
        <f t="shared" si="3"/>
        <v>0</v>
      </c>
      <c r="J69" s="312"/>
    </row>
    <row r="70">
      <c r="A70" s="344">
        <v>672.66</v>
      </c>
      <c r="B70" s="344">
        <v>60.0</v>
      </c>
      <c r="C70" s="368"/>
      <c r="D70" s="344" t="str">
        <f t="shared" si="1"/>
        <v>Saturday</v>
      </c>
      <c r="E70" s="344"/>
      <c r="F70" s="367"/>
      <c r="G70" s="367"/>
      <c r="H70" s="357">
        <f t="shared" si="2"/>
        <v>0</v>
      </c>
      <c r="I70" s="346">
        <f t="shared" si="3"/>
        <v>0</v>
      </c>
      <c r="J70" s="312"/>
    </row>
    <row r="71">
      <c r="A71" s="344">
        <v>672.66</v>
      </c>
      <c r="B71" s="344">
        <v>60.0</v>
      </c>
      <c r="C71" s="368"/>
      <c r="D71" s="344" t="str">
        <f t="shared" si="1"/>
        <v>Saturday</v>
      </c>
      <c r="E71" s="344"/>
      <c r="F71" s="367"/>
      <c r="G71" s="367"/>
      <c r="H71" s="357">
        <f t="shared" si="2"/>
        <v>0</v>
      </c>
      <c r="I71" s="346">
        <f t="shared" si="3"/>
        <v>0</v>
      </c>
      <c r="J71" s="312"/>
    </row>
    <row r="72">
      <c r="A72" s="344">
        <v>672.66</v>
      </c>
      <c r="B72" s="344">
        <v>60.0</v>
      </c>
      <c r="C72" s="368"/>
      <c r="D72" s="344" t="str">
        <f t="shared" si="1"/>
        <v>Saturday</v>
      </c>
      <c r="E72" s="344"/>
      <c r="F72" s="367"/>
      <c r="G72" s="367"/>
      <c r="H72" s="357">
        <f t="shared" si="2"/>
        <v>0</v>
      </c>
      <c r="I72" s="346">
        <f t="shared" si="3"/>
        <v>0</v>
      </c>
      <c r="J72" s="312"/>
    </row>
    <row r="73">
      <c r="A73" s="344">
        <v>672.66</v>
      </c>
      <c r="B73" s="344">
        <v>60.0</v>
      </c>
      <c r="C73" s="368"/>
      <c r="D73" s="344" t="str">
        <f t="shared" si="1"/>
        <v>Saturday</v>
      </c>
      <c r="E73" s="344"/>
      <c r="F73" s="367"/>
      <c r="G73" s="367"/>
      <c r="H73" s="357">
        <f t="shared" si="2"/>
        <v>0</v>
      </c>
      <c r="I73" s="346">
        <f t="shared" si="3"/>
        <v>0</v>
      </c>
      <c r="J73" s="312"/>
    </row>
    <row r="74">
      <c r="A74" s="344">
        <v>672.66</v>
      </c>
      <c r="B74" s="344">
        <v>60.0</v>
      </c>
      <c r="C74" s="368"/>
      <c r="D74" s="344" t="str">
        <f t="shared" si="1"/>
        <v>Saturday</v>
      </c>
      <c r="E74" s="344"/>
      <c r="F74" s="367"/>
      <c r="G74" s="367"/>
      <c r="H74" s="357">
        <f t="shared" si="2"/>
        <v>0</v>
      </c>
      <c r="I74" s="346">
        <f t="shared" si="3"/>
        <v>0</v>
      </c>
      <c r="J74" s="312"/>
    </row>
    <row r="75">
      <c r="A75" s="344">
        <v>672.66</v>
      </c>
      <c r="B75" s="344">
        <v>60.0</v>
      </c>
      <c r="C75" s="368"/>
      <c r="D75" s="344" t="str">
        <f t="shared" si="1"/>
        <v>Saturday</v>
      </c>
      <c r="E75" s="344"/>
      <c r="F75" s="367"/>
      <c r="G75" s="367"/>
      <c r="H75" s="357">
        <f t="shared" si="2"/>
        <v>0</v>
      </c>
      <c r="I75" s="346">
        <f t="shared" si="3"/>
        <v>0</v>
      </c>
      <c r="J75" s="312"/>
    </row>
    <row r="76">
      <c r="A76" s="344">
        <v>672.66</v>
      </c>
      <c r="B76" s="344">
        <v>60.0</v>
      </c>
      <c r="C76" s="368"/>
      <c r="D76" s="344" t="str">
        <f t="shared" si="1"/>
        <v>Saturday</v>
      </c>
      <c r="E76" s="344"/>
      <c r="F76" s="367"/>
      <c r="G76" s="367"/>
      <c r="H76" s="357">
        <f t="shared" si="2"/>
        <v>0</v>
      </c>
      <c r="I76" s="346">
        <f t="shared" si="3"/>
        <v>0</v>
      </c>
      <c r="J76" s="312"/>
    </row>
    <row r="77">
      <c r="A77" s="344">
        <v>672.66</v>
      </c>
      <c r="B77" s="344">
        <v>60.0</v>
      </c>
      <c r="C77" s="368"/>
      <c r="D77" s="344" t="str">
        <f t="shared" si="1"/>
        <v>Saturday</v>
      </c>
      <c r="E77" s="344"/>
      <c r="F77" s="367"/>
      <c r="G77" s="367"/>
      <c r="H77" s="357">
        <f t="shared" si="2"/>
        <v>0</v>
      </c>
      <c r="I77" s="346">
        <f t="shared" si="3"/>
        <v>0</v>
      </c>
      <c r="J77" s="312"/>
    </row>
    <row r="78">
      <c r="A78" s="344">
        <v>672.66</v>
      </c>
      <c r="B78" s="344">
        <v>60.0</v>
      </c>
      <c r="C78" s="368"/>
      <c r="D78" s="344" t="str">
        <f t="shared" si="1"/>
        <v>Saturday</v>
      </c>
      <c r="E78" s="344"/>
      <c r="F78" s="367"/>
      <c r="G78" s="367"/>
      <c r="H78" s="357">
        <f t="shared" si="2"/>
        <v>0</v>
      </c>
      <c r="I78" s="346">
        <f t="shared" si="3"/>
        <v>0</v>
      </c>
      <c r="J78" s="312"/>
    </row>
    <row r="79">
      <c r="A79" s="344">
        <v>672.66</v>
      </c>
      <c r="B79" s="344">
        <v>60.0</v>
      </c>
      <c r="C79" s="368"/>
      <c r="D79" s="344" t="str">
        <f t="shared" si="1"/>
        <v>Saturday</v>
      </c>
      <c r="E79" s="344"/>
      <c r="F79" s="367"/>
      <c r="G79" s="367"/>
      <c r="H79" s="357">
        <f t="shared" si="2"/>
        <v>0</v>
      </c>
      <c r="I79" s="346">
        <f t="shared" si="3"/>
        <v>0</v>
      </c>
      <c r="J79" s="312"/>
    </row>
    <row r="80">
      <c r="A80" s="344">
        <v>672.66</v>
      </c>
      <c r="B80" s="344">
        <v>60.0</v>
      </c>
      <c r="C80" s="368"/>
      <c r="D80" s="344" t="str">
        <f t="shared" si="1"/>
        <v>Saturday</v>
      </c>
      <c r="E80" s="344"/>
      <c r="F80" s="367"/>
      <c r="G80" s="367"/>
      <c r="H80" s="357">
        <f t="shared" si="2"/>
        <v>0</v>
      </c>
      <c r="I80" s="346">
        <f t="shared" si="3"/>
        <v>0</v>
      </c>
      <c r="J80" s="312"/>
    </row>
    <row r="81">
      <c r="A81" s="344">
        <v>672.66</v>
      </c>
      <c r="B81" s="344">
        <v>60.0</v>
      </c>
      <c r="C81" s="368"/>
      <c r="D81" s="344" t="str">
        <f t="shared" si="1"/>
        <v>Saturday</v>
      </c>
      <c r="E81" s="344"/>
      <c r="F81" s="367"/>
      <c r="G81" s="367"/>
      <c r="H81" s="357">
        <f t="shared" si="2"/>
        <v>0</v>
      </c>
      <c r="I81" s="346">
        <f t="shared" si="3"/>
        <v>0</v>
      </c>
      <c r="J81" s="312"/>
    </row>
    <row r="82">
      <c r="A82" s="344">
        <v>672.66</v>
      </c>
      <c r="B82" s="344">
        <v>60.0</v>
      </c>
      <c r="C82" s="368"/>
      <c r="D82" s="344" t="str">
        <f t="shared" si="1"/>
        <v>Saturday</v>
      </c>
      <c r="E82" s="344"/>
      <c r="F82" s="367"/>
      <c r="G82" s="367"/>
      <c r="H82" s="357">
        <f t="shared" si="2"/>
        <v>0</v>
      </c>
      <c r="I82" s="346">
        <f t="shared" si="3"/>
        <v>0</v>
      </c>
      <c r="J82" s="312"/>
    </row>
    <row r="83">
      <c r="A83" s="344">
        <v>672.66</v>
      </c>
      <c r="B83" s="344">
        <v>60.0</v>
      </c>
      <c r="C83" s="368"/>
      <c r="D83" s="344" t="str">
        <f t="shared" si="1"/>
        <v>Saturday</v>
      </c>
      <c r="E83" s="344"/>
      <c r="F83" s="367"/>
      <c r="G83" s="367"/>
      <c r="H83" s="357">
        <f t="shared" si="2"/>
        <v>0</v>
      </c>
      <c r="I83" s="346">
        <f t="shared" si="3"/>
        <v>0</v>
      </c>
      <c r="J83" s="312"/>
    </row>
    <row r="84">
      <c r="A84" s="344">
        <v>672.66</v>
      </c>
      <c r="B84" s="344">
        <v>60.0</v>
      </c>
      <c r="C84" s="368"/>
      <c r="D84" s="344" t="str">
        <f t="shared" si="1"/>
        <v>Saturday</v>
      </c>
      <c r="E84" s="344"/>
      <c r="F84" s="367"/>
      <c r="G84" s="367"/>
      <c r="H84" s="357">
        <f t="shared" si="2"/>
        <v>0</v>
      </c>
      <c r="I84" s="346">
        <f t="shared" si="3"/>
        <v>0</v>
      </c>
      <c r="J84" s="312"/>
    </row>
    <row r="85">
      <c r="A85" s="344">
        <v>672.66</v>
      </c>
      <c r="B85" s="344">
        <v>60.0</v>
      </c>
      <c r="C85" s="368"/>
      <c r="D85" s="344" t="str">
        <f t="shared" si="1"/>
        <v>Saturday</v>
      </c>
      <c r="E85" s="344"/>
      <c r="F85" s="367"/>
      <c r="G85" s="367"/>
      <c r="H85" s="357">
        <f t="shared" si="2"/>
        <v>0</v>
      </c>
      <c r="I85" s="346">
        <f t="shared" si="3"/>
        <v>0</v>
      </c>
      <c r="J85" s="312"/>
    </row>
    <row r="86">
      <c r="A86" s="344">
        <v>672.66</v>
      </c>
      <c r="B86" s="344">
        <v>60.0</v>
      </c>
      <c r="C86" s="368"/>
      <c r="D86" s="344" t="str">
        <f t="shared" si="1"/>
        <v>Saturday</v>
      </c>
      <c r="E86" s="344"/>
      <c r="F86" s="367"/>
      <c r="G86" s="367"/>
      <c r="H86" s="357">
        <f t="shared" si="2"/>
        <v>0</v>
      </c>
      <c r="I86" s="346">
        <f t="shared" si="3"/>
        <v>0</v>
      </c>
      <c r="J86" s="312"/>
    </row>
    <row r="87">
      <c r="A87" s="344">
        <v>672.66</v>
      </c>
      <c r="B87" s="344">
        <v>60.0</v>
      </c>
      <c r="C87" s="368"/>
      <c r="D87" s="344" t="str">
        <f t="shared" si="1"/>
        <v>Saturday</v>
      </c>
      <c r="E87" s="344"/>
      <c r="F87" s="367"/>
      <c r="G87" s="367"/>
      <c r="H87" s="357">
        <f t="shared" si="2"/>
        <v>0</v>
      </c>
      <c r="I87" s="346">
        <f t="shared" si="3"/>
        <v>0</v>
      </c>
      <c r="J87" s="312"/>
    </row>
    <row r="88">
      <c r="A88" s="344">
        <v>672.66</v>
      </c>
      <c r="B88" s="344">
        <v>60.0</v>
      </c>
      <c r="C88" s="368"/>
      <c r="D88" s="344" t="str">
        <f t="shared" si="1"/>
        <v>Saturday</v>
      </c>
      <c r="E88" s="344"/>
      <c r="F88" s="367"/>
      <c r="G88" s="367"/>
      <c r="H88" s="357">
        <f t="shared" si="2"/>
        <v>0</v>
      </c>
      <c r="I88" s="346">
        <f t="shared" si="3"/>
        <v>0</v>
      </c>
      <c r="J88" s="312"/>
    </row>
    <row r="89">
      <c r="A89" s="344">
        <v>672.66</v>
      </c>
      <c r="B89" s="344">
        <v>60.0</v>
      </c>
      <c r="C89" s="368"/>
      <c r="D89" s="344" t="str">
        <f t="shared" si="1"/>
        <v>Saturday</v>
      </c>
      <c r="E89" s="344"/>
      <c r="F89" s="367"/>
      <c r="G89" s="367"/>
      <c r="H89" s="357">
        <f t="shared" si="2"/>
        <v>0</v>
      </c>
      <c r="I89" s="346">
        <f t="shared" si="3"/>
        <v>0</v>
      </c>
      <c r="J89" s="312"/>
    </row>
    <row r="90">
      <c r="A90" s="344">
        <v>672.66</v>
      </c>
      <c r="B90" s="344">
        <v>60.0</v>
      </c>
      <c r="C90" s="368"/>
      <c r="D90" s="344" t="str">
        <f t="shared" si="1"/>
        <v>Saturday</v>
      </c>
      <c r="E90" s="344"/>
      <c r="F90" s="367"/>
      <c r="G90" s="367"/>
      <c r="H90" s="357">
        <f t="shared" si="2"/>
        <v>0</v>
      </c>
      <c r="I90" s="346">
        <f t="shared" si="3"/>
        <v>0</v>
      </c>
      <c r="J90" s="312"/>
    </row>
    <row r="91">
      <c r="A91" s="344">
        <v>672.66</v>
      </c>
      <c r="B91" s="344">
        <v>60.0</v>
      </c>
      <c r="C91" s="368"/>
      <c r="D91" s="344" t="str">
        <f t="shared" si="1"/>
        <v>Saturday</v>
      </c>
      <c r="E91" s="344"/>
      <c r="F91" s="367"/>
      <c r="G91" s="367"/>
      <c r="H91" s="357">
        <f t="shared" si="2"/>
        <v>0</v>
      </c>
      <c r="I91" s="346">
        <f t="shared" si="3"/>
        <v>0</v>
      </c>
      <c r="J91" s="312"/>
    </row>
    <row r="92">
      <c r="A92" s="344">
        <v>672.66</v>
      </c>
      <c r="B92" s="344">
        <v>60.0</v>
      </c>
      <c r="C92" s="368"/>
      <c r="D92" s="344" t="str">
        <f t="shared" si="1"/>
        <v>Saturday</v>
      </c>
      <c r="E92" s="344"/>
      <c r="F92" s="367"/>
      <c r="G92" s="367"/>
      <c r="H92" s="357">
        <f t="shared" si="2"/>
        <v>0</v>
      </c>
      <c r="I92" s="346">
        <f t="shared" si="3"/>
        <v>0</v>
      </c>
      <c r="J92" s="312"/>
    </row>
    <row r="93">
      <c r="A93" s="344">
        <v>672.66</v>
      </c>
      <c r="B93" s="344">
        <v>60.0</v>
      </c>
      <c r="C93" s="368"/>
      <c r="D93" s="344" t="str">
        <f t="shared" si="1"/>
        <v>Saturday</v>
      </c>
      <c r="E93" s="344"/>
      <c r="F93" s="367"/>
      <c r="G93" s="367"/>
      <c r="H93" s="357">
        <f t="shared" si="2"/>
        <v>0</v>
      </c>
      <c r="I93" s="346">
        <f t="shared" si="3"/>
        <v>0</v>
      </c>
      <c r="J93" s="312"/>
    </row>
    <row r="94">
      <c r="A94" s="344">
        <v>672.66</v>
      </c>
      <c r="B94" s="344">
        <v>60.0</v>
      </c>
      <c r="C94" s="368"/>
      <c r="D94" s="344" t="str">
        <f t="shared" si="1"/>
        <v>Saturday</v>
      </c>
      <c r="E94" s="344"/>
      <c r="F94" s="367"/>
      <c r="G94" s="367"/>
      <c r="H94" s="357">
        <f t="shared" si="2"/>
        <v>0</v>
      </c>
      <c r="I94" s="346">
        <f t="shared" si="3"/>
        <v>0</v>
      </c>
      <c r="J94" s="312"/>
    </row>
    <row r="95">
      <c r="A95" s="344">
        <v>672.66</v>
      </c>
      <c r="B95" s="344">
        <v>60.0</v>
      </c>
      <c r="C95" s="368"/>
      <c r="D95" s="344" t="str">
        <f t="shared" si="1"/>
        <v>Saturday</v>
      </c>
      <c r="E95" s="344"/>
      <c r="F95" s="367"/>
      <c r="G95" s="367"/>
      <c r="H95" s="357">
        <f t="shared" si="2"/>
        <v>0</v>
      </c>
      <c r="I95" s="346">
        <f t="shared" si="3"/>
        <v>0</v>
      </c>
      <c r="J95" s="312"/>
    </row>
    <row r="96">
      <c r="A96" s="344">
        <v>672.66</v>
      </c>
      <c r="B96" s="344">
        <v>60.0</v>
      </c>
      <c r="C96" s="368"/>
      <c r="D96" s="344" t="str">
        <f t="shared" si="1"/>
        <v>Saturday</v>
      </c>
      <c r="E96" s="344"/>
      <c r="F96" s="367"/>
      <c r="G96" s="367"/>
      <c r="H96" s="357">
        <f t="shared" si="2"/>
        <v>0</v>
      </c>
      <c r="I96" s="346">
        <f t="shared" si="3"/>
        <v>0</v>
      </c>
      <c r="J96" s="312"/>
    </row>
    <row r="97">
      <c r="A97" s="344">
        <v>672.66</v>
      </c>
      <c r="B97" s="344">
        <v>60.0</v>
      </c>
      <c r="C97" s="368"/>
      <c r="D97" s="344" t="str">
        <f t="shared" si="1"/>
        <v>Saturday</v>
      </c>
      <c r="E97" s="344"/>
      <c r="F97" s="367"/>
      <c r="G97" s="367"/>
      <c r="H97" s="357">
        <f t="shared" si="2"/>
        <v>0</v>
      </c>
      <c r="I97" s="346">
        <f t="shared" si="3"/>
        <v>0</v>
      </c>
      <c r="J97" s="312"/>
    </row>
    <row r="98">
      <c r="A98" s="344">
        <v>672.66</v>
      </c>
      <c r="B98" s="344">
        <v>60.0</v>
      </c>
      <c r="C98" s="368"/>
      <c r="D98" s="344" t="str">
        <f t="shared" si="1"/>
        <v>Saturday</v>
      </c>
      <c r="E98" s="344"/>
      <c r="F98" s="367"/>
      <c r="G98" s="367"/>
      <c r="H98" s="357">
        <f t="shared" si="2"/>
        <v>0</v>
      </c>
      <c r="I98" s="346">
        <f t="shared" si="3"/>
        <v>0</v>
      </c>
      <c r="J98" s="312"/>
    </row>
    <row r="99">
      <c r="A99" s="344">
        <v>672.66</v>
      </c>
      <c r="B99" s="344">
        <v>60.0</v>
      </c>
      <c r="C99" s="368"/>
      <c r="D99" s="344" t="str">
        <f t="shared" si="1"/>
        <v>Saturday</v>
      </c>
      <c r="E99" s="344"/>
      <c r="F99" s="367"/>
      <c r="G99" s="367"/>
      <c r="H99" s="357">
        <f t="shared" si="2"/>
        <v>0</v>
      </c>
      <c r="I99" s="346">
        <f t="shared" si="3"/>
        <v>0</v>
      </c>
      <c r="J99" s="312"/>
    </row>
    <row r="100">
      <c r="A100" s="344">
        <v>672.66</v>
      </c>
      <c r="B100" s="344">
        <v>60.0</v>
      </c>
      <c r="C100" s="368"/>
      <c r="D100" s="344" t="str">
        <f t="shared" si="1"/>
        <v>Saturday</v>
      </c>
      <c r="E100" s="344"/>
      <c r="F100" s="367"/>
      <c r="G100" s="367"/>
      <c r="H100" s="357">
        <f t="shared" si="2"/>
        <v>0</v>
      </c>
      <c r="I100" s="346">
        <f t="shared" si="3"/>
        <v>0</v>
      </c>
      <c r="J100" s="312"/>
    </row>
    <row r="101">
      <c r="A101" s="344">
        <v>672.66</v>
      </c>
      <c r="B101" s="344">
        <v>60.0</v>
      </c>
      <c r="C101" s="368"/>
      <c r="D101" s="344" t="str">
        <f t="shared" si="1"/>
        <v>Saturday</v>
      </c>
      <c r="E101" s="344"/>
      <c r="F101" s="367"/>
      <c r="G101" s="367"/>
      <c r="H101" s="357">
        <f t="shared" si="2"/>
        <v>0</v>
      </c>
      <c r="I101" s="346">
        <f t="shared" si="3"/>
        <v>0</v>
      </c>
      <c r="J101" s="312"/>
    </row>
    <row r="102">
      <c r="A102" s="344">
        <v>672.66</v>
      </c>
      <c r="B102" s="344">
        <v>60.0</v>
      </c>
      <c r="C102" s="368"/>
      <c r="D102" s="344" t="str">
        <f t="shared" si="1"/>
        <v>Saturday</v>
      </c>
      <c r="E102" s="344"/>
      <c r="F102" s="367"/>
      <c r="G102" s="367"/>
      <c r="H102" s="357">
        <f t="shared" si="2"/>
        <v>0</v>
      </c>
      <c r="I102" s="346">
        <f t="shared" si="3"/>
        <v>0</v>
      </c>
      <c r="J102" s="313"/>
    </row>
    <row r="103">
      <c r="A103" s="344">
        <v>672.66</v>
      </c>
      <c r="B103" s="344">
        <v>60.0</v>
      </c>
      <c r="C103" s="368"/>
      <c r="D103" s="344" t="str">
        <f t="shared" si="1"/>
        <v>Saturday</v>
      </c>
      <c r="E103" s="344"/>
      <c r="F103" s="367"/>
      <c r="G103" s="367"/>
      <c r="H103" s="357">
        <f t="shared" si="2"/>
        <v>0</v>
      </c>
      <c r="I103" s="346">
        <f t="shared" si="3"/>
        <v>0</v>
      </c>
      <c r="J103" s="313"/>
    </row>
    <row r="104">
      <c r="A104" s="344">
        <v>672.66</v>
      </c>
      <c r="B104" s="344">
        <v>60.0</v>
      </c>
      <c r="C104" s="368"/>
      <c r="D104" s="344" t="str">
        <f t="shared" si="1"/>
        <v>Saturday</v>
      </c>
      <c r="E104" s="344"/>
      <c r="F104" s="367"/>
      <c r="G104" s="367"/>
      <c r="H104" s="357">
        <f t="shared" si="2"/>
        <v>0</v>
      </c>
      <c r="I104" s="346">
        <f t="shared" si="3"/>
        <v>0</v>
      </c>
      <c r="J104" s="312"/>
    </row>
    <row r="105">
      <c r="A105" s="344">
        <v>672.66</v>
      </c>
      <c r="B105" s="344">
        <v>60.0</v>
      </c>
      <c r="C105" s="368"/>
      <c r="D105" s="344" t="str">
        <f t="shared" si="1"/>
        <v>Saturday</v>
      </c>
      <c r="E105" s="344"/>
      <c r="F105" s="367"/>
      <c r="G105" s="367"/>
      <c r="H105" s="357">
        <f t="shared" si="2"/>
        <v>0</v>
      </c>
      <c r="I105" s="346">
        <f t="shared" si="3"/>
        <v>0</v>
      </c>
      <c r="J105" s="312"/>
    </row>
    <row r="106">
      <c r="A106" s="344">
        <v>672.66</v>
      </c>
      <c r="B106" s="344">
        <v>60.0</v>
      </c>
      <c r="C106" s="368"/>
      <c r="D106" s="344" t="str">
        <f t="shared" si="1"/>
        <v>Saturday</v>
      </c>
      <c r="E106" s="344"/>
      <c r="F106" s="367"/>
      <c r="G106" s="367"/>
      <c r="H106" s="357">
        <f t="shared" si="2"/>
        <v>0</v>
      </c>
      <c r="I106" s="346">
        <f t="shared" si="3"/>
        <v>0</v>
      </c>
      <c r="J106" s="312"/>
    </row>
    <row r="107">
      <c r="A107" s="344">
        <v>672.66</v>
      </c>
      <c r="B107" s="344">
        <v>60.0</v>
      </c>
      <c r="C107" s="368"/>
      <c r="D107" s="344" t="str">
        <f t="shared" si="1"/>
        <v>Saturday</v>
      </c>
      <c r="E107" s="344"/>
      <c r="F107" s="367"/>
      <c r="G107" s="367"/>
      <c r="H107" s="357">
        <f t="shared" si="2"/>
        <v>0</v>
      </c>
      <c r="I107" s="346">
        <f t="shared" si="3"/>
        <v>0</v>
      </c>
      <c r="J107" s="312"/>
    </row>
    <row r="108">
      <c r="A108" s="344">
        <v>672.66</v>
      </c>
      <c r="B108" s="344">
        <v>60.0</v>
      </c>
      <c r="C108" s="368"/>
      <c r="D108" s="344" t="str">
        <f t="shared" si="1"/>
        <v>Saturday</v>
      </c>
      <c r="E108" s="344"/>
      <c r="F108" s="367"/>
      <c r="G108" s="367"/>
      <c r="H108" s="357">
        <f t="shared" si="2"/>
        <v>0</v>
      </c>
      <c r="I108" s="346">
        <f t="shared" si="3"/>
        <v>0</v>
      </c>
      <c r="J108" s="313"/>
    </row>
    <row r="109">
      <c r="A109" s="344">
        <v>672.66</v>
      </c>
      <c r="B109" s="344">
        <v>60.0</v>
      </c>
      <c r="C109" s="368"/>
      <c r="D109" s="344" t="str">
        <f t="shared" si="1"/>
        <v>Saturday</v>
      </c>
      <c r="E109" s="344"/>
      <c r="F109" s="367"/>
      <c r="G109" s="367"/>
      <c r="H109" s="357">
        <f t="shared" si="2"/>
        <v>0</v>
      </c>
      <c r="I109" s="346">
        <f t="shared" si="3"/>
        <v>0</v>
      </c>
      <c r="J109" s="313"/>
    </row>
    <row r="110">
      <c r="A110" s="344">
        <v>672.66</v>
      </c>
      <c r="B110" s="344">
        <v>60.0</v>
      </c>
      <c r="C110" s="368"/>
      <c r="D110" s="344" t="str">
        <f t="shared" si="1"/>
        <v>Saturday</v>
      </c>
      <c r="E110" s="344"/>
      <c r="F110" s="367"/>
      <c r="G110" s="367"/>
      <c r="H110" s="357">
        <f t="shared" si="2"/>
        <v>0</v>
      </c>
      <c r="I110" s="346">
        <f t="shared" si="3"/>
        <v>0</v>
      </c>
      <c r="J110" s="313"/>
    </row>
    <row r="111">
      <c r="A111" s="344">
        <v>672.66</v>
      </c>
      <c r="B111" s="344">
        <v>60.0</v>
      </c>
      <c r="C111" s="368"/>
      <c r="D111" s="344" t="str">
        <f t="shared" si="1"/>
        <v>Saturday</v>
      </c>
      <c r="E111" s="344"/>
      <c r="F111" s="367"/>
      <c r="G111" s="367"/>
      <c r="H111" s="357">
        <f t="shared" si="2"/>
        <v>0</v>
      </c>
      <c r="I111" s="346">
        <f t="shared" si="3"/>
        <v>0</v>
      </c>
      <c r="J111" s="313"/>
    </row>
    <row r="112">
      <c r="A112" s="344">
        <v>672.66</v>
      </c>
      <c r="B112" s="344">
        <v>60.0</v>
      </c>
      <c r="C112" s="368"/>
      <c r="D112" s="344" t="str">
        <f t="shared" si="1"/>
        <v>Saturday</v>
      </c>
      <c r="E112" s="344"/>
      <c r="F112" s="367"/>
      <c r="G112" s="367"/>
      <c r="H112" s="357">
        <f t="shared" si="2"/>
        <v>0</v>
      </c>
      <c r="I112" s="346">
        <f t="shared" si="3"/>
        <v>0</v>
      </c>
      <c r="J112" s="313"/>
    </row>
    <row r="113">
      <c r="A113" s="344">
        <v>672.66</v>
      </c>
      <c r="B113" s="344">
        <v>60.0</v>
      </c>
      <c r="C113" s="368"/>
      <c r="D113" s="344" t="str">
        <f t="shared" si="1"/>
        <v>Saturday</v>
      </c>
      <c r="E113" s="344"/>
      <c r="F113" s="367"/>
      <c r="G113" s="367"/>
      <c r="H113" s="357">
        <f t="shared" si="2"/>
        <v>0</v>
      </c>
      <c r="I113" s="346">
        <f t="shared" si="3"/>
        <v>0</v>
      </c>
      <c r="J113" s="313"/>
    </row>
    <row r="114">
      <c r="A114" s="344">
        <v>672.66</v>
      </c>
      <c r="B114" s="344">
        <v>60.0</v>
      </c>
      <c r="C114" s="368"/>
      <c r="D114" s="344" t="str">
        <f t="shared" si="1"/>
        <v>Saturday</v>
      </c>
      <c r="E114" s="344"/>
      <c r="F114" s="367"/>
      <c r="G114" s="367"/>
      <c r="H114" s="357">
        <f t="shared" si="2"/>
        <v>0</v>
      </c>
      <c r="I114" s="346">
        <f t="shared" si="3"/>
        <v>0</v>
      </c>
      <c r="J114" s="313"/>
    </row>
    <row r="115">
      <c r="A115" s="344">
        <v>672.66</v>
      </c>
      <c r="B115" s="344">
        <v>60.0</v>
      </c>
      <c r="C115" s="368"/>
      <c r="D115" s="344" t="str">
        <f t="shared" si="1"/>
        <v>Saturday</v>
      </c>
      <c r="E115" s="344"/>
      <c r="F115" s="367"/>
      <c r="G115" s="367"/>
      <c r="H115" s="357">
        <f t="shared" si="2"/>
        <v>0</v>
      </c>
      <c r="I115" s="346">
        <f t="shared" si="3"/>
        <v>0</v>
      </c>
      <c r="J115" s="313"/>
    </row>
    <row r="116">
      <c r="A116" s="344">
        <v>672.66</v>
      </c>
      <c r="B116" s="344">
        <v>60.0</v>
      </c>
      <c r="C116" s="368"/>
      <c r="D116" s="344" t="str">
        <f t="shared" si="1"/>
        <v>Saturday</v>
      </c>
      <c r="E116" s="344"/>
      <c r="F116" s="367"/>
      <c r="G116" s="367"/>
      <c r="H116" s="357">
        <f t="shared" si="2"/>
        <v>0</v>
      </c>
      <c r="I116" s="346">
        <f t="shared" si="3"/>
        <v>0</v>
      </c>
      <c r="J116" s="312"/>
    </row>
    <row r="117">
      <c r="A117" s="344">
        <v>672.66</v>
      </c>
      <c r="B117" s="344">
        <v>60.0</v>
      </c>
      <c r="C117" s="368"/>
      <c r="D117" s="344" t="str">
        <f t="shared" si="1"/>
        <v>Saturday</v>
      </c>
      <c r="E117" s="344"/>
      <c r="F117" s="367"/>
      <c r="G117" s="367"/>
      <c r="H117" s="357">
        <f t="shared" si="2"/>
        <v>0</v>
      </c>
      <c r="I117" s="346">
        <f t="shared" si="3"/>
        <v>0</v>
      </c>
      <c r="J117" s="312"/>
    </row>
    <row r="118">
      <c r="A118" s="344">
        <v>672.66</v>
      </c>
      <c r="B118" s="344">
        <v>60.0</v>
      </c>
      <c r="C118" s="368"/>
      <c r="D118" s="344" t="str">
        <f t="shared" si="1"/>
        <v>Saturday</v>
      </c>
      <c r="E118" s="344"/>
      <c r="F118" s="367"/>
      <c r="G118" s="367"/>
      <c r="H118" s="357">
        <f t="shared" si="2"/>
        <v>0</v>
      </c>
      <c r="I118" s="346">
        <f t="shared" si="3"/>
        <v>0</v>
      </c>
      <c r="J118" s="313"/>
    </row>
    <row r="119">
      <c r="A119" s="344">
        <v>672.66</v>
      </c>
      <c r="B119" s="344">
        <v>60.0</v>
      </c>
      <c r="C119" s="368"/>
      <c r="D119" s="344" t="str">
        <f t="shared" si="1"/>
        <v>Saturday</v>
      </c>
      <c r="E119" s="344"/>
      <c r="F119" s="367"/>
      <c r="G119" s="367"/>
      <c r="H119" s="357">
        <f t="shared" si="2"/>
        <v>0</v>
      </c>
      <c r="I119" s="346">
        <f t="shared" si="3"/>
        <v>0</v>
      </c>
      <c r="J119" s="313"/>
    </row>
    <row r="120">
      <c r="A120" s="344">
        <v>672.66</v>
      </c>
      <c r="B120" s="344">
        <v>60.0</v>
      </c>
      <c r="C120" s="368"/>
      <c r="D120" s="344" t="str">
        <f t="shared" si="1"/>
        <v>Saturday</v>
      </c>
      <c r="E120" s="344"/>
      <c r="F120" s="367"/>
      <c r="G120" s="367"/>
      <c r="H120" s="357">
        <f t="shared" si="2"/>
        <v>0</v>
      </c>
      <c r="I120" s="346">
        <f t="shared" si="3"/>
        <v>0</v>
      </c>
      <c r="J120" s="313"/>
    </row>
    <row r="121">
      <c r="A121" s="344">
        <v>672.66</v>
      </c>
      <c r="B121" s="344">
        <v>60.0</v>
      </c>
      <c r="C121" s="368"/>
      <c r="D121" s="344" t="str">
        <f t="shared" si="1"/>
        <v>Saturday</v>
      </c>
      <c r="E121" s="344"/>
      <c r="F121" s="367"/>
      <c r="G121" s="367"/>
      <c r="H121" s="357">
        <f t="shared" si="2"/>
        <v>0</v>
      </c>
      <c r="I121" s="346">
        <f t="shared" si="3"/>
        <v>0</v>
      </c>
      <c r="J121" s="313"/>
    </row>
    <row r="122">
      <c r="A122" s="344">
        <v>672.66</v>
      </c>
      <c r="B122" s="344">
        <v>60.0</v>
      </c>
      <c r="C122" s="368"/>
      <c r="D122" s="344" t="str">
        <f t="shared" si="1"/>
        <v>Saturday</v>
      </c>
      <c r="E122" s="344"/>
      <c r="F122" s="367"/>
      <c r="G122" s="367"/>
      <c r="H122" s="357">
        <f t="shared" si="2"/>
        <v>0</v>
      </c>
      <c r="I122" s="346">
        <f t="shared" si="3"/>
        <v>0</v>
      </c>
      <c r="J122" s="313"/>
    </row>
    <row r="123">
      <c r="A123" s="344">
        <v>672.66</v>
      </c>
      <c r="B123" s="344">
        <v>60.0</v>
      </c>
      <c r="C123" s="368"/>
      <c r="D123" s="344" t="str">
        <f t="shared" si="1"/>
        <v>Saturday</v>
      </c>
      <c r="E123" s="344"/>
      <c r="F123" s="367"/>
      <c r="G123" s="367"/>
      <c r="H123" s="357">
        <f t="shared" si="2"/>
        <v>0</v>
      </c>
      <c r="I123" s="346">
        <f t="shared" si="3"/>
        <v>0</v>
      </c>
      <c r="J123" s="313"/>
    </row>
    <row r="124">
      <c r="A124" s="344">
        <v>672.66</v>
      </c>
      <c r="B124" s="344">
        <v>60.0</v>
      </c>
      <c r="C124" s="368"/>
      <c r="D124" s="344" t="str">
        <f t="shared" si="1"/>
        <v>Saturday</v>
      </c>
      <c r="E124" s="344"/>
      <c r="F124" s="367"/>
      <c r="G124" s="367"/>
      <c r="H124" s="357">
        <f t="shared" si="2"/>
        <v>0</v>
      </c>
      <c r="I124" s="346">
        <f t="shared" si="3"/>
        <v>0</v>
      </c>
      <c r="J124" s="313"/>
    </row>
    <row r="125">
      <c r="A125" s="344">
        <v>672.66</v>
      </c>
      <c r="B125" s="344">
        <v>60.0</v>
      </c>
      <c r="C125" s="369"/>
      <c r="D125" s="344" t="str">
        <f t="shared" si="1"/>
        <v>Saturday</v>
      </c>
      <c r="E125" s="344"/>
      <c r="F125" s="370"/>
      <c r="G125" s="370"/>
      <c r="H125" s="357">
        <f t="shared" si="2"/>
        <v>0</v>
      </c>
      <c r="I125" s="346">
        <f t="shared" si="3"/>
        <v>0</v>
      </c>
      <c r="J125" s="312"/>
    </row>
    <row r="126">
      <c r="A126" s="344">
        <v>672.66</v>
      </c>
      <c r="B126" s="344">
        <v>60.0</v>
      </c>
      <c r="C126" s="369"/>
      <c r="D126" s="344" t="str">
        <f t="shared" si="1"/>
        <v>Saturday</v>
      </c>
      <c r="E126" s="344"/>
      <c r="F126" s="370"/>
      <c r="G126" s="370"/>
      <c r="H126" s="357">
        <f t="shared" si="2"/>
        <v>0</v>
      </c>
      <c r="I126" s="346">
        <f t="shared" si="3"/>
        <v>0</v>
      </c>
      <c r="J126" s="312"/>
    </row>
    <row r="127">
      <c r="A127" s="344">
        <v>672.66</v>
      </c>
      <c r="B127" s="344">
        <v>60.0</v>
      </c>
      <c r="C127" s="369"/>
      <c r="D127" s="344" t="str">
        <f t="shared" si="1"/>
        <v>Saturday</v>
      </c>
      <c r="E127" s="344"/>
      <c r="F127" s="370"/>
      <c r="G127" s="370"/>
      <c r="H127" s="357">
        <f t="shared" si="2"/>
        <v>0</v>
      </c>
      <c r="I127" s="346">
        <f t="shared" si="3"/>
        <v>0</v>
      </c>
      <c r="J127" s="312"/>
    </row>
    <row r="128">
      <c r="A128" s="344">
        <v>672.66</v>
      </c>
      <c r="B128" s="344">
        <v>60.0</v>
      </c>
      <c r="C128" s="369"/>
      <c r="D128" s="344" t="str">
        <f t="shared" si="1"/>
        <v>Saturday</v>
      </c>
      <c r="E128" s="344"/>
      <c r="F128" s="370"/>
      <c r="G128" s="370"/>
      <c r="H128" s="357">
        <f t="shared" si="2"/>
        <v>0</v>
      </c>
      <c r="I128" s="346">
        <f t="shared" si="3"/>
        <v>0</v>
      </c>
      <c r="J128" s="312"/>
    </row>
    <row r="129">
      <c r="A129" s="344">
        <v>672.66</v>
      </c>
      <c r="B129" s="344">
        <v>60.0</v>
      </c>
      <c r="C129" s="369"/>
      <c r="D129" s="344" t="str">
        <f t="shared" si="1"/>
        <v>Saturday</v>
      </c>
      <c r="E129" s="344"/>
      <c r="F129" s="370"/>
      <c r="G129" s="370"/>
      <c r="H129" s="357">
        <f t="shared" si="2"/>
        <v>0</v>
      </c>
      <c r="I129" s="346">
        <f t="shared" si="3"/>
        <v>0</v>
      </c>
      <c r="J129" s="312"/>
    </row>
    <row r="130">
      <c r="A130" s="344">
        <v>672.66</v>
      </c>
      <c r="B130" s="344">
        <v>60.0</v>
      </c>
      <c r="C130" s="369"/>
      <c r="D130" s="344" t="str">
        <f t="shared" si="1"/>
        <v>Saturday</v>
      </c>
      <c r="E130" s="344"/>
      <c r="F130" s="370"/>
      <c r="G130" s="370"/>
      <c r="H130" s="357">
        <f t="shared" si="2"/>
        <v>0</v>
      </c>
      <c r="I130" s="346">
        <f t="shared" si="3"/>
        <v>0</v>
      </c>
      <c r="J130" s="312"/>
    </row>
    <row r="131">
      <c r="A131" s="344">
        <v>672.66</v>
      </c>
      <c r="B131" s="344">
        <v>60.0</v>
      </c>
      <c r="C131" s="369"/>
      <c r="D131" s="344" t="str">
        <f t="shared" si="1"/>
        <v>Saturday</v>
      </c>
      <c r="E131" s="344"/>
      <c r="F131" s="370"/>
      <c r="G131" s="370"/>
      <c r="H131" s="357">
        <f t="shared" si="2"/>
        <v>0</v>
      </c>
      <c r="I131" s="346">
        <f t="shared" si="3"/>
        <v>0</v>
      </c>
      <c r="J131" s="312"/>
    </row>
    <row r="132">
      <c r="A132" s="344">
        <v>672.66</v>
      </c>
      <c r="B132" s="344">
        <v>60.0</v>
      </c>
      <c r="C132" s="369"/>
      <c r="D132" s="344" t="str">
        <f t="shared" si="1"/>
        <v>Saturday</v>
      </c>
      <c r="E132" s="344"/>
      <c r="F132" s="370"/>
      <c r="G132" s="370"/>
      <c r="H132" s="357">
        <f t="shared" si="2"/>
        <v>0</v>
      </c>
      <c r="I132" s="346">
        <f t="shared" si="3"/>
        <v>0</v>
      </c>
      <c r="J132" s="312"/>
    </row>
    <row r="133">
      <c r="A133" s="344">
        <v>672.66</v>
      </c>
      <c r="B133" s="344">
        <v>60.0</v>
      </c>
      <c r="C133" s="369"/>
      <c r="D133" s="344" t="str">
        <f t="shared" si="1"/>
        <v>Saturday</v>
      </c>
      <c r="E133" s="344"/>
      <c r="F133" s="370"/>
      <c r="G133" s="370"/>
      <c r="H133" s="357">
        <f t="shared" si="2"/>
        <v>0</v>
      </c>
      <c r="I133" s="346">
        <f t="shared" si="3"/>
        <v>0</v>
      </c>
      <c r="J133" s="312"/>
    </row>
    <row r="134">
      <c r="A134" s="344">
        <v>672.66</v>
      </c>
      <c r="B134" s="344">
        <v>60.0</v>
      </c>
      <c r="C134" s="369"/>
      <c r="D134" s="344" t="str">
        <f t="shared" si="1"/>
        <v>Saturday</v>
      </c>
      <c r="E134" s="344"/>
      <c r="F134" s="370"/>
      <c r="G134" s="370"/>
      <c r="H134" s="357">
        <f t="shared" si="2"/>
        <v>0</v>
      </c>
      <c r="I134" s="346">
        <f t="shared" si="3"/>
        <v>0</v>
      </c>
      <c r="J134" s="312"/>
    </row>
    <row r="135">
      <c r="A135" s="344">
        <v>672.66</v>
      </c>
      <c r="B135" s="344">
        <v>60.0</v>
      </c>
      <c r="C135" s="369"/>
      <c r="D135" s="344" t="str">
        <f t="shared" si="1"/>
        <v>Saturday</v>
      </c>
      <c r="E135" s="344"/>
      <c r="F135" s="370"/>
      <c r="G135" s="370"/>
      <c r="H135" s="357">
        <f t="shared" si="2"/>
        <v>0</v>
      </c>
      <c r="I135" s="346">
        <f t="shared" si="3"/>
        <v>0</v>
      </c>
      <c r="J135" s="312"/>
    </row>
    <row r="136">
      <c r="A136" s="344">
        <v>672.66</v>
      </c>
      <c r="B136" s="344">
        <v>60.0</v>
      </c>
      <c r="C136" s="369"/>
      <c r="D136" s="344" t="str">
        <f t="shared" si="1"/>
        <v>Saturday</v>
      </c>
      <c r="E136" s="344"/>
      <c r="F136" s="370"/>
      <c r="G136" s="370"/>
      <c r="H136" s="357">
        <f t="shared" si="2"/>
        <v>0</v>
      </c>
      <c r="I136" s="346">
        <f t="shared" si="3"/>
        <v>0</v>
      </c>
      <c r="J136" s="312"/>
    </row>
    <row r="137">
      <c r="A137" s="344">
        <v>672.66</v>
      </c>
      <c r="B137" s="344">
        <v>60.0</v>
      </c>
      <c r="C137" s="369"/>
      <c r="D137" s="344" t="str">
        <f t="shared" si="1"/>
        <v>Saturday</v>
      </c>
      <c r="E137" s="344"/>
      <c r="F137" s="370"/>
      <c r="G137" s="370"/>
      <c r="H137" s="357">
        <f t="shared" si="2"/>
        <v>0</v>
      </c>
      <c r="I137" s="346">
        <f t="shared" si="3"/>
        <v>0</v>
      </c>
      <c r="J137" s="312"/>
    </row>
    <row r="138">
      <c r="A138" s="344">
        <v>672.66</v>
      </c>
      <c r="B138" s="344">
        <v>60.0</v>
      </c>
      <c r="C138" s="369"/>
      <c r="D138" s="344" t="str">
        <f t="shared" si="1"/>
        <v>Saturday</v>
      </c>
      <c r="E138" s="344"/>
      <c r="F138" s="370"/>
      <c r="G138" s="370"/>
      <c r="H138" s="357">
        <f t="shared" si="2"/>
        <v>0</v>
      </c>
      <c r="I138" s="346">
        <f t="shared" si="3"/>
        <v>0</v>
      </c>
      <c r="J138" s="312"/>
    </row>
    <row r="139">
      <c r="A139" s="344">
        <v>672.66</v>
      </c>
      <c r="B139" s="344">
        <v>60.0</v>
      </c>
      <c r="C139" s="369"/>
      <c r="D139" s="344" t="str">
        <f t="shared" si="1"/>
        <v>Saturday</v>
      </c>
      <c r="E139" s="344"/>
      <c r="F139" s="370"/>
      <c r="G139" s="370"/>
      <c r="H139" s="357">
        <f t="shared" si="2"/>
        <v>0</v>
      </c>
      <c r="I139" s="346">
        <f t="shared" si="3"/>
        <v>0</v>
      </c>
      <c r="J139" s="312"/>
    </row>
    <row r="140">
      <c r="A140" s="344">
        <v>672.66</v>
      </c>
      <c r="B140" s="344">
        <v>60.0</v>
      </c>
      <c r="C140" s="369"/>
      <c r="D140" s="344" t="str">
        <f t="shared" si="1"/>
        <v>Saturday</v>
      </c>
      <c r="E140" s="344"/>
      <c r="F140" s="370"/>
      <c r="G140" s="370"/>
      <c r="H140" s="357">
        <f t="shared" si="2"/>
        <v>0</v>
      </c>
      <c r="I140" s="346">
        <f t="shared" si="3"/>
        <v>0</v>
      </c>
      <c r="J140" s="312"/>
    </row>
    <row r="141">
      <c r="A141" s="344">
        <v>672.66</v>
      </c>
      <c r="B141" s="344">
        <v>60.0</v>
      </c>
      <c r="C141" s="369"/>
      <c r="D141" s="344" t="str">
        <f t="shared" si="1"/>
        <v>Saturday</v>
      </c>
      <c r="E141" s="344"/>
      <c r="F141" s="370"/>
      <c r="G141" s="370"/>
      <c r="H141" s="357">
        <f t="shared" si="2"/>
        <v>0</v>
      </c>
      <c r="I141" s="346">
        <f t="shared" si="3"/>
        <v>0</v>
      </c>
      <c r="J141" s="312"/>
    </row>
    <row r="142">
      <c r="A142" s="344">
        <v>672.66</v>
      </c>
      <c r="B142" s="344">
        <v>60.0</v>
      </c>
      <c r="C142" s="369"/>
      <c r="D142" s="344" t="str">
        <f t="shared" si="1"/>
        <v>Saturday</v>
      </c>
      <c r="E142" s="344"/>
      <c r="F142" s="370"/>
      <c r="G142" s="370"/>
      <c r="H142" s="357">
        <f t="shared" si="2"/>
        <v>0</v>
      </c>
      <c r="I142" s="346">
        <f t="shared" si="3"/>
        <v>0</v>
      </c>
      <c r="J142" s="312"/>
    </row>
    <row r="143">
      <c r="A143" s="344">
        <v>672.66</v>
      </c>
      <c r="B143" s="344">
        <v>60.0</v>
      </c>
      <c r="C143" s="369"/>
      <c r="D143" s="344" t="str">
        <f t="shared" si="1"/>
        <v>Saturday</v>
      </c>
      <c r="E143" s="344"/>
      <c r="F143" s="370"/>
      <c r="G143" s="370"/>
      <c r="H143" s="357">
        <f t="shared" si="2"/>
        <v>0</v>
      </c>
      <c r="I143" s="346">
        <f t="shared" si="3"/>
        <v>0</v>
      </c>
      <c r="J143" s="312"/>
    </row>
    <row r="144">
      <c r="A144" s="344">
        <v>672.66</v>
      </c>
      <c r="B144" s="344">
        <v>60.0</v>
      </c>
      <c r="C144" s="369"/>
      <c r="D144" s="344" t="str">
        <f t="shared" si="1"/>
        <v>Saturday</v>
      </c>
      <c r="E144" s="344"/>
      <c r="F144" s="370"/>
      <c r="G144" s="370"/>
      <c r="H144" s="357">
        <f t="shared" si="2"/>
        <v>0</v>
      </c>
      <c r="I144" s="346">
        <f t="shared" si="3"/>
        <v>0</v>
      </c>
      <c r="J144" s="312"/>
    </row>
    <row r="145">
      <c r="A145" s="344">
        <v>672.66</v>
      </c>
      <c r="B145" s="344">
        <v>60.0</v>
      </c>
      <c r="C145" s="369"/>
      <c r="D145" s="344" t="str">
        <f t="shared" si="1"/>
        <v>Saturday</v>
      </c>
      <c r="E145" s="344"/>
      <c r="F145" s="370"/>
      <c r="G145" s="370"/>
      <c r="H145" s="357">
        <f t="shared" si="2"/>
        <v>0</v>
      </c>
      <c r="I145" s="346">
        <f t="shared" si="3"/>
        <v>0</v>
      </c>
      <c r="J145" s="312"/>
    </row>
    <row r="146">
      <c r="A146" s="344">
        <v>672.66</v>
      </c>
      <c r="B146" s="344">
        <v>60.0</v>
      </c>
      <c r="C146" s="369"/>
      <c r="D146" s="344" t="str">
        <f t="shared" si="1"/>
        <v>Saturday</v>
      </c>
      <c r="E146" s="344"/>
      <c r="F146" s="370"/>
      <c r="G146" s="370"/>
      <c r="H146" s="357">
        <f t="shared" si="2"/>
        <v>0</v>
      </c>
      <c r="I146" s="346">
        <f t="shared" si="3"/>
        <v>0</v>
      </c>
      <c r="J146" s="312"/>
    </row>
    <row r="147">
      <c r="A147" s="344">
        <v>672.66</v>
      </c>
      <c r="B147" s="344">
        <v>60.0</v>
      </c>
      <c r="C147" s="369"/>
      <c r="D147" s="344" t="str">
        <f t="shared" si="1"/>
        <v>Saturday</v>
      </c>
      <c r="E147" s="344"/>
      <c r="F147" s="370"/>
      <c r="G147" s="370"/>
      <c r="H147" s="357">
        <f t="shared" si="2"/>
        <v>0</v>
      </c>
      <c r="I147" s="346">
        <f t="shared" si="3"/>
        <v>0</v>
      </c>
      <c r="J147" s="312"/>
    </row>
    <row r="148">
      <c r="A148" s="344">
        <v>672.66</v>
      </c>
      <c r="B148" s="344">
        <v>60.0</v>
      </c>
      <c r="C148" s="369"/>
      <c r="D148" s="344" t="str">
        <f t="shared" si="1"/>
        <v>Saturday</v>
      </c>
      <c r="E148" s="344"/>
      <c r="F148" s="370"/>
      <c r="G148" s="370"/>
      <c r="H148" s="357">
        <f t="shared" si="2"/>
        <v>0</v>
      </c>
      <c r="I148" s="346">
        <f t="shared" si="3"/>
        <v>0</v>
      </c>
      <c r="J148" s="312"/>
    </row>
    <row r="149">
      <c r="A149" s="344">
        <v>672.66</v>
      </c>
      <c r="B149" s="344">
        <v>60.0</v>
      </c>
      <c r="C149" s="369"/>
      <c r="D149" s="344" t="str">
        <f t="shared" si="1"/>
        <v>Saturday</v>
      </c>
      <c r="E149" s="344"/>
      <c r="F149" s="370"/>
      <c r="G149" s="370"/>
      <c r="H149" s="357">
        <f t="shared" si="2"/>
        <v>0</v>
      </c>
      <c r="I149" s="346">
        <f t="shared" si="3"/>
        <v>0</v>
      </c>
      <c r="J149" s="312"/>
    </row>
    <row r="150">
      <c r="A150" s="344">
        <v>672.66</v>
      </c>
      <c r="B150" s="344">
        <v>60.0</v>
      </c>
      <c r="C150" s="369"/>
      <c r="D150" s="344" t="str">
        <f t="shared" si="1"/>
        <v>Saturday</v>
      </c>
      <c r="E150" s="344"/>
      <c r="F150" s="370"/>
      <c r="G150" s="370"/>
      <c r="H150" s="357">
        <f t="shared" si="2"/>
        <v>0</v>
      </c>
      <c r="I150" s="346">
        <f t="shared" si="3"/>
        <v>0</v>
      </c>
      <c r="J150" s="312"/>
    </row>
    <row r="151">
      <c r="A151" s="344">
        <v>672.66</v>
      </c>
      <c r="B151" s="344">
        <v>60.0</v>
      </c>
      <c r="C151" s="369"/>
      <c r="D151" s="344" t="str">
        <f t="shared" si="1"/>
        <v>Saturday</v>
      </c>
      <c r="E151" s="344"/>
      <c r="F151" s="370"/>
      <c r="G151" s="370"/>
      <c r="H151" s="357">
        <f t="shared" si="2"/>
        <v>0</v>
      </c>
      <c r="I151" s="346">
        <f t="shared" si="3"/>
        <v>0</v>
      </c>
      <c r="J151" s="312"/>
    </row>
    <row r="152">
      <c r="A152" s="344">
        <v>672.66</v>
      </c>
      <c r="B152" s="344">
        <v>60.0</v>
      </c>
      <c r="C152" s="369"/>
      <c r="D152" s="344" t="str">
        <f t="shared" si="1"/>
        <v>Saturday</v>
      </c>
      <c r="E152" s="344"/>
      <c r="F152" s="370"/>
      <c r="G152" s="370"/>
      <c r="H152" s="357">
        <f t="shared" si="2"/>
        <v>0</v>
      </c>
      <c r="I152" s="346">
        <f t="shared" si="3"/>
        <v>0</v>
      </c>
      <c r="J152" s="312"/>
    </row>
    <row r="153">
      <c r="A153" s="344">
        <v>672.66</v>
      </c>
      <c r="B153" s="344">
        <v>60.0</v>
      </c>
      <c r="C153" s="369"/>
      <c r="D153" s="344" t="str">
        <f t="shared" si="1"/>
        <v>Saturday</v>
      </c>
      <c r="E153" s="344"/>
      <c r="F153" s="370"/>
      <c r="G153" s="370"/>
      <c r="H153" s="357">
        <f t="shared" si="2"/>
        <v>0</v>
      </c>
      <c r="I153" s="346">
        <f t="shared" si="3"/>
        <v>0</v>
      </c>
      <c r="J153" s="312"/>
    </row>
    <row r="154">
      <c r="A154" s="344">
        <v>672.66</v>
      </c>
      <c r="B154" s="344">
        <v>60.0</v>
      </c>
      <c r="C154" s="369"/>
      <c r="D154" s="344" t="str">
        <f t="shared" si="1"/>
        <v>Saturday</v>
      </c>
      <c r="E154" s="344"/>
      <c r="F154" s="370"/>
      <c r="G154" s="370"/>
      <c r="H154" s="357">
        <f t="shared" si="2"/>
        <v>0</v>
      </c>
      <c r="I154" s="346">
        <f t="shared" si="3"/>
        <v>0</v>
      </c>
      <c r="J154" s="312"/>
    </row>
    <row r="155">
      <c r="A155" s="344">
        <v>672.66</v>
      </c>
      <c r="B155" s="344">
        <v>60.0</v>
      </c>
      <c r="C155" s="369"/>
      <c r="D155" s="344" t="str">
        <f t="shared" si="1"/>
        <v>Saturday</v>
      </c>
      <c r="E155" s="344"/>
      <c r="F155" s="370"/>
      <c r="G155" s="370"/>
      <c r="H155" s="357">
        <f t="shared" si="2"/>
        <v>0</v>
      </c>
      <c r="I155" s="346">
        <f t="shared" si="3"/>
        <v>0</v>
      </c>
      <c r="J155" s="312"/>
    </row>
    <row r="156">
      <c r="A156" s="344">
        <v>672.66</v>
      </c>
      <c r="B156" s="344">
        <v>60.0</v>
      </c>
      <c r="C156" s="369"/>
      <c r="D156" s="344" t="str">
        <f t="shared" si="1"/>
        <v>Saturday</v>
      </c>
      <c r="E156" s="344"/>
      <c r="F156" s="370"/>
      <c r="G156" s="370"/>
      <c r="H156" s="357">
        <f t="shared" si="2"/>
        <v>0</v>
      </c>
      <c r="I156" s="346">
        <f t="shared" si="3"/>
        <v>0</v>
      </c>
      <c r="J156" s="312"/>
    </row>
    <row r="157">
      <c r="A157" s="344">
        <v>672.66</v>
      </c>
      <c r="B157" s="344">
        <v>60.0</v>
      </c>
      <c r="C157" s="369"/>
      <c r="D157" s="344" t="str">
        <f t="shared" si="1"/>
        <v>Saturday</v>
      </c>
      <c r="E157" s="344"/>
      <c r="F157" s="370"/>
      <c r="G157" s="370"/>
      <c r="H157" s="357">
        <f t="shared" si="2"/>
        <v>0</v>
      </c>
      <c r="I157" s="346">
        <f t="shared" si="3"/>
        <v>0</v>
      </c>
      <c r="J157" s="312"/>
    </row>
    <row r="158">
      <c r="A158" s="344">
        <v>672.66</v>
      </c>
      <c r="B158" s="344">
        <v>60.0</v>
      </c>
      <c r="C158" s="369"/>
      <c r="D158" s="344" t="str">
        <f t="shared" si="1"/>
        <v>Saturday</v>
      </c>
      <c r="E158" s="344"/>
      <c r="F158" s="370"/>
      <c r="G158" s="370"/>
      <c r="H158" s="357">
        <f t="shared" si="2"/>
        <v>0</v>
      </c>
      <c r="I158" s="346">
        <f t="shared" si="3"/>
        <v>0</v>
      </c>
      <c r="J158" s="312"/>
    </row>
    <row r="159">
      <c r="A159" s="344">
        <v>672.66</v>
      </c>
      <c r="B159" s="344">
        <v>60.0</v>
      </c>
      <c r="C159" s="369"/>
      <c r="D159" s="344" t="str">
        <f t="shared" si="1"/>
        <v>Saturday</v>
      </c>
      <c r="E159" s="344"/>
      <c r="F159" s="370"/>
      <c r="G159" s="370"/>
      <c r="H159" s="357">
        <f t="shared" si="2"/>
        <v>0</v>
      </c>
      <c r="I159" s="346">
        <f t="shared" si="3"/>
        <v>0</v>
      </c>
      <c r="J159" s="312"/>
    </row>
    <row r="160">
      <c r="A160" s="344">
        <v>672.66</v>
      </c>
      <c r="B160" s="344">
        <v>60.0</v>
      </c>
      <c r="C160" s="369"/>
      <c r="D160" s="344" t="str">
        <f t="shared" si="1"/>
        <v>Saturday</v>
      </c>
      <c r="E160" s="344"/>
      <c r="F160" s="370"/>
      <c r="G160" s="370"/>
      <c r="H160" s="357">
        <f t="shared" si="2"/>
        <v>0</v>
      </c>
      <c r="I160" s="346">
        <f t="shared" si="3"/>
        <v>0</v>
      </c>
      <c r="J160" s="312"/>
    </row>
    <row r="161">
      <c r="A161" s="344">
        <v>672.66</v>
      </c>
      <c r="B161" s="344">
        <v>60.0</v>
      </c>
      <c r="C161" s="369"/>
      <c r="D161" s="344" t="str">
        <f t="shared" si="1"/>
        <v>Saturday</v>
      </c>
      <c r="E161" s="344"/>
      <c r="F161" s="370"/>
      <c r="G161" s="370"/>
      <c r="H161" s="357">
        <f t="shared" si="2"/>
        <v>0</v>
      </c>
      <c r="I161" s="346">
        <f t="shared" si="3"/>
        <v>0</v>
      </c>
      <c r="J161" s="312"/>
    </row>
    <row r="162">
      <c r="A162" s="344">
        <v>672.66</v>
      </c>
      <c r="B162" s="344">
        <v>60.0</v>
      </c>
      <c r="C162" s="369"/>
      <c r="D162" s="344" t="str">
        <f t="shared" si="1"/>
        <v>Saturday</v>
      </c>
      <c r="E162" s="344"/>
      <c r="F162" s="370"/>
      <c r="G162" s="370"/>
      <c r="H162" s="357">
        <f t="shared" si="2"/>
        <v>0</v>
      </c>
      <c r="I162" s="346">
        <f t="shared" si="3"/>
        <v>0</v>
      </c>
      <c r="J162" s="312"/>
    </row>
    <row r="163">
      <c r="A163" s="344">
        <v>672.66</v>
      </c>
      <c r="B163" s="344">
        <v>60.0</v>
      </c>
      <c r="C163" s="369"/>
      <c r="D163" s="344" t="str">
        <f t="shared" si="1"/>
        <v>Saturday</v>
      </c>
      <c r="E163" s="344"/>
      <c r="F163" s="370"/>
      <c r="G163" s="370"/>
      <c r="H163" s="357">
        <f t="shared" si="2"/>
        <v>0</v>
      </c>
      <c r="I163" s="346">
        <f t="shared" si="3"/>
        <v>0</v>
      </c>
      <c r="J163" s="312"/>
    </row>
    <row r="164">
      <c r="A164" s="344">
        <v>672.66</v>
      </c>
      <c r="B164" s="344">
        <v>60.0</v>
      </c>
      <c r="C164" s="369"/>
      <c r="D164" s="344" t="str">
        <f t="shared" si="1"/>
        <v>Saturday</v>
      </c>
      <c r="E164" s="344"/>
      <c r="F164" s="370"/>
      <c r="G164" s="370"/>
      <c r="H164" s="357">
        <f t="shared" si="2"/>
        <v>0</v>
      </c>
      <c r="I164" s="346">
        <f t="shared" si="3"/>
        <v>0</v>
      </c>
      <c r="J164" s="312"/>
    </row>
    <row r="165">
      <c r="A165" s="344">
        <v>672.66</v>
      </c>
      <c r="B165" s="344">
        <v>60.0</v>
      </c>
      <c r="C165" s="369"/>
      <c r="D165" s="344" t="str">
        <f t="shared" si="1"/>
        <v>Saturday</v>
      </c>
      <c r="E165" s="344"/>
      <c r="F165" s="370"/>
      <c r="G165" s="370"/>
      <c r="H165" s="357">
        <f t="shared" si="2"/>
        <v>0</v>
      </c>
      <c r="I165" s="346">
        <f t="shared" si="3"/>
        <v>0</v>
      </c>
      <c r="J165" s="312"/>
    </row>
    <row r="166">
      <c r="A166" s="344">
        <v>672.66</v>
      </c>
      <c r="B166" s="344">
        <v>60.0</v>
      </c>
      <c r="C166" s="369"/>
      <c r="D166" s="344" t="str">
        <f t="shared" si="1"/>
        <v>Saturday</v>
      </c>
      <c r="E166" s="344"/>
      <c r="F166" s="370"/>
      <c r="G166" s="370"/>
      <c r="H166" s="357">
        <f t="shared" si="2"/>
        <v>0</v>
      </c>
      <c r="I166" s="346">
        <f t="shared" si="3"/>
        <v>0</v>
      </c>
      <c r="J166" s="312"/>
    </row>
    <row r="167">
      <c r="A167" s="344">
        <v>672.66</v>
      </c>
      <c r="B167" s="344">
        <v>60.0</v>
      </c>
      <c r="C167" s="369"/>
      <c r="D167" s="344" t="str">
        <f t="shared" si="1"/>
        <v>Saturday</v>
      </c>
      <c r="E167" s="344"/>
      <c r="F167" s="370"/>
      <c r="G167" s="370"/>
      <c r="H167" s="357">
        <f t="shared" si="2"/>
        <v>0</v>
      </c>
      <c r="I167" s="346">
        <f t="shared" si="3"/>
        <v>0</v>
      </c>
      <c r="J167" s="312"/>
    </row>
    <row r="168">
      <c r="A168" s="344">
        <v>672.66</v>
      </c>
      <c r="B168" s="344">
        <v>60.0</v>
      </c>
      <c r="C168" s="369"/>
      <c r="D168" s="344" t="str">
        <f t="shared" si="1"/>
        <v>Saturday</v>
      </c>
      <c r="E168" s="344"/>
      <c r="F168" s="370"/>
      <c r="G168" s="370"/>
      <c r="H168" s="357">
        <f t="shared" si="2"/>
        <v>0</v>
      </c>
      <c r="I168" s="346">
        <f t="shared" si="3"/>
        <v>0</v>
      </c>
      <c r="J168" s="312"/>
    </row>
    <row r="169">
      <c r="A169" s="344">
        <v>672.66</v>
      </c>
      <c r="B169" s="344">
        <v>60.0</v>
      </c>
      <c r="C169" s="369"/>
      <c r="D169" s="344" t="str">
        <f t="shared" si="1"/>
        <v>Saturday</v>
      </c>
      <c r="E169" s="344"/>
      <c r="F169" s="370"/>
      <c r="G169" s="370"/>
      <c r="H169" s="357">
        <f t="shared" si="2"/>
        <v>0</v>
      </c>
      <c r="I169" s="346">
        <f t="shared" si="3"/>
        <v>0</v>
      </c>
      <c r="J169" s="312"/>
    </row>
    <row r="170">
      <c r="A170" s="344">
        <v>672.66</v>
      </c>
      <c r="B170" s="344">
        <v>60.0</v>
      </c>
      <c r="C170" s="369"/>
      <c r="D170" s="344" t="str">
        <f t="shared" si="1"/>
        <v>Saturday</v>
      </c>
      <c r="E170" s="344"/>
      <c r="F170" s="370"/>
      <c r="G170" s="370"/>
      <c r="H170" s="357">
        <f t="shared" si="2"/>
        <v>0</v>
      </c>
      <c r="I170" s="346">
        <f t="shared" si="3"/>
        <v>0</v>
      </c>
      <c r="J170" s="312"/>
    </row>
    <row r="171">
      <c r="A171" s="344">
        <v>672.66</v>
      </c>
      <c r="B171" s="344">
        <v>60.0</v>
      </c>
      <c r="C171" s="369"/>
      <c r="D171" s="344" t="str">
        <f t="shared" si="1"/>
        <v>Saturday</v>
      </c>
      <c r="E171" s="344"/>
      <c r="F171" s="370"/>
      <c r="G171" s="370"/>
      <c r="H171" s="357">
        <f t="shared" si="2"/>
        <v>0</v>
      </c>
      <c r="I171" s="346">
        <f t="shared" si="3"/>
        <v>0</v>
      </c>
      <c r="J171" s="312"/>
    </row>
    <row r="172">
      <c r="A172" s="344">
        <v>672.66</v>
      </c>
      <c r="B172" s="344">
        <v>60.0</v>
      </c>
      <c r="C172" s="369"/>
      <c r="D172" s="344" t="str">
        <f t="shared" si="1"/>
        <v>Saturday</v>
      </c>
      <c r="E172" s="344"/>
      <c r="F172" s="370"/>
      <c r="G172" s="370"/>
      <c r="H172" s="357">
        <f t="shared" si="2"/>
        <v>0</v>
      </c>
      <c r="I172" s="346">
        <f t="shared" si="3"/>
        <v>0</v>
      </c>
      <c r="J172" s="312"/>
    </row>
    <row r="173">
      <c r="A173" s="344">
        <v>672.66</v>
      </c>
      <c r="B173" s="344">
        <v>60.0</v>
      </c>
      <c r="C173" s="369"/>
      <c r="D173" s="344" t="str">
        <f t="shared" si="1"/>
        <v>Saturday</v>
      </c>
      <c r="E173" s="344"/>
      <c r="F173" s="370"/>
      <c r="G173" s="370"/>
      <c r="H173" s="357">
        <f t="shared" si="2"/>
        <v>0</v>
      </c>
      <c r="I173" s="346">
        <f t="shared" si="3"/>
        <v>0</v>
      </c>
      <c r="J173" s="312"/>
    </row>
    <row r="174">
      <c r="A174" s="344">
        <v>672.66</v>
      </c>
      <c r="B174" s="344">
        <v>60.0</v>
      </c>
      <c r="C174" s="369"/>
      <c r="D174" s="344" t="str">
        <f t="shared" si="1"/>
        <v>Saturday</v>
      </c>
      <c r="E174" s="344"/>
      <c r="F174" s="370"/>
      <c r="G174" s="370"/>
      <c r="H174" s="357">
        <f t="shared" si="2"/>
        <v>0</v>
      </c>
      <c r="I174" s="346">
        <f t="shared" si="3"/>
        <v>0</v>
      </c>
      <c r="J174" s="312"/>
    </row>
    <row r="175">
      <c r="A175" s="344">
        <v>672.66</v>
      </c>
      <c r="B175" s="344">
        <v>60.0</v>
      </c>
      <c r="C175" s="369"/>
      <c r="D175" s="344" t="str">
        <f t="shared" si="1"/>
        <v>Saturday</v>
      </c>
      <c r="E175" s="344"/>
      <c r="F175" s="370"/>
      <c r="G175" s="370"/>
      <c r="H175" s="357">
        <f t="shared" si="2"/>
        <v>0</v>
      </c>
      <c r="I175" s="346">
        <f t="shared" si="3"/>
        <v>0</v>
      </c>
      <c r="J175" s="312"/>
    </row>
    <row r="176">
      <c r="A176" s="344">
        <v>672.66</v>
      </c>
      <c r="B176" s="344">
        <v>60.0</v>
      </c>
      <c r="C176" s="369"/>
      <c r="D176" s="344" t="str">
        <f t="shared" si="1"/>
        <v>Saturday</v>
      </c>
      <c r="E176" s="344"/>
      <c r="F176" s="370"/>
      <c r="G176" s="370"/>
      <c r="H176" s="357">
        <f t="shared" si="2"/>
        <v>0</v>
      </c>
      <c r="I176" s="346">
        <f t="shared" si="3"/>
        <v>0</v>
      </c>
      <c r="J176" s="312"/>
    </row>
    <row r="177">
      <c r="A177" s="344">
        <v>672.66</v>
      </c>
      <c r="B177" s="344">
        <v>60.0</v>
      </c>
      <c r="C177" s="369"/>
      <c r="D177" s="344" t="str">
        <f t="shared" si="1"/>
        <v>Saturday</v>
      </c>
      <c r="E177" s="344"/>
      <c r="F177" s="370"/>
      <c r="G177" s="370"/>
      <c r="H177" s="357">
        <f t="shared" si="2"/>
        <v>0</v>
      </c>
      <c r="I177" s="346">
        <f t="shared" si="3"/>
        <v>0</v>
      </c>
      <c r="J177" s="312"/>
    </row>
    <row r="178">
      <c r="A178" s="344">
        <v>672.66</v>
      </c>
      <c r="B178" s="344">
        <v>60.0</v>
      </c>
      <c r="C178" s="369"/>
      <c r="D178" s="344" t="str">
        <f t="shared" si="1"/>
        <v>Saturday</v>
      </c>
      <c r="E178" s="344"/>
      <c r="F178" s="370"/>
      <c r="G178" s="370"/>
      <c r="H178" s="357">
        <f t="shared" si="2"/>
        <v>0</v>
      </c>
      <c r="I178" s="346">
        <f t="shared" si="3"/>
        <v>0</v>
      </c>
      <c r="J178" s="312"/>
    </row>
    <row r="179">
      <c r="A179" s="344">
        <v>672.66</v>
      </c>
      <c r="B179" s="344">
        <v>60.0</v>
      </c>
      <c r="C179" s="369"/>
      <c r="D179" s="344" t="str">
        <f t="shared" si="1"/>
        <v>Saturday</v>
      </c>
      <c r="E179" s="344"/>
      <c r="F179" s="370"/>
      <c r="G179" s="370"/>
      <c r="H179" s="357">
        <f t="shared" si="2"/>
        <v>0</v>
      </c>
      <c r="I179" s="346">
        <f t="shared" si="3"/>
        <v>0</v>
      </c>
      <c r="J179" s="312"/>
    </row>
    <row r="180">
      <c r="A180" s="344">
        <v>672.66</v>
      </c>
      <c r="B180" s="344">
        <v>60.0</v>
      </c>
      <c r="C180" s="369"/>
      <c r="D180" s="344" t="str">
        <f t="shared" si="1"/>
        <v>Saturday</v>
      </c>
      <c r="E180" s="344"/>
      <c r="F180" s="370"/>
      <c r="G180" s="370"/>
      <c r="H180" s="357">
        <f t="shared" si="2"/>
        <v>0</v>
      </c>
      <c r="I180" s="346">
        <f t="shared" si="3"/>
        <v>0</v>
      </c>
      <c r="J180" s="312"/>
    </row>
    <row r="181">
      <c r="A181" s="344">
        <v>672.66</v>
      </c>
      <c r="B181" s="344">
        <v>60.0</v>
      </c>
      <c r="C181" s="369"/>
      <c r="D181" s="344" t="str">
        <f t="shared" si="1"/>
        <v>Saturday</v>
      </c>
      <c r="E181" s="344"/>
      <c r="F181" s="370"/>
      <c r="G181" s="370"/>
      <c r="H181" s="357">
        <f t="shared" si="2"/>
        <v>0</v>
      </c>
      <c r="I181" s="346">
        <f t="shared" si="3"/>
        <v>0</v>
      </c>
      <c r="J181" s="312"/>
    </row>
    <row r="182">
      <c r="A182" s="344">
        <v>672.66</v>
      </c>
      <c r="B182" s="344">
        <v>60.0</v>
      </c>
      <c r="C182" s="369"/>
      <c r="D182" s="344" t="str">
        <f t="shared" si="1"/>
        <v>Saturday</v>
      </c>
      <c r="E182" s="344"/>
      <c r="F182" s="370"/>
      <c r="G182" s="370"/>
      <c r="H182" s="357">
        <f t="shared" si="2"/>
        <v>0</v>
      </c>
      <c r="I182" s="346">
        <f t="shared" si="3"/>
        <v>0</v>
      </c>
      <c r="J182" s="312"/>
    </row>
    <row r="183">
      <c r="A183" s="344">
        <v>672.66</v>
      </c>
      <c r="B183" s="344">
        <v>60.0</v>
      </c>
      <c r="C183" s="369"/>
      <c r="D183" s="344" t="str">
        <f t="shared" si="1"/>
        <v>Saturday</v>
      </c>
      <c r="E183" s="344"/>
      <c r="F183" s="370"/>
      <c r="G183" s="370"/>
      <c r="H183" s="357">
        <f t="shared" si="2"/>
        <v>0</v>
      </c>
      <c r="I183" s="346">
        <f t="shared" si="3"/>
        <v>0</v>
      </c>
      <c r="J183" s="312"/>
    </row>
    <row r="184">
      <c r="A184" s="344">
        <v>672.66</v>
      </c>
      <c r="B184" s="344">
        <v>60.0</v>
      </c>
      <c r="C184" s="369"/>
      <c r="D184" s="344" t="str">
        <f t="shared" si="1"/>
        <v>Saturday</v>
      </c>
      <c r="E184" s="344"/>
      <c r="F184" s="370"/>
      <c r="G184" s="370"/>
      <c r="H184" s="357">
        <f t="shared" si="2"/>
        <v>0</v>
      </c>
      <c r="I184" s="346">
        <f t="shared" si="3"/>
        <v>0</v>
      </c>
      <c r="J184" s="312"/>
    </row>
    <row r="185">
      <c r="A185" s="344">
        <v>672.66</v>
      </c>
      <c r="B185" s="344">
        <v>60.0</v>
      </c>
      <c r="C185" s="369"/>
      <c r="D185" s="344" t="str">
        <f t="shared" si="1"/>
        <v>Saturday</v>
      </c>
      <c r="E185" s="344"/>
      <c r="F185" s="370"/>
      <c r="G185" s="370"/>
      <c r="H185" s="357">
        <f t="shared" si="2"/>
        <v>0</v>
      </c>
      <c r="I185" s="346">
        <f t="shared" si="3"/>
        <v>0</v>
      </c>
      <c r="J185" s="312"/>
    </row>
    <row r="186">
      <c r="A186" s="344">
        <v>672.66</v>
      </c>
      <c r="B186" s="344">
        <v>60.0</v>
      </c>
      <c r="C186" s="369"/>
      <c r="D186" s="344" t="str">
        <f t="shared" si="1"/>
        <v>Saturday</v>
      </c>
      <c r="E186" s="344"/>
      <c r="F186" s="370"/>
      <c r="G186" s="370"/>
      <c r="H186" s="357">
        <f t="shared" si="2"/>
        <v>0</v>
      </c>
      <c r="I186" s="346">
        <f t="shared" si="3"/>
        <v>0</v>
      </c>
      <c r="J186" s="312"/>
    </row>
    <row r="187">
      <c r="A187" s="344">
        <v>672.66</v>
      </c>
      <c r="B187" s="344">
        <v>60.0</v>
      </c>
      <c r="C187" s="369"/>
      <c r="D187" s="344" t="str">
        <f t="shared" si="1"/>
        <v>Saturday</v>
      </c>
      <c r="E187" s="344"/>
      <c r="F187" s="370"/>
      <c r="G187" s="370"/>
      <c r="H187" s="357">
        <f t="shared" si="2"/>
        <v>0</v>
      </c>
      <c r="I187" s="346">
        <f t="shared" si="3"/>
        <v>0</v>
      </c>
      <c r="J187" s="312"/>
    </row>
    <row r="188">
      <c r="A188" s="344">
        <v>672.66</v>
      </c>
      <c r="B188" s="344">
        <v>60.0</v>
      </c>
      <c r="C188" s="369"/>
      <c r="D188" s="344" t="str">
        <f t="shared" si="1"/>
        <v>Saturday</v>
      </c>
      <c r="E188" s="344"/>
      <c r="F188" s="370"/>
      <c r="G188" s="370"/>
      <c r="H188" s="357">
        <f t="shared" si="2"/>
        <v>0</v>
      </c>
      <c r="I188" s="346">
        <f t="shared" si="3"/>
        <v>0</v>
      </c>
      <c r="J188" s="312"/>
    </row>
    <row r="189">
      <c r="A189" s="344">
        <v>672.66</v>
      </c>
      <c r="B189" s="344">
        <v>60.0</v>
      </c>
      <c r="C189" s="369"/>
      <c r="D189" s="344" t="str">
        <f t="shared" si="1"/>
        <v>Saturday</v>
      </c>
      <c r="E189" s="344"/>
      <c r="F189" s="370"/>
      <c r="G189" s="370"/>
      <c r="H189" s="357">
        <f t="shared" si="2"/>
        <v>0</v>
      </c>
      <c r="I189" s="346">
        <f t="shared" si="3"/>
        <v>0</v>
      </c>
      <c r="J189" s="312"/>
    </row>
    <row r="190">
      <c r="A190" s="344">
        <v>672.66</v>
      </c>
      <c r="B190" s="344">
        <v>60.0</v>
      </c>
      <c r="C190" s="369"/>
      <c r="D190" s="344" t="str">
        <f t="shared" si="1"/>
        <v>Saturday</v>
      </c>
      <c r="E190" s="344"/>
      <c r="F190" s="370"/>
      <c r="G190" s="370"/>
      <c r="H190" s="357">
        <f t="shared" si="2"/>
        <v>0</v>
      </c>
      <c r="I190" s="346">
        <f t="shared" si="3"/>
        <v>0</v>
      </c>
      <c r="J190" s="312"/>
    </row>
    <row r="191">
      <c r="A191" s="344">
        <v>672.66</v>
      </c>
      <c r="B191" s="344">
        <v>60.0</v>
      </c>
      <c r="C191" s="369"/>
      <c r="D191" s="344" t="str">
        <f t="shared" si="1"/>
        <v>Saturday</v>
      </c>
      <c r="E191" s="344"/>
      <c r="F191" s="370"/>
      <c r="G191" s="370"/>
      <c r="H191" s="357">
        <f t="shared" si="2"/>
        <v>0</v>
      </c>
      <c r="I191" s="346">
        <f t="shared" si="3"/>
        <v>0</v>
      </c>
      <c r="J191" s="312"/>
    </row>
    <row r="192">
      <c r="A192" s="344">
        <v>672.66</v>
      </c>
      <c r="B192" s="344">
        <v>60.0</v>
      </c>
      <c r="C192" s="369"/>
      <c r="D192" s="344" t="str">
        <f t="shared" si="1"/>
        <v>Saturday</v>
      </c>
      <c r="E192" s="344"/>
      <c r="F192" s="370"/>
      <c r="G192" s="370"/>
      <c r="H192" s="357">
        <f t="shared" si="2"/>
        <v>0</v>
      </c>
      <c r="I192" s="346">
        <f t="shared" si="3"/>
        <v>0</v>
      </c>
      <c r="J192" s="312"/>
    </row>
    <row r="193">
      <c r="A193" s="344">
        <v>672.66</v>
      </c>
      <c r="B193" s="344">
        <v>60.0</v>
      </c>
      <c r="C193" s="369"/>
      <c r="D193" s="344" t="str">
        <f t="shared" si="1"/>
        <v>Saturday</v>
      </c>
      <c r="E193" s="344"/>
      <c r="F193" s="370"/>
      <c r="G193" s="370"/>
      <c r="H193" s="357">
        <f t="shared" si="2"/>
        <v>0</v>
      </c>
      <c r="I193" s="346">
        <f t="shared" si="3"/>
        <v>0</v>
      </c>
      <c r="J193" s="312"/>
    </row>
    <row r="194">
      <c r="A194" s="344">
        <v>672.66</v>
      </c>
      <c r="B194" s="344">
        <v>60.0</v>
      </c>
      <c r="C194" s="369"/>
      <c r="D194" s="344" t="str">
        <f t="shared" si="1"/>
        <v>Saturday</v>
      </c>
      <c r="E194" s="344"/>
      <c r="F194" s="370"/>
      <c r="G194" s="370"/>
      <c r="H194" s="357">
        <f t="shared" si="2"/>
        <v>0</v>
      </c>
      <c r="I194" s="346">
        <f t="shared" si="3"/>
        <v>0</v>
      </c>
      <c r="J194" s="312"/>
    </row>
    <row r="195">
      <c r="A195" s="344">
        <v>672.66</v>
      </c>
      <c r="B195" s="344">
        <v>60.0</v>
      </c>
      <c r="C195" s="369"/>
      <c r="D195" s="344" t="str">
        <f t="shared" si="1"/>
        <v>Saturday</v>
      </c>
      <c r="E195" s="344"/>
      <c r="F195" s="370"/>
      <c r="G195" s="370"/>
      <c r="H195" s="357">
        <f t="shared" si="2"/>
        <v>0</v>
      </c>
      <c r="I195" s="346">
        <f t="shared" si="3"/>
        <v>0</v>
      </c>
      <c r="J195" s="312"/>
    </row>
    <row r="196">
      <c r="A196" s="344">
        <v>672.66</v>
      </c>
      <c r="B196" s="344">
        <v>60.0</v>
      </c>
      <c r="C196" s="369"/>
      <c r="D196" s="344" t="str">
        <f t="shared" si="1"/>
        <v>Saturday</v>
      </c>
      <c r="E196" s="344"/>
      <c r="F196" s="370"/>
      <c r="G196" s="370"/>
      <c r="H196" s="357">
        <f t="shared" si="2"/>
        <v>0</v>
      </c>
      <c r="I196" s="346">
        <f t="shared" si="3"/>
        <v>0</v>
      </c>
      <c r="J196" s="312"/>
    </row>
    <row r="197">
      <c r="A197" s="344">
        <v>672.66</v>
      </c>
      <c r="B197" s="344">
        <v>60.0</v>
      </c>
      <c r="C197" s="369"/>
      <c r="D197" s="344" t="str">
        <f t="shared" si="1"/>
        <v>Saturday</v>
      </c>
      <c r="E197" s="344"/>
      <c r="F197" s="370"/>
      <c r="G197" s="370"/>
      <c r="H197" s="357">
        <f t="shared" si="2"/>
        <v>0</v>
      </c>
      <c r="I197" s="346">
        <f t="shared" si="3"/>
        <v>0</v>
      </c>
      <c r="J197" s="312"/>
    </row>
    <row r="198">
      <c r="A198" s="344">
        <v>672.66</v>
      </c>
      <c r="B198" s="344">
        <v>60.0</v>
      </c>
      <c r="C198" s="369"/>
      <c r="D198" s="344" t="str">
        <f t="shared" si="1"/>
        <v>Saturday</v>
      </c>
      <c r="E198" s="344"/>
      <c r="F198" s="370"/>
      <c r="G198" s="370"/>
      <c r="H198" s="357">
        <f t="shared" si="2"/>
        <v>0</v>
      </c>
      <c r="I198" s="346">
        <f t="shared" si="3"/>
        <v>0</v>
      </c>
      <c r="J198" s="312"/>
    </row>
    <row r="199">
      <c r="A199" s="344">
        <v>672.66</v>
      </c>
      <c r="B199" s="344">
        <v>60.0</v>
      </c>
      <c r="C199" s="369"/>
      <c r="D199" s="344" t="str">
        <f t="shared" si="1"/>
        <v>Saturday</v>
      </c>
      <c r="E199" s="344"/>
      <c r="F199" s="370"/>
      <c r="G199" s="370"/>
      <c r="H199" s="357">
        <f t="shared" si="2"/>
        <v>0</v>
      </c>
      <c r="I199" s="346">
        <f t="shared" si="3"/>
        <v>0</v>
      </c>
      <c r="J199" s="312"/>
    </row>
    <row r="200">
      <c r="A200" s="344">
        <v>672.66</v>
      </c>
      <c r="B200" s="344">
        <v>60.0</v>
      </c>
      <c r="C200" s="369"/>
      <c r="D200" s="344" t="str">
        <f t="shared" si="1"/>
        <v>Saturday</v>
      </c>
      <c r="E200" s="344"/>
      <c r="F200" s="370"/>
      <c r="G200" s="370"/>
      <c r="H200" s="357">
        <f t="shared" si="2"/>
        <v>0</v>
      </c>
      <c r="I200" s="346">
        <f t="shared" si="3"/>
        <v>0</v>
      </c>
      <c r="J200" s="312"/>
    </row>
    <row r="201">
      <c r="A201" s="344">
        <v>672.66</v>
      </c>
      <c r="B201" s="344">
        <v>60.0</v>
      </c>
      <c r="C201" s="369"/>
      <c r="D201" s="344" t="str">
        <f t="shared" si="1"/>
        <v>Saturday</v>
      </c>
      <c r="E201" s="344"/>
      <c r="F201" s="370"/>
      <c r="G201" s="370"/>
      <c r="H201" s="357">
        <f t="shared" si="2"/>
        <v>0</v>
      </c>
      <c r="I201" s="346">
        <f t="shared" si="3"/>
        <v>0</v>
      </c>
      <c r="J201" s="312"/>
    </row>
    <row r="202">
      <c r="A202" s="344">
        <v>672.66</v>
      </c>
      <c r="B202" s="344">
        <v>60.0</v>
      </c>
      <c r="C202" s="369"/>
      <c r="D202" s="344" t="str">
        <f t="shared" si="1"/>
        <v>Saturday</v>
      </c>
      <c r="E202" s="344"/>
      <c r="F202" s="370"/>
      <c r="G202" s="370"/>
      <c r="H202" s="357">
        <f t="shared" si="2"/>
        <v>0</v>
      </c>
      <c r="I202" s="346">
        <f t="shared" si="3"/>
        <v>0</v>
      </c>
      <c r="J202" s="312"/>
    </row>
    <row r="203">
      <c r="A203" s="344">
        <v>672.66</v>
      </c>
      <c r="B203" s="344">
        <v>60.0</v>
      </c>
      <c r="C203" s="369"/>
      <c r="D203" s="344" t="str">
        <f t="shared" si="1"/>
        <v>Saturday</v>
      </c>
      <c r="E203" s="344"/>
      <c r="F203" s="370"/>
      <c r="G203" s="370"/>
      <c r="H203" s="357">
        <f t="shared" si="2"/>
        <v>0</v>
      </c>
      <c r="I203" s="346">
        <f t="shared" si="3"/>
        <v>0</v>
      </c>
      <c r="J203" s="312"/>
    </row>
    <row r="204">
      <c r="A204" s="344">
        <v>672.66</v>
      </c>
      <c r="B204" s="344">
        <v>60.0</v>
      </c>
      <c r="C204" s="369"/>
      <c r="D204" s="344" t="str">
        <f t="shared" si="1"/>
        <v>Saturday</v>
      </c>
      <c r="E204" s="344"/>
      <c r="F204" s="370"/>
      <c r="G204" s="370"/>
      <c r="H204" s="357">
        <f t="shared" si="2"/>
        <v>0</v>
      </c>
      <c r="I204" s="346">
        <f t="shared" si="3"/>
        <v>0</v>
      </c>
      <c r="J204" s="312"/>
    </row>
    <row r="205">
      <c r="A205" s="344">
        <v>672.66</v>
      </c>
      <c r="B205" s="344">
        <v>60.0</v>
      </c>
      <c r="C205" s="369"/>
      <c r="D205" s="344" t="str">
        <f t="shared" si="1"/>
        <v>Saturday</v>
      </c>
      <c r="E205" s="344"/>
      <c r="F205" s="370"/>
      <c r="G205" s="370"/>
      <c r="H205" s="357">
        <f t="shared" si="2"/>
        <v>0</v>
      </c>
      <c r="I205" s="346">
        <f t="shared" si="3"/>
        <v>0</v>
      </c>
      <c r="J205" s="312"/>
    </row>
    <row r="206">
      <c r="A206" s="344">
        <v>672.66</v>
      </c>
      <c r="B206" s="344">
        <v>60.0</v>
      </c>
      <c r="C206" s="369"/>
      <c r="D206" s="344" t="str">
        <f t="shared" si="1"/>
        <v>Saturday</v>
      </c>
      <c r="E206" s="344"/>
      <c r="F206" s="370"/>
      <c r="G206" s="370"/>
      <c r="H206" s="357">
        <f t="shared" si="2"/>
        <v>0</v>
      </c>
      <c r="I206" s="346">
        <f t="shared" si="3"/>
        <v>0</v>
      </c>
      <c r="J206" s="312"/>
    </row>
    <row r="207">
      <c r="A207" s="344">
        <v>672.66</v>
      </c>
      <c r="B207" s="344">
        <v>60.0</v>
      </c>
      <c r="C207" s="369"/>
      <c r="D207" s="344" t="str">
        <f t="shared" si="1"/>
        <v>Saturday</v>
      </c>
      <c r="E207" s="344"/>
      <c r="F207" s="370"/>
      <c r="G207" s="370"/>
      <c r="H207" s="357">
        <f t="shared" si="2"/>
        <v>0</v>
      </c>
      <c r="I207" s="346">
        <f t="shared" si="3"/>
        <v>0</v>
      </c>
      <c r="J207" s="312"/>
    </row>
    <row r="208">
      <c r="A208" s="344">
        <v>672.66</v>
      </c>
      <c r="B208" s="344">
        <v>60.0</v>
      </c>
      <c r="C208" s="369"/>
      <c r="D208" s="344" t="str">
        <f t="shared" si="1"/>
        <v>Saturday</v>
      </c>
      <c r="E208" s="344"/>
      <c r="F208" s="370"/>
      <c r="G208" s="370"/>
      <c r="H208" s="357">
        <f t="shared" si="2"/>
        <v>0</v>
      </c>
      <c r="I208" s="346">
        <f t="shared" si="3"/>
        <v>0</v>
      </c>
      <c r="J208" s="312"/>
    </row>
    <row r="209">
      <c r="A209" s="344">
        <v>672.66</v>
      </c>
      <c r="B209" s="344">
        <v>60.0</v>
      </c>
      <c r="C209" s="369"/>
      <c r="D209" s="344" t="str">
        <f t="shared" si="1"/>
        <v>Saturday</v>
      </c>
      <c r="E209" s="344"/>
      <c r="F209" s="370"/>
      <c r="G209" s="370"/>
      <c r="H209" s="357">
        <f t="shared" si="2"/>
        <v>0</v>
      </c>
      <c r="I209" s="346">
        <f t="shared" si="3"/>
        <v>0</v>
      </c>
      <c r="J209" s="312"/>
    </row>
    <row r="210">
      <c r="A210" s="344">
        <v>672.66</v>
      </c>
      <c r="B210" s="344">
        <v>60.0</v>
      </c>
      <c r="C210" s="369"/>
      <c r="D210" s="344" t="str">
        <f t="shared" si="1"/>
        <v>Saturday</v>
      </c>
      <c r="E210" s="344"/>
      <c r="F210" s="370"/>
      <c r="G210" s="370"/>
      <c r="H210" s="357">
        <f t="shared" si="2"/>
        <v>0</v>
      </c>
      <c r="I210" s="346">
        <f t="shared" si="3"/>
        <v>0</v>
      </c>
      <c r="J210" s="312"/>
    </row>
    <row r="211">
      <c r="A211" s="344">
        <v>672.66</v>
      </c>
      <c r="B211" s="344">
        <v>60.0</v>
      </c>
      <c r="C211" s="369"/>
      <c r="D211" s="344" t="str">
        <f t="shared" si="1"/>
        <v>Saturday</v>
      </c>
      <c r="E211" s="344"/>
      <c r="F211" s="370"/>
      <c r="G211" s="370"/>
      <c r="H211" s="357">
        <f t="shared" si="2"/>
        <v>0</v>
      </c>
      <c r="I211" s="346">
        <f t="shared" si="3"/>
        <v>0</v>
      </c>
      <c r="J211" s="312"/>
    </row>
    <row r="212">
      <c r="A212" s="344">
        <v>672.66</v>
      </c>
      <c r="B212" s="344">
        <v>60.0</v>
      </c>
      <c r="C212" s="369"/>
      <c r="D212" s="344" t="str">
        <f t="shared" si="1"/>
        <v>Saturday</v>
      </c>
      <c r="E212" s="344"/>
      <c r="F212" s="370"/>
      <c r="G212" s="370"/>
      <c r="H212" s="357">
        <f t="shared" si="2"/>
        <v>0</v>
      </c>
      <c r="I212" s="346">
        <f t="shared" si="3"/>
        <v>0</v>
      </c>
      <c r="J212" s="312"/>
    </row>
    <row r="213">
      <c r="A213" s="344">
        <v>672.66</v>
      </c>
      <c r="B213" s="344">
        <v>60.0</v>
      </c>
      <c r="C213" s="369"/>
      <c r="D213" s="344" t="str">
        <f t="shared" si="1"/>
        <v>Saturday</v>
      </c>
      <c r="E213" s="344"/>
      <c r="F213" s="370"/>
      <c r="G213" s="370"/>
      <c r="H213" s="357">
        <f t="shared" si="2"/>
        <v>0</v>
      </c>
      <c r="I213" s="346">
        <f t="shared" si="3"/>
        <v>0</v>
      </c>
      <c r="J213" s="312"/>
    </row>
    <row r="214">
      <c r="A214" s="344">
        <v>672.66</v>
      </c>
      <c r="B214" s="344">
        <v>60.0</v>
      </c>
      <c r="C214" s="369"/>
      <c r="D214" s="344" t="str">
        <f t="shared" si="1"/>
        <v>Saturday</v>
      </c>
      <c r="E214" s="344"/>
      <c r="F214" s="370"/>
      <c r="G214" s="370"/>
      <c r="H214" s="357">
        <f t="shared" si="2"/>
        <v>0</v>
      </c>
      <c r="I214" s="346">
        <f t="shared" si="3"/>
        <v>0</v>
      </c>
      <c r="J214" s="312"/>
    </row>
    <row r="215">
      <c r="A215" s="344">
        <v>672.66</v>
      </c>
      <c r="B215" s="344">
        <v>60.0</v>
      </c>
      <c r="C215" s="369"/>
      <c r="D215" s="344" t="str">
        <f t="shared" si="1"/>
        <v>Saturday</v>
      </c>
      <c r="E215" s="344"/>
      <c r="F215" s="370"/>
      <c r="G215" s="370"/>
      <c r="H215" s="357">
        <f t="shared" si="2"/>
        <v>0</v>
      </c>
      <c r="I215" s="346">
        <f t="shared" si="3"/>
        <v>0</v>
      </c>
      <c r="J215" s="312"/>
    </row>
    <row r="216">
      <c r="A216" s="344">
        <v>672.66</v>
      </c>
      <c r="B216" s="344">
        <v>60.0</v>
      </c>
      <c r="C216" s="369"/>
      <c r="D216" s="344" t="str">
        <f t="shared" si="1"/>
        <v>Saturday</v>
      </c>
      <c r="E216" s="344"/>
      <c r="F216" s="370"/>
      <c r="G216" s="370"/>
      <c r="H216" s="357">
        <f t="shared" si="2"/>
        <v>0</v>
      </c>
      <c r="I216" s="346">
        <f t="shared" si="3"/>
        <v>0</v>
      </c>
      <c r="J216" s="312"/>
    </row>
    <row r="217">
      <c r="A217" s="344">
        <v>672.66</v>
      </c>
      <c r="B217" s="344">
        <v>60.0</v>
      </c>
      <c r="C217" s="369"/>
      <c r="D217" s="344" t="str">
        <f t="shared" si="1"/>
        <v>Saturday</v>
      </c>
      <c r="E217" s="344"/>
      <c r="F217" s="370"/>
      <c r="G217" s="370"/>
      <c r="H217" s="357">
        <f t="shared" si="2"/>
        <v>0</v>
      </c>
      <c r="I217" s="346">
        <f t="shared" si="3"/>
        <v>0</v>
      </c>
      <c r="J217" s="312"/>
    </row>
    <row r="218">
      <c r="A218" s="344">
        <v>672.66</v>
      </c>
      <c r="B218" s="344">
        <v>60.0</v>
      </c>
      <c r="C218" s="369"/>
      <c r="D218" s="344" t="str">
        <f t="shared" si="1"/>
        <v>Saturday</v>
      </c>
      <c r="E218" s="344"/>
      <c r="F218" s="370"/>
      <c r="G218" s="370"/>
      <c r="H218" s="357">
        <f t="shared" si="2"/>
        <v>0</v>
      </c>
      <c r="I218" s="346">
        <f t="shared" si="3"/>
        <v>0</v>
      </c>
      <c r="J218" s="312"/>
    </row>
    <row r="219">
      <c r="A219" s="344">
        <v>672.66</v>
      </c>
      <c r="B219" s="344">
        <v>60.0</v>
      </c>
      <c r="C219" s="369"/>
      <c r="D219" s="344" t="str">
        <f t="shared" si="1"/>
        <v>Saturday</v>
      </c>
      <c r="E219" s="344"/>
      <c r="F219" s="370"/>
      <c r="G219" s="370"/>
      <c r="H219" s="357">
        <f t="shared" si="2"/>
        <v>0</v>
      </c>
      <c r="I219" s="346">
        <f t="shared" si="3"/>
        <v>0</v>
      </c>
      <c r="J219" s="312"/>
    </row>
    <row r="220">
      <c r="A220" s="344">
        <v>672.66</v>
      </c>
      <c r="B220" s="344">
        <v>60.0</v>
      </c>
      <c r="C220" s="369"/>
      <c r="D220" s="344" t="str">
        <f t="shared" si="1"/>
        <v>Saturday</v>
      </c>
      <c r="E220" s="344"/>
      <c r="F220" s="370"/>
      <c r="G220" s="370"/>
      <c r="H220" s="357">
        <f t="shared" si="2"/>
        <v>0</v>
      </c>
      <c r="I220" s="346">
        <f t="shared" si="3"/>
        <v>0</v>
      </c>
      <c r="J220" s="312"/>
    </row>
    <row r="221">
      <c r="A221" s="344">
        <v>672.66</v>
      </c>
      <c r="B221" s="344">
        <v>60.0</v>
      </c>
      <c r="C221" s="369"/>
      <c r="D221" s="344" t="str">
        <f t="shared" si="1"/>
        <v>Saturday</v>
      </c>
      <c r="E221" s="344"/>
      <c r="F221" s="370"/>
      <c r="G221" s="370"/>
      <c r="H221" s="357">
        <f t="shared" si="2"/>
        <v>0</v>
      </c>
      <c r="I221" s="346">
        <f t="shared" si="3"/>
        <v>0</v>
      </c>
      <c r="J221" s="312"/>
    </row>
    <row r="222">
      <c r="A222" s="344">
        <v>672.66</v>
      </c>
      <c r="B222" s="344">
        <v>60.0</v>
      </c>
      <c r="C222" s="369"/>
      <c r="D222" s="344" t="str">
        <f t="shared" si="1"/>
        <v>Saturday</v>
      </c>
      <c r="E222" s="344"/>
      <c r="F222" s="370"/>
      <c r="G222" s="370"/>
      <c r="H222" s="357">
        <f t="shared" si="2"/>
        <v>0</v>
      </c>
      <c r="I222" s="346">
        <f t="shared" si="3"/>
        <v>0</v>
      </c>
      <c r="J222" s="312"/>
    </row>
    <row r="223">
      <c r="A223" s="344">
        <v>672.66</v>
      </c>
      <c r="B223" s="344">
        <v>60.0</v>
      </c>
      <c r="C223" s="369"/>
      <c r="D223" s="344" t="str">
        <f t="shared" si="1"/>
        <v>Saturday</v>
      </c>
      <c r="E223" s="344"/>
      <c r="F223" s="370"/>
      <c r="G223" s="370"/>
      <c r="H223" s="357">
        <f t="shared" si="2"/>
        <v>0</v>
      </c>
      <c r="I223" s="346">
        <f t="shared" si="3"/>
        <v>0</v>
      </c>
      <c r="J223" s="312"/>
    </row>
    <row r="224">
      <c r="A224" s="344">
        <v>672.66</v>
      </c>
      <c r="B224" s="344">
        <v>60.0</v>
      </c>
      <c r="C224" s="369"/>
      <c r="D224" s="344" t="str">
        <f t="shared" si="1"/>
        <v>Saturday</v>
      </c>
      <c r="E224" s="344"/>
      <c r="F224" s="370"/>
      <c r="G224" s="370"/>
      <c r="H224" s="357">
        <f t="shared" si="2"/>
        <v>0</v>
      </c>
      <c r="I224" s="346">
        <f t="shared" si="3"/>
        <v>0</v>
      </c>
      <c r="J224" s="312"/>
    </row>
    <row r="225">
      <c r="A225" s="344">
        <v>672.66</v>
      </c>
      <c r="B225" s="344">
        <v>60.0</v>
      </c>
      <c r="C225" s="369"/>
      <c r="D225" s="344" t="str">
        <f t="shared" si="1"/>
        <v>Saturday</v>
      </c>
      <c r="E225" s="344"/>
      <c r="F225" s="370"/>
      <c r="G225" s="370"/>
      <c r="H225" s="357">
        <f t="shared" si="2"/>
        <v>0</v>
      </c>
      <c r="I225" s="346">
        <f t="shared" si="3"/>
        <v>0</v>
      </c>
      <c r="J225" s="312"/>
    </row>
    <row r="226">
      <c r="A226" s="344">
        <v>672.66</v>
      </c>
      <c r="B226" s="344">
        <v>60.0</v>
      </c>
      <c r="C226" s="369"/>
      <c r="D226" s="344" t="str">
        <f t="shared" si="1"/>
        <v>Saturday</v>
      </c>
      <c r="E226" s="344"/>
      <c r="F226" s="370"/>
      <c r="G226" s="370"/>
      <c r="H226" s="357">
        <f t="shared" si="2"/>
        <v>0</v>
      </c>
      <c r="I226" s="346">
        <f t="shared" si="3"/>
        <v>0</v>
      </c>
      <c r="J226" s="312"/>
    </row>
    <row r="227">
      <c r="A227" s="344">
        <v>672.66</v>
      </c>
      <c r="B227" s="344">
        <v>60.0</v>
      </c>
      <c r="C227" s="369"/>
      <c r="D227" s="344" t="str">
        <f t="shared" si="1"/>
        <v>Saturday</v>
      </c>
      <c r="E227" s="344"/>
      <c r="F227" s="370"/>
      <c r="G227" s="370"/>
      <c r="H227" s="357">
        <f t="shared" si="2"/>
        <v>0</v>
      </c>
      <c r="I227" s="346">
        <f t="shared" si="3"/>
        <v>0</v>
      </c>
      <c r="J227" s="312"/>
    </row>
    <row r="228">
      <c r="A228" s="344">
        <v>672.66</v>
      </c>
      <c r="B228" s="344">
        <v>60.0</v>
      </c>
      <c r="C228" s="369"/>
      <c r="D228" s="344" t="str">
        <f t="shared" si="1"/>
        <v>Saturday</v>
      </c>
      <c r="E228" s="344"/>
      <c r="F228" s="370"/>
      <c r="G228" s="370"/>
      <c r="H228" s="357">
        <f t="shared" si="2"/>
        <v>0</v>
      </c>
      <c r="I228" s="346">
        <f t="shared" si="3"/>
        <v>0</v>
      </c>
      <c r="J228" s="312"/>
    </row>
    <row r="229">
      <c r="A229" s="344">
        <v>672.66</v>
      </c>
      <c r="B229" s="344">
        <v>60.0</v>
      </c>
      <c r="C229" s="369"/>
      <c r="D229" s="344" t="str">
        <f t="shared" si="1"/>
        <v>Saturday</v>
      </c>
      <c r="E229" s="344"/>
      <c r="F229" s="370"/>
      <c r="G229" s="370"/>
      <c r="H229" s="357">
        <f t="shared" si="2"/>
        <v>0</v>
      </c>
      <c r="I229" s="346">
        <f t="shared" si="3"/>
        <v>0</v>
      </c>
      <c r="J229" s="312"/>
    </row>
    <row r="230">
      <c r="A230" s="344">
        <v>672.66</v>
      </c>
      <c r="B230" s="344">
        <v>60.0</v>
      </c>
      <c r="C230" s="369"/>
      <c r="D230" s="344" t="str">
        <f t="shared" si="1"/>
        <v>Saturday</v>
      </c>
      <c r="E230" s="344"/>
      <c r="F230" s="370"/>
      <c r="G230" s="370"/>
      <c r="H230" s="357">
        <f t="shared" si="2"/>
        <v>0</v>
      </c>
      <c r="I230" s="346">
        <f t="shared" si="3"/>
        <v>0</v>
      </c>
      <c r="J230" s="312"/>
    </row>
    <row r="231">
      <c r="A231" s="344">
        <v>672.66</v>
      </c>
      <c r="B231" s="344">
        <v>60.0</v>
      </c>
      <c r="C231" s="369"/>
      <c r="D231" s="344" t="str">
        <f t="shared" si="1"/>
        <v>Saturday</v>
      </c>
      <c r="E231" s="344"/>
      <c r="F231" s="370"/>
      <c r="G231" s="370"/>
      <c r="H231" s="357">
        <f t="shared" si="2"/>
        <v>0</v>
      </c>
      <c r="I231" s="346">
        <f t="shared" si="3"/>
        <v>0</v>
      </c>
      <c r="J231" s="312"/>
    </row>
    <row r="232">
      <c r="A232" s="344">
        <v>672.66</v>
      </c>
      <c r="B232" s="344">
        <v>60.0</v>
      </c>
      <c r="C232" s="369"/>
      <c r="D232" s="344" t="str">
        <f t="shared" si="1"/>
        <v>Saturday</v>
      </c>
      <c r="E232" s="344"/>
      <c r="F232" s="370"/>
      <c r="G232" s="370"/>
      <c r="H232" s="357">
        <f t="shared" si="2"/>
        <v>0</v>
      </c>
      <c r="I232" s="346">
        <f t="shared" si="3"/>
        <v>0</v>
      </c>
      <c r="J232" s="312"/>
    </row>
    <row r="233">
      <c r="A233" s="344">
        <v>672.66</v>
      </c>
      <c r="B233" s="344">
        <v>60.0</v>
      </c>
      <c r="C233" s="369"/>
      <c r="D233" s="344" t="str">
        <f t="shared" si="1"/>
        <v>Saturday</v>
      </c>
      <c r="E233" s="344"/>
      <c r="F233" s="370"/>
      <c r="G233" s="370"/>
      <c r="H233" s="357">
        <f t="shared" si="2"/>
        <v>0</v>
      </c>
      <c r="I233" s="346">
        <f t="shared" si="3"/>
        <v>0</v>
      </c>
      <c r="J233" s="312"/>
    </row>
    <row r="234">
      <c r="A234" s="344">
        <v>672.66</v>
      </c>
      <c r="B234" s="344">
        <v>60.0</v>
      </c>
      <c r="C234" s="369"/>
      <c r="D234" s="344" t="str">
        <f t="shared" si="1"/>
        <v>Saturday</v>
      </c>
      <c r="E234" s="344"/>
      <c r="F234" s="370"/>
      <c r="G234" s="370"/>
      <c r="H234" s="357">
        <f t="shared" si="2"/>
        <v>0</v>
      </c>
      <c r="I234" s="346">
        <f t="shared" si="3"/>
        <v>0</v>
      </c>
      <c r="J234" s="312"/>
    </row>
    <row r="235">
      <c r="A235" s="344">
        <v>672.66</v>
      </c>
      <c r="B235" s="344">
        <v>60.0</v>
      </c>
      <c r="C235" s="369"/>
      <c r="D235" s="344" t="str">
        <f t="shared" si="1"/>
        <v>Saturday</v>
      </c>
      <c r="E235" s="344"/>
      <c r="F235" s="370"/>
      <c r="G235" s="370"/>
      <c r="H235" s="357">
        <f t="shared" si="2"/>
        <v>0</v>
      </c>
      <c r="I235" s="346">
        <f t="shared" si="3"/>
        <v>0</v>
      </c>
      <c r="J235" s="312"/>
    </row>
    <row r="236">
      <c r="A236" s="344">
        <v>672.66</v>
      </c>
      <c r="B236" s="344">
        <v>60.0</v>
      </c>
      <c r="C236" s="369"/>
      <c r="D236" s="344" t="str">
        <f t="shared" si="1"/>
        <v>Saturday</v>
      </c>
      <c r="E236" s="344"/>
      <c r="F236" s="370"/>
      <c r="G236" s="370"/>
      <c r="H236" s="357">
        <f t="shared" si="2"/>
        <v>0</v>
      </c>
      <c r="I236" s="346">
        <f t="shared" si="3"/>
        <v>0</v>
      </c>
      <c r="J236" s="312"/>
    </row>
    <row r="237">
      <c r="A237" s="344">
        <v>672.66</v>
      </c>
      <c r="B237" s="344">
        <v>60.0</v>
      </c>
      <c r="C237" s="369"/>
      <c r="D237" s="344" t="str">
        <f t="shared" si="1"/>
        <v>Saturday</v>
      </c>
      <c r="E237" s="344"/>
      <c r="F237" s="370"/>
      <c r="G237" s="370"/>
      <c r="H237" s="357">
        <f t="shared" si="2"/>
        <v>0</v>
      </c>
      <c r="I237" s="346">
        <f t="shared" si="3"/>
        <v>0</v>
      </c>
      <c r="J237" s="312"/>
    </row>
    <row r="238">
      <c r="A238" s="344">
        <v>672.66</v>
      </c>
      <c r="B238" s="344">
        <v>60.0</v>
      </c>
      <c r="C238" s="369"/>
      <c r="D238" s="344" t="str">
        <f t="shared" si="1"/>
        <v>Saturday</v>
      </c>
      <c r="E238" s="344"/>
      <c r="F238" s="370"/>
      <c r="G238" s="370"/>
      <c r="H238" s="357">
        <f t="shared" si="2"/>
        <v>0</v>
      </c>
      <c r="I238" s="346">
        <f t="shared" si="3"/>
        <v>0</v>
      </c>
      <c r="J238" s="312"/>
    </row>
    <row r="239">
      <c r="A239" s="344">
        <v>672.66</v>
      </c>
      <c r="B239" s="344">
        <v>60.0</v>
      </c>
      <c r="C239" s="369"/>
      <c r="D239" s="344" t="str">
        <f t="shared" si="1"/>
        <v>Saturday</v>
      </c>
      <c r="E239" s="344"/>
      <c r="F239" s="370"/>
      <c r="G239" s="370"/>
      <c r="H239" s="357">
        <f t="shared" si="2"/>
        <v>0</v>
      </c>
      <c r="I239" s="346">
        <f t="shared" si="3"/>
        <v>0</v>
      </c>
      <c r="J239" s="312"/>
    </row>
    <row r="240">
      <c r="A240" s="344">
        <v>672.66</v>
      </c>
      <c r="B240" s="344">
        <v>60.0</v>
      </c>
      <c r="C240" s="369"/>
      <c r="D240" s="344" t="str">
        <f t="shared" si="1"/>
        <v>Saturday</v>
      </c>
      <c r="E240" s="344"/>
      <c r="F240" s="370"/>
      <c r="G240" s="370"/>
      <c r="H240" s="357">
        <f t="shared" si="2"/>
        <v>0</v>
      </c>
      <c r="I240" s="346">
        <f t="shared" si="3"/>
        <v>0</v>
      </c>
      <c r="J240" s="312"/>
    </row>
    <row r="241">
      <c r="A241" s="344">
        <v>672.66</v>
      </c>
      <c r="B241" s="344">
        <v>60.0</v>
      </c>
      <c r="C241" s="369"/>
      <c r="D241" s="344" t="str">
        <f t="shared" si="1"/>
        <v>Saturday</v>
      </c>
      <c r="E241" s="344"/>
      <c r="F241" s="370"/>
      <c r="G241" s="370"/>
      <c r="H241" s="357">
        <f t="shared" si="2"/>
        <v>0</v>
      </c>
      <c r="I241" s="346">
        <f t="shared" si="3"/>
        <v>0</v>
      </c>
      <c r="J241" s="312"/>
    </row>
    <row r="242">
      <c r="A242" s="344">
        <v>672.66</v>
      </c>
      <c r="B242" s="344">
        <v>60.0</v>
      </c>
      <c r="C242" s="369"/>
      <c r="D242" s="344" t="str">
        <f t="shared" si="1"/>
        <v>Saturday</v>
      </c>
      <c r="E242" s="344"/>
      <c r="F242" s="370"/>
      <c r="G242" s="370"/>
      <c r="H242" s="357">
        <f t="shared" si="2"/>
        <v>0</v>
      </c>
      <c r="I242" s="346">
        <f t="shared" si="3"/>
        <v>0</v>
      </c>
      <c r="J242" s="312"/>
    </row>
    <row r="243">
      <c r="A243" s="344">
        <v>672.66</v>
      </c>
      <c r="B243" s="344">
        <v>60.0</v>
      </c>
      <c r="C243" s="369"/>
      <c r="D243" s="344" t="str">
        <f t="shared" si="1"/>
        <v>Saturday</v>
      </c>
      <c r="E243" s="344"/>
      <c r="F243" s="370"/>
      <c r="G243" s="370"/>
      <c r="H243" s="357">
        <f t="shared" si="2"/>
        <v>0</v>
      </c>
      <c r="I243" s="346">
        <f t="shared" si="3"/>
        <v>0</v>
      </c>
      <c r="J243" s="312"/>
    </row>
    <row r="244">
      <c r="A244" s="344">
        <v>672.66</v>
      </c>
      <c r="B244" s="344">
        <v>60.0</v>
      </c>
      <c r="C244" s="369"/>
      <c r="D244" s="344" t="str">
        <f t="shared" si="1"/>
        <v>Saturday</v>
      </c>
      <c r="E244" s="344"/>
      <c r="F244" s="370"/>
      <c r="G244" s="370"/>
      <c r="H244" s="357">
        <f t="shared" si="2"/>
        <v>0</v>
      </c>
      <c r="I244" s="346">
        <f t="shared" si="3"/>
        <v>0</v>
      </c>
      <c r="J244" s="312"/>
    </row>
    <row r="245">
      <c r="A245" s="344">
        <v>672.66</v>
      </c>
      <c r="B245" s="344">
        <v>60.0</v>
      </c>
      <c r="C245" s="369"/>
      <c r="D245" s="344" t="str">
        <f t="shared" si="1"/>
        <v>Saturday</v>
      </c>
      <c r="E245" s="344"/>
      <c r="F245" s="370"/>
      <c r="G245" s="370"/>
      <c r="H245" s="357">
        <f t="shared" si="2"/>
        <v>0</v>
      </c>
      <c r="I245" s="346">
        <f t="shared" si="3"/>
        <v>0</v>
      </c>
      <c r="J245" s="312"/>
    </row>
    <row r="246">
      <c r="A246" s="344">
        <v>672.66</v>
      </c>
      <c r="B246" s="344">
        <v>60.0</v>
      </c>
      <c r="C246" s="369"/>
      <c r="D246" s="344" t="str">
        <f t="shared" si="1"/>
        <v>Saturday</v>
      </c>
      <c r="E246" s="344"/>
      <c r="F246" s="370"/>
      <c r="G246" s="370"/>
      <c r="H246" s="357">
        <f t="shared" si="2"/>
        <v>0</v>
      </c>
      <c r="I246" s="346">
        <f t="shared" si="3"/>
        <v>0</v>
      </c>
      <c r="J246" s="312"/>
    </row>
    <row r="247">
      <c r="A247" s="344">
        <v>672.66</v>
      </c>
      <c r="B247" s="344">
        <v>60.0</v>
      </c>
      <c r="C247" s="369"/>
      <c r="D247" s="344" t="str">
        <f t="shared" si="1"/>
        <v>Saturday</v>
      </c>
      <c r="E247" s="344"/>
      <c r="F247" s="370"/>
      <c r="G247" s="370"/>
      <c r="H247" s="357">
        <f t="shared" si="2"/>
        <v>0</v>
      </c>
      <c r="I247" s="346">
        <f t="shared" si="3"/>
        <v>0</v>
      </c>
      <c r="J247" s="312"/>
    </row>
    <row r="248">
      <c r="A248" s="344">
        <v>672.66</v>
      </c>
      <c r="B248" s="344">
        <v>60.0</v>
      </c>
      <c r="C248" s="369"/>
      <c r="D248" s="344" t="str">
        <f t="shared" si="1"/>
        <v>Saturday</v>
      </c>
      <c r="E248" s="344"/>
      <c r="F248" s="370"/>
      <c r="G248" s="370"/>
      <c r="H248" s="357">
        <f t="shared" si="2"/>
        <v>0</v>
      </c>
      <c r="I248" s="346">
        <f t="shared" si="3"/>
        <v>0</v>
      </c>
      <c r="J248" s="312"/>
    </row>
    <row r="249">
      <c r="A249" s="344">
        <v>672.66</v>
      </c>
      <c r="B249" s="344">
        <v>60.0</v>
      </c>
      <c r="C249" s="369"/>
      <c r="D249" s="344" t="str">
        <f t="shared" si="1"/>
        <v>Saturday</v>
      </c>
      <c r="E249" s="344"/>
      <c r="F249" s="370"/>
      <c r="G249" s="370"/>
      <c r="H249" s="357">
        <f t="shared" si="2"/>
        <v>0</v>
      </c>
      <c r="I249" s="346">
        <f t="shared" si="3"/>
        <v>0</v>
      </c>
      <c r="J249" s="312"/>
    </row>
    <row r="250">
      <c r="A250" s="344">
        <v>672.66</v>
      </c>
      <c r="B250" s="344">
        <v>60.0</v>
      </c>
      <c r="C250" s="369"/>
      <c r="D250" s="344" t="str">
        <f t="shared" si="1"/>
        <v>Saturday</v>
      </c>
      <c r="E250" s="344"/>
      <c r="F250" s="370"/>
      <c r="G250" s="370"/>
      <c r="H250" s="357">
        <f t="shared" si="2"/>
        <v>0</v>
      </c>
      <c r="I250" s="346">
        <f t="shared" si="3"/>
        <v>0</v>
      </c>
      <c r="J250" s="312"/>
    </row>
    <row r="251">
      <c r="A251" s="344">
        <v>672.66</v>
      </c>
      <c r="B251" s="344">
        <v>60.0</v>
      </c>
      <c r="C251" s="369"/>
      <c r="D251" s="344" t="str">
        <f t="shared" si="1"/>
        <v>Saturday</v>
      </c>
      <c r="E251" s="344"/>
      <c r="F251" s="370"/>
      <c r="G251" s="370"/>
      <c r="H251" s="357">
        <f t="shared" si="2"/>
        <v>0</v>
      </c>
      <c r="I251" s="346">
        <f t="shared" si="3"/>
        <v>0</v>
      </c>
      <c r="J251" s="312"/>
    </row>
    <row r="252">
      <c r="A252" s="344">
        <v>672.66</v>
      </c>
      <c r="B252" s="344">
        <v>60.0</v>
      </c>
      <c r="C252" s="369"/>
      <c r="D252" s="344" t="str">
        <f t="shared" si="1"/>
        <v>Saturday</v>
      </c>
      <c r="E252" s="344"/>
      <c r="F252" s="370"/>
      <c r="G252" s="370"/>
      <c r="H252" s="357">
        <f t="shared" si="2"/>
        <v>0</v>
      </c>
      <c r="I252" s="346">
        <f t="shared" si="3"/>
        <v>0</v>
      </c>
      <c r="J252" s="312"/>
    </row>
    <row r="253">
      <c r="A253" s="344">
        <v>672.66</v>
      </c>
      <c r="B253" s="344">
        <v>60.0</v>
      </c>
      <c r="C253" s="369"/>
      <c r="D253" s="344" t="str">
        <f t="shared" si="1"/>
        <v>Saturday</v>
      </c>
      <c r="E253" s="344"/>
      <c r="F253" s="370"/>
      <c r="G253" s="370"/>
      <c r="H253" s="357">
        <f t="shared" si="2"/>
        <v>0</v>
      </c>
      <c r="I253" s="346">
        <f t="shared" si="3"/>
        <v>0</v>
      </c>
      <c r="J253" s="312"/>
    </row>
    <row r="254">
      <c r="A254" s="344">
        <v>672.66</v>
      </c>
      <c r="B254" s="344">
        <v>60.0</v>
      </c>
      <c r="C254" s="369"/>
      <c r="D254" s="344" t="str">
        <f t="shared" si="1"/>
        <v>Saturday</v>
      </c>
      <c r="E254" s="344"/>
      <c r="F254" s="370"/>
      <c r="G254" s="370"/>
      <c r="H254" s="357">
        <f t="shared" si="2"/>
        <v>0</v>
      </c>
      <c r="I254" s="346">
        <f t="shared" si="3"/>
        <v>0</v>
      </c>
      <c r="J254" s="312"/>
    </row>
    <row r="255">
      <c r="A255" s="344">
        <v>672.66</v>
      </c>
      <c r="B255" s="344">
        <v>60.0</v>
      </c>
      <c r="C255" s="369"/>
      <c r="D255" s="344" t="str">
        <f t="shared" si="1"/>
        <v>Saturday</v>
      </c>
      <c r="E255" s="344"/>
      <c r="F255" s="370"/>
      <c r="G255" s="370"/>
      <c r="H255" s="357">
        <f t="shared" si="2"/>
        <v>0</v>
      </c>
      <c r="I255" s="346">
        <f t="shared" si="3"/>
        <v>0</v>
      </c>
      <c r="J255" s="312"/>
    </row>
    <row r="256">
      <c r="A256" s="344">
        <v>672.66</v>
      </c>
      <c r="B256" s="344">
        <v>60.0</v>
      </c>
      <c r="C256" s="369"/>
      <c r="D256" s="344" t="str">
        <f t="shared" si="1"/>
        <v>Saturday</v>
      </c>
      <c r="E256" s="344"/>
      <c r="F256" s="370"/>
      <c r="G256" s="370"/>
      <c r="H256" s="357">
        <f t="shared" si="2"/>
        <v>0</v>
      </c>
      <c r="I256" s="346">
        <f t="shared" si="3"/>
        <v>0</v>
      </c>
      <c r="J256" s="312"/>
    </row>
    <row r="257">
      <c r="A257" s="344">
        <v>672.66</v>
      </c>
      <c r="B257" s="344">
        <v>60.0</v>
      </c>
      <c r="C257" s="369"/>
      <c r="D257" s="344" t="str">
        <f t="shared" si="1"/>
        <v>Saturday</v>
      </c>
      <c r="E257" s="344"/>
      <c r="F257" s="370"/>
      <c r="G257" s="370"/>
      <c r="H257" s="357">
        <f t="shared" si="2"/>
        <v>0</v>
      </c>
      <c r="I257" s="346">
        <f t="shared" si="3"/>
        <v>0</v>
      </c>
      <c r="J257" s="312"/>
    </row>
    <row r="258">
      <c r="A258" s="344">
        <v>672.66</v>
      </c>
      <c r="B258" s="344">
        <v>60.0</v>
      </c>
      <c r="C258" s="369"/>
      <c r="D258" s="344" t="str">
        <f t="shared" si="1"/>
        <v>Saturday</v>
      </c>
      <c r="E258" s="344"/>
      <c r="F258" s="370"/>
      <c r="G258" s="370"/>
      <c r="H258" s="357">
        <f t="shared" si="2"/>
        <v>0</v>
      </c>
      <c r="I258" s="346">
        <f t="shared" si="3"/>
        <v>0</v>
      </c>
      <c r="J258" s="312"/>
    </row>
    <row r="259">
      <c r="A259" s="344">
        <v>672.66</v>
      </c>
      <c r="B259" s="344">
        <v>60.0</v>
      </c>
      <c r="C259" s="369"/>
      <c r="D259" s="344" t="str">
        <f t="shared" si="1"/>
        <v>Saturday</v>
      </c>
      <c r="E259" s="344"/>
      <c r="F259" s="370"/>
      <c r="G259" s="370"/>
      <c r="H259" s="357">
        <f t="shared" si="2"/>
        <v>0</v>
      </c>
      <c r="I259" s="346">
        <f t="shared" si="3"/>
        <v>0</v>
      </c>
      <c r="J259" s="312"/>
    </row>
    <row r="260">
      <c r="A260" s="344">
        <v>672.66</v>
      </c>
      <c r="B260" s="344">
        <v>60.0</v>
      </c>
      <c r="C260" s="369"/>
      <c r="D260" s="344" t="str">
        <f t="shared" si="1"/>
        <v>Saturday</v>
      </c>
      <c r="E260" s="344"/>
      <c r="F260" s="370"/>
      <c r="G260" s="370"/>
      <c r="H260" s="357">
        <f t="shared" si="2"/>
        <v>0</v>
      </c>
      <c r="I260" s="346">
        <f t="shared" si="3"/>
        <v>0</v>
      </c>
      <c r="J260" s="312"/>
    </row>
    <row r="261">
      <c r="A261" s="344">
        <v>672.66</v>
      </c>
      <c r="B261" s="344">
        <v>60.0</v>
      </c>
      <c r="C261" s="369"/>
      <c r="D261" s="344" t="str">
        <f t="shared" si="1"/>
        <v>Saturday</v>
      </c>
      <c r="E261" s="344"/>
      <c r="F261" s="370"/>
      <c r="G261" s="370"/>
      <c r="H261" s="357">
        <f t="shared" si="2"/>
        <v>0</v>
      </c>
      <c r="I261" s="346">
        <f t="shared" si="3"/>
        <v>0</v>
      </c>
      <c r="J261" s="312"/>
    </row>
    <row r="262">
      <c r="A262" s="344">
        <v>672.66</v>
      </c>
      <c r="B262" s="344">
        <v>60.0</v>
      </c>
      <c r="C262" s="369"/>
      <c r="D262" s="344" t="str">
        <f t="shared" si="1"/>
        <v>Saturday</v>
      </c>
      <c r="E262" s="344"/>
      <c r="F262" s="370"/>
      <c r="G262" s="370"/>
      <c r="H262" s="357">
        <f t="shared" si="2"/>
        <v>0</v>
      </c>
      <c r="I262" s="346">
        <f t="shared" si="3"/>
        <v>0</v>
      </c>
      <c r="J262" s="312"/>
    </row>
    <row r="263">
      <c r="A263" s="344">
        <v>672.66</v>
      </c>
      <c r="B263" s="344">
        <v>60.0</v>
      </c>
      <c r="C263" s="369"/>
      <c r="D263" s="344" t="str">
        <f t="shared" si="1"/>
        <v>Saturday</v>
      </c>
      <c r="E263" s="344"/>
      <c r="F263" s="370"/>
      <c r="G263" s="370"/>
      <c r="H263" s="357">
        <f t="shared" si="2"/>
        <v>0</v>
      </c>
      <c r="I263" s="346">
        <f t="shared" si="3"/>
        <v>0</v>
      </c>
      <c r="J263" s="312"/>
    </row>
    <row r="264">
      <c r="A264" s="344">
        <v>672.66</v>
      </c>
      <c r="B264" s="344">
        <v>60.0</v>
      </c>
      <c r="C264" s="369"/>
      <c r="D264" s="344" t="str">
        <f t="shared" si="1"/>
        <v>Saturday</v>
      </c>
      <c r="E264" s="344"/>
      <c r="F264" s="370"/>
      <c r="G264" s="370"/>
      <c r="H264" s="357">
        <f t="shared" si="2"/>
        <v>0</v>
      </c>
      <c r="I264" s="346">
        <f t="shared" si="3"/>
        <v>0</v>
      </c>
      <c r="J264" s="312"/>
    </row>
    <row r="265">
      <c r="A265" s="344">
        <v>672.66</v>
      </c>
      <c r="B265" s="344">
        <v>60.0</v>
      </c>
      <c r="C265" s="369"/>
      <c r="D265" s="344" t="str">
        <f t="shared" si="1"/>
        <v>Saturday</v>
      </c>
      <c r="E265" s="344"/>
      <c r="F265" s="370"/>
      <c r="G265" s="370"/>
      <c r="H265" s="357">
        <f t="shared" si="2"/>
        <v>0</v>
      </c>
      <c r="I265" s="346">
        <f t="shared" si="3"/>
        <v>0</v>
      </c>
      <c r="J265" s="312"/>
    </row>
    <row r="266">
      <c r="A266" s="344">
        <v>672.66</v>
      </c>
      <c r="B266" s="344">
        <v>60.0</v>
      </c>
      <c r="C266" s="369"/>
      <c r="D266" s="344" t="str">
        <f t="shared" si="1"/>
        <v>Saturday</v>
      </c>
      <c r="E266" s="344"/>
      <c r="F266" s="370"/>
      <c r="G266" s="370"/>
      <c r="H266" s="357">
        <f t="shared" si="2"/>
        <v>0</v>
      </c>
      <c r="I266" s="346">
        <f t="shared" si="3"/>
        <v>0</v>
      </c>
      <c r="J266" s="312"/>
    </row>
    <row r="267">
      <c r="A267" s="344">
        <v>672.66</v>
      </c>
      <c r="B267" s="344">
        <v>60.0</v>
      </c>
      <c r="C267" s="369"/>
      <c r="D267" s="344" t="str">
        <f t="shared" si="1"/>
        <v>Saturday</v>
      </c>
      <c r="E267" s="344"/>
      <c r="F267" s="370"/>
      <c r="G267" s="370"/>
      <c r="H267" s="357">
        <f t="shared" si="2"/>
        <v>0</v>
      </c>
      <c r="I267" s="346">
        <f t="shared" si="3"/>
        <v>0</v>
      </c>
      <c r="J267" s="312"/>
    </row>
    <row r="268">
      <c r="A268" s="344">
        <v>672.66</v>
      </c>
      <c r="B268" s="344">
        <v>60.0</v>
      </c>
      <c r="C268" s="369"/>
      <c r="D268" s="344" t="str">
        <f t="shared" si="1"/>
        <v>Saturday</v>
      </c>
      <c r="E268" s="344"/>
      <c r="F268" s="370"/>
      <c r="G268" s="370"/>
      <c r="H268" s="357">
        <f t="shared" si="2"/>
        <v>0</v>
      </c>
      <c r="I268" s="346">
        <f t="shared" si="3"/>
        <v>0</v>
      </c>
      <c r="J268" s="312"/>
    </row>
    <row r="269">
      <c r="A269" s="344">
        <v>672.66</v>
      </c>
      <c r="B269" s="344">
        <v>60.0</v>
      </c>
      <c r="C269" s="369"/>
      <c r="D269" s="344" t="str">
        <f t="shared" si="1"/>
        <v>Saturday</v>
      </c>
      <c r="E269" s="344"/>
      <c r="F269" s="370"/>
      <c r="G269" s="370"/>
      <c r="H269" s="357">
        <f t="shared" si="2"/>
        <v>0</v>
      </c>
      <c r="I269" s="346">
        <f t="shared" si="3"/>
        <v>0</v>
      </c>
      <c r="J269" s="312"/>
    </row>
    <row r="270">
      <c r="A270" s="344">
        <v>672.66</v>
      </c>
      <c r="B270" s="344">
        <v>60.0</v>
      </c>
      <c r="C270" s="369"/>
      <c r="D270" s="344" t="str">
        <f t="shared" si="1"/>
        <v>Saturday</v>
      </c>
      <c r="E270" s="344"/>
      <c r="F270" s="370"/>
      <c r="G270" s="370"/>
      <c r="H270" s="357">
        <f t="shared" si="2"/>
        <v>0</v>
      </c>
      <c r="I270" s="346">
        <f t="shared" si="3"/>
        <v>0</v>
      </c>
      <c r="J270" s="312"/>
    </row>
    <row r="271">
      <c r="A271" s="344">
        <v>672.66</v>
      </c>
      <c r="B271" s="344">
        <v>60.0</v>
      </c>
      <c r="C271" s="369"/>
      <c r="D271" s="344" t="str">
        <f t="shared" si="1"/>
        <v>Saturday</v>
      </c>
      <c r="E271" s="344"/>
      <c r="F271" s="370"/>
      <c r="G271" s="370"/>
      <c r="H271" s="357">
        <f t="shared" si="2"/>
        <v>0</v>
      </c>
      <c r="I271" s="346">
        <f t="shared" si="3"/>
        <v>0</v>
      </c>
      <c r="J271" s="312"/>
    </row>
    <row r="272">
      <c r="A272" s="344">
        <v>672.66</v>
      </c>
      <c r="B272" s="344">
        <v>60.0</v>
      </c>
      <c r="C272" s="369"/>
      <c r="D272" s="344" t="str">
        <f t="shared" si="1"/>
        <v>Saturday</v>
      </c>
      <c r="E272" s="344"/>
      <c r="F272" s="370"/>
      <c r="G272" s="370"/>
      <c r="H272" s="357">
        <f t="shared" si="2"/>
        <v>0</v>
      </c>
      <c r="I272" s="346">
        <f t="shared" si="3"/>
        <v>0</v>
      </c>
      <c r="J272" s="312"/>
    </row>
    <row r="273">
      <c r="A273" s="344">
        <v>672.66</v>
      </c>
      <c r="B273" s="344">
        <v>60.0</v>
      </c>
      <c r="C273" s="369"/>
      <c r="D273" s="344" t="str">
        <f t="shared" si="1"/>
        <v>Saturday</v>
      </c>
      <c r="E273" s="344"/>
      <c r="F273" s="370"/>
      <c r="G273" s="370"/>
      <c r="H273" s="357">
        <f t="shared" si="2"/>
        <v>0</v>
      </c>
      <c r="I273" s="346">
        <f t="shared" si="3"/>
        <v>0</v>
      </c>
      <c r="J273" s="312"/>
    </row>
    <row r="274">
      <c r="A274" s="344">
        <v>672.66</v>
      </c>
      <c r="B274" s="344">
        <v>60.0</v>
      </c>
      <c r="C274" s="369"/>
      <c r="D274" s="344" t="str">
        <f t="shared" si="1"/>
        <v>Saturday</v>
      </c>
      <c r="E274" s="344"/>
      <c r="F274" s="370"/>
      <c r="G274" s="370"/>
      <c r="H274" s="357">
        <f t="shared" si="2"/>
        <v>0</v>
      </c>
      <c r="I274" s="346">
        <f t="shared" si="3"/>
        <v>0</v>
      </c>
      <c r="J274" s="312"/>
    </row>
    <row r="275">
      <c r="A275" s="344">
        <v>672.66</v>
      </c>
      <c r="B275" s="344">
        <v>60.0</v>
      </c>
      <c r="C275" s="369"/>
      <c r="D275" s="344" t="str">
        <f t="shared" si="1"/>
        <v>Saturday</v>
      </c>
      <c r="E275" s="344"/>
      <c r="F275" s="370"/>
      <c r="G275" s="370"/>
      <c r="H275" s="357">
        <f t="shared" si="2"/>
        <v>0</v>
      </c>
      <c r="I275" s="346">
        <f t="shared" si="3"/>
        <v>0</v>
      </c>
      <c r="J275" s="312"/>
    </row>
    <row r="276">
      <c r="A276" s="344">
        <v>672.66</v>
      </c>
      <c r="B276" s="344">
        <v>60.0</v>
      </c>
      <c r="C276" s="369"/>
      <c r="D276" s="344" t="str">
        <f t="shared" si="1"/>
        <v>Saturday</v>
      </c>
      <c r="E276" s="344"/>
      <c r="F276" s="370"/>
      <c r="G276" s="370"/>
      <c r="H276" s="357">
        <f t="shared" si="2"/>
        <v>0</v>
      </c>
      <c r="I276" s="346">
        <f t="shared" si="3"/>
        <v>0</v>
      </c>
      <c r="J276" s="312"/>
    </row>
    <row r="277">
      <c r="A277" s="344">
        <v>672.66</v>
      </c>
      <c r="B277" s="344">
        <v>60.0</v>
      </c>
      <c r="C277" s="369"/>
      <c r="D277" s="344" t="str">
        <f t="shared" si="1"/>
        <v>Saturday</v>
      </c>
      <c r="E277" s="344"/>
      <c r="F277" s="370"/>
      <c r="G277" s="370"/>
      <c r="H277" s="357">
        <f t="shared" si="2"/>
        <v>0</v>
      </c>
      <c r="I277" s="346">
        <f t="shared" si="3"/>
        <v>0</v>
      </c>
      <c r="J277" s="312"/>
    </row>
    <row r="278">
      <c r="A278" s="344">
        <v>672.66</v>
      </c>
      <c r="B278" s="344">
        <v>60.0</v>
      </c>
      <c r="C278" s="369"/>
      <c r="D278" s="344" t="str">
        <f t="shared" si="1"/>
        <v>Saturday</v>
      </c>
      <c r="E278" s="344"/>
      <c r="F278" s="370"/>
      <c r="G278" s="370"/>
      <c r="H278" s="357">
        <f t="shared" si="2"/>
        <v>0</v>
      </c>
      <c r="I278" s="346">
        <f t="shared" si="3"/>
        <v>0</v>
      </c>
      <c r="J278" s="312"/>
    </row>
    <row r="279">
      <c r="A279" s="344">
        <v>672.66</v>
      </c>
      <c r="B279" s="344">
        <v>60.0</v>
      </c>
      <c r="C279" s="369"/>
      <c r="D279" s="344" t="str">
        <f t="shared" si="1"/>
        <v>Saturday</v>
      </c>
      <c r="E279" s="344"/>
      <c r="F279" s="370"/>
      <c r="G279" s="370"/>
      <c r="H279" s="357">
        <f t="shared" si="2"/>
        <v>0</v>
      </c>
      <c r="I279" s="346">
        <f t="shared" si="3"/>
        <v>0</v>
      </c>
      <c r="J279" s="312"/>
    </row>
    <row r="280">
      <c r="A280" s="344">
        <v>672.66</v>
      </c>
      <c r="B280" s="344">
        <v>60.0</v>
      </c>
      <c r="C280" s="369"/>
      <c r="D280" s="344" t="str">
        <f t="shared" si="1"/>
        <v>Saturday</v>
      </c>
      <c r="E280" s="344"/>
      <c r="F280" s="370"/>
      <c r="G280" s="370"/>
      <c r="H280" s="357">
        <f t="shared" si="2"/>
        <v>0</v>
      </c>
      <c r="I280" s="346">
        <f t="shared" si="3"/>
        <v>0</v>
      </c>
      <c r="J280" s="312"/>
    </row>
    <row r="281">
      <c r="A281" s="344">
        <v>672.66</v>
      </c>
      <c r="B281" s="344">
        <v>60.0</v>
      </c>
      <c r="C281" s="369"/>
      <c r="D281" s="344" t="str">
        <f t="shared" si="1"/>
        <v>Saturday</v>
      </c>
      <c r="E281" s="344"/>
      <c r="F281" s="370"/>
      <c r="G281" s="370"/>
      <c r="H281" s="357">
        <f t="shared" si="2"/>
        <v>0</v>
      </c>
      <c r="I281" s="346">
        <f t="shared" si="3"/>
        <v>0</v>
      </c>
      <c r="J281" s="312"/>
    </row>
    <row r="282">
      <c r="A282" s="344">
        <v>672.66</v>
      </c>
      <c r="B282" s="344">
        <v>60.0</v>
      </c>
      <c r="C282" s="369"/>
      <c r="D282" s="344" t="str">
        <f t="shared" si="1"/>
        <v>Saturday</v>
      </c>
      <c r="E282" s="344"/>
      <c r="F282" s="370"/>
      <c r="G282" s="370"/>
      <c r="H282" s="357">
        <f t="shared" si="2"/>
        <v>0</v>
      </c>
      <c r="I282" s="346">
        <f t="shared" si="3"/>
        <v>0</v>
      </c>
      <c r="J282" s="312"/>
    </row>
    <row r="283">
      <c r="A283" s="344">
        <v>672.66</v>
      </c>
      <c r="B283" s="344">
        <v>60.0</v>
      </c>
      <c r="C283" s="369"/>
      <c r="D283" s="344" t="str">
        <f t="shared" si="1"/>
        <v>Saturday</v>
      </c>
      <c r="E283" s="344"/>
      <c r="F283" s="370"/>
      <c r="G283" s="370"/>
      <c r="H283" s="357">
        <f t="shared" si="2"/>
        <v>0</v>
      </c>
      <c r="I283" s="346">
        <f t="shared" si="3"/>
        <v>0</v>
      </c>
      <c r="J283" s="312"/>
    </row>
    <row r="284">
      <c r="A284" s="344">
        <v>672.66</v>
      </c>
      <c r="B284" s="344">
        <v>60.0</v>
      </c>
      <c r="C284" s="369"/>
      <c r="D284" s="344" t="str">
        <f t="shared" si="1"/>
        <v>Saturday</v>
      </c>
      <c r="E284" s="344"/>
      <c r="F284" s="370"/>
      <c r="G284" s="370"/>
      <c r="H284" s="357">
        <f t="shared" si="2"/>
        <v>0</v>
      </c>
      <c r="I284" s="346">
        <f t="shared" si="3"/>
        <v>0</v>
      </c>
      <c r="J284" s="312"/>
    </row>
    <row r="285">
      <c r="A285" s="344">
        <v>672.66</v>
      </c>
      <c r="B285" s="344">
        <v>60.0</v>
      </c>
      <c r="C285" s="369"/>
      <c r="D285" s="344" t="str">
        <f t="shared" si="1"/>
        <v>Saturday</v>
      </c>
      <c r="E285" s="344"/>
      <c r="F285" s="370"/>
      <c r="G285" s="370"/>
      <c r="H285" s="357">
        <f t="shared" si="2"/>
        <v>0</v>
      </c>
      <c r="I285" s="346">
        <f t="shared" si="3"/>
        <v>0</v>
      </c>
      <c r="J285" s="312"/>
    </row>
    <row r="286">
      <c r="A286" s="344">
        <v>672.66</v>
      </c>
      <c r="B286" s="344">
        <v>60.0</v>
      </c>
      <c r="C286" s="369"/>
      <c r="D286" s="344" t="str">
        <f t="shared" si="1"/>
        <v>Saturday</v>
      </c>
      <c r="E286" s="344"/>
      <c r="F286" s="370"/>
      <c r="G286" s="370"/>
      <c r="H286" s="357">
        <f t="shared" si="2"/>
        <v>0</v>
      </c>
      <c r="I286" s="346">
        <f t="shared" si="3"/>
        <v>0</v>
      </c>
      <c r="J286" s="312"/>
    </row>
    <row r="287">
      <c r="A287" s="344">
        <v>672.66</v>
      </c>
      <c r="B287" s="344">
        <v>60.0</v>
      </c>
      <c r="C287" s="369"/>
      <c r="D287" s="344" t="str">
        <f t="shared" si="1"/>
        <v>Saturday</v>
      </c>
      <c r="E287" s="344"/>
      <c r="F287" s="370"/>
      <c r="G287" s="370"/>
      <c r="H287" s="357">
        <f t="shared" si="2"/>
        <v>0</v>
      </c>
      <c r="I287" s="346">
        <f t="shared" si="3"/>
        <v>0</v>
      </c>
      <c r="J287" s="312"/>
    </row>
    <row r="288">
      <c r="A288" s="344">
        <v>672.66</v>
      </c>
      <c r="B288" s="344">
        <v>60.0</v>
      </c>
      <c r="C288" s="369"/>
      <c r="D288" s="344" t="str">
        <f t="shared" si="1"/>
        <v>Saturday</v>
      </c>
      <c r="E288" s="344"/>
      <c r="F288" s="370"/>
      <c r="G288" s="370"/>
      <c r="H288" s="357">
        <f t="shared" si="2"/>
        <v>0</v>
      </c>
      <c r="I288" s="346">
        <f t="shared" si="3"/>
        <v>0</v>
      </c>
      <c r="J288" s="312"/>
    </row>
    <row r="289">
      <c r="A289" s="344">
        <v>672.66</v>
      </c>
      <c r="B289" s="344">
        <v>60.0</v>
      </c>
      <c r="C289" s="369"/>
      <c r="D289" s="344" t="str">
        <f t="shared" si="1"/>
        <v>Saturday</v>
      </c>
      <c r="E289" s="344"/>
      <c r="F289" s="370"/>
      <c r="G289" s="370"/>
      <c r="H289" s="357">
        <f t="shared" si="2"/>
        <v>0</v>
      </c>
      <c r="I289" s="346">
        <f t="shared" si="3"/>
        <v>0</v>
      </c>
      <c r="J289" s="312"/>
    </row>
    <row r="290">
      <c r="A290" s="344">
        <v>672.66</v>
      </c>
      <c r="B290" s="344">
        <v>60.0</v>
      </c>
      <c r="C290" s="369"/>
      <c r="D290" s="344" t="str">
        <f t="shared" si="1"/>
        <v>Saturday</v>
      </c>
      <c r="E290" s="344"/>
      <c r="F290" s="370"/>
      <c r="G290" s="370"/>
      <c r="H290" s="357">
        <f t="shared" si="2"/>
        <v>0</v>
      </c>
      <c r="I290" s="346">
        <f t="shared" si="3"/>
        <v>0</v>
      </c>
      <c r="J290" s="312"/>
    </row>
    <row r="291">
      <c r="A291" s="344">
        <v>672.66</v>
      </c>
      <c r="B291" s="344">
        <v>60.0</v>
      </c>
      <c r="C291" s="369"/>
      <c r="D291" s="344" t="str">
        <f t="shared" si="1"/>
        <v>Saturday</v>
      </c>
      <c r="E291" s="344"/>
      <c r="F291" s="370"/>
      <c r="G291" s="370"/>
      <c r="H291" s="357">
        <f t="shared" si="2"/>
        <v>0</v>
      </c>
      <c r="I291" s="346">
        <f t="shared" si="3"/>
        <v>0</v>
      </c>
      <c r="J291" s="312"/>
    </row>
    <row r="292">
      <c r="A292" s="344">
        <v>672.66</v>
      </c>
      <c r="B292" s="344">
        <v>60.0</v>
      </c>
      <c r="C292" s="369"/>
      <c r="D292" s="344" t="str">
        <f t="shared" si="1"/>
        <v>Saturday</v>
      </c>
      <c r="E292" s="344"/>
      <c r="F292" s="370"/>
      <c r="G292" s="370"/>
      <c r="H292" s="357">
        <f t="shared" si="2"/>
        <v>0</v>
      </c>
      <c r="I292" s="346">
        <f t="shared" si="3"/>
        <v>0</v>
      </c>
      <c r="J292" s="312"/>
    </row>
    <row r="293">
      <c r="A293" s="344">
        <v>672.66</v>
      </c>
      <c r="B293" s="344">
        <v>60.0</v>
      </c>
      <c r="C293" s="369"/>
      <c r="D293" s="344" t="str">
        <f t="shared" si="1"/>
        <v>Saturday</v>
      </c>
      <c r="E293" s="344"/>
      <c r="F293" s="370"/>
      <c r="G293" s="370"/>
      <c r="H293" s="357">
        <f t="shared" si="2"/>
        <v>0</v>
      </c>
      <c r="I293" s="346">
        <f t="shared" si="3"/>
        <v>0</v>
      </c>
      <c r="J293" s="312"/>
    </row>
    <row r="294">
      <c r="A294" s="344">
        <v>672.66</v>
      </c>
      <c r="B294" s="344">
        <v>60.0</v>
      </c>
      <c r="C294" s="369"/>
      <c r="D294" s="344" t="str">
        <f t="shared" si="1"/>
        <v>Saturday</v>
      </c>
      <c r="E294" s="344"/>
      <c r="F294" s="370"/>
      <c r="G294" s="370"/>
      <c r="H294" s="357">
        <f t="shared" si="2"/>
        <v>0</v>
      </c>
      <c r="I294" s="346">
        <f t="shared" si="3"/>
        <v>0</v>
      </c>
      <c r="J294" s="312"/>
    </row>
    <row r="295">
      <c r="A295" s="344">
        <v>672.66</v>
      </c>
      <c r="B295" s="344">
        <v>60.0</v>
      </c>
      <c r="C295" s="369"/>
      <c r="D295" s="344" t="str">
        <f t="shared" si="1"/>
        <v>Saturday</v>
      </c>
      <c r="E295" s="344"/>
      <c r="F295" s="370"/>
      <c r="G295" s="370"/>
      <c r="H295" s="357">
        <f t="shared" si="2"/>
        <v>0</v>
      </c>
      <c r="I295" s="346">
        <f t="shared" si="3"/>
        <v>0</v>
      </c>
      <c r="J295" s="312"/>
    </row>
    <row r="296">
      <c r="A296" s="344">
        <v>672.66</v>
      </c>
      <c r="B296" s="344">
        <v>60.0</v>
      </c>
      <c r="C296" s="369"/>
      <c r="D296" s="344" t="str">
        <f t="shared" si="1"/>
        <v>Saturday</v>
      </c>
      <c r="E296" s="344"/>
      <c r="F296" s="370"/>
      <c r="G296" s="370"/>
      <c r="H296" s="357">
        <f t="shared" si="2"/>
        <v>0</v>
      </c>
      <c r="I296" s="346">
        <f t="shared" si="3"/>
        <v>0</v>
      </c>
      <c r="J296" s="312"/>
    </row>
    <row r="297">
      <c r="A297" s="344">
        <v>672.66</v>
      </c>
      <c r="B297" s="344">
        <v>60.0</v>
      </c>
      <c r="C297" s="369"/>
      <c r="D297" s="344" t="str">
        <f t="shared" si="1"/>
        <v>Saturday</v>
      </c>
      <c r="E297" s="344"/>
      <c r="F297" s="370"/>
      <c r="G297" s="370"/>
      <c r="H297" s="357">
        <f t="shared" si="2"/>
        <v>0</v>
      </c>
      <c r="I297" s="346">
        <f t="shared" si="3"/>
        <v>0</v>
      </c>
      <c r="J297" s="312"/>
    </row>
    <row r="298">
      <c r="A298" s="344">
        <v>672.66</v>
      </c>
      <c r="B298" s="344">
        <v>60.0</v>
      </c>
      <c r="C298" s="369"/>
      <c r="D298" s="344" t="str">
        <f t="shared" si="1"/>
        <v>Saturday</v>
      </c>
      <c r="E298" s="344"/>
      <c r="F298" s="370"/>
      <c r="G298" s="370"/>
      <c r="H298" s="357">
        <f t="shared" si="2"/>
        <v>0</v>
      </c>
      <c r="I298" s="346">
        <f t="shared" si="3"/>
        <v>0</v>
      </c>
      <c r="J298" s="312"/>
    </row>
    <row r="299">
      <c r="A299" s="344">
        <v>672.66</v>
      </c>
      <c r="B299" s="344">
        <v>60.0</v>
      </c>
      <c r="C299" s="369"/>
      <c r="D299" s="344" t="str">
        <f t="shared" si="1"/>
        <v>Saturday</v>
      </c>
      <c r="E299" s="344"/>
      <c r="F299" s="370"/>
      <c r="G299" s="370"/>
      <c r="H299" s="357">
        <f t="shared" si="2"/>
        <v>0</v>
      </c>
      <c r="I299" s="346">
        <f t="shared" si="3"/>
        <v>0</v>
      </c>
      <c r="J299" s="312"/>
    </row>
    <row r="300">
      <c r="A300" s="344">
        <v>672.66</v>
      </c>
      <c r="B300" s="344">
        <v>60.0</v>
      </c>
      <c r="C300" s="369"/>
      <c r="D300" s="344" t="str">
        <f t="shared" si="1"/>
        <v>Saturday</v>
      </c>
      <c r="E300" s="344"/>
      <c r="F300" s="370"/>
      <c r="G300" s="370"/>
      <c r="H300" s="357">
        <f t="shared" si="2"/>
        <v>0</v>
      </c>
      <c r="I300" s="346">
        <f t="shared" si="3"/>
        <v>0</v>
      </c>
      <c r="J300" s="312"/>
    </row>
    <row r="301">
      <c r="A301" s="344">
        <v>672.66</v>
      </c>
      <c r="B301" s="344">
        <v>60.0</v>
      </c>
      <c r="C301" s="369"/>
      <c r="D301" s="344" t="str">
        <f t="shared" si="1"/>
        <v>Saturday</v>
      </c>
      <c r="E301" s="344"/>
      <c r="F301" s="370"/>
      <c r="G301" s="370"/>
      <c r="H301" s="357">
        <f t="shared" si="2"/>
        <v>0</v>
      </c>
      <c r="I301" s="346">
        <f t="shared" si="3"/>
        <v>0</v>
      </c>
      <c r="J301" s="312"/>
    </row>
    <row r="302">
      <c r="A302" s="344">
        <v>672.66</v>
      </c>
      <c r="B302" s="344">
        <v>60.0</v>
      </c>
      <c r="C302" s="369"/>
      <c r="D302" s="344" t="str">
        <f t="shared" si="1"/>
        <v>Saturday</v>
      </c>
      <c r="E302" s="344"/>
      <c r="F302" s="370"/>
      <c r="G302" s="370"/>
      <c r="H302" s="357">
        <f t="shared" si="2"/>
        <v>0</v>
      </c>
      <c r="I302" s="346">
        <f t="shared" si="3"/>
        <v>0</v>
      </c>
      <c r="J302" s="312"/>
    </row>
    <row r="303">
      <c r="A303" s="344">
        <v>672.66</v>
      </c>
      <c r="B303" s="344">
        <v>60.0</v>
      </c>
      <c r="C303" s="369"/>
      <c r="D303" s="344" t="str">
        <f t="shared" si="1"/>
        <v>Saturday</v>
      </c>
      <c r="E303" s="344"/>
      <c r="F303" s="370"/>
      <c r="G303" s="370"/>
      <c r="H303" s="357">
        <f t="shared" si="2"/>
        <v>0</v>
      </c>
      <c r="I303" s="346">
        <f t="shared" si="3"/>
        <v>0</v>
      </c>
      <c r="J303" s="312"/>
    </row>
    <row r="304">
      <c r="A304" s="344">
        <v>672.66</v>
      </c>
      <c r="B304" s="344">
        <v>60.0</v>
      </c>
      <c r="C304" s="369"/>
      <c r="D304" s="344" t="str">
        <f t="shared" si="1"/>
        <v>Saturday</v>
      </c>
      <c r="E304" s="344"/>
      <c r="F304" s="370"/>
      <c r="G304" s="370"/>
      <c r="H304" s="357">
        <f t="shared" si="2"/>
        <v>0</v>
      </c>
      <c r="I304" s="346">
        <f t="shared" si="3"/>
        <v>0</v>
      </c>
      <c r="J304" s="312"/>
    </row>
    <row r="305">
      <c r="A305" s="344">
        <v>672.66</v>
      </c>
      <c r="B305" s="344">
        <v>60.0</v>
      </c>
      <c r="C305" s="369"/>
      <c r="D305" s="344" t="str">
        <f t="shared" si="1"/>
        <v>Saturday</v>
      </c>
      <c r="E305" s="344"/>
      <c r="F305" s="370"/>
      <c r="G305" s="370"/>
      <c r="H305" s="357">
        <f t="shared" si="2"/>
        <v>0</v>
      </c>
      <c r="I305" s="346">
        <f t="shared" si="3"/>
        <v>0</v>
      </c>
      <c r="J305" s="312"/>
    </row>
    <row r="306">
      <c r="A306" s="344">
        <v>672.66</v>
      </c>
      <c r="B306" s="344">
        <v>60.0</v>
      </c>
      <c r="C306" s="369"/>
      <c r="D306" s="344" t="str">
        <f t="shared" si="1"/>
        <v>Saturday</v>
      </c>
      <c r="E306" s="344"/>
      <c r="F306" s="370"/>
      <c r="G306" s="370"/>
      <c r="H306" s="357">
        <f t="shared" si="2"/>
        <v>0</v>
      </c>
      <c r="I306" s="346">
        <f t="shared" si="3"/>
        <v>0</v>
      </c>
      <c r="J306" s="312"/>
    </row>
    <row r="307">
      <c r="A307" s="344">
        <v>672.66</v>
      </c>
      <c r="B307" s="344">
        <v>60.0</v>
      </c>
      <c r="C307" s="369"/>
      <c r="D307" s="344" t="str">
        <f t="shared" si="1"/>
        <v>Saturday</v>
      </c>
      <c r="E307" s="344"/>
      <c r="F307" s="370"/>
      <c r="G307" s="370"/>
      <c r="H307" s="357">
        <f t="shared" si="2"/>
        <v>0</v>
      </c>
      <c r="I307" s="346">
        <f t="shared" si="3"/>
        <v>0</v>
      </c>
      <c r="J307" s="312"/>
    </row>
    <row r="308">
      <c r="A308" s="344">
        <v>672.66</v>
      </c>
      <c r="B308" s="344">
        <v>60.0</v>
      </c>
      <c r="C308" s="369"/>
      <c r="D308" s="344" t="str">
        <f t="shared" si="1"/>
        <v>Saturday</v>
      </c>
      <c r="E308" s="344"/>
      <c r="F308" s="370"/>
      <c r="G308" s="370"/>
      <c r="H308" s="357">
        <f t="shared" si="2"/>
        <v>0</v>
      </c>
      <c r="I308" s="346">
        <f t="shared" si="3"/>
        <v>0</v>
      </c>
      <c r="J308" s="312"/>
    </row>
    <row r="309">
      <c r="A309" s="344">
        <v>672.66</v>
      </c>
      <c r="B309" s="344">
        <v>60.0</v>
      </c>
      <c r="C309" s="369"/>
      <c r="D309" s="344" t="str">
        <f t="shared" si="1"/>
        <v>Saturday</v>
      </c>
      <c r="E309" s="344"/>
      <c r="F309" s="370"/>
      <c r="G309" s="370"/>
      <c r="H309" s="357">
        <f t="shared" si="2"/>
        <v>0</v>
      </c>
      <c r="I309" s="346">
        <f t="shared" si="3"/>
        <v>0</v>
      </c>
      <c r="J309" s="312"/>
    </row>
    <row r="310">
      <c r="A310" s="344">
        <v>672.66</v>
      </c>
      <c r="B310" s="344">
        <v>60.0</v>
      </c>
      <c r="C310" s="369"/>
      <c r="D310" s="344" t="str">
        <f t="shared" si="1"/>
        <v>Saturday</v>
      </c>
      <c r="E310" s="344"/>
      <c r="F310" s="370"/>
      <c r="G310" s="370"/>
      <c r="H310" s="357">
        <f t="shared" si="2"/>
        <v>0</v>
      </c>
      <c r="I310" s="346">
        <f t="shared" si="3"/>
        <v>0</v>
      </c>
      <c r="J310" s="312"/>
    </row>
    <row r="311">
      <c r="A311" s="344">
        <v>672.66</v>
      </c>
      <c r="B311" s="344">
        <v>60.0</v>
      </c>
      <c r="C311" s="369"/>
      <c r="D311" s="344" t="str">
        <f t="shared" si="1"/>
        <v>Saturday</v>
      </c>
      <c r="E311" s="344"/>
      <c r="F311" s="370"/>
      <c r="G311" s="370"/>
      <c r="H311" s="357">
        <f t="shared" si="2"/>
        <v>0</v>
      </c>
      <c r="I311" s="346">
        <f t="shared" si="3"/>
        <v>0</v>
      </c>
      <c r="J311" s="312"/>
    </row>
    <row r="312">
      <c r="A312" s="344">
        <v>672.66</v>
      </c>
      <c r="B312" s="344">
        <v>60.0</v>
      </c>
      <c r="C312" s="369"/>
      <c r="D312" s="344" t="str">
        <f t="shared" si="1"/>
        <v>Saturday</v>
      </c>
      <c r="E312" s="344"/>
      <c r="F312" s="370"/>
      <c r="G312" s="370"/>
      <c r="H312" s="357">
        <f t="shared" si="2"/>
        <v>0</v>
      </c>
      <c r="I312" s="346">
        <f t="shared" si="3"/>
        <v>0</v>
      </c>
      <c r="J312" s="312"/>
    </row>
    <row r="313">
      <c r="A313" s="344">
        <v>672.66</v>
      </c>
      <c r="B313" s="344">
        <v>60.0</v>
      </c>
      <c r="C313" s="369"/>
      <c r="D313" s="344" t="str">
        <f t="shared" si="1"/>
        <v>Saturday</v>
      </c>
      <c r="E313" s="344"/>
      <c r="F313" s="370"/>
      <c r="G313" s="370"/>
      <c r="H313" s="357">
        <f t="shared" si="2"/>
        <v>0</v>
      </c>
      <c r="I313" s="346">
        <f t="shared" si="3"/>
        <v>0</v>
      </c>
      <c r="J313" s="312"/>
    </row>
    <row r="314">
      <c r="A314" s="344">
        <v>672.66</v>
      </c>
      <c r="B314" s="344">
        <v>60.0</v>
      </c>
      <c r="C314" s="369"/>
      <c r="D314" s="344" t="str">
        <f t="shared" si="1"/>
        <v>Saturday</v>
      </c>
      <c r="E314" s="344"/>
      <c r="F314" s="370"/>
      <c r="G314" s="370"/>
      <c r="H314" s="357">
        <f t="shared" si="2"/>
        <v>0</v>
      </c>
      <c r="I314" s="346">
        <f t="shared" si="3"/>
        <v>0</v>
      </c>
      <c r="J314" s="312"/>
    </row>
    <row r="315">
      <c r="A315" s="344">
        <v>672.66</v>
      </c>
      <c r="B315" s="344">
        <v>60.0</v>
      </c>
      <c r="C315" s="369"/>
      <c r="D315" s="344" t="str">
        <f t="shared" si="1"/>
        <v>Saturday</v>
      </c>
      <c r="E315" s="344"/>
      <c r="F315" s="370"/>
      <c r="G315" s="370"/>
      <c r="H315" s="357">
        <f t="shared" si="2"/>
        <v>0</v>
      </c>
      <c r="I315" s="346">
        <f t="shared" si="3"/>
        <v>0</v>
      </c>
      <c r="J315" s="312"/>
    </row>
    <row r="316">
      <c r="A316" s="344">
        <v>672.66</v>
      </c>
      <c r="B316" s="344">
        <v>60.0</v>
      </c>
      <c r="C316" s="369"/>
      <c r="D316" s="344" t="str">
        <f t="shared" si="1"/>
        <v>Saturday</v>
      </c>
      <c r="E316" s="344"/>
      <c r="F316" s="370"/>
      <c r="G316" s="370"/>
      <c r="H316" s="357">
        <f t="shared" si="2"/>
        <v>0</v>
      </c>
      <c r="I316" s="346">
        <f t="shared" si="3"/>
        <v>0</v>
      </c>
      <c r="J316" s="312"/>
    </row>
    <row r="317">
      <c r="A317" s="344">
        <v>672.66</v>
      </c>
      <c r="B317" s="344">
        <v>60.0</v>
      </c>
      <c r="C317" s="369"/>
      <c r="D317" s="344" t="str">
        <f t="shared" si="1"/>
        <v>Saturday</v>
      </c>
      <c r="E317" s="344"/>
      <c r="F317" s="370"/>
      <c r="G317" s="370"/>
      <c r="H317" s="357">
        <f t="shared" si="2"/>
        <v>0</v>
      </c>
      <c r="I317" s="346">
        <f t="shared" si="3"/>
        <v>0</v>
      </c>
      <c r="J317" s="312"/>
    </row>
    <row r="318">
      <c r="A318" s="344">
        <v>672.66</v>
      </c>
      <c r="B318" s="344">
        <v>60.0</v>
      </c>
      <c r="C318" s="369"/>
      <c r="D318" s="344" t="str">
        <f t="shared" si="1"/>
        <v>Saturday</v>
      </c>
      <c r="E318" s="344"/>
      <c r="F318" s="370"/>
      <c r="G318" s="370"/>
      <c r="H318" s="357">
        <f t="shared" si="2"/>
        <v>0</v>
      </c>
      <c r="I318" s="346">
        <f t="shared" si="3"/>
        <v>0</v>
      </c>
      <c r="J318" s="312"/>
    </row>
    <row r="319">
      <c r="A319" s="344">
        <v>672.66</v>
      </c>
      <c r="B319" s="344">
        <v>60.0</v>
      </c>
      <c r="C319" s="369"/>
      <c r="D319" s="344" t="str">
        <f t="shared" si="1"/>
        <v>Saturday</v>
      </c>
      <c r="E319" s="344"/>
      <c r="F319" s="370"/>
      <c r="G319" s="370"/>
      <c r="H319" s="357">
        <f t="shared" si="2"/>
        <v>0</v>
      </c>
      <c r="I319" s="346">
        <f t="shared" si="3"/>
        <v>0</v>
      </c>
      <c r="J319" s="312"/>
    </row>
    <row r="320">
      <c r="A320" s="344">
        <v>672.66</v>
      </c>
      <c r="B320" s="344">
        <v>60.0</v>
      </c>
      <c r="C320" s="369"/>
      <c r="D320" s="344" t="str">
        <f t="shared" si="1"/>
        <v>Saturday</v>
      </c>
      <c r="E320" s="344"/>
      <c r="F320" s="370"/>
      <c r="G320" s="370"/>
      <c r="H320" s="357">
        <f t="shared" si="2"/>
        <v>0</v>
      </c>
      <c r="I320" s="346">
        <f t="shared" si="3"/>
        <v>0</v>
      </c>
      <c r="J320" s="312"/>
    </row>
    <row r="321">
      <c r="A321" s="344">
        <v>672.66</v>
      </c>
      <c r="B321" s="344">
        <v>60.0</v>
      </c>
      <c r="C321" s="369"/>
      <c r="D321" s="344" t="str">
        <f t="shared" si="1"/>
        <v>Saturday</v>
      </c>
      <c r="E321" s="344"/>
      <c r="F321" s="370"/>
      <c r="G321" s="370"/>
      <c r="H321" s="357">
        <f t="shared" si="2"/>
        <v>0</v>
      </c>
      <c r="I321" s="346">
        <f t="shared" si="3"/>
        <v>0</v>
      </c>
      <c r="J321" s="312"/>
    </row>
    <row r="322">
      <c r="A322" s="344">
        <v>672.66</v>
      </c>
      <c r="B322" s="344">
        <v>60.0</v>
      </c>
      <c r="C322" s="369"/>
      <c r="D322" s="344" t="str">
        <f t="shared" si="1"/>
        <v>Saturday</v>
      </c>
      <c r="E322" s="344"/>
      <c r="F322" s="370"/>
      <c r="G322" s="370"/>
      <c r="H322" s="357">
        <f t="shared" si="2"/>
        <v>0</v>
      </c>
      <c r="I322" s="346">
        <f t="shared" si="3"/>
        <v>0</v>
      </c>
      <c r="J322" s="312"/>
    </row>
    <row r="323">
      <c r="A323" s="344">
        <v>672.66</v>
      </c>
      <c r="B323" s="344">
        <v>60.0</v>
      </c>
      <c r="C323" s="369"/>
      <c r="D323" s="344" t="str">
        <f t="shared" si="1"/>
        <v>Saturday</v>
      </c>
      <c r="E323" s="344"/>
      <c r="F323" s="370"/>
      <c r="G323" s="370"/>
      <c r="H323" s="357">
        <f t="shared" si="2"/>
        <v>0</v>
      </c>
      <c r="I323" s="346">
        <f t="shared" si="3"/>
        <v>0</v>
      </c>
      <c r="J323" s="312"/>
    </row>
    <row r="324">
      <c r="A324" s="344">
        <v>672.66</v>
      </c>
      <c r="B324" s="344">
        <v>60.0</v>
      </c>
      <c r="C324" s="369"/>
      <c r="D324" s="344" t="str">
        <f t="shared" si="1"/>
        <v>Saturday</v>
      </c>
      <c r="E324" s="344"/>
      <c r="F324" s="370"/>
      <c r="G324" s="370"/>
      <c r="H324" s="357">
        <f t="shared" si="2"/>
        <v>0</v>
      </c>
      <c r="I324" s="346">
        <f t="shared" si="3"/>
        <v>0</v>
      </c>
      <c r="J324" s="312"/>
    </row>
    <row r="325">
      <c r="A325" s="344">
        <v>672.66</v>
      </c>
      <c r="B325" s="344">
        <v>60.0</v>
      </c>
      <c r="C325" s="369"/>
      <c r="D325" s="344" t="str">
        <f t="shared" si="1"/>
        <v>Saturday</v>
      </c>
      <c r="E325" s="344"/>
      <c r="F325" s="370"/>
      <c r="G325" s="370"/>
      <c r="H325" s="357">
        <f t="shared" si="2"/>
        <v>0</v>
      </c>
      <c r="I325" s="346">
        <f t="shared" si="3"/>
        <v>0</v>
      </c>
      <c r="J325" s="312"/>
    </row>
    <row r="326">
      <c r="A326" s="344">
        <v>672.66</v>
      </c>
      <c r="B326" s="344">
        <v>60.0</v>
      </c>
      <c r="C326" s="369"/>
      <c r="D326" s="344" t="str">
        <f t="shared" si="1"/>
        <v>Saturday</v>
      </c>
      <c r="E326" s="344"/>
      <c r="F326" s="370"/>
      <c r="G326" s="370"/>
      <c r="H326" s="357">
        <f t="shared" si="2"/>
        <v>0</v>
      </c>
      <c r="I326" s="346">
        <f t="shared" si="3"/>
        <v>0</v>
      </c>
      <c r="J326" s="312"/>
    </row>
    <row r="327">
      <c r="A327" s="344">
        <v>672.66</v>
      </c>
      <c r="B327" s="344">
        <v>60.0</v>
      </c>
      <c r="C327" s="369"/>
      <c r="D327" s="344" t="str">
        <f t="shared" si="1"/>
        <v>Saturday</v>
      </c>
      <c r="E327" s="344"/>
      <c r="F327" s="370"/>
      <c r="G327" s="370"/>
      <c r="H327" s="357">
        <f t="shared" si="2"/>
        <v>0</v>
      </c>
      <c r="I327" s="346">
        <f t="shared" si="3"/>
        <v>0</v>
      </c>
      <c r="J327" s="312"/>
    </row>
    <row r="328">
      <c r="A328" s="344">
        <v>672.66</v>
      </c>
      <c r="B328" s="344">
        <v>60.0</v>
      </c>
      <c r="C328" s="369"/>
      <c r="D328" s="344" t="str">
        <f t="shared" si="1"/>
        <v>Saturday</v>
      </c>
      <c r="E328" s="344"/>
      <c r="F328" s="370"/>
      <c r="G328" s="370"/>
      <c r="H328" s="357">
        <f t="shared" si="2"/>
        <v>0</v>
      </c>
      <c r="I328" s="346">
        <f t="shared" si="3"/>
        <v>0</v>
      </c>
      <c r="J328" s="312"/>
    </row>
    <row r="329">
      <c r="A329" s="344">
        <v>672.66</v>
      </c>
      <c r="B329" s="344">
        <v>60.0</v>
      </c>
      <c r="C329" s="369"/>
      <c r="D329" s="344" t="str">
        <f t="shared" si="1"/>
        <v>Saturday</v>
      </c>
      <c r="E329" s="344"/>
      <c r="F329" s="370"/>
      <c r="G329" s="370"/>
      <c r="H329" s="357">
        <f t="shared" si="2"/>
        <v>0</v>
      </c>
      <c r="I329" s="346">
        <f t="shared" si="3"/>
        <v>0</v>
      </c>
      <c r="J329" s="312"/>
    </row>
    <row r="330">
      <c r="A330" s="344">
        <v>672.66</v>
      </c>
      <c r="B330" s="344">
        <v>60.0</v>
      </c>
      <c r="C330" s="369"/>
      <c r="D330" s="344" t="str">
        <f t="shared" si="1"/>
        <v>Saturday</v>
      </c>
      <c r="E330" s="344"/>
      <c r="F330" s="370"/>
      <c r="G330" s="370"/>
      <c r="H330" s="357">
        <f t="shared" si="2"/>
        <v>0</v>
      </c>
      <c r="I330" s="346">
        <f t="shared" si="3"/>
        <v>0</v>
      </c>
      <c r="J330" s="312"/>
    </row>
    <row r="331">
      <c r="A331" s="344">
        <v>672.66</v>
      </c>
      <c r="B331" s="344">
        <v>60.0</v>
      </c>
      <c r="C331" s="369"/>
      <c r="D331" s="344" t="str">
        <f t="shared" si="1"/>
        <v>Saturday</v>
      </c>
      <c r="E331" s="344"/>
      <c r="F331" s="370"/>
      <c r="G331" s="370"/>
      <c r="H331" s="357">
        <f t="shared" si="2"/>
        <v>0</v>
      </c>
      <c r="I331" s="346">
        <f t="shared" si="3"/>
        <v>0</v>
      </c>
      <c r="J331" s="312"/>
    </row>
    <row r="332">
      <c r="A332" s="344">
        <v>672.66</v>
      </c>
      <c r="B332" s="344">
        <v>60.0</v>
      </c>
      <c r="C332" s="369"/>
      <c r="D332" s="344" t="str">
        <f t="shared" si="1"/>
        <v>Saturday</v>
      </c>
      <c r="E332" s="344"/>
      <c r="F332" s="370"/>
      <c r="G332" s="370"/>
      <c r="H332" s="357">
        <f t="shared" si="2"/>
        <v>0</v>
      </c>
      <c r="I332" s="346">
        <f t="shared" si="3"/>
        <v>0</v>
      </c>
      <c r="J332" s="312"/>
    </row>
    <row r="333">
      <c r="A333" s="344">
        <v>672.66</v>
      </c>
      <c r="B333" s="344">
        <v>60.0</v>
      </c>
      <c r="C333" s="369"/>
      <c r="D333" s="344" t="str">
        <f t="shared" si="1"/>
        <v>Saturday</v>
      </c>
      <c r="E333" s="344"/>
      <c r="F333" s="370"/>
      <c r="G333" s="370"/>
      <c r="H333" s="357">
        <f t="shared" si="2"/>
        <v>0</v>
      </c>
      <c r="I333" s="346">
        <f t="shared" si="3"/>
        <v>0</v>
      </c>
      <c r="J333" s="312"/>
    </row>
    <row r="334">
      <c r="A334" s="344">
        <v>672.66</v>
      </c>
      <c r="B334" s="344">
        <v>60.0</v>
      </c>
      <c r="C334" s="369"/>
      <c r="D334" s="344" t="str">
        <f t="shared" si="1"/>
        <v>Saturday</v>
      </c>
      <c r="E334" s="344"/>
      <c r="F334" s="370"/>
      <c r="G334" s="370"/>
      <c r="H334" s="357">
        <f t="shared" si="2"/>
        <v>0</v>
      </c>
      <c r="I334" s="346">
        <f t="shared" si="3"/>
        <v>0</v>
      </c>
      <c r="J334" s="312"/>
    </row>
    <row r="335">
      <c r="A335" s="344">
        <v>672.66</v>
      </c>
      <c r="B335" s="344">
        <v>60.0</v>
      </c>
      <c r="C335" s="369"/>
      <c r="D335" s="344" t="str">
        <f t="shared" si="1"/>
        <v>Saturday</v>
      </c>
      <c r="E335" s="344"/>
      <c r="F335" s="370"/>
      <c r="G335" s="370"/>
      <c r="H335" s="357">
        <f t="shared" si="2"/>
        <v>0</v>
      </c>
      <c r="I335" s="346">
        <f t="shared" si="3"/>
        <v>0</v>
      </c>
      <c r="J335" s="312"/>
    </row>
    <row r="336">
      <c r="A336" s="344">
        <v>672.66</v>
      </c>
      <c r="B336" s="344">
        <v>60.0</v>
      </c>
      <c r="C336" s="369"/>
      <c r="D336" s="344" t="str">
        <f t="shared" si="1"/>
        <v>Saturday</v>
      </c>
      <c r="E336" s="344"/>
      <c r="F336" s="370"/>
      <c r="G336" s="370"/>
      <c r="H336" s="357">
        <f t="shared" si="2"/>
        <v>0</v>
      </c>
      <c r="I336" s="346">
        <f t="shared" si="3"/>
        <v>0</v>
      </c>
      <c r="J336" s="312"/>
    </row>
    <row r="337">
      <c r="A337" s="344">
        <v>672.66</v>
      </c>
      <c r="B337" s="344">
        <v>60.0</v>
      </c>
      <c r="C337" s="369"/>
      <c r="D337" s="344" t="str">
        <f t="shared" si="1"/>
        <v>Saturday</v>
      </c>
      <c r="E337" s="344"/>
      <c r="F337" s="370"/>
      <c r="G337" s="370"/>
      <c r="H337" s="357">
        <f t="shared" si="2"/>
        <v>0</v>
      </c>
      <c r="I337" s="346">
        <f t="shared" si="3"/>
        <v>0</v>
      </c>
      <c r="J337" s="312"/>
    </row>
    <row r="338">
      <c r="A338" s="344">
        <v>672.66</v>
      </c>
      <c r="B338" s="344">
        <v>60.0</v>
      </c>
      <c r="C338" s="369"/>
      <c r="D338" s="344" t="str">
        <f t="shared" si="1"/>
        <v>Saturday</v>
      </c>
      <c r="E338" s="344"/>
      <c r="F338" s="370"/>
      <c r="G338" s="370"/>
      <c r="H338" s="357">
        <f t="shared" si="2"/>
        <v>0</v>
      </c>
      <c r="I338" s="346">
        <f t="shared" si="3"/>
        <v>0</v>
      </c>
      <c r="J338" s="312"/>
    </row>
    <row r="339">
      <c r="A339" s="344">
        <v>672.66</v>
      </c>
      <c r="B339" s="344">
        <v>60.0</v>
      </c>
      <c r="C339" s="369"/>
      <c r="D339" s="344" t="str">
        <f t="shared" si="1"/>
        <v>Saturday</v>
      </c>
      <c r="E339" s="344"/>
      <c r="F339" s="370"/>
      <c r="G339" s="370"/>
      <c r="H339" s="357">
        <f t="shared" si="2"/>
        <v>0</v>
      </c>
      <c r="I339" s="346">
        <f t="shared" si="3"/>
        <v>0</v>
      </c>
      <c r="J339" s="312"/>
    </row>
    <row r="340">
      <c r="A340" s="344">
        <v>672.66</v>
      </c>
      <c r="B340" s="344">
        <v>60.0</v>
      </c>
      <c r="C340" s="369"/>
      <c r="D340" s="344" t="str">
        <f t="shared" si="1"/>
        <v>Saturday</v>
      </c>
      <c r="E340" s="344"/>
      <c r="F340" s="370"/>
      <c r="G340" s="370"/>
      <c r="H340" s="357">
        <f t="shared" si="2"/>
        <v>0</v>
      </c>
      <c r="I340" s="346">
        <f t="shared" si="3"/>
        <v>0</v>
      </c>
      <c r="J340" s="312"/>
    </row>
    <row r="341">
      <c r="A341" s="344">
        <v>672.66</v>
      </c>
      <c r="B341" s="344">
        <v>60.0</v>
      </c>
      <c r="C341" s="369"/>
      <c r="D341" s="344" t="str">
        <f t="shared" si="1"/>
        <v>Saturday</v>
      </c>
      <c r="E341" s="344"/>
      <c r="F341" s="370"/>
      <c r="G341" s="370"/>
      <c r="H341" s="357">
        <f t="shared" si="2"/>
        <v>0</v>
      </c>
      <c r="I341" s="346">
        <f t="shared" si="3"/>
        <v>0</v>
      </c>
      <c r="J341" s="312"/>
    </row>
    <row r="342">
      <c r="A342" s="344">
        <v>672.66</v>
      </c>
      <c r="B342" s="344">
        <v>60.0</v>
      </c>
      <c r="C342" s="369"/>
      <c r="D342" s="344" t="str">
        <f t="shared" si="1"/>
        <v>Saturday</v>
      </c>
      <c r="E342" s="344"/>
      <c r="F342" s="370"/>
      <c r="G342" s="370"/>
      <c r="H342" s="357">
        <f t="shared" si="2"/>
        <v>0</v>
      </c>
      <c r="I342" s="346">
        <f t="shared" si="3"/>
        <v>0</v>
      </c>
      <c r="J342" s="312"/>
    </row>
    <row r="343">
      <c r="A343" s="344">
        <v>672.66</v>
      </c>
      <c r="B343" s="344">
        <v>60.0</v>
      </c>
      <c r="C343" s="369"/>
      <c r="D343" s="344" t="str">
        <f t="shared" si="1"/>
        <v>Saturday</v>
      </c>
      <c r="E343" s="344"/>
      <c r="F343" s="370"/>
      <c r="G343" s="370"/>
      <c r="H343" s="357">
        <f t="shared" si="2"/>
        <v>0</v>
      </c>
      <c r="I343" s="346">
        <f t="shared" si="3"/>
        <v>0</v>
      </c>
      <c r="J343" s="312"/>
    </row>
    <row r="344">
      <c r="A344" s="344">
        <v>672.66</v>
      </c>
      <c r="B344" s="344">
        <v>60.0</v>
      </c>
      <c r="C344" s="369"/>
      <c r="D344" s="344" t="str">
        <f t="shared" si="1"/>
        <v>Saturday</v>
      </c>
      <c r="E344" s="344"/>
      <c r="F344" s="370"/>
      <c r="G344" s="370"/>
      <c r="H344" s="357">
        <f t="shared" si="2"/>
        <v>0</v>
      </c>
      <c r="I344" s="346">
        <f t="shared" si="3"/>
        <v>0</v>
      </c>
      <c r="J344" s="312"/>
    </row>
    <row r="345">
      <c r="A345" s="344">
        <v>672.66</v>
      </c>
      <c r="B345" s="344">
        <v>60.0</v>
      </c>
      <c r="C345" s="369"/>
      <c r="D345" s="344" t="str">
        <f t="shared" si="1"/>
        <v>Saturday</v>
      </c>
      <c r="E345" s="344"/>
      <c r="F345" s="370"/>
      <c r="G345" s="370"/>
      <c r="H345" s="357">
        <f t="shared" si="2"/>
        <v>0</v>
      </c>
      <c r="I345" s="346">
        <f t="shared" si="3"/>
        <v>0</v>
      </c>
      <c r="J345" s="312"/>
    </row>
    <row r="346">
      <c r="A346" s="344">
        <v>672.66</v>
      </c>
      <c r="B346" s="344">
        <v>60.0</v>
      </c>
      <c r="C346" s="369"/>
      <c r="D346" s="344" t="str">
        <f t="shared" si="1"/>
        <v>Saturday</v>
      </c>
      <c r="E346" s="344"/>
      <c r="F346" s="370"/>
      <c r="G346" s="370"/>
      <c r="H346" s="357">
        <f t="shared" si="2"/>
        <v>0</v>
      </c>
      <c r="I346" s="346">
        <f t="shared" si="3"/>
        <v>0</v>
      </c>
      <c r="J346" s="312"/>
    </row>
    <row r="347">
      <c r="A347" s="344">
        <v>672.66</v>
      </c>
      <c r="B347" s="344">
        <v>60.0</v>
      </c>
      <c r="C347" s="369"/>
      <c r="D347" s="344" t="str">
        <f t="shared" si="1"/>
        <v>Saturday</v>
      </c>
      <c r="E347" s="344"/>
      <c r="F347" s="370"/>
      <c r="G347" s="370"/>
      <c r="H347" s="357">
        <f t="shared" si="2"/>
        <v>0</v>
      </c>
      <c r="I347" s="346">
        <f t="shared" si="3"/>
        <v>0</v>
      </c>
      <c r="J347" s="312"/>
    </row>
    <row r="348">
      <c r="A348" s="344">
        <v>672.66</v>
      </c>
      <c r="B348" s="344">
        <v>60.0</v>
      </c>
      <c r="C348" s="369"/>
      <c r="D348" s="344" t="str">
        <f t="shared" si="1"/>
        <v>Saturday</v>
      </c>
      <c r="E348" s="344"/>
      <c r="F348" s="370"/>
      <c r="G348" s="370"/>
      <c r="H348" s="357">
        <f t="shared" si="2"/>
        <v>0</v>
      </c>
      <c r="I348" s="346">
        <f t="shared" si="3"/>
        <v>0</v>
      </c>
      <c r="J348" s="312"/>
    </row>
    <row r="349">
      <c r="A349" s="344">
        <v>672.66</v>
      </c>
      <c r="B349" s="344">
        <v>60.0</v>
      </c>
      <c r="C349" s="369"/>
      <c r="D349" s="344" t="str">
        <f t="shared" si="1"/>
        <v>Saturday</v>
      </c>
      <c r="E349" s="344"/>
      <c r="F349" s="370"/>
      <c r="G349" s="370"/>
      <c r="H349" s="357">
        <f t="shared" si="2"/>
        <v>0</v>
      </c>
      <c r="I349" s="346">
        <f t="shared" si="3"/>
        <v>0</v>
      </c>
      <c r="J349" s="312"/>
    </row>
    <row r="350">
      <c r="A350" s="344">
        <v>672.66</v>
      </c>
      <c r="B350" s="344">
        <v>60.0</v>
      </c>
      <c r="C350" s="369"/>
      <c r="D350" s="344" t="str">
        <f t="shared" si="1"/>
        <v>Saturday</v>
      </c>
      <c r="E350" s="344"/>
      <c r="F350" s="370"/>
      <c r="G350" s="370"/>
      <c r="H350" s="357">
        <f t="shared" si="2"/>
        <v>0</v>
      </c>
      <c r="I350" s="346">
        <f t="shared" si="3"/>
        <v>0</v>
      </c>
      <c r="J350" s="312"/>
    </row>
    <row r="351">
      <c r="A351" s="344">
        <v>672.66</v>
      </c>
      <c r="B351" s="344">
        <v>60.0</v>
      </c>
      <c r="C351" s="369"/>
      <c r="D351" s="344" t="str">
        <f t="shared" si="1"/>
        <v>Saturday</v>
      </c>
      <c r="E351" s="344"/>
      <c r="F351" s="370"/>
      <c r="G351" s="370"/>
      <c r="H351" s="357">
        <f t="shared" si="2"/>
        <v>0</v>
      </c>
      <c r="I351" s="346">
        <f t="shared" si="3"/>
        <v>0</v>
      </c>
      <c r="J351" s="312"/>
    </row>
    <row r="352">
      <c r="A352" s="344">
        <v>672.66</v>
      </c>
      <c r="B352" s="344">
        <v>60.0</v>
      </c>
      <c r="C352" s="369"/>
      <c r="D352" s="344" t="str">
        <f t="shared" si="1"/>
        <v>Saturday</v>
      </c>
      <c r="E352" s="344"/>
      <c r="F352" s="370"/>
      <c r="G352" s="370"/>
      <c r="H352" s="357">
        <f t="shared" si="2"/>
        <v>0</v>
      </c>
      <c r="I352" s="346">
        <f t="shared" si="3"/>
        <v>0</v>
      </c>
      <c r="J352" s="312"/>
    </row>
    <row r="353">
      <c r="A353" s="344">
        <v>672.66</v>
      </c>
      <c r="B353" s="344">
        <v>60.0</v>
      </c>
      <c r="C353" s="369"/>
      <c r="D353" s="344" t="str">
        <f t="shared" si="1"/>
        <v>Saturday</v>
      </c>
      <c r="E353" s="344"/>
      <c r="F353" s="370"/>
      <c r="G353" s="370"/>
      <c r="H353" s="357">
        <f t="shared" si="2"/>
        <v>0</v>
      </c>
      <c r="I353" s="346">
        <f t="shared" si="3"/>
        <v>0</v>
      </c>
      <c r="J353" s="312"/>
    </row>
    <row r="354">
      <c r="A354" s="344">
        <v>672.66</v>
      </c>
      <c r="B354" s="344">
        <v>60.0</v>
      </c>
      <c r="C354" s="369"/>
      <c r="D354" s="344" t="str">
        <f t="shared" si="1"/>
        <v>Saturday</v>
      </c>
      <c r="E354" s="344"/>
      <c r="F354" s="370"/>
      <c r="G354" s="370"/>
      <c r="H354" s="357">
        <f t="shared" si="2"/>
        <v>0</v>
      </c>
      <c r="I354" s="346">
        <f t="shared" si="3"/>
        <v>0</v>
      </c>
      <c r="J354" s="312"/>
    </row>
    <row r="355">
      <c r="A355" s="344">
        <v>672.66</v>
      </c>
      <c r="B355" s="344">
        <v>60.0</v>
      </c>
      <c r="C355" s="369"/>
      <c r="D355" s="344" t="str">
        <f t="shared" si="1"/>
        <v>Saturday</v>
      </c>
      <c r="E355" s="344"/>
      <c r="F355" s="370"/>
      <c r="G355" s="370"/>
      <c r="H355" s="357">
        <f t="shared" si="2"/>
        <v>0</v>
      </c>
      <c r="I355" s="346">
        <f t="shared" si="3"/>
        <v>0</v>
      </c>
      <c r="J355" s="312"/>
    </row>
    <row r="356">
      <c r="A356" s="344">
        <v>672.66</v>
      </c>
      <c r="B356" s="344">
        <v>60.0</v>
      </c>
      <c r="C356" s="369"/>
      <c r="D356" s="344" t="str">
        <f t="shared" si="1"/>
        <v>Saturday</v>
      </c>
      <c r="E356" s="344"/>
      <c r="F356" s="370"/>
      <c r="G356" s="370"/>
      <c r="H356" s="357">
        <f t="shared" si="2"/>
        <v>0</v>
      </c>
      <c r="I356" s="346">
        <f t="shared" si="3"/>
        <v>0</v>
      </c>
      <c r="J356" s="312"/>
    </row>
    <row r="357">
      <c r="A357" s="344">
        <v>672.66</v>
      </c>
      <c r="B357" s="344">
        <v>60.0</v>
      </c>
      <c r="C357" s="369"/>
      <c r="D357" s="344" t="str">
        <f t="shared" si="1"/>
        <v>Saturday</v>
      </c>
      <c r="E357" s="344"/>
      <c r="F357" s="370"/>
      <c r="G357" s="370"/>
      <c r="H357" s="357">
        <f t="shared" si="2"/>
        <v>0</v>
      </c>
      <c r="I357" s="346">
        <f t="shared" si="3"/>
        <v>0</v>
      </c>
      <c r="J357" s="312"/>
    </row>
    <row r="358">
      <c r="A358" s="344">
        <v>672.66</v>
      </c>
      <c r="B358" s="344">
        <v>60.0</v>
      </c>
      <c r="C358" s="369"/>
      <c r="D358" s="344" t="str">
        <f t="shared" si="1"/>
        <v>Saturday</v>
      </c>
      <c r="E358" s="344"/>
      <c r="F358" s="370"/>
      <c r="G358" s="370"/>
      <c r="H358" s="357">
        <f t="shared" si="2"/>
        <v>0</v>
      </c>
      <c r="I358" s="346">
        <f t="shared" si="3"/>
        <v>0</v>
      </c>
      <c r="J358" s="312"/>
    </row>
    <row r="359">
      <c r="A359" s="344">
        <v>672.66</v>
      </c>
      <c r="B359" s="344">
        <v>60.0</v>
      </c>
      <c r="C359" s="369"/>
      <c r="D359" s="344" t="str">
        <f t="shared" si="1"/>
        <v>Saturday</v>
      </c>
      <c r="E359" s="344"/>
      <c r="F359" s="370"/>
      <c r="G359" s="370"/>
      <c r="H359" s="357">
        <f t="shared" si="2"/>
        <v>0</v>
      </c>
      <c r="I359" s="346">
        <f t="shared" si="3"/>
        <v>0</v>
      </c>
      <c r="J359" s="312"/>
    </row>
    <row r="360">
      <c r="A360" s="344">
        <v>672.66</v>
      </c>
      <c r="B360" s="344">
        <v>60.0</v>
      </c>
      <c r="C360" s="369"/>
      <c r="D360" s="344" t="str">
        <f t="shared" si="1"/>
        <v>Saturday</v>
      </c>
      <c r="E360" s="344"/>
      <c r="F360" s="370"/>
      <c r="G360" s="370"/>
      <c r="H360" s="357">
        <f t="shared" si="2"/>
        <v>0</v>
      </c>
      <c r="I360" s="346">
        <f t="shared" si="3"/>
        <v>0</v>
      </c>
      <c r="J360" s="312"/>
    </row>
    <row r="361">
      <c r="A361" s="344">
        <v>672.66</v>
      </c>
      <c r="B361" s="344">
        <v>60.0</v>
      </c>
      <c r="C361" s="369"/>
      <c r="D361" s="344" t="str">
        <f t="shared" si="1"/>
        <v>Saturday</v>
      </c>
      <c r="E361" s="344"/>
      <c r="F361" s="370"/>
      <c r="G361" s="370"/>
      <c r="H361" s="357">
        <f t="shared" si="2"/>
        <v>0</v>
      </c>
      <c r="I361" s="346">
        <f t="shared" si="3"/>
        <v>0</v>
      </c>
      <c r="J361" s="312"/>
    </row>
    <row r="362">
      <c r="A362" s="344">
        <v>672.66</v>
      </c>
      <c r="B362" s="344">
        <v>60.0</v>
      </c>
      <c r="C362" s="369"/>
      <c r="D362" s="344" t="str">
        <f t="shared" si="1"/>
        <v>Saturday</v>
      </c>
      <c r="E362" s="344"/>
      <c r="F362" s="370"/>
      <c r="G362" s="370"/>
      <c r="H362" s="357">
        <f t="shared" si="2"/>
        <v>0</v>
      </c>
      <c r="I362" s="346">
        <f t="shared" si="3"/>
        <v>0</v>
      </c>
      <c r="J362" s="312"/>
    </row>
    <row r="363">
      <c r="A363" s="344">
        <v>672.66</v>
      </c>
      <c r="B363" s="344">
        <v>60.0</v>
      </c>
      <c r="C363" s="369"/>
      <c r="D363" s="344" t="str">
        <f t="shared" si="1"/>
        <v>Saturday</v>
      </c>
      <c r="E363" s="344"/>
      <c r="F363" s="370"/>
      <c r="G363" s="370"/>
      <c r="H363" s="357">
        <f t="shared" si="2"/>
        <v>0</v>
      </c>
      <c r="I363" s="346">
        <f t="shared" si="3"/>
        <v>0</v>
      </c>
      <c r="J363" s="312"/>
    </row>
    <row r="364">
      <c r="A364" s="344">
        <v>672.66</v>
      </c>
      <c r="B364" s="344">
        <v>60.0</v>
      </c>
      <c r="C364" s="369"/>
      <c r="D364" s="344" t="str">
        <f t="shared" si="1"/>
        <v>Saturday</v>
      </c>
      <c r="E364" s="344"/>
      <c r="F364" s="370"/>
      <c r="G364" s="370"/>
      <c r="H364" s="357">
        <f t="shared" si="2"/>
        <v>0</v>
      </c>
      <c r="I364" s="346">
        <f t="shared" si="3"/>
        <v>0</v>
      </c>
      <c r="J364" s="312"/>
    </row>
    <row r="365">
      <c r="A365" s="344">
        <v>672.66</v>
      </c>
      <c r="B365" s="344">
        <v>60.0</v>
      </c>
      <c r="C365" s="369"/>
      <c r="D365" s="344" t="str">
        <f t="shared" si="1"/>
        <v>Saturday</v>
      </c>
      <c r="E365" s="344"/>
      <c r="F365" s="370"/>
      <c r="G365" s="370"/>
      <c r="H365" s="357">
        <f t="shared" si="2"/>
        <v>0</v>
      </c>
      <c r="I365" s="346">
        <f t="shared" si="3"/>
        <v>0</v>
      </c>
      <c r="J365" s="312"/>
    </row>
    <row r="366">
      <c r="A366" s="344">
        <v>672.66</v>
      </c>
      <c r="B366" s="344">
        <v>60.0</v>
      </c>
      <c r="C366" s="369"/>
      <c r="D366" s="344" t="str">
        <f t="shared" si="1"/>
        <v>Saturday</v>
      </c>
      <c r="E366" s="344"/>
      <c r="F366" s="370"/>
      <c r="G366" s="370"/>
      <c r="H366" s="357">
        <f t="shared" si="2"/>
        <v>0</v>
      </c>
      <c r="I366" s="346">
        <f t="shared" si="3"/>
        <v>0</v>
      </c>
      <c r="J366" s="312"/>
    </row>
    <row r="367">
      <c r="A367" s="344">
        <v>672.66</v>
      </c>
      <c r="B367" s="344">
        <v>60.0</v>
      </c>
      <c r="C367" s="369"/>
      <c r="D367" s="344" t="str">
        <f t="shared" si="1"/>
        <v>Saturday</v>
      </c>
      <c r="E367" s="344"/>
      <c r="F367" s="370"/>
      <c r="G367" s="370"/>
      <c r="H367" s="357">
        <f t="shared" si="2"/>
        <v>0</v>
      </c>
      <c r="I367" s="346">
        <f t="shared" si="3"/>
        <v>0</v>
      </c>
      <c r="J367" s="312"/>
    </row>
    <row r="368">
      <c r="A368" s="344">
        <v>672.66</v>
      </c>
      <c r="B368" s="344">
        <v>60.0</v>
      </c>
      <c r="C368" s="369"/>
      <c r="D368" s="344" t="str">
        <f t="shared" si="1"/>
        <v>Saturday</v>
      </c>
      <c r="E368" s="344"/>
      <c r="F368" s="370"/>
      <c r="G368" s="370"/>
      <c r="H368" s="357">
        <f t="shared" si="2"/>
        <v>0</v>
      </c>
      <c r="I368" s="346">
        <f t="shared" si="3"/>
        <v>0</v>
      </c>
      <c r="J368" s="312"/>
    </row>
    <row r="369">
      <c r="A369" s="344">
        <v>672.66</v>
      </c>
      <c r="B369" s="344">
        <v>60.0</v>
      </c>
      <c r="C369" s="369"/>
      <c r="D369" s="344" t="str">
        <f t="shared" si="1"/>
        <v>Saturday</v>
      </c>
      <c r="E369" s="344"/>
      <c r="F369" s="370"/>
      <c r="G369" s="370"/>
      <c r="H369" s="357">
        <f t="shared" si="2"/>
        <v>0</v>
      </c>
      <c r="I369" s="346">
        <f t="shared" si="3"/>
        <v>0</v>
      </c>
      <c r="J369" s="312"/>
    </row>
    <row r="370">
      <c r="A370" s="344">
        <v>672.66</v>
      </c>
      <c r="B370" s="344">
        <v>60.0</v>
      </c>
      <c r="C370" s="369"/>
      <c r="D370" s="344" t="str">
        <f t="shared" si="1"/>
        <v>Saturday</v>
      </c>
      <c r="E370" s="344"/>
      <c r="F370" s="370"/>
      <c r="G370" s="370"/>
      <c r="H370" s="357">
        <f t="shared" si="2"/>
        <v>0</v>
      </c>
      <c r="I370" s="346">
        <f t="shared" si="3"/>
        <v>0</v>
      </c>
      <c r="J370" s="312"/>
    </row>
    <row r="371">
      <c r="A371" s="344">
        <v>672.66</v>
      </c>
      <c r="B371" s="344">
        <v>60.0</v>
      </c>
      <c r="C371" s="369"/>
      <c r="D371" s="344" t="str">
        <f t="shared" si="1"/>
        <v>Saturday</v>
      </c>
      <c r="E371" s="344"/>
      <c r="F371" s="370"/>
      <c r="G371" s="370"/>
      <c r="H371" s="357">
        <f t="shared" si="2"/>
        <v>0</v>
      </c>
      <c r="I371" s="346">
        <f t="shared" si="3"/>
        <v>0</v>
      </c>
      <c r="J371" s="312"/>
    </row>
    <row r="372">
      <c r="A372" s="344">
        <v>672.66</v>
      </c>
      <c r="B372" s="344">
        <v>60.0</v>
      </c>
      <c r="C372" s="369"/>
      <c r="D372" s="344" t="str">
        <f t="shared" si="1"/>
        <v>Saturday</v>
      </c>
      <c r="E372" s="344"/>
      <c r="F372" s="370"/>
      <c r="G372" s="370"/>
      <c r="H372" s="357">
        <f t="shared" si="2"/>
        <v>0</v>
      </c>
      <c r="I372" s="346">
        <f t="shared" si="3"/>
        <v>0</v>
      </c>
      <c r="J372" s="312"/>
    </row>
    <row r="373">
      <c r="A373" s="344">
        <v>672.66</v>
      </c>
      <c r="B373" s="344">
        <v>60.0</v>
      </c>
      <c r="C373" s="369"/>
      <c r="D373" s="344" t="str">
        <f t="shared" si="1"/>
        <v>Saturday</v>
      </c>
      <c r="E373" s="344"/>
      <c r="F373" s="370"/>
      <c r="G373" s="370"/>
      <c r="H373" s="357">
        <f t="shared" si="2"/>
        <v>0</v>
      </c>
      <c r="I373" s="346">
        <f t="shared" si="3"/>
        <v>0</v>
      </c>
      <c r="J373" s="312"/>
    </row>
    <row r="374">
      <c r="A374" s="344">
        <v>672.66</v>
      </c>
      <c r="B374" s="344">
        <v>60.0</v>
      </c>
      <c r="C374" s="369"/>
      <c r="D374" s="344" t="str">
        <f t="shared" si="1"/>
        <v>Saturday</v>
      </c>
      <c r="E374" s="344"/>
      <c r="F374" s="370"/>
      <c r="G374" s="370"/>
      <c r="H374" s="357">
        <f t="shared" si="2"/>
        <v>0</v>
      </c>
      <c r="I374" s="346">
        <f t="shared" si="3"/>
        <v>0</v>
      </c>
      <c r="J374" s="312"/>
    </row>
    <row r="375">
      <c r="A375" s="344">
        <v>672.66</v>
      </c>
      <c r="B375" s="344">
        <v>60.0</v>
      </c>
      <c r="C375" s="369"/>
      <c r="D375" s="344" t="str">
        <f t="shared" si="1"/>
        <v>Saturday</v>
      </c>
      <c r="E375" s="344"/>
      <c r="F375" s="370"/>
      <c r="G375" s="370"/>
      <c r="H375" s="357">
        <f t="shared" si="2"/>
        <v>0</v>
      </c>
      <c r="I375" s="346">
        <f t="shared" si="3"/>
        <v>0</v>
      </c>
      <c r="J375" s="312"/>
    </row>
    <row r="376">
      <c r="A376" s="344">
        <v>672.66</v>
      </c>
      <c r="B376" s="344">
        <v>60.0</v>
      </c>
      <c r="C376" s="369"/>
      <c r="D376" s="344" t="str">
        <f t="shared" si="1"/>
        <v>Saturday</v>
      </c>
      <c r="E376" s="344"/>
      <c r="F376" s="370"/>
      <c r="G376" s="370"/>
      <c r="H376" s="357">
        <f t="shared" si="2"/>
        <v>0</v>
      </c>
      <c r="I376" s="346">
        <f t="shared" si="3"/>
        <v>0</v>
      </c>
      <c r="J376" s="312"/>
    </row>
    <row r="377">
      <c r="A377" s="344">
        <v>672.66</v>
      </c>
      <c r="B377" s="344">
        <v>60.0</v>
      </c>
      <c r="C377" s="369"/>
      <c r="D377" s="344" t="str">
        <f t="shared" si="1"/>
        <v>Saturday</v>
      </c>
      <c r="E377" s="344"/>
      <c r="F377" s="370"/>
      <c r="G377" s="370"/>
      <c r="H377" s="357">
        <f t="shared" si="2"/>
        <v>0</v>
      </c>
      <c r="I377" s="346">
        <f t="shared" si="3"/>
        <v>0</v>
      </c>
      <c r="J377" s="312"/>
    </row>
    <row r="378">
      <c r="A378" s="344">
        <v>672.66</v>
      </c>
      <c r="B378" s="344">
        <v>60.0</v>
      </c>
      <c r="C378" s="369"/>
      <c r="D378" s="344" t="str">
        <f t="shared" si="1"/>
        <v>Saturday</v>
      </c>
      <c r="E378" s="344"/>
      <c r="F378" s="370"/>
      <c r="G378" s="370"/>
      <c r="H378" s="357">
        <f t="shared" si="2"/>
        <v>0</v>
      </c>
      <c r="I378" s="346">
        <f t="shared" si="3"/>
        <v>0</v>
      </c>
      <c r="J378" s="312"/>
    </row>
    <row r="379">
      <c r="A379" s="344">
        <v>672.66</v>
      </c>
      <c r="B379" s="344">
        <v>60.0</v>
      </c>
      <c r="C379" s="369"/>
      <c r="D379" s="344" t="str">
        <f t="shared" si="1"/>
        <v>Saturday</v>
      </c>
      <c r="E379" s="344"/>
      <c r="F379" s="370"/>
      <c r="G379" s="370"/>
      <c r="H379" s="357">
        <f t="shared" si="2"/>
        <v>0</v>
      </c>
      <c r="I379" s="346">
        <f t="shared" si="3"/>
        <v>0</v>
      </c>
      <c r="J379" s="312"/>
    </row>
    <row r="380">
      <c r="A380" s="344">
        <v>672.66</v>
      </c>
      <c r="B380" s="344">
        <v>60.0</v>
      </c>
      <c r="C380" s="369"/>
      <c r="D380" s="344" t="str">
        <f t="shared" si="1"/>
        <v>Saturday</v>
      </c>
      <c r="E380" s="344"/>
      <c r="F380" s="370"/>
      <c r="G380" s="370"/>
      <c r="H380" s="357">
        <f t="shared" si="2"/>
        <v>0</v>
      </c>
      <c r="I380" s="346">
        <f t="shared" si="3"/>
        <v>0</v>
      </c>
      <c r="J380" s="312"/>
    </row>
    <row r="381">
      <c r="A381" s="344">
        <v>672.66</v>
      </c>
      <c r="B381" s="344">
        <v>60.0</v>
      </c>
      <c r="C381" s="369"/>
      <c r="D381" s="344" t="str">
        <f t="shared" si="1"/>
        <v>Saturday</v>
      </c>
      <c r="E381" s="344"/>
      <c r="F381" s="370"/>
      <c r="G381" s="370"/>
      <c r="H381" s="357">
        <f t="shared" si="2"/>
        <v>0</v>
      </c>
      <c r="I381" s="346">
        <f t="shared" si="3"/>
        <v>0</v>
      </c>
      <c r="J381" s="312"/>
    </row>
    <row r="382">
      <c r="A382" s="344">
        <v>672.66</v>
      </c>
      <c r="B382" s="344">
        <v>60.0</v>
      </c>
      <c r="C382" s="369"/>
      <c r="D382" s="344" t="str">
        <f t="shared" si="1"/>
        <v>Saturday</v>
      </c>
      <c r="E382" s="344"/>
      <c r="F382" s="370"/>
      <c r="G382" s="370"/>
      <c r="H382" s="357">
        <f t="shared" si="2"/>
        <v>0</v>
      </c>
      <c r="I382" s="346">
        <f t="shared" si="3"/>
        <v>0</v>
      </c>
      <c r="J382" s="312"/>
    </row>
    <row r="383">
      <c r="A383" s="344">
        <v>672.66</v>
      </c>
      <c r="B383" s="344">
        <v>60.0</v>
      </c>
      <c r="C383" s="369"/>
      <c r="D383" s="344" t="str">
        <f t="shared" si="1"/>
        <v>Saturday</v>
      </c>
      <c r="E383" s="344"/>
      <c r="F383" s="370"/>
      <c r="G383" s="370"/>
      <c r="H383" s="357">
        <f t="shared" si="2"/>
        <v>0</v>
      </c>
      <c r="I383" s="346">
        <f t="shared" si="3"/>
        <v>0</v>
      </c>
      <c r="J383" s="312"/>
    </row>
    <row r="384">
      <c r="A384" s="344">
        <v>672.66</v>
      </c>
      <c r="B384" s="344">
        <v>60.0</v>
      </c>
      <c r="C384" s="369"/>
      <c r="D384" s="344" t="str">
        <f t="shared" si="1"/>
        <v>Saturday</v>
      </c>
      <c r="E384" s="344"/>
      <c r="F384" s="370"/>
      <c r="G384" s="370"/>
      <c r="H384" s="357">
        <f t="shared" si="2"/>
        <v>0</v>
      </c>
      <c r="I384" s="346">
        <f t="shared" si="3"/>
        <v>0</v>
      </c>
      <c r="J384" s="312"/>
    </row>
    <row r="385">
      <c r="A385" s="344">
        <v>672.66</v>
      </c>
      <c r="B385" s="344">
        <v>60.0</v>
      </c>
      <c r="C385" s="369"/>
      <c r="D385" s="344" t="str">
        <f t="shared" si="1"/>
        <v>Saturday</v>
      </c>
      <c r="E385" s="344"/>
      <c r="F385" s="370"/>
      <c r="G385" s="370"/>
      <c r="H385" s="357">
        <f t="shared" si="2"/>
        <v>0</v>
      </c>
      <c r="I385" s="346">
        <f t="shared" si="3"/>
        <v>0</v>
      </c>
      <c r="J385" s="312"/>
    </row>
    <row r="386">
      <c r="A386" s="344">
        <v>672.66</v>
      </c>
      <c r="B386" s="344">
        <v>60.0</v>
      </c>
      <c r="C386" s="369"/>
      <c r="D386" s="344" t="str">
        <f t="shared" si="1"/>
        <v>Saturday</v>
      </c>
      <c r="E386" s="344"/>
      <c r="F386" s="370"/>
      <c r="G386" s="370"/>
      <c r="H386" s="357">
        <f t="shared" si="2"/>
        <v>0</v>
      </c>
      <c r="I386" s="346">
        <f t="shared" si="3"/>
        <v>0</v>
      </c>
      <c r="J386" s="312"/>
    </row>
    <row r="387">
      <c r="A387" s="344">
        <v>672.66</v>
      </c>
      <c r="B387" s="344">
        <v>60.0</v>
      </c>
      <c r="C387" s="369"/>
      <c r="D387" s="344" t="str">
        <f t="shared" si="1"/>
        <v>Saturday</v>
      </c>
      <c r="E387" s="344"/>
      <c r="F387" s="370"/>
      <c r="G387" s="370"/>
      <c r="H387" s="357">
        <f t="shared" si="2"/>
        <v>0</v>
      </c>
      <c r="I387" s="346">
        <f t="shared" si="3"/>
        <v>0</v>
      </c>
      <c r="J387" s="312"/>
    </row>
    <row r="388">
      <c r="A388" s="344">
        <v>672.66</v>
      </c>
      <c r="B388" s="344">
        <v>60.0</v>
      </c>
      <c r="C388" s="369"/>
      <c r="D388" s="344" t="str">
        <f t="shared" si="1"/>
        <v>Saturday</v>
      </c>
      <c r="E388" s="344"/>
      <c r="F388" s="370"/>
      <c r="G388" s="370"/>
      <c r="H388" s="357">
        <f t="shared" si="2"/>
        <v>0</v>
      </c>
      <c r="I388" s="346">
        <f t="shared" si="3"/>
        <v>0</v>
      </c>
      <c r="J388" s="312"/>
    </row>
    <row r="389">
      <c r="A389" s="344">
        <v>672.66</v>
      </c>
      <c r="B389" s="344">
        <v>60.0</v>
      </c>
      <c r="C389" s="369"/>
      <c r="D389" s="344" t="str">
        <f t="shared" si="1"/>
        <v>Saturday</v>
      </c>
      <c r="E389" s="344"/>
      <c r="F389" s="370"/>
      <c r="G389" s="370"/>
      <c r="H389" s="357">
        <f t="shared" si="2"/>
        <v>0</v>
      </c>
      <c r="I389" s="346">
        <f t="shared" si="3"/>
        <v>0</v>
      </c>
      <c r="J389" s="312"/>
    </row>
    <row r="390">
      <c r="A390" s="344">
        <v>672.66</v>
      </c>
      <c r="B390" s="344">
        <v>60.0</v>
      </c>
      <c r="C390" s="369"/>
      <c r="D390" s="344" t="str">
        <f t="shared" si="1"/>
        <v>Saturday</v>
      </c>
      <c r="E390" s="344"/>
      <c r="F390" s="370"/>
      <c r="G390" s="370"/>
      <c r="H390" s="357">
        <f t="shared" si="2"/>
        <v>0</v>
      </c>
      <c r="I390" s="346">
        <f t="shared" si="3"/>
        <v>0</v>
      </c>
      <c r="J390" s="312"/>
    </row>
    <row r="391">
      <c r="A391" s="344">
        <v>672.66</v>
      </c>
      <c r="B391" s="344">
        <v>60.0</v>
      </c>
      <c r="C391" s="369"/>
      <c r="D391" s="344" t="str">
        <f t="shared" si="1"/>
        <v>Saturday</v>
      </c>
      <c r="E391" s="344"/>
      <c r="F391" s="370"/>
      <c r="G391" s="370"/>
      <c r="H391" s="357">
        <f t="shared" si="2"/>
        <v>0</v>
      </c>
      <c r="I391" s="346">
        <f t="shared" si="3"/>
        <v>0</v>
      </c>
      <c r="J391" s="312"/>
    </row>
    <row r="392">
      <c r="A392" s="344">
        <v>672.66</v>
      </c>
      <c r="B392" s="344">
        <v>60.0</v>
      </c>
      <c r="C392" s="369"/>
      <c r="D392" s="344" t="str">
        <f t="shared" si="1"/>
        <v>Saturday</v>
      </c>
      <c r="E392" s="344"/>
      <c r="F392" s="370"/>
      <c r="G392" s="370"/>
      <c r="H392" s="357">
        <f t="shared" si="2"/>
        <v>0</v>
      </c>
      <c r="I392" s="346">
        <f t="shared" si="3"/>
        <v>0</v>
      </c>
      <c r="J392" s="312"/>
    </row>
    <row r="393">
      <c r="A393" s="344">
        <v>672.66</v>
      </c>
      <c r="B393" s="344">
        <v>60.0</v>
      </c>
      <c r="C393" s="369"/>
      <c r="D393" s="344" t="str">
        <f t="shared" si="1"/>
        <v>Saturday</v>
      </c>
      <c r="E393" s="344"/>
      <c r="F393" s="370"/>
      <c r="G393" s="370"/>
      <c r="H393" s="357">
        <f t="shared" si="2"/>
        <v>0</v>
      </c>
      <c r="I393" s="346">
        <f t="shared" si="3"/>
        <v>0</v>
      </c>
      <c r="J393" s="312"/>
    </row>
    <row r="394">
      <c r="A394" s="344">
        <v>672.66</v>
      </c>
      <c r="B394" s="344">
        <v>60.0</v>
      </c>
      <c r="C394" s="369"/>
      <c r="D394" s="344" t="str">
        <f t="shared" si="1"/>
        <v>Saturday</v>
      </c>
      <c r="E394" s="344"/>
      <c r="F394" s="370"/>
      <c r="G394" s="370"/>
      <c r="H394" s="357">
        <f t="shared" si="2"/>
        <v>0</v>
      </c>
      <c r="I394" s="346">
        <f t="shared" si="3"/>
        <v>0</v>
      </c>
      <c r="J394" s="312"/>
    </row>
    <row r="395">
      <c r="A395" s="344">
        <v>672.66</v>
      </c>
      <c r="B395" s="344">
        <v>60.0</v>
      </c>
      <c r="C395" s="369"/>
      <c r="D395" s="344" t="str">
        <f t="shared" si="1"/>
        <v>Saturday</v>
      </c>
      <c r="E395" s="344"/>
      <c r="F395" s="370"/>
      <c r="G395" s="370"/>
      <c r="H395" s="357">
        <f t="shared" si="2"/>
        <v>0</v>
      </c>
      <c r="I395" s="346">
        <f t="shared" si="3"/>
        <v>0</v>
      </c>
      <c r="J395" s="312"/>
    </row>
    <row r="396">
      <c r="A396" s="344">
        <v>672.66</v>
      </c>
      <c r="B396" s="344">
        <v>60.0</v>
      </c>
      <c r="C396" s="369"/>
      <c r="D396" s="344" t="str">
        <f t="shared" si="1"/>
        <v>Saturday</v>
      </c>
      <c r="E396" s="344"/>
      <c r="F396" s="370"/>
      <c r="G396" s="370"/>
      <c r="H396" s="357">
        <f t="shared" si="2"/>
        <v>0</v>
      </c>
      <c r="I396" s="346">
        <f t="shared" si="3"/>
        <v>0</v>
      </c>
      <c r="J396" s="312"/>
    </row>
    <row r="397">
      <c r="A397" s="344">
        <v>672.66</v>
      </c>
      <c r="B397" s="344">
        <v>60.0</v>
      </c>
      <c r="C397" s="369"/>
      <c r="D397" s="344" t="str">
        <f t="shared" si="1"/>
        <v>Saturday</v>
      </c>
      <c r="E397" s="344"/>
      <c r="F397" s="370"/>
      <c r="G397" s="370"/>
      <c r="H397" s="357">
        <f t="shared" si="2"/>
        <v>0</v>
      </c>
      <c r="I397" s="346">
        <f t="shared" si="3"/>
        <v>0</v>
      </c>
      <c r="J397" s="312"/>
    </row>
    <row r="398">
      <c r="A398" s="344">
        <v>672.66</v>
      </c>
      <c r="B398" s="344">
        <v>60.0</v>
      </c>
      <c r="C398" s="369"/>
      <c r="D398" s="344" t="str">
        <f t="shared" si="1"/>
        <v>Saturday</v>
      </c>
      <c r="E398" s="344"/>
      <c r="F398" s="370"/>
      <c r="G398" s="370"/>
      <c r="H398" s="357">
        <f t="shared" si="2"/>
        <v>0</v>
      </c>
      <c r="I398" s="346">
        <f t="shared" si="3"/>
        <v>0</v>
      </c>
      <c r="J398" s="312"/>
    </row>
    <row r="399">
      <c r="A399" s="344">
        <v>672.66</v>
      </c>
      <c r="B399" s="344">
        <v>60.0</v>
      </c>
      <c r="C399" s="369"/>
      <c r="D399" s="344" t="str">
        <f t="shared" si="1"/>
        <v>Saturday</v>
      </c>
      <c r="E399" s="344"/>
      <c r="F399" s="370"/>
      <c r="G399" s="370"/>
      <c r="H399" s="357">
        <f t="shared" si="2"/>
        <v>0</v>
      </c>
      <c r="I399" s="346">
        <f t="shared" si="3"/>
        <v>0</v>
      </c>
      <c r="J399" s="312"/>
    </row>
    <row r="400">
      <c r="A400" s="344">
        <v>672.66</v>
      </c>
      <c r="B400" s="344">
        <v>60.0</v>
      </c>
      <c r="C400" s="369"/>
      <c r="D400" s="344" t="str">
        <f t="shared" si="1"/>
        <v>Saturday</v>
      </c>
      <c r="E400" s="344"/>
      <c r="F400" s="370"/>
      <c r="G400" s="370"/>
      <c r="H400" s="357">
        <f t="shared" si="2"/>
        <v>0</v>
      </c>
      <c r="I400" s="346">
        <f t="shared" si="3"/>
        <v>0</v>
      </c>
      <c r="J400" s="312"/>
    </row>
    <row r="401">
      <c r="A401" s="344">
        <v>672.66</v>
      </c>
      <c r="B401" s="344">
        <v>60.0</v>
      </c>
      <c r="C401" s="369"/>
      <c r="D401" s="344" t="str">
        <f t="shared" si="1"/>
        <v>Saturday</v>
      </c>
      <c r="E401" s="344"/>
      <c r="F401" s="370"/>
      <c r="G401" s="370"/>
      <c r="H401" s="357">
        <f t="shared" si="2"/>
        <v>0</v>
      </c>
      <c r="I401" s="346">
        <f t="shared" si="3"/>
        <v>0</v>
      </c>
      <c r="J401" s="312"/>
    </row>
    <row r="402">
      <c r="A402" s="344">
        <v>672.66</v>
      </c>
      <c r="B402" s="344">
        <v>60.0</v>
      </c>
      <c r="C402" s="369"/>
      <c r="D402" s="344" t="str">
        <f t="shared" si="1"/>
        <v>Saturday</v>
      </c>
      <c r="E402" s="344"/>
      <c r="F402" s="370"/>
      <c r="G402" s="370"/>
      <c r="H402" s="357">
        <f t="shared" si="2"/>
        <v>0</v>
      </c>
      <c r="I402" s="346">
        <f t="shared" si="3"/>
        <v>0</v>
      </c>
      <c r="J402" s="312"/>
    </row>
    <row r="403">
      <c r="A403" s="344">
        <v>672.66</v>
      </c>
      <c r="B403" s="344">
        <v>60.0</v>
      </c>
      <c r="C403" s="369"/>
      <c r="D403" s="344" t="str">
        <f t="shared" si="1"/>
        <v>Saturday</v>
      </c>
      <c r="E403" s="344"/>
      <c r="F403" s="370"/>
      <c r="G403" s="370"/>
      <c r="H403" s="357">
        <f t="shared" si="2"/>
        <v>0</v>
      </c>
      <c r="I403" s="346">
        <f t="shared" si="3"/>
        <v>0</v>
      </c>
      <c r="J403" s="312"/>
    </row>
    <row r="404">
      <c r="A404" s="344">
        <v>672.66</v>
      </c>
      <c r="B404" s="344">
        <v>60.0</v>
      </c>
      <c r="C404" s="369"/>
      <c r="D404" s="344" t="str">
        <f t="shared" si="1"/>
        <v>Saturday</v>
      </c>
      <c r="E404" s="344"/>
      <c r="F404" s="370"/>
      <c r="G404" s="370"/>
      <c r="H404" s="357">
        <f t="shared" si="2"/>
        <v>0</v>
      </c>
      <c r="I404" s="346">
        <f t="shared" si="3"/>
        <v>0</v>
      </c>
      <c r="J404" s="312"/>
    </row>
    <row r="405">
      <c r="A405" s="344">
        <v>672.66</v>
      </c>
      <c r="B405" s="344">
        <v>60.0</v>
      </c>
      <c r="C405" s="369"/>
      <c r="D405" s="344" t="str">
        <f t="shared" si="1"/>
        <v>Saturday</v>
      </c>
      <c r="E405" s="344"/>
      <c r="F405" s="370"/>
      <c r="G405" s="370"/>
      <c r="H405" s="357">
        <f t="shared" si="2"/>
        <v>0</v>
      </c>
      <c r="I405" s="346">
        <f t="shared" si="3"/>
        <v>0</v>
      </c>
      <c r="J405" s="312"/>
    </row>
    <row r="406">
      <c r="A406" s="344">
        <v>672.66</v>
      </c>
      <c r="B406" s="344">
        <v>60.0</v>
      </c>
      <c r="C406" s="369"/>
      <c r="D406" s="344" t="str">
        <f t="shared" si="1"/>
        <v>Saturday</v>
      </c>
      <c r="E406" s="344"/>
      <c r="F406" s="370"/>
      <c r="G406" s="370"/>
      <c r="H406" s="357">
        <f t="shared" si="2"/>
        <v>0</v>
      </c>
      <c r="I406" s="346">
        <f t="shared" si="3"/>
        <v>0</v>
      </c>
      <c r="J406" s="312"/>
    </row>
    <row r="407">
      <c r="A407" s="344">
        <v>672.66</v>
      </c>
      <c r="B407" s="344">
        <v>60.0</v>
      </c>
      <c r="C407" s="369"/>
      <c r="D407" s="344" t="str">
        <f t="shared" si="1"/>
        <v>Saturday</v>
      </c>
      <c r="E407" s="344"/>
      <c r="F407" s="370"/>
      <c r="G407" s="370"/>
      <c r="H407" s="357">
        <f t="shared" si="2"/>
        <v>0</v>
      </c>
      <c r="I407" s="346">
        <f t="shared" si="3"/>
        <v>0</v>
      </c>
      <c r="J407" s="312"/>
    </row>
    <row r="408">
      <c r="A408" s="344">
        <v>672.66</v>
      </c>
      <c r="B408" s="344">
        <v>60.0</v>
      </c>
      <c r="C408" s="369"/>
      <c r="D408" s="344" t="str">
        <f t="shared" si="1"/>
        <v>Saturday</v>
      </c>
      <c r="E408" s="344"/>
      <c r="F408" s="370"/>
      <c r="G408" s="370"/>
      <c r="H408" s="357">
        <f t="shared" si="2"/>
        <v>0</v>
      </c>
      <c r="I408" s="346">
        <f t="shared" si="3"/>
        <v>0</v>
      </c>
      <c r="J408" s="312"/>
    </row>
    <row r="409">
      <c r="A409" s="344">
        <v>672.66</v>
      </c>
      <c r="B409" s="344">
        <v>60.0</v>
      </c>
      <c r="C409" s="369"/>
      <c r="D409" s="344" t="str">
        <f t="shared" si="1"/>
        <v>Saturday</v>
      </c>
      <c r="E409" s="344"/>
      <c r="F409" s="370"/>
      <c r="G409" s="370"/>
      <c r="H409" s="357">
        <f t="shared" si="2"/>
        <v>0</v>
      </c>
      <c r="I409" s="346">
        <f t="shared" si="3"/>
        <v>0</v>
      </c>
      <c r="J409" s="312"/>
    </row>
    <row r="410">
      <c r="A410" s="344">
        <v>672.66</v>
      </c>
      <c r="B410" s="344">
        <v>60.0</v>
      </c>
      <c r="C410" s="369"/>
      <c r="D410" s="344" t="str">
        <f t="shared" si="1"/>
        <v>Saturday</v>
      </c>
      <c r="E410" s="344"/>
      <c r="F410" s="370"/>
      <c r="G410" s="370"/>
      <c r="H410" s="357">
        <f t="shared" si="2"/>
        <v>0</v>
      </c>
      <c r="I410" s="346">
        <f t="shared" si="3"/>
        <v>0</v>
      </c>
      <c r="J410" s="312"/>
    </row>
    <row r="411">
      <c r="A411" s="344">
        <v>672.66</v>
      </c>
      <c r="B411" s="344">
        <v>60.0</v>
      </c>
      <c r="C411" s="369"/>
      <c r="D411" s="344" t="str">
        <f t="shared" si="1"/>
        <v>Saturday</v>
      </c>
      <c r="E411" s="344"/>
      <c r="F411" s="370"/>
      <c r="G411" s="370"/>
      <c r="H411" s="357">
        <f t="shared" si="2"/>
        <v>0</v>
      </c>
      <c r="I411" s="346">
        <f t="shared" si="3"/>
        <v>0</v>
      </c>
      <c r="J411" s="312"/>
    </row>
    <row r="412">
      <c r="A412" s="344">
        <v>672.66</v>
      </c>
      <c r="B412" s="344">
        <v>60.0</v>
      </c>
      <c r="C412" s="369"/>
      <c r="D412" s="344" t="str">
        <f t="shared" si="1"/>
        <v>Saturday</v>
      </c>
      <c r="E412" s="344"/>
      <c r="F412" s="370"/>
      <c r="G412" s="370"/>
      <c r="H412" s="357">
        <f t="shared" si="2"/>
        <v>0</v>
      </c>
      <c r="I412" s="346">
        <f t="shared" si="3"/>
        <v>0</v>
      </c>
      <c r="J412" s="312"/>
    </row>
    <row r="413">
      <c r="A413" s="344">
        <v>672.66</v>
      </c>
      <c r="B413" s="344">
        <v>60.0</v>
      </c>
      <c r="C413" s="369"/>
      <c r="D413" s="344" t="str">
        <f t="shared" si="1"/>
        <v>Saturday</v>
      </c>
      <c r="E413" s="344"/>
      <c r="F413" s="370"/>
      <c r="G413" s="370"/>
      <c r="H413" s="357">
        <f t="shared" si="2"/>
        <v>0</v>
      </c>
      <c r="I413" s="346">
        <f t="shared" si="3"/>
        <v>0</v>
      </c>
      <c r="J413" s="312"/>
    </row>
    <row r="414">
      <c r="A414" s="344">
        <v>672.66</v>
      </c>
      <c r="B414" s="344">
        <v>60.0</v>
      </c>
      <c r="C414" s="369"/>
      <c r="D414" s="344" t="str">
        <f t="shared" si="1"/>
        <v>Saturday</v>
      </c>
      <c r="E414" s="344"/>
      <c r="F414" s="370"/>
      <c r="G414" s="370"/>
      <c r="H414" s="357">
        <f t="shared" si="2"/>
        <v>0</v>
      </c>
      <c r="I414" s="346">
        <f t="shared" si="3"/>
        <v>0</v>
      </c>
      <c r="J414" s="312"/>
    </row>
    <row r="415">
      <c r="A415" s="344">
        <v>672.66</v>
      </c>
      <c r="B415" s="344">
        <v>60.0</v>
      </c>
      <c r="C415" s="369"/>
      <c r="D415" s="344" t="str">
        <f t="shared" si="1"/>
        <v>Saturday</v>
      </c>
      <c r="E415" s="344"/>
      <c r="F415" s="370"/>
      <c r="G415" s="370"/>
      <c r="H415" s="357">
        <f t="shared" si="2"/>
        <v>0</v>
      </c>
      <c r="I415" s="346">
        <f t="shared" si="3"/>
        <v>0</v>
      </c>
      <c r="J415" s="312"/>
    </row>
    <row r="416">
      <c r="A416" s="344">
        <v>672.66</v>
      </c>
      <c r="B416" s="344">
        <v>60.0</v>
      </c>
      <c r="C416" s="369"/>
      <c r="D416" s="344" t="str">
        <f t="shared" si="1"/>
        <v>Saturday</v>
      </c>
      <c r="E416" s="344"/>
      <c r="F416" s="370"/>
      <c r="G416" s="370"/>
      <c r="H416" s="357">
        <f t="shared" si="2"/>
        <v>0</v>
      </c>
      <c r="I416" s="346">
        <f t="shared" si="3"/>
        <v>0</v>
      </c>
      <c r="J416" s="312"/>
    </row>
    <row r="417">
      <c r="A417" s="344">
        <v>672.66</v>
      </c>
      <c r="B417" s="344">
        <v>60.0</v>
      </c>
      <c r="C417" s="369"/>
      <c r="D417" s="344" t="str">
        <f t="shared" si="1"/>
        <v>Saturday</v>
      </c>
      <c r="E417" s="344"/>
      <c r="F417" s="370"/>
      <c r="G417" s="370"/>
      <c r="H417" s="357">
        <f t="shared" si="2"/>
        <v>0</v>
      </c>
      <c r="I417" s="346">
        <f t="shared" si="3"/>
        <v>0</v>
      </c>
      <c r="J417" s="312"/>
    </row>
    <row r="418">
      <c r="A418" s="344">
        <v>672.66</v>
      </c>
      <c r="B418" s="344">
        <v>60.0</v>
      </c>
      <c r="C418" s="369"/>
      <c r="D418" s="344" t="str">
        <f t="shared" si="1"/>
        <v>Saturday</v>
      </c>
      <c r="E418" s="344"/>
      <c r="F418" s="370"/>
      <c r="G418" s="370"/>
      <c r="H418" s="357">
        <f t="shared" si="2"/>
        <v>0</v>
      </c>
      <c r="I418" s="346">
        <f t="shared" si="3"/>
        <v>0</v>
      </c>
      <c r="J418" s="312"/>
    </row>
    <row r="419">
      <c r="A419" s="344">
        <v>672.66</v>
      </c>
      <c r="B419" s="344">
        <v>60.0</v>
      </c>
      <c r="C419" s="369"/>
      <c r="D419" s="344" t="str">
        <f t="shared" si="1"/>
        <v>Saturday</v>
      </c>
      <c r="E419" s="344"/>
      <c r="F419" s="370"/>
      <c r="G419" s="370"/>
      <c r="H419" s="357">
        <f t="shared" si="2"/>
        <v>0</v>
      </c>
      <c r="I419" s="346">
        <f t="shared" si="3"/>
        <v>0</v>
      </c>
      <c r="J419" s="312"/>
    </row>
    <row r="420">
      <c r="A420" s="344">
        <v>672.66</v>
      </c>
      <c r="B420" s="344">
        <v>60.0</v>
      </c>
      <c r="C420" s="369"/>
      <c r="D420" s="344" t="str">
        <f t="shared" si="1"/>
        <v>Saturday</v>
      </c>
      <c r="E420" s="344"/>
      <c r="F420" s="370"/>
      <c r="G420" s="370"/>
      <c r="H420" s="357">
        <f t="shared" si="2"/>
        <v>0</v>
      </c>
      <c r="I420" s="346">
        <f t="shared" si="3"/>
        <v>0</v>
      </c>
      <c r="J420" s="312"/>
    </row>
    <row r="421">
      <c r="A421" s="344">
        <v>672.66</v>
      </c>
      <c r="B421" s="344">
        <v>60.0</v>
      </c>
      <c r="C421" s="369"/>
      <c r="D421" s="344" t="str">
        <f t="shared" si="1"/>
        <v>Saturday</v>
      </c>
      <c r="E421" s="344"/>
      <c r="F421" s="370"/>
      <c r="G421" s="370"/>
      <c r="H421" s="357">
        <f t="shared" si="2"/>
        <v>0</v>
      </c>
      <c r="I421" s="346">
        <f t="shared" si="3"/>
        <v>0</v>
      </c>
      <c r="J421" s="312"/>
    </row>
    <row r="422">
      <c r="A422" s="344">
        <v>672.66</v>
      </c>
      <c r="B422" s="344">
        <v>60.0</v>
      </c>
      <c r="C422" s="369"/>
      <c r="D422" s="344" t="str">
        <f t="shared" si="1"/>
        <v>Saturday</v>
      </c>
      <c r="E422" s="344"/>
      <c r="F422" s="370"/>
      <c r="G422" s="370"/>
      <c r="H422" s="357">
        <f t="shared" si="2"/>
        <v>0</v>
      </c>
      <c r="I422" s="346">
        <f t="shared" si="3"/>
        <v>0</v>
      </c>
      <c r="J422" s="312"/>
    </row>
    <row r="423">
      <c r="A423" s="344">
        <v>672.66</v>
      </c>
      <c r="B423" s="344">
        <v>60.0</v>
      </c>
      <c r="C423" s="369"/>
      <c r="D423" s="344" t="str">
        <f t="shared" si="1"/>
        <v>Saturday</v>
      </c>
      <c r="E423" s="344"/>
      <c r="F423" s="370"/>
      <c r="G423" s="370"/>
      <c r="H423" s="357">
        <f t="shared" si="2"/>
        <v>0</v>
      </c>
      <c r="I423" s="346">
        <f t="shared" si="3"/>
        <v>0</v>
      </c>
      <c r="J423" s="312"/>
    </row>
    <row r="424">
      <c r="A424" s="344">
        <v>672.66</v>
      </c>
      <c r="B424" s="344">
        <v>60.0</v>
      </c>
      <c r="C424" s="369"/>
      <c r="D424" s="344" t="str">
        <f t="shared" si="1"/>
        <v>Saturday</v>
      </c>
      <c r="E424" s="344"/>
      <c r="F424" s="370"/>
      <c r="G424" s="370"/>
      <c r="H424" s="357">
        <f t="shared" si="2"/>
        <v>0</v>
      </c>
      <c r="I424" s="346">
        <f t="shared" si="3"/>
        <v>0</v>
      </c>
      <c r="J424" s="312"/>
    </row>
    <row r="425">
      <c r="A425" s="344">
        <v>672.66</v>
      </c>
      <c r="B425" s="344">
        <v>60.0</v>
      </c>
      <c r="C425" s="369"/>
      <c r="D425" s="344" t="str">
        <f t="shared" si="1"/>
        <v>Saturday</v>
      </c>
      <c r="E425" s="344"/>
      <c r="F425" s="370"/>
      <c r="G425" s="370"/>
      <c r="H425" s="357">
        <f t="shared" si="2"/>
        <v>0</v>
      </c>
      <c r="I425" s="346">
        <f t="shared" si="3"/>
        <v>0</v>
      </c>
      <c r="J425" s="312"/>
    </row>
    <row r="426">
      <c r="A426" s="344">
        <v>672.66</v>
      </c>
      <c r="B426" s="344">
        <v>60.0</v>
      </c>
      <c r="C426" s="369"/>
      <c r="D426" s="344" t="str">
        <f t="shared" si="1"/>
        <v>Saturday</v>
      </c>
      <c r="E426" s="344"/>
      <c r="F426" s="370"/>
      <c r="G426" s="370"/>
      <c r="H426" s="357">
        <f t="shared" si="2"/>
        <v>0</v>
      </c>
      <c r="I426" s="346">
        <f t="shared" si="3"/>
        <v>0</v>
      </c>
      <c r="J426" s="312"/>
    </row>
    <row r="427">
      <c r="A427" s="344">
        <v>672.66</v>
      </c>
      <c r="B427" s="344">
        <v>60.0</v>
      </c>
      <c r="C427" s="369"/>
      <c r="D427" s="344" t="str">
        <f t="shared" si="1"/>
        <v>Saturday</v>
      </c>
      <c r="E427" s="344"/>
      <c r="F427" s="370"/>
      <c r="G427" s="370"/>
      <c r="H427" s="357">
        <f t="shared" si="2"/>
        <v>0</v>
      </c>
      <c r="I427" s="346">
        <f t="shared" si="3"/>
        <v>0</v>
      </c>
      <c r="J427" s="312"/>
    </row>
    <row r="428">
      <c r="A428" s="344">
        <v>672.66</v>
      </c>
      <c r="B428" s="344">
        <v>60.0</v>
      </c>
      <c r="C428" s="369"/>
      <c r="D428" s="344" t="str">
        <f t="shared" si="1"/>
        <v>Saturday</v>
      </c>
      <c r="E428" s="344"/>
      <c r="F428" s="370"/>
      <c r="G428" s="370"/>
      <c r="H428" s="357">
        <f t="shared" si="2"/>
        <v>0</v>
      </c>
      <c r="I428" s="346">
        <f t="shared" si="3"/>
        <v>0</v>
      </c>
      <c r="J428" s="312"/>
    </row>
    <row r="429">
      <c r="A429" s="344">
        <v>672.66</v>
      </c>
      <c r="B429" s="344">
        <v>60.0</v>
      </c>
      <c r="C429" s="369"/>
      <c r="D429" s="344" t="str">
        <f t="shared" si="1"/>
        <v>Saturday</v>
      </c>
      <c r="E429" s="344"/>
      <c r="F429" s="370"/>
      <c r="G429" s="370"/>
      <c r="H429" s="357">
        <f t="shared" si="2"/>
        <v>0</v>
      </c>
      <c r="I429" s="346">
        <f t="shared" si="3"/>
        <v>0</v>
      </c>
      <c r="J429" s="312"/>
    </row>
    <row r="430">
      <c r="A430" s="344">
        <v>672.66</v>
      </c>
      <c r="B430" s="344">
        <v>60.0</v>
      </c>
      <c r="C430" s="369"/>
      <c r="D430" s="344" t="str">
        <f t="shared" si="1"/>
        <v>Saturday</v>
      </c>
      <c r="E430" s="344"/>
      <c r="F430" s="370"/>
      <c r="G430" s="370"/>
      <c r="H430" s="357">
        <f t="shared" si="2"/>
        <v>0</v>
      </c>
      <c r="I430" s="346">
        <f t="shared" si="3"/>
        <v>0</v>
      </c>
      <c r="J430" s="312"/>
    </row>
    <row r="431">
      <c r="A431" s="344">
        <v>672.66</v>
      </c>
      <c r="B431" s="344">
        <v>60.0</v>
      </c>
      <c r="C431" s="369"/>
      <c r="D431" s="344" t="str">
        <f t="shared" si="1"/>
        <v>Saturday</v>
      </c>
      <c r="E431" s="344"/>
      <c r="F431" s="370"/>
      <c r="G431" s="370"/>
      <c r="H431" s="357">
        <f t="shared" si="2"/>
        <v>0</v>
      </c>
      <c r="I431" s="346">
        <f t="shared" si="3"/>
        <v>0</v>
      </c>
      <c r="J431" s="312"/>
    </row>
    <row r="432">
      <c r="A432" s="344">
        <v>672.66</v>
      </c>
      <c r="B432" s="344">
        <v>60.0</v>
      </c>
      <c r="C432" s="369"/>
      <c r="D432" s="344" t="str">
        <f t="shared" si="1"/>
        <v>Saturday</v>
      </c>
      <c r="E432" s="344"/>
      <c r="F432" s="370"/>
      <c r="G432" s="370"/>
      <c r="H432" s="357">
        <f t="shared" si="2"/>
        <v>0</v>
      </c>
      <c r="I432" s="346">
        <f t="shared" si="3"/>
        <v>0</v>
      </c>
      <c r="J432" s="312"/>
    </row>
    <row r="433">
      <c r="A433" s="344">
        <v>672.66</v>
      </c>
      <c r="B433" s="344">
        <v>60.0</v>
      </c>
      <c r="C433" s="369"/>
      <c r="D433" s="344" t="str">
        <f t="shared" si="1"/>
        <v>Saturday</v>
      </c>
      <c r="E433" s="344"/>
      <c r="F433" s="370"/>
      <c r="G433" s="370"/>
      <c r="H433" s="357">
        <f t="shared" si="2"/>
        <v>0</v>
      </c>
      <c r="I433" s="346">
        <f t="shared" si="3"/>
        <v>0</v>
      </c>
      <c r="J433" s="312"/>
    </row>
    <row r="434">
      <c r="A434" s="344">
        <v>672.66</v>
      </c>
      <c r="B434" s="344">
        <v>60.0</v>
      </c>
      <c r="C434" s="369"/>
      <c r="D434" s="344" t="str">
        <f t="shared" si="1"/>
        <v>Saturday</v>
      </c>
      <c r="E434" s="344"/>
      <c r="F434" s="370"/>
      <c r="G434" s="370"/>
      <c r="H434" s="357">
        <f t="shared" si="2"/>
        <v>0</v>
      </c>
      <c r="I434" s="346">
        <f t="shared" si="3"/>
        <v>0</v>
      </c>
      <c r="J434" s="312"/>
    </row>
    <row r="435">
      <c r="A435" s="344">
        <v>672.66</v>
      </c>
      <c r="B435" s="344">
        <v>60.0</v>
      </c>
      <c r="C435" s="369"/>
      <c r="D435" s="344" t="str">
        <f t="shared" si="1"/>
        <v>Saturday</v>
      </c>
      <c r="E435" s="344"/>
      <c r="F435" s="370"/>
      <c r="G435" s="370"/>
      <c r="H435" s="357">
        <f t="shared" si="2"/>
        <v>0</v>
      </c>
      <c r="I435" s="346">
        <f t="shared" si="3"/>
        <v>0</v>
      </c>
      <c r="J435" s="312"/>
    </row>
    <row r="436">
      <c r="A436" s="344">
        <v>672.66</v>
      </c>
      <c r="B436" s="344">
        <v>60.0</v>
      </c>
      <c r="C436" s="369"/>
      <c r="D436" s="344" t="str">
        <f t="shared" si="1"/>
        <v>Saturday</v>
      </c>
      <c r="E436" s="344"/>
      <c r="F436" s="370"/>
      <c r="G436" s="370"/>
      <c r="H436" s="357">
        <f t="shared" si="2"/>
        <v>0</v>
      </c>
      <c r="I436" s="346">
        <f t="shared" si="3"/>
        <v>0</v>
      </c>
      <c r="J436" s="312"/>
    </row>
    <row r="437">
      <c r="A437" s="344">
        <v>672.66</v>
      </c>
      <c r="B437" s="344">
        <v>60.0</v>
      </c>
      <c r="C437" s="369"/>
      <c r="D437" s="344" t="str">
        <f t="shared" si="1"/>
        <v>Saturday</v>
      </c>
      <c r="E437" s="344"/>
      <c r="F437" s="370"/>
      <c r="G437" s="370"/>
      <c r="H437" s="357">
        <f t="shared" si="2"/>
        <v>0</v>
      </c>
      <c r="I437" s="346">
        <f t="shared" si="3"/>
        <v>0</v>
      </c>
      <c r="J437" s="312"/>
    </row>
    <row r="438">
      <c r="A438" s="344">
        <v>672.66</v>
      </c>
      <c r="B438" s="344">
        <v>60.0</v>
      </c>
      <c r="C438" s="369"/>
      <c r="D438" s="344" t="str">
        <f t="shared" si="1"/>
        <v>Saturday</v>
      </c>
      <c r="E438" s="344"/>
      <c r="F438" s="370"/>
      <c r="G438" s="370"/>
      <c r="H438" s="357">
        <f t="shared" si="2"/>
        <v>0</v>
      </c>
      <c r="I438" s="346">
        <f t="shared" si="3"/>
        <v>0</v>
      </c>
      <c r="J438" s="312"/>
    </row>
    <row r="439">
      <c r="A439" s="344">
        <v>672.66</v>
      </c>
      <c r="B439" s="344">
        <v>60.0</v>
      </c>
      <c r="C439" s="369"/>
      <c r="D439" s="344" t="str">
        <f t="shared" si="1"/>
        <v>Saturday</v>
      </c>
      <c r="E439" s="344"/>
      <c r="F439" s="370"/>
      <c r="G439" s="370"/>
      <c r="H439" s="357">
        <f t="shared" si="2"/>
        <v>0</v>
      </c>
      <c r="I439" s="346">
        <f t="shared" si="3"/>
        <v>0</v>
      </c>
      <c r="J439" s="312"/>
    </row>
    <row r="440">
      <c r="A440" s="344">
        <v>672.66</v>
      </c>
      <c r="B440" s="344">
        <v>60.0</v>
      </c>
      <c r="C440" s="369"/>
      <c r="D440" s="344" t="str">
        <f t="shared" si="1"/>
        <v>Saturday</v>
      </c>
      <c r="E440" s="344"/>
      <c r="F440" s="370"/>
      <c r="G440" s="370"/>
      <c r="H440" s="357">
        <f t="shared" si="2"/>
        <v>0</v>
      </c>
      <c r="I440" s="346">
        <f t="shared" si="3"/>
        <v>0</v>
      </c>
      <c r="J440" s="312"/>
    </row>
    <row r="441">
      <c r="A441" s="344">
        <v>672.66</v>
      </c>
      <c r="B441" s="344">
        <v>60.0</v>
      </c>
      <c r="C441" s="369"/>
      <c r="D441" s="344" t="str">
        <f t="shared" si="1"/>
        <v>Saturday</v>
      </c>
      <c r="E441" s="344"/>
      <c r="F441" s="370"/>
      <c r="G441" s="370"/>
      <c r="H441" s="357">
        <f t="shared" si="2"/>
        <v>0</v>
      </c>
      <c r="I441" s="346">
        <f t="shared" si="3"/>
        <v>0</v>
      </c>
      <c r="J441" s="312"/>
    </row>
    <row r="442">
      <c r="A442" s="344">
        <v>672.66</v>
      </c>
      <c r="B442" s="344">
        <v>60.0</v>
      </c>
      <c r="C442" s="369"/>
      <c r="D442" s="344" t="str">
        <f t="shared" si="1"/>
        <v>Saturday</v>
      </c>
      <c r="E442" s="344"/>
      <c r="F442" s="370"/>
      <c r="G442" s="370"/>
      <c r="H442" s="357">
        <f t="shared" si="2"/>
        <v>0</v>
      </c>
      <c r="I442" s="346">
        <f t="shared" si="3"/>
        <v>0</v>
      </c>
      <c r="J442" s="312"/>
    </row>
    <row r="443">
      <c r="A443" s="344">
        <v>672.66</v>
      </c>
      <c r="B443" s="344">
        <v>60.0</v>
      </c>
      <c r="C443" s="369"/>
      <c r="D443" s="344" t="str">
        <f t="shared" si="1"/>
        <v>Saturday</v>
      </c>
      <c r="E443" s="344"/>
      <c r="F443" s="370"/>
      <c r="G443" s="370"/>
      <c r="H443" s="357">
        <f t="shared" si="2"/>
        <v>0</v>
      </c>
      <c r="I443" s="346">
        <f t="shared" si="3"/>
        <v>0</v>
      </c>
      <c r="J443" s="312"/>
    </row>
    <row r="444">
      <c r="A444" s="344">
        <v>672.66</v>
      </c>
      <c r="B444" s="344">
        <v>60.0</v>
      </c>
      <c r="C444" s="369"/>
      <c r="D444" s="344" t="str">
        <f t="shared" si="1"/>
        <v>Saturday</v>
      </c>
      <c r="E444" s="344"/>
      <c r="F444" s="370"/>
      <c r="G444" s="370"/>
      <c r="H444" s="357">
        <f t="shared" si="2"/>
        <v>0</v>
      </c>
      <c r="I444" s="346">
        <f t="shared" si="3"/>
        <v>0</v>
      </c>
      <c r="J444" s="312"/>
    </row>
    <row r="445">
      <c r="A445" s="344">
        <v>672.66</v>
      </c>
      <c r="B445" s="344">
        <v>60.0</v>
      </c>
      <c r="C445" s="369"/>
      <c r="D445" s="344" t="str">
        <f t="shared" si="1"/>
        <v>Saturday</v>
      </c>
      <c r="E445" s="344"/>
      <c r="F445" s="370"/>
      <c r="G445" s="370"/>
      <c r="H445" s="357">
        <f t="shared" si="2"/>
        <v>0</v>
      </c>
      <c r="I445" s="346">
        <f t="shared" si="3"/>
        <v>0</v>
      </c>
      <c r="J445" s="312"/>
    </row>
    <row r="446">
      <c r="A446" s="344">
        <v>672.66</v>
      </c>
      <c r="B446" s="344">
        <v>60.0</v>
      </c>
      <c r="C446" s="369"/>
      <c r="D446" s="344" t="str">
        <f t="shared" si="1"/>
        <v>Saturday</v>
      </c>
      <c r="E446" s="344"/>
      <c r="F446" s="370"/>
      <c r="G446" s="370"/>
      <c r="H446" s="357">
        <f t="shared" si="2"/>
        <v>0</v>
      </c>
      <c r="I446" s="346">
        <f t="shared" si="3"/>
        <v>0</v>
      </c>
      <c r="J446" s="312"/>
    </row>
    <row r="447">
      <c r="A447" s="344">
        <v>672.66</v>
      </c>
      <c r="B447" s="344">
        <v>60.0</v>
      </c>
      <c r="C447" s="369"/>
      <c r="D447" s="344" t="str">
        <f t="shared" si="1"/>
        <v>Saturday</v>
      </c>
      <c r="E447" s="344"/>
      <c r="F447" s="370"/>
      <c r="G447" s="370"/>
      <c r="H447" s="357">
        <f t="shared" si="2"/>
        <v>0</v>
      </c>
      <c r="I447" s="346">
        <f t="shared" si="3"/>
        <v>0</v>
      </c>
      <c r="J447" s="312"/>
    </row>
    <row r="448">
      <c r="A448" s="344">
        <v>672.66</v>
      </c>
      <c r="B448" s="344">
        <v>60.0</v>
      </c>
      <c r="C448" s="369"/>
      <c r="D448" s="344" t="str">
        <f t="shared" si="1"/>
        <v>Saturday</v>
      </c>
      <c r="E448" s="344"/>
      <c r="F448" s="370"/>
      <c r="G448" s="370"/>
      <c r="H448" s="357">
        <f t="shared" si="2"/>
        <v>0</v>
      </c>
      <c r="I448" s="346">
        <f t="shared" si="3"/>
        <v>0</v>
      </c>
      <c r="J448" s="312"/>
    </row>
    <row r="449">
      <c r="A449" s="344">
        <v>672.66</v>
      </c>
      <c r="B449" s="344">
        <v>60.0</v>
      </c>
      <c r="C449" s="369"/>
      <c r="D449" s="344" t="str">
        <f t="shared" si="1"/>
        <v>Saturday</v>
      </c>
      <c r="E449" s="344"/>
      <c r="F449" s="370"/>
      <c r="G449" s="370"/>
      <c r="H449" s="357">
        <f t="shared" si="2"/>
        <v>0</v>
      </c>
      <c r="I449" s="346">
        <f t="shared" si="3"/>
        <v>0</v>
      </c>
      <c r="J449" s="312"/>
    </row>
    <row r="450">
      <c r="A450" s="344">
        <v>672.66</v>
      </c>
      <c r="B450" s="344">
        <v>60.0</v>
      </c>
      <c r="C450" s="369"/>
      <c r="D450" s="344" t="str">
        <f t="shared" si="1"/>
        <v>Saturday</v>
      </c>
      <c r="E450" s="344"/>
      <c r="F450" s="370"/>
      <c r="G450" s="370"/>
      <c r="H450" s="357">
        <f t="shared" si="2"/>
        <v>0</v>
      </c>
      <c r="I450" s="346">
        <f t="shared" si="3"/>
        <v>0</v>
      </c>
      <c r="J450" s="312"/>
    </row>
    <row r="451">
      <c r="A451" s="344">
        <v>672.66</v>
      </c>
      <c r="B451" s="344">
        <v>60.0</v>
      </c>
      <c r="C451" s="369"/>
      <c r="D451" s="344" t="str">
        <f t="shared" si="1"/>
        <v>Saturday</v>
      </c>
      <c r="E451" s="344"/>
      <c r="F451" s="370"/>
      <c r="G451" s="370"/>
      <c r="H451" s="357">
        <f t="shared" si="2"/>
        <v>0</v>
      </c>
      <c r="I451" s="346">
        <f t="shared" si="3"/>
        <v>0</v>
      </c>
      <c r="J451" s="312"/>
    </row>
    <row r="452">
      <c r="A452" s="344">
        <v>672.66</v>
      </c>
      <c r="B452" s="344">
        <v>60.0</v>
      </c>
      <c r="C452" s="369"/>
      <c r="D452" s="344" t="str">
        <f t="shared" si="1"/>
        <v>Saturday</v>
      </c>
      <c r="E452" s="344"/>
      <c r="F452" s="370"/>
      <c r="G452" s="370"/>
      <c r="H452" s="357">
        <f t="shared" si="2"/>
        <v>0</v>
      </c>
      <c r="I452" s="346">
        <f t="shared" si="3"/>
        <v>0</v>
      </c>
      <c r="J452" s="312"/>
    </row>
    <row r="453">
      <c r="A453" s="344">
        <v>672.66</v>
      </c>
      <c r="B453" s="344">
        <v>60.0</v>
      </c>
      <c r="C453" s="369"/>
      <c r="D453" s="344" t="str">
        <f t="shared" si="1"/>
        <v>Saturday</v>
      </c>
      <c r="E453" s="344"/>
      <c r="F453" s="370"/>
      <c r="G453" s="370"/>
      <c r="H453" s="357">
        <f t="shared" si="2"/>
        <v>0</v>
      </c>
      <c r="I453" s="346">
        <f t="shared" si="3"/>
        <v>0</v>
      </c>
      <c r="J453" s="312"/>
    </row>
    <row r="454">
      <c r="A454" s="344">
        <v>672.66</v>
      </c>
      <c r="B454" s="344">
        <v>60.0</v>
      </c>
      <c r="C454" s="369"/>
      <c r="D454" s="344" t="str">
        <f t="shared" si="1"/>
        <v>Saturday</v>
      </c>
      <c r="E454" s="344"/>
      <c r="F454" s="370"/>
      <c r="G454" s="370"/>
      <c r="H454" s="357">
        <f t="shared" si="2"/>
        <v>0</v>
      </c>
      <c r="I454" s="346">
        <f t="shared" si="3"/>
        <v>0</v>
      </c>
      <c r="J454" s="312"/>
    </row>
    <row r="455">
      <c r="A455" s="344">
        <v>672.66</v>
      </c>
      <c r="B455" s="344">
        <v>60.0</v>
      </c>
      <c r="C455" s="369"/>
      <c r="D455" s="344" t="str">
        <f t="shared" si="1"/>
        <v>Saturday</v>
      </c>
      <c r="E455" s="344"/>
      <c r="F455" s="370"/>
      <c r="G455" s="370"/>
      <c r="H455" s="357">
        <f t="shared" si="2"/>
        <v>0</v>
      </c>
      <c r="I455" s="346">
        <f t="shared" si="3"/>
        <v>0</v>
      </c>
      <c r="J455" s="312"/>
    </row>
    <row r="456">
      <c r="A456" s="344">
        <v>672.66</v>
      </c>
      <c r="B456" s="344">
        <v>60.0</v>
      </c>
      <c r="C456" s="369"/>
      <c r="D456" s="344" t="str">
        <f t="shared" si="1"/>
        <v>Saturday</v>
      </c>
      <c r="E456" s="344"/>
      <c r="F456" s="370"/>
      <c r="G456" s="370"/>
      <c r="H456" s="357">
        <f t="shared" si="2"/>
        <v>0</v>
      </c>
      <c r="I456" s="346">
        <f t="shared" si="3"/>
        <v>0</v>
      </c>
      <c r="J456" s="312"/>
    </row>
    <row r="457">
      <c r="A457" s="344">
        <v>672.66</v>
      </c>
      <c r="B457" s="344">
        <v>60.0</v>
      </c>
      <c r="C457" s="369"/>
      <c r="D457" s="344" t="str">
        <f t="shared" si="1"/>
        <v>Saturday</v>
      </c>
      <c r="E457" s="344"/>
      <c r="F457" s="370"/>
      <c r="G457" s="370"/>
      <c r="H457" s="357">
        <f t="shared" si="2"/>
        <v>0</v>
      </c>
      <c r="I457" s="346">
        <f t="shared" si="3"/>
        <v>0</v>
      </c>
      <c r="J457" s="312"/>
    </row>
    <row r="458">
      <c r="A458" s="344">
        <v>672.66</v>
      </c>
      <c r="B458" s="344">
        <v>60.0</v>
      </c>
      <c r="C458" s="369"/>
      <c r="D458" s="344" t="str">
        <f t="shared" si="1"/>
        <v>Saturday</v>
      </c>
      <c r="E458" s="344"/>
      <c r="F458" s="370"/>
      <c r="G458" s="370"/>
      <c r="H458" s="357">
        <f t="shared" si="2"/>
        <v>0</v>
      </c>
      <c r="I458" s="346">
        <f t="shared" si="3"/>
        <v>0</v>
      </c>
      <c r="J458" s="312"/>
    </row>
    <row r="459">
      <c r="A459" s="344">
        <v>672.66</v>
      </c>
      <c r="B459" s="344">
        <v>60.0</v>
      </c>
      <c r="C459" s="369"/>
      <c r="D459" s="344" t="str">
        <f t="shared" si="1"/>
        <v>Saturday</v>
      </c>
      <c r="E459" s="344"/>
      <c r="F459" s="370"/>
      <c r="G459" s="370"/>
      <c r="H459" s="357">
        <f t="shared" si="2"/>
        <v>0</v>
      </c>
      <c r="I459" s="346">
        <f t="shared" si="3"/>
        <v>0</v>
      </c>
      <c r="J459" s="312"/>
    </row>
    <row r="460">
      <c r="A460" s="344">
        <v>672.66</v>
      </c>
      <c r="B460" s="344">
        <v>60.0</v>
      </c>
      <c r="C460" s="369"/>
      <c r="D460" s="344" t="str">
        <f t="shared" si="1"/>
        <v>Saturday</v>
      </c>
      <c r="E460" s="344"/>
      <c r="F460" s="370"/>
      <c r="G460" s="370"/>
      <c r="H460" s="357">
        <f t="shared" si="2"/>
        <v>0</v>
      </c>
      <c r="I460" s="346">
        <f t="shared" si="3"/>
        <v>0</v>
      </c>
      <c r="J460" s="312"/>
    </row>
    <row r="461">
      <c r="A461" s="344">
        <v>672.66</v>
      </c>
      <c r="B461" s="344">
        <v>60.0</v>
      </c>
      <c r="C461" s="369"/>
      <c r="D461" s="344" t="str">
        <f t="shared" si="1"/>
        <v>Saturday</v>
      </c>
      <c r="E461" s="344"/>
      <c r="F461" s="370"/>
      <c r="G461" s="370"/>
      <c r="H461" s="357">
        <f t="shared" si="2"/>
        <v>0</v>
      </c>
      <c r="I461" s="346">
        <f t="shared" si="3"/>
        <v>0</v>
      </c>
      <c r="J461" s="312"/>
    </row>
    <row r="462">
      <c r="A462" s="344">
        <v>672.66</v>
      </c>
      <c r="B462" s="344">
        <v>60.0</v>
      </c>
      <c r="C462" s="369"/>
      <c r="D462" s="344" t="str">
        <f t="shared" si="1"/>
        <v>Saturday</v>
      </c>
      <c r="E462" s="344"/>
      <c r="F462" s="370"/>
      <c r="G462" s="370"/>
      <c r="H462" s="357">
        <f t="shared" si="2"/>
        <v>0</v>
      </c>
      <c r="I462" s="346">
        <f t="shared" si="3"/>
        <v>0</v>
      </c>
      <c r="J462" s="312"/>
    </row>
    <row r="463">
      <c r="A463" s="344">
        <v>672.66</v>
      </c>
      <c r="B463" s="344">
        <v>60.0</v>
      </c>
      <c r="C463" s="369"/>
      <c r="D463" s="344" t="str">
        <f t="shared" si="1"/>
        <v>Saturday</v>
      </c>
      <c r="E463" s="344"/>
      <c r="F463" s="370"/>
      <c r="G463" s="370"/>
      <c r="H463" s="357">
        <f t="shared" si="2"/>
        <v>0</v>
      </c>
      <c r="I463" s="346">
        <f t="shared" si="3"/>
        <v>0</v>
      </c>
      <c r="J463" s="312"/>
    </row>
    <row r="464">
      <c r="A464" s="344">
        <v>672.66</v>
      </c>
      <c r="B464" s="344">
        <v>60.0</v>
      </c>
      <c r="C464" s="369"/>
      <c r="D464" s="344" t="str">
        <f t="shared" si="1"/>
        <v>Saturday</v>
      </c>
      <c r="E464" s="344"/>
      <c r="F464" s="370"/>
      <c r="G464" s="370"/>
      <c r="H464" s="357">
        <f t="shared" si="2"/>
        <v>0</v>
      </c>
      <c r="I464" s="346">
        <f t="shared" si="3"/>
        <v>0</v>
      </c>
      <c r="J464" s="312"/>
    </row>
    <row r="465">
      <c r="A465" s="344">
        <v>672.66</v>
      </c>
      <c r="B465" s="344">
        <v>60.0</v>
      </c>
      <c r="C465" s="369"/>
      <c r="D465" s="344" t="str">
        <f t="shared" si="1"/>
        <v>Saturday</v>
      </c>
      <c r="E465" s="344"/>
      <c r="F465" s="370"/>
      <c r="G465" s="370"/>
      <c r="H465" s="357">
        <f t="shared" si="2"/>
        <v>0</v>
      </c>
      <c r="I465" s="346">
        <f t="shared" si="3"/>
        <v>0</v>
      </c>
      <c r="J465" s="312"/>
    </row>
    <row r="466">
      <c r="A466" s="344">
        <v>672.66</v>
      </c>
      <c r="B466" s="344">
        <v>60.0</v>
      </c>
      <c r="C466" s="369"/>
      <c r="D466" s="344" t="str">
        <f t="shared" si="1"/>
        <v>Saturday</v>
      </c>
      <c r="E466" s="344"/>
      <c r="F466" s="370"/>
      <c r="G466" s="370"/>
      <c r="H466" s="357">
        <f t="shared" si="2"/>
        <v>0</v>
      </c>
      <c r="I466" s="346">
        <f t="shared" si="3"/>
        <v>0</v>
      </c>
      <c r="J466" s="312"/>
    </row>
    <row r="467">
      <c r="A467" s="344">
        <v>672.66</v>
      </c>
      <c r="B467" s="344">
        <v>60.0</v>
      </c>
      <c r="C467" s="369"/>
      <c r="D467" s="344" t="str">
        <f t="shared" si="1"/>
        <v>Saturday</v>
      </c>
      <c r="E467" s="344"/>
      <c r="F467" s="370"/>
      <c r="G467" s="370"/>
      <c r="H467" s="357">
        <f t="shared" si="2"/>
        <v>0</v>
      </c>
      <c r="I467" s="346">
        <f t="shared" si="3"/>
        <v>0</v>
      </c>
      <c r="J467" s="312"/>
    </row>
    <row r="468">
      <c r="A468" s="344">
        <v>672.66</v>
      </c>
      <c r="B468" s="344">
        <v>60.0</v>
      </c>
      <c r="C468" s="369"/>
      <c r="D468" s="344" t="str">
        <f t="shared" si="1"/>
        <v>Saturday</v>
      </c>
      <c r="E468" s="344"/>
      <c r="F468" s="370"/>
      <c r="G468" s="370"/>
      <c r="H468" s="357">
        <f t="shared" si="2"/>
        <v>0</v>
      </c>
      <c r="I468" s="346">
        <f t="shared" si="3"/>
        <v>0</v>
      </c>
      <c r="J468" s="312"/>
    </row>
    <row r="469">
      <c r="A469" s="344">
        <v>672.66</v>
      </c>
      <c r="B469" s="344">
        <v>60.0</v>
      </c>
      <c r="C469" s="369"/>
      <c r="D469" s="344" t="str">
        <f t="shared" si="1"/>
        <v>Saturday</v>
      </c>
      <c r="E469" s="344"/>
      <c r="F469" s="370"/>
      <c r="G469" s="370"/>
      <c r="H469" s="357">
        <f t="shared" si="2"/>
        <v>0</v>
      </c>
      <c r="I469" s="346">
        <f t="shared" si="3"/>
        <v>0</v>
      </c>
      <c r="J469" s="312"/>
    </row>
    <row r="470">
      <c r="A470" s="344">
        <v>672.66</v>
      </c>
      <c r="B470" s="344">
        <v>60.0</v>
      </c>
      <c r="C470" s="369"/>
      <c r="D470" s="344" t="str">
        <f t="shared" si="1"/>
        <v>Saturday</v>
      </c>
      <c r="E470" s="344"/>
      <c r="F470" s="370"/>
      <c r="G470" s="370"/>
      <c r="H470" s="357">
        <f t="shared" si="2"/>
        <v>0</v>
      </c>
      <c r="I470" s="346">
        <f t="shared" si="3"/>
        <v>0</v>
      </c>
      <c r="J470" s="312"/>
    </row>
    <row r="471">
      <c r="A471" s="344">
        <v>672.66</v>
      </c>
      <c r="B471" s="344">
        <v>60.0</v>
      </c>
      <c r="C471" s="369"/>
      <c r="D471" s="344" t="str">
        <f t="shared" si="1"/>
        <v>Saturday</v>
      </c>
      <c r="E471" s="344"/>
      <c r="F471" s="370"/>
      <c r="G471" s="370"/>
      <c r="H471" s="357">
        <f t="shared" si="2"/>
        <v>0</v>
      </c>
      <c r="I471" s="346">
        <f t="shared" si="3"/>
        <v>0</v>
      </c>
      <c r="J471" s="312"/>
    </row>
    <row r="472">
      <c r="A472" s="344">
        <v>672.66</v>
      </c>
      <c r="B472" s="344">
        <v>60.0</v>
      </c>
      <c r="C472" s="369"/>
      <c r="D472" s="344" t="str">
        <f t="shared" si="1"/>
        <v>Saturday</v>
      </c>
      <c r="E472" s="344"/>
      <c r="F472" s="370"/>
      <c r="G472" s="370"/>
      <c r="H472" s="357">
        <f t="shared" si="2"/>
        <v>0</v>
      </c>
      <c r="I472" s="346">
        <f t="shared" si="3"/>
        <v>0</v>
      </c>
      <c r="J472" s="312"/>
    </row>
    <row r="473">
      <c r="A473" s="344">
        <v>672.66</v>
      </c>
      <c r="B473" s="344">
        <v>60.0</v>
      </c>
      <c r="C473" s="369"/>
      <c r="D473" s="344" t="str">
        <f t="shared" si="1"/>
        <v>Saturday</v>
      </c>
      <c r="E473" s="344"/>
      <c r="F473" s="370"/>
      <c r="G473" s="370"/>
      <c r="H473" s="357">
        <f t="shared" si="2"/>
        <v>0</v>
      </c>
      <c r="I473" s="346">
        <f t="shared" si="3"/>
        <v>0</v>
      </c>
      <c r="J473" s="312"/>
    </row>
    <row r="474">
      <c r="A474" s="344">
        <v>672.66</v>
      </c>
      <c r="B474" s="344">
        <v>60.0</v>
      </c>
      <c r="C474" s="369"/>
      <c r="D474" s="344" t="str">
        <f t="shared" si="1"/>
        <v>Saturday</v>
      </c>
      <c r="E474" s="344"/>
      <c r="F474" s="370"/>
      <c r="G474" s="370"/>
      <c r="H474" s="357">
        <f t="shared" si="2"/>
        <v>0</v>
      </c>
      <c r="I474" s="346">
        <f t="shared" si="3"/>
        <v>0</v>
      </c>
      <c r="J474" s="312"/>
    </row>
    <row r="475">
      <c r="A475" s="344">
        <v>672.66</v>
      </c>
      <c r="B475" s="344">
        <v>60.0</v>
      </c>
      <c r="C475" s="369"/>
      <c r="D475" s="344" t="str">
        <f t="shared" si="1"/>
        <v>Saturday</v>
      </c>
      <c r="E475" s="344"/>
      <c r="F475" s="370"/>
      <c r="G475" s="370"/>
      <c r="H475" s="357">
        <f t="shared" si="2"/>
        <v>0</v>
      </c>
      <c r="I475" s="346">
        <f t="shared" si="3"/>
        <v>0</v>
      </c>
      <c r="J475" s="312"/>
    </row>
    <row r="476">
      <c r="A476" s="344">
        <v>672.66</v>
      </c>
      <c r="B476" s="344">
        <v>60.0</v>
      </c>
      <c r="C476" s="369"/>
      <c r="D476" s="344" t="str">
        <f t="shared" si="1"/>
        <v>Saturday</v>
      </c>
      <c r="E476" s="344"/>
      <c r="F476" s="370"/>
      <c r="G476" s="370"/>
      <c r="H476" s="357">
        <f t="shared" si="2"/>
        <v>0</v>
      </c>
      <c r="I476" s="346">
        <f t="shared" si="3"/>
        <v>0</v>
      </c>
      <c r="J476" s="312"/>
    </row>
    <row r="477">
      <c r="A477" s="344">
        <v>672.66</v>
      </c>
      <c r="B477" s="344">
        <v>60.0</v>
      </c>
      <c r="C477" s="369"/>
      <c r="D477" s="344" t="str">
        <f t="shared" si="1"/>
        <v>Saturday</v>
      </c>
      <c r="E477" s="344"/>
      <c r="F477" s="370"/>
      <c r="G477" s="370"/>
      <c r="H477" s="357">
        <f t="shared" si="2"/>
        <v>0</v>
      </c>
      <c r="I477" s="346">
        <f t="shared" si="3"/>
        <v>0</v>
      </c>
      <c r="J477" s="312"/>
    </row>
    <row r="478">
      <c r="A478" s="344">
        <v>672.66</v>
      </c>
      <c r="B478" s="344">
        <v>60.0</v>
      </c>
      <c r="C478" s="369"/>
      <c r="D478" s="344" t="str">
        <f t="shared" si="1"/>
        <v>Saturday</v>
      </c>
      <c r="E478" s="344"/>
      <c r="F478" s="370"/>
      <c r="G478" s="370"/>
      <c r="H478" s="357">
        <f t="shared" si="2"/>
        <v>0</v>
      </c>
      <c r="I478" s="346">
        <f t="shared" si="3"/>
        <v>0</v>
      </c>
      <c r="J478" s="312"/>
    </row>
    <row r="479">
      <c r="A479" s="344">
        <v>672.66</v>
      </c>
      <c r="B479" s="344">
        <v>60.0</v>
      </c>
      <c r="C479" s="369"/>
      <c r="D479" s="344" t="str">
        <f t="shared" si="1"/>
        <v>Saturday</v>
      </c>
      <c r="E479" s="344"/>
      <c r="F479" s="370"/>
      <c r="G479" s="370"/>
      <c r="H479" s="357">
        <f t="shared" si="2"/>
        <v>0</v>
      </c>
      <c r="I479" s="346">
        <f t="shared" si="3"/>
        <v>0</v>
      </c>
      <c r="J479" s="312"/>
    </row>
    <row r="480">
      <c r="A480" s="344">
        <v>672.66</v>
      </c>
      <c r="B480" s="344">
        <v>60.0</v>
      </c>
      <c r="C480" s="369"/>
      <c r="D480" s="344" t="str">
        <f t="shared" si="1"/>
        <v>Saturday</v>
      </c>
      <c r="E480" s="344"/>
      <c r="F480" s="370"/>
      <c r="G480" s="370"/>
      <c r="H480" s="357">
        <f t="shared" si="2"/>
        <v>0</v>
      </c>
      <c r="I480" s="346">
        <f t="shared" si="3"/>
        <v>0</v>
      </c>
      <c r="J480" s="312"/>
    </row>
    <row r="481">
      <c r="A481" s="344">
        <v>672.66</v>
      </c>
      <c r="B481" s="344">
        <v>60.0</v>
      </c>
      <c r="C481" s="369"/>
      <c r="D481" s="344" t="str">
        <f t="shared" si="1"/>
        <v>Saturday</v>
      </c>
      <c r="E481" s="344"/>
      <c r="F481" s="370"/>
      <c r="G481" s="370"/>
      <c r="H481" s="357">
        <f t="shared" si="2"/>
        <v>0</v>
      </c>
      <c r="I481" s="346">
        <f t="shared" si="3"/>
        <v>0</v>
      </c>
      <c r="J481" s="312"/>
    </row>
    <row r="482">
      <c r="A482" s="344">
        <v>672.66</v>
      </c>
      <c r="B482" s="344">
        <v>60.0</v>
      </c>
      <c r="C482" s="369"/>
      <c r="D482" s="344" t="str">
        <f t="shared" si="1"/>
        <v>Saturday</v>
      </c>
      <c r="E482" s="344"/>
      <c r="F482" s="370"/>
      <c r="G482" s="370"/>
      <c r="H482" s="357">
        <f t="shared" si="2"/>
        <v>0</v>
      </c>
      <c r="I482" s="346">
        <f t="shared" si="3"/>
        <v>0</v>
      </c>
      <c r="J482" s="312"/>
    </row>
    <row r="483">
      <c r="A483" s="344">
        <v>672.66</v>
      </c>
      <c r="B483" s="344">
        <v>60.0</v>
      </c>
      <c r="C483" s="369"/>
      <c r="D483" s="344" t="str">
        <f t="shared" si="1"/>
        <v>Saturday</v>
      </c>
      <c r="E483" s="344"/>
      <c r="F483" s="370"/>
      <c r="G483" s="370"/>
      <c r="H483" s="357">
        <f t="shared" si="2"/>
        <v>0</v>
      </c>
      <c r="I483" s="346">
        <f t="shared" si="3"/>
        <v>0</v>
      </c>
      <c r="J483" s="312"/>
    </row>
    <row r="484">
      <c r="A484" s="344">
        <v>672.66</v>
      </c>
      <c r="B484" s="344">
        <v>60.0</v>
      </c>
      <c r="C484" s="369"/>
      <c r="D484" s="344" t="str">
        <f t="shared" si="1"/>
        <v>Saturday</v>
      </c>
      <c r="E484" s="344"/>
      <c r="F484" s="370"/>
      <c r="G484" s="370"/>
      <c r="H484" s="357">
        <f t="shared" si="2"/>
        <v>0</v>
      </c>
      <c r="I484" s="346">
        <f t="shared" si="3"/>
        <v>0</v>
      </c>
      <c r="J484" s="312"/>
    </row>
    <row r="485">
      <c r="A485" s="344">
        <v>672.66</v>
      </c>
      <c r="B485" s="344">
        <v>60.0</v>
      </c>
      <c r="C485" s="369"/>
      <c r="D485" s="344" t="str">
        <f t="shared" si="1"/>
        <v>Saturday</v>
      </c>
      <c r="E485" s="344"/>
      <c r="F485" s="370"/>
      <c r="G485" s="370"/>
      <c r="H485" s="357">
        <f t="shared" si="2"/>
        <v>0</v>
      </c>
      <c r="I485" s="346">
        <f t="shared" si="3"/>
        <v>0</v>
      </c>
      <c r="J485" s="312"/>
    </row>
    <row r="486">
      <c r="A486" s="344">
        <v>672.66</v>
      </c>
      <c r="B486" s="344">
        <v>60.0</v>
      </c>
      <c r="C486" s="369"/>
      <c r="D486" s="344" t="str">
        <f t="shared" si="1"/>
        <v>Saturday</v>
      </c>
      <c r="E486" s="344"/>
      <c r="F486" s="370"/>
      <c r="G486" s="370"/>
      <c r="H486" s="357">
        <f t="shared" si="2"/>
        <v>0</v>
      </c>
      <c r="I486" s="346">
        <f t="shared" si="3"/>
        <v>0</v>
      </c>
      <c r="J486" s="312"/>
    </row>
    <row r="487">
      <c r="A487" s="344">
        <v>672.66</v>
      </c>
      <c r="B487" s="344">
        <v>60.0</v>
      </c>
      <c r="C487" s="369"/>
      <c r="D487" s="344" t="str">
        <f t="shared" si="1"/>
        <v>Saturday</v>
      </c>
      <c r="E487" s="344"/>
      <c r="F487" s="370"/>
      <c r="G487" s="370"/>
      <c r="H487" s="357">
        <f t="shared" si="2"/>
        <v>0</v>
      </c>
      <c r="I487" s="346">
        <f t="shared" si="3"/>
        <v>0</v>
      </c>
      <c r="J487" s="312"/>
    </row>
    <row r="488">
      <c r="A488" s="344">
        <v>672.66</v>
      </c>
      <c r="B488" s="344">
        <v>60.0</v>
      </c>
      <c r="C488" s="369"/>
      <c r="D488" s="344" t="str">
        <f t="shared" si="1"/>
        <v>Saturday</v>
      </c>
      <c r="E488" s="344"/>
      <c r="F488" s="370"/>
      <c r="G488" s="370"/>
      <c r="H488" s="357">
        <f t="shared" si="2"/>
        <v>0</v>
      </c>
      <c r="I488" s="346">
        <f t="shared" si="3"/>
        <v>0</v>
      </c>
      <c r="J488" s="312"/>
    </row>
    <row r="489">
      <c r="A489" s="344">
        <v>672.66</v>
      </c>
      <c r="B489" s="344">
        <v>60.0</v>
      </c>
      <c r="C489" s="369"/>
      <c r="D489" s="344" t="str">
        <f t="shared" si="1"/>
        <v>Saturday</v>
      </c>
      <c r="E489" s="344"/>
      <c r="F489" s="370"/>
      <c r="G489" s="370"/>
      <c r="H489" s="357">
        <f t="shared" si="2"/>
        <v>0</v>
      </c>
      <c r="I489" s="346">
        <f t="shared" si="3"/>
        <v>0</v>
      </c>
      <c r="J489" s="312"/>
    </row>
    <row r="490">
      <c r="A490" s="344">
        <v>672.66</v>
      </c>
      <c r="B490" s="344">
        <v>60.0</v>
      </c>
      <c r="C490" s="369"/>
      <c r="D490" s="344" t="str">
        <f t="shared" si="1"/>
        <v>Saturday</v>
      </c>
      <c r="E490" s="344"/>
      <c r="F490" s="370"/>
      <c r="G490" s="370"/>
      <c r="H490" s="357">
        <f t="shared" si="2"/>
        <v>0</v>
      </c>
      <c r="I490" s="346">
        <f t="shared" si="3"/>
        <v>0</v>
      </c>
      <c r="J490" s="312"/>
    </row>
    <row r="491">
      <c r="A491" s="344">
        <v>672.66</v>
      </c>
      <c r="B491" s="344">
        <v>60.0</v>
      </c>
      <c r="C491" s="369"/>
      <c r="D491" s="344" t="str">
        <f t="shared" si="1"/>
        <v>Saturday</v>
      </c>
      <c r="E491" s="344"/>
      <c r="F491" s="370"/>
      <c r="G491" s="370"/>
      <c r="H491" s="357">
        <f t="shared" si="2"/>
        <v>0</v>
      </c>
      <c r="I491" s="346">
        <f t="shared" si="3"/>
        <v>0</v>
      </c>
      <c r="J491" s="312"/>
    </row>
    <row r="492">
      <c r="A492" s="344">
        <v>672.66</v>
      </c>
      <c r="B492" s="344">
        <v>60.0</v>
      </c>
      <c r="C492" s="369"/>
      <c r="D492" s="344" t="str">
        <f t="shared" si="1"/>
        <v>Saturday</v>
      </c>
      <c r="E492" s="344"/>
      <c r="F492" s="370"/>
      <c r="G492" s="370"/>
      <c r="H492" s="357">
        <f t="shared" si="2"/>
        <v>0</v>
      </c>
      <c r="I492" s="346">
        <f t="shared" si="3"/>
        <v>0</v>
      </c>
      <c r="J492" s="312"/>
    </row>
    <row r="493">
      <c r="A493" s="344">
        <v>672.66</v>
      </c>
      <c r="B493" s="344">
        <v>60.0</v>
      </c>
      <c r="C493" s="369"/>
      <c r="D493" s="344" t="str">
        <f t="shared" si="1"/>
        <v>Saturday</v>
      </c>
      <c r="E493" s="344"/>
      <c r="F493" s="370"/>
      <c r="G493" s="370"/>
      <c r="H493" s="357">
        <f t="shared" si="2"/>
        <v>0</v>
      </c>
      <c r="I493" s="346">
        <f t="shared" si="3"/>
        <v>0</v>
      </c>
      <c r="J493" s="312"/>
    </row>
    <row r="494">
      <c r="A494" s="344">
        <v>672.66</v>
      </c>
      <c r="B494" s="344">
        <v>60.0</v>
      </c>
      <c r="C494" s="369"/>
      <c r="D494" s="344" t="str">
        <f t="shared" si="1"/>
        <v>Saturday</v>
      </c>
      <c r="E494" s="344"/>
      <c r="F494" s="370"/>
      <c r="G494" s="370"/>
      <c r="H494" s="357">
        <f t="shared" si="2"/>
        <v>0</v>
      </c>
      <c r="I494" s="346">
        <f t="shared" si="3"/>
        <v>0</v>
      </c>
      <c r="J494" s="312"/>
    </row>
    <row r="495">
      <c r="A495" s="344">
        <v>672.66</v>
      </c>
      <c r="B495" s="344">
        <v>60.0</v>
      </c>
      <c r="C495" s="369"/>
      <c r="D495" s="344" t="str">
        <f t="shared" si="1"/>
        <v>Saturday</v>
      </c>
      <c r="E495" s="344"/>
      <c r="F495" s="370"/>
      <c r="G495" s="370"/>
      <c r="H495" s="357">
        <f t="shared" si="2"/>
        <v>0</v>
      </c>
      <c r="I495" s="346">
        <f t="shared" si="3"/>
        <v>0</v>
      </c>
      <c r="J495" s="312"/>
    </row>
    <row r="496">
      <c r="A496" s="344">
        <v>672.66</v>
      </c>
      <c r="B496" s="344">
        <v>60.0</v>
      </c>
      <c r="C496" s="369"/>
      <c r="D496" s="344" t="str">
        <f t="shared" si="1"/>
        <v>Saturday</v>
      </c>
      <c r="E496" s="344"/>
      <c r="F496" s="370"/>
      <c r="G496" s="370"/>
      <c r="H496" s="357">
        <f t="shared" si="2"/>
        <v>0</v>
      </c>
      <c r="I496" s="346">
        <f t="shared" si="3"/>
        <v>0</v>
      </c>
      <c r="J496" s="312"/>
    </row>
    <row r="497">
      <c r="A497" s="344">
        <v>672.66</v>
      </c>
      <c r="B497" s="344">
        <v>60.0</v>
      </c>
      <c r="C497" s="369"/>
      <c r="D497" s="344" t="str">
        <f t="shared" si="1"/>
        <v>Saturday</v>
      </c>
      <c r="E497" s="344"/>
      <c r="F497" s="370"/>
      <c r="G497" s="370"/>
      <c r="H497" s="357">
        <f t="shared" si="2"/>
        <v>0</v>
      </c>
      <c r="I497" s="346">
        <f t="shared" si="3"/>
        <v>0</v>
      </c>
      <c r="J497" s="312"/>
    </row>
    <row r="498">
      <c r="A498" s="344">
        <v>672.66</v>
      </c>
      <c r="B498" s="344">
        <v>60.0</v>
      </c>
      <c r="C498" s="369"/>
      <c r="D498" s="344" t="str">
        <f t="shared" si="1"/>
        <v>Saturday</v>
      </c>
      <c r="E498" s="344"/>
      <c r="F498" s="370"/>
      <c r="G498" s="370"/>
      <c r="H498" s="357">
        <f t="shared" si="2"/>
        <v>0</v>
      </c>
      <c r="I498" s="346">
        <f t="shared" si="3"/>
        <v>0</v>
      </c>
      <c r="J498" s="312"/>
    </row>
    <row r="499">
      <c r="A499" s="344">
        <v>672.66</v>
      </c>
      <c r="B499" s="344">
        <v>60.0</v>
      </c>
      <c r="C499" s="369"/>
      <c r="D499" s="344" t="str">
        <f t="shared" si="1"/>
        <v>Saturday</v>
      </c>
      <c r="E499" s="344"/>
      <c r="F499" s="370"/>
      <c r="G499" s="370"/>
      <c r="H499" s="357">
        <f t="shared" si="2"/>
        <v>0</v>
      </c>
      <c r="I499" s="346">
        <f t="shared" si="3"/>
        <v>0</v>
      </c>
      <c r="J499" s="312"/>
    </row>
    <row r="500">
      <c r="A500" s="344">
        <v>672.66</v>
      </c>
      <c r="B500" s="344">
        <v>60.0</v>
      </c>
      <c r="C500" s="369"/>
      <c r="D500" s="344" t="str">
        <f t="shared" si="1"/>
        <v>Saturday</v>
      </c>
      <c r="E500" s="344"/>
      <c r="F500" s="370"/>
      <c r="G500" s="370"/>
      <c r="H500" s="357">
        <f t="shared" si="2"/>
        <v>0</v>
      </c>
      <c r="I500" s="346">
        <f t="shared" si="3"/>
        <v>0</v>
      </c>
      <c r="J500" s="312"/>
    </row>
    <row r="501">
      <c r="A501" s="344">
        <v>672.66</v>
      </c>
      <c r="B501" s="344">
        <v>60.0</v>
      </c>
      <c r="C501" s="369"/>
      <c r="D501" s="344" t="str">
        <f t="shared" si="1"/>
        <v>Saturday</v>
      </c>
      <c r="E501" s="344"/>
      <c r="F501" s="370"/>
      <c r="G501" s="370"/>
      <c r="H501" s="357">
        <f t="shared" si="2"/>
        <v>0</v>
      </c>
      <c r="I501" s="346">
        <f t="shared" si="3"/>
        <v>0</v>
      </c>
      <c r="J501" s="312"/>
    </row>
    <row r="502">
      <c r="A502" s="344">
        <v>672.66</v>
      </c>
      <c r="B502" s="344">
        <v>60.0</v>
      </c>
      <c r="C502" s="369"/>
      <c r="D502" s="344" t="str">
        <f t="shared" si="1"/>
        <v>Saturday</v>
      </c>
      <c r="E502" s="344"/>
      <c r="F502" s="370"/>
      <c r="G502" s="370"/>
      <c r="H502" s="357">
        <f t="shared" si="2"/>
        <v>0</v>
      </c>
      <c r="I502" s="346">
        <f t="shared" si="3"/>
        <v>0</v>
      </c>
      <c r="J502" s="312"/>
    </row>
    <row r="503">
      <c r="A503" s="344">
        <v>672.66</v>
      </c>
      <c r="B503" s="344">
        <v>60.0</v>
      </c>
      <c r="C503" s="369"/>
      <c r="D503" s="344" t="str">
        <f t="shared" si="1"/>
        <v>Saturday</v>
      </c>
      <c r="E503" s="344"/>
      <c r="F503" s="370"/>
      <c r="G503" s="370"/>
      <c r="H503" s="357">
        <f t="shared" si="2"/>
        <v>0</v>
      </c>
      <c r="I503" s="346">
        <f t="shared" si="3"/>
        <v>0</v>
      </c>
      <c r="J503" s="312"/>
    </row>
    <row r="504">
      <c r="A504" s="344">
        <v>672.66</v>
      </c>
      <c r="B504" s="344">
        <v>60.0</v>
      </c>
      <c r="C504" s="369"/>
      <c r="D504" s="344" t="str">
        <f t="shared" si="1"/>
        <v>Saturday</v>
      </c>
      <c r="E504" s="344"/>
      <c r="F504" s="370"/>
      <c r="G504" s="370"/>
      <c r="H504" s="357">
        <f t="shared" si="2"/>
        <v>0</v>
      </c>
      <c r="I504" s="346">
        <f t="shared" si="3"/>
        <v>0</v>
      </c>
      <c r="J504" s="312"/>
    </row>
    <row r="505">
      <c r="A505" s="344">
        <v>672.66</v>
      </c>
      <c r="B505" s="344">
        <v>60.0</v>
      </c>
      <c r="C505" s="369"/>
      <c r="D505" s="344" t="str">
        <f t="shared" si="1"/>
        <v>Saturday</v>
      </c>
      <c r="E505" s="344"/>
      <c r="F505" s="370"/>
      <c r="G505" s="370"/>
      <c r="H505" s="357">
        <f t="shared" si="2"/>
        <v>0</v>
      </c>
      <c r="I505" s="346">
        <f t="shared" si="3"/>
        <v>0</v>
      </c>
      <c r="J505" s="312"/>
    </row>
    <row r="506">
      <c r="A506" s="344">
        <v>672.66</v>
      </c>
      <c r="B506" s="344">
        <v>60.0</v>
      </c>
      <c r="C506" s="369"/>
      <c r="D506" s="344" t="str">
        <f t="shared" si="1"/>
        <v>Saturday</v>
      </c>
      <c r="E506" s="344"/>
      <c r="F506" s="370"/>
      <c r="G506" s="370"/>
      <c r="H506" s="357">
        <f t="shared" si="2"/>
        <v>0</v>
      </c>
      <c r="I506" s="346">
        <f t="shared" si="3"/>
        <v>0</v>
      </c>
      <c r="J506" s="312"/>
    </row>
    <row r="507">
      <c r="A507" s="344">
        <v>672.66</v>
      </c>
      <c r="B507" s="344">
        <v>60.0</v>
      </c>
      <c r="C507" s="369"/>
      <c r="D507" s="344" t="str">
        <f t="shared" si="1"/>
        <v>Saturday</v>
      </c>
      <c r="E507" s="344"/>
      <c r="F507" s="370"/>
      <c r="G507" s="370"/>
      <c r="H507" s="357">
        <f t="shared" si="2"/>
        <v>0</v>
      </c>
      <c r="I507" s="346">
        <f t="shared" si="3"/>
        <v>0</v>
      </c>
      <c r="J507" s="312"/>
    </row>
    <row r="508">
      <c r="A508" s="344">
        <v>672.66</v>
      </c>
      <c r="B508" s="344">
        <v>60.0</v>
      </c>
      <c r="C508" s="369"/>
      <c r="D508" s="344" t="str">
        <f t="shared" si="1"/>
        <v>Saturday</v>
      </c>
      <c r="E508" s="344"/>
      <c r="F508" s="370"/>
      <c r="G508" s="370"/>
      <c r="H508" s="357">
        <f t="shared" si="2"/>
        <v>0</v>
      </c>
      <c r="I508" s="346">
        <f t="shared" si="3"/>
        <v>0</v>
      </c>
      <c r="J508" s="312"/>
    </row>
    <row r="509">
      <c r="A509" s="344">
        <v>672.66</v>
      </c>
      <c r="B509" s="344">
        <v>60.0</v>
      </c>
      <c r="C509" s="369"/>
      <c r="D509" s="344" t="str">
        <f t="shared" si="1"/>
        <v>Saturday</v>
      </c>
      <c r="E509" s="344"/>
      <c r="F509" s="370"/>
      <c r="G509" s="370"/>
      <c r="H509" s="357">
        <f t="shared" si="2"/>
        <v>0</v>
      </c>
      <c r="I509" s="346">
        <f t="shared" si="3"/>
        <v>0</v>
      </c>
      <c r="J509" s="312"/>
    </row>
    <row r="510">
      <c r="A510" s="344">
        <v>672.66</v>
      </c>
      <c r="B510" s="344">
        <v>60.0</v>
      </c>
      <c r="C510" s="369"/>
      <c r="D510" s="344" t="str">
        <f t="shared" si="1"/>
        <v>Saturday</v>
      </c>
      <c r="E510" s="344"/>
      <c r="F510" s="370"/>
      <c r="G510" s="370"/>
      <c r="H510" s="357">
        <f t="shared" si="2"/>
        <v>0</v>
      </c>
      <c r="I510" s="346">
        <f t="shared" si="3"/>
        <v>0</v>
      </c>
      <c r="J510" s="312"/>
    </row>
    <row r="511">
      <c r="A511" s="344">
        <v>672.66</v>
      </c>
      <c r="B511" s="344">
        <v>60.0</v>
      </c>
      <c r="C511" s="369"/>
      <c r="D511" s="344" t="str">
        <f t="shared" si="1"/>
        <v>Saturday</v>
      </c>
      <c r="E511" s="344"/>
      <c r="F511" s="370"/>
      <c r="G511" s="370"/>
      <c r="H511" s="357">
        <f t="shared" si="2"/>
        <v>0</v>
      </c>
      <c r="I511" s="346">
        <f t="shared" si="3"/>
        <v>0</v>
      </c>
      <c r="J511" s="312"/>
    </row>
    <row r="512">
      <c r="A512" s="344">
        <v>672.66</v>
      </c>
      <c r="B512" s="344">
        <v>60.0</v>
      </c>
      <c r="C512" s="369"/>
      <c r="D512" s="344" t="str">
        <f t="shared" si="1"/>
        <v>Saturday</v>
      </c>
      <c r="E512" s="344"/>
      <c r="F512" s="370"/>
      <c r="G512" s="370"/>
      <c r="H512" s="357">
        <f t="shared" si="2"/>
        <v>0</v>
      </c>
      <c r="I512" s="346">
        <f t="shared" si="3"/>
        <v>0</v>
      </c>
      <c r="J512" s="312"/>
    </row>
    <row r="513">
      <c r="A513" s="344">
        <v>672.66</v>
      </c>
      <c r="B513" s="344">
        <v>60.0</v>
      </c>
      <c r="C513" s="369"/>
      <c r="D513" s="344" t="str">
        <f t="shared" si="1"/>
        <v>Saturday</v>
      </c>
      <c r="E513" s="344"/>
      <c r="F513" s="370"/>
      <c r="G513" s="370"/>
      <c r="H513" s="357">
        <f t="shared" si="2"/>
        <v>0</v>
      </c>
      <c r="I513" s="346">
        <f t="shared" si="3"/>
        <v>0</v>
      </c>
      <c r="J513" s="312"/>
    </row>
    <row r="514">
      <c r="A514" s="344">
        <v>672.66</v>
      </c>
      <c r="B514" s="344">
        <v>60.0</v>
      </c>
      <c r="C514" s="369"/>
      <c r="D514" s="344" t="str">
        <f t="shared" si="1"/>
        <v>Saturday</v>
      </c>
      <c r="E514" s="344"/>
      <c r="F514" s="370"/>
      <c r="G514" s="370"/>
      <c r="H514" s="357">
        <f t="shared" si="2"/>
        <v>0</v>
      </c>
      <c r="I514" s="346">
        <f t="shared" si="3"/>
        <v>0</v>
      </c>
      <c r="J514" s="312"/>
    </row>
    <row r="515">
      <c r="A515" s="344">
        <v>672.66</v>
      </c>
      <c r="B515" s="344">
        <v>60.0</v>
      </c>
      <c r="C515" s="369"/>
      <c r="D515" s="344" t="str">
        <f t="shared" si="1"/>
        <v>Saturday</v>
      </c>
      <c r="E515" s="344"/>
      <c r="F515" s="370"/>
      <c r="G515" s="370"/>
      <c r="H515" s="357">
        <f t="shared" si="2"/>
        <v>0</v>
      </c>
      <c r="I515" s="346">
        <f t="shared" si="3"/>
        <v>0</v>
      </c>
      <c r="J515" s="312"/>
    </row>
    <row r="516">
      <c r="A516" s="344">
        <v>672.66</v>
      </c>
      <c r="B516" s="344">
        <v>60.0</v>
      </c>
      <c r="C516" s="369"/>
      <c r="D516" s="344" t="str">
        <f t="shared" si="1"/>
        <v>Saturday</v>
      </c>
      <c r="E516" s="344"/>
      <c r="F516" s="370"/>
      <c r="G516" s="370"/>
      <c r="H516" s="357">
        <f t="shared" si="2"/>
        <v>0</v>
      </c>
      <c r="I516" s="346">
        <f t="shared" si="3"/>
        <v>0</v>
      </c>
      <c r="J516" s="312"/>
    </row>
    <row r="517">
      <c r="A517" s="344">
        <v>672.66</v>
      </c>
      <c r="B517" s="344">
        <v>60.0</v>
      </c>
      <c r="C517" s="369"/>
      <c r="D517" s="344" t="str">
        <f t="shared" si="1"/>
        <v>Saturday</v>
      </c>
      <c r="E517" s="344"/>
      <c r="F517" s="370"/>
      <c r="G517" s="370"/>
      <c r="H517" s="357">
        <f t="shared" si="2"/>
        <v>0</v>
      </c>
      <c r="I517" s="346">
        <f t="shared" si="3"/>
        <v>0</v>
      </c>
      <c r="J517" s="312"/>
    </row>
    <row r="518">
      <c r="A518" s="344">
        <v>672.66</v>
      </c>
      <c r="B518" s="344">
        <v>60.0</v>
      </c>
      <c r="C518" s="369"/>
      <c r="D518" s="344" t="str">
        <f t="shared" si="1"/>
        <v>Saturday</v>
      </c>
      <c r="E518" s="344"/>
      <c r="F518" s="370"/>
      <c r="G518" s="370"/>
      <c r="H518" s="357">
        <f t="shared" si="2"/>
        <v>0</v>
      </c>
      <c r="I518" s="346">
        <f t="shared" si="3"/>
        <v>0</v>
      </c>
      <c r="J518" s="312"/>
    </row>
    <row r="519">
      <c r="A519" s="344">
        <v>672.66</v>
      </c>
      <c r="B519" s="344">
        <v>60.0</v>
      </c>
      <c r="C519" s="369"/>
      <c r="D519" s="344" t="str">
        <f t="shared" si="1"/>
        <v>Saturday</v>
      </c>
      <c r="E519" s="344"/>
      <c r="F519" s="370"/>
      <c r="G519" s="370"/>
      <c r="H519" s="357">
        <f t="shared" si="2"/>
        <v>0</v>
      </c>
      <c r="I519" s="346">
        <f t="shared" si="3"/>
        <v>0</v>
      </c>
      <c r="J519" s="312"/>
    </row>
    <row r="520">
      <c r="A520" s="344">
        <v>672.66</v>
      </c>
      <c r="B520" s="344">
        <v>60.0</v>
      </c>
      <c r="C520" s="369"/>
      <c r="D520" s="344" t="str">
        <f t="shared" si="1"/>
        <v>Saturday</v>
      </c>
      <c r="E520" s="344"/>
      <c r="F520" s="370"/>
      <c r="G520" s="370"/>
      <c r="H520" s="357">
        <f t="shared" si="2"/>
        <v>0</v>
      </c>
      <c r="I520" s="346">
        <f t="shared" si="3"/>
        <v>0</v>
      </c>
      <c r="J520" s="312"/>
    </row>
    <row r="521">
      <c r="A521" s="344">
        <v>672.66</v>
      </c>
      <c r="B521" s="344">
        <v>60.0</v>
      </c>
      <c r="C521" s="369"/>
      <c r="D521" s="344" t="str">
        <f t="shared" si="1"/>
        <v>Saturday</v>
      </c>
      <c r="E521" s="344"/>
      <c r="F521" s="370"/>
      <c r="G521" s="370"/>
      <c r="H521" s="357">
        <f t="shared" si="2"/>
        <v>0</v>
      </c>
      <c r="I521" s="346">
        <f t="shared" si="3"/>
        <v>0</v>
      </c>
      <c r="J521" s="312"/>
    </row>
    <row r="522">
      <c r="A522" s="344">
        <v>672.66</v>
      </c>
      <c r="B522" s="344">
        <v>60.0</v>
      </c>
      <c r="C522" s="369"/>
      <c r="D522" s="344" t="str">
        <f t="shared" si="1"/>
        <v>Saturday</v>
      </c>
      <c r="E522" s="344"/>
      <c r="F522" s="370"/>
      <c r="G522" s="370"/>
      <c r="H522" s="357">
        <f t="shared" si="2"/>
        <v>0</v>
      </c>
      <c r="I522" s="346">
        <f t="shared" si="3"/>
        <v>0</v>
      </c>
      <c r="J522" s="312"/>
    </row>
    <row r="523">
      <c r="A523" s="344">
        <v>672.66</v>
      </c>
      <c r="B523" s="344">
        <v>60.0</v>
      </c>
      <c r="C523" s="369"/>
      <c r="D523" s="344" t="str">
        <f t="shared" si="1"/>
        <v>Saturday</v>
      </c>
      <c r="E523" s="344"/>
      <c r="F523" s="370"/>
      <c r="G523" s="370"/>
      <c r="H523" s="357">
        <f t="shared" si="2"/>
        <v>0</v>
      </c>
      <c r="I523" s="346">
        <f t="shared" si="3"/>
        <v>0</v>
      </c>
      <c r="J523" s="312"/>
    </row>
    <row r="524">
      <c r="A524" s="344">
        <v>672.66</v>
      </c>
      <c r="B524" s="344">
        <v>60.0</v>
      </c>
      <c r="C524" s="369"/>
      <c r="D524" s="344" t="str">
        <f t="shared" si="1"/>
        <v>Saturday</v>
      </c>
      <c r="E524" s="344"/>
      <c r="F524" s="370"/>
      <c r="G524" s="370"/>
      <c r="H524" s="357">
        <f t="shared" si="2"/>
        <v>0</v>
      </c>
      <c r="I524" s="346">
        <f t="shared" si="3"/>
        <v>0</v>
      </c>
      <c r="J524" s="312"/>
    </row>
    <row r="525">
      <c r="A525" s="344">
        <v>672.66</v>
      </c>
      <c r="B525" s="344">
        <v>60.0</v>
      </c>
      <c r="C525" s="369"/>
      <c r="D525" s="344" t="str">
        <f t="shared" si="1"/>
        <v>Saturday</v>
      </c>
      <c r="E525" s="344"/>
      <c r="F525" s="370"/>
      <c r="G525" s="370"/>
      <c r="H525" s="357">
        <f t="shared" si="2"/>
        <v>0</v>
      </c>
      <c r="I525" s="346">
        <f t="shared" si="3"/>
        <v>0</v>
      </c>
      <c r="J525" s="312"/>
    </row>
    <row r="526">
      <c r="A526" s="344">
        <v>672.66</v>
      </c>
      <c r="B526" s="344">
        <v>60.0</v>
      </c>
      <c r="C526" s="369"/>
      <c r="D526" s="344" t="str">
        <f t="shared" si="1"/>
        <v>Saturday</v>
      </c>
      <c r="E526" s="344"/>
      <c r="F526" s="370"/>
      <c r="G526" s="370"/>
      <c r="H526" s="357">
        <f t="shared" si="2"/>
        <v>0</v>
      </c>
      <c r="I526" s="346">
        <f t="shared" si="3"/>
        <v>0</v>
      </c>
      <c r="J526" s="312"/>
    </row>
    <row r="527">
      <c r="A527" s="344">
        <v>672.66</v>
      </c>
      <c r="B527" s="344">
        <v>60.0</v>
      </c>
      <c r="C527" s="369"/>
      <c r="D527" s="344" t="str">
        <f t="shared" si="1"/>
        <v>Saturday</v>
      </c>
      <c r="E527" s="344"/>
      <c r="F527" s="370"/>
      <c r="G527" s="370"/>
      <c r="H527" s="357">
        <f t="shared" si="2"/>
        <v>0</v>
      </c>
      <c r="I527" s="346">
        <f t="shared" si="3"/>
        <v>0</v>
      </c>
      <c r="J527" s="312"/>
    </row>
    <row r="528">
      <c r="A528" s="344">
        <v>672.66</v>
      </c>
      <c r="B528" s="344">
        <v>60.0</v>
      </c>
      <c r="C528" s="369"/>
      <c r="D528" s="344" t="str">
        <f t="shared" si="1"/>
        <v>Saturday</v>
      </c>
      <c r="E528" s="344"/>
      <c r="F528" s="370"/>
      <c r="G528" s="370"/>
      <c r="H528" s="357">
        <f t="shared" si="2"/>
        <v>0</v>
      </c>
      <c r="I528" s="346">
        <f t="shared" si="3"/>
        <v>0</v>
      </c>
      <c r="J528" s="312"/>
    </row>
    <row r="529">
      <c r="A529" s="344">
        <v>672.66</v>
      </c>
      <c r="B529" s="344">
        <v>60.0</v>
      </c>
      <c r="C529" s="369"/>
      <c r="D529" s="344" t="str">
        <f t="shared" si="1"/>
        <v>Saturday</v>
      </c>
      <c r="E529" s="344"/>
      <c r="F529" s="370"/>
      <c r="G529" s="370"/>
      <c r="H529" s="357">
        <f t="shared" si="2"/>
        <v>0</v>
      </c>
      <c r="I529" s="346">
        <f t="shared" si="3"/>
        <v>0</v>
      </c>
      <c r="J529" s="312"/>
    </row>
    <row r="530">
      <c r="A530" s="344">
        <v>672.66</v>
      </c>
      <c r="B530" s="344">
        <v>60.0</v>
      </c>
      <c r="C530" s="369"/>
      <c r="D530" s="344" t="str">
        <f t="shared" si="1"/>
        <v>Saturday</v>
      </c>
      <c r="E530" s="344"/>
      <c r="F530" s="370"/>
      <c r="G530" s="370"/>
      <c r="H530" s="357">
        <f t="shared" si="2"/>
        <v>0</v>
      </c>
      <c r="I530" s="346">
        <f t="shared" si="3"/>
        <v>0</v>
      </c>
      <c r="J530" s="312"/>
    </row>
    <row r="531">
      <c r="A531" s="344">
        <v>672.66</v>
      </c>
      <c r="B531" s="344">
        <v>60.0</v>
      </c>
      <c r="C531" s="369"/>
      <c r="D531" s="344" t="str">
        <f t="shared" si="1"/>
        <v>Saturday</v>
      </c>
      <c r="E531" s="344"/>
      <c r="F531" s="370"/>
      <c r="G531" s="370"/>
      <c r="H531" s="357">
        <f t="shared" si="2"/>
        <v>0</v>
      </c>
      <c r="I531" s="346">
        <f t="shared" si="3"/>
        <v>0</v>
      </c>
      <c r="J531" s="312"/>
    </row>
    <row r="532">
      <c r="A532" s="344">
        <v>672.66</v>
      </c>
      <c r="B532" s="344">
        <v>60.0</v>
      </c>
      <c r="C532" s="369"/>
      <c r="D532" s="344" t="str">
        <f t="shared" si="1"/>
        <v>Saturday</v>
      </c>
      <c r="E532" s="344"/>
      <c r="F532" s="370"/>
      <c r="G532" s="370"/>
      <c r="H532" s="357">
        <f t="shared" si="2"/>
        <v>0</v>
      </c>
      <c r="I532" s="346">
        <f t="shared" si="3"/>
        <v>0</v>
      </c>
      <c r="J532" s="312"/>
    </row>
    <row r="533">
      <c r="A533" s="344">
        <v>672.66</v>
      </c>
      <c r="B533" s="344">
        <v>60.0</v>
      </c>
      <c r="C533" s="369"/>
      <c r="D533" s="344" t="str">
        <f t="shared" si="1"/>
        <v>Saturday</v>
      </c>
      <c r="E533" s="344"/>
      <c r="F533" s="370"/>
      <c r="G533" s="370"/>
      <c r="H533" s="357">
        <f t="shared" si="2"/>
        <v>0</v>
      </c>
      <c r="I533" s="346">
        <f t="shared" si="3"/>
        <v>0</v>
      </c>
      <c r="J533" s="312"/>
    </row>
    <row r="534">
      <c r="A534" s="344">
        <v>672.66</v>
      </c>
      <c r="B534" s="344">
        <v>60.0</v>
      </c>
      <c r="C534" s="369"/>
      <c r="D534" s="344" t="str">
        <f t="shared" si="1"/>
        <v>Saturday</v>
      </c>
      <c r="E534" s="344"/>
      <c r="F534" s="370"/>
      <c r="G534" s="370"/>
      <c r="H534" s="357">
        <f t="shared" si="2"/>
        <v>0</v>
      </c>
      <c r="I534" s="346">
        <f t="shared" si="3"/>
        <v>0</v>
      </c>
      <c r="J534" s="312"/>
    </row>
    <row r="535">
      <c r="A535" s="344">
        <v>672.66</v>
      </c>
      <c r="B535" s="344">
        <v>60.0</v>
      </c>
      <c r="C535" s="369"/>
      <c r="D535" s="344" t="str">
        <f t="shared" si="1"/>
        <v>Saturday</v>
      </c>
      <c r="E535" s="344"/>
      <c r="F535" s="370"/>
      <c r="G535" s="370"/>
      <c r="H535" s="357">
        <f t="shared" si="2"/>
        <v>0</v>
      </c>
      <c r="I535" s="346">
        <f t="shared" si="3"/>
        <v>0</v>
      </c>
      <c r="J535" s="312"/>
    </row>
    <row r="536">
      <c r="A536" s="344">
        <v>672.66</v>
      </c>
      <c r="B536" s="344">
        <v>60.0</v>
      </c>
      <c r="C536" s="369"/>
      <c r="D536" s="344" t="str">
        <f t="shared" si="1"/>
        <v>Saturday</v>
      </c>
      <c r="E536" s="344"/>
      <c r="F536" s="370"/>
      <c r="G536" s="370"/>
      <c r="H536" s="357">
        <f t="shared" si="2"/>
        <v>0</v>
      </c>
      <c r="I536" s="346">
        <f t="shared" si="3"/>
        <v>0</v>
      </c>
      <c r="J536" s="312"/>
    </row>
    <row r="537">
      <c r="A537" s="344">
        <v>672.66</v>
      </c>
      <c r="B537" s="344">
        <v>60.0</v>
      </c>
      <c r="C537" s="369"/>
      <c r="D537" s="344" t="str">
        <f t="shared" si="1"/>
        <v>Saturday</v>
      </c>
      <c r="E537" s="344"/>
      <c r="F537" s="370"/>
      <c r="G537" s="370"/>
      <c r="H537" s="357">
        <f t="shared" si="2"/>
        <v>0</v>
      </c>
      <c r="I537" s="346">
        <f t="shared" si="3"/>
        <v>0</v>
      </c>
      <c r="J537" s="312"/>
    </row>
    <row r="538">
      <c r="A538" s="344">
        <v>672.66</v>
      </c>
      <c r="B538" s="344">
        <v>60.0</v>
      </c>
      <c r="C538" s="369"/>
      <c r="D538" s="344" t="str">
        <f t="shared" si="1"/>
        <v>Saturday</v>
      </c>
      <c r="E538" s="344"/>
      <c r="F538" s="370"/>
      <c r="G538" s="370"/>
      <c r="H538" s="357">
        <f t="shared" si="2"/>
        <v>0</v>
      </c>
      <c r="I538" s="346">
        <f t="shared" si="3"/>
        <v>0</v>
      </c>
      <c r="J538" s="312"/>
    </row>
    <row r="539">
      <c r="A539" s="344">
        <v>672.66</v>
      </c>
      <c r="B539" s="344">
        <v>60.0</v>
      </c>
      <c r="C539" s="369"/>
      <c r="D539" s="344" t="str">
        <f t="shared" si="1"/>
        <v>Saturday</v>
      </c>
      <c r="E539" s="344"/>
      <c r="F539" s="370"/>
      <c r="G539" s="370"/>
      <c r="H539" s="357">
        <f t="shared" si="2"/>
        <v>0</v>
      </c>
      <c r="I539" s="346">
        <f t="shared" si="3"/>
        <v>0</v>
      </c>
      <c r="J539" s="312"/>
    </row>
    <row r="540">
      <c r="A540" s="344">
        <v>672.66</v>
      </c>
      <c r="B540" s="344">
        <v>60.0</v>
      </c>
      <c r="C540" s="369"/>
      <c r="D540" s="344" t="str">
        <f t="shared" si="1"/>
        <v>Saturday</v>
      </c>
      <c r="E540" s="344"/>
      <c r="F540" s="370"/>
      <c r="G540" s="370"/>
      <c r="H540" s="357">
        <f t="shared" si="2"/>
        <v>0</v>
      </c>
      <c r="I540" s="346">
        <f t="shared" si="3"/>
        <v>0</v>
      </c>
      <c r="J540" s="312"/>
    </row>
    <row r="541">
      <c r="A541" s="344">
        <v>672.66</v>
      </c>
      <c r="B541" s="344">
        <v>60.0</v>
      </c>
      <c r="C541" s="369"/>
      <c r="D541" s="344" t="str">
        <f t="shared" si="1"/>
        <v>Saturday</v>
      </c>
      <c r="E541" s="344"/>
      <c r="F541" s="370"/>
      <c r="G541" s="370"/>
      <c r="H541" s="357">
        <f t="shared" si="2"/>
        <v>0</v>
      </c>
      <c r="I541" s="346">
        <f t="shared" si="3"/>
        <v>0</v>
      </c>
      <c r="J541" s="312"/>
    </row>
    <row r="542">
      <c r="A542" s="344">
        <v>672.66</v>
      </c>
      <c r="B542" s="344">
        <v>60.0</v>
      </c>
      <c r="C542" s="369"/>
      <c r="D542" s="344" t="str">
        <f t="shared" si="1"/>
        <v>Saturday</v>
      </c>
      <c r="E542" s="344"/>
      <c r="F542" s="370"/>
      <c r="G542" s="370"/>
      <c r="H542" s="357">
        <f t="shared" si="2"/>
        <v>0</v>
      </c>
      <c r="I542" s="346">
        <f t="shared" si="3"/>
        <v>0</v>
      </c>
      <c r="J542" s="312"/>
    </row>
    <row r="543">
      <c r="A543" s="344">
        <v>672.66</v>
      </c>
      <c r="B543" s="344">
        <v>60.0</v>
      </c>
      <c r="C543" s="369"/>
      <c r="D543" s="344" t="str">
        <f t="shared" si="1"/>
        <v>Saturday</v>
      </c>
      <c r="E543" s="344"/>
      <c r="F543" s="370"/>
      <c r="G543" s="370"/>
      <c r="H543" s="357">
        <f t="shared" si="2"/>
        <v>0</v>
      </c>
      <c r="I543" s="346">
        <f t="shared" si="3"/>
        <v>0</v>
      </c>
      <c r="J543" s="312"/>
    </row>
    <row r="544">
      <c r="A544" s="344">
        <v>672.66</v>
      </c>
      <c r="B544" s="344">
        <v>60.0</v>
      </c>
      <c r="C544" s="369"/>
      <c r="D544" s="344" t="str">
        <f t="shared" si="1"/>
        <v>Saturday</v>
      </c>
      <c r="E544" s="344"/>
      <c r="F544" s="370"/>
      <c r="G544" s="370"/>
      <c r="H544" s="357">
        <f t="shared" si="2"/>
        <v>0</v>
      </c>
      <c r="I544" s="346">
        <f t="shared" si="3"/>
        <v>0</v>
      </c>
      <c r="J544" s="312"/>
    </row>
    <row r="545">
      <c r="A545" s="344">
        <v>672.66</v>
      </c>
      <c r="B545" s="344">
        <v>60.0</v>
      </c>
      <c r="C545" s="369"/>
      <c r="D545" s="344" t="str">
        <f t="shared" si="1"/>
        <v>Saturday</v>
      </c>
      <c r="E545" s="344"/>
      <c r="F545" s="370"/>
      <c r="G545" s="370"/>
      <c r="H545" s="357">
        <f t="shared" si="2"/>
        <v>0</v>
      </c>
      <c r="I545" s="346">
        <f t="shared" si="3"/>
        <v>0</v>
      </c>
      <c r="J545" s="312"/>
    </row>
    <row r="546">
      <c r="A546" s="344">
        <v>672.66</v>
      </c>
      <c r="B546" s="344">
        <v>60.0</v>
      </c>
      <c r="C546" s="369"/>
      <c r="D546" s="344" t="str">
        <f t="shared" si="1"/>
        <v>Saturday</v>
      </c>
      <c r="E546" s="344"/>
      <c r="F546" s="370"/>
      <c r="G546" s="370"/>
      <c r="H546" s="357">
        <f t="shared" si="2"/>
        <v>0</v>
      </c>
      <c r="I546" s="346">
        <f t="shared" si="3"/>
        <v>0</v>
      </c>
      <c r="J546" s="312"/>
    </row>
    <row r="547">
      <c r="A547" s="344">
        <v>672.66</v>
      </c>
      <c r="B547" s="344">
        <v>60.0</v>
      </c>
      <c r="C547" s="369"/>
      <c r="D547" s="344" t="str">
        <f t="shared" si="1"/>
        <v>Saturday</v>
      </c>
      <c r="E547" s="344"/>
      <c r="F547" s="370"/>
      <c r="G547" s="370"/>
      <c r="H547" s="357">
        <f t="shared" si="2"/>
        <v>0</v>
      </c>
      <c r="I547" s="346">
        <f t="shared" si="3"/>
        <v>0</v>
      </c>
      <c r="J547" s="312"/>
    </row>
    <row r="548">
      <c r="A548" s="344">
        <v>672.66</v>
      </c>
      <c r="B548" s="344">
        <v>60.0</v>
      </c>
      <c r="C548" s="369"/>
      <c r="D548" s="344" t="str">
        <f t="shared" si="1"/>
        <v>Saturday</v>
      </c>
      <c r="E548" s="344"/>
      <c r="F548" s="370"/>
      <c r="G548" s="370"/>
      <c r="H548" s="357">
        <f t="shared" si="2"/>
        <v>0</v>
      </c>
      <c r="I548" s="346">
        <f t="shared" si="3"/>
        <v>0</v>
      </c>
      <c r="J548" s="312"/>
    </row>
    <row r="549">
      <c r="A549" s="344">
        <v>672.66</v>
      </c>
      <c r="B549" s="344">
        <v>60.0</v>
      </c>
      <c r="C549" s="369"/>
      <c r="D549" s="344" t="str">
        <f t="shared" si="1"/>
        <v>Saturday</v>
      </c>
      <c r="E549" s="344"/>
      <c r="F549" s="370"/>
      <c r="G549" s="370"/>
      <c r="H549" s="357">
        <f t="shared" si="2"/>
        <v>0</v>
      </c>
      <c r="I549" s="346">
        <f t="shared" si="3"/>
        <v>0</v>
      </c>
      <c r="J549" s="312"/>
    </row>
    <row r="550">
      <c r="A550" s="344">
        <v>672.66</v>
      </c>
      <c r="B550" s="344">
        <v>60.0</v>
      </c>
      <c r="C550" s="369"/>
      <c r="D550" s="344" t="str">
        <f t="shared" si="1"/>
        <v>Saturday</v>
      </c>
      <c r="E550" s="344"/>
      <c r="F550" s="370"/>
      <c r="G550" s="370"/>
      <c r="H550" s="357">
        <f t="shared" si="2"/>
        <v>0</v>
      </c>
      <c r="I550" s="346">
        <f t="shared" si="3"/>
        <v>0</v>
      </c>
      <c r="J550" s="312"/>
    </row>
    <row r="551">
      <c r="A551" s="344">
        <v>672.66</v>
      </c>
      <c r="B551" s="344">
        <v>60.0</v>
      </c>
      <c r="C551" s="369"/>
      <c r="D551" s="344" t="str">
        <f t="shared" si="1"/>
        <v>Saturday</v>
      </c>
      <c r="E551" s="344"/>
      <c r="F551" s="370"/>
      <c r="G551" s="370"/>
      <c r="H551" s="357">
        <f t="shared" si="2"/>
        <v>0</v>
      </c>
      <c r="I551" s="346">
        <f t="shared" si="3"/>
        <v>0</v>
      </c>
      <c r="J551" s="312"/>
    </row>
    <row r="552">
      <c r="A552" s="344">
        <v>672.66</v>
      </c>
      <c r="B552" s="344">
        <v>60.0</v>
      </c>
      <c r="C552" s="369"/>
      <c r="D552" s="344" t="str">
        <f t="shared" si="1"/>
        <v>Saturday</v>
      </c>
      <c r="E552" s="344"/>
      <c r="F552" s="370"/>
      <c r="G552" s="370"/>
      <c r="H552" s="357">
        <f t="shared" si="2"/>
        <v>0</v>
      </c>
      <c r="I552" s="346">
        <f t="shared" si="3"/>
        <v>0</v>
      </c>
      <c r="J552" s="312"/>
    </row>
    <row r="553">
      <c r="A553" s="344">
        <v>672.66</v>
      </c>
      <c r="B553" s="344">
        <v>60.0</v>
      </c>
      <c r="C553" s="369"/>
      <c r="D553" s="344" t="str">
        <f t="shared" si="1"/>
        <v>Saturday</v>
      </c>
      <c r="E553" s="344"/>
      <c r="F553" s="370"/>
      <c r="G553" s="370"/>
      <c r="H553" s="357">
        <f t="shared" si="2"/>
        <v>0</v>
      </c>
      <c r="I553" s="346">
        <f t="shared" si="3"/>
        <v>0</v>
      </c>
      <c r="J553" s="312"/>
    </row>
    <row r="554">
      <c r="A554" s="344">
        <v>672.66</v>
      </c>
      <c r="B554" s="344">
        <v>60.0</v>
      </c>
      <c r="C554" s="369"/>
      <c r="D554" s="344" t="str">
        <f t="shared" si="1"/>
        <v>Saturday</v>
      </c>
      <c r="E554" s="344"/>
      <c r="F554" s="370"/>
      <c r="G554" s="370"/>
      <c r="H554" s="357">
        <f t="shared" si="2"/>
        <v>0</v>
      </c>
      <c r="I554" s="346">
        <f t="shared" si="3"/>
        <v>0</v>
      </c>
      <c r="J554" s="312"/>
    </row>
    <row r="555">
      <c r="A555" s="344">
        <v>672.66</v>
      </c>
      <c r="B555" s="344">
        <v>60.0</v>
      </c>
      <c r="C555" s="369"/>
      <c r="D555" s="344" t="str">
        <f t="shared" si="1"/>
        <v>Saturday</v>
      </c>
      <c r="E555" s="344"/>
      <c r="F555" s="370"/>
      <c r="G555" s="370"/>
      <c r="H555" s="357">
        <f t="shared" si="2"/>
        <v>0</v>
      </c>
      <c r="I555" s="346">
        <f t="shared" si="3"/>
        <v>0</v>
      </c>
      <c r="J555" s="312"/>
    </row>
    <row r="556">
      <c r="A556" s="344">
        <v>672.66</v>
      </c>
      <c r="B556" s="344">
        <v>60.0</v>
      </c>
      <c r="C556" s="369"/>
      <c r="D556" s="344" t="str">
        <f t="shared" si="1"/>
        <v>Saturday</v>
      </c>
      <c r="E556" s="344"/>
      <c r="F556" s="370"/>
      <c r="G556" s="370"/>
      <c r="H556" s="357">
        <f t="shared" si="2"/>
        <v>0</v>
      </c>
      <c r="I556" s="346">
        <f t="shared" si="3"/>
        <v>0</v>
      </c>
      <c r="J556" s="312"/>
    </row>
    <row r="557">
      <c r="A557" s="344">
        <v>672.66</v>
      </c>
      <c r="B557" s="344">
        <v>60.0</v>
      </c>
      <c r="C557" s="369"/>
      <c r="D557" s="344" t="str">
        <f t="shared" si="1"/>
        <v>Saturday</v>
      </c>
      <c r="E557" s="344"/>
      <c r="F557" s="370"/>
      <c r="G557" s="370"/>
      <c r="H557" s="357">
        <f t="shared" si="2"/>
        <v>0</v>
      </c>
      <c r="I557" s="346">
        <f t="shared" si="3"/>
        <v>0</v>
      </c>
      <c r="J557" s="312"/>
    </row>
    <row r="558">
      <c r="A558" s="344">
        <v>672.66</v>
      </c>
      <c r="B558" s="344">
        <v>60.0</v>
      </c>
      <c r="C558" s="369"/>
      <c r="D558" s="344" t="str">
        <f t="shared" si="1"/>
        <v>Saturday</v>
      </c>
      <c r="E558" s="344"/>
      <c r="F558" s="370"/>
      <c r="G558" s="370"/>
      <c r="H558" s="357">
        <f t="shared" si="2"/>
        <v>0</v>
      </c>
      <c r="I558" s="346">
        <f t="shared" si="3"/>
        <v>0</v>
      </c>
      <c r="J558" s="312"/>
    </row>
    <row r="559">
      <c r="A559" s="344">
        <v>672.66</v>
      </c>
      <c r="B559" s="344">
        <v>60.0</v>
      </c>
      <c r="C559" s="369"/>
      <c r="D559" s="344" t="str">
        <f t="shared" si="1"/>
        <v>Saturday</v>
      </c>
      <c r="E559" s="344"/>
      <c r="F559" s="370"/>
      <c r="G559" s="370"/>
      <c r="H559" s="357">
        <f t="shared" si="2"/>
        <v>0</v>
      </c>
      <c r="I559" s="346">
        <f t="shared" si="3"/>
        <v>0</v>
      </c>
      <c r="J559" s="312"/>
    </row>
    <row r="560">
      <c r="A560" s="344">
        <v>672.66</v>
      </c>
      <c r="B560" s="344">
        <v>60.0</v>
      </c>
      <c r="C560" s="369"/>
      <c r="D560" s="344" t="str">
        <f t="shared" si="1"/>
        <v>Saturday</v>
      </c>
      <c r="E560" s="344"/>
      <c r="F560" s="370"/>
      <c r="G560" s="370"/>
      <c r="H560" s="357">
        <f t="shared" si="2"/>
        <v>0</v>
      </c>
      <c r="I560" s="346">
        <f t="shared" si="3"/>
        <v>0</v>
      </c>
      <c r="J560" s="312"/>
    </row>
    <row r="561">
      <c r="A561" s="344">
        <v>672.66</v>
      </c>
      <c r="B561" s="344">
        <v>60.0</v>
      </c>
      <c r="C561" s="369"/>
      <c r="D561" s="344" t="str">
        <f t="shared" si="1"/>
        <v>Saturday</v>
      </c>
      <c r="E561" s="344"/>
      <c r="F561" s="370"/>
      <c r="G561" s="370"/>
      <c r="H561" s="357">
        <f t="shared" si="2"/>
        <v>0</v>
      </c>
      <c r="I561" s="346">
        <f t="shared" si="3"/>
        <v>0</v>
      </c>
      <c r="J561" s="312"/>
    </row>
    <row r="562">
      <c r="A562" s="344">
        <v>672.66</v>
      </c>
      <c r="B562" s="344">
        <v>60.0</v>
      </c>
      <c r="C562" s="369"/>
      <c r="D562" s="344" t="str">
        <f t="shared" si="1"/>
        <v>Saturday</v>
      </c>
      <c r="E562" s="344"/>
      <c r="F562" s="370"/>
      <c r="G562" s="370"/>
      <c r="H562" s="357">
        <f t="shared" si="2"/>
        <v>0</v>
      </c>
      <c r="I562" s="346">
        <f t="shared" si="3"/>
        <v>0</v>
      </c>
      <c r="J562" s="312"/>
    </row>
    <row r="563">
      <c r="A563" s="344">
        <v>672.66</v>
      </c>
      <c r="B563" s="344">
        <v>60.0</v>
      </c>
      <c r="C563" s="369"/>
      <c r="D563" s="344" t="str">
        <f t="shared" si="1"/>
        <v>Saturday</v>
      </c>
      <c r="E563" s="344"/>
      <c r="F563" s="370"/>
      <c r="G563" s="370"/>
      <c r="H563" s="357">
        <f t="shared" si="2"/>
        <v>0</v>
      </c>
      <c r="I563" s="346">
        <f t="shared" si="3"/>
        <v>0</v>
      </c>
      <c r="J563" s="312"/>
    </row>
    <row r="564">
      <c r="A564" s="344">
        <v>672.66</v>
      </c>
      <c r="B564" s="344">
        <v>60.0</v>
      </c>
      <c r="C564" s="369"/>
      <c r="D564" s="344" t="str">
        <f t="shared" si="1"/>
        <v>Saturday</v>
      </c>
      <c r="E564" s="344"/>
      <c r="F564" s="370"/>
      <c r="G564" s="370"/>
      <c r="H564" s="357">
        <f t="shared" si="2"/>
        <v>0</v>
      </c>
      <c r="I564" s="346">
        <f t="shared" si="3"/>
        <v>0</v>
      </c>
      <c r="J564" s="312"/>
    </row>
    <row r="565">
      <c r="A565" s="344">
        <v>672.66</v>
      </c>
      <c r="B565" s="344">
        <v>60.0</v>
      </c>
      <c r="C565" s="369"/>
      <c r="D565" s="344" t="str">
        <f t="shared" si="1"/>
        <v>Saturday</v>
      </c>
      <c r="E565" s="344"/>
      <c r="F565" s="370"/>
      <c r="G565" s="370"/>
      <c r="H565" s="357">
        <f t="shared" si="2"/>
        <v>0</v>
      </c>
      <c r="I565" s="346">
        <f t="shared" si="3"/>
        <v>0</v>
      </c>
      <c r="J565" s="312"/>
    </row>
    <row r="566">
      <c r="A566" s="344">
        <v>672.66</v>
      </c>
      <c r="B566" s="344">
        <v>60.0</v>
      </c>
      <c r="C566" s="369"/>
      <c r="D566" s="344" t="str">
        <f t="shared" si="1"/>
        <v>Saturday</v>
      </c>
      <c r="E566" s="344"/>
      <c r="F566" s="370"/>
      <c r="G566" s="370"/>
      <c r="H566" s="357">
        <f t="shared" si="2"/>
        <v>0</v>
      </c>
      <c r="I566" s="346">
        <f t="shared" si="3"/>
        <v>0</v>
      </c>
      <c r="J566" s="312"/>
    </row>
    <row r="567">
      <c r="A567" s="344">
        <v>672.66</v>
      </c>
      <c r="B567" s="344">
        <v>60.0</v>
      </c>
      <c r="C567" s="369"/>
      <c r="D567" s="344" t="str">
        <f t="shared" si="1"/>
        <v>Saturday</v>
      </c>
      <c r="E567" s="344"/>
      <c r="F567" s="370"/>
      <c r="G567" s="370"/>
      <c r="H567" s="357">
        <f t="shared" si="2"/>
        <v>0</v>
      </c>
      <c r="I567" s="346">
        <f t="shared" si="3"/>
        <v>0</v>
      </c>
      <c r="J567" s="312"/>
    </row>
    <row r="568">
      <c r="A568" s="344">
        <v>672.66</v>
      </c>
      <c r="B568" s="344">
        <v>60.0</v>
      </c>
      <c r="C568" s="369"/>
      <c r="D568" s="344" t="str">
        <f t="shared" si="1"/>
        <v>Saturday</v>
      </c>
      <c r="E568" s="344"/>
      <c r="F568" s="370"/>
      <c r="G568" s="370"/>
      <c r="H568" s="357">
        <f t="shared" si="2"/>
        <v>0</v>
      </c>
      <c r="I568" s="346">
        <f t="shared" si="3"/>
        <v>0</v>
      </c>
      <c r="J568" s="312"/>
    </row>
    <row r="569">
      <c r="A569" s="344">
        <v>672.66</v>
      </c>
      <c r="B569" s="344">
        <v>60.0</v>
      </c>
      <c r="C569" s="369"/>
      <c r="D569" s="344" t="str">
        <f t="shared" si="1"/>
        <v>Saturday</v>
      </c>
      <c r="E569" s="344"/>
      <c r="F569" s="370"/>
      <c r="G569" s="370"/>
      <c r="H569" s="357">
        <f t="shared" si="2"/>
        <v>0</v>
      </c>
      <c r="I569" s="346">
        <f t="shared" si="3"/>
        <v>0</v>
      </c>
      <c r="J569" s="312"/>
    </row>
    <row r="570">
      <c r="A570" s="344">
        <v>672.66</v>
      </c>
      <c r="B570" s="344">
        <v>60.0</v>
      </c>
      <c r="C570" s="369"/>
      <c r="D570" s="344" t="str">
        <f t="shared" si="1"/>
        <v>Saturday</v>
      </c>
      <c r="E570" s="344"/>
      <c r="F570" s="370"/>
      <c r="G570" s="370"/>
      <c r="H570" s="357">
        <f t="shared" si="2"/>
        <v>0</v>
      </c>
      <c r="I570" s="346">
        <f t="shared" si="3"/>
        <v>0</v>
      </c>
      <c r="J570" s="312"/>
    </row>
    <row r="571">
      <c r="A571" s="344">
        <v>672.66</v>
      </c>
      <c r="B571" s="344">
        <v>60.0</v>
      </c>
      <c r="C571" s="369"/>
      <c r="D571" s="344" t="str">
        <f t="shared" si="1"/>
        <v>Saturday</v>
      </c>
      <c r="E571" s="344"/>
      <c r="F571" s="370"/>
      <c r="G571" s="370"/>
      <c r="H571" s="357">
        <f t="shared" si="2"/>
        <v>0</v>
      </c>
      <c r="I571" s="346">
        <f t="shared" si="3"/>
        <v>0</v>
      </c>
      <c r="J571" s="312"/>
    </row>
    <row r="572">
      <c r="A572" s="344">
        <v>672.66</v>
      </c>
      <c r="B572" s="344">
        <v>60.0</v>
      </c>
      <c r="C572" s="369"/>
      <c r="D572" s="344" t="str">
        <f t="shared" si="1"/>
        <v>Saturday</v>
      </c>
      <c r="E572" s="344"/>
      <c r="F572" s="370"/>
      <c r="G572" s="370"/>
      <c r="H572" s="357">
        <f t="shared" si="2"/>
        <v>0</v>
      </c>
      <c r="I572" s="346">
        <f t="shared" si="3"/>
        <v>0</v>
      </c>
      <c r="J572" s="312"/>
    </row>
    <row r="573">
      <c r="A573" s="344">
        <v>672.66</v>
      </c>
      <c r="B573" s="344">
        <v>60.0</v>
      </c>
      <c r="C573" s="369"/>
      <c r="D573" s="344" t="str">
        <f t="shared" si="1"/>
        <v>Saturday</v>
      </c>
      <c r="E573" s="344"/>
      <c r="F573" s="370"/>
      <c r="G573" s="370"/>
      <c r="H573" s="357">
        <f t="shared" si="2"/>
        <v>0</v>
      </c>
      <c r="I573" s="346">
        <f t="shared" si="3"/>
        <v>0</v>
      </c>
      <c r="J573" s="312"/>
    </row>
    <row r="574">
      <c r="A574" s="344">
        <v>672.66</v>
      </c>
      <c r="B574" s="344">
        <v>60.0</v>
      </c>
      <c r="C574" s="369"/>
      <c r="D574" s="344" t="str">
        <f t="shared" si="1"/>
        <v>Saturday</v>
      </c>
      <c r="E574" s="344"/>
      <c r="F574" s="370"/>
      <c r="G574" s="370"/>
      <c r="H574" s="357">
        <f t="shared" si="2"/>
        <v>0</v>
      </c>
      <c r="I574" s="346">
        <f t="shared" si="3"/>
        <v>0</v>
      </c>
      <c r="J574" s="312"/>
    </row>
    <row r="575">
      <c r="A575" s="344">
        <v>672.66</v>
      </c>
      <c r="B575" s="344">
        <v>60.0</v>
      </c>
      <c r="C575" s="369"/>
      <c r="D575" s="344" t="str">
        <f t="shared" si="1"/>
        <v>Saturday</v>
      </c>
      <c r="E575" s="344"/>
      <c r="F575" s="370"/>
      <c r="G575" s="370"/>
      <c r="H575" s="357">
        <f t="shared" si="2"/>
        <v>0</v>
      </c>
      <c r="I575" s="346">
        <f t="shared" si="3"/>
        <v>0</v>
      </c>
      <c r="J575" s="312"/>
    </row>
    <row r="576">
      <c r="A576" s="344">
        <v>672.66</v>
      </c>
      <c r="B576" s="344">
        <v>60.0</v>
      </c>
      <c r="C576" s="369"/>
      <c r="D576" s="344" t="str">
        <f t="shared" si="1"/>
        <v>Saturday</v>
      </c>
      <c r="E576" s="344"/>
      <c r="F576" s="370"/>
      <c r="G576" s="370"/>
      <c r="H576" s="357">
        <f t="shared" si="2"/>
        <v>0</v>
      </c>
      <c r="I576" s="346">
        <f t="shared" si="3"/>
        <v>0</v>
      </c>
      <c r="J576" s="312"/>
    </row>
    <row r="577">
      <c r="A577" s="344">
        <v>672.66</v>
      </c>
      <c r="B577" s="344">
        <v>60.0</v>
      </c>
      <c r="C577" s="369"/>
      <c r="D577" s="344" t="str">
        <f t="shared" si="1"/>
        <v>Saturday</v>
      </c>
      <c r="E577" s="344"/>
      <c r="F577" s="370"/>
      <c r="G577" s="370"/>
      <c r="H577" s="357">
        <f t="shared" si="2"/>
        <v>0</v>
      </c>
      <c r="I577" s="346">
        <f t="shared" si="3"/>
        <v>0</v>
      </c>
      <c r="J577" s="312"/>
    </row>
    <row r="578">
      <c r="A578" s="344">
        <v>672.66</v>
      </c>
      <c r="B578" s="344">
        <v>60.0</v>
      </c>
      <c r="C578" s="369"/>
      <c r="D578" s="344" t="str">
        <f t="shared" si="1"/>
        <v>Saturday</v>
      </c>
      <c r="E578" s="344"/>
      <c r="F578" s="370"/>
      <c r="G578" s="370"/>
      <c r="H578" s="357">
        <f t="shared" si="2"/>
        <v>0</v>
      </c>
      <c r="I578" s="346">
        <f t="shared" si="3"/>
        <v>0</v>
      </c>
      <c r="J578" s="312"/>
    </row>
    <row r="579">
      <c r="A579" s="344">
        <v>672.66</v>
      </c>
      <c r="B579" s="344">
        <v>60.0</v>
      </c>
      <c r="C579" s="369"/>
      <c r="D579" s="344" t="str">
        <f t="shared" si="1"/>
        <v>Saturday</v>
      </c>
      <c r="E579" s="344"/>
      <c r="F579" s="370"/>
      <c r="G579" s="370"/>
      <c r="H579" s="357">
        <f t="shared" si="2"/>
        <v>0</v>
      </c>
      <c r="I579" s="346">
        <f t="shared" si="3"/>
        <v>0</v>
      </c>
      <c r="J579" s="312"/>
    </row>
    <row r="580">
      <c r="A580" s="344">
        <v>672.66</v>
      </c>
      <c r="B580" s="344">
        <v>60.0</v>
      </c>
      <c r="C580" s="369"/>
      <c r="D580" s="344" t="str">
        <f t="shared" si="1"/>
        <v>Saturday</v>
      </c>
      <c r="E580" s="344"/>
      <c r="F580" s="370"/>
      <c r="G580" s="370"/>
      <c r="H580" s="357">
        <f t="shared" si="2"/>
        <v>0</v>
      </c>
      <c r="I580" s="346">
        <f t="shared" si="3"/>
        <v>0</v>
      </c>
      <c r="J580" s="312"/>
    </row>
    <row r="581">
      <c r="A581" s="344">
        <v>672.66</v>
      </c>
      <c r="B581" s="344">
        <v>60.0</v>
      </c>
      <c r="C581" s="369"/>
      <c r="D581" s="344" t="str">
        <f t="shared" si="1"/>
        <v>Saturday</v>
      </c>
      <c r="E581" s="344"/>
      <c r="F581" s="370"/>
      <c r="G581" s="370"/>
      <c r="H581" s="357">
        <f t="shared" si="2"/>
        <v>0</v>
      </c>
      <c r="I581" s="346">
        <f t="shared" si="3"/>
        <v>0</v>
      </c>
      <c r="J581" s="312"/>
    </row>
    <row r="582">
      <c r="A582" s="344">
        <v>672.66</v>
      </c>
      <c r="B582" s="344">
        <v>60.0</v>
      </c>
      <c r="C582" s="369"/>
      <c r="D582" s="344" t="str">
        <f t="shared" si="1"/>
        <v>Saturday</v>
      </c>
      <c r="E582" s="344"/>
      <c r="F582" s="370"/>
      <c r="G582" s="370"/>
      <c r="H582" s="357">
        <f t="shared" si="2"/>
        <v>0</v>
      </c>
      <c r="I582" s="346">
        <f t="shared" si="3"/>
        <v>0</v>
      </c>
      <c r="J582" s="312"/>
    </row>
    <row r="583">
      <c r="A583" s="344">
        <v>672.66</v>
      </c>
      <c r="B583" s="344">
        <v>60.0</v>
      </c>
      <c r="C583" s="369"/>
      <c r="D583" s="344" t="str">
        <f t="shared" si="1"/>
        <v>Saturday</v>
      </c>
      <c r="E583" s="344"/>
      <c r="F583" s="370"/>
      <c r="G583" s="370"/>
      <c r="H583" s="357">
        <f t="shared" si="2"/>
        <v>0</v>
      </c>
      <c r="I583" s="346">
        <f t="shared" si="3"/>
        <v>0</v>
      </c>
      <c r="J583" s="312"/>
    </row>
    <row r="584">
      <c r="A584" s="344">
        <v>672.66</v>
      </c>
      <c r="B584" s="344">
        <v>60.0</v>
      </c>
      <c r="C584" s="369"/>
      <c r="D584" s="344" t="str">
        <f t="shared" si="1"/>
        <v>Saturday</v>
      </c>
      <c r="E584" s="344"/>
      <c r="F584" s="370"/>
      <c r="G584" s="370"/>
      <c r="H584" s="357">
        <f t="shared" si="2"/>
        <v>0</v>
      </c>
      <c r="I584" s="346">
        <f t="shared" si="3"/>
        <v>0</v>
      </c>
      <c r="J584" s="312"/>
    </row>
    <row r="585">
      <c r="A585" s="344">
        <v>672.66</v>
      </c>
      <c r="B585" s="344">
        <v>60.0</v>
      </c>
      <c r="C585" s="369"/>
      <c r="D585" s="344" t="str">
        <f t="shared" si="1"/>
        <v>Saturday</v>
      </c>
      <c r="E585" s="344"/>
      <c r="F585" s="370"/>
      <c r="G585" s="370"/>
      <c r="H585" s="357">
        <f t="shared" si="2"/>
        <v>0</v>
      </c>
      <c r="I585" s="346">
        <f t="shared" si="3"/>
        <v>0</v>
      </c>
      <c r="J585" s="312"/>
    </row>
    <row r="586">
      <c r="A586" s="344">
        <v>672.66</v>
      </c>
      <c r="B586" s="344">
        <v>60.0</v>
      </c>
      <c r="C586" s="369"/>
      <c r="D586" s="344" t="str">
        <f t="shared" si="1"/>
        <v>Saturday</v>
      </c>
      <c r="E586" s="344"/>
      <c r="F586" s="370"/>
      <c r="G586" s="370"/>
      <c r="H586" s="357">
        <f t="shared" si="2"/>
        <v>0</v>
      </c>
      <c r="I586" s="346">
        <f t="shared" si="3"/>
        <v>0</v>
      </c>
      <c r="J586" s="312"/>
    </row>
    <row r="587">
      <c r="A587" s="344">
        <v>672.66</v>
      </c>
      <c r="B587" s="344">
        <v>60.0</v>
      </c>
      <c r="C587" s="369"/>
      <c r="D587" s="344" t="str">
        <f t="shared" si="1"/>
        <v>Saturday</v>
      </c>
      <c r="E587" s="344"/>
      <c r="F587" s="370"/>
      <c r="G587" s="370"/>
      <c r="H587" s="357">
        <f t="shared" si="2"/>
        <v>0</v>
      </c>
      <c r="I587" s="346">
        <f t="shared" si="3"/>
        <v>0</v>
      </c>
      <c r="J587" s="312"/>
    </row>
    <row r="588">
      <c r="A588" s="344">
        <v>672.66</v>
      </c>
      <c r="B588" s="344">
        <v>60.0</v>
      </c>
      <c r="C588" s="369"/>
      <c r="D588" s="344" t="str">
        <f t="shared" si="1"/>
        <v>Saturday</v>
      </c>
      <c r="E588" s="344"/>
      <c r="F588" s="370"/>
      <c r="G588" s="370"/>
      <c r="H588" s="357">
        <f t="shared" si="2"/>
        <v>0</v>
      </c>
      <c r="I588" s="346">
        <f t="shared" si="3"/>
        <v>0</v>
      </c>
      <c r="J588" s="312"/>
    </row>
    <row r="589">
      <c r="A589" s="344">
        <v>672.66</v>
      </c>
      <c r="B589" s="344">
        <v>60.0</v>
      </c>
      <c r="C589" s="369"/>
      <c r="D589" s="344" t="str">
        <f t="shared" si="1"/>
        <v>Saturday</v>
      </c>
      <c r="E589" s="344"/>
      <c r="F589" s="370"/>
      <c r="G589" s="370"/>
      <c r="H589" s="357">
        <f t="shared" si="2"/>
        <v>0</v>
      </c>
      <c r="I589" s="346">
        <f t="shared" si="3"/>
        <v>0</v>
      </c>
      <c r="J589" s="312"/>
    </row>
    <row r="590">
      <c r="A590" s="344">
        <v>672.66</v>
      </c>
      <c r="B590" s="344">
        <v>60.0</v>
      </c>
      <c r="C590" s="369"/>
      <c r="D590" s="344" t="str">
        <f t="shared" si="1"/>
        <v>Saturday</v>
      </c>
      <c r="E590" s="344"/>
      <c r="F590" s="370"/>
      <c r="G590" s="370"/>
      <c r="H590" s="357">
        <f t="shared" si="2"/>
        <v>0</v>
      </c>
      <c r="I590" s="346">
        <f t="shared" si="3"/>
        <v>0</v>
      </c>
      <c r="J590" s="312"/>
    </row>
    <row r="591">
      <c r="A591" s="344">
        <v>672.66</v>
      </c>
      <c r="B591" s="344">
        <v>60.0</v>
      </c>
      <c r="C591" s="369"/>
      <c r="D591" s="344" t="str">
        <f t="shared" si="1"/>
        <v>Saturday</v>
      </c>
      <c r="E591" s="344"/>
      <c r="F591" s="370"/>
      <c r="G591" s="370"/>
      <c r="H591" s="357">
        <f t="shared" si="2"/>
        <v>0</v>
      </c>
      <c r="I591" s="346">
        <f t="shared" si="3"/>
        <v>0</v>
      </c>
      <c r="J591" s="312"/>
    </row>
    <row r="592">
      <c r="A592" s="344">
        <v>672.66</v>
      </c>
      <c r="B592" s="344">
        <v>60.0</v>
      </c>
      <c r="C592" s="369"/>
      <c r="D592" s="344" t="str">
        <f t="shared" si="1"/>
        <v>Saturday</v>
      </c>
      <c r="E592" s="344"/>
      <c r="F592" s="370"/>
      <c r="G592" s="370"/>
      <c r="H592" s="357">
        <f t="shared" si="2"/>
        <v>0</v>
      </c>
      <c r="I592" s="346">
        <f t="shared" si="3"/>
        <v>0</v>
      </c>
      <c r="J592" s="312"/>
    </row>
    <row r="593">
      <c r="A593" s="344">
        <v>672.66</v>
      </c>
      <c r="B593" s="344">
        <v>60.0</v>
      </c>
      <c r="C593" s="369"/>
      <c r="D593" s="344" t="str">
        <f t="shared" si="1"/>
        <v>Saturday</v>
      </c>
      <c r="E593" s="344"/>
      <c r="F593" s="370"/>
      <c r="G593" s="370"/>
      <c r="H593" s="357">
        <f t="shared" si="2"/>
        <v>0</v>
      </c>
      <c r="I593" s="346">
        <f t="shared" si="3"/>
        <v>0</v>
      </c>
      <c r="J593" s="312"/>
    </row>
    <row r="594">
      <c r="A594" s="344">
        <v>672.66</v>
      </c>
      <c r="B594" s="344">
        <v>60.0</v>
      </c>
      <c r="C594" s="369"/>
      <c r="D594" s="344" t="str">
        <f t="shared" si="1"/>
        <v>Saturday</v>
      </c>
      <c r="E594" s="344"/>
      <c r="F594" s="370"/>
      <c r="G594" s="370"/>
      <c r="H594" s="357">
        <f t="shared" si="2"/>
        <v>0</v>
      </c>
      <c r="I594" s="346">
        <f t="shared" si="3"/>
        <v>0</v>
      </c>
      <c r="J594" s="312"/>
    </row>
    <row r="595">
      <c r="A595" s="344">
        <v>672.66</v>
      </c>
      <c r="B595" s="344">
        <v>60.0</v>
      </c>
      <c r="C595" s="369"/>
      <c r="D595" s="344" t="str">
        <f t="shared" si="1"/>
        <v>Saturday</v>
      </c>
      <c r="E595" s="344"/>
      <c r="F595" s="370"/>
      <c r="G595" s="370"/>
      <c r="H595" s="357">
        <f t="shared" si="2"/>
        <v>0</v>
      </c>
      <c r="I595" s="346">
        <f t="shared" si="3"/>
        <v>0</v>
      </c>
      <c r="J595" s="312"/>
    </row>
    <row r="596">
      <c r="A596" s="344">
        <v>672.66</v>
      </c>
      <c r="B596" s="344">
        <v>60.0</v>
      </c>
      <c r="C596" s="369"/>
      <c r="D596" s="344" t="str">
        <f t="shared" si="1"/>
        <v>Saturday</v>
      </c>
      <c r="E596" s="344"/>
      <c r="F596" s="370"/>
      <c r="G596" s="370"/>
      <c r="H596" s="357">
        <f t="shared" si="2"/>
        <v>0</v>
      </c>
      <c r="I596" s="346">
        <f t="shared" si="3"/>
        <v>0</v>
      </c>
      <c r="J596" s="312"/>
    </row>
    <row r="597">
      <c r="A597" s="344">
        <v>672.66</v>
      </c>
      <c r="B597" s="344">
        <v>60.0</v>
      </c>
      <c r="C597" s="369"/>
      <c r="D597" s="344" t="str">
        <f t="shared" si="1"/>
        <v>Saturday</v>
      </c>
      <c r="E597" s="344"/>
      <c r="F597" s="370"/>
      <c r="G597" s="370"/>
      <c r="H597" s="357">
        <f t="shared" si="2"/>
        <v>0</v>
      </c>
      <c r="I597" s="346">
        <f t="shared" si="3"/>
        <v>0</v>
      </c>
      <c r="J597" s="312"/>
    </row>
    <row r="598">
      <c r="A598" s="344">
        <v>672.66</v>
      </c>
      <c r="B598" s="344">
        <v>60.0</v>
      </c>
      <c r="C598" s="369"/>
      <c r="D598" s="344" t="str">
        <f t="shared" si="1"/>
        <v>Saturday</v>
      </c>
      <c r="E598" s="344"/>
      <c r="F598" s="370"/>
      <c r="G598" s="370"/>
      <c r="H598" s="357">
        <f t="shared" si="2"/>
        <v>0</v>
      </c>
      <c r="I598" s="346">
        <f t="shared" si="3"/>
        <v>0</v>
      </c>
      <c r="J598" s="312"/>
    </row>
    <row r="599">
      <c r="A599" s="344">
        <v>672.66</v>
      </c>
      <c r="B599" s="344">
        <v>60.0</v>
      </c>
      <c r="C599" s="369"/>
      <c r="D599" s="344" t="str">
        <f t="shared" si="1"/>
        <v>Saturday</v>
      </c>
      <c r="E599" s="344"/>
      <c r="F599" s="370"/>
      <c r="G599" s="370"/>
      <c r="H599" s="357">
        <f t="shared" si="2"/>
        <v>0</v>
      </c>
      <c r="I599" s="346">
        <f t="shared" si="3"/>
        <v>0</v>
      </c>
      <c r="J599" s="312"/>
    </row>
    <row r="600">
      <c r="A600" s="344">
        <v>672.66</v>
      </c>
      <c r="B600" s="344">
        <v>60.0</v>
      </c>
      <c r="C600" s="369"/>
      <c r="D600" s="344" t="str">
        <f t="shared" si="1"/>
        <v>Saturday</v>
      </c>
      <c r="E600" s="344"/>
      <c r="F600" s="370"/>
      <c r="G600" s="370"/>
      <c r="H600" s="357">
        <f t="shared" si="2"/>
        <v>0</v>
      </c>
      <c r="I600" s="346">
        <f t="shared" si="3"/>
        <v>0</v>
      </c>
      <c r="J600" s="312"/>
    </row>
    <row r="601">
      <c r="A601" s="344">
        <v>672.66</v>
      </c>
      <c r="B601" s="344">
        <v>60.0</v>
      </c>
      <c r="C601" s="369"/>
      <c r="D601" s="344" t="str">
        <f t="shared" si="1"/>
        <v>Saturday</v>
      </c>
      <c r="E601" s="344"/>
      <c r="F601" s="370"/>
      <c r="G601" s="370"/>
      <c r="H601" s="357">
        <f t="shared" si="2"/>
        <v>0</v>
      </c>
      <c r="I601" s="346">
        <f t="shared" si="3"/>
        <v>0</v>
      </c>
      <c r="J601" s="312"/>
    </row>
    <row r="602">
      <c r="A602" s="344">
        <v>672.66</v>
      </c>
      <c r="B602" s="344">
        <v>60.0</v>
      </c>
      <c r="C602" s="369"/>
      <c r="D602" s="344" t="str">
        <f t="shared" si="1"/>
        <v>Saturday</v>
      </c>
      <c r="E602" s="344"/>
      <c r="F602" s="370"/>
      <c r="G602" s="370"/>
      <c r="H602" s="357">
        <f t="shared" si="2"/>
        <v>0</v>
      </c>
      <c r="I602" s="346">
        <f t="shared" si="3"/>
        <v>0</v>
      </c>
      <c r="J602" s="312"/>
    </row>
    <row r="603">
      <c r="A603" s="344">
        <v>672.66</v>
      </c>
      <c r="B603" s="344">
        <v>60.0</v>
      </c>
      <c r="C603" s="369"/>
      <c r="D603" s="344" t="str">
        <f t="shared" si="1"/>
        <v>Saturday</v>
      </c>
      <c r="E603" s="344"/>
      <c r="F603" s="370"/>
      <c r="G603" s="370"/>
      <c r="H603" s="357">
        <f t="shared" si="2"/>
        <v>0</v>
      </c>
      <c r="I603" s="346">
        <f t="shared" si="3"/>
        <v>0</v>
      </c>
      <c r="J603" s="312"/>
    </row>
    <row r="604">
      <c r="A604" s="344">
        <v>672.66</v>
      </c>
      <c r="B604" s="344">
        <v>60.0</v>
      </c>
      <c r="C604" s="369"/>
      <c r="D604" s="344" t="str">
        <f t="shared" si="1"/>
        <v>Saturday</v>
      </c>
      <c r="E604" s="344"/>
      <c r="F604" s="370"/>
      <c r="G604" s="370"/>
      <c r="H604" s="357">
        <f t="shared" si="2"/>
        <v>0</v>
      </c>
      <c r="I604" s="346">
        <f t="shared" si="3"/>
        <v>0</v>
      </c>
      <c r="J604" s="312"/>
    </row>
    <row r="605">
      <c r="A605" s="344">
        <v>672.66</v>
      </c>
      <c r="B605" s="344">
        <v>60.0</v>
      </c>
      <c r="C605" s="369"/>
      <c r="D605" s="344" t="str">
        <f t="shared" si="1"/>
        <v>Saturday</v>
      </c>
      <c r="E605" s="344"/>
      <c r="F605" s="370"/>
      <c r="G605" s="370"/>
      <c r="H605" s="357">
        <f t="shared" si="2"/>
        <v>0</v>
      </c>
      <c r="I605" s="346">
        <f t="shared" si="3"/>
        <v>0</v>
      </c>
      <c r="J605" s="312"/>
    </row>
    <row r="606">
      <c r="A606" s="344">
        <v>672.66</v>
      </c>
      <c r="B606" s="344">
        <v>60.0</v>
      </c>
      <c r="C606" s="369"/>
      <c r="D606" s="344" t="str">
        <f t="shared" si="1"/>
        <v>Saturday</v>
      </c>
      <c r="E606" s="344"/>
      <c r="F606" s="370"/>
      <c r="G606" s="370"/>
      <c r="H606" s="357">
        <f t="shared" si="2"/>
        <v>0</v>
      </c>
      <c r="I606" s="346">
        <f t="shared" si="3"/>
        <v>0</v>
      </c>
      <c r="J606" s="312"/>
    </row>
    <row r="607">
      <c r="A607" s="344">
        <v>672.66</v>
      </c>
      <c r="B607" s="344">
        <v>60.0</v>
      </c>
      <c r="C607" s="369"/>
      <c r="D607" s="344" t="str">
        <f t="shared" si="1"/>
        <v>Saturday</v>
      </c>
      <c r="E607" s="344"/>
      <c r="F607" s="370"/>
      <c r="G607" s="370"/>
      <c r="H607" s="357">
        <f t="shared" si="2"/>
        <v>0</v>
      </c>
      <c r="I607" s="346">
        <f t="shared" si="3"/>
        <v>0</v>
      </c>
      <c r="J607" s="312"/>
    </row>
    <row r="608">
      <c r="A608" s="344">
        <v>672.66</v>
      </c>
      <c r="B608" s="344">
        <v>60.0</v>
      </c>
      <c r="C608" s="369"/>
      <c r="D608" s="344" t="str">
        <f t="shared" si="1"/>
        <v>Saturday</v>
      </c>
      <c r="E608" s="344"/>
      <c r="F608" s="370"/>
      <c r="G608" s="370"/>
      <c r="H608" s="357">
        <f t="shared" si="2"/>
        <v>0</v>
      </c>
      <c r="I608" s="346">
        <f t="shared" si="3"/>
        <v>0</v>
      </c>
      <c r="J608" s="312"/>
    </row>
    <row r="609">
      <c r="A609" s="344">
        <v>672.66</v>
      </c>
      <c r="B609" s="344">
        <v>60.0</v>
      </c>
      <c r="C609" s="369"/>
      <c r="D609" s="344" t="str">
        <f t="shared" si="1"/>
        <v>Saturday</v>
      </c>
      <c r="E609" s="344"/>
      <c r="F609" s="370"/>
      <c r="G609" s="370"/>
      <c r="H609" s="357">
        <f t="shared" si="2"/>
        <v>0</v>
      </c>
      <c r="I609" s="346">
        <f t="shared" si="3"/>
        <v>0</v>
      </c>
      <c r="J609" s="312"/>
    </row>
    <row r="610">
      <c r="A610" s="344">
        <v>672.66</v>
      </c>
      <c r="B610" s="344">
        <v>60.0</v>
      </c>
      <c r="C610" s="369"/>
      <c r="D610" s="344" t="str">
        <f t="shared" si="1"/>
        <v>Saturday</v>
      </c>
      <c r="E610" s="344"/>
      <c r="F610" s="370"/>
      <c r="G610" s="370"/>
      <c r="H610" s="357">
        <f t="shared" si="2"/>
        <v>0</v>
      </c>
      <c r="I610" s="346">
        <f t="shared" si="3"/>
        <v>0</v>
      </c>
      <c r="J610" s="312"/>
    </row>
    <row r="611">
      <c r="A611" s="344">
        <v>672.66</v>
      </c>
      <c r="B611" s="344">
        <v>60.0</v>
      </c>
      <c r="C611" s="369"/>
      <c r="D611" s="344" t="str">
        <f t="shared" si="1"/>
        <v>Saturday</v>
      </c>
      <c r="E611" s="344"/>
      <c r="F611" s="370"/>
      <c r="G611" s="370"/>
      <c r="H611" s="357">
        <f t="shared" si="2"/>
        <v>0</v>
      </c>
      <c r="I611" s="346">
        <f t="shared" si="3"/>
        <v>0</v>
      </c>
      <c r="J611" s="312"/>
    </row>
    <row r="612">
      <c r="A612" s="344">
        <v>672.66</v>
      </c>
      <c r="B612" s="344">
        <v>60.0</v>
      </c>
      <c r="C612" s="369"/>
      <c r="D612" s="344" t="str">
        <f t="shared" si="1"/>
        <v>Saturday</v>
      </c>
      <c r="E612" s="344"/>
      <c r="F612" s="370"/>
      <c r="G612" s="370"/>
      <c r="H612" s="357">
        <f t="shared" si="2"/>
        <v>0</v>
      </c>
      <c r="I612" s="346">
        <f t="shared" si="3"/>
        <v>0</v>
      </c>
      <c r="J612" s="312"/>
    </row>
    <row r="613">
      <c r="A613" s="344">
        <v>672.66</v>
      </c>
      <c r="B613" s="344">
        <v>60.0</v>
      </c>
      <c r="C613" s="369"/>
      <c r="D613" s="344" t="str">
        <f t="shared" si="1"/>
        <v>Saturday</v>
      </c>
      <c r="E613" s="344"/>
      <c r="F613" s="370"/>
      <c r="G613" s="370"/>
      <c r="H613" s="357">
        <f t="shared" si="2"/>
        <v>0</v>
      </c>
      <c r="I613" s="346">
        <f t="shared" si="3"/>
        <v>0</v>
      </c>
      <c r="J613" s="312"/>
    </row>
    <row r="614">
      <c r="A614" s="344">
        <v>672.66</v>
      </c>
      <c r="B614" s="344">
        <v>60.0</v>
      </c>
      <c r="C614" s="369"/>
      <c r="D614" s="344" t="str">
        <f t="shared" si="1"/>
        <v>Saturday</v>
      </c>
      <c r="E614" s="344"/>
      <c r="F614" s="370"/>
      <c r="G614" s="370"/>
      <c r="H614" s="357">
        <f t="shared" si="2"/>
        <v>0</v>
      </c>
      <c r="I614" s="346">
        <f t="shared" si="3"/>
        <v>0</v>
      </c>
      <c r="J614" s="312"/>
    </row>
    <row r="615">
      <c r="A615" s="344">
        <v>672.66</v>
      </c>
      <c r="B615" s="344">
        <v>60.0</v>
      </c>
      <c r="C615" s="369"/>
      <c r="D615" s="344" t="str">
        <f t="shared" si="1"/>
        <v>Saturday</v>
      </c>
      <c r="E615" s="344"/>
      <c r="F615" s="370"/>
      <c r="G615" s="370"/>
      <c r="H615" s="357">
        <f t="shared" si="2"/>
        <v>0</v>
      </c>
      <c r="I615" s="346">
        <f t="shared" si="3"/>
        <v>0</v>
      </c>
      <c r="J615" s="312"/>
    </row>
    <row r="616">
      <c r="A616" s="344">
        <v>672.66</v>
      </c>
      <c r="B616" s="344">
        <v>60.0</v>
      </c>
      <c r="C616" s="369"/>
      <c r="D616" s="344" t="str">
        <f t="shared" si="1"/>
        <v>Saturday</v>
      </c>
      <c r="E616" s="344"/>
      <c r="F616" s="370"/>
      <c r="G616" s="370"/>
      <c r="H616" s="357">
        <f t="shared" si="2"/>
        <v>0</v>
      </c>
      <c r="I616" s="346">
        <f t="shared" si="3"/>
        <v>0</v>
      </c>
      <c r="J616" s="312"/>
    </row>
    <row r="617">
      <c r="A617" s="344">
        <v>672.66</v>
      </c>
      <c r="B617" s="344">
        <v>60.0</v>
      </c>
      <c r="C617" s="369"/>
      <c r="D617" s="344" t="str">
        <f t="shared" si="1"/>
        <v>Saturday</v>
      </c>
      <c r="E617" s="344"/>
      <c r="F617" s="370"/>
      <c r="G617" s="370"/>
      <c r="H617" s="357">
        <f t="shared" si="2"/>
        <v>0</v>
      </c>
      <c r="I617" s="346">
        <f t="shared" si="3"/>
        <v>0</v>
      </c>
      <c r="J617" s="312"/>
    </row>
    <row r="618">
      <c r="A618" s="344">
        <v>672.66</v>
      </c>
      <c r="B618" s="344">
        <v>60.0</v>
      </c>
      <c r="C618" s="369"/>
      <c r="D618" s="344" t="str">
        <f t="shared" si="1"/>
        <v>Saturday</v>
      </c>
      <c r="E618" s="344"/>
      <c r="F618" s="370"/>
      <c r="G618" s="370"/>
      <c r="H618" s="357">
        <f t="shared" si="2"/>
        <v>0</v>
      </c>
      <c r="I618" s="346">
        <f t="shared" si="3"/>
        <v>0</v>
      </c>
      <c r="J618" s="312"/>
    </row>
    <row r="619">
      <c r="A619" s="344">
        <v>672.66</v>
      </c>
      <c r="B619" s="344">
        <v>60.0</v>
      </c>
      <c r="C619" s="369"/>
      <c r="D619" s="344" t="str">
        <f t="shared" si="1"/>
        <v>Saturday</v>
      </c>
      <c r="E619" s="344"/>
      <c r="F619" s="370"/>
      <c r="G619" s="370"/>
      <c r="H619" s="357">
        <f t="shared" si="2"/>
        <v>0</v>
      </c>
      <c r="I619" s="346">
        <f t="shared" si="3"/>
        <v>0</v>
      </c>
      <c r="J619" s="312"/>
    </row>
    <row r="620">
      <c r="A620" s="344">
        <v>672.66</v>
      </c>
      <c r="B620" s="344">
        <v>60.0</v>
      </c>
      <c r="C620" s="369"/>
      <c r="D620" s="344" t="str">
        <f t="shared" si="1"/>
        <v>Saturday</v>
      </c>
      <c r="E620" s="344"/>
      <c r="F620" s="370"/>
      <c r="G620" s="370"/>
      <c r="H620" s="357">
        <f t="shared" si="2"/>
        <v>0</v>
      </c>
      <c r="I620" s="346">
        <f t="shared" si="3"/>
        <v>0</v>
      </c>
      <c r="J620" s="312"/>
    </row>
    <row r="621">
      <c r="A621" s="344">
        <v>672.66</v>
      </c>
      <c r="B621" s="344">
        <v>60.0</v>
      </c>
      <c r="C621" s="369"/>
      <c r="D621" s="344" t="str">
        <f t="shared" si="1"/>
        <v>Saturday</v>
      </c>
      <c r="E621" s="344"/>
      <c r="F621" s="370"/>
      <c r="G621" s="370"/>
      <c r="H621" s="357">
        <f t="shared" si="2"/>
        <v>0</v>
      </c>
      <c r="I621" s="346">
        <f t="shared" si="3"/>
        <v>0</v>
      </c>
      <c r="J621" s="312"/>
    </row>
    <row r="622">
      <c r="A622" s="344">
        <v>672.66</v>
      </c>
      <c r="B622" s="344">
        <v>60.0</v>
      </c>
      <c r="C622" s="369"/>
      <c r="D622" s="344" t="str">
        <f t="shared" si="1"/>
        <v>Saturday</v>
      </c>
      <c r="E622" s="344"/>
      <c r="F622" s="370"/>
      <c r="G622" s="370"/>
      <c r="H622" s="357">
        <f t="shared" si="2"/>
        <v>0</v>
      </c>
      <c r="I622" s="346">
        <f t="shared" si="3"/>
        <v>0</v>
      </c>
      <c r="J622" s="312"/>
    </row>
    <row r="623">
      <c r="A623" s="344">
        <v>672.66</v>
      </c>
      <c r="B623" s="344">
        <v>60.0</v>
      </c>
      <c r="C623" s="369"/>
      <c r="D623" s="344" t="str">
        <f t="shared" si="1"/>
        <v>Saturday</v>
      </c>
      <c r="E623" s="344"/>
      <c r="F623" s="370"/>
      <c r="G623" s="370"/>
      <c r="H623" s="357">
        <f t="shared" si="2"/>
        <v>0</v>
      </c>
      <c r="I623" s="346">
        <f t="shared" si="3"/>
        <v>0</v>
      </c>
      <c r="J623" s="312"/>
    </row>
    <row r="624">
      <c r="A624" s="344">
        <v>672.66</v>
      </c>
      <c r="B624" s="344">
        <v>60.0</v>
      </c>
      <c r="C624" s="369"/>
      <c r="D624" s="344" t="str">
        <f t="shared" si="1"/>
        <v>Saturday</v>
      </c>
      <c r="E624" s="344"/>
      <c r="F624" s="370"/>
      <c r="G624" s="370"/>
      <c r="H624" s="357">
        <f t="shared" si="2"/>
        <v>0</v>
      </c>
      <c r="I624" s="346">
        <f t="shared" si="3"/>
        <v>0</v>
      </c>
      <c r="J624" s="312"/>
    </row>
    <row r="625">
      <c r="A625" s="344">
        <v>672.66</v>
      </c>
      <c r="B625" s="344">
        <v>60.0</v>
      </c>
      <c r="C625" s="369"/>
      <c r="D625" s="344" t="str">
        <f t="shared" si="1"/>
        <v>Saturday</v>
      </c>
      <c r="E625" s="344"/>
      <c r="F625" s="370"/>
      <c r="G625" s="370"/>
      <c r="H625" s="357">
        <f t="shared" si="2"/>
        <v>0</v>
      </c>
      <c r="I625" s="346">
        <f t="shared" si="3"/>
        <v>0</v>
      </c>
      <c r="J625" s="312"/>
    </row>
    <row r="626">
      <c r="A626" s="344">
        <v>672.66</v>
      </c>
      <c r="B626" s="344">
        <v>60.0</v>
      </c>
      <c r="C626" s="369"/>
      <c r="D626" s="344" t="str">
        <f t="shared" si="1"/>
        <v>Saturday</v>
      </c>
      <c r="E626" s="344"/>
      <c r="F626" s="370"/>
      <c r="G626" s="370"/>
      <c r="H626" s="357">
        <f t="shared" si="2"/>
        <v>0</v>
      </c>
      <c r="I626" s="346">
        <f t="shared" si="3"/>
        <v>0</v>
      </c>
      <c r="J626" s="312"/>
    </row>
    <row r="627">
      <c r="A627" s="344">
        <v>672.66</v>
      </c>
      <c r="B627" s="344">
        <v>60.0</v>
      </c>
      <c r="C627" s="369"/>
      <c r="D627" s="344" t="str">
        <f t="shared" si="1"/>
        <v>Saturday</v>
      </c>
      <c r="E627" s="344"/>
      <c r="F627" s="370"/>
      <c r="G627" s="370"/>
      <c r="H627" s="357">
        <f t="shared" si="2"/>
        <v>0</v>
      </c>
      <c r="I627" s="346">
        <f t="shared" si="3"/>
        <v>0</v>
      </c>
      <c r="J627" s="312"/>
    </row>
    <row r="628">
      <c r="A628" s="344">
        <v>672.66</v>
      </c>
      <c r="B628" s="344">
        <v>60.0</v>
      </c>
      <c r="C628" s="369"/>
      <c r="D628" s="344" t="str">
        <f t="shared" si="1"/>
        <v>Saturday</v>
      </c>
      <c r="E628" s="344"/>
      <c r="F628" s="370"/>
      <c r="G628" s="370"/>
      <c r="H628" s="357">
        <f t="shared" si="2"/>
        <v>0</v>
      </c>
      <c r="I628" s="346">
        <f t="shared" si="3"/>
        <v>0</v>
      </c>
      <c r="J628" s="312"/>
    </row>
    <row r="629">
      <c r="A629" s="344">
        <v>672.66</v>
      </c>
      <c r="B629" s="344">
        <v>60.0</v>
      </c>
      <c r="C629" s="369"/>
      <c r="D629" s="344" t="str">
        <f t="shared" si="1"/>
        <v>Saturday</v>
      </c>
      <c r="E629" s="344"/>
      <c r="F629" s="370"/>
      <c r="G629" s="370"/>
      <c r="H629" s="357">
        <f t="shared" si="2"/>
        <v>0</v>
      </c>
      <c r="I629" s="346">
        <f t="shared" si="3"/>
        <v>0</v>
      </c>
      <c r="J629" s="312"/>
    </row>
    <row r="630">
      <c r="A630" s="344">
        <v>672.66</v>
      </c>
      <c r="B630" s="344">
        <v>60.0</v>
      </c>
      <c r="C630" s="369"/>
      <c r="D630" s="344" t="str">
        <f t="shared" si="1"/>
        <v>Saturday</v>
      </c>
      <c r="E630" s="344"/>
      <c r="F630" s="370"/>
      <c r="G630" s="370"/>
      <c r="H630" s="357">
        <f t="shared" si="2"/>
        <v>0</v>
      </c>
      <c r="I630" s="346">
        <f t="shared" si="3"/>
        <v>0</v>
      </c>
      <c r="J630" s="312"/>
    </row>
    <row r="631">
      <c r="A631" s="344">
        <v>672.66</v>
      </c>
      <c r="B631" s="344">
        <v>60.0</v>
      </c>
      <c r="C631" s="369"/>
      <c r="D631" s="344" t="str">
        <f t="shared" si="1"/>
        <v>Saturday</v>
      </c>
      <c r="E631" s="344"/>
      <c r="F631" s="370"/>
      <c r="G631" s="370"/>
      <c r="H631" s="357">
        <f t="shared" si="2"/>
        <v>0</v>
      </c>
      <c r="I631" s="346">
        <f t="shared" si="3"/>
        <v>0</v>
      </c>
      <c r="J631" s="312"/>
    </row>
    <row r="632">
      <c r="A632" s="344">
        <v>672.66</v>
      </c>
      <c r="B632" s="344">
        <v>60.0</v>
      </c>
      <c r="C632" s="369"/>
      <c r="D632" s="344" t="str">
        <f t="shared" si="1"/>
        <v>Saturday</v>
      </c>
      <c r="E632" s="344"/>
      <c r="F632" s="370"/>
      <c r="G632" s="370"/>
      <c r="H632" s="357">
        <f t="shared" si="2"/>
        <v>0</v>
      </c>
      <c r="I632" s="346">
        <f t="shared" si="3"/>
        <v>0</v>
      </c>
      <c r="J632" s="312"/>
    </row>
    <row r="633">
      <c r="A633" s="344">
        <v>672.66</v>
      </c>
      <c r="B633" s="344">
        <v>60.0</v>
      </c>
      <c r="C633" s="369"/>
      <c r="D633" s="344" t="str">
        <f t="shared" si="1"/>
        <v>Saturday</v>
      </c>
      <c r="E633" s="344"/>
      <c r="F633" s="370"/>
      <c r="G633" s="370"/>
      <c r="H633" s="357">
        <f t="shared" si="2"/>
        <v>0</v>
      </c>
      <c r="I633" s="346">
        <f t="shared" si="3"/>
        <v>0</v>
      </c>
      <c r="J633" s="312"/>
    </row>
    <row r="634">
      <c r="A634" s="344">
        <v>672.66</v>
      </c>
      <c r="B634" s="344">
        <v>60.0</v>
      </c>
      <c r="C634" s="369"/>
      <c r="D634" s="344" t="str">
        <f t="shared" si="1"/>
        <v>Saturday</v>
      </c>
      <c r="E634" s="344"/>
      <c r="F634" s="370"/>
      <c r="G634" s="370"/>
      <c r="H634" s="357">
        <f t="shared" si="2"/>
        <v>0</v>
      </c>
      <c r="I634" s="346">
        <f t="shared" si="3"/>
        <v>0</v>
      </c>
      <c r="J634" s="312"/>
    </row>
    <row r="635">
      <c r="A635" s="344">
        <v>672.66</v>
      </c>
      <c r="B635" s="344">
        <v>60.0</v>
      </c>
      <c r="C635" s="369"/>
      <c r="D635" s="344" t="str">
        <f t="shared" si="1"/>
        <v>Saturday</v>
      </c>
      <c r="E635" s="344"/>
      <c r="F635" s="370"/>
      <c r="G635" s="370"/>
      <c r="H635" s="357">
        <f t="shared" si="2"/>
        <v>0</v>
      </c>
      <c r="I635" s="346">
        <f t="shared" si="3"/>
        <v>0</v>
      </c>
      <c r="J635" s="312"/>
    </row>
    <row r="636">
      <c r="A636" s="344">
        <v>672.66</v>
      </c>
      <c r="B636" s="344">
        <v>60.0</v>
      </c>
      <c r="C636" s="369"/>
      <c r="D636" s="344" t="str">
        <f t="shared" si="1"/>
        <v>Saturday</v>
      </c>
      <c r="E636" s="344"/>
      <c r="F636" s="370"/>
      <c r="G636" s="370"/>
      <c r="H636" s="357">
        <f t="shared" si="2"/>
        <v>0</v>
      </c>
      <c r="I636" s="346">
        <f t="shared" si="3"/>
        <v>0</v>
      </c>
      <c r="J636" s="312"/>
    </row>
    <row r="637">
      <c r="A637" s="344">
        <v>672.66</v>
      </c>
      <c r="B637" s="344">
        <v>60.0</v>
      </c>
      <c r="C637" s="369"/>
      <c r="D637" s="344" t="str">
        <f t="shared" si="1"/>
        <v>Saturday</v>
      </c>
      <c r="E637" s="344"/>
      <c r="F637" s="370"/>
      <c r="G637" s="370"/>
      <c r="H637" s="357">
        <f t="shared" si="2"/>
        <v>0</v>
      </c>
      <c r="I637" s="346">
        <f t="shared" si="3"/>
        <v>0</v>
      </c>
      <c r="J637" s="312"/>
    </row>
    <row r="638">
      <c r="A638" s="344">
        <v>672.66</v>
      </c>
      <c r="B638" s="344">
        <v>60.0</v>
      </c>
      <c r="C638" s="369"/>
      <c r="D638" s="344" t="str">
        <f t="shared" si="1"/>
        <v>Saturday</v>
      </c>
      <c r="E638" s="344"/>
      <c r="F638" s="370"/>
      <c r="G638" s="370"/>
      <c r="H638" s="357">
        <f t="shared" si="2"/>
        <v>0</v>
      </c>
      <c r="I638" s="346">
        <f t="shared" si="3"/>
        <v>0</v>
      </c>
      <c r="J638" s="312"/>
    </row>
    <row r="639">
      <c r="A639" s="344">
        <v>672.66</v>
      </c>
      <c r="B639" s="344">
        <v>60.0</v>
      </c>
      <c r="C639" s="369"/>
      <c r="D639" s="344" t="str">
        <f t="shared" si="1"/>
        <v>Saturday</v>
      </c>
      <c r="E639" s="344"/>
      <c r="F639" s="370"/>
      <c r="G639" s="370"/>
      <c r="H639" s="357">
        <f t="shared" si="2"/>
        <v>0</v>
      </c>
      <c r="I639" s="346">
        <f t="shared" si="3"/>
        <v>0</v>
      </c>
      <c r="J639" s="312"/>
    </row>
    <row r="640">
      <c r="A640" s="344">
        <v>672.66</v>
      </c>
      <c r="B640" s="344">
        <v>60.0</v>
      </c>
      <c r="C640" s="369"/>
      <c r="D640" s="344" t="str">
        <f t="shared" si="1"/>
        <v>Saturday</v>
      </c>
      <c r="E640" s="344"/>
      <c r="F640" s="370"/>
      <c r="G640" s="370"/>
      <c r="H640" s="357">
        <f t="shared" si="2"/>
        <v>0</v>
      </c>
      <c r="I640" s="346">
        <f t="shared" si="3"/>
        <v>0</v>
      </c>
      <c r="J640" s="312"/>
    </row>
    <row r="641">
      <c r="A641" s="344">
        <v>672.66</v>
      </c>
      <c r="B641" s="344">
        <v>60.0</v>
      </c>
      <c r="C641" s="369"/>
      <c r="D641" s="344" t="str">
        <f t="shared" si="1"/>
        <v>Saturday</v>
      </c>
      <c r="E641" s="344"/>
      <c r="F641" s="370"/>
      <c r="G641" s="370"/>
      <c r="H641" s="357">
        <f t="shared" si="2"/>
        <v>0</v>
      </c>
      <c r="I641" s="346">
        <f t="shared" si="3"/>
        <v>0</v>
      </c>
      <c r="J641" s="312"/>
    </row>
    <row r="642">
      <c r="A642" s="344">
        <v>672.66</v>
      </c>
      <c r="B642" s="344">
        <v>60.0</v>
      </c>
      <c r="C642" s="369"/>
      <c r="D642" s="344" t="str">
        <f t="shared" si="1"/>
        <v>Saturday</v>
      </c>
      <c r="E642" s="344"/>
      <c r="F642" s="370"/>
      <c r="G642" s="370"/>
      <c r="H642" s="357">
        <f t="shared" si="2"/>
        <v>0</v>
      </c>
      <c r="I642" s="346">
        <f t="shared" si="3"/>
        <v>0</v>
      </c>
      <c r="J642" s="312"/>
    </row>
    <row r="643">
      <c r="A643" s="344">
        <v>672.66</v>
      </c>
      <c r="B643" s="344">
        <v>60.0</v>
      </c>
      <c r="C643" s="369"/>
      <c r="D643" s="344" t="str">
        <f t="shared" si="1"/>
        <v>Saturday</v>
      </c>
      <c r="E643" s="344"/>
      <c r="F643" s="370"/>
      <c r="G643" s="370"/>
      <c r="H643" s="357">
        <f t="shared" si="2"/>
        <v>0</v>
      </c>
      <c r="I643" s="346">
        <f t="shared" si="3"/>
        <v>0</v>
      </c>
      <c r="J643" s="312"/>
    </row>
    <row r="644">
      <c r="A644" s="344">
        <v>672.66</v>
      </c>
      <c r="B644" s="344">
        <v>60.0</v>
      </c>
      <c r="C644" s="369"/>
      <c r="D644" s="344" t="str">
        <f t="shared" si="1"/>
        <v>Saturday</v>
      </c>
      <c r="E644" s="344"/>
      <c r="F644" s="370"/>
      <c r="G644" s="370"/>
      <c r="H644" s="357">
        <f t="shared" si="2"/>
        <v>0</v>
      </c>
      <c r="I644" s="346">
        <f t="shared" si="3"/>
        <v>0</v>
      </c>
      <c r="J644" s="312"/>
    </row>
    <row r="645">
      <c r="A645" s="344">
        <v>672.66</v>
      </c>
      <c r="B645" s="344">
        <v>60.0</v>
      </c>
      <c r="C645" s="369"/>
      <c r="D645" s="344" t="str">
        <f t="shared" si="1"/>
        <v>Saturday</v>
      </c>
      <c r="E645" s="344"/>
      <c r="F645" s="370"/>
      <c r="G645" s="370"/>
      <c r="H645" s="357">
        <f t="shared" si="2"/>
        <v>0</v>
      </c>
      <c r="I645" s="346">
        <f t="shared" si="3"/>
        <v>0</v>
      </c>
      <c r="J645" s="312"/>
    </row>
    <row r="646">
      <c r="A646" s="344">
        <v>672.66</v>
      </c>
      <c r="B646" s="344">
        <v>60.0</v>
      </c>
      <c r="C646" s="369"/>
      <c r="D646" s="344" t="str">
        <f t="shared" si="1"/>
        <v>Saturday</v>
      </c>
      <c r="E646" s="344"/>
      <c r="F646" s="370"/>
      <c r="G646" s="370"/>
      <c r="H646" s="357">
        <f t="shared" si="2"/>
        <v>0</v>
      </c>
      <c r="I646" s="346">
        <f t="shared" si="3"/>
        <v>0</v>
      </c>
      <c r="J646" s="312"/>
    </row>
    <row r="647">
      <c r="A647" s="344">
        <v>672.66</v>
      </c>
      <c r="B647" s="344">
        <v>60.0</v>
      </c>
      <c r="C647" s="369"/>
      <c r="D647" s="344" t="str">
        <f t="shared" si="1"/>
        <v>Saturday</v>
      </c>
      <c r="E647" s="344"/>
      <c r="F647" s="370"/>
      <c r="G647" s="370"/>
      <c r="H647" s="357">
        <f t="shared" si="2"/>
        <v>0</v>
      </c>
      <c r="I647" s="346">
        <f t="shared" si="3"/>
        <v>0</v>
      </c>
      <c r="J647" s="312"/>
    </row>
    <row r="648">
      <c r="A648" s="344">
        <v>672.66</v>
      </c>
      <c r="B648" s="344">
        <v>60.0</v>
      </c>
      <c r="C648" s="369"/>
      <c r="D648" s="344" t="str">
        <f t="shared" si="1"/>
        <v>Saturday</v>
      </c>
      <c r="E648" s="344"/>
      <c r="F648" s="370"/>
      <c r="G648" s="370"/>
      <c r="H648" s="357">
        <f t="shared" si="2"/>
        <v>0</v>
      </c>
      <c r="I648" s="346">
        <f t="shared" si="3"/>
        <v>0</v>
      </c>
      <c r="J648" s="312"/>
    </row>
    <row r="649">
      <c r="A649" s="344">
        <v>672.66</v>
      </c>
      <c r="B649" s="344">
        <v>60.0</v>
      </c>
      <c r="C649" s="369"/>
      <c r="D649" s="344" t="str">
        <f t="shared" si="1"/>
        <v>Saturday</v>
      </c>
      <c r="E649" s="344"/>
      <c r="F649" s="370"/>
      <c r="G649" s="370"/>
      <c r="H649" s="357">
        <f t="shared" si="2"/>
        <v>0</v>
      </c>
      <c r="I649" s="346">
        <f t="shared" si="3"/>
        <v>0</v>
      </c>
      <c r="J649" s="312"/>
    </row>
    <row r="650">
      <c r="A650" s="344">
        <v>672.66</v>
      </c>
      <c r="B650" s="344">
        <v>60.0</v>
      </c>
      <c r="C650" s="369"/>
      <c r="D650" s="344" t="str">
        <f t="shared" si="1"/>
        <v>Saturday</v>
      </c>
      <c r="E650" s="344"/>
      <c r="F650" s="370"/>
      <c r="G650" s="370"/>
      <c r="H650" s="357">
        <f t="shared" si="2"/>
        <v>0</v>
      </c>
      <c r="I650" s="346">
        <f t="shared" si="3"/>
        <v>0</v>
      </c>
      <c r="J650" s="312"/>
    </row>
    <row r="651">
      <c r="A651" s="344">
        <v>672.66</v>
      </c>
      <c r="B651" s="344">
        <v>60.0</v>
      </c>
      <c r="C651" s="369"/>
      <c r="D651" s="344" t="str">
        <f t="shared" si="1"/>
        <v>Saturday</v>
      </c>
      <c r="E651" s="344"/>
      <c r="F651" s="370"/>
      <c r="G651" s="370"/>
      <c r="H651" s="357">
        <f t="shared" si="2"/>
        <v>0</v>
      </c>
      <c r="I651" s="346">
        <f t="shared" si="3"/>
        <v>0</v>
      </c>
      <c r="J651" s="312"/>
    </row>
    <row r="652">
      <c r="A652" s="344">
        <v>672.66</v>
      </c>
      <c r="B652" s="344">
        <v>60.0</v>
      </c>
      <c r="C652" s="369"/>
      <c r="D652" s="344" t="str">
        <f t="shared" si="1"/>
        <v>Saturday</v>
      </c>
      <c r="E652" s="344"/>
      <c r="F652" s="370"/>
      <c r="G652" s="370"/>
      <c r="H652" s="357">
        <f t="shared" si="2"/>
        <v>0</v>
      </c>
      <c r="I652" s="346">
        <f t="shared" si="3"/>
        <v>0</v>
      </c>
      <c r="J652" s="312"/>
    </row>
    <row r="653">
      <c r="A653" s="344">
        <v>672.66</v>
      </c>
      <c r="B653" s="344">
        <v>60.0</v>
      </c>
      <c r="C653" s="369"/>
      <c r="D653" s="344" t="str">
        <f t="shared" si="1"/>
        <v>Saturday</v>
      </c>
      <c r="E653" s="344"/>
      <c r="F653" s="370"/>
      <c r="G653" s="370"/>
      <c r="H653" s="357">
        <f t="shared" si="2"/>
        <v>0</v>
      </c>
      <c r="I653" s="346">
        <f t="shared" si="3"/>
        <v>0</v>
      </c>
      <c r="J653" s="312"/>
    </row>
    <row r="654">
      <c r="A654" s="344">
        <v>672.66</v>
      </c>
      <c r="B654" s="344">
        <v>60.0</v>
      </c>
      <c r="C654" s="369"/>
      <c r="D654" s="344" t="str">
        <f t="shared" si="1"/>
        <v>Saturday</v>
      </c>
      <c r="E654" s="344"/>
      <c r="F654" s="370"/>
      <c r="G654" s="370"/>
      <c r="H654" s="357">
        <f t="shared" si="2"/>
        <v>0</v>
      </c>
      <c r="I654" s="346">
        <f t="shared" si="3"/>
        <v>0</v>
      </c>
      <c r="J654" s="312"/>
    </row>
    <row r="655">
      <c r="A655" s="344">
        <v>672.66</v>
      </c>
      <c r="B655" s="344">
        <v>60.0</v>
      </c>
      <c r="C655" s="369"/>
      <c r="D655" s="344" t="str">
        <f t="shared" si="1"/>
        <v>Saturday</v>
      </c>
      <c r="E655" s="344"/>
      <c r="F655" s="370"/>
      <c r="G655" s="370"/>
      <c r="H655" s="357">
        <f t="shared" si="2"/>
        <v>0</v>
      </c>
      <c r="I655" s="346">
        <f t="shared" si="3"/>
        <v>0</v>
      </c>
      <c r="J655" s="312"/>
    </row>
    <row r="656">
      <c r="A656" s="344">
        <v>672.66</v>
      </c>
      <c r="B656" s="344">
        <v>60.0</v>
      </c>
      <c r="C656" s="369"/>
      <c r="D656" s="344" t="str">
        <f t="shared" si="1"/>
        <v>Saturday</v>
      </c>
      <c r="E656" s="344"/>
      <c r="F656" s="370"/>
      <c r="G656" s="370"/>
      <c r="H656" s="357">
        <f t="shared" si="2"/>
        <v>0</v>
      </c>
      <c r="I656" s="346">
        <f t="shared" si="3"/>
        <v>0</v>
      </c>
      <c r="J656" s="312"/>
    </row>
    <row r="657">
      <c r="A657" s="344">
        <v>672.66</v>
      </c>
      <c r="B657" s="344">
        <v>60.0</v>
      </c>
      <c r="C657" s="369"/>
      <c r="D657" s="344" t="str">
        <f t="shared" si="1"/>
        <v>Saturday</v>
      </c>
      <c r="E657" s="344"/>
      <c r="F657" s="370"/>
      <c r="G657" s="370"/>
      <c r="H657" s="357">
        <f t="shared" si="2"/>
        <v>0</v>
      </c>
      <c r="I657" s="346">
        <f t="shared" si="3"/>
        <v>0</v>
      </c>
      <c r="J657" s="312"/>
    </row>
    <row r="658">
      <c r="A658" s="344">
        <v>672.66</v>
      </c>
      <c r="B658" s="344">
        <v>60.0</v>
      </c>
      <c r="C658" s="369"/>
      <c r="D658" s="344" t="str">
        <f t="shared" si="1"/>
        <v>Saturday</v>
      </c>
      <c r="E658" s="344"/>
      <c r="F658" s="370"/>
      <c r="G658" s="370"/>
      <c r="H658" s="357">
        <f t="shared" si="2"/>
        <v>0</v>
      </c>
      <c r="I658" s="346">
        <f t="shared" si="3"/>
        <v>0</v>
      </c>
      <c r="J658" s="312"/>
    </row>
    <row r="659">
      <c r="A659" s="344">
        <v>672.66</v>
      </c>
      <c r="B659" s="344">
        <v>60.0</v>
      </c>
      <c r="C659" s="369"/>
      <c r="D659" s="344" t="str">
        <f t="shared" si="1"/>
        <v>Saturday</v>
      </c>
      <c r="E659" s="344"/>
      <c r="F659" s="370"/>
      <c r="G659" s="370"/>
      <c r="H659" s="357">
        <f t="shared" si="2"/>
        <v>0</v>
      </c>
      <c r="I659" s="346">
        <f t="shared" si="3"/>
        <v>0</v>
      </c>
      <c r="J659" s="312"/>
    </row>
    <row r="660">
      <c r="A660" s="344">
        <v>672.66</v>
      </c>
      <c r="B660" s="344">
        <v>60.0</v>
      </c>
      <c r="C660" s="369"/>
      <c r="D660" s="344" t="str">
        <f t="shared" si="1"/>
        <v>Saturday</v>
      </c>
      <c r="E660" s="344"/>
      <c r="F660" s="370"/>
      <c r="G660" s="370"/>
      <c r="H660" s="357">
        <f t="shared" si="2"/>
        <v>0</v>
      </c>
      <c r="I660" s="346">
        <f t="shared" si="3"/>
        <v>0</v>
      </c>
      <c r="J660" s="312"/>
    </row>
    <row r="661">
      <c r="A661" s="344">
        <v>672.66</v>
      </c>
      <c r="B661" s="344">
        <v>60.0</v>
      </c>
      <c r="C661" s="369"/>
      <c r="D661" s="344" t="str">
        <f t="shared" si="1"/>
        <v>Saturday</v>
      </c>
      <c r="E661" s="344"/>
      <c r="F661" s="370"/>
      <c r="G661" s="370"/>
      <c r="H661" s="357">
        <f t="shared" si="2"/>
        <v>0</v>
      </c>
      <c r="I661" s="346">
        <f t="shared" si="3"/>
        <v>0</v>
      </c>
      <c r="J661" s="312"/>
    </row>
    <row r="662">
      <c r="A662" s="344">
        <v>672.66</v>
      </c>
      <c r="B662" s="344">
        <v>60.0</v>
      </c>
      <c r="C662" s="369"/>
      <c r="D662" s="344" t="str">
        <f t="shared" si="1"/>
        <v>Saturday</v>
      </c>
      <c r="E662" s="344"/>
      <c r="F662" s="370"/>
      <c r="G662" s="370"/>
      <c r="H662" s="357">
        <f t="shared" si="2"/>
        <v>0</v>
      </c>
      <c r="I662" s="346">
        <f t="shared" si="3"/>
        <v>0</v>
      </c>
      <c r="J662" s="312"/>
    </row>
    <row r="663">
      <c r="A663" s="344">
        <v>672.66</v>
      </c>
      <c r="B663" s="344">
        <v>60.0</v>
      </c>
      <c r="C663" s="369"/>
      <c r="D663" s="344" t="str">
        <f t="shared" si="1"/>
        <v>Saturday</v>
      </c>
      <c r="E663" s="344"/>
      <c r="F663" s="370"/>
      <c r="G663" s="370"/>
      <c r="H663" s="357">
        <f t="shared" si="2"/>
        <v>0</v>
      </c>
      <c r="I663" s="346">
        <f t="shared" si="3"/>
        <v>0</v>
      </c>
      <c r="J663" s="312"/>
    </row>
    <row r="664">
      <c r="A664" s="344">
        <v>672.66</v>
      </c>
      <c r="B664" s="344">
        <v>60.0</v>
      </c>
      <c r="C664" s="369"/>
      <c r="D664" s="344" t="str">
        <f t="shared" si="1"/>
        <v>Saturday</v>
      </c>
      <c r="E664" s="344"/>
      <c r="F664" s="370"/>
      <c r="G664" s="370"/>
      <c r="H664" s="357">
        <f t="shared" si="2"/>
        <v>0</v>
      </c>
      <c r="I664" s="346">
        <f t="shared" si="3"/>
        <v>0</v>
      </c>
      <c r="J664" s="312"/>
    </row>
    <row r="665">
      <c r="A665" s="344">
        <v>672.66</v>
      </c>
      <c r="B665" s="344">
        <v>60.0</v>
      </c>
      <c r="C665" s="369"/>
      <c r="D665" s="344" t="str">
        <f t="shared" si="1"/>
        <v>Saturday</v>
      </c>
      <c r="E665" s="344"/>
      <c r="F665" s="370"/>
      <c r="G665" s="370"/>
      <c r="H665" s="357">
        <f t="shared" si="2"/>
        <v>0</v>
      </c>
      <c r="I665" s="346">
        <f t="shared" si="3"/>
        <v>0</v>
      </c>
      <c r="J665" s="312"/>
    </row>
    <row r="666">
      <c r="A666" s="344">
        <v>672.66</v>
      </c>
      <c r="B666" s="344">
        <v>60.0</v>
      </c>
      <c r="C666" s="369"/>
      <c r="D666" s="344" t="str">
        <f t="shared" si="1"/>
        <v>Saturday</v>
      </c>
      <c r="E666" s="344"/>
      <c r="F666" s="370"/>
      <c r="G666" s="370"/>
      <c r="H666" s="357">
        <f t="shared" si="2"/>
        <v>0</v>
      </c>
      <c r="I666" s="346">
        <f t="shared" si="3"/>
        <v>0</v>
      </c>
      <c r="J666" s="312"/>
    </row>
    <row r="667">
      <c r="A667" s="344">
        <v>672.66</v>
      </c>
      <c r="B667" s="344">
        <v>60.0</v>
      </c>
      <c r="C667" s="369"/>
      <c r="D667" s="344" t="str">
        <f t="shared" si="1"/>
        <v>Saturday</v>
      </c>
      <c r="E667" s="344"/>
      <c r="F667" s="370"/>
      <c r="G667" s="370"/>
      <c r="H667" s="357">
        <f t="shared" si="2"/>
        <v>0</v>
      </c>
      <c r="I667" s="346">
        <f t="shared" si="3"/>
        <v>0</v>
      </c>
      <c r="J667" s="312"/>
    </row>
    <row r="668">
      <c r="A668" s="344">
        <v>672.66</v>
      </c>
      <c r="B668" s="344">
        <v>60.0</v>
      </c>
      <c r="C668" s="369"/>
      <c r="D668" s="344" t="str">
        <f t="shared" si="1"/>
        <v>Saturday</v>
      </c>
      <c r="E668" s="344"/>
      <c r="F668" s="370"/>
      <c r="G668" s="370"/>
      <c r="H668" s="357">
        <f t="shared" si="2"/>
        <v>0</v>
      </c>
      <c r="I668" s="346">
        <f t="shared" si="3"/>
        <v>0</v>
      </c>
      <c r="J668" s="312"/>
    </row>
    <row r="669">
      <c r="A669" s="344">
        <v>672.66</v>
      </c>
      <c r="B669" s="344">
        <v>60.0</v>
      </c>
      <c r="C669" s="369"/>
      <c r="D669" s="344" t="str">
        <f t="shared" si="1"/>
        <v>Saturday</v>
      </c>
      <c r="E669" s="344"/>
      <c r="F669" s="370"/>
      <c r="G669" s="370"/>
      <c r="H669" s="357">
        <f t="shared" si="2"/>
        <v>0</v>
      </c>
      <c r="I669" s="346">
        <f t="shared" si="3"/>
        <v>0</v>
      </c>
      <c r="J669" s="312"/>
    </row>
    <row r="670">
      <c r="A670" s="344">
        <v>672.66</v>
      </c>
      <c r="B670" s="344">
        <v>60.0</v>
      </c>
      <c r="C670" s="369"/>
      <c r="D670" s="344" t="str">
        <f t="shared" si="1"/>
        <v>Saturday</v>
      </c>
      <c r="E670" s="344"/>
      <c r="F670" s="370"/>
      <c r="G670" s="370"/>
      <c r="H670" s="357">
        <f t="shared" si="2"/>
        <v>0</v>
      </c>
      <c r="I670" s="346">
        <f t="shared" si="3"/>
        <v>0</v>
      </c>
      <c r="J670" s="312"/>
    </row>
    <row r="671">
      <c r="A671" s="344">
        <v>672.66</v>
      </c>
      <c r="B671" s="344">
        <v>60.0</v>
      </c>
      <c r="C671" s="369"/>
      <c r="D671" s="344" t="str">
        <f t="shared" si="1"/>
        <v>Saturday</v>
      </c>
      <c r="E671" s="344"/>
      <c r="F671" s="370"/>
      <c r="G671" s="370"/>
      <c r="H671" s="357">
        <f t="shared" si="2"/>
        <v>0</v>
      </c>
      <c r="I671" s="346">
        <f t="shared" si="3"/>
        <v>0</v>
      </c>
      <c r="J671" s="312"/>
    </row>
    <row r="672">
      <c r="A672" s="344">
        <v>672.66</v>
      </c>
      <c r="B672" s="344">
        <v>60.0</v>
      </c>
      <c r="C672" s="369"/>
      <c r="D672" s="344" t="str">
        <f t="shared" si="1"/>
        <v>Saturday</v>
      </c>
      <c r="E672" s="344"/>
      <c r="F672" s="370"/>
      <c r="G672" s="370"/>
      <c r="H672" s="357">
        <f t="shared" si="2"/>
        <v>0</v>
      </c>
      <c r="I672" s="346">
        <f t="shared" si="3"/>
        <v>0</v>
      </c>
      <c r="J672" s="312"/>
    </row>
    <row r="673">
      <c r="A673" s="344">
        <v>672.66</v>
      </c>
      <c r="B673" s="344">
        <v>60.0</v>
      </c>
      <c r="C673" s="369"/>
      <c r="D673" s="344" t="str">
        <f t="shared" si="1"/>
        <v>Saturday</v>
      </c>
      <c r="E673" s="344"/>
      <c r="F673" s="370"/>
      <c r="G673" s="370"/>
      <c r="H673" s="357">
        <f t="shared" si="2"/>
        <v>0</v>
      </c>
      <c r="I673" s="346">
        <f t="shared" si="3"/>
        <v>0</v>
      </c>
      <c r="J673" s="312"/>
    </row>
    <row r="674">
      <c r="A674" s="344">
        <v>672.66</v>
      </c>
      <c r="B674" s="344">
        <v>60.0</v>
      </c>
      <c r="C674" s="369"/>
      <c r="D674" s="344" t="str">
        <f t="shared" si="1"/>
        <v>Saturday</v>
      </c>
      <c r="E674" s="344"/>
      <c r="F674" s="370"/>
      <c r="G674" s="370"/>
      <c r="H674" s="357">
        <f t="shared" si="2"/>
        <v>0</v>
      </c>
      <c r="I674" s="346">
        <f t="shared" si="3"/>
        <v>0</v>
      </c>
      <c r="J674" s="312"/>
    </row>
    <row r="675">
      <c r="A675" s="344">
        <v>672.66</v>
      </c>
      <c r="B675" s="344">
        <v>60.0</v>
      </c>
      <c r="C675" s="369"/>
      <c r="D675" s="344" t="str">
        <f t="shared" si="1"/>
        <v>Saturday</v>
      </c>
      <c r="E675" s="344"/>
      <c r="F675" s="370"/>
      <c r="G675" s="370"/>
      <c r="H675" s="357">
        <f t="shared" si="2"/>
        <v>0</v>
      </c>
      <c r="I675" s="346">
        <f t="shared" si="3"/>
        <v>0</v>
      </c>
      <c r="J675" s="312"/>
    </row>
    <row r="676">
      <c r="A676" s="344">
        <v>672.66</v>
      </c>
      <c r="B676" s="344">
        <v>60.0</v>
      </c>
      <c r="C676" s="369"/>
      <c r="D676" s="344" t="str">
        <f t="shared" si="1"/>
        <v>Saturday</v>
      </c>
      <c r="E676" s="344"/>
      <c r="F676" s="370"/>
      <c r="G676" s="370"/>
      <c r="H676" s="357">
        <f t="shared" si="2"/>
        <v>0</v>
      </c>
      <c r="I676" s="346">
        <f t="shared" si="3"/>
        <v>0</v>
      </c>
      <c r="J676" s="312"/>
    </row>
    <row r="677">
      <c r="A677" s="344">
        <v>672.66</v>
      </c>
      <c r="B677" s="344">
        <v>60.0</v>
      </c>
      <c r="C677" s="369"/>
      <c r="D677" s="344" t="str">
        <f t="shared" si="1"/>
        <v>Saturday</v>
      </c>
      <c r="E677" s="344"/>
      <c r="F677" s="370"/>
      <c r="G677" s="370"/>
      <c r="H677" s="357">
        <f t="shared" si="2"/>
        <v>0</v>
      </c>
      <c r="I677" s="346">
        <f t="shared" si="3"/>
        <v>0</v>
      </c>
      <c r="J677" s="312"/>
    </row>
    <row r="678">
      <c r="A678" s="344">
        <v>672.66</v>
      </c>
      <c r="B678" s="344">
        <v>60.0</v>
      </c>
      <c r="C678" s="369"/>
      <c r="D678" s="344" t="str">
        <f t="shared" si="1"/>
        <v>Saturday</v>
      </c>
      <c r="E678" s="344"/>
      <c r="F678" s="370"/>
      <c r="G678" s="370"/>
      <c r="H678" s="357">
        <f t="shared" si="2"/>
        <v>0</v>
      </c>
      <c r="I678" s="346">
        <f t="shared" si="3"/>
        <v>0</v>
      </c>
      <c r="J678" s="312"/>
    </row>
    <row r="679">
      <c r="A679" s="344">
        <v>672.66</v>
      </c>
      <c r="B679" s="344">
        <v>60.0</v>
      </c>
      <c r="C679" s="369"/>
      <c r="D679" s="344" t="str">
        <f t="shared" si="1"/>
        <v>Saturday</v>
      </c>
      <c r="E679" s="344"/>
      <c r="F679" s="370"/>
      <c r="G679" s="370"/>
      <c r="H679" s="357">
        <f t="shared" si="2"/>
        <v>0</v>
      </c>
      <c r="I679" s="346">
        <f t="shared" si="3"/>
        <v>0</v>
      </c>
      <c r="J679" s="312"/>
    </row>
    <row r="680">
      <c r="A680" s="344">
        <v>672.66</v>
      </c>
      <c r="B680" s="344">
        <v>60.0</v>
      </c>
      <c r="C680" s="369"/>
      <c r="D680" s="344" t="str">
        <f t="shared" si="1"/>
        <v>Saturday</v>
      </c>
      <c r="E680" s="344"/>
      <c r="F680" s="370"/>
      <c r="G680" s="370"/>
      <c r="H680" s="357">
        <f t="shared" si="2"/>
        <v>0</v>
      </c>
      <c r="I680" s="346">
        <f t="shared" si="3"/>
        <v>0</v>
      </c>
      <c r="J680" s="312"/>
    </row>
    <row r="681">
      <c r="A681" s="344">
        <v>672.66</v>
      </c>
      <c r="B681" s="344">
        <v>60.0</v>
      </c>
      <c r="C681" s="369"/>
      <c r="D681" s="344" t="str">
        <f t="shared" si="1"/>
        <v>Saturday</v>
      </c>
      <c r="E681" s="344"/>
      <c r="F681" s="370"/>
      <c r="G681" s="370"/>
      <c r="H681" s="357">
        <f t="shared" si="2"/>
        <v>0</v>
      </c>
      <c r="I681" s="346">
        <f t="shared" si="3"/>
        <v>0</v>
      </c>
      <c r="J681" s="312"/>
    </row>
    <row r="682">
      <c r="A682" s="344">
        <v>672.66</v>
      </c>
      <c r="B682" s="344">
        <v>60.0</v>
      </c>
      <c r="C682" s="369"/>
      <c r="D682" s="344" t="str">
        <f t="shared" si="1"/>
        <v>Saturday</v>
      </c>
      <c r="E682" s="344"/>
      <c r="F682" s="370"/>
      <c r="G682" s="370"/>
      <c r="H682" s="357">
        <f t="shared" si="2"/>
        <v>0</v>
      </c>
      <c r="I682" s="346">
        <f t="shared" si="3"/>
        <v>0</v>
      </c>
      <c r="J682" s="312"/>
    </row>
    <row r="683">
      <c r="A683" s="344">
        <v>672.66</v>
      </c>
      <c r="B683" s="344">
        <v>60.0</v>
      </c>
      <c r="C683" s="369"/>
      <c r="D683" s="344" t="str">
        <f t="shared" si="1"/>
        <v>Saturday</v>
      </c>
      <c r="E683" s="344"/>
      <c r="F683" s="370"/>
      <c r="G683" s="370"/>
      <c r="H683" s="357">
        <f t="shared" si="2"/>
        <v>0</v>
      </c>
      <c r="I683" s="346">
        <f t="shared" si="3"/>
        <v>0</v>
      </c>
      <c r="J683" s="312"/>
    </row>
    <row r="684">
      <c r="A684" s="344">
        <v>672.66</v>
      </c>
      <c r="B684" s="344">
        <v>60.0</v>
      </c>
      <c r="C684" s="369"/>
      <c r="D684" s="344" t="str">
        <f t="shared" si="1"/>
        <v>Saturday</v>
      </c>
      <c r="E684" s="344"/>
      <c r="F684" s="370"/>
      <c r="G684" s="370"/>
      <c r="H684" s="357">
        <f t="shared" si="2"/>
        <v>0</v>
      </c>
      <c r="I684" s="346">
        <f t="shared" si="3"/>
        <v>0</v>
      </c>
      <c r="J684" s="312"/>
    </row>
    <row r="685">
      <c r="A685" s="344">
        <v>672.66</v>
      </c>
      <c r="B685" s="344">
        <v>60.0</v>
      </c>
      <c r="C685" s="369"/>
      <c r="D685" s="344" t="str">
        <f t="shared" si="1"/>
        <v>Saturday</v>
      </c>
      <c r="E685" s="344"/>
      <c r="F685" s="370"/>
      <c r="G685" s="370"/>
      <c r="H685" s="357">
        <f t="shared" si="2"/>
        <v>0</v>
      </c>
      <c r="I685" s="346">
        <f t="shared" si="3"/>
        <v>0</v>
      </c>
      <c r="J685" s="312"/>
    </row>
    <row r="686">
      <c r="A686" s="344">
        <v>672.66</v>
      </c>
      <c r="B686" s="344">
        <v>60.0</v>
      </c>
      <c r="C686" s="369"/>
      <c r="D686" s="344" t="str">
        <f t="shared" si="1"/>
        <v>Saturday</v>
      </c>
      <c r="E686" s="344"/>
      <c r="F686" s="370"/>
      <c r="G686" s="370"/>
      <c r="H686" s="357">
        <f t="shared" si="2"/>
        <v>0</v>
      </c>
      <c r="I686" s="346">
        <f t="shared" si="3"/>
        <v>0</v>
      </c>
      <c r="J686" s="312"/>
    </row>
    <row r="687">
      <c r="A687" s="344">
        <v>672.66</v>
      </c>
      <c r="B687" s="344">
        <v>60.0</v>
      </c>
      <c r="C687" s="369"/>
      <c r="D687" s="344" t="str">
        <f t="shared" si="1"/>
        <v>Saturday</v>
      </c>
      <c r="E687" s="344"/>
      <c r="F687" s="370"/>
      <c r="G687" s="370"/>
      <c r="H687" s="357">
        <f t="shared" si="2"/>
        <v>0</v>
      </c>
      <c r="I687" s="346">
        <f t="shared" si="3"/>
        <v>0</v>
      </c>
      <c r="J687" s="312"/>
    </row>
    <row r="688">
      <c r="A688" s="344">
        <v>672.66</v>
      </c>
      <c r="B688" s="344">
        <v>60.0</v>
      </c>
      <c r="C688" s="369"/>
      <c r="D688" s="344" t="str">
        <f t="shared" si="1"/>
        <v>Saturday</v>
      </c>
      <c r="E688" s="344"/>
      <c r="F688" s="370"/>
      <c r="G688" s="370"/>
      <c r="H688" s="357">
        <f t="shared" si="2"/>
        <v>0</v>
      </c>
      <c r="I688" s="346">
        <f t="shared" si="3"/>
        <v>0</v>
      </c>
      <c r="J688" s="312"/>
    </row>
    <row r="689">
      <c r="A689" s="344">
        <v>672.66</v>
      </c>
      <c r="B689" s="344">
        <v>60.0</v>
      </c>
      <c r="C689" s="369"/>
      <c r="D689" s="344" t="str">
        <f t="shared" si="1"/>
        <v>Saturday</v>
      </c>
      <c r="E689" s="344"/>
      <c r="F689" s="370"/>
      <c r="G689" s="370"/>
      <c r="H689" s="357">
        <f t="shared" si="2"/>
        <v>0</v>
      </c>
      <c r="I689" s="346">
        <f t="shared" si="3"/>
        <v>0</v>
      </c>
      <c r="J689" s="312"/>
    </row>
    <row r="690">
      <c r="A690" s="344">
        <v>672.66</v>
      </c>
      <c r="B690" s="344">
        <v>60.0</v>
      </c>
      <c r="C690" s="369"/>
      <c r="D690" s="344" t="str">
        <f t="shared" si="1"/>
        <v>Saturday</v>
      </c>
      <c r="E690" s="344"/>
      <c r="F690" s="370"/>
      <c r="G690" s="370"/>
      <c r="H690" s="357">
        <f t="shared" si="2"/>
        <v>0</v>
      </c>
      <c r="I690" s="346">
        <f t="shared" si="3"/>
        <v>0</v>
      </c>
      <c r="J690" s="312"/>
    </row>
    <row r="691">
      <c r="A691" s="344">
        <v>672.66</v>
      </c>
      <c r="B691" s="344">
        <v>60.0</v>
      </c>
      <c r="C691" s="369"/>
      <c r="D691" s="344" t="str">
        <f t="shared" si="1"/>
        <v>Saturday</v>
      </c>
      <c r="E691" s="344"/>
      <c r="F691" s="370"/>
      <c r="G691" s="370"/>
      <c r="H691" s="357">
        <f t="shared" si="2"/>
        <v>0</v>
      </c>
      <c r="I691" s="346">
        <f t="shared" si="3"/>
        <v>0</v>
      </c>
      <c r="J691" s="312"/>
    </row>
    <row r="692">
      <c r="A692" s="344">
        <v>672.66</v>
      </c>
      <c r="B692" s="344">
        <v>60.0</v>
      </c>
      <c r="C692" s="369"/>
      <c r="D692" s="344" t="str">
        <f t="shared" si="1"/>
        <v>Saturday</v>
      </c>
      <c r="E692" s="344"/>
      <c r="F692" s="370"/>
      <c r="G692" s="370"/>
      <c r="H692" s="357">
        <f t="shared" si="2"/>
        <v>0</v>
      </c>
      <c r="I692" s="346">
        <f t="shared" si="3"/>
        <v>0</v>
      </c>
      <c r="J692" s="312"/>
    </row>
    <row r="693">
      <c r="A693" s="344">
        <v>672.66</v>
      </c>
      <c r="B693" s="344">
        <v>60.0</v>
      </c>
      <c r="C693" s="369"/>
      <c r="D693" s="344" t="str">
        <f t="shared" si="1"/>
        <v>Saturday</v>
      </c>
      <c r="E693" s="344"/>
      <c r="F693" s="370"/>
      <c r="G693" s="370"/>
      <c r="H693" s="357">
        <f t="shared" si="2"/>
        <v>0</v>
      </c>
      <c r="I693" s="346">
        <f t="shared" si="3"/>
        <v>0</v>
      </c>
      <c r="J693" s="312"/>
    </row>
    <row r="694">
      <c r="A694" s="344">
        <v>672.66</v>
      </c>
      <c r="B694" s="344">
        <v>60.0</v>
      </c>
      <c r="C694" s="369"/>
      <c r="D694" s="344" t="str">
        <f t="shared" si="1"/>
        <v>Saturday</v>
      </c>
      <c r="E694" s="344"/>
      <c r="F694" s="370"/>
      <c r="G694" s="370"/>
      <c r="H694" s="357">
        <f t="shared" si="2"/>
        <v>0</v>
      </c>
      <c r="I694" s="346">
        <f t="shared" si="3"/>
        <v>0</v>
      </c>
      <c r="J694" s="312"/>
    </row>
    <row r="695">
      <c r="A695" s="344">
        <v>672.66</v>
      </c>
      <c r="B695" s="344">
        <v>60.0</v>
      </c>
      <c r="C695" s="369"/>
      <c r="D695" s="344" t="str">
        <f t="shared" si="1"/>
        <v>Saturday</v>
      </c>
      <c r="E695" s="344"/>
      <c r="F695" s="370"/>
      <c r="G695" s="370"/>
      <c r="H695" s="357">
        <f t="shared" si="2"/>
        <v>0</v>
      </c>
      <c r="I695" s="346">
        <f t="shared" si="3"/>
        <v>0</v>
      </c>
      <c r="J695" s="312"/>
    </row>
    <row r="696">
      <c r="A696" s="344">
        <v>672.66</v>
      </c>
      <c r="B696" s="344">
        <v>60.0</v>
      </c>
      <c r="C696" s="369"/>
      <c r="D696" s="344" t="str">
        <f t="shared" si="1"/>
        <v>Saturday</v>
      </c>
      <c r="E696" s="344"/>
      <c r="F696" s="370"/>
      <c r="G696" s="370"/>
      <c r="H696" s="357">
        <f t="shared" si="2"/>
        <v>0</v>
      </c>
      <c r="I696" s="346">
        <f t="shared" si="3"/>
        <v>0</v>
      </c>
      <c r="J696" s="312"/>
    </row>
    <row r="697">
      <c r="A697" s="344">
        <v>672.66</v>
      </c>
      <c r="B697" s="344">
        <v>60.0</v>
      </c>
      <c r="C697" s="369"/>
      <c r="D697" s="344" t="str">
        <f t="shared" si="1"/>
        <v>Saturday</v>
      </c>
      <c r="E697" s="344"/>
      <c r="F697" s="370"/>
      <c r="G697" s="370"/>
      <c r="H697" s="357">
        <f t="shared" si="2"/>
        <v>0</v>
      </c>
      <c r="I697" s="346">
        <f t="shared" si="3"/>
        <v>0</v>
      </c>
      <c r="J697" s="312"/>
    </row>
    <row r="698">
      <c r="A698" s="344">
        <v>672.66</v>
      </c>
      <c r="B698" s="344">
        <v>60.0</v>
      </c>
      <c r="C698" s="369"/>
      <c r="D698" s="344" t="str">
        <f t="shared" si="1"/>
        <v>Saturday</v>
      </c>
      <c r="E698" s="344"/>
      <c r="F698" s="370"/>
      <c r="G698" s="370"/>
      <c r="H698" s="357">
        <f t="shared" si="2"/>
        <v>0</v>
      </c>
      <c r="I698" s="346">
        <f t="shared" si="3"/>
        <v>0</v>
      </c>
      <c r="J698" s="312"/>
    </row>
    <row r="699">
      <c r="A699" s="344">
        <v>672.66</v>
      </c>
      <c r="B699" s="344">
        <v>60.0</v>
      </c>
      <c r="C699" s="369"/>
      <c r="D699" s="344" t="str">
        <f t="shared" si="1"/>
        <v>Saturday</v>
      </c>
      <c r="E699" s="344"/>
      <c r="F699" s="370"/>
      <c r="G699" s="370"/>
      <c r="H699" s="357">
        <f t="shared" si="2"/>
        <v>0</v>
      </c>
      <c r="I699" s="346">
        <f t="shared" si="3"/>
        <v>0</v>
      </c>
      <c r="J699" s="312"/>
    </row>
    <row r="700">
      <c r="A700" s="344">
        <v>672.66</v>
      </c>
      <c r="B700" s="344">
        <v>60.0</v>
      </c>
      <c r="C700" s="369"/>
      <c r="D700" s="344" t="str">
        <f t="shared" si="1"/>
        <v>Saturday</v>
      </c>
      <c r="E700" s="344"/>
      <c r="F700" s="370"/>
      <c r="G700" s="370"/>
      <c r="H700" s="357">
        <f t="shared" si="2"/>
        <v>0</v>
      </c>
      <c r="I700" s="346">
        <f t="shared" si="3"/>
        <v>0</v>
      </c>
      <c r="J700" s="312"/>
    </row>
    <row r="701">
      <c r="A701" s="344">
        <v>672.66</v>
      </c>
      <c r="B701" s="344">
        <v>60.0</v>
      </c>
      <c r="C701" s="369"/>
      <c r="D701" s="344" t="str">
        <f t="shared" si="1"/>
        <v>Saturday</v>
      </c>
      <c r="E701" s="344"/>
      <c r="F701" s="370"/>
      <c r="G701" s="370"/>
      <c r="H701" s="357">
        <f t="shared" si="2"/>
        <v>0</v>
      </c>
      <c r="I701" s="346">
        <f t="shared" si="3"/>
        <v>0</v>
      </c>
      <c r="J701" s="312"/>
    </row>
    <row r="702">
      <c r="A702" s="344">
        <v>672.66</v>
      </c>
      <c r="B702" s="344">
        <v>60.0</v>
      </c>
      <c r="C702" s="369"/>
      <c r="D702" s="344" t="str">
        <f t="shared" si="1"/>
        <v>Saturday</v>
      </c>
      <c r="E702" s="344"/>
      <c r="F702" s="370"/>
      <c r="G702" s="370"/>
      <c r="H702" s="357">
        <f t="shared" si="2"/>
        <v>0</v>
      </c>
      <c r="I702" s="346">
        <f t="shared" si="3"/>
        <v>0</v>
      </c>
      <c r="J702" s="312"/>
    </row>
    <row r="703">
      <c r="A703" s="344">
        <v>672.66</v>
      </c>
      <c r="B703" s="344">
        <v>60.0</v>
      </c>
      <c r="C703" s="369"/>
      <c r="D703" s="344" t="str">
        <f t="shared" si="1"/>
        <v>Saturday</v>
      </c>
      <c r="E703" s="344"/>
      <c r="F703" s="370"/>
      <c r="G703" s="370"/>
      <c r="H703" s="357">
        <f t="shared" si="2"/>
        <v>0</v>
      </c>
      <c r="I703" s="346">
        <f t="shared" si="3"/>
        <v>0</v>
      </c>
      <c r="J703" s="312"/>
    </row>
    <row r="704">
      <c r="A704" s="344">
        <v>672.66</v>
      </c>
      <c r="B704" s="344">
        <v>60.0</v>
      </c>
      <c r="C704" s="369"/>
      <c r="D704" s="344" t="str">
        <f t="shared" si="1"/>
        <v>Saturday</v>
      </c>
      <c r="E704" s="344"/>
      <c r="F704" s="370"/>
      <c r="G704" s="370"/>
      <c r="H704" s="357">
        <f t="shared" si="2"/>
        <v>0</v>
      </c>
      <c r="I704" s="346">
        <f t="shared" si="3"/>
        <v>0</v>
      </c>
      <c r="J704" s="312"/>
    </row>
    <row r="705">
      <c r="A705" s="344">
        <v>672.66</v>
      </c>
      <c r="B705" s="344">
        <v>60.0</v>
      </c>
      <c r="C705" s="369"/>
      <c r="D705" s="344" t="str">
        <f t="shared" si="1"/>
        <v>Saturday</v>
      </c>
      <c r="E705" s="344"/>
      <c r="F705" s="370"/>
      <c r="G705" s="370"/>
      <c r="H705" s="357">
        <f t="shared" si="2"/>
        <v>0</v>
      </c>
      <c r="I705" s="346">
        <f t="shared" si="3"/>
        <v>0</v>
      </c>
      <c r="J705" s="312"/>
    </row>
    <row r="706">
      <c r="A706" s="344">
        <v>672.66</v>
      </c>
      <c r="B706" s="344">
        <v>60.0</v>
      </c>
      <c r="C706" s="369"/>
      <c r="D706" s="344" t="str">
        <f t="shared" si="1"/>
        <v>Saturday</v>
      </c>
      <c r="E706" s="344"/>
      <c r="F706" s="370"/>
      <c r="G706" s="370"/>
      <c r="H706" s="357">
        <f t="shared" si="2"/>
        <v>0</v>
      </c>
      <c r="I706" s="346">
        <f t="shared" si="3"/>
        <v>0</v>
      </c>
      <c r="J706" s="312"/>
    </row>
    <row r="707">
      <c r="A707" s="344">
        <v>672.66</v>
      </c>
      <c r="B707" s="344">
        <v>60.0</v>
      </c>
      <c r="C707" s="369"/>
      <c r="D707" s="344" t="str">
        <f t="shared" si="1"/>
        <v>Saturday</v>
      </c>
      <c r="E707" s="344"/>
      <c r="F707" s="370"/>
      <c r="G707" s="370"/>
      <c r="H707" s="357">
        <f t="shared" si="2"/>
        <v>0</v>
      </c>
      <c r="I707" s="346">
        <f t="shared" si="3"/>
        <v>0</v>
      </c>
      <c r="J707" s="312"/>
    </row>
    <row r="708">
      <c r="A708" s="344">
        <v>672.66</v>
      </c>
      <c r="B708" s="344">
        <v>60.0</v>
      </c>
      <c r="C708" s="369"/>
      <c r="D708" s="344" t="str">
        <f t="shared" si="1"/>
        <v>Saturday</v>
      </c>
      <c r="E708" s="344"/>
      <c r="F708" s="370"/>
      <c r="G708" s="370"/>
      <c r="H708" s="357">
        <f t="shared" si="2"/>
        <v>0</v>
      </c>
      <c r="I708" s="346">
        <f t="shared" si="3"/>
        <v>0</v>
      </c>
      <c r="J708" s="312"/>
    </row>
    <row r="709">
      <c r="A709" s="344">
        <v>672.66</v>
      </c>
      <c r="B709" s="344">
        <v>60.0</v>
      </c>
      <c r="C709" s="369"/>
      <c r="D709" s="344" t="str">
        <f t="shared" si="1"/>
        <v>Saturday</v>
      </c>
      <c r="E709" s="344"/>
      <c r="F709" s="370"/>
      <c r="G709" s="370"/>
      <c r="H709" s="357">
        <f t="shared" si="2"/>
        <v>0</v>
      </c>
      <c r="I709" s="346">
        <f t="shared" si="3"/>
        <v>0</v>
      </c>
      <c r="J709" s="312"/>
    </row>
    <row r="710">
      <c r="A710" s="344">
        <v>672.66</v>
      </c>
      <c r="B710" s="344">
        <v>60.0</v>
      </c>
      <c r="C710" s="369"/>
      <c r="D710" s="344" t="str">
        <f t="shared" si="1"/>
        <v>Saturday</v>
      </c>
      <c r="E710" s="344"/>
      <c r="F710" s="370"/>
      <c r="G710" s="370"/>
      <c r="H710" s="357">
        <f t="shared" si="2"/>
        <v>0</v>
      </c>
      <c r="I710" s="346">
        <f t="shared" si="3"/>
        <v>0</v>
      </c>
      <c r="J710" s="312"/>
    </row>
    <row r="711">
      <c r="A711" s="344">
        <v>672.66</v>
      </c>
      <c r="B711" s="344">
        <v>60.0</v>
      </c>
      <c r="C711" s="369"/>
      <c r="D711" s="344" t="str">
        <f t="shared" si="1"/>
        <v>Saturday</v>
      </c>
      <c r="E711" s="344"/>
      <c r="F711" s="370"/>
      <c r="G711" s="370"/>
      <c r="H711" s="357">
        <f t="shared" si="2"/>
        <v>0</v>
      </c>
      <c r="I711" s="346">
        <f t="shared" si="3"/>
        <v>0</v>
      </c>
      <c r="J711" s="312"/>
    </row>
    <row r="712">
      <c r="A712" s="344">
        <v>672.66</v>
      </c>
      <c r="B712" s="344">
        <v>60.0</v>
      </c>
      <c r="C712" s="369"/>
      <c r="D712" s="344" t="str">
        <f t="shared" si="1"/>
        <v>Saturday</v>
      </c>
      <c r="E712" s="344"/>
      <c r="F712" s="370"/>
      <c r="G712" s="370"/>
      <c r="H712" s="357">
        <f t="shared" si="2"/>
        <v>0</v>
      </c>
      <c r="I712" s="346">
        <f t="shared" si="3"/>
        <v>0</v>
      </c>
      <c r="J712" s="312"/>
    </row>
    <row r="713">
      <c r="A713" s="344">
        <v>672.66</v>
      </c>
      <c r="B713" s="344">
        <v>60.0</v>
      </c>
      <c r="C713" s="369"/>
      <c r="D713" s="344" t="str">
        <f t="shared" si="1"/>
        <v>Saturday</v>
      </c>
      <c r="E713" s="344"/>
      <c r="F713" s="370"/>
      <c r="G713" s="370"/>
      <c r="H713" s="357">
        <f t="shared" si="2"/>
        <v>0</v>
      </c>
      <c r="I713" s="346">
        <f t="shared" si="3"/>
        <v>0</v>
      </c>
      <c r="J713" s="312"/>
    </row>
    <row r="714">
      <c r="A714" s="344">
        <v>672.66</v>
      </c>
      <c r="B714" s="344">
        <v>60.0</v>
      </c>
      <c r="C714" s="369"/>
      <c r="D714" s="344" t="str">
        <f t="shared" si="1"/>
        <v>Saturday</v>
      </c>
      <c r="E714" s="344"/>
      <c r="F714" s="370"/>
      <c r="G714" s="370"/>
      <c r="H714" s="357">
        <f t="shared" si="2"/>
        <v>0</v>
      </c>
      <c r="I714" s="346">
        <f t="shared" si="3"/>
        <v>0</v>
      </c>
      <c r="J714" s="312"/>
    </row>
    <row r="715">
      <c r="A715" s="344">
        <v>672.66</v>
      </c>
      <c r="B715" s="344">
        <v>60.0</v>
      </c>
      <c r="C715" s="369"/>
      <c r="D715" s="344" t="str">
        <f t="shared" si="1"/>
        <v>Saturday</v>
      </c>
      <c r="E715" s="344"/>
      <c r="F715" s="370"/>
      <c r="G715" s="370"/>
      <c r="H715" s="357">
        <f t="shared" si="2"/>
        <v>0</v>
      </c>
      <c r="I715" s="346">
        <f t="shared" si="3"/>
        <v>0</v>
      </c>
      <c r="J715" s="312"/>
    </row>
    <row r="716">
      <c r="A716" s="344">
        <v>672.66</v>
      </c>
      <c r="B716" s="344">
        <v>60.0</v>
      </c>
      <c r="C716" s="369"/>
      <c r="D716" s="344" t="str">
        <f t="shared" si="1"/>
        <v>Saturday</v>
      </c>
      <c r="E716" s="344"/>
      <c r="F716" s="370"/>
      <c r="G716" s="370"/>
      <c r="H716" s="357">
        <f t="shared" si="2"/>
        <v>0</v>
      </c>
      <c r="I716" s="346">
        <f t="shared" si="3"/>
        <v>0</v>
      </c>
      <c r="J716" s="312"/>
    </row>
    <row r="717">
      <c r="A717" s="344">
        <v>672.66</v>
      </c>
      <c r="B717" s="344">
        <v>60.0</v>
      </c>
      <c r="C717" s="369"/>
      <c r="D717" s="344" t="str">
        <f t="shared" si="1"/>
        <v>Saturday</v>
      </c>
      <c r="E717" s="344"/>
      <c r="F717" s="370"/>
      <c r="G717" s="370"/>
      <c r="H717" s="357">
        <f t="shared" si="2"/>
        <v>0</v>
      </c>
      <c r="I717" s="346">
        <f t="shared" si="3"/>
        <v>0</v>
      </c>
      <c r="J717" s="312"/>
    </row>
    <row r="718">
      <c r="A718" s="344">
        <v>672.66</v>
      </c>
      <c r="B718" s="344">
        <v>60.0</v>
      </c>
      <c r="C718" s="369"/>
      <c r="D718" s="344" t="str">
        <f t="shared" si="1"/>
        <v>Saturday</v>
      </c>
      <c r="E718" s="344"/>
      <c r="F718" s="370"/>
      <c r="G718" s="370"/>
      <c r="H718" s="357">
        <f t="shared" si="2"/>
        <v>0</v>
      </c>
      <c r="I718" s="346">
        <f t="shared" si="3"/>
        <v>0</v>
      </c>
      <c r="J718" s="312"/>
    </row>
    <row r="719">
      <c r="A719" s="344">
        <v>672.66</v>
      </c>
      <c r="B719" s="344">
        <v>60.0</v>
      </c>
      <c r="C719" s="369"/>
      <c r="D719" s="344" t="str">
        <f t="shared" si="1"/>
        <v>Saturday</v>
      </c>
      <c r="E719" s="344"/>
      <c r="F719" s="370"/>
      <c r="G719" s="370"/>
      <c r="H719" s="357">
        <f t="shared" si="2"/>
        <v>0</v>
      </c>
      <c r="I719" s="346">
        <f t="shared" si="3"/>
        <v>0</v>
      </c>
      <c r="J719" s="312"/>
    </row>
    <row r="720">
      <c r="A720" s="344">
        <v>672.66</v>
      </c>
      <c r="B720" s="344">
        <v>60.0</v>
      </c>
      <c r="C720" s="369"/>
      <c r="D720" s="344" t="str">
        <f t="shared" si="1"/>
        <v>Saturday</v>
      </c>
      <c r="E720" s="344"/>
      <c r="F720" s="370"/>
      <c r="G720" s="370"/>
      <c r="H720" s="357">
        <f t="shared" si="2"/>
        <v>0</v>
      </c>
      <c r="I720" s="346">
        <f t="shared" si="3"/>
        <v>0</v>
      </c>
      <c r="J720" s="312"/>
    </row>
    <row r="721">
      <c r="A721" s="344">
        <v>672.66</v>
      </c>
      <c r="B721" s="344">
        <v>60.0</v>
      </c>
      <c r="C721" s="369"/>
      <c r="D721" s="344" t="str">
        <f t="shared" si="1"/>
        <v>Saturday</v>
      </c>
      <c r="E721" s="344"/>
      <c r="F721" s="370"/>
      <c r="G721" s="370"/>
      <c r="H721" s="357">
        <f t="shared" si="2"/>
        <v>0</v>
      </c>
      <c r="I721" s="346">
        <f t="shared" si="3"/>
        <v>0</v>
      </c>
      <c r="J721" s="312"/>
    </row>
    <row r="722">
      <c r="A722" s="344">
        <v>672.66</v>
      </c>
      <c r="B722" s="344">
        <v>60.0</v>
      </c>
      <c r="C722" s="369"/>
      <c r="D722" s="344" t="str">
        <f t="shared" si="1"/>
        <v>Saturday</v>
      </c>
      <c r="E722" s="344"/>
      <c r="F722" s="370"/>
      <c r="G722" s="370"/>
      <c r="H722" s="357">
        <f t="shared" si="2"/>
        <v>0</v>
      </c>
      <c r="I722" s="346">
        <f t="shared" si="3"/>
        <v>0</v>
      </c>
      <c r="J722" s="312"/>
    </row>
    <row r="723">
      <c r="A723" s="344">
        <v>672.66</v>
      </c>
      <c r="B723" s="344">
        <v>60.0</v>
      </c>
      <c r="C723" s="369"/>
      <c r="D723" s="344" t="str">
        <f t="shared" si="1"/>
        <v>Saturday</v>
      </c>
      <c r="E723" s="344"/>
      <c r="F723" s="370"/>
      <c r="G723" s="370"/>
      <c r="H723" s="357">
        <f t="shared" si="2"/>
        <v>0</v>
      </c>
      <c r="I723" s="346">
        <f t="shared" si="3"/>
        <v>0</v>
      </c>
      <c r="J723" s="312"/>
    </row>
    <row r="724">
      <c r="A724" s="344">
        <v>672.66</v>
      </c>
      <c r="B724" s="344">
        <v>60.0</v>
      </c>
      <c r="C724" s="369"/>
      <c r="D724" s="344" t="str">
        <f t="shared" si="1"/>
        <v>Saturday</v>
      </c>
      <c r="E724" s="344"/>
      <c r="F724" s="370"/>
      <c r="G724" s="370"/>
      <c r="H724" s="357">
        <f t="shared" si="2"/>
        <v>0</v>
      </c>
      <c r="I724" s="346">
        <f t="shared" si="3"/>
        <v>0</v>
      </c>
      <c r="J724" s="312"/>
    </row>
    <row r="725">
      <c r="A725" s="344">
        <v>672.66</v>
      </c>
      <c r="B725" s="344">
        <v>60.0</v>
      </c>
      <c r="C725" s="369"/>
      <c r="D725" s="344" t="str">
        <f t="shared" si="1"/>
        <v>Saturday</v>
      </c>
      <c r="E725" s="344"/>
      <c r="F725" s="370"/>
      <c r="G725" s="370"/>
      <c r="H725" s="357">
        <f t="shared" si="2"/>
        <v>0</v>
      </c>
      <c r="I725" s="346">
        <f t="shared" si="3"/>
        <v>0</v>
      </c>
      <c r="J725" s="312"/>
    </row>
    <row r="726">
      <c r="A726" s="344">
        <v>672.66</v>
      </c>
      <c r="B726" s="344">
        <v>60.0</v>
      </c>
      <c r="C726" s="369"/>
      <c r="D726" s="344" t="str">
        <f t="shared" si="1"/>
        <v>Saturday</v>
      </c>
      <c r="E726" s="344"/>
      <c r="F726" s="370"/>
      <c r="G726" s="370"/>
      <c r="H726" s="357">
        <f t="shared" si="2"/>
        <v>0</v>
      </c>
      <c r="I726" s="346">
        <f t="shared" si="3"/>
        <v>0</v>
      </c>
      <c r="J726" s="312"/>
    </row>
    <row r="727">
      <c r="A727" s="344">
        <v>672.66</v>
      </c>
      <c r="B727" s="344">
        <v>60.0</v>
      </c>
      <c r="C727" s="369"/>
      <c r="D727" s="344" t="str">
        <f t="shared" si="1"/>
        <v>Saturday</v>
      </c>
      <c r="E727" s="344"/>
      <c r="F727" s="370"/>
      <c r="G727" s="370"/>
      <c r="H727" s="357">
        <f t="shared" si="2"/>
        <v>0</v>
      </c>
      <c r="I727" s="346">
        <f t="shared" si="3"/>
        <v>0</v>
      </c>
      <c r="J727" s="312"/>
    </row>
    <row r="728">
      <c r="A728" s="344">
        <v>672.66</v>
      </c>
      <c r="B728" s="344">
        <v>60.0</v>
      </c>
      <c r="C728" s="369"/>
      <c r="D728" s="344" t="str">
        <f t="shared" si="1"/>
        <v>Saturday</v>
      </c>
      <c r="E728" s="344"/>
      <c r="F728" s="370"/>
      <c r="G728" s="370"/>
      <c r="H728" s="357">
        <f t="shared" si="2"/>
        <v>0</v>
      </c>
      <c r="I728" s="346">
        <f t="shared" si="3"/>
        <v>0</v>
      </c>
      <c r="J728" s="312"/>
    </row>
    <row r="729">
      <c r="A729" s="344">
        <v>672.66</v>
      </c>
      <c r="B729" s="344">
        <v>60.0</v>
      </c>
      <c r="C729" s="369"/>
      <c r="D729" s="344" t="str">
        <f t="shared" si="1"/>
        <v>Saturday</v>
      </c>
      <c r="E729" s="344"/>
      <c r="F729" s="370"/>
      <c r="G729" s="370"/>
      <c r="H729" s="357">
        <f t="shared" si="2"/>
        <v>0</v>
      </c>
      <c r="I729" s="346">
        <f t="shared" si="3"/>
        <v>0</v>
      </c>
      <c r="J729" s="312"/>
    </row>
    <row r="730">
      <c r="A730" s="344">
        <v>672.66</v>
      </c>
      <c r="B730" s="344">
        <v>60.0</v>
      </c>
      <c r="C730" s="369"/>
      <c r="D730" s="344" t="str">
        <f t="shared" si="1"/>
        <v>Saturday</v>
      </c>
      <c r="E730" s="344"/>
      <c r="F730" s="370"/>
      <c r="G730" s="370"/>
      <c r="H730" s="357">
        <f t="shared" si="2"/>
        <v>0</v>
      </c>
      <c r="I730" s="346">
        <f t="shared" si="3"/>
        <v>0</v>
      </c>
      <c r="J730" s="312"/>
    </row>
    <row r="731">
      <c r="A731" s="344">
        <v>672.66</v>
      </c>
      <c r="B731" s="344">
        <v>60.0</v>
      </c>
      <c r="C731" s="369"/>
      <c r="D731" s="344" t="str">
        <f t="shared" si="1"/>
        <v>Saturday</v>
      </c>
      <c r="E731" s="344"/>
      <c r="F731" s="370"/>
      <c r="G731" s="370"/>
      <c r="H731" s="357">
        <f t="shared" si="2"/>
        <v>0</v>
      </c>
      <c r="I731" s="346">
        <f t="shared" si="3"/>
        <v>0</v>
      </c>
      <c r="J731" s="312"/>
    </row>
    <row r="732">
      <c r="A732" s="344">
        <v>672.66</v>
      </c>
      <c r="B732" s="344">
        <v>60.0</v>
      </c>
      <c r="C732" s="369"/>
      <c r="D732" s="344" t="str">
        <f t="shared" si="1"/>
        <v>Saturday</v>
      </c>
      <c r="E732" s="344"/>
      <c r="F732" s="370"/>
      <c r="G732" s="370"/>
      <c r="H732" s="357">
        <f t="shared" si="2"/>
        <v>0</v>
      </c>
      <c r="I732" s="346">
        <f t="shared" si="3"/>
        <v>0</v>
      </c>
      <c r="J732" s="312"/>
    </row>
    <row r="733">
      <c r="A733" s="344">
        <v>672.66</v>
      </c>
      <c r="B733" s="344">
        <v>60.0</v>
      </c>
      <c r="C733" s="369"/>
      <c r="D733" s="344" t="str">
        <f t="shared" si="1"/>
        <v>Saturday</v>
      </c>
      <c r="E733" s="344"/>
      <c r="F733" s="370"/>
      <c r="G733" s="370"/>
      <c r="H733" s="357">
        <f t="shared" si="2"/>
        <v>0</v>
      </c>
      <c r="I733" s="346">
        <f t="shared" si="3"/>
        <v>0</v>
      </c>
      <c r="J733" s="312"/>
    </row>
    <row r="734">
      <c r="A734" s="344">
        <v>672.66</v>
      </c>
      <c r="B734" s="344">
        <v>60.0</v>
      </c>
      <c r="C734" s="369"/>
      <c r="D734" s="344" t="str">
        <f t="shared" si="1"/>
        <v>Saturday</v>
      </c>
      <c r="E734" s="344"/>
      <c r="F734" s="370"/>
      <c r="G734" s="370"/>
      <c r="H734" s="357">
        <f t="shared" si="2"/>
        <v>0</v>
      </c>
      <c r="I734" s="346">
        <f t="shared" si="3"/>
        <v>0</v>
      </c>
      <c r="J734" s="312"/>
    </row>
    <row r="735">
      <c r="A735" s="344">
        <v>672.66</v>
      </c>
      <c r="B735" s="344">
        <v>60.0</v>
      </c>
      <c r="C735" s="369"/>
      <c r="D735" s="344" t="str">
        <f t="shared" si="1"/>
        <v>Saturday</v>
      </c>
      <c r="E735" s="344"/>
      <c r="F735" s="370"/>
      <c r="G735" s="370"/>
      <c r="H735" s="357">
        <f t="shared" si="2"/>
        <v>0</v>
      </c>
      <c r="I735" s="346">
        <f t="shared" si="3"/>
        <v>0</v>
      </c>
      <c r="J735" s="312"/>
    </row>
    <row r="736">
      <c r="A736" s="344">
        <v>672.66</v>
      </c>
      <c r="B736" s="344">
        <v>60.0</v>
      </c>
      <c r="C736" s="369"/>
      <c r="D736" s="344" t="str">
        <f t="shared" si="1"/>
        <v>Saturday</v>
      </c>
      <c r="E736" s="344"/>
      <c r="F736" s="370"/>
      <c r="G736" s="370"/>
      <c r="H736" s="357">
        <f t="shared" si="2"/>
        <v>0</v>
      </c>
      <c r="I736" s="346">
        <f t="shared" si="3"/>
        <v>0</v>
      </c>
      <c r="J736" s="312"/>
    </row>
    <row r="737">
      <c r="A737" s="344">
        <v>672.66</v>
      </c>
      <c r="B737" s="344">
        <v>60.0</v>
      </c>
      <c r="C737" s="369"/>
      <c r="D737" s="344" t="str">
        <f t="shared" si="1"/>
        <v>Saturday</v>
      </c>
      <c r="E737" s="344"/>
      <c r="F737" s="370"/>
      <c r="G737" s="370"/>
      <c r="H737" s="357">
        <f t="shared" si="2"/>
        <v>0</v>
      </c>
      <c r="I737" s="346">
        <f t="shared" si="3"/>
        <v>0</v>
      </c>
      <c r="J737" s="312"/>
    </row>
    <row r="738">
      <c r="A738" s="344">
        <v>672.66</v>
      </c>
      <c r="B738" s="344">
        <v>60.0</v>
      </c>
      <c r="C738" s="369"/>
      <c r="D738" s="344" t="str">
        <f t="shared" si="1"/>
        <v>Saturday</v>
      </c>
      <c r="E738" s="344"/>
      <c r="F738" s="370"/>
      <c r="G738" s="370"/>
      <c r="H738" s="357">
        <f t="shared" si="2"/>
        <v>0</v>
      </c>
      <c r="I738" s="346">
        <f t="shared" si="3"/>
        <v>0</v>
      </c>
      <c r="J738" s="312"/>
    </row>
    <row r="739">
      <c r="A739" s="344">
        <v>672.66</v>
      </c>
      <c r="B739" s="344">
        <v>60.0</v>
      </c>
      <c r="C739" s="369"/>
      <c r="D739" s="344" t="str">
        <f t="shared" si="1"/>
        <v>Saturday</v>
      </c>
      <c r="E739" s="344"/>
      <c r="F739" s="370"/>
      <c r="G739" s="370"/>
      <c r="H739" s="357">
        <f t="shared" si="2"/>
        <v>0</v>
      </c>
      <c r="I739" s="346">
        <f t="shared" si="3"/>
        <v>0</v>
      </c>
      <c r="J739" s="312"/>
    </row>
    <row r="740">
      <c r="A740" s="344">
        <v>672.66</v>
      </c>
      <c r="B740" s="344">
        <v>60.0</v>
      </c>
      <c r="C740" s="369"/>
      <c r="D740" s="344" t="str">
        <f t="shared" si="1"/>
        <v>Saturday</v>
      </c>
      <c r="E740" s="344"/>
      <c r="F740" s="370"/>
      <c r="G740" s="370"/>
      <c r="H740" s="357">
        <f t="shared" si="2"/>
        <v>0</v>
      </c>
      <c r="I740" s="346">
        <f t="shared" si="3"/>
        <v>0</v>
      </c>
      <c r="J740" s="312"/>
    </row>
    <row r="741">
      <c r="A741" s="344">
        <v>672.66</v>
      </c>
      <c r="B741" s="344">
        <v>60.0</v>
      </c>
      <c r="C741" s="369"/>
      <c r="D741" s="344" t="str">
        <f t="shared" si="1"/>
        <v>Saturday</v>
      </c>
      <c r="E741" s="344"/>
      <c r="F741" s="370"/>
      <c r="G741" s="370"/>
      <c r="H741" s="357">
        <f t="shared" si="2"/>
        <v>0</v>
      </c>
      <c r="I741" s="346">
        <f t="shared" si="3"/>
        <v>0</v>
      </c>
      <c r="J741" s="312"/>
    </row>
    <row r="742">
      <c r="A742" s="344">
        <v>672.66</v>
      </c>
      <c r="B742" s="344">
        <v>60.0</v>
      </c>
      <c r="C742" s="369"/>
      <c r="D742" s="344" t="str">
        <f t="shared" si="1"/>
        <v>Saturday</v>
      </c>
      <c r="E742" s="344"/>
      <c r="F742" s="370"/>
      <c r="G742" s="370"/>
      <c r="H742" s="357">
        <f t="shared" si="2"/>
        <v>0</v>
      </c>
      <c r="I742" s="346">
        <f t="shared" si="3"/>
        <v>0</v>
      </c>
      <c r="J742" s="312"/>
    </row>
    <row r="743">
      <c r="A743" s="344">
        <v>672.66</v>
      </c>
      <c r="B743" s="344">
        <v>60.0</v>
      </c>
      <c r="C743" s="369"/>
      <c r="D743" s="344" t="str">
        <f t="shared" si="1"/>
        <v>Saturday</v>
      </c>
      <c r="E743" s="344"/>
      <c r="F743" s="370"/>
      <c r="G743" s="370"/>
      <c r="H743" s="357">
        <f t="shared" si="2"/>
        <v>0</v>
      </c>
      <c r="I743" s="346">
        <f t="shared" si="3"/>
        <v>0</v>
      </c>
      <c r="J743" s="312"/>
    </row>
    <row r="744">
      <c r="A744" s="344">
        <v>672.66</v>
      </c>
      <c r="B744" s="344">
        <v>60.0</v>
      </c>
      <c r="C744" s="369"/>
      <c r="D744" s="344" t="str">
        <f t="shared" si="1"/>
        <v>Saturday</v>
      </c>
      <c r="E744" s="344"/>
      <c r="F744" s="370"/>
      <c r="G744" s="370"/>
      <c r="H744" s="357">
        <f t="shared" si="2"/>
        <v>0</v>
      </c>
      <c r="I744" s="346">
        <f t="shared" si="3"/>
        <v>0</v>
      </c>
      <c r="J744" s="312"/>
    </row>
    <row r="745">
      <c r="A745" s="344">
        <v>672.66</v>
      </c>
      <c r="B745" s="344">
        <v>60.0</v>
      </c>
      <c r="C745" s="369"/>
      <c r="D745" s="344" t="str">
        <f t="shared" si="1"/>
        <v>Saturday</v>
      </c>
      <c r="E745" s="344"/>
      <c r="F745" s="370"/>
      <c r="G745" s="370"/>
      <c r="H745" s="357">
        <f t="shared" si="2"/>
        <v>0</v>
      </c>
      <c r="I745" s="346">
        <f t="shared" si="3"/>
        <v>0</v>
      </c>
      <c r="J745" s="312"/>
    </row>
    <row r="746">
      <c r="A746" s="344">
        <v>672.66</v>
      </c>
      <c r="B746" s="344">
        <v>60.0</v>
      </c>
      <c r="C746" s="369"/>
      <c r="D746" s="344" t="str">
        <f t="shared" si="1"/>
        <v>Saturday</v>
      </c>
      <c r="E746" s="344"/>
      <c r="F746" s="370"/>
      <c r="G746" s="370"/>
      <c r="H746" s="357">
        <f t="shared" si="2"/>
        <v>0</v>
      </c>
      <c r="I746" s="346">
        <f t="shared" si="3"/>
        <v>0</v>
      </c>
      <c r="J746" s="312"/>
    </row>
    <row r="747">
      <c r="A747" s="344">
        <v>672.66</v>
      </c>
      <c r="B747" s="344">
        <v>60.0</v>
      </c>
      <c r="C747" s="369"/>
      <c r="D747" s="344" t="str">
        <f t="shared" si="1"/>
        <v>Saturday</v>
      </c>
      <c r="E747" s="344"/>
      <c r="F747" s="370"/>
      <c r="G747" s="370"/>
      <c r="H747" s="357">
        <f t="shared" si="2"/>
        <v>0</v>
      </c>
      <c r="I747" s="346">
        <f t="shared" si="3"/>
        <v>0</v>
      </c>
      <c r="J747" s="312"/>
    </row>
    <row r="748">
      <c r="A748" s="344">
        <v>672.66</v>
      </c>
      <c r="B748" s="344">
        <v>60.0</v>
      </c>
      <c r="C748" s="369"/>
      <c r="D748" s="344" t="str">
        <f t="shared" si="1"/>
        <v>Saturday</v>
      </c>
      <c r="E748" s="344"/>
      <c r="F748" s="370"/>
      <c r="G748" s="370"/>
      <c r="H748" s="357">
        <f t="shared" si="2"/>
        <v>0</v>
      </c>
      <c r="I748" s="346">
        <f t="shared" si="3"/>
        <v>0</v>
      </c>
      <c r="J748" s="312"/>
    </row>
    <row r="749">
      <c r="A749" s="344">
        <v>672.66</v>
      </c>
      <c r="B749" s="344">
        <v>60.0</v>
      </c>
      <c r="C749" s="369"/>
      <c r="D749" s="344" t="str">
        <f t="shared" si="1"/>
        <v>Saturday</v>
      </c>
      <c r="E749" s="344"/>
      <c r="F749" s="370"/>
      <c r="G749" s="370"/>
      <c r="H749" s="357">
        <f t="shared" si="2"/>
        <v>0</v>
      </c>
      <c r="I749" s="346">
        <f t="shared" si="3"/>
        <v>0</v>
      </c>
      <c r="J749" s="312"/>
    </row>
    <row r="750">
      <c r="A750" s="344">
        <v>672.66</v>
      </c>
      <c r="B750" s="344">
        <v>60.0</v>
      </c>
      <c r="C750" s="369"/>
      <c r="D750" s="344" t="str">
        <f t="shared" si="1"/>
        <v>Saturday</v>
      </c>
      <c r="E750" s="344"/>
      <c r="F750" s="370"/>
      <c r="G750" s="370"/>
      <c r="H750" s="357">
        <f t="shared" si="2"/>
        <v>0</v>
      </c>
      <c r="I750" s="346">
        <f t="shared" si="3"/>
        <v>0</v>
      </c>
      <c r="J750" s="312"/>
    </row>
    <row r="751">
      <c r="A751" s="344">
        <v>672.66</v>
      </c>
      <c r="B751" s="344">
        <v>60.0</v>
      </c>
      <c r="C751" s="369"/>
      <c r="D751" s="344" t="str">
        <f t="shared" si="1"/>
        <v>Saturday</v>
      </c>
      <c r="E751" s="344"/>
      <c r="F751" s="370"/>
      <c r="G751" s="370"/>
      <c r="H751" s="357">
        <f t="shared" si="2"/>
        <v>0</v>
      </c>
      <c r="I751" s="346">
        <f t="shared" si="3"/>
        <v>0</v>
      </c>
      <c r="J751" s="312"/>
    </row>
    <row r="752">
      <c r="A752" s="344">
        <v>672.66</v>
      </c>
      <c r="B752" s="344">
        <v>60.0</v>
      </c>
      <c r="C752" s="369"/>
      <c r="D752" s="344" t="str">
        <f t="shared" si="1"/>
        <v>Saturday</v>
      </c>
      <c r="E752" s="344"/>
      <c r="F752" s="370"/>
      <c r="G752" s="370"/>
      <c r="H752" s="357">
        <f t="shared" si="2"/>
        <v>0</v>
      </c>
      <c r="I752" s="346">
        <f t="shared" si="3"/>
        <v>0</v>
      </c>
      <c r="J752" s="312"/>
    </row>
    <row r="753">
      <c r="A753" s="344">
        <v>672.66</v>
      </c>
      <c r="B753" s="344">
        <v>60.0</v>
      </c>
      <c r="C753" s="369"/>
      <c r="D753" s="344" t="str">
        <f t="shared" si="1"/>
        <v>Saturday</v>
      </c>
      <c r="E753" s="344"/>
      <c r="F753" s="370"/>
      <c r="G753" s="370"/>
      <c r="H753" s="357">
        <f t="shared" si="2"/>
        <v>0</v>
      </c>
      <c r="I753" s="346">
        <f t="shared" si="3"/>
        <v>0</v>
      </c>
      <c r="J753" s="312"/>
    </row>
    <row r="754">
      <c r="A754" s="344">
        <v>672.66</v>
      </c>
      <c r="B754" s="344">
        <v>60.0</v>
      </c>
      <c r="C754" s="369"/>
      <c r="D754" s="344" t="str">
        <f t="shared" si="1"/>
        <v>Saturday</v>
      </c>
      <c r="E754" s="344"/>
      <c r="F754" s="370"/>
      <c r="G754" s="370"/>
      <c r="H754" s="357">
        <f t="shared" si="2"/>
        <v>0</v>
      </c>
      <c r="I754" s="346">
        <f t="shared" si="3"/>
        <v>0</v>
      </c>
      <c r="J754" s="312"/>
    </row>
    <row r="755">
      <c r="A755" s="344">
        <v>672.66</v>
      </c>
      <c r="B755" s="344">
        <v>60.0</v>
      </c>
      <c r="C755" s="369"/>
      <c r="D755" s="344" t="str">
        <f t="shared" si="1"/>
        <v>Saturday</v>
      </c>
      <c r="E755" s="344"/>
      <c r="F755" s="370"/>
      <c r="G755" s="370"/>
      <c r="H755" s="357">
        <f t="shared" si="2"/>
        <v>0</v>
      </c>
      <c r="I755" s="346">
        <f t="shared" si="3"/>
        <v>0</v>
      </c>
      <c r="J755" s="312"/>
    </row>
    <row r="756">
      <c r="A756" s="344">
        <v>672.66</v>
      </c>
      <c r="B756" s="344">
        <v>60.0</v>
      </c>
      <c r="C756" s="369"/>
      <c r="D756" s="344" t="str">
        <f t="shared" si="1"/>
        <v>Saturday</v>
      </c>
      <c r="E756" s="344"/>
      <c r="F756" s="370"/>
      <c r="G756" s="370"/>
      <c r="H756" s="357">
        <f t="shared" si="2"/>
        <v>0</v>
      </c>
      <c r="I756" s="346">
        <f t="shared" si="3"/>
        <v>0</v>
      </c>
      <c r="J756" s="312"/>
    </row>
    <row r="757">
      <c r="A757" s="344">
        <v>672.66</v>
      </c>
      <c r="B757" s="344">
        <v>60.0</v>
      </c>
      <c r="C757" s="369"/>
      <c r="D757" s="344" t="str">
        <f t="shared" si="1"/>
        <v>Saturday</v>
      </c>
      <c r="E757" s="344"/>
      <c r="F757" s="370"/>
      <c r="G757" s="370"/>
      <c r="H757" s="357">
        <f t="shared" si="2"/>
        <v>0</v>
      </c>
      <c r="I757" s="346">
        <f t="shared" si="3"/>
        <v>0</v>
      </c>
      <c r="J757" s="312"/>
    </row>
    <row r="758">
      <c r="A758" s="344">
        <v>672.66</v>
      </c>
      <c r="B758" s="344">
        <v>60.0</v>
      </c>
      <c r="C758" s="369"/>
      <c r="D758" s="344" t="str">
        <f t="shared" si="1"/>
        <v>Saturday</v>
      </c>
      <c r="E758" s="344"/>
      <c r="F758" s="370"/>
      <c r="G758" s="370"/>
      <c r="H758" s="357">
        <f t="shared" si="2"/>
        <v>0</v>
      </c>
      <c r="I758" s="346">
        <f t="shared" si="3"/>
        <v>0</v>
      </c>
      <c r="J758" s="312"/>
    </row>
    <row r="759">
      <c r="A759" s="344">
        <v>672.66</v>
      </c>
      <c r="B759" s="344">
        <v>60.0</v>
      </c>
      <c r="C759" s="369"/>
      <c r="D759" s="344" t="str">
        <f t="shared" si="1"/>
        <v>Saturday</v>
      </c>
      <c r="E759" s="344"/>
      <c r="F759" s="370"/>
      <c r="G759" s="370"/>
      <c r="H759" s="357">
        <f t="shared" si="2"/>
        <v>0</v>
      </c>
      <c r="I759" s="346">
        <f t="shared" si="3"/>
        <v>0</v>
      </c>
      <c r="J759" s="312"/>
    </row>
    <row r="760">
      <c r="A760" s="344">
        <v>672.66</v>
      </c>
      <c r="B760" s="344">
        <v>60.0</v>
      </c>
      <c r="C760" s="369"/>
      <c r="D760" s="344" t="str">
        <f t="shared" si="1"/>
        <v>Saturday</v>
      </c>
      <c r="E760" s="344"/>
      <c r="F760" s="370"/>
      <c r="G760" s="370"/>
      <c r="H760" s="357">
        <f t="shared" si="2"/>
        <v>0</v>
      </c>
      <c r="I760" s="346">
        <f t="shared" si="3"/>
        <v>0</v>
      </c>
      <c r="J760" s="312"/>
    </row>
    <row r="761">
      <c r="A761" s="344">
        <v>672.66</v>
      </c>
      <c r="B761" s="344">
        <v>60.0</v>
      </c>
      <c r="C761" s="369"/>
      <c r="D761" s="344" t="str">
        <f t="shared" si="1"/>
        <v>Saturday</v>
      </c>
      <c r="E761" s="344"/>
      <c r="F761" s="370"/>
      <c r="G761" s="370"/>
      <c r="H761" s="357">
        <f t="shared" si="2"/>
        <v>0</v>
      </c>
      <c r="I761" s="346">
        <f t="shared" si="3"/>
        <v>0</v>
      </c>
      <c r="J761" s="312"/>
    </row>
    <row r="762">
      <c r="A762" s="344">
        <v>672.66</v>
      </c>
      <c r="B762" s="344">
        <v>60.0</v>
      </c>
      <c r="C762" s="369"/>
      <c r="D762" s="344" t="str">
        <f t="shared" si="1"/>
        <v>Saturday</v>
      </c>
      <c r="E762" s="344"/>
      <c r="F762" s="370"/>
      <c r="G762" s="370"/>
      <c r="H762" s="357">
        <f t="shared" si="2"/>
        <v>0</v>
      </c>
      <c r="I762" s="346">
        <f t="shared" si="3"/>
        <v>0</v>
      </c>
      <c r="J762" s="312"/>
    </row>
    <row r="763">
      <c r="A763" s="344">
        <v>672.66</v>
      </c>
      <c r="B763" s="344">
        <v>60.0</v>
      </c>
      <c r="C763" s="369"/>
      <c r="D763" s="344" t="str">
        <f t="shared" si="1"/>
        <v>Saturday</v>
      </c>
      <c r="E763" s="344"/>
      <c r="F763" s="370"/>
      <c r="G763" s="370"/>
      <c r="H763" s="357">
        <f t="shared" si="2"/>
        <v>0</v>
      </c>
      <c r="I763" s="346">
        <f t="shared" si="3"/>
        <v>0</v>
      </c>
      <c r="J763" s="312"/>
    </row>
    <row r="764">
      <c r="A764" s="344">
        <v>672.66</v>
      </c>
      <c r="B764" s="344">
        <v>60.0</v>
      </c>
      <c r="C764" s="369"/>
      <c r="D764" s="344" t="str">
        <f t="shared" si="1"/>
        <v>Saturday</v>
      </c>
      <c r="E764" s="344"/>
      <c r="F764" s="370"/>
      <c r="G764" s="370"/>
      <c r="H764" s="357">
        <f t="shared" si="2"/>
        <v>0</v>
      </c>
      <c r="I764" s="346">
        <f t="shared" si="3"/>
        <v>0</v>
      </c>
      <c r="J764" s="312"/>
    </row>
    <row r="765">
      <c r="A765" s="344">
        <v>672.66</v>
      </c>
      <c r="B765" s="344">
        <v>60.0</v>
      </c>
      <c r="C765" s="369"/>
      <c r="D765" s="344" t="str">
        <f t="shared" si="1"/>
        <v>Saturday</v>
      </c>
      <c r="E765" s="344"/>
      <c r="F765" s="370"/>
      <c r="G765" s="370"/>
      <c r="H765" s="357">
        <f t="shared" si="2"/>
        <v>0</v>
      </c>
      <c r="I765" s="346">
        <f t="shared" si="3"/>
        <v>0</v>
      </c>
      <c r="J765" s="312"/>
    </row>
    <row r="766">
      <c r="A766" s="344">
        <v>672.66</v>
      </c>
      <c r="B766" s="344">
        <v>60.0</v>
      </c>
      <c r="C766" s="369"/>
      <c r="D766" s="344" t="str">
        <f t="shared" si="1"/>
        <v>Saturday</v>
      </c>
      <c r="E766" s="344"/>
      <c r="F766" s="370"/>
      <c r="G766" s="370"/>
      <c r="H766" s="357">
        <f t="shared" si="2"/>
        <v>0</v>
      </c>
      <c r="I766" s="346">
        <f t="shared" si="3"/>
        <v>0</v>
      </c>
      <c r="J766" s="312"/>
    </row>
    <row r="767">
      <c r="A767" s="344">
        <v>672.66</v>
      </c>
      <c r="B767" s="344">
        <v>60.0</v>
      </c>
      <c r="C767" s="369"/>
      <c r="D767" s="344" t="str">
        <f t="shared" si="1"/>
        <v>Saturday</v>
      </c>
      <c r="E767" s="344"/>
      <c r="F767" s="370"/>
      <c r="G767" s="370"/>
      <c r="H767" s="357">
        <f t="shared" si="2"/>
        <v>0</v>
      </c>
      <c r="I767" s="346">
        <f t="shared" si="3"/>
        <v>0</v>
      </c>
      <c r="J767" s="312"/>
    </row>
    <row r="768">
      <c r="A768" s="344">
        <v>672.66</v>
      </c>
      <c r="B768" s="344">
        <v>60.0</v>
      </c>
      <c r="C768" s="369"/>
      <c r="D768" s="344" t="str">
        <f t="shared" si="1"/>
        <v>Saturday</v>
      </c>
      <c r="E768" s="344"/>
      <c r="F768" s="370"/>
      <c r="G768" s="370"/>
      <c r="H768" s="357">
        <f t="shared" si="2"/>
        <v>0</v>
      </c>
      <c r="I768" s="346">
        <f t="shared" si="3"/>
        <v>0</v>
      </c>
      <c r="J768" s="312"/>
    </row>
    <row r="769">
      <c r="A769" s="344">
        <v>672.66</v>
      </c>
      <c r="B769" s="344">
        <v>60.0</v>
      </c>
      <c r="C769" s="369"/>
      <c r="D769" s="344" t="str">
        <f t="shared" si="1"/>
        <v>Saturday</v>
      </c>
      <c r="E769" s="344"/>
      <c r="F769" s="370"/>
      <c r="G769" s="370"/>
      <c r="H769" s="357">
        <f t="shared" si="2"/>
        <v>0</v>
      </c>
      <c r="I769" s="346">
        <f t="shared" si="3"/>
        <v>0</v>
      </c>
      <c r="J769" s="312"/>
    </row>
    <row r="770">
      <c r="A770" s="344">
        <v>672.66</v>
      </c>
      <c r="B770" s="344">
        <v>60.0</v>
      </c>
      <c r="C770" s="369"/>
      <c r="D770" s="344" t="str">
        <f t="shared" si="1"/>
        <v>Saturday</v>
      </c>
      <c r="E770" s="344"/>
      <c r="F770" s="370"/>
      <c r="G770" s="370"/>
      <c r="H770" s="357">
        <f t="shared" si="2"/>
        <v>0</v>
      </c>
      <c r="I770" s="346">
        <f t="shared" si="3"/>
        <v>0</v>
      </c>
      <c r="J770" s="312"/>
    </row>
    <row r="771">
      <c r="A771" s="344">
        <v>672.66</v>
      </c>
      <c r="B771" s="344">
        <v>60.0</v>
      </c>
      <c r="C771" s="369"/>
      <c r="D771" s="344" t="str">
        <f t="shared" si="1"/>
        <v>Saturday</v>
      </c>
      <c r="E771" s="344"/>
      <c r="F771" s="370"/>
      <c r="G771" s="370"/>
      <c r="H771" s="357">
        <f t="shared" si="2"/>
        <v>0</v>
      </c>
      <c r="I771" s="346">
        <f t="shared" si="3"/>
        <v>0</v>
      </c>
      <c r="J771" s="312"/>
    </row>
    <row r="772">
      <c r="A772" s="344">
        <v>672.66</v>
      </c>
      <c r="B772" s="344">
        <v>60.0</v>
      </c>
      <c r="C772" s="369"/>
      <c r="D772" s="344" t="str">
        <f t="shared" si="1"/>
        <v>Saturday</v>
      </c>
      <c r="E772" s="344"/>
      <c r="F772" s="370"/>
      <c r="G772" s="370"/>
      <c r="H772" s="357">
        <f t="shared" si="2"/>
        <v>0</v>
      </c>
      <c r="I772" s="346">
        <f t="shared" si="3"/>
        <v>0</v>
      </c>
      <c r="J772" s="312"/>
    </row>
    <row r="773">
      <c r="A773" s="344">
        <v>672.66</v>
      </c>
      <c r="B773" s="344">
        <v>60.0</v>
      </c>
      <c r="C773" s="369"/>
      <c r="D773" s="344" t="str">
        <f t="shared" si="1"/>
        <v>Saturday</v>
      </c>
      <c r="E773" s="344"/>
      <c r="F773" s="370"/>
      <c r="G773" s="370"/>
      <c r="H773" s="357">
        <f t="shared" si="2"/>
        <v>0</v>
      </c>
      <c r="I773" s="346">
        <f t="shared" si="3"/>
        <v>0</v>
      </c>
      <c r="J773" s="312"/>
    </row>
    <row r="774">
      <c r="A774" s="344">
        <v>672.66</v>
      </c>
      <c r="B774" s="344">
        <v>60.0</v>
      </c>
      <c r="C774" s="369"/>
      <c r="D774" s="344" t="str">
        <f t="shared" si="1"/>
        <v>Saturday</v>
      </c>
      <c r="E774" s="344"/>
      <c r="F774" s="370"/>
      <c r="G774" s="370"/>
      <c r="H774" s="357">
        <f t="shared" si="2"/>
        <v>0</v>
      </c>
      <c r="I774" s="346">
        <f t="shared" si="3"/>
        <v>0</v>
      </c>
      <c r="J774" s="312"/>
    </row>
    <row r="775">
      <c r="A775" s="344">
        <v>672.66</v>
      </c>
      <c r="B775" s="344">
        <v>60.0</v>
      </c>
      <c r="C775" s="369"/>
      <c r="D775" s="344" t="str">
        <f t="shared" si="1"/>
        <v>Saturday</v>
      </c>
      <c r="E775" s="344"/>
      <c r="F775" s="370"/>
      <c r="G775" s="370"/>
      <c r="H775" s="357">
        <f t="shared" si="2"/>
        <v>0</v>
      </c>
      <c r="I775" s="346">
        <f t="shared" si="3"/>
        <v>0</v>
      </c>
      <c r="J775" s="312"/>
    </row>
    <row r="776">
      <c r="A776" s="344">
        <v>672.66</v>
      </c>
      <c r="B776" s="344">
        <v>60.0</v>
      </c>
      <c r="C776" s="369"/>
      <c r="D776" s="344" t="str">
        <f t="shared" si="1"/>
        <v>Saturday</v>
      </c>
      <c r="E776" s="344"/>
      <c r="F776" s="370"/>
      <c r="G776" s="370"/>
      <c r="H776" s="357">
        <f t="shared" si="2"/>
        <v>0</v>
      </c>
      <c r="I776" s="346">
        <f t="shared" si="3"/>
        <v>0</v>
      </c>
      <c r="J776" s="312"/>
    </row>
    <row r="777">
      <c r="A777" s="344">
        <v>672.66</v>
      </c>
      <c r="B777" s="344">
        <v>60.0</v>
      </c>
      <c r="C777" s="369"/>
      <c r="D777" s="344" t="str">
        <f t="shared" si="1"/>
        <v>Saturday</v>
      </c>
      <c r="E777" s="344"/>
      <c r="F777" s="370"/>
      <c r="G777" s="370"/>
      <c r="H777" s="357">
        <f t="shared" si="2"/>
        <v>0</v>
      </c>
      <c r="I777" s="346">
        <f t="shared" si="3"/>
        <v>0</v>
      </c>
      <c r="J777" s="312"/>
    </row>
    <row r="778">
      <c r="A778" s="344">
        <v>672.66</v>
      </c>
      <c r="B778" s="344">
        <v>60.0</v>
      </c>
      <c r="C778" s="369"/>
      <c r="D778" s="344" t="str">
        <f t="shared" si="1"/>
        <v>Saturday</v>
      </c>
      <c r="E778" s="344"/>
      <c r="F778" s="370"/>
      <c r="G778" s="370"/>
      <c r="H778" s="357">
        <f t="shared" si="2"/>
        <v>0</v>
      </c>
      <c r="I778" s="346">
        <f t="shared" si="3"/>
        <v>0</v>
      </c>
      <c r="J778" s="312"/>
    </row>
    <row r="779">
      <c r="A779" s="344">
        <v>672.66</v>
      </c>
      <c r="B779" s="344">
        <v>60.0</v>
      </c>
      <c r="C779" s="369"/>
      <c r="D779" s="344" t="str">
        <f t="shared" si="1"/>
        <v>Saturday</v>
      </c>
      <c r="E779" s="344"/>
      <c r="F779" s="370"/>
      <c r="G779" s="370"/>
      <c r="H779" s="357">
        <f t="shared" si="2"/>
        <v>0</v>
      </c>
      <c r="I779" s="346">
        <f t="shared" si="3"/>
        <v>0</v>
      </c>
      <c r="J779" s="312"/>
    </row>
    <row r="780">
      <c r="A780" s="344">
        <v>672.66</v>
      </c>
      <c r="B780" s="344">
        <v>60.0</v>
      </c>
      <c r="C780" s="369"/>
      <c r="D780" s="344" t="str">
        <f t="shared" si="1"/>
        <v>Saturday</v>
      </c>
      <c r="E780" s="344"/>
      <c r="F780" s="370"/>
      <c r="G780" s="370"/>
      <c r="H780" s="357">
        <f t="shared" si="2"/>
        <v>0</v>
      </c>
      <c r="I780" s="346">
        <f t="shared" si="3"/>
        <v>0</v>
      </c>
      <c r="J780" s="312"/>
    </row>
    <row r="781">
      <c r="A781" s="344">
        <v>672.66</v>
      </c>
      <c r="B781" s="344">
        <v>60.0</v>
      </c>
      <c r="C781" s="369"/>
      <c r="D781" s="344" t="str">
        <f t="shared" si="1"/>
        <v>Saturday</v>
      </c>
      <c r="E781" s="344"/>
      <c r="F781" s="370"/>
      <c r="G781" s="370"/>
      <c r="H781" s="357">
        <f t="shared" si="2"/>
        <v>0</v>
      </c>
      <c r="I781" s="346">
        <f t="shared" si="3"/>
        <v>0</v>
      </c>
      <c r="J781" s="312"/>
    </row>
    <row r="782">
      <c r="A782" s="344">
        <v>672.66</v>
      </c>
      <c r="B782" s="344">
        <v>60.0</v>
      </c>
      <c r="C782" s="369"/>
      <c r="D782" s="344" t="str">
        <f t="shared" si="1"/>
        <v>Saturday</v>
      </c>
      <c r="E782" s="344"/>
      <c r="F782" s="370"/>
      <c r="G782" s="370"/>
      <c r="H782" s="357">
        <f t="shared" si="2"/>
        <v>0</v>
      </c>
      <c r="I782" s="346">
        <f t="shared" si="3"/>
        <v>0</v>
      </c>
      <c r="J782" s="312"/>
    </row>
    <row r="783">
      <c r="A783" s="344">
        <v>672.66</v>
      </c>
      <c r="B783" s="344">
        <v>60.0</v>
      </c>
      <c r="C783" s="369"/>
      <c r="D783" s="344" t="str">
        <f t="shared" si="1"/>
        <v>Saturday</v>
      </c>
      <c r="E783" s="344"/>
      <c r="F783" s="370"/>
      <c r="G783" s="370"/>
      <c r="H783" s="357">
        <f t="shared" si="2"/>
        <v>0</v>
      </c>
      <c r="I783" s="346">
        <f t="shared" si="3"/>
        <v>0</v>
      </c>
      <c r="J783" s="312"/>
    </row>
    <row r="784">
      <c r="A784" s="344">
        <v>672.66</v>
      </c>
      <c r="B784" s="344">
        <v>60.0</v>
      </c>
      <c r="C784" s="369"/>
      <c r="D784" s="344" t="str">
        <f t="shared" si="1"/>
        <v>Saturday</v>
      </c>
      <c r="E784" s="344"/>
      <c r="F784" s="370"/>
      <c r="G784" s="370"/>
      <c r="H784" s="357">
        <f t="shared" si="2"/>
        <v>0</v>
      </c>
      <c r="I784" s="346">
        <f t="shared" si="3"/>
        <v>0</v>
      </c>
      <c r="J784" s="312"/>
    </row>
    <row r="785">
      <c r="A785" s="344">
        <v>672.66</v>
      </c>
      <c r="B785" s="344">
        <v>60.0</v>
      </c>
      <c r="C785" s="369"/>
      <c r="D785" s="344" t="str">
        <f t="shared" si="1"/>
        <v>Saturday</v>
      </c>
      <c r="E785" s="344"/>
      <c r="F785" s="370"/>
      <c r="G785" s="370"/>
      <c r="H785" s="357">
        <f t="shared" si="2"/>
        <v>0</v>
      </c>
      <c r="I785" s="346">
        <f t="shared" si="3"/>
        <v>0</v>
      </c>
      <c r="J785" s="312"/>
    </row>
    <row r="786">
      <c r="A786" s="344">
        <v>672.66</v>
      </c>
      <c r="B786" s="344">
        <v>60.0</v>
      </c>
      <c r="C786" s="369"/>
      <c r="D786" s="344" t="str">
        <f t="shared" si="1"/>
        <v>Saturday</v>
      </c>
      <c r="E786" s="344"/>
      <c r="F786" s="370"/>
      <c r="G786" s="370"/>
      <c r="H786" s="357">
        <f t="shared" si="2"/>
        <v>0</v>
      </c>
      <c r="I786" s="346">
        <f t="shared" si="3"/>
        <v>0</v>
      </c>
      <c r="J786" s="312"/>
    </row>
    <row r="787">
      <c r="A787" s="344">
        <v>672.66</v>
      </c>
      <c r="B787" s="344">
        <v>60.0</v>
      </c>
      <c r="C787" s="369"/>
      <c r="D787" s="344" t="str">
        <f t="shared" si="1"/>
        <v>Saturday</v>
      </c>
      <c r="E787" s="344"/>
      <c r="F787" s="370"/>
      <c r="G787" s="370"/>
      <c r="H787" s="357">
        <f t="shared" si="2"/>
        <v>0</v>
      </c>
      <c r="I787" s="346">
        <f t="shared" si="3"/>
        <v>0</v>
      </c>
      <c r="J787" s="312"/>
    </row>
    <row r="788">
      <c r="A788" s="344">
        <v>672.66</v>
      </c>
      <c r="B788" s="344">
        <v>60.0</v>
      </c>
      <c r="C788" s="369"/>
      <c r="D788" s="344" t="str">
        <f t="shared" si="1"/>
        <v>Saturday</v>
      </c>
      <c r="E788" s="344"/>
      <c r="F788" s="370"/>
      <c r="G788" s="370"/>
      <c r="H788" s="357">
        <f t="shared" si="2"/>
        <v>0</v>
      </c>
      <c r="I788" s="346">
        <f t="shared" si="3"/>
        <v>0</v>
      </c>
      <c r="J788" s="312"/>
    </row>
    <row r="789">
      <c r="A789" s="344">
        <v>672.66</v>
      </c>
      <c r="B789" s="344">
        <v>60.0</v>
      </c>
      <c r="C789" s="369"/>
      <c r="D789" s="344" t="str">
        <f t="shared" si="1"/>
        <v>Saturday</v>
      </c>
      <c r="E789" s="344"/>
      <c r="F789" s="370"/>
      <c r="G789" s="370"/>
      <c r="H789" s="357">
        <f t="shared" si="2"/>
        <v>0</v>
      </c>
      <c r="I789" s="346">
        <f t="shared" si="3"/>
        <v>0</v>
      </c>
      <c r="J789" s="312"/>
    </row>
    <row r="790">
      <c r="A790" s="344">
        <v>672.66</v>
      </c>
      <c r="B790" s="344">
        <v>60.0</v>
      </c>
      <c r="C790" s="369"/>
      <c r="D790" s="344" t="str">
        <f t="shared" si="1"/>
        <v>Saturday</v>
      </c>
      <c r="E790" s="344"/>
      <c r="F790" s="370"/>
      <c r="G790" s="370"/>
      <c r="H790" s="357">
        <f t="shared" si="2"/>
        <v>0</v>
      </c>
      <c r="I790" s="346">
        <f t="shared" si="3"/>
        <v>0</v>
      </c>
      <c r="J790" s="312"/>
    </row>
    <row r="791">
      <c r="A791" s="344">
        <v>672.66</v>
      </c>
      <c r="B791" s="344">
        <v>60.0</v>
      </c>
      <c r="C791" s="369"/>
      <c r="D791" s="344" t="str">
        <f t="shared" si="1"/>
        <v>Saturday</v>
      </c>
      <c r="E791" s="344"/>
      <c r="F791" s="370"/>
      <c r="G791" s="370"/>
      <c r="H791" s="357">
        <f t="shared" si="2"/>
        <v>0</v>
      </c>
      <c r="I791" s="346">
        <f t="shared" si="3"/>
        <v>0</v>
      </c>
      <c r="J791" s="312"/>
    </row>
    <row r="792">
      <c r="A792" s="344">
        <v>672.66</v>
      </c>
      <c r="B792" s="344">
        <v>60.0</v>
      </c>
      <c r="C792" s="369"/>
      <c r="D792" s="344" t="str">
        <f t="shared" si="1"/>
        <v>Saturday</v>
      </c>
      <c r="E792" s="344"/>
      <c r="F792" s="370"/>
      <c r="G792" s="370"/>
      <c r="H792" s="357">
        <f t="shared" si="2"/>
        <v>0</v>
      </c>
      <c r="I792" s="346">
        <f t="shared" si="3"/>
        <v>0</v>
      </c>
      <c r="J792" s="312"/>
    </row>
    <row r="793">
      <c r="A793" s="344">
        <v>672.66</v>
      </c>
      <c r="B793" s="344">
        <v>60.0</v>
      </c>
      <c r="C793" s="369"/>
      <c r="D793" s="344" t="str">
        <f t="shared" si="1"/>
        <v>Saturday</v>
      </c>
      <c r="E793" s="344"/>
      <c r="F793" s="370"/>
      <c r="G793" s="370"/>
      <c r="H793" s="357">
        <f t="shared" si="2"/>
        <v>0</v>
      </c>
      <c r="I793" s="346">
        <f t="shared" si="3"/>
        <v>0</v>
      </c>
      <c r="J793" s="312"/>
    </row>
    <row r="794">
      <c r="A794" s="344">
        <v>672.66</v>
      </c>
      <c r="B794" s="344">
        <v>60.0</v>
      </c>
      <c r="C794" s="369"/>
      <c r="D794" s="344" t="str">
        <f t="shared" si="1"/>
        <v>Saturday</v>
      </c>
      <c r="E794" s="344"/>
      <c r="F794" s="370"/>
      <c r="G794" s="370"/>
      <c r="H794" s="357">
        <f t="shared" si="2"/>
        <v>0</v>
      </c>
      <c r="I794" s="346">
        <f t="shared" si="3"/>
        <v>0</v>
      </c>
      <c r="J794" s="312"/>
    </row>
    <row r="795">
      <c r="A795" s="344">
        <v>672.66</v>
      </c>
      <c r="B795" s="344">
        <v>60.0</v>
      </c>
      <c r="C795" s="369"/>
      <c r="D795" s="344" t="str">
        <f t="shared" si="1"/>
        <v>Saturday</v>
      </c>
      <c r="E795" s="344"/>
      <c r="F795" s="370"/>
      <c r="G795" s="370"/>
      <c r="H795" s="357">
        <f t="shared" si="2"/>
        <v>0</v>
      </c>
      <c r="I795" s="346">
        <f t="shared" si="3"/>
        <v>0</v>
      </c>
      <c r="J795" s="312"/>
    </row>
    <row r="796">
      <c r="A796" s="344">
        <v>672.66</v>
      </c>
      <c r="B796" s="344">
        <v>60.0</v>
      </c>
      <c r="C796" s="369"/>
      <c r="D796" s="344" t="str">
        <f t="shared" si="1"/>
        <v>Saturday</v>
      </c>
      <c r="E796" s="344"/>
      <c r="F796" s="370"/>
      <c r="G796" s="370"/>
      <c r="H796" s="357">
        <f t="shared" si="2"/>
        <v>0</v>
      </c>
      <c r="I796" s="346">
        <f t="shared" si="3"/>
        <v>0</v>
      </c>
      <c r="J796" s="312"/>
    </row>
    <row r="797">
      <c r="A797" s="344">
        <v>672.66</v>
      </c>
      <c r="B797" s="344">
        <v>60.0</v>
      </c>
      <c r="C797" s="369"/>
      <c r="D797" s="344" t="str">
        <f t="shared" si="1"/>
        <v>Saturday</v>
      </c>
      <c r="E797" s="344"/>
      <c r="F797" s="370"/>
      <c r="G797" s="370"/>
      <c r="H797" s="357">
        <f t="shared" si="2"/>
        <v>0</v>
      </c>
      <c r="I797" s="346">
        <f t="shared" si="3"/>
        <v>0</v>
      </c>
      <c r="J797" s="312"/>
    </row>
    <row r="798">
      <c r="A798" s="344">
        <v>672.66</v>
      </c>
      <c r="B798" s="344">
        <v>60.0</v>
      </c>
      <c r="C798" s="369"/>
      <c r="D798" s="344" t="str">
        <f t="shared" si="1"/>
        <v>Saturday</v>
      </c>
      <c r="E798" s="344"/>
      <c r="F798" s="370"/>
      <c r="G798" s="370"/>
      <c r="H798" s="357">
        <f t="shared" si="2"/>
        <v>0</v>
      </c>
      <c r="I798" s="346">
        <f t="shared" si="3"/>
        <v>0</v>
      </c>
      <c r="J798" s="312"/>
    </row>
    <row r="799">
      <c r="A799" s="344">
        <v>672.66</v>
      </c>
      <c r="B799" s="344">
        <v>60.0</v>
      </c>
      <c r="C799" s="369"/>
      <c r="D799" s="344" t="str">
        <f t="shared" si="1"/>
        <v>Saturday</v>
      </c>
      <c r="E799" s="344"/>
      <c r="F799" s="370"/>
      <c r="G799" s="370"/>
      <c r="H799" s="357">
        <f t="shared" si="2"/>
        <v>0</v>
      </c>
      <c r="I799" s="346">
        <f t="shared" si="3"/>
        <v>0</v>
      </c>
      <c r="J799" s="312"/>
    </row>
    <row r="800">
      <c r="A800" s="344">
        <v>672.66</v>
      </c>
      <c r="B800" s="344">
        <v>60.0</v>
      </c>
      <c r="C800" s="369"/>
      <c r="D800" s="344" t="str">
        <f t="shared" si="1"/>
        <v>Saturday</v>
      </c>
      <c r="E800" s="344"/>
      <c r="F800" s="370"/>
      <c r="G800" s="370"/>
      <c r="H800" s="357">
        <f t="shared" si="2"/>
        <v>0</v>
      </c>
      <c r="I800" s="346">
        <f t="shared" si="3"/>
        <v>0</v>
      </c>
      <c r="J800" s="312"/>
    </row>
    <row r="801">
      <c r="A801" s="344">
        <v>672.66</v>
      </c>
      <c r="B801" s="344">
        <v>60.0</v>
      </c>
      <c r="C801" s="369"/>
      <c r="D801" s="344" t="str">
        <f t="shared" si="1"/>
        <v>Saturday</v>
      </c>
      <c r="E801" s="344"/>
      <c r="F801" s="370"/>
      <c r="G801" s="370"/>
      <c r="H801" s="357">
        <f t="shared" si="2"/>
        <v>0</v>
      </c>
      <c r="I801" s="346">
        <f t="shared" si="3"/>
        <v>0</v>
      </c>
      <c r="J801" s="312"/>
    </row>
    <row r="802">
      <c r="A802" s="344">
        <v>672.66</v>
      </c>
      <c r="B802" s="344">
        <v>60.0</v>
      </c>
      <c r="C802" s="369"/>
      <c r="D802" s="344" t="str">
        <f t="shared" si="1"/>
        <v>Saturday</v>
      </c>
      <c r="E802" s="344"/>
      <c r="F802" s="370"/>
      <c r="G802" s="370"/>
      <c r="H802" s="357">
        <f t="shared" si="2"/>
        <v>0</v>
      </c>
      <c r="I802" s="346">
        <f t="shared" si="3"/>
        <v>0</v>
      </c>
      <c r="J802" s="312"/>
    </row>
    <row r="803">
      <c r="A803" s="344">
        <v>672.66</v>
      </c>
      <c r="B803" s="344">
        <v>60.0</v>
      </c>
      <c r="C803" s="369"/>
      <c r="D803" s="344" t="str">
        <f t="shared" si="1"/>
        <v>Saturday</v>
      </c>
      <c r="E803" s="344"/>
      <c r="F803" s="370"/>
      <c r="G803" s="370"/>
      <c r="H803" s="357">
        <f t="shared" si="2"/>
        <v>0</v>
      </c>
      <c r="I803" s="346">
        <f t="shared" si="3"/>
        <v>0</v>
      </c>
      <c r="J803" s="312"/>
    </row>
    <row r="804">
      <c r="A804" s="344">
        <v>672.66</v>
      </c>
      <c r="B804" s="344">
        <v>60.0</v>
      </c>
      <c r="C804" s="369"/>
      <c r="D804" s="344" t="str">
        <f t="shared" si="1"/>
        <v>Saturday</v>
      </c>
      <c r="E804" s="344"/>
      <c r="F804" s="370"/>
      <c r="G804" s="370"/>
      <c r="H804" s="357">
        <f t="shared" si="2"/>
        <v>0</v>
      </c>
      <c r="I804" s="346">
        <f t="shared" si="3"/>
        <v>0</v>
      </c>
      <c r="J804" s="312"/>
    </row>
    <row r="805">
      <c r="A805" s="344">
        <v>672.66</v>
      </c>
      <c r="B805" s="344">
        <v>60.0</v>
      </c>
      <c r="C805" s="369"/>
      <c r="D805" s="344" t="str">
        <f t="shared" si="1"/>
        <v>Saturday</v>
      </c>
      <c r="E805" s="344"/>
      <c r="F805" s="370"/>
      <c r="G805" s="370"/>
      <c r="H805" s="357">
        <f t="shared" si="2"/>
        <v>0</v>
      </c>
      <c r="I805" s="346">
        <f t="shared" si="3"/>
        <v>0</v>
      </c>
      <c r="J805" s="312"/>
    </row>
    <row r="806">
      <c r="A806" s="344">
        <v>672.66</v>
      </c>
      <c r="B806" s="344">
        <v>60.0</v>
      </c>
      <c r="C806" s="369"/>
      <c r="D806" s="344" t="str">
        <f t="shared" si="1"/>
        <v>Saturday</v>
      </c>
      <c r="E806" s="344"/>
      <c r="F806" s="370"/>
      <c r="G806" s="370"/>
      <c r="H806" s="357">
        <f t="shared" si="2"/>
        <v>0</v>
      </c>
      <c r="I806" s="346">
        <f t="shared" si="3"/>
        <v>0</v>
      </c>
      <c r="J806" s="312"/>
    </row>
    <row r="807">
      <c r="A807" s="344">
        <v>672.66</v>
      </c>
      <c r="B807" s="344">
        <v>60.0</v>
      </c>
      <c r="C807" s="369"/>
      <c r="D807" s="344" t="str">
        <f t="shared" si="1"/>
        <v>Saturday</v>
      </c>
      <c r="E807" s="344"/>
      <c r="F807" s="370"/>
      <c r="G807" s="370"/>
      <c r="H807" s="357">
        <f t="shared" si="2"/>
        <v>0</v>
      </c>
      <c r="I807" s="346">
        <f t="shared" si="3"/>
        <v>0</v>
      </c>
      <c r="J807" s="312"/>
    </row>
    <row r="808">
      <c r="A808" s="344">
        <v>672.66</v>
      </c>
      <c r="B808" s="344">
        <v>60.0</v>
      </c>
      <c r="C808" s="369"/>
      <c r="D808" s="344" t="str">
        <f t="shared" si="1"/>
        <v>Saturday</v>
      </c>
      <c r="E808" s="344"/>
      <c r="F808" s="370"/>
      <c r="G808" s="370"/>
      <c r="H808" s="357">
        <f t="shared" si="2"/>
        <v>0</v>
      </c>
      <c r="I808" s="346">
        <f t="shared" si="3"/>
        <v>0</v>
      </c>
      <c r="J808" s="312"/>
    </row>
    <row r="809">
      <c r="A809" s="344">
        <v>672.66</v>
      </c>
      <c r="B809" s="344">
        <v>60.0</v>
      </c>
      <c r="C809" s="369"/>
      <c r="D809" s="344" t="str">
        <f t="shared" si="1"/>
        <v>Saturday</v>
      </c>
      <c r="E809" s="344"/>
      <c r="F809" s="370"/>
      <c r="G809" s="370"/>
      <c r="H809" s="357">
        <f t="shared" si="2"/>
        <v>0</v>
      </c>
      <c r="I809" s="346">
        <f t="shared" si="3"/>
        <v>0</v>
      </c>
      <c r="J809" s="312"/>
    </row>
    <row r="810">
      <c r="A810" s="344">
        <v>672.66</v>
      </c>
      <c r="B810" s="344">
        <v>60.0</v>
      </c>
      <c r="C810" s="369"/>
      <c r="D810" s="344" t="str">
        <f t="shared" si="1"/>
        <v>Saturday</v>
      </c>
      <c r="E810" s="344"/>
      <c r="F810" s="370"/>
      <c r="G810" s="370"/>
      <c r="H810" s="357">
        <f t="shared" si="2"/>
        <v>0</v>
      </c>
      <c r="I810" s="346">
        <f t="shared" si="3"/>
        <v>0</v>
      </c>
      <c r="J810" s="312"/>
    </row>
    <row r="811">
      <c r="A811" s="344">
        <v>672.66</v>
      </c>
      <c r="B811" s="344">
        <v>60.0</v>
      </c>
      <c r="C811" s="369"/>
      <c r="D811" s="344" t="str">
        <f t="shared" si="1"/>
        <v>Saturday</v>
      </c>
      <c r="E811" s="344"/>
      <c r="F811" s="370"/>
      <c r="G811" s="370"/>
      <c r="H811" s="357">
        <f t="shared" si="2"/>
        <v>0</v>
      </c>
      <c r="I811" s="346">
        <f t="shared" si="3"/>
        <v>0</v>
      </c>
      <c r="J811" s="312"/>
    </row>
    <row r="812">
      <c r="A812" s="344">
        <v>672.66</v>
      </c>
      <c r="B812" s="344">
        <v>60.0</v>
      </c>
      <c r="C812" s="369"/>
      <c r="D812" s="344" t="str">
        <f t="shared" si="1"/>
        <v>Saturday</v>
      </c>
      <c r="E812" s="344"/>
      <c r="F812" s="370"/>
      <c r="G812" s="370"/>
      <c r="H812" s="357">
        <f t="shared" si="2"/>
        <v>0</v>
      </c>
      <c r="I812" s="346">
        <f t="shared" si="3"/>
        <v>0</v>
      </c>
      <c r="J812" s="312"/>
    </row>
    <row r="813">
      <c r="A813" s="344">
        <v>672.66</v>
      </c>
      <c r="B813" s="344">
        <v>60.0</v>
      </c>
      <c r="C813" s="369"/>
      <c r="D813" s="344" t="str">
        <f t="shared" si="1"/>
        <v>Saturday</v>
      </c>
      <c r="E813" s="344"/>
      <c r="F813" s="370"/>
      <c r="G813" s="370"/>
      <c r="H813" s="357">
        <f t="shared" si="2"/>
        <v>0</v>
      </c>
      <c r="I813" s="346">
        <f t="shared" si="3"/>
        <v>0</v>
      </c>
      <c r="J813" s="312"/>
    </row>
    <row r="814">
      <c r="A814" s="344">
        <v>672.66</v>
      </c>
      <c r="B814" s="344">
        <v>60.0</v>
      </c>
      <c r="C814" s="369"/>
      <c r="D814" s="344" t="str">
        <f t="shared" si="1"/>
        <v>Saturday</v>
      </c>
      <c r="E814" s="344"/>
      <c r="F814" s="370"/>
      <c r="G814" s="370"/>
      <c r="H814" s="357">
        <f t="shared" si="2"/>
        <v>0</v>
      </c>
      <c r="I814" s="346">
        <f t="shared" si="3"/>
        <v>0</v>
      </c>
      <c r="J814" s="312"/>
    </row>
    <row r="815">
      <c r="A815" s="344">
        <v>672.66</v>
      </c>
      <c r="B815" s="344">
        <v>60.0</v>
      </c>
      <c r="C815" s="369"/>
      <c r="D815" s="344" t="str">
        <f t="shared" si="1"/>
        <v>Saturday</v>
      </c>
      <c r="E815" s="344"/>
      <c r="F815" s="370"/>
      <c r="G815" s="370"/>
      <c r="H815" s="357">
        <f t="shared" si="2"/>
        <v>0</v>
      </c>
      <c r="I815" s="346">
        <f t="shared" si="3"/>
        <v>0</v>
      </c>
      <c r="J815" s="312"/>
    </row>
    <row r="816">
      <c r="A816" s="344">
        <v>672.66</v>
      </c>
      <c r="B816" s="344">
        <v>60.0</v>
      </c>
      <c r="C816" s="369"/>
      <c r="D816" s="344" t="str">
        <f t="shared" si="1"/>
        <v>Saturday</v>
      </c>
      <c r="E816" s="344"/>
      <c r="F816" s="370"/>
      <c r="G816" s="370"/>
      <c r="H816" s="357">
        <f t="shared" si="2"/>
        <v>0</v>
      </c>
      <c r="I816" s="346">
        <f t="shared" si="3"/>
        <v>0</v>
      </c>
      <c r="J816" s="312"/>
    </row>
    <row r="817">
      <c r="A817" s="344">
        <v>672.66</v>
      </c>
      <c r="B817" s="344">
        <v>60.0</v>
      </c>
      <c r="C817" s="369"/>
      <c r="D817" s="344" t="str">
        <f t="shared" si="1"/>
        <v>Saturday</v>
      </c>
      <c r="E817" s="344"/>
      <c r="F817" s="370"/>
      <c r="G817" s="370"/>
      <c r="H817" s="357">
        <f t="shared" si="2"/>
        <v>0</v>
      </c>
      <c r="I817" s="346">
        <f t="shared" si="3"/>
        <v>0</v>
      </c>
      <c r="J817" s="312"/>
    </row>
    <row r="818">
      <c r="A818" s="344">
        <v>672.66</v>
      </c>
      <c r="B818" s="344">
        <v>60.0</v>
      </c>
      <c r="C818" s="369"/>
      <c r="D818" s="344" t="str">
        <f t="shared" si="1"/>
        <v>Saturday</v>
      </c>
      <c r="E818" s="344"/>
      <c r="F818" s="370"/>
      <c r="G818" s="370"/>
      <c r="H818" s="357">
        <f t="shared" si="2"/>
        <v>0</v>
      </c>
      <c r="I818" s="346">
        <f t="shared" si="3"/>
        <v>0</v>
      </c>
      <c r="J818" s="312"/>
    </row>
    <row r="819">
      <c r="A819" s="344">
        <v>672.66</v>
      </c>
      <c r="B819" s="344">
        <v>60.0</v>
      </c>
      <c r="C819" s="369"/>
      <c r="D819" s="344" t="str">
        <f t="shared" si="1"/>
        <v>Saturday</v>
      </c>
      <c r="E819" s="344"/>
      <c r="F819" s="370"/>
      <c r="G819" s="370"/>
      <c r="H819" s="357">
        <f t="shared" si="2"/>
        <v>0</v>
      </c>
      <c r="I819" s="346">
        <f t="shared" si="3"/>
        <v>0</v>
      </c>
      <c r="J819" s="312"/>
    </row>
    <row r="820">
      <c r="A820" s="344">
        <v>672.66</v>
      </c>
      <c r="B820" s="344">
        <v>60.0</v>
      </c>
      <c r="C820" s="369"/>
      <c r="D820" s="344" t="str">
        <f t="shared" si="1"/>
        <v>Saturday</v>
      </c>
      <c r="E820" s="344"/>
      <c r="F820" s="370"/>
      <c r="G820" s="370"/>
      <c r="H820" s="357">
        <f t="shared" si="2"/>
        <v>0</v>
      </c>
      <c r="I820" s="346">
        <f t="shared" si="3"/>
        <v>0</v>
      </c>
      <c r="J820" s="312"/>
    </row>
    <row r="821">
      <c r="A821" s="344">
        <v>672.66</v>
      </c>
      <c r="B821" s="344">
        <v>60.0</v>
      </c>
      <c r="C821" s="369"/>
      <c r="D821" s="344" t="str">
        <f t="shared" si="1"/>
        <v>Saturday</v>
      </c>
      <c r="E821" s="344"/>
      <c r="F821" s="370"/>
      <c r="G821" s="370"/>
      <c r="H821" s="357">
        <f t="shared" si="2"/>
        <v>0</v>
      </c>
      <c r="I821" s="346">
        <f t="shared" si="3"/>
        <v>0</v>
      </c>
      <c r="J821" s="312"/>
    </row>
    <row r="822">
      <c r="A822" s="344">
        <v>672.66</v>
      </c>
      <c r="B822" s="344">
        <v>60.0</v>
      </c>
      <c r="C822" s="369"/>
      <c r="D822" s="344" t="str">
        <f t="shared" si="1"/>
        <v>Saturday</v>
      </c>
      <c r="E822" s="344"/>
      <c r="F822" s="370"/>
      <c r="G822" s="370"/>
      <c r="H822" s="357">
        <f t="shared" si="2"/>
        <v>0</v>
      </c>
      <c r="I822" s="346">
        <f t="shared" si="3"/>
        <v>0</v>
      </c>
      <c r="J822" s="312"/>
    </row>
    <row r="823">
      <c r="A823" s="344">
        <v>672.66</v>
      </c>
      <c r="B823" s="344">
        <v>60.0</v>
      </c>
      <c r="C823" s="369"/>
      <c r="D823" s="344" t="str">
        <f t="shared" si="1"/>
        <v>Saturday</v>
      </c>
      <c r="E823" s="344"/>
      <c r="F823" s="370"/>
      <c r="G823" s="370"/>
      <c r="H823" s="357">
        <f t="shared" si="2"/>
        <v>0</v>
      </c>
      <c r="I823" s="346">
        <f t="shared" si="3"/>
        <v>0</v>
      </c>
      <c r="J823" s="312"/>
    </row>
    <row r="824">
      <c r="A824" s="344">
        <v>672.66</v>
      </c>
      <c r="B824" s="344">
        <v>60.0</v>
      </c>
      <c r="C824" s="369"/>
      <c r="D824" s="344" t="str">
        <f t="shared" si="1"/>
        <v>Saturday</v>
      </c>
      <c r="E824" s="344"/>
      <c r="F824" s="370"/>
      <c r="G824" s="370"/>
      <c r="H824" s="357">
        <f t="shared" si="2"/>
        <v>0</v>
      </c>
      <c r="I824" s="346">
        <f t="shared" si="3"/>
        <v>0</v>
      </c>
      <c r="J824" s="312"/>
    </row>
    <row r="825">
      <c r="A825" s="344">
        <v>672.66</v>
      </c>
      <c r="B825" s="344">
        <v>60.0</v>
      </c>
      <c r="C825" s="369"/>
      <c r="D825" s="344" t="str">
        <f t="shared" si="1"/>
        <v>Saturday</v>
      </c>
      <c r="E825" s="344"/>
      <c r="F825" s="370"/>
      <c r="G825" s="370"/>
      <c r="H825" s="357">
        <f t="shared" si="2"/>
        <v>0</v>
      </c>
      <c r="I825" s="346">
        <f t="shared" si="3"/>
        <v>0</v>
      </c>
      <c r="J825" s="312"/>
    </row>
    <row r="826">
      <c r="A826" s="344">
        <v>672.66</v>
      </c>
      <c r="B826" s="344">
        <v>60.0</v>
      </c>
      <c r="C826" s="369"/>
      <c r="D826" s="344" t="str">
        <f t="shared" si="1"/>
        <v>Saturday</v>
      </c>
      <c r="E826" s="344"/>
      <c r="F826" s="370"/>
      <c r="G826" s="370"/>
      <c r="H826" s="357">
        <f t="shared" si="2"/>
        <v>0</v>
      </c>
      <c r="I826" s="346">
        <f t="shared" si="3"/>
        <v>0</v>
      </c>
      <c r="J826" s="312"/>
    </row>
    <row r="827">
      <c r="A827" s="344">
        <v>672.66</v>
      </c>
      <c r="B827" s="344">
        <v>60.0</v>
      </c>
      <c r="C827" s="369"/>
      <c r="D827" s="344" t="str">
        <f t="shared" si="1"/>
        <v>Saturday</v>
      </c>
      <c r="E827" s="344"/>
      <c r="F827" s="370"/>
      <c r="G827" s="370"/>
      <c r="H827" s="357">
        <f t="shared" si="2"/>
        <v>0</v>
      </c>
      <c r="I827" s="346">
        <f t="shared" si="3"/>
        <v>0</v>
      </c>
      <c r="J827" s="312"/>
    </row>
    <row r="828">
      <c r="A828" s="344">
        <v>672.66</v>
      </c>
      <c r="B828" s="344">
        <v>60.0</v>
      </c>
      <c r="C828" s="369"/>
      <c r="D828" s="344" t="str">
        <f t="shared" si="1"/>
        <v>Saturday</v>
      </c>
      <c r="E828" s="344"/>
      <c r="F828" s="370"/>
      <c r="G828" s="370"/>
      <c r="H828" s="357">
        <f t="shared" si="2"/>
        <v>0</v>
      </c>
      <c r="I828" s="346">
        <f t="shared" si="3"/>
        <v>0</v>
      </c>
      <c r="J828" s="312"/>
    </row>
    <row r="829">
      <c r="A829" s="344">
        <v>672.66</v>
      </c>
      <c r="B829" s="344">
        <v>60.0</v>
      </c>
      <c r="C829" s="369"/>
      <c r="D829" s="344" t="str">
        <f t="shared" si="1"/>
        <v>Saturday</v>
      </c>
      <c r="E829" s="344"/>
      <c r="F829" s="370"/>
      <c r="G829" s="370"/>
      <c r="H829" s="357">
        <f t="shared" si="2"/>
        <v>0</v>
      </c>
      <c r="I829" s="346">
        <f t="shared" si="3"/>
        <v>0</v>
      </c>
      <c r="J829" s="312"/>
    </row>
    <row r="830">
      <c r="A830" s="344">
        <v>672.66</v>
      </c>
      <c r="B830" s="344">
        <v>60.0</v>
      </c>
      <c r="C830" s="369"/>
      <c r="D830" s="344" t="str">
        <f t="shared" si="1"/>
        <v>Saturday</v>
      </c>
      <c r="E830" s="344"/>
      <c r="F830" s="370"/>
      <c r="G830" s="370"/>
      <c r="H830" s="357">
        <f t="shared" si="2"/>
        <v>0</v>
      </c>
      <c r="I830" s="346">
        <f t="shared" si="3"/>
        <v>0</v>
      </c>
      <c r="J830" s="312"/>
    </row>
    <row r="831">
      <c r="A831" s="344">
        <v>672.66</v>
      </c>
      <c r="B831" s="344">
        <v>60.0</v>
      </c>
      <c r="C831" s="369"/>
      <c r="D831" s="344" t="str">
        <f t="shared" si="1"/>
        <v>Saturday</v>
      </c>
      <c r="E831" s="344"/>
      <c r="F831" s="370"/>
      <c r="G831" s="370"/>
      <c r="H831" s="357">
        <f t="shared" si="2"/>
        <v>0</v>
      </c>
      <c r="I831" s="346">
        <f t="shared" si="3"/>
        <v>0</v>
      </c>
      <c r="J831" s="312"/>
    </row>
    <row r="832">
      <c r="A832" s="344">
        <v>672.66</v>
      </c>
      <c r="B832" s="344">
        <v>60.0</v>
      </c>
      <c r="C832" s="369"/>
      <c r="D832" s="344" t="str">
        <f t="shared" si="1"/>
        <v>Saturday</v>
      </c>
      <c r="E832" s="344"/>
      <c r="F832" s="370"/>
      <c r="G832" s="370"/>
      <c r="H832" s="357">
        <f t="shared" si="2"/>
        <v>0</v>
      </c>
      <c r="I832" s="346">
        <f t="shared" si="3"/>
        <v>0</v>
      </c>
      <c r="J832" s="312"/>
    </row>
    <row r="833">
      <c r="A833" s="344">
        <v>672.66</v>
      </c>
      <c r="B833" s="344">
        <v>60.0</v>
      </c>
      <c r="C833" s="369"/>
      <c r="D833" s="344" t="str">
        <f t="shared" si="1"/>
        <v>Saturday</v>
      </c>
      <c r="E833" s="344"/>
      <c r="F833" s="370"/>
      <c r="G833" s="370"/>
      <c r="H833" s="357">
        <f t="shared" si="2"/>
        <v>0</v>
      </c>
      <c r="I833" s="346">
        <f t="shared" si="3"/>
        <v>0</v>
      </c>
      <c r="J833" s="312"/>
    </row>
    <row r="834">
      <c r="A834" s="344">
        <v>672.66</v>
      </c>
      <c r="B834" s="344">
        <v>60.0</v>
      </c>
      <c r="C834" s="369"/>
      <c r="D834" s="344" t="str">
        <f t="shared" si="1"/>
        <v>Saturday</v>
      </c>
      <c r="E834" s="344"/>
      <c r="F834" s="370"/>
      <c r="G834" s="370"/>
      <c r="H834" s="357">
        <f t="shared" si="2"/>
        <v>0</v>
      </c>
      <c r="I834" s="346">
        <f t="shared" si="3"/>
        <v>0</v>
      </c>
      <c r="J834" s="312"/>
    </row>
    <row r="835">
      <c r="A835" s="344">
        <v>672.66</v>
      </c>
      <c r="B835" s="344">
        <v>60.0</v>
      </c>
      <c r="C835" s="369"/>
      <c r="D835" s="344" t="str">
        <f t="shared" si="1"/>
        <v>Saturday</v>
      </c>
      <c r="E835" s="344"/>
      <c r="F835" s="370"/>
      <c r="G835" s="370"/>
      <c r="H835" s="357">
        <f t="shared" si="2"/>
        <v>0</v>
      </c>
      <c r="I835" s="346">
        <f t="shared" si="3"/>
        <v>0</v>
      </c>
      <c r="J835" s="312"/>
    </row>
    <row r="836">
      <c r="A836" s="344">
        <v>672.66</v>
      </c>
      <c r="B836" s="344">
        <v>60.0</v>
      </c>
      <c r="C836" s="369"/>
      <c r="D836" s="344" t="str">
        <f t="shared" si="1"/>
        <v>Saturday</v>
      </c>
      <c r="E836" s="344"/>
      <c r="F836" s="370"/>
      <c r="G836" s="370"/>
      <c r="H836" s="357">
        <f t="shared" si="2"/>
        <v>0</v>
      </c>
      <c r="I836" s="346">
        <f t="shared" si="3"/>
        <v>0</v>
      </c>
      <c r="J836" s="312"/>
    </row>
    <row r="837">
      <c r="A837" s="344">
        <v>672.66</v>
      </c>
      <c r="B837" s="344">
        <v>60.0</v>
      </c>
      <c r="C837" s="369"/>
      <c r="D837" s="344" t="str">
        <f t="shared" si="1"/>
        <v>Saturday</v>
      </c>
      <c r="E837" s="344"/>
      <c r="F837" s="370"/>
      <c r="G837" s="370"/>
      <c r="H837" s="357">
        <f t="shared" si="2"/>
        <v>0</v>
      </c>
      <c r="I837" s="346">
        <f t="shared" si="3"/>
        <v>0</v>
      </c>
      <c r="J837" s="312"/>
    </row>
    <row r="838">
      <c r="A838" s="344">
        <v>672.66</v>
      </c>
      <c r="B838" s="344">
        <v>60.0</v>
      </c>
      <c r="C838" s="369"/>
      <c r="D838" s="344" t="str">
        <f t="shared" si="1"/>
        <v>Saturday</v>
      </c>
      <c r="E838" s="344"/>
      <c r="F838" s="370"/>
      <c r="G838" s="370"/>
      <c r="H838" s="357">
        <f t="shared" si="2"/>
        <v>0</v>
      </c>
      <c r="I838" s="346">
        <f t="shared" si="3"/>
        <v>0</v>
      </c>
      <c r="J838" s="312"/>
    </row>
    <row r="839">
      <c r="A839" s="344">
        <v>672.66</v>
      </c>
      <c r="B839" s="344">
        <v>60.0</v>
      </c>
      <c r="C839" s="369"/>
      <c r="D839" s="344" t="str">
        <f t="shared" si="1"/>
        <v>Saturday</v>
      </c>
      <c r="E839" s="344"/>
      <c r="F839" s="370"/>
      <c r="G839" s="370"/>
      <c r="H839" s="357">
        <f t="shared" si="2"/>
        <v>0</v>
      </c>
      <c r="I839" s="346">
        <f t="shared" si="3"/>
        <v>0</v>
      </c>
      <c r="J839" s="312"/>
    </row>
    <row r="840">
      <c r="A840" s="344">
        <v>672.66</v>
      </c>
      <c r="B840" s="344">
        <v>60.0</v>
      </c>
      <c r="C840" s="369"/>
      <c r="D840" s="344" t="str">
        <f t="shared" si="1"/>
        <v>Saturday</v>
      </c>
      <c r="E840" s="344"/>
      <c r="F840" s="370"/>
      <c r="G840" s="370"/>
      <c r="H840" s="357">
        <f t="shared" si="2"/>
        <v>0</v>
      </c>
      <c r="I840" s="346">
        <f t="shared" si="3"/>
        <v>0</v>
      </c>
      <c r="J840" s="312"/>
    </row>
    <row r="841">
      <c r="A841" s="344">
        <v>672.66</v>
      </c>
      <c r="B841" s="344">
        <v>60.0</v>
      </c>
      <c r="C841" s="369"/>
      <c r="D841" s="344" t="str">
        <f t="shared" si="1"/>
        <v>Saturday</v>
      </c>
      <c r="E841" s="344"/>
      <c r="F841" s="370"/>
      <c r="G841" s="370"/>
      <c r="H841" s="357">
        <f t="shared" si="2"/>
        <v>0</v>
      </c>
      <c r="I841" s="346">
        <f t="shared" si="3"/>
        <v>0</v>
      </c>
      <c r="J841" s="312"/>
    </row>
    <row r="842">
      <c r="A842" s="344">
        <v>672.66</v>
      </c>
      <c r="B842" s="344">
        <v>60.0</v>
      </c>
      <c r="C842" s="369"/>
      <c r="D842" s="344" t="str">
        <f t="shared" si="1"/>
        <v>Saturday</v>
      </c>
      <c r="E842" s="344"/>
      <c r="F842" s="370"/>
      <c r="G842" s="370"/>
      <c r="H842" s="357">
        <f t="shared" si="2"/>
        <v>0</v>
      </c>
      <c r="I842" s="346">
        <f t="shared" si="3"/>
        <v>0</v>
      </c>
      <c r="J842" s="312"/>
    </row>
    <row r="843">
      <c r="A843" s="344">
        <v>672.66</v>
      </c>
      <c r="B843" s="344">
        <v>60.0</v>
      </c>
      <c r="C843" s="369"/>
      <c r="D843" s="344" t="str">
        <f t="shared" si="1"/>
        <v>Saturday</v>
      </c>
      <c r="E843" s="344"/>
      <c r="F843" s="370"/>
      <c r="G843" s="370"/>
      <c r="H843" s="357">
        <f t="shared" si="2"/>
        <v>0</v>
      </c>
      <c r="I843" s="346">
        <f t="shared" si="3"/>
        <v>0</v>
      </c>
      <c r="J843" s="312"/>
    </row>
    <row r="844">
      <c r="A844" s="344">
        <v>672.66</v>
      </c>
      <c r="B844" s="344">
        <v>60.0</v>
      </c>
      <c r="C844" s="369"/>
      <c r="D844" s="344" t="str">
        <f t="shared" si="1"/>
        <v>Saturday</v>
      </c>
      <c r="E844" s="344"/>
      <c r="F844" s="370"/>
      <c r="G844" s="370"/>
      <c r="H844" s="357">
        <f t="shared" si="2"/>
        <v>0</v>
      </c>
      <c r="I844" s="346">
        <f t="shared" si="3"/>
        <v>0</v>
      </c>
      <c r="J844" s="312"/>
    </row>
    <row r="845">
      <c r="A845" s="344">
        <v>672.66</v>
      </c>
      <c r="B845" s="344">
        <v>60.0</v>
      </c>
      <c r="C845" s="369"/>
      <c r="D845" s="344" t="str">
        <f t="shared" si="1"/>
        <v>Saturday</v>
      </c>
      <c r="E845" s="344"/>
      <c r="F845" s="370"/>
      <c r="G845" s="370"/>
      <c r="H845" s="357">
        <f t="shared" si="2"/>
        <v>0</v>
      </c>
      <c r="I845" s="346">
        <f t="shared" si="3"/>
        <v>0</v>
      </c>
      <c r="J845" s="312"/>
    </row>
    <row r="846">
      <c r="A846" s="344">
        <v>672.66</v>
      </c>
      <c r="B846" s="344">
        <v>60.0</v>
      </c>
      <c r="C846" s="369"/>
      <c r="D846" s="344" t="str">
        <f t="shared" si="1"/>
        <v>Saturday</v>
      </c>
      <c r="E846" s="344"/>
      <c r="F846" s="370"/>
      <c r="G846" s="370"/>
      <c r="H846" s="357">
        <f t="shared" si="2"/>
        <v>0</v>
      </c>
      <c r="I846" s="346">
        <f t="shared" si="3"/>
        <v>0</v>
      </c>
      <c r="J846" s="312"/>
    </row>
    <row r="847">
      <c r="A847" s="344">
        <v>672.66</v>
      </c>
      <c r="B847" s="344">
        <v>60.0</v>
      </c>
      <c r="C847" s="369"/>
      <c r="D847" s="344" t="str">
        <f t="shared" si="1"/>
        <v>Saturday</v>
      </c>
      <c r="E847" s="344"/>
      <c r="F847" s="370"/>
      <c r="G847" s="370"/>
      <c r="H847" s="357">
        <f t="shared" si="2"/>
        <v>0</v>
      </c>
      <c r="I847" s="346">
        <f t="shared" si="3"/>
        <v>0</v>
      </c>
      <c r="J847" s="312"/>
    </row>
    <row r="848">
      <c r="A848" s="344">
        <v>672.66</v>
      </c>
      <c r="B848" s="344">
        <v>60.0</v>
      </c>
      <c r="C848" s="369"/>
      <c r="D848" s="344" t="str">
        <f t="shared" si="1"/>
        <v>Saturday</v>
      </c>
      <c r="E848" s="344"/>
      <c r="F848" s="370"/>
      <c r="G848" s="370"/>
      <c r="H848" s="357">
        <f t="shared" si="2"/>
        <v>0</v>
      </c>
      <c r="I848" s="346">
        <f t="shared" si="3"/>
        <v>0</v>
      </c>
      <c r="J848" s="312"/>
    </row>
    <row r="849">
      <c r="A849" s="344">
        <v>672.66</v>
      </c>
      <c r="B849" s="344">
        <v>60.0</v>
      </c>
      <c r="C849" s="369"/>
      <c r="D849" s="344" t="str">
        <f t="shared" si="1"/>
        <v>Saturday</v>
      </c>
      <c r="E849" s="344"/>
      <c r="F849" s="370"/>
      <c r="G849" s="370"/>
      <c r="H849" s="357">
        <f t="shared" si="2"/>
        <v>0</v>
      </c>
      <c r="I849" s="346">
        <f t="shared" si="3"/>
        <v>0</v>
      </c>
      <c r="J849" s="312"/>
    </row>
    <row r="850">
      <c r="A850" s="344">
        <v>672.66</v>
      </c>
      <c r="B850" s="344">
        <v>60.0</v>
      </c>
      <c r="C850" s="369"/>
      <c r="D850" s="344" t="str">
        <f t="shared" si="1"/>
        <v>Saturday</v>
      </c>
      <c r="E850" s="344"/>
      <c r="F850" s="370"/>
      <c r="G850" s="370"/>
      <c r="H850" s="357">
        <f t="shared" si="2"/>
        <v>0</v>
      </c>
      <c r="I850" s="346">
        <f t="shared" si="3"/>
        <v>0</v>
      </c>
      <c r="J850" s="312"/>
    </row>
    <row r="851">
      <c r="A851" s="344">
        <v>672.66</v>
      </c>
      <c r="B851" s="344">
        <v>60.0</v>
      </c>
      <c r="C851" s="369"/>
      <c r="D851" s="344" t="str">
        <f t="shared" si="1"/>
        <v>Saturday</v>
      </c>
      <c r="E851" s="344"/>
      <c r="F851" s="370"/>
      <c r="G851" s="370"/>
      <c r="H851" s="357">
        <f t="shared" si="2"/>
        <v>0</v>
      </c>
      <c r="I851" s="346">
        <f t="shared" si="3"/>
        <v>0</v>
      </c>
      <c r="J851" s="312"/>
    </row>
    <row r="852">
      <c r="A852" s="344">
        <v>672.66</v>
      </c>
      <c r="B852" s="344">
        <v>60.0</v>
      </c>
      <c r="C852" s="369"/>
      <c r="D852" s="344" t="str">
        <f t="shared" si="1"/>
        <v>Saturday</v>
      </c>
      <c r="E852" s="344"/>
      <c r="F852" s="370"/>
      <c r="G852" s="370"/>
      <c r="H852" s="357">
        <f t="shared" si="2"/>
        <v>0</v>
      </c>
      <c r="I852" s="346">
        <f t="shared" si="3"/>
        <v>0</v>
      </c>
      <c r="J852" s="312"/>
    </row>
    <row r="853">
      <c r="A853" s="344">
        <v>672.66</v>
      </c>
      <c r="B853" s="344">
        <v>60.0</v>
      </c>
      <c r="C853" s="369"/>
      <c r="D853" s="344" t="str">
        <f t="shared" si="1"/>
        <v>Saturday</v>
      </c>
      <c r="E853" s="344"/>
      <c r="F853" s="370"/>
      <c r="G853" s="370"/>
      <c r="H853" s="357">
        <f t="shared" si="2"/>
        <v>0</v>
      </c>
      <c r="I853" s="346">
        <f t="shared" si="3"/>
        <v>0</v>
      </c>
      <c r="J853" s="312"/>
    </row>
    <row r="854">
      <c r="A854" s="344">
        <v>672.66</v>
      </c>
      <c r="B854" s="344">
        <v>60.0</v>
      </c>
      <c r="C854" s="369"/>
      <c r="D854" s="344" t="str">
        <f t="shared" si="1"/>
        <v>Saturday</v>
      </c>
      <c r="E854" s="344"/>
      <c r="F854" s="370"/>
      <c r="G854" s="370"/>
      <c r="H854" s="357">
        <f t="shared" si="2"/>
        <v>0</v>
      </c>
      <c r="I854" s="346">
        <f t="shared" si="3"/>
        <v>0</v>
      </c>
      <c r="J854" s="312"/>
    </row>
    <row r="855">
      <c r="A855" s="344">
        <v>672.66</v>
      </c>
      <c r="B855" s="344">
        <v>60.0</v>
      </c>
      <c r="C855" s="369"/>
      <c r="D855" s="344" t="str">
        <f t="shared" si="1"/>
        <v>Saturday</v>
      </c>
      <c r="E855" s="344"/>
      <c r="F855" s="370"/>
      <c r="G855" s="370"/>
      <c r="H855" s="357">
        <f t="shared" si="2"/>
        <v>0</v>
      </c>
      <c r="I855" s="346">
        <f t="shared" si="3"/>
        <v>0</v>
      </c>
      <c r="J855" s="312"/>
    </row>
    <row r="856">
      <c r="A856" s="344">
        <v>672.66</v>
      </c>
      <c r="B856" s="344">
        <v>60.0</v>
      </c>
      <c r="C856" s="369"/>
      <c r="D856" s="344" t="str">
        <f t="shared" si="1"/>
        <v>Saturday</v>
      </c>
      <c r="E856" s="344"/>
      <c r="F856" s="370"/>
      <c r="G856" s="370"/>
      <c r="H856" s="357">
        <f t="shared" si="2"/>
        <v>0</v>
      </c>
      <c r="I856" s="346">
        <f t="shared" si="3"/>
        <v>0</v>
      </c>
      <c r="J856" s="312"/>
    </row>
    <row r="857">
      <c r="A857" s="344">
        <v>672.66</v>
      </c>
      <c r="B857" s="344">
        <v>60.0</v>
      </c>
      <c r="C857" s="369"/>
      <c r="D857" s="344" t="str">
        <f t="shared" si="1"/>
        <v>Saturday</v>
      </c>
      <c r="E857" s="344"/>
      <c r="F857" s="370"/>
      <c r="G857" s="370"/>
      <c r="H857" s="357">
        <f t="shared" si="2"/>
        <v>0</v>
      </c>
      <c r="I857" s="346">
        <f t="shared" si="3"/>
        <v>0</v>
      </c>
      <c r="J857" s="312"/>
    </row>
    <row r="858">
      <c r="A858" s="344">
        <v>672.66</v>
      </c>
      <c r="B858" s="344">
        <v>60.0</v>
      </c>
      <c r="C858" s="369"/>
      <c r="D858" s="344" t="str">
        <f t="shared" si="1"/>
        <v>Saturday</v>
      </c>
      <c r="E858" s="344"/>
      <c r="F858" s="370"/>
      <c r="G858" s="370"/>
      <c r="H858" s="357">
        <f t="shared" si="2"/>
        <v>0</v>
      </c>
      <c r="I858" s="346">
        <f t="shared" si="3"/>
        <v>0</v>
      </c>
      <c r="J858" s="312"/>
    </row>
    <row r="859">
      <c r="A859" s="344">
        <v>672.66</v>
      </c>
      <c r="B859" s="344">
        <v>60.0</v>
      </c>
      <c r="C859" s="369"/>
      <c r="D859" s="344" t="str">
        <f t="shared" si="1"/>
        <v>Saturday</v>
      </c>
      <c r="E859" s="344"/>
      <c r="F859" s="370"/>
      <c r="G859" s="370"/>
      <c r="H859" s="357">
        <f t="shared" si="2"/>
        <v>0</v>
      </c>
      <c r="I859" s="346">
        <f t="shared" si="3"/>
        <v>0</v>
      </c>
      <c r="J859" s="312"/>
    </row>
    <row r="860">
      <c r="A860" s="344">
        <v>672.66</v>
      </c>
      <c r="B860" s="344">
        <v>60.0</v>
      </c>
      <c r="C860" s="369"/>
      <c r="D860" s="344" t="str">
        <f t="shared" si="1"/>
        <v>Saturday</v>
      </c>
      <c r="E860" s="344"/>
      <c r="F860" s="370"/>
      <c r="G860" s="370"/>
      <c r="H860" s="357">
        <f t="shared" si="2"/>
        <v>0</v>
      </c>
      <c r="I860" s="346">
        <f t="shared" si="3"/>
        <v>0</v>
      </c>
      <c r="J860" s="312"/>
    </row>
    <row r="861">
      <c r="A861" s="344">
        <v>672.66</v>
      </c>
      <c r="B861" s="344">
        <v>60.0</v>
      </c>
      <c r="C861" s="369"/>
      <c r="D861" s="344" t="str">
        <f t="shared" si="1"/>
        <v>Saturday</v>
      </c>
      <c r="E861" s="344"/>
      <c r="F861" s="370"/>
      <c r="G861" s="370"/>
      <c r="H861" s="357">
        <f t="shared" si="2"/>
        <v>0</v>
      </c>
      <c r="I861" s="346">
        <f t="shared" si="3"/>
        <v>0</v>
      </c>
      <c r="J861" s="312"/>
    </row>
    <row r="862">
      <c r="A862" s="344">
        <v>672.66</v>
      </c>
      <c r="B862" s="344">
        <v>60.0</v>
      </c>
      <c r="C862" s="369"/>
      <c r="D862" s="344" t="str">
        <f t="shared" si="1"/>
        <v>Saturday</v>
      </c>
      <c r="E862" s="344"/>
      <c r="F862" s="370"/>
      <c r="G862" s="370"/>
      <c r="H862" s="357">
        <f t="shared" si="2"/>
        <v>0</v>
      </c>
      <c r="I862" s="346">
        <f t="shared" si="3"/>
        <v>0</v>
      </c>
      <c r="J862" s="312"/>
    </row>
    <row r="863">
      <c r="A863" s="344">
        <v>672.66</v>
      </c>
      <c r="B863" s="344">
        <v>60.0</v>
      </c>
      <c r="C863" s="369"/>
      <c r="D863" s="344" t="str">
        <f t="shared" si="1"/>
        <v>Saturday</v>
      </c>
      <c r="E863" s="344"/>
      <c r="F863" s="370"/>
      <c r="G863" s="370"/>
      <c r="H863" s="357">
        <f t="shared" si="2"/>
        <v>0</v>
      </c>
      <c r="I863" s="346">
        <f t="shared" si="3"/>
        <v>0</v>
      </c>
      <c r="J863" s="312"/>
    </row>
    <row r="864">
      <c r="A864" s="344">
        <v>672.66</v>
      </c>
      <c r="B864" s="344">
        <v>60.0</v>
      </c>
      <c r="C864" s="369"/>
      <c r="D864" s="344" t="str">
        <f t="shared" si="1"/>
        <v>Saturday</v>
      </c>
      <c r="E864" s="344"/>
      <c r="F864" s="370"/>
      <c r="G864" s="370"/>
      <c r="H864" s="357">
        <f t="shared" si="2"/>
        <v>0</v>
      </c>
      <c r="I864" s="346">
        <f t="shared" si="3"/>
        <v>0</v>
      </c>
      <c r="J864" s="312"/>
    </row>
    <row r="865">
      <c r="A865" s="344">
        <v>672.66</v>
      </c>
      <c r="B865" s="344">
        <v>60.0</v>
      </c>
      <c r="C865" s="369"/>
      <c r="D865" s="344" t="str">
        <f t="shared" si="1"/>
        <v>Saturday</v>
      </c>
      <c r="E865" s="344"/>
      <c r="F865" s="370"/>
      <c r="G865" s="370"/>
      <c r="H865" s="357">
        <f t="shared" si="2"/>
        <v>0</v>
      </c>
      <c r="I865" s="346">
        <f t="shared" si="3"/>
        <v>0</v>
      </c>
      <c r="J865" s="312"/>
    </row>
    <row r="866">
      <c r="A866" s="344">
        <v>672.66</v>
      </c>
      <c r="B866" s="344">
        <v>60.0</v>
      </c>
      <c r="C866" s="369"/>
      <c r="D866" s="344" t="str">
        <f t="shared" si="1"/>
        <v>Saturday</v>
      </c>
      <c r="E866" s="344"/>
      <c r="F866" s="370"/>
      <c r="G866" s="370"/>
      <c r="H866" s="357">
        <f t="shared" si="2"/>
        <v>0</v>
      </c>
      <c r="I866" s="346">
        <f t="shared" si="3"/>
        <v>0</v>
      </c>
      <c r="J866" s="312"/>
    </row>
    <row r="867">
      <c r="A867" s="344">
        <v>672.66</v>
      </c>
      <c r="B867" s="344">
        <v>60.0</v>
      </c>
      <c r="C867" s="369"/>
      <c r="D867" s="344" t="str">
        <f t="shared" si="1"/>
        <v>Saturday</v>
      </c>
      <c r="E867" s="344"/>
      <c r="F867" s="370"/>
      <c r="G867" s="370"/>
      <c r="H867" s="357">
        <f t="shared" si="2"/>
        <v>0</v>
      </c>
      <c r="I867" s="346">
        <f t="shared" si="3"/>
        <v>0</v>
      </c>
      <c r="J867" s="312"/>
    </row>
    <row r="868">
      <c r="A868" s="344">
        <v>672.66</v>
      </c>
      <c r="B868" s="344">
        <v>60.0</v>
      </c>
      <c r="C868" s="369"/>
      <c r="D868" s="344" t="str">
        <f t="shared" si="1"/>
        <v>Saturday</v>
      </c>
      <c r="E868" s="344"/>
      <c r="F868" s="370"/>
      <c r="G868" s="370"/>
      <c r="H868" s="357">
        <f t="shared" si="2"/>
        <v>0</v>
      </c>
      <c r="I868" s="346">
        <f t="shared" si="3"/>
        <v>0</v>
      </c>
      <c r="J868" s="312"/>
    </row>
    <row r="869">
      <c r="A869" s="344">
        <v>672.66</v>
      </c>
      <c r="B869" s="344">
        <v>60.0</v>
      </c>
      <c r="C869" s="369"/>
      <c r="D869" s="344" t="str">
        <f t="shared" si="1"/>
        <v>Saturday</v>
      </c>
      <c r="E869" s="344"/>
      <c r="F869" s="370"/>
      <c r="G869" s="370"/>
      <c r="H869" s="357">
        <f t="shared" si="2"/>
        <v>0</v>
      </c>
      <c r="I869" s="346">
        <f t="shared" si="3"/>
        <v>0</v>
      </c>
      <c r="J869" s="312"/>
    </row>
    <row r="870">
      <c r="A870" s="344">
        <v>672.66</v>
      </c>
      <c r="B870" s="344">
        <v>60.0</v>
      </c>
      <c r="C870" s="369"/>
      <c r="D870" s="344" t="str">
        <f t="shared" si="1"/>
        <v>Saturday</v>
      </c>
      <c r="E870" s="344"/>
      <c r="F870" s="370"/>
      <c r="G870" s="370"/>
      <c r="H870" s="357">
        <f t="shared" si="2"/>
        <v>0</v>
      </c>
      <c r="I870" s="346">
        <f t="shared" si="3"/>
        <v>0</v>
      </c>
      <c r="J870" s="312"/>
    </row>
    <row r="871">
      <c r="A871" s="344">
        <v>672.66</v>
      </c>
      <c r="B871" s="344">
        <v>60.0</v>
      </c>
      <c r="C871" s="369"/>
      <c r="D871" s="344" t="str">
        <f t="shared" si="1"/>
        <v>Saturday</v>
      </c>
      <c r="E871" s="344"/>
      <c r="F871" s="370"/>
      <c r="G871" s="370"/>
      <c r="H871" s="357">
        <f t="shared" si="2"/>
        <v>0</v>
      </c>
      <c r="I871" s="346">
        <f t="shared" si="3"/>
        <v>0</v>
      </c>
      <c r="J871" s="312"/>
    </row>
    <row r="872">
      <c r="A872" s="344">
        <v>672.66</v>
      </c>
      <c r="B872" s="344">
        <v>60.0</v>
      </c>
      <c r="C872" s="369"/>
      <c r="D872" s="344" t="str">
        <f t="shared" si="1"/>
        <v>Saturday</v>
      </c>
      <c r="E872" s="344"/>
      <c r="F872" s="370"/>
      <c r="G872" s="370"/>
      <c r="H872" s="357">
        <f t="shared" si="2"/>
        <v>0</v>
      </c>
      <c r="I872" s="346">
        <f t="shared" si="3"/>
        <v>0</v>
      </c>
      <c r="J872" s="312"/>
    </row>
    <row r="873">
      <c r="A873" s="344">
        <v>672.66</v>
      </c>
      <c r="B873" s="344">
        <v>60.0</v>
      </c>
      <c r="C873" s="369"/>
      <c r="D873" s="344" t="str">
        <f t="shared" si="1"/>
        <v>Saturday</v>
      </c>
      <c r="E873" s="344"/>
      <c r="F873" s="370"/>
      <c r="G873" s="370"/>
      <c r="H873" s="357">
        <f t="shared" si="2"/>
        <v>0</v>
      </c>
      <c r="I873" s="346">
        <f t="shared" si="3"/>
        <v>0</v>
      </c>
      <c r="J873" s="312"/>
    </row>
    <row r="874">
      <c r="A874" s="344">
        <v>672.66</v>
      </c>
      <c r="B874" s="344">
        <v>60.0</v>
      </c>
      <c r="C874" s="369"/>
      <c r="D874" s="344" t="str">
        <f t="shared" si="1"/>
        <v>Saturday</v>
      </c>
      <c r="E874" s="344"/>
      <c r="F874" s="370"/>
      <c r="G874" s="370"/>
      <c r="H874" s="357">
        <f t="shared" si="2"/>
        <v>0</v>
      </c>
      <c r="I874" s="346">
        <f t="shared" si="3"/>
        <v>0</v>
      </c>
      <c r="J874" s="312"/>
    </row>
    <row r="875">
      <c r="A875" s="344">
        <v>672.66</v>
      </c>
      <c r="B875" s="344">
        <v>60.0</v>
      </c>
      <c r="C875" s="369"/>
      <c r="D875" s="344" t="str">
        <f t="shared" si="1"/>
        <v>Saturday</v>
      </c>
      <c r="E875" s="344"/>
      <c r="F875" s="370"/>
      <c r="G875" s="370"/>
      <c r="H875" s="357">
        <f t="shared" si="2"/>
        <v>0</v>
      </c>
      <c r="I875" s="346">
        <f t="shared" si="3"/>
        <v>0</v>
      </c>
      <c r="J875" s="312"/>
    </row>
    <row r="876">
      <c r="A876" s="344">
        <v>672.66</v>
      </c>
      <c r="B876" s="344">
        <v>60.0</v>
      </c>
      <c r="C876" s="369"/>
      <c r="D876" s="344" t="str">
        <f t="shared" si="1"/>
        <v>Saturday</v>
      </c>
      <c r="E876" s="344"/>
      <c r="F876" s="370"/>
      <c r="G876" s="370"/>
      <c r="H876" s="357">
        <f t="shared" si="2"/>
        <v>0</v>
      </c>
      <c r="I876" s="346">
        <f t="shared" si="3"/>
        <v>0</v>
      </c>
      <c r="J876" s="312"/>
    </row>
    <row r="877">
      <c r="A877" s="344">
        <v>672.66</v>
      </c>
      <c r="B877" s="344">
        <v>60.0</v>
      </c>
      <c r="C877" s="369"/>
      <c r="D877" s="344" t="str">
        <f t="shared" si="1"/>
        <v>Saturday</v>
      </c>
      <c r="E877" s="344"/>
      <c r="F877" s="370"/>
      <c r="G877" s="370"/>
      <c r="H877" s="357">
        <f t="shared" si="2"/>
        <v>0</v>
      </c>
      <c r="I877" s="346">
        <f t="shared" si="3"/>
        <v>0</v>
      </c>
      <c r="J877" s="312"/>
    </row>
    <row r="878">
      <c r="A878" s="344">
        <v>672.66</v>
      </c>
      <c r="B878" s="344">
        <v>60.0</v>
      </c>
      <c r="C878" s="369"/>
      <c r="D878" s="344" t="str">
        <f t="shared" si="1"/>
        <v>Saturday</v>
      </c>
      <c r="E878" s="344"/>
      <c r="F878" s="370"/>
      <c r="G878" s="370"/>
      <c r="H878" s="357">
        <f t="shared" si="2"/>
        <v>0</v>
      </c>
      <c r="I878" s="346">
        <f t="shared" si="3"/>
        <v>0</v>
      </c>
      <c r="J878" s="312"/>
    </row>
    <row r="879">
      <c r="A879" s="344">
        <v>672.66</v>
      </c>
      <c r="B879" s="344">
        <v>60.0</v>
      </c>
      <c r="C879" s="369"/>
      <c r="D879" s="344" t="str">
        <f t="shared" si="1"/>
        <v>Saturday</v>
      </c>
      <c r="E879" s="344"/>
      <c r="F879" s="370"/>
      <c r="G879" s="370"/>
      <c r="H879" s="357">
        <f t="shared" si="2"/>
        <v>0</v>
      </c>
      <c r="I879" s="346">
        <f t="shared" si="3"/>
        <v>0</v>
      </c>
      <c r="J879" s="312"/>
    </row>
    <row r="880">
      <c r="A880" s="344">
        <v>672.66</v>
      </c>
      <c r="B880" s="344">
        <v>60.0</v>
      </c>
      <c r="C880" s="369"/>
      <c r="D880" s="344" t="str">
        <f t="shared" si="1"/>
        <v>Saturday</v>
      </c>
      <c r="E880" s="344"/>
      <c r="F880" s="370"/>
      <c r="G880" s="370"/>
      <c r="H880" s="357">
        <f t="shared" si="2"/>
        <v>0</v>
      </c>
      <c r="I880" s="346">
        <f t="shared" si="3"/>
        <v>0</v>
      </c>
      <c r="J880" s="312"/>
    </row>
    <row r="881">
      <c r="A881" s="344">
        <v>672.66</v>
      </c>
      <c r="B881" s="344">
        <v>60.0</v>
      </c>
      <c r="C881" s="369"/>
      <c r="D881" s="344" t="str">
        <f t="shared" si="1"/>
        <v>Saturday</v>
      </c>
      <c r="E881" s="344"/>
      <c r="F881" s="370"/>
      <c r="G881" s="370"/>
      <c r="H881" s="357">
        <f t="shared" si="2"/>
        <v>0</v>
      </c>
      <c r="I881" s="346">
        <f t="shared" si="3"/>
        <v>0</v>
      </c>
      <c r="J881" s="312"/>
    </row>
    <row r="882">
      <c r="A882" s="344">
        <v>672.66</v>
      </c>
      <c r="B882" s="344">
        <v>60.0</v>
      </c>
      <c r="C882" s="369"/>
      <c r="D882" s="344" t="str">
        <f t="shared" si="1"/>
        <v>Saturday</v>
      </c>
      <c r="E882" s="344"/>
      <c r="F882" s="370"/>
      <c r="G882" s="370"/>
      <c r="H882" s="357">
        <f t="shared" si="2"/>
        <v>0</v>
      </c>
      <c r="I882" s="346">
        <f t="shared" si="3"/>
        <v>0</v>
      </c>
      <c r="J882" s="312"/>
    </row>
    <row r="883">
      <c r="A883" s="344">
        <v>672.66</v>
      </c>
      <c r="B883" s="344">
        <v>60.0</v>
      </c>
      <c r="C883" s="369"/>
      <c r="D883" s="344" t="str">
        <f t="shared" si="1"/>
        <v>Saturday</v>
      </c>
      <c r="E883" s="344"/>
      <c r="F883" s="370"/>
      <c r="G883" s="370"/>
      <c r="H883" s="357">
        <f t="shared" si="2"/>
        <v>0</v>
      </c>
      <c r="I883" s="346">
        <f t="shared" si="3"/>
        <v>0</v>
      </c>
      <c r="J883" s="312"/>
    </row>
    <row r="884">
      <c r="A884" s="344">
        <v>672.66</v>
      </c>
      <c r="B884" s="344">
        <v>60.0</v>
      </c>
      <c r="C884" s="369"/>
      <c r="D884" s="344" t="str">
        <f t="shared" si="1"/>
        <v>Saturday</v>
      </c>
      <c r="E884" s="344"/>
      <c r="F884" s="370"/>
      <c r="G884" s="370"/>
      <c r="H884" s="357">
        <f t="shared" si="2"/>
        <v>0</v>
      </c>
      <c r="I884" s="346">
        <f t="shared" si="3"/>
        <v>0</v>
      </c>
      <c r="J884" s="312"/>
    </row>
    <row r="885">
      <c r="A885" s="344">
        <v>672.66</v>
      </c>
      <c r="B885" s="344">
        <v>60.0</v>
      </c>
      <c r="C885" s="369"/>
      <c r="D885" s="344" t="str">
        <f t="shared" si="1"/>
        <v>Saturday</v>
      </c>
      <c r="E885" s="344"/>
      <c r="F885" s="370"/>
      <c r="G885" s="370"/>
      <c r="H885" s="357">
        <f t="shared" si="2"/>
        <v>0</v>
      </c>
      <c r="I885" s="346">
        <f t="shared" si="3"/>
        <v>0</v>
      </c>
      <c r="J885" s="312"/>
    </row>
    <row r="886">
      <c r="A886" s="344">
        <v>672.66</v>
      </c>
      <c r="B886" s="344">
        <v>60.0</v>
      </c>
      <c r="C886" s="369"/>
      <c r="D886" s="344" t="str">
        <f t="shared" si="1"/>
        <v>Saturday</v>
      </c>
      <c r="E886" s="344"/>
      <c r="F886" s="370"/>
      <c r="G886" s="370"/>
      <c r="H886" s="357">
        <f t="shared" si="2"/>
        <v>0</v>
      </c>
      <c r="I886" s="346">
        <f t="shared" si="3"/>
        <v>0</v>
      </c>
      <c r="J886" s="312"/>
    </row>
    <row r="887">
      <c r="A887" s="344">
        <v>672.66</v>
      </c>
      <c r="B887" s="344">
        <v>60.0</v>
      </c>
      <c r="C887" s="369"/>
      <c r="D887" s="344" t="str">
        <f t="shared" si="1"/>
        <v>Saturday</v>
      </c>
      <c r="E887" s="344"/>
      <c r="F887" s="370"/>
      <c r="G887" s="370"/>
      <c r="H887" s="357">
        <f t="shared" si="2"/>
        <v>0</v>
      </c>
      <c r="I887" s="346">
        <f t="shared" si="3"/>
        <v>0</v>
      </c>
      <c r="J887" s="312"/>
    </row>
    <row r="888">
      <c r="A888" s="344">
        <v>672.66</v>
      </c>
      <c r="B888" s="344">
        <v>60.0</v>
      </c>
      <c r="C888" s="369"/>
      <c r="D888" s="344" t="str">
        <f t="shared" si="1"/>
        <v>Saturday</v>
      </c>
      <c r="E888" s="344"/>
      <c r="F888" s="370"/>
      <c r="G888" s="370"/>
      <c r="H888" s="357">
        <f t="shared" si="2"/>
        <v>0</v>
      </c>
      <c r="I888" s="346">
        <f t="shared" si="3"/>
        <v>0</v>
      </c>
      <c r="J888" s="312"/>
    </row>
    <row r="889">
      <c r="A889" s="344">
        <v>672.66</v>
      </c>
      <c r="B889" s="344">
        <v>60.0</v>
      </c>
      <c r="C889" s="369"/>
      <c r="D889" s="344" t="str">
        <f t="shared" si="1"/>
        <v>Saturday</v>
      </c>
      <c r="E889" s="344"/>
      <c r="F889" s="370"/>
      <c r="G889" s="370"/>
      <c r="H889" s="357">
        <f t="shared" si="2"/>
        <v>0</v>
      </c>
      <c r="I889" s="346">
        <f t="shared" si="3"/>
        <v>0</v>
      </c>
      <c r="J889" s="312"/>
    </row>
    <row r="890">
      <c r="A890" s="344">
        <v>672.66</v>
      </c>
      <c r="B890" s="344">
        <v>60.0</v>
      </c>
      <c r="C890" s="369"/>
      <c r="D890" s="344" t="str">
        <f t="shared" si="1"/>
        <v>Saturday</v>
      </c>
      <c r="E890" s="344"/>
      <c r="F890" s="370"/>
      <c r="G890" s="370"/>
      <c r="H890" s="357">
        <f t="shared" si="2"/>
        <v>0</v>
      </c>
      <c r="I890" s="346">
        <f t="shared" si="3"/>
        <v>0</v>
      </c>
      <c r="J890" s="312"/>
    </row>
    <row r="891">
      <c r="A891" s="344">
        <v>672.66</v>
      </c>
      <c r="B891" s="344">
        <v>60.0</v>
      </c>
      <c r="C891" s="369"/>
      <c r="D891" s="344" t="str">
        <f t="shared" si="1"/>
        <v>Saturday</v>
      </c>
      <c r="E891" s="344"/>
      <c r="F891" s="370"/>
      <c r="G891" s="370"/>
      <c r="H891" s="357">
        <f t="shared" si="2"/>
        <v>0</v>
      </c>
      <c r="I891" s="346">
        <f t="shared" si="3"/>
        <v>0</v>
      </c>
      <c r="J891" s="312"/>
    </row>
    <row r="892">
      <c r="A892" s="344">
        <v>672.66</v>
      </c>
      <c r="B892" s="344">
        <v>60.0</v>
      </c>
      <c r="C892" s="369"/>
      <c r="D892" s="344" t="str">
        <f t="shared" si="1"/>
        <v>Saturday</v>
      </c>
      <c r="E892" s="344"/>
      <c r="F892" s="370"/>
      <c r="G892" s="370"/>
      <c r="H892" s="357">
        <f t="shared" si="2"/>
        <v>0</v>
      </c>
      <c r="I892" s="346">
        <f t="shared" si="3"/>
        <v>0</v>
      </c>
      <c r="J892" s="312"/>
    </row>
    <row r="893">
      <c r="A893" s="344">
        <v>672.66</v>
      </c>
      <c r="B893" s="344">
        <v>60.0</v>
      </c>
      <c r="C893" s="369"/>
      <c r="D893" s="344" t="str">
        <f t="shared" si="1"/>
        <v>Saturday</v>
      </c>
      <c r="E893" s="344"/>
      <c r="F893" s="370"/>
      <c r="G893" s="370"/>
      <c r="H893" s="357">
        <f t="shared" si="2"/>
        <v>0</v>
      </c>
      <c r="I893" s="346">
        <f t="shared" si="3"/>
        <v>0</v>
      </c>
      <c r="J893" s="312"/>
    </row>
    <row r="894">
      <c r="A894" s="344">
        <v>672.66</v>
      </c>
      <c r="B894" s="344">
        <v>60.0</v>
      </c>
      <c r="C894" s="369"/>
      <c r="D894" s="344" t="str">
        <f t="shared" si="1"/>
        <v>Saturday</v>
      </c>
      <c r="E894" s="344"/>
      <c r="F894" s="370"/>
      <c r="G894" s="370"/>
      <c r="H894" s="357">
        <f t="shared" si="2"/>
        <v>0</v>
      </c>
      <c r="I894" s="346">
        <f t="shared" si="3"/>
        <v>0</v>
      </c>
      <c r="J894" s="312"/>
    </row>
    <row r="895">
      <c r="A895" s="344">
        <v>672.66</v>
      </c>
      <c r="B895" s="344">
        <v>60.0</v>
      </c>
      <c r="C895" s="369"/>
      <c r="D895" s="344" t="str">
        <f t="shared" si="1"/>
        <v>Saturday</v>
      </c>
      <c r="E895" s="344"/>
      <c r="F895" s="370"/>
      <c r="G895" s="370"/>
      <c r="H895" s="357">
        <f t="shared" si="2"/>
        <v>0</v>
      </c>
      <c r="I895" s="346">
        <f t="shared" si="3"/>
        <v>0</v>
      </c>
      <c r="J895" s="312"/>
    </row>
    <row r="896">
      <c r="A896" s="344">
        <v>672.66</v>
      </c>
      <c r="B896" s="344">
        <v>60.0</v>
      </c>
      <c r="C896" s="369"/>
      <c r="D896" s="344" t="str">
        <f t="shared" si="1"/>
        <v>Saturday</v>
      </c>
      <c r="E896" s="344"/>
      <c r="F896" s="370"/>
      <c r="G896" s="370"/>
      <c r="H896" s="357">
        <f t="shared" si="2"/>
        <v>0</v>
      </c>
      <c r="I896" s="346">
        <f t="shared" si="3"/>
        <v>0</v>
      </c>
      <c r="J896" s="312"/>
    </row>
    <row r="897">
      <c r="A897" s="344">
        <v>672.66</v>
      </c>
      <c r="B897" s="344">
        <v>60.0</v>
      </c>
      <c r="C897" s="369"/>
      <c r="D897" s="344" t="str">
        <f t="shared" si="1"/>
        <v>Saturday</v>
      </c>
      <c r="E897" s="344"/>
      <c r="F897" s="370"/>
      <c r="G897" s="370"/>
      <c r="H897" s="357">
        <f t="shared" si="2"/>
        <v>0</v>
      </c>
      <c r="I897" s="346">
        <f t="shared" si="3"/>
        <v>0</v>
      </c>
      <c r="J897" s="312"/>
    </row>
    <row r="898">
      <c r="A898" s="344">
        <v>672.66</v>
      </c>
      <c r="B898" s="344">
        <v>60.0</v>
      </c>
      <c r="C898" s="369"/>
      <c r="D898" s="344" t="str">
        <f t="shared" si="1"/>
        <v>Saturday</v>
      </c>
      <c r="E898" s="344"/>
      <c r="F898" s="370"/>
      <c r="G898" s="370"/>
      <c r="H898" s="357">
        <f t="shared" si="2"/>
        <v>0</v>
      </c>
      <c r="I898" s="346">
        <f t="shared" si="3"/>
        <v>0</v>
      </c>
      <c r="J898" s="312"/>
    </row>
    <row r="899">
      <c r="A899" s="344">
        <v>672.66</v>
      </c>
      <c r="B899" s="344">
        <v>60.0</v>
      </c>
      <c r="C899" s="369"/>
      <c r="D899" s="344" t="str">
        <f t="shared" si="1"/>
        <v>Saturday</v>
      </c>
      <c r="E899" s="344"/>
      <c r="F899" s="370"/>
      <c r="G899" s="370"/>
      <c r="H899" s="357">
        <f t="shared" si="2"/>
        <v>0</v>
      </c>
      <c r="I899" s="346">
        <f t="shared" si="3"/>
        <v>0</v>
      </c>
      <c r="J899" s="312"/>
    </row>
    <row r="900">
      <c r="A900" s="344">
        <v>672.66</v>
      </c>
      <c r="B900" s="344">
        <v>60.0</v>
      </c>
      <c r="C900" s="369"/>
      <c r="D900" s="344" t="str">
        <f t="shared" si="1"/>
        <v>Saturday</v>
      </c>
      <c r="E900" s="344"/>
      <c r="F900" s="370"/>
      <c r="G900" s="370"/>
      <c r="H900" s="357">
        <f t="shared" si="2"/>
        <v>0</v>
      </c>
      <c r="I900" s="346">
        <f t="shared" si="3"/>
        <v>0</v>
      </c>
      <c r="J900" s="312"/>
    </row>
    <row r="901">
      <c r="A901" s="344">
        <v>672.66</v>
      </c>
      <c r="B901" s="344">
        <v>60.0</v>
      </c>
      <c r="C901" s="369"/>
      <c r="D901" s="344" t="str">
        <f t="shared" si="1"/>
        <v>Saturday</v>
      </c>
      <c r="E901" s="344"/>
      <c r="F901" s="370"/>
      <c r="G901" s="370"/>
      <c r="H901" s="357">
        <f t="shared" si="2"/>
        <v>0</v>
      </c>
      <c r="I901" s="346">
        <f t="shared" si="3"/>
        <v>0</v>
      </c>
      <c r="J901" s="312"/>
    </row>
    <row r="902">
      <c r="A902" s="344">
        <v>672.66</v>
      </c>
      <c r="B902" s="344">
        <v>60.0</v>
      </c>
      <c r="C902" s="369"/>
      <c r="D902" s="344" t="str">
        <f t="shared" si="1"/>
        <v>Saturday</v>
      </c>
      <c r="E902" s="344"/>
      <c r="F902" s="370"/>
      <c r="G902" s="370"/>
      <c r="H902" s="357">
        <f t="shared" si="2"/>
        <v>0</v>
      </c>
      <c r="I902" s="346">
        <f t="shared" si="3"/>
        <v>0</v>
      </c>
      <c r="J902" s="312"/>
    </row>
    <row r="903">
      <c r="A903" s="344">
        <v>672.66</v>
      </c>
      <c r="B903" s="344">
        <v>60.0</v>
      </c>
      <c r="C903" s="369"/>
      <c r="D903" s="344" t="str">
        <f t="shared" si="1"/>
        <v>Saturday</v>
      </c>
      <c r="E903" s="344"/>
      <c r="F903" s="370"/>
      <c r="G903" s="370"/>
      <c r="H903" s="357">
        <f t="shared" si="2"/>
        <v>0</v>
      </c>
      <c r="I903" s="346">
        <f t="shared" si="3"/>
        <v>0</v>
      </c>
      <c r="J903" s="312"/>
    </row>
    <row r="904">
      <c r="A904" s="344">
        <v>672.66</v>
      </c>
      <c r="B904" s="344">
        <v>60.0</v>
      </c>
      <c r="C904" s="369"/>
      <c r="D904" s="344" t="str">
        <f t="shared" si="1"/>
        <v>Saturday</v>
      </c>
      <c r="E904" s="344"/>
      <c r="F904" s="370"/>
      <c r="G904" s="370"/>
      <c r="H904" s="357">
        <f t="shared" si="2"/>
        <v>0</v>
      </c>
      <c r="I904" s="346">
        <f t="shared" si="3"/>
        <v>0</v>
      </c>
      <c r="J904" s="312"/>
    </row>
    <row r="905">
      <c r="A905" s="344">
        <v>672.66</v>
      </c>
      <c r="B905" s="344">
        <v>60.0</v>
      </c>
      <c r="C905" s="369"/>
      <c r="D905" s="344" t="str">
        <f t="shared" si="1"/>
        <v>Saturday</v>
      </c>
      <c r="E905" s="344"/>
      <c r="F905" s="370"/>
      <c r="G905" s="370"/>
      <c r="H905" s="357">
        <f t="shared" si="2"/>
        <v>0</v>
      </c>
      <c r="I905" s="346">
        <f t="shared" si="3"/>
        <v>0</v>
      </c>
      <c r="J905" s="312"/>
    </row>
    <row r="906">
      <c r="A906" s="344">
        <v>672.66</v>
      </c>
      <c r="B906" s="344">
        <v>60.0</v>
      </c>
      <c r="C906" s="369"/>
      <c r="D906" s="344" t="str">
        <f t="shared" si="1"/>
        <v>Saturday</v>
      </c>
      <c r="E906" s="344"/>
      <c r="F906" s="370"/>
      <c r="G906" s="370"/>
      <c r="H906" s="357">
        <f t="shared" si="2"/>
        <v>0</v>
      </c>
      <c r="I906" s="346">
        <f t="shared" si="3"/>
        <v>0</v>
      </c>
      <c r="J906" s="312"/>
    </row>
    <row r="907">
      <c r="A907" s="344">
        <v>672.66</v>
      </c>
      <c r="B907" s="344">
        <v>60.0</v>
      </c>
      <c r="C907" s="369"/>
      <c r="D907" s="344" t="str">
        <f t="shared" si="1"/>
        <v>Saturday</v>
      </c>
      <c r="E907" s="344"/>
      <c r="F907" s="370"/>
      <c r="G907" s="370"/>
      <c r="H907" s="357">
        <f t="shared" si="2"/>
        <v>0</v>
      </c>
      <c r="I907" s="346">
        <f t="shared" si="3"/>
        <v>0</v>
      </c>
      <c r="J907" s="312"/>
    </row>
    <row r="908">
      <c r="A908" s="344">
        <v>672.66</v>
      </c>
      <c r="B908" s="344">
        <v>60.0</v>
      </c>
      <c r="C908" s="369"/>
      <c r="D908" s="344" t="str">
        <f t="shared" si="1"/>
        <v>Saturday</v>
      </c>
      <c r="E908" s="344"/>
      <c r="F908" s="370"/>
      <c r="G908" s="370"/>
      <c r="H908" s="357">
        <f t="shared" si="2"/>
        <v>0</v>
      </c>
      <c r="I908" s="346">
        <f t="shared" si="3"/>
        <v>0</v>
      </c>
      <c r="J908" s="312"/>
    </row>
    <row r="909">
      <c r="A909" s="344">
        <v>672.66</v>
      </c>
      <c r="B909" s="344">
        <v>60.0</v>
      </c>
      <c r="C909" s="369"/>
      <c r="D909" s="344" t="str">
        <f t="shared" si="1"/>
        <v>Saturday</v>
      </c>
      <c r="E909" s="344"/>
      <c r="F909" s="370"/>
      <c r="G909" s="370"/>
      <c r="H909" s="357">
        <f t="shared" si="2"/>
        <v>0</v>
      </c>
      <c r="I909" s="346">
        <f t="shared" si="3"/>
        <v>0</v>
      </c>
      <c r="J909" s="312"/>
    </row>
    <row r="910">
      <c r="A910" s="344">
        <v>672.66</v>
      </c>
      <c r="B910" s="344">
        <v>60.0</v>
      </c>
      <c r="C910" s="369"/>
      <c r="D910" s="344" t="str">
        <f t="shared" si="1"/>
        <v>Saturday</v>
      </c>
      <c r="E910" s="344"/>
      <c r="F910" s="370"/>
      <c r="G910" s="370"/>
      <c r="H910" s="357">
        <f t="shared" si="2"/>
        <v>0</v>
      </c>
      <c r="I910" s="346">
        <f t="shared" si="3"/>
        <v>0</v>
      </c>
      <c r="J910" s="312"/>
    </row>
    <row r="911">
      <c r="A911" s="344">
        <v>672.66</v>
      </c>
      <c r="B911" s="344">
        <v>60.0</v>
      </c>
      <c r="C911" s="369"/>
      <c r="D911" s="344" t="str">
        <f t="shared" si="1"/>
        <v>Saturday</v>
      </c>
      <c r="E911" s="344"/>
      <c r="F911" s="370"/>
      <c r="G911" s="370"/>
      <c r="H911" s="357">
        <f t="shared" si="2"/>
        <v>0</v>
      </c>
      <c r="I911" s="346">
        <f t="shared" si="3"/>
        <v>0</v>
      </c>
      <c r="J911" s="312"/>
    </row>
    <row r="912">
      <c r="A912" s="344">
        <v>672.66</v>
      </c>
      <c r="B912" s="344">
        <v>60.0</v>
      </c>
      <c r="C912" s="369"/>
      <c r="D912" s="344" t="str">
        <f t="shared" si="1"/>
        <v>Saturday</v>
      </c>
      <c r="E912" s="344"/>
      <c r="F912" s="370"/>
      <c r="G912" s="370"/>
      <c r="H912" s="357">
        <f t="shared" si="2"/>
        <v>0</v>
      </c>
      <c r="I912" s="346">
        <f t="shared" si="3"/>
        <v>0</v>
      </c>
      <c r="J912" s="312"/>
    </row>
    <row r="913">
      <c r="A913" s="344">
        <v>672.66</v>
      </c>
      <c r="B913" s="344">
        <v>60.0</v>
      </c>
      <c r="C913" s="369"/>
      <c r="D913" s="344" t="str">
        <f t="shared" si="1"/>
        <v>Saturday</v>
      </c>
      <c r="E913" s="344"/>
      <c r="F913" s="370"/>
      <c r="G913" s="370"/>
      <c r="H913" s="357">
        <f t="shared" si="2"/>
        <v>0</v>
      </c>
      <c r="I913" s="346">
        <f t="shared" si="3"/>
        <v>0</v>
      </c>
      <c r="J913" s="312"/>
    </row>
    <row r="914">
      <c r="A914" s="344">
        <v>672.66</v>
      </c>
      <c r="B914" s="344">
        <v>60.0</v>
      </c>
      <c r="C914" s="369"/>
      <c r="D914" s="344" t="str">
        <f t="shared" si="1"/>
        <v>Saturday</v>
      </c>
      <c r="E914" s="344"/>
      <c r="F914" s="370"/>
      <c r="G914" s="370"/>
      <c r="H914" s="357">
        <f t="shared" si="2"/>
        <v>0</v>
      </c>
      <c r="I914" s="346">
        <f t="shared" si="3"/>
        <v>0</v>
      </c>
      <c r="J914" s="312"/>
    </row>
    <row r="915">
      <c r="A915" s="344">
        <v>672.66</v>
      </c>
      <c r="B915" s="344">
        <v>60.0</v>
      </c>
      <c r="C915" s="369"/>
      <c r="D915" s="344" t="str">
        <f t="shared" si="1"/>
        <v>Saturday</v>
      </c>
      <c r="E915" s="344"/>
      <c r="F915" s="370"/>
      <c r="G915" s="370"/>
      <c r="H915" s="357">
        <f t="shared" si="2"/>
        <v>0</v>
      </c>
      <c r="I915" s="346">
        <f t="shared" si="3"/>
        <v>0</v>
      </c>
      <c r="J915" s="312"/>
    </row>
    <row r="916">
      <c r="A916" s="344">
        <v>672.66</v>
      </c>
      <c r="B916" s="344">
        <v>60.0</v>
      </c>
      <c r="C916" s="369"/>
      <c r="D916" s="344" t="str">
        <f t="shared" si="1"/>
        <v>Saturday</v>
      </c>
      <c r="E916" s="344"/>
      <c r="F916" s="370"/>
      <c r="G916" s="370"/>
      <c r="H916" s="357">
        <f t="shared" si="2"/>
        <v>0</v>
      </c>
      <c r="I916" s="346">
        <f t="shared" si="3"/>
        <v>0</v>
      </c>
      <c r="J916" s="312"/>
    </row>
    <row r="917">
      <c r="A917" s="344">
        <v>672.66</v>
      </c>
      <c r="B917" s="344">
        <v>60.0</v>
      </c>
      <c r="C917" s="369"/>
      <c r="D917" s="344" t="str">
        <f t="shared" si="1"/>
        <v>Saturday</v>
      </c>
      <c r="E917" s="344"/>
      <c r="F917" s="370"/>
      <c r="G917" s="370"/>
      <c r="H917" s="357">
        <f t="shared" si="2"/>
        <v>0</v>
      </c>
      <c r="I917" s="346">
        <f t="shared" si="3"/>
        <v>0</v>
      </c>
      <c r="J917" s="312"/>
    </row>
    <row r="918">
      <c r="A918" s="344">
        <v>672.66</v>
      </c>
      <c r="B918" s="344">
        <v>60.0</v>
      </c>
      <c r="C918" s="369"/>
      <c r="D918" s="344" t="str">
        <f t="shared" si="1"/>
        <v>Saturday</v>
      </c>
      <c r="E918" s="344"/>
      <c r="F918" s="370"/>
      <c r="G918" s="370"/>
      <c r="H918" s="357">
        <f t="shared" si="2"/>
        <v>0</v>
      </c>
      <c r="I918" s="346">
        <f t="shared" si="3"/>
        <v>0</v>
      </c>
      <c r="J918" s="312"/>
    </row>
    <row r="919">
      <c r="A919" s="344">
        <v>672.66</v>
      </c>
      <c r="B919" s="344">
        <v>60.0</v>
      </c>
      <c r="C919" s="369"/>
      <c r="D919" s="344" t="str">
        <f t="shared" si="1"/>
        <v>Saturday</v>
      </c>
      <c r="E919" s="344"/>
      <c r="F919" s="370"/>
      <c r="G919" s="370"/>
      <c r="H919" s="357">
        <f t="shared" si="2"/>
        <v>0</v>
      </c>
      <c r="I919" s="346">
        <f t="shared" si="3"/>
        <v>0</v>
      </c>
      <c r="J919" s="312"/>
    </row>
    <row r="920">
      <c r="A920" s="344">
        <v>672.66</v>
      </c>
      <c r="B920" s="344">
        <v>60.0</v>
      </c>
      <c r="C920" s="369"/>
      <c r="D920" s="344" t="str">
        <f t="shared" si="1"/>
        <v>Saturday</v>
      </c>
      <c r="E920" s="344"/>
      <c r="F920" s="370"/>
      <c r="G920" s="370"/>
      <c r="H920" s="357">
        <f t="shared" si="2"/>
        <v>0</v>
      </c>
      <c r="I920" s="346">
        <f t="shared" si="3"/>
        <v>0</v>
      </c>
      <c r="J920" s="312"/>
    </row>
    <row r="921">
      <c r="A921" s="344">
        <v>672.66</v>
      </c>
      <c r="B921" s="344">
        <v>60.0</v>
      </c>
      <c r="C921" s="369"/>
      <c r="D921" s="344" t="str">
        <f t="shared" si="1"/>
        <v>Saturday</v>
      </c>
      <c r="E921" s="344"/>
      <c r="F921" s="370"/>
      <c r="G921" s="370"/>
      <c r="H921" s="357">
        <f t="shared" si="2"/>
        <v>0</v>
      </c>
      <c r="I921" s="346">
        <f t="shared" si="3"/>
        <v>0</v>
      </c>
      <c r="J921" s="312"/>
    </row>
    <row r="922">
      <c r="A922" s="344">
        <v>672.66</v>
      </c>
      <c r="B922" s="344">
        <v>60.0</v>
      </c>
      <c r="C922" s="369"/>
      <c r="D922" s="344" t="str">
        <f t="shared" si="1"/>
        <v>Saturday</v>
      </c>
      <c r="E922" s="344"/>
      <c r="F922" s="370"/>
      <c r="G922" s="370"/>
      <c r="H922" s="357">
        <f t="shared" si="2"/>
        <v>0</v>
      </c>
      <c r="I922" s="346">
        <f t="shared" si="3"/>
        <v>0</v>
      </c>
      <c r="J922" s="312"/>
    </row>
    <row r="923">
      <c r="A923" s="344">
        <v>672.66</v>
      </c>
      <c r="B923" s="344">
        <v>60.0</v>
      </c>
      <c r="C923" s="369"/>
      <c r="D923" s="344" t="str">
        <f t="shared" si="1"/>
        <v>Saturday</v>
      </c>
      <c r="E923" s="344"/>
      <c r="F923" s="370"/>
      <c r="G923" s="370"/>
      <c r="H923" s="357">
        <f t="shared" si="2"/>
        <v>0</v>
      </c>
      <c r="I923" s="346">
        <f t="shared" si="3"/>
        <v>0</v>
      </c>
      <c r="J923" s="312"/>
    </row>
    <row r="924">
      <c r="A924" s="344">
        <v>672.66</v>
      </c>
      <c r="B924" s="344">
        <v>60.0</v>
      </c>
      <c r="C924" s="369"/>
      <c r="D924" s="344" t="str">
        <f t="shared" si="1"/>
        <v>Saturday</v>
      </c>
      <c r="E924" s="344"/>
      <c r="F924" s="370"/>
      <c r="G924" s="370"/>
      <c r="H924" s="357">
        <f t="shared" si="2"/>
        <v>0</v>
      </c>
      <c r="I924" s="346">
        <f t="shared" si="3"/>
        <v>0</v>
      </c>
      <c r="J924" s="312"/>
    </row>
    <row r="925">
      <c r="A925" s="344">
        <v>672.66</v>
      </c>
      <c r="B925" s="344">
        <v>60.0</v>
      </c>
      <c r="C925" s="369"/>
      <c r="D925" s="344" t="str">
        <f t="shared" si="1"/>
        <v>Saturday</v>
      </c>
      <c r="E925" s="344"/>
      <c r="F925" s="370"/>
      <c r="G925" s="370"/>
      <c r="H925" s="357">
        <f t="shared" si="2"/>
        <v>0</v>
      </c>
      <c r="I925" s="346">
        <f t="shared" si="3"/>
        <v>0</v>
      </c>
      <c r="J925" s="312"/>
    </row>
    <row r="926">
      <c r="A926" s="344">
        <v>672.66</v>
      </c>
      <c r="B926" s="344">
        <v>60.0</v>
      </c>
      <c r="C926" s="369"/>
      <c r="D926" s="344" t="str">
        <f t="shared" si="1"/>
        <v>Saturday</v>
      </c>
      <c r="E926" s="344"/>
      <c r="F926" s="370"/>
      <c r="G926" s="370"/>
      <c r="H926" s="357">
        <f t="shared" si="2"/>
        <v>0</v>
      </c>
      <c r="I926" s="346">
        <f t="shared" si="3"/>
        <v>0</v>
      </c>
      <c r="J926" s="312"/>
    </row>
    <row r="927">
      <c r="A927" s="344">
        <v>672.66</v>
      </c>
      <c r="B927" s="344">
        <v>60.0</v>
      </c>
      <c r="C927" s="369"/>
      <c r="D927" s="344" t="str">
        <f t="shared" si="1"/>
        <v>Saturday</v>
      </c>
      <c r="E927" s="344"/>
      <c r="F927" s="370"/>
      <c r="G927" s="370"/>
      <c r="H927" s="357">
        <f t="shared" si="2"/>
        <v>0</v>
      </c>
      <c r="I927" s="346">
        <f t="shared" si="3"/>
        <v>0</v>
      </c>
      <c r="J927" s="312"/>
    </row>
    <row r="928">
      <c r="A928" s="344">
        <v>672.66</v>
      </c>
      <c r="B928" s="344">
        <v>60.0</v>
      </c>
      <c r="C928" s="369"/>
      <c r="D928" s="344" t="str">
        <f t="shared" si="1"/>
        <v>Saturday</v>
      </c>
      <c r="E928" s="344"/>
      <c r="F928" s="370"/>
      <c r="G928" s="370"/>
      <c r="H928" s="357">
        <f t="shared" si="2"/>
        <v>0</v>
      </c>
      <c r="I928" s="346">
        <f t="shared" si="3"/>
        <v>0</v>
      </c>
      <c r="J928" s="312"/>
    </row>
    <row r="929">
      <c r="A929" s="344">
        <v>672.66</v>
      </c>
      <c r="B929" s="344">
        <v>60.0</v>
      </c>
      <c r="C929" s="369"/>
      <c r="D929" s="344" t="str">
        <f t="shared" si="1"/>
        <v>Saturday</v>
      </c>
      <c r="E929" s="344"/>
      <c r="F929" s="370"/>
      <c r="G929" s="370"/>
      <c r="H929" s="357">
        <f t="shared" si="2"/>
        <v>0</v>
      </c>
      <c r="I929" s="346">
        <f t="shared" si="3"/>
        <v>0</v>
      </c>
      <c r="J929" s="312"/>
    </row>
    <row r="930">
      <c r="A930" s="344">
        <v>672.66</v>
      </c>
      <c r="B930" s="344">
        <v>60.0</v>
      </c>
      <c r="C930" s="369"/>
      <c r="D930" s="344" t="str">
        <f t="shared" si="1"/>
        <v>Saturday</v>
      </c>
      <c r="E930" s="344"/>
      <c r="F930" s="370"/>
      <c r="G930" s="370"/>
      <c r="H930" s="357">
        <f t="shared" si="2"/>
        <v>0</v>
      </c>
      <c r="I930" s="346">
        <f t="shared" si="3"/>
        <v>0</v>
      </c>
      <c r="J930" s="312"/>
    </row>
    <row r="931">
      <c r="A931" s="344">
        <v>672.66</v>
      </c>
      <c r="B931" s="344">
        <v>60.0</v>
      </c>
      <c r="C931" s="369"/>
      <c r="D931" s="344" t="str">
        <f t="shared" si="1"/>
        <v>Saturday</v>
      </c>
      <c r="E931" s="344"/>
      <c r="F931" s="370"/>
      <c r="G931" s="370"/>
      <c r="H931" s="357">
        <f t="shared" si="2"/>
        <v>0</v>
      </c>
      <c r="I931" s="346">
        <f t="shared" si="3"/>
        <v>0</v>
      </c>
      <c r="J931" s="312"/>
    </row>
    <row r="932">
      <c r="A932" s="344">
        <v>672.66</v>
      </c>
      <c r="B932" s="344">
        <v>60.0</v>
      </c>
      <c r="C932" s="369"/>
      <c r="D932" s="344" t="str">
        <f t="shared" si="1"/>
        <v>Saturday</v>
      </c>
      <c r="E932" s="344"/>
      <c r="F932" s="370"/>
      <c r="G932" s="370"/>
      <c r="H932" s="357">
        <f t="shared" si="2"/>
        <v>0</v>
      </c>
      <c r="I932" s="346">
        <f t="shared" si="3"/>
        <v>0</v>
      </c>
      <c r="J932" s="312"/>
    </row>
    <row r="933">
      <c r="A933" s="344">
        <v>672.66</v>
      </c>
      <c r="B933" s="344">
        <v>60.0</v>
      </c>
      <c r="C933" s="369"/>
      <c r="D933" s="344" t="str">
        <f t="shared" si="1"/>
        <v>Saturday</v>
      </c>
      <c r="E933" s="344"/>
      <c r="F933" s="370"/>
      <c r="G933" s="370"/>
      <c r="H933" s="357">
        <f t="shared" si="2"/>
        <v>0</v>
      </c>
      <c r="I933" s="346">
        <f t="shared" si="3"/>
        <v>0</v>
      </c>
      <c r="J933" s="312"/>
    </row>
    <row r="934">
      <c r="A934" s="344">
        <v>672.66</v>
      </c>
      <c r="B934" s="344">
        <v>60.0</v>
      </c>
      <c r="C934" s="369"/>
      <c r="D934" s="344" t="str">
        <f t="shared" si="1"/>
        <v>Saturday</v>
      </c>
      <c r="E934" s="344"/>
      <c r="F934" s="370"/>
      <c r="G934" s="370"/>
      <c r="H934" s="357">
        <f t="shared" si="2"/>
        <v>0</v>
      </c>
      <c r="I934" s="346">
        <f t="shared" si="3"/>
        <v>0</v>
      </c>
      <c r="J934" s="312"/>
    </row>
    <row r="935">
      <c r="A935" s="344">
        <v>672.66</v>
      </c>
      <c r="B935" s="344">
        <v>60.0</v>
      </c>
      <c r="C935" s="369"/>
      <c r="D935" s="344" t="str">
        <f t="shared" si="1"/>
        <v>Saturday</v>
      </c>
      <c r="E935" s="344"/>
      <c r="F935" s="370"/>
      <c r="G935" s="370"/>
      <c r="H935" s="357">
        <f t="shared" si="2"/>
        <v>0</v>
      </c>
      <c r="I935" s="346">
        <f t="shared" si="3"/>
        <v>0</v>
      </c>
      <c r="J935" s="312"/>
    </row>
    <row r="936">
      <c r="A936" s="344">
        <v>672.66</v>
      </c>
      <c r="B936" s="344">
        <v>60.0</v>
      </c>
      <c r="C936" s="369"/>
      <c r="D936" s="344" t="str">
        <f t="shared" si="1"/>
        <v>Saturday</v>
      </c>
      <c r="E936" s="344"/>
      <c r="F936" s="370"/>
      <c r="G936" s="370"/>
      <c r="H936" s="357">
        <f t="shared" si="2"/>
        <v>0</v>
      </c>
      <c r="I936" s="346">
        <f t="shared" si="3"/>
        <v>0</v>
      </c>
      <c r="J936" s="312"/>
    </row>
    <row r="937">
      <c r="A937" s="344">
        <v>672.66</v>
      </c>
      <c r="B937" s="344">
        <v>60.0</v>
      </c>
      <c r="C937" s="369"/>
      <c r="D937" s="344" t="str">
        <f t="shared" si="1"/>
        <v>Saturday</v>
      </c>
      <c r="E937" s="344"/>
      <c r="F937" s="370"/>
      <c r="G937" s="370"/>
      <c r="H937" s="357">
        <f t="shared" si="2"/>
        <v>0</v>
      </c>
      <c r="I937" s="346">
        <f t="shared" si="3"/>
        <v>0</v>
      </c>
      <c r="J937" s="312"/>
    </row>
    <row r="938">
      <c r="A938" s="344">
        <v>672.66</v>
      </c>
      <c r="B938" s="344">
        <v>60.0</v>
      </c>
      <c r="C938" s="369"/>
      <c r="D938" s="344" t="str">
        <f t="shared" si="1"/>
        <v>Saturday</v>
      </c>
      <c r="E938" s="344"/>
      <c r="F938" s="370"/>
      <c r="G938" s="370"/>
      <c r="H938" s="357">
        <f t="shared" si="2"/>
        <v>0</v>
      </c>
      <c r="I938" s="346">
        <f t="shared" si="3"/>
        <v>0</v>
      </c>
      <c r="J938" s="312"/>
    </row>
    <row r="939">
      <c r="A939" s="344">
        <v>672.66</v>
      </c>
      <c r="B939" s="344">
        <v>60.0</v>
      </c>
      <c r="C939" s="369"/>
      <c r="D939" s="344" t="str">
        <f t="shared" si="1"/>
        <v>Saturday</v>
      </c>
      <c r="E939" s="344"/>
      <c r="F939" s="370"/>
      <c r="G939" s="370"/>
      <c r="H939" s="357">
        <f t="shared" si="2"/>
        <v>0</v>
      </c>
      <c r="I939" s="346">
        <f t="shared" si="3"/>
        <v>0</v>
      </c>
      <c r="J939" s="312"/>
    </row>
    <row r="940">
      <c r="A940" s="344">
        <v>672.66</v>
      </c>
      <c r="B940" s="344">
        <v>60.0</v>
      </c>
      <c r="C940" s="369"/>
      <c r="D940" s="344" t="str">
        <f t="shared" si="1"/>
        <v>Saturday</v>
      </c>
      <c r="E940" s="344"/>
      <c r="F940" s="370"/>
      <c r="G940" s="370"/>
      <c r="H940" s="357">
        <f t="shared" si="2"/>
        <v>0</v>
      </c>
      <c r="I940" s="346">
        <f t="shared" si="3"/>
        <v>0</v>
      </c>
      <c r="J940" s="312"/>
    </row>
    <row r="941">
      <c r="A941" s="344">
        <v>672.66</v>
      </c>
      <c r="B941" s="344">
        <v>60.0</v>
      </c>
      <c r="C941" s="369"/>
      <c r="D941" s="344" t="str">
        <f t="shared" si="1"/>
        <v>Saturday</v>
      </c>
      <c r="E941" s="344"/>
      <c r="F941" s="370"/>
      <c r="G941" s="370"/>
      <c r="H941" s="357">
        <f t="shared" si="2"/>
        <v>0</v>
      </c>
      <c r="I941" s="346">
        <f t="shared" si="3"/>
        <v>0</v>
      </c>
      <c r="J941" s="312"/>
    </row>
    <row r="942">
      <c r="A942" s="344">
        <v>672.66</v>
      </c>
      <c r="B942" s="344">
        <v>60.0</v>
      </c>
      <c r="C942" s="369"/>
      <c r="D942" s="344" t="str">
        <f t="shared" si="1"/>
        <v>Saturday</v>
      </c>
      <c r="E942" s="344"/>
      <c r="F942" s="370"/>
      <c r="G942" s="370"/>
      <c r="H942" s="357">
        <f t="shared" si="2"/>
        <v>0</v>
      </c>
      <c r="I942" s="346">
        <f t="shared" si="3"/>
        <v>0</v>
      </c>
      <c r="J942" s="312"/>
    </row>
    <row r="943">
      <c r="A943" s="344">
        <v>672.66</v>
      </c>
      <c r="B943" s="344">
        <v>60.0</v>
      </c>
      <c r="C943" s="369"/>
      <c r="D943" s="344" t="str">
        <f t="shared" si="1"/>
        <v>Saturday</v>
      </c>
      <c r="E943" s="344"/>
      <c r="F943" s="370"/>
      <c r="G943" s="370"/>
      <c r="H943" s="357">
        <f t="shared" si="2"/>
        <v>0</v>
      </c>
      <c r="I943" s="346">
        <f t="shared" si="3"/>
        <v>0</v>
      </c>
      <c r="J943" s="312"/>
    </row>
    <row r="944">
      <c r="A944" s="344">
        <v>672.66</v>
      </c>
      <c r="B944" s="344">
        <v>60.0</v>
      </c>
      <c r="C944" s="369"/>
      <c r="D944" s="344" t="str">
        <f t="shared" si="1"/>
        <v>Saturday</v>
      </c>
      <c r="E944" s="344"/>
      <c r="F944" s="370"/>
      <c r="G944" s="370"/>
      <c r="H944" s="357">
        <f t="shared" si="2"/>
        <v>0</v>
      </c>
      <c r="I944" s="346">
        <f t="shared" si="3"/>
        <v>0</v>
      </c>
      <c r="J944" s="312"/>
    </row>
    <row r="945">
      <c r="A945" s="344">
        <v>672.66</v>
      </c>
      <c r="B945" s="344">
        <v>60.0</v>
      </c>
      <c r="C945" s="369"/>
      <c r="D945" s="344" t="str">
        <f t="shared" si="1"/>
        <v>Saturday</v>
      </c>
      <c r="E945" s="344"/>
      <c r="F945" s="370"/>
      <c r="G945" s="370"/>
      <c r="H945" s="357">
        <f t="shared" si="2"/>
        <v>0</v>
      </c>
      <c r="I945" s="346">
        <f t="shared" si="3"/>
        <v>0</v>
      </c>
      <c r="J945" s="312"/>
    </row>
    <row r="946">
      <c r="A946" s="344">
        <v>672.66</v>
      </c>
      <c r="B946" s="344">
        <v>60.0</v>
      </c>
      <c r="C946" s="369"/>
      <c r="D946" s="344" t="str">
        <f t="shared" si="1"/>
        <v>Saturday</v>
      </c>
      <c r="E946" s="344"/>
      <c r="F946" s="370"/>
      <c r="G946" s="370"/>
      <c r="H946" s="357">
        <f t="shared" si="2"/>
        <v>0</v>
      </c>
      <c r="I946" s="346">
        <f t="shared" si="3"/>
        <v>0</v>
      </c>
      <c r="J946" s="312"/>
    </row>
    <row r="947">
      <c r="A947" s="344">
        <v>672.66</v>
      </c>
      <c r="B947" s="344">
        <v>60.0</v>
      </c>
      <c r="C947" s="369"/>
      <c r="D947" s="344" t="str">
        <f t="shared" si="1"/>
        <v>Saturday</v>
      </c>
      <c r="E947" s="344"/>
      <c r="F947" s="370"/>
      <c r="G947" s="370"/>
      <c r="H947" s="357">
        <f t="shared" si="2"/>
        <v>0</v>
      </c>
      <c r="I947" s="346">
        <f t="shared" si="3"/>
        <v>0</v>
      </c>
      <c r="J947" s="312"/>
    </row>
  </sheetData>
  <conditionalFormatting sqref="A1:J947">
    <cfRule type="cellIs" dxfId="5" priority="1" operator="equal">
      <formula>"Jaya"</formula>
    </cfRule>
  </conditionalFormatting>
  <conditionalFormatting sqref="A1:J947">
    <cfRule type="cellIs" dxfId="20" priority="2" operator="equal">
      <formula>"NA"</formula>
    </cfRule>
  </conditionalFormatting>
  <conditionalFormatting sqref="A1:J947">
    <cfRule type="cellIs" dxfId="21" priority="3" operator="equal">
      <formula>0</formula>
    </cfRule>
  </conditionalFormatting>
  <conditionalFormatting sqref="A7:J947">
    <cfRule type="cellIs" dxfId="22" priority="4" operator="equal">
      <formula>"Hafiz Ahmed"</formula>
    </cfRule>
  </conditionalFormatting>
  <dataValidations>
    <dataValidation type="list" allowBlank="1" showErrorMessage="1" sqref="E9:E947">
      <formula1>"Hafiz Ahmed"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5" width="10.5"/>
    <col customWidth="1" min="6" max="6" width="8.0"/>
    <col customWidth="1" min="7" max="7" width="5.25"/>
    <col customWidth="1" min="8" max="8" width="21.0"/>
    <col customWidth="1" min="10" max="10" width="10.63"/>
    <col customWidth="1" min="11" max="11" width="10.75"/>
  </cols>
  <sheetData>
    <row r="2">
      <c r="J2" s="6" t="s">
        <v>653</v>
      </c>
      <c r="K2" s="6" t="s">
        <v>654</v>
      </c>
      <c r="M2" s="6" t="s">
        <v>655</v>
      </c>
    </row>
    <row r="3">
      <c r="G3" s="6" t="s">
        <v>656</v>
      </c>
      <c r="H3" s="6" t="s">
        <v>657</v>
      </c>
      <c r="I3" s="6"/>
      <c r="K3" s="2">
        <f>sum(K4:K17)</f>
        <v>232.2018864</v>
      </c>
      <c r="M3" s="2">
        <f>sum(M4:M17)</f>
        <v>2304300</v>
      </c>
    </row>
    <row r="4">
      <c r="C4" s="160" t="s">
        <v>658</v>
      </c>
      <c r="D4" s="206">
        <v>42381.0</v>
      </c>
      <c r="E4" s="408">
        <f t="shared" ref="E4:E20" si="1">date(year(today()),month(D4),day(D4))</f>
        <v>45669</v>
      </c>
      <c r="F4" s="2" t="str">
        <f t="shared" ref="F4:F20" si="2">text(weekday(E4),"dddd")</f>
        <v>Sunday</v>
      </c>
      <c r="G4" s="2">
        <f t="shared" ref="G4:G20" si="3">datedif(D4,E4,"y")</f>
        <v>9</v>
      </c>
      <c r="H4" s="2" t="str">
        <f t="shared" ref="H4:H20" si="4">DATEDIF(D4, today(), "Y") &amp; " years " &amp; DATEDIF(D4, today(), "YM") &amp; " months " &amp; DATEDIF(D4, today(), "MD") &amp; " days"</f>
        <v>9 years 9 months 27 days</v>
      </c>
      <c r="I4" s="408">
        <f t="shared" ref="I4:I20" si="5">date(year(D4)+16,month(D4),day(D4))</f>
        <v>48225</v>
      </c>
      <c r="J4" s="2">
        <f t="shared" ref="J4:J5" si="6">datedif(today(),I4,"d")</f>
        <v>2256</v>
      </c>
      <c r="K4" s="2">
        <f t="shared" ref="K4:K5" si="7">100000/J4</f>
        <v>44.32624113</v>
      </c>
      <c r="L4" s="2">
        <f t="shared" ref="L4:L5" si="8">J4*K4</f>
        <v>100000</v>
      </c>
      <c r="M4" s="2">
        <f t="shared" ref="M4:M5" si="9">J4*100</f>
        <v>225600</v>
      </c>
    </row>
    <row r="5">
      <c r="C5" s="160" t="s">
        <v>659</v>
      </c>
      <c r="D5" s="206">
        <v>42785.0</v>
      </c>
      <c r="E5" s="408">
        <f t="shared" si="1"/>
        <v>45707</v>
      </c>
      <c r="F5" s="2" t="str">
        <f t="shared" si="2"/>
        <v>Wednesday</v>
      </c>
      <c r="G5" s="2">
        <f t="shared" si="3"/>
        <v>8</v>
      </c>
      <c r="H5" s="2" t="str">
        <f t="shared" si="4"/>
        <v>8 years 8 months 20 days</v>
      </c>
      <c r="I5" s="408">
        <f t="shared" si="5"/>
        <v>48629</v>
      </c>
      <c r="J5" s="2">
        <f t="shared" si="6"/>
        <v>2660</v>
      </c>
      <c r="K5" s="2">
        <f t="shared" si="7"/>
        <v>37.59398496</v>
      </c>
      <c r="L5" s="2">
        <f t="shared" si="8"/>
        <v>100000</v>
      </c>
      <c r="M5" s="2">
        <f t="shared" si="9"/>
        <v>266000</v>
      </c>
    </row>
    <row r="6">
      <c r="C6" s="6" t="s">
        <v>505</v>
      </c>
      <c r="D6" s="206">
        <v>24570.0</v>
      </c>
      <c r="E6" s="408">
        <f t="shared" si="1"/>
        <v>45755</v>
      </c>
      <c r="F6" s="2" t="str">
        <f t="shared" si="2"/>
        <v>Tuesday</v>
      </c>
      <c r="G6" s="2">
        <f t="shared" si="3"/>
        <v>58</v>
      </c>
      <c r="H6" s="2" t="str">
        <f t="shared" si="4"/>
        <v>58 years 7 months 0 days</v>
      </c>
      <c r="I6" s="408">
        <f t="shared" si="5"/>
        <v>30414</v>
      </c>
      <c r="M6" s="2">
        <f t="shared" ref="M6:M8" si="10">J6*100/7</f>
        <v>0</v>
      </c>
    </row>
    <row r="7">
      <c r="C7" s="6" t="s">
        <v>380</v>
      </c>
      <c r="D7" s="206">
        <v>32988.0</v>
      </c>
      <c r="E7" s="408">
        <f t="shared" si="1"/>
        <v>45772</v>
      </c>
      <c r="F7" s="2" t="str">
        <f t="shared" si="2"/>
        <v>Friday</v>
      </c>
      <c r="G7" s="2">
        <f t="shared" si="3"/>
        <v>35</v>
      </c>
      <c r="H7" s="2" t="str">
        <f t="shared" si="4"/>
        <v>35 years 6 months 14 days</v>
      </c>
      <c r="I7" s="408">
        <f t="shared" si="5"/>
        <v>38832</v>
      </c>
      <c r="M7" s="2">
        <f t="shared" si="10"/>
        <v>0</v>
      </c>
    </row>
    <row r="8">
      <c r="C8" s="6" t="s">
        <v>386</v>
      </c>
      <c r="D8" s="206">
        <v>32988.0</v>
      </c>
      <c r="E8" s="408">
        <f t="shared" si="1"/>
        <v>45772</v>
      </c>
      <c r="F8" s="2" t="str">
        <f t="shared" si="2"/>
        <v>Friday</v>
      </c>
      <c r="G8" s="2">
        <f t="shared" si="3"/>
        <v>35</v>
      </c>
      <c r="H8" s="2" t="str">
        <f t="shared" si="4"/>
        <v>35 years 6 months 14 days</v>
      </c>
      <c r="I8" s="408">
        <f t="shared" si="5"/>
        <v>38832</v>
      </c>
      <c r="M8" s="2">
        <f t="shared" si="10"/>
        <v>0</v>
      </c>
    </row>
    <row r="9">
      <c r="C9" s="160" t="s">
        <v>660</v>
      </c>
      <c r="D9" s="206">
        <v>42852.0</v>
      </c>
      <c r="E9" s="408">
        <f t="shared" si="1"/>
        <v>45774</v>
      </c>
      <c r="F9" s="2" t="str">
        <f t="shared" si="2"/>
        <v>Sunday</v>
      </c>
      <c r="G9" s="2">
        <f t="shared" si="3"/>
        <v>8</v>
      </c>
      <c r="H9" s="2" t="str">
        <f t="shared" si="4"/>
        <v>8 years 6 months 12 days</v>
      </c>
      <c r="I9" s="408">
        <f t="shared" si="5"/>
        <v>48696</v>
      </c>
      <c r="J9" s="2">
        <f t="shared" ref="J9:J11" si="11">datedif(today(),I9,"d")</f>
        <v>2727</v>
      </c>
      <c r="K9" s="2">
        <f t="shared" ref="K9:K11" si="12">100000/J9</f>
        <v>36.6703337</v>
      </c>
      <c r="L9" s="2">
        <f t="shared" ref="L9:L11" si="13">J9*K9</f>
        <v>100000</v>
      </c>
      <c r="M9" s="2">
        <f t="shared" ref="M9:M11" si="14">J9*100</f>
        <v>272700</v>
      </c>
      <c r="R9" s="261"/>
      <c r="W9" s="261"/>
    </row>
    <row r="10">
      <c r="C10" s="160" t="s">
        <v>661</v>
      </c>
      <c r="D10" s="206">
        <v>42852.0</v>
      </c>
      <c r="E10" s="408">
        <f t="shared" si="1"/>
        <v>45774</v>
      </c>
      <c r="F10" s="2" t="str">
        <f t="shared" si="2"/>
        <v>Sunday</v>
      </c>
      <c r="G10" s="2">
        <f t="shared" si="3"/>
        <v>8</v>
      </c>
      <c r="H10" s="2" t="str">
        <f t="shared" si="4"/>
        <v>8 years 6 months 12 days</v>
      </c>
      <c r="I10" s="408">
        <f t="shared" si="5"/>
        <v>48696</v>
      </c>
      <c r="J10" s="2">
        <f t="shared" si="11"/>
        <v>2727</v>
      </c>
      <c r="K10" s="2">
        <f t="shared" si="12"/>
        <v>36.6703337</v>
      </c>
      <c r="L10" s="2">
        <f t="shared" si="13"/>
        <v>100000</v>
      </c>
      <c r="M10" s="2">
        <f t="shared" si="14"/>
        <v>272700</v>
      </c>
      <c r="R10" s="261"/>
      <c r="W10" s="261"/>
    </row>
    <row r="11">
      <c r="C11" s="160" t="s">
        <v>662</v>
      </c>
      <c r="D11" s="206">
        <v>44056.0</v>
      </c>
      <c r="E11" s="408">
        <f t="shared" si="1"/>
        <v>45882</v>
      </c>
      <c r="F11" s="2" t="str">
        <f t="shared" si="2"/>
        <v>Wednesday</v>
      </c>
      <c r="G11" s="2">
        <f t="shared" si="3"/>
        <v>5</v>
      </c>
      <c r="H11" s="2" t="str">
        <f t="shared" si="4"/>
        <v>5 years 2 months 26 days</v>
      </c>
      <c r="I11" s="408">
        <f t="shared" si="5"/>
        <v>49900</v>
      </c>
      <c r="J11" s="2">
        <f t="shared" si="11"/>
        <v>3931</v>
      </c>
      <c r="K11" s="2">
        <f t="shared" si="12"/>
        <v>25.43881964</v>
      </c>
      <c r="L11" s="2">
        <f t="shared" si="13"/>
        <v>100000</v>
      </c>
      <c r="M11" s="2">
        <f t="shared" si="14"/>
        <v>393100</v>
      </c>
      <c r="R11" s="261"/>
      <c r="W11" s="261"/>
    </row>
    <row r="12">
      <c r="C12" s="6" t="s">
        <v>125</v>
      </c>
      <c r="D12" s="206">
        <v>32391.0</v>
      </c>
      <c r="E12" s="408">
        <f t="shared" si="1"/>
        <v>45905</v>
      </c>
      <c r="F12" s="2" t="str">
        <f t="shared" si="2"/>
        <v>Friday</v>
      </c>
      <c r="G12" s="2">
        <f t="shared" si="3"/>
        <v>37</v>
      </c>
      <c r="H12" s="2" t="str">
        <f t="shared" si="4"/>
        <v>37 years 2 months 3 days</v>
      </c>
      <c r="I12" s="408">
        <f t="shared" si="5"/>
        <v>38235</v>
      </c>
      <c r="M12" s="2">
        <f t="shared" ref="M12:M14" si="15">J12*100/7</f>
        <v>0</v>
      </c>
      <c r="R12" s="261"/>
      <c r="W12" s="261"/>
    </row>
    <row r="13">
      <c r="C13" s="6" t="s">
        <v>663</v>
      </c>
      <c r="D13" s="206">
        <v>23287.0</v>
      </c>
      <c r="E13" s="408">
        <f t="shared" si="1"/>
        <v>45933</v>
      </c>
      <c r="F13" s="2" t="str">
        <f t="shared" si="2"/>
        <v>Friday</v>
      </c>
      <c r="G13" s="2">
        <f t="shared" si="3"/>
        <v>62</v>
      </c>
      <c r="H13" s="2" t="str">
        <f t="shared" si="4"/>
        <v>62 years 1 months 5 days</v>
      </c>
      <c r="I13" s="408">
        <f t="shared" si="5"/>
        <v>29131</v>
      </c>
      <c r="M13" s="2">
        <f t="shared" si="15"/>
        <v>0</v>
      </c>
      <c r="R13" s="261"/>
      <c r="W13" s="261"/>
    </row>
    <row r="14">
      <c r="C14" s="6" t="s">
        <v>664</v>
      </c>
      <c r="D14" s="206">
        <v>32787.0</v>
      </c>
      <c r="E14" s="408">
        <f t="shared" si="1"/>
        <v>45936</v>
      </c>
      <c r="F14" s="2" t="str">
        <f t="shared" si="2"/>
        <v>Monday</v>
      </c>
      <c r="G14" s="2">
        <f t="shared" si="3"/>
        <v>36</v>
      </c>
      <c r="H14" s="2" t="str">
        <f t="shared" si="4"/>
        <v>36 years 1 months 2 days</v>
      </c>
      <c r="I14" s="408">
        <f t="shared" si="5"/>
        <v>38631</v>
      </c>
      <c r="M14" s="2">
        <f t="shared" si="15"/>
        <v>0</v>
      </c>
      <c r="R14" s="261"/>
      <c r="W14" s="261"/>
    </row>
    <row r="15">
      <c r="C15" s="160" t="s">
        <v>665</v>
      </c>
      <c r="D15" s="206">
        <v>43036.0</v>
      </c>
      <c r="E15" s="408">
        <f t="shared" si="1"/>
        <v>45958</v>
      </c>
      <c r="F15" s="2" t="str">
        <f t="shared" si="2"/>
        <v>Tuesday</v>
      </c>
      <c r="G15" s="2">
        <f t="shared" si="3"/>
        <v>8</v>
      </c>
      <c r="H15" s="2" t="str">
        <f t="shared" si="4"/>
        <v>8 years 0 months 11 days</v>
      </c>
      <c r="I15" s="408">
        <f t="shared" si="5"/>
        <v>48880</v>
      </c>
      <c r="J15" s="2">
        <f>datedif(today(),I15,"d")</f>
        <v>2911</v>
      </c>
      <c r="K15" s="2">
        <f>100000/J15</f>
        <v>34.3524562</v>
      </c>
      <c r="L15" s="2">
        <f>J15*K15</f>
        <v>100000</v>
      </c>
      <c r="M15" s="2">
        <f>J15*100</f>
        <v>291100</v>
      </c>
      <c r="R15" s="261"/>
      <c r="W15" s="261"/>
    </row>
    <row r="16">
      <c r="C16" s="6" t="s">
        <v>666</v>
      </c>
      <c r="D16" s="206">
        <v>31718.0</v>
      </c>
      <c r="E16" s="408">
        <f t="shared" si="1"/>
        <v>45963</v>
      </c>
      <c r="F16" s="2" t="str">
        <f t="shared" si="2"/>
        <v>Sunday</v>
      </c>
      <c r="G16" s="2">
        <f t="shared" si="3"/>
        <v>39</v>
      </c>
      <c r="H16" s="2" t="str">
        <f t="shared" si="4"/>
        <v>39 years 0 months 6 days</v>
      </c>
      <c r="I16" s="408">
        <f t="shared" si="5"/>
        <v>37562</v>
      </c>
      <c r="M16" s="2">
        <f>J16*100/7</f>
        <v>0</v>
      </c>
      <c r="R16" s="261"/>
      <c r="W16" s="261"/>
    </row>
    <row r="17">
      <c r="C17" s="160" t="s">
        <v>667</v>
      </c>
      <c r="D17" s="206">
        <v>45956.0</v>
      </c>
      <c r="E17" s="408">
        <f t="shared" si="1"/>
        <v>45956</v>
      </c>
      <c r="F17" s="2" t="str">
        <f t="shared" si="2"/>
        <v>Sunday</v>
      </c>
      <c r="G17" s="2">
        <f t="shared" si="3"/>
        <v>0</v>
      </c>
      <c r="H17" s="2" t="str">
        <f t="shared" si="4"/>
        <v>0 years 0 months 13 days</v>
      </c>
      <c r="I17" s="408">
        <f t="shared" si="5"/>
        <v>51800</v>
      </c>
      <c r="J17" s="2">
        <f t="shared" ref="J17:J18" si="16">datedif(today(),I17,"d")</f>
        <v>5831</v>
      </c>
      <c r="K17" s="2">
        <f t="shared" ref="K17:K18" si="17">100000/J17</f>
        <v>17.14971703</v>
      </c>
      <c r="L17" s="2">
        <f t="shared" ref="L17:L18" si="18">J17*K17</f>
        <v>100000</v>
      </c>
      <c r="M17" s="2">
        <f t="shared" ref="M17:M18" si="19">J17*100</f>
        <v>583100</v>
      </c>
      <c r="R17" s="261"/>
      <c r="W17" s="261"/>
    </row>
    <row r="18">
      <c r="C18" s="160" t="s">
        <v>668</v>
      </c>
      <c r="D18" s="206">
        <v>44174.0</v>
      </c>
      <c r="E18" s="408">
        <f t="shared" si="1"/>
        <v>46000</v>
      </c>
      <c r="F18" s="2" t="str">
        <f t="shared" si="2"/>
        <v>Tuesday</v>
      </c>
      <c r="G18" s="2">
        <f t="shared" si="3"/>
        <v>5</v>
      </c>
      <c r="H18" s="2" t="str">
        <f t="shared" si="4"/>
        <v>4 years 10 months 30 days</v>
      </c>
      <c r="I18" s="408">
        <f t="shared" si="5"/>
        <v>50018</v>
      </c>
      <c r="J18" s="2">
        <f t="shared" si="16"/>
        <v>4049</v>
      </c>
      <c r="K18" s="2">
        <f t="shared" si="17"/>
        <v>24.69745616</v>
      </c>
      <c r="L18" s="2">
        <f t="shared" si="18"/>
        <v>100000</v>
      </c>
      <c r="M18" s="2">
        <f t="shared" si="19"/>
        <v>404900</v>
      </c>
      <c r="R18" s="261"/>
      <c r="W18" s="261"/>
    </row>
    <row r="19">
      <c r="C19" s="6" t="s">
        <v>669</v>
      </c>
      <c r="D19" s="206">
        <v>35052.0</v>
      </c>
      <c r="E19" s="408">
        <f t="shared" si="1"/>
        <v>46010</v>
      </c>
      <c r="F19" s="2" t="str">
        <f t="shared" si="2"/>
        <v>Friday</v>
      </c>
      <c r="G19" s="2">
        <f t="shared" si="3"/>
        <v>30</v>
      </c>
      <c r="H19" s="2" t="str">
        <f t="shared" si="4"/>
        <v>29 years 10 months 20 days</v>
      </c>
      <c r="I19" s="408">
        <f t="shared" si="5"/>
        <v>40896</v>
      </c>
      <c r="M19" s="2">
        <f t="shared" ref="M19:M20" si="20">J19*100/7</f>
        <v>0</v>
      </c>
      <c r="R19" s="261"/>
      <c r="W19" s="261"/>
    </row>
    <row r="20">
      <c r="C20" s="6" t="s">
        <v>670</v>
      </c>
      <c r="D20" s="206">
        <v>34331.0</v>
      </c>
      <c r="E20" s="408">
        <f t="shared" si="1"/>
        <v>46019</v>
      </c>
      <c r="F20" s="2" t="str">
        <f t="shared" si="2"/>
        <v>Sunday</v>
      </c>
      <c r="G20" s="2">
        <f t="shared" si="3"/>
        <v>32</v>
      </c>
      <c r="H20" s="2" t="str">
        <f t="shared" si="4"/>
        <v>31 years 10 months 11 days</v>
      </c>
      <c r="I20" s="408">
        <f t="shared" si="5"/>
        <v>40175</v>
      </c>
      <c r="M20" s="2">
        <f t="shared" si="20"/>
        <v>0</v>
      </c>
      <c r="R20" s="261"/>
      <c r="W20" s="261"/>
    </row>
    <row r="21">
      <c r="F21" s="304"/>
      <c r="G21" s="304"/>
      <c r="H21" s="304"/>
      <c r="I21" s="304"/>
      <c r="R21" s="261"/>
      <c r="W21" s="261"/>
    </row>
    <row r="22">
      <c r="K22" s="305" t="s">
        <v>671</v>
      </c>
      <c r="R22" s="261"/>
      <c r="W22" s="261"/>
    </row>
    <row r="23">
      <c r="K23" s="6" t="s">
        <v>275</v>
      </c>
      <c r="L23" s="206">
        <v>45221.0</v>
      </c>
      <c r="R23" s="261"/>
      <c r="W23" s="261"/>
    </row>
    <row r="24">
      <c r="K24" s="6" t="s">
        <v>251</v>
      </c>
      <c r="L24" s="206">
        <f>today()</f>
        <v>45969</v>
      </c>
      <c r="R24" s="261"/>
      <c r="W24" s="261"/>
    </row>
    <row r="25">
      <c r="K25" s="6" t="s">
        <v>672</v>
      </c>
      <c r="L25" s="2">
        <f>datedif(L23,L24,"d")</f>
        <v>748</v>
      </c>
      <c r="R25" s="261"/>
      <c r="W25" s="261"/>
    </row>
    <row r="26">
      <c r="K26" s="6" t="s">
        <v>673</v>
      </c>
      <c r="L26" s="6">
        <v>13000.0</v>
      </c>
      <c r="R26" s="261"/>
      <c r="W26" s="261"/>
    </row>
    <row r="27">
      <c r="K27" s="6" t="s">
        <v>674</v>
      </c>
      <c r="L27" s="2">
        <f>L26/L25</f>
        <v>17.37967914</v>
      </c>
      <c r="N27" s="261"/>
      <c r="R27" s="261"/>
      <c r="W27" s="261"/>
    </row>
    <row r="28">
      <c r="K28" s="6" t="s">
        <v>675</v>
      </c>
      <c r="L28" s="2">
        <f>L27/13</f>
        <v>1.336898396</v>
      </c>
      <c r="N28" s="261"/>
      <c r="R28" s="261"/>
      <c r="W28" s="261"/>
    </row>
    <row r="29">
      <c r="K29" s="6" t="s">
        <v>676</v>
      </c>
      <c r="L29" s="304">
        <f>L28*108</f>
        <v>144.3850267</v>
      </c>
      <c r="R29" s="261"/>
      <c r="W29" s="261"/>
    </row>
    <row r="30">
      <c r="R30" s="261"/>
      <c r="W30" s="261"/>
    </row>
    <row r="31">
      <c r="R31" s="261"/>
      <c r="W31" s="261"/>
    </row>
    <row r="32">
      <c r="R32" s="261"/>
      <c r="W32" s="261"/>
    </row>
    <row r="33">
      <c r="R33" s="261"/>
      <c r="W33" s="261"/>
    </row>
    <row r="34">
      <c r="R34" s="261"/>
      <c r="W34" s="261"/>
    </row>
    <row r="35">
      <c r="R35" s="261"/>
      <c r="W35" s="261"/>
    </row>
    <row r="36">
      <c r="R36" s="261"/>
      <c r="W36" s="261"/>
    </row>
    <row r="37">
      <c r="R37" s="261"/>
      <c r="W37" s="261"/>
    </row>
    <row r="38">
      <c r="R38" s="261"/>
      <c r="W38" s="261"/>
    </row>
    <row r="39">
      <c r="R39" s="261"/>
      <c r="W39" s="261"/>
    </row>
    <row r="40">
      <c r="R40" s="261"/>
      <c r="W40" s="261"/>
    </row>
    <row r="41">
      <c r="R41" s="261"/>
      <c r="W41" s="261"/>
    </row>
    <row r="42">
      <c r="R42" s="261"/>
      <c r="W42" s="261"/>
    </row>
    <row r="43">
      <c r="R43" s="261"/>
      <c r="W43" s="261"/>
    </row>
    <row r="44">
      <c r="R44" s="261"/>
      <c r="W44" s="261"/>
    </row>
    <row r="45">
      <c r="R45" s="261"/>
      <c r="W45" s="261"/>
    </row>
    <row r="46">
      <c r="R46" s="261"/>
      <c r="W46" s="261"/>
    </row>
    <row r="47">
      <c r="R47" s="261"/>
      <c r="W47" s="261"/>
    </row>
    <row r="48">
      <c r="R48" s="261"/>
      <c r="W48" s="261"/>
    </row>
    <row r="49">
      <c r="R49" s="261"/>
      <c r="W49" s="261"/>
    </row>
    <row r="50">
      <c r="R50" s="261"/>
      <c r="W50" s="261"/>
    </row>
    <row r="51">
      <c r="R51" s="261"/>
      <c r="W51" s="261"/>
    </row>
    <row r="52">
      <c r="R52" s="261"/>
      <c r="W52" s="261"/>
    </row>
    <row r="53">
      <c r="R53" s="261"/>
      <c r="W53" s="261"/>
    </row>
    <row r="54">
      <c r="R54" s="261"/>
      <c r="W54" s="261"/>
    </row>
    <row r="55">
      <c r="R55" s="261"/>
      <c r="W55" s="261"/>
    </row>
    <row r="56">
      <c r="R56" s="261"/>
      <c r="W56" s="261"/>
    </row>
    <row r="57">
      <c r="R57" s="261"/>
      <c r="W57" s="261"/>
    </row>
    <row r="58">
      <c r="R58" s="261"/>
      <c r="W58" s="261"/>
    </row>
    <row r="59">
      <c r="R59" s="261"/>
      <c r="W59" s="261"/>
    </row>
    <row r="60">
      <c r="R60" s="261"/>
      <c r="W60" s="261"/>
    </row>
    <row r="61">
      <c r="R61" s="261"/>
      <c r="W61" s="261"/>
    </row>
    <row r="62">
      <c r="R62" s="261"/>
      <c r="W62" s="261"/>
    </row>
    <row r="63">
      <c r="R63" s="261"/>
      <c r="W63" s="261"/>
    </row>
    <row r="64">
      <c r="R64" s="261"/>
      <c r="W64" s="261"/>
    </row>
    <row r="65">
      <c r="R65" s="261"/>
      <c r="W65" s="261"/>
    </row>
    <row r="66">
      <c r="R66" s="261"/>
      <c r="W66" s="261"/>
    </row>
    <row r="67">
      <c r="R67" s="261"/>
      <c r="W67" s="261"/>
    </row>
    <row r="68">
      <c r="R68" s="261"/>
      <c r="W68" s="261"/>
    </row>
    <row r="69">
      <c r="R69" s="261"/>
      <c r="W69" s="261"/>
    </row>
    <row r="70">
      <c r="R70" s="261"/>
      <c r="W70" s="261"/>
    </row>
    <row r="71">
      <c r="R71" s="261"/>
      <c r="W71" s="261"/>
    </row>
    <row r="72">
      <c r="R72" s="261"/>
      <c r="W72" s="261"/>
    </row>
    <row r="73">
      <c r="R73" s="261"/>
      <c r="W73" s="261"/>
    </row>
    <row r="74">
      <c r="R74" s="261"/>
      <c r="W74" s="261"/>
    </row>
    <row r="75">
      <c r="R75" s="261"/>
      <c r="W75" s="261"/>
    </row>
    <row r="76">
      <c r="R76" s="261"/>
      <c r="W76" s="261"/>
    </row>
    <row r="77">
      <c r="R77" s="261"/>
      <c r="W77" s="261"/>
    </row>
    <row r="78">
      <c r="R78" s="261"/>
      <c r="W78" s="261"/>
    </row>
    <row r="79">
      <c r="R79" s="261"/>
      <c r="W79" s="261"/>
    </row>
    <row r="80">
      <c r="R80" s="261"/>
      <c r="W80" s="261"/>
    </row>
    <row r="81">
      <c r="R81" s="261"/>
    </row>
    <row r="82">
      <c r="R82" s="261"/>
    </row>
    <row r="83">
      <c r="R83" s="261"/>
    </row>
    <row r="84">
      <c r="R84" s="261"/>
    </row>
    <row r="85">
      <c r="R85" s="261"/>
    </row>
    <row r="86">
      <c r="R86" s="261"/>
    </row>
    <row r="87">
      <c r="R87" s="261"/>
    </row>
    <row r="88">
      <c r="R88" s="261"/>
    </row>
    <row r="89">
      <c r="R89" s="261"/>
    </row>
    <row r="90">
      <c r="R90" s="261"/>
    </row>
    <row r="91">
      <c r="R91" s="261"/>
    </row>
    <row r="92">
      <c r="R92" s="261"/>
    </row>
    <row r="93">
      <c r="R93" s="261"/>
    </row>
    <row r="94">
      <c r="R94" s="261"/>
    </row>
    <row r="95">
      <c r="R95" s="261"/>
    </row>
    <row r="96">
      <c r="R96" s="261"/>
    </row>
    <row r="97">
      <c r="R97" s="26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1" width="13.0"/>
    <col customWidth="1" min="2" max="2" width="7.13"/>
    <col customWidth="1" min="3" max="3" width="17.13"/>
    <col customWidth="1" min="4" max="4" width="7.88"/>
    <col customWidth="1" min="5" max="5" width="5.75"/>
    <col customWidth="1" min="6" max="6" width="9.0"/>
    <col customWidth="1" min="7" max="7" width="7.5"/>
    <col customWidth="1" min="9" max="9" width="16.75"/>
    <col customWidth="1" min="10" max="10" width="10.5"/>
    <col customWidth="1" min="11" max="11" width="7.25"/>
    <col customWidth="1" min="12" max="12" width="17.13"/>
    <col customWidth="1" min="13" max="13" width="37.5"/>
    <col customWidth="1" min="14" max="14" width="10.5"/>
    <col customWidth="1" min="15" max="15" width="13.25"/>
    <col customWidth="1" min="16" max="16" width="27.5"/>
    <col customWidth="1" min="17" max="17" width="27.38"/>
    <col customWidth="1" min="18" max="18" width="16.75"/>
    <col customWidth="1" min="19" max="19" width="14.88"/>
    <col customWidth="1" min="20" max="20" width="12.13"/>
    <col customWidth="1" min="21" max="21" width="11.63"/>
    <col customWidth="1" min="23" max="23" width="10.5"/>
    <col customWidth="1" min="24" max="24" width="11.63"/>
    <col customWidth="1" min="27" max="27" width="14.88"/>
    <col customWidth="1" min="28" max="28" width="6.13"/>
    <col customWidth="1" min="29" max="29" width="6.5"/>
    <col customWidth="1" min="31" max="31" width="14.88"/>
    <col customWidth="1" min="32" max="32" width="8.0"/>
    <col customWidth="1" min="33" max="33" width="8.63"/>
    <col customWidth="1" min="36" max="36" width="9.75"/>
    <col customWidth="1" min="37" max="37" width="6.63"/>
    <col customWidth="1" min="38" max="38" width="10.13"/>
    <col customWidth="1" min="39" max="39" width="14.0"/>
    <col customWidth="1" min="40" max="40" width="10.88"/>
  </cols>
  <sheetData>
    <row r="1">
      <c r="D1" s="304"/>
      <c r="E1" s="304"/>
      <c r="F1" s="304">
        <f>datedif(DATE(year(today()),1,1),DATE(year(today()),12,31),"d")</f>
        <v>364</v>
      </c>
      <c r="G1" s="304"/>
      <c r="M1" s="409" t="s">
        <v>677</v>
      </c>
    </row>
    <row r="2">
      <c r="B2" s="189"/>
      <c r="C2" s="257"/>
      <c r="D2" s="410">
        <f t="shared" ref="D2:G2" si="1">SUM(D4:D14)</f>
        <v>177555</v>
      </c>
      <c r="E2" s="410">
        <f t="shared" si="1"/>
        <v>360</v>
      </c>
      <c r="F2" s="410">
        <f t="shared" si="1"/>
        <v>10955</v>
      </c>
      <c r="G2" s="410">
        <f t="shared" si="1"/>
        <v>131460</v>
      </c>
      <c r="H2" s="191"/>
      <c r="M2" s="259" t="s">
        <v>678</v>
      </c>
      <c r="N2" s="411">
        <f>N5-N4+1</f>
        <v>503</v>
      </c>
      <c r="O2" s="6"/>
    </row>
    <row r="3">
      <c r="B3" s="412" t="s">
        <v>679</v>
      </c>
      <c r="C3" s="413" t="s">
        <v>680</v>
      </c>
      <c r="D3" s="413" t="s">
        <v>681</v>
      </c>
      <c r="E3" s="413" t="s">
        <v>682</v>
      </c>
      <c r="F3" s="413" t="s">
        <v>683</v>
      </c>
      <c r="G3" s="413" t="s">
        <v>684</v>
      </c>
      <c r="H3" s="191"/>
      <c r="I3" s="408">
        <f>today()</f>
        <v>45969</v>
      </c>
      <c r="M3" s="414" t="s">
        <v>685</v>
      </c>
      <c r="N3" s="415">
        <f>ceiling(sumifs(K16:K1013,J16:J1013,"&gt;="&amp;N4,J16:J1013,"&lt;="&amp;N5),1)</f>
        <v>177551</v>
      </c>
    </row>
    <row r="4">
      <c r="B4" s="416">
        <f t="shared" ref="B4:B14" si="2">ceiling(D4/$N$2,1)</f>
        <v>102</v>
      </c>
      <c r="C4" s="300" t="s">
        <v>686</v>
      </c>
      <c r="D4" s="416">
        <f t="shared" ref="D4:D14" si="3">CEILING(sumif(L:L,C4,K:K),1)</f>
        <v>50922</v>
      </c>
      <c r="E4" s="416">
        <f t="shared" ref="E4:E14" si="4">CEILING(D4/$N$2,1)</f>
        <v>102</v>
      </c>
      <c r="F4" s="416">
        <f t="shared" ref="F4:F14" si="5">CEILING(E4*365/12,1)</f>
        <v>3103</v>
      </c>
      <c r="G4" s="416">
        <f t="shared" ref="G4:G14" si="6">F4*12</f>
        <v>37236</v>
      </c>
      <c r="H4" s="191"/>
      <c r="I4" s="332" t="s">
        <v>687</v>
      </c>
      <c r="J4" s="416">
        <f t="shared" ref="J4:J6" si="7">ceiling(sumifs(K:K,R:R,I4),1)</f>
        <v>35728</v>
      </c>
      <c r="K4" s="417"/>
      <c r="L4" s="417"/>
      <c r="M4" s="414" t="s">
        <v>275</v>
      </c>
      <c r="N4" s="418">
        <f>min(J16:J1013)</f>
        <v>45467</v>
      </c>
    </row>
    <row r="5">
      <c r="B5" s="301">
        <f t="shared" si="2"/>
        <v>61</v>
      </c>
      <c r="C5" s="300" t="s">
        <v>688</v>
      </c>
      <c r="D5" s="301">
        <f t="shared" si="3"/>
        <v>30552</v>
      </c>
      <c r="E5" s="301">
        <f t="shared" si="4"/>
        <v>61</v>
      </c>
      <c r="F5" s="301">
        <f t="shared" si="5"/>
        <v>1856</v>
      </c>
      <c r="G5" s="301">
        <f t="shared" si="6"/>
        <v>22272</v>
      </c>
      <c r="H5" s="191"/>
      <c r="I5" s="300" t="s">
        <v>76</v>
      </c>
      <c r="J5" s="301">
        <f t="shared" si="7"/>
        <v>130307</v>
      </c>
      <c r="K5" s="408"/>
      <c r="L5" s="408"/>
      <c r="M5" s="414" t="s">
        <v>689</v>
      </c>
      <c r="N5" s="419">
        <f>today()</f>
        <v>45969</v>
      </c>
      <c r="O5" s="408"/>
      <c r="P5" s="420"/>
    </row>
    <row r="6">
      <c r="B6" s="301">
        <f t="shared" si="2"/>
        <v>40</v>
      </c>
      <c r="C6" s="300" t="s">
        <v>690</v>
      </c>
      <c r="D6" s="301">
        <f t="shared" si="3"/>
        <v>19624</v>
      </c>
      <c r="E6" s="301">
        <f t="shared" si="4"/>
        <v>40</v>
      </c>
      <c r="F6" s="301">
        <f t="shared" si="5"/>
        <v>1217</v>
      </c>
      <c r="G6" s="301">
        <f t="shared" si="6"/>
        <v>14604</v>
      </c>
      <c r="H6" s="191"/>
      <c r="I6" s="300" t="s">
        <v>71</v>
      </c>
      <c r="J6" s="301">
        <f t="shared" si="7"/>
        <v>4218</v>
      </c>
      <c r="K6" s="408"/>
      <c r="L6" s="408"/>
      <c r="M6" s="256" t="s">
        <v>691</v>
      </c>
      <c r="N6" s="189">
        <f>ceiling(N3/N2,1)</f>
        <v>353</v>
      </c>
      <c r="P6" s="420"/>
      <c r="AC6" s="206"/>
      <c r="AG6" s="206"/>
    </row>
    <row r="7">
      <c r="B7" s="301">
        <f t="shared" si="2"/>
        <v>76</v>
      </c>
      <c r="C7" s="300" t="s">
        <v>692</v>
      </c>
      <c r="D7" s="301">
        <f t="shared" si="3"/>
        <v>38061</v>
      </c>
      <c r="E7" s="301">
        <f t="shared" si="4"/>
        <v>76</v>
      </c>
      <c r="F7" s="301">
        <f t="shared" si="5"/>
        <v>2312</v>
      </c>
      <c r="G7" s="301">
        <f t="shared" si="6"/>
        <v>27744</v>
      </c>
      <c r="H7" s="191"/>
      <c r="I7" s="300" t="s">
        <v>259</v>
      </c>
      <c r="J7" s="301">
        <f t="shared" ref="J7:J11" si="8">sumifs(K:K,R:R,I7)</f>
        <v>4399.45</v>
      </c>
      <c r="P7" s="420"/>
    </row>
    <row r="8">
      <c r="B8" s="301">
        <f t="shared" si="2"/>
        <v>12</v>
      </c>
      <c r="C8" s="300" t="s">
        <v>693</v>
      </c>
      <c r="D8" s="301">
        <f t="shared" si="3"/>
        <v>5660</v>
      </c>
      <c r="E8" s="301">
        <f t="shared" si="4"/>
        <v>12</v>
      </c>
      <c r="F8" s="301">
        <f t="shared" si="5"/>
        <v>365</v>
      </c>
      <c r="G8" s="301">
        <f t="shared" si="6"/>
        <v>4380</v>
      </c>
      <c r="H8" s="191"/>
      <c r="I8" s="300" t="s">
        <v>91</v>
      </c>
      <c r="J8" s="301">
        <f t="shared" si="8"/>
        <v>2900</v>
      </c>
      <c r="M8" s="409" t="s">
        <v>694</v>
      </c>
      <c r="P8" s="420"/>
    </row>
    <row r="9">
      <c r="B9" s="301">
        <f t="shared" si="2"/>
        <v>28</v>
      </c>
      <c r="C9" s="300" t="s">
        <v>695</v>
      </c>
      <c r="D9" s="301">
        <f t="shared" si="3"/>
        <v>14019</v>
      </c>
      <c r="E9" s="301">
        <f t="shared" si="4"/>
        <v>28</v>
      </c>
      <c r="F9" s="301">
        <f t="shared" si="5"/>
        <v>852</v>
      </c>
      <c r="G9" s="301">
        <f t="shared" si="6"/>
        <v>10224</v>
      </c>
      <c r="H9" s="191"/>
      <c r="I9" s="301"/>
      <c r="J9" s="301">
        <f t="shared" si="8"/>
        <v>0</v>
      </c>
      <c r="M9" s="259" t="s">
        <v>678</v>
      </c>
      <c r="N9" s="196">
        <f>datedif(N11,N12,"d")</f>
        <v>31</v>
      </c>
      <c r="P9" s="420"/>
    </row>
    <row r="10">
      <c r="B10" s="301">
        <f t="shared" si="2"/>
        <v>8</v>
      </c>
      <c r="C10" s="300" t="s">
        <v>696</v>
      </c>
      <c r="D10" s="301">
        <f t="shared" si="3"/>
        <v>3771</v>
      </c>
      <c r="E10" s="301">
        <f t="shared" si="4"/>
        <v>8</v>
      </c>
      <c r="F10" s="301">
        <f t="shared" si="5"/>
        <v>244</v>
      </c>
      <c r="G10" s="301">
        <f t="shared" si="6"/>
        <v>2928</v>
      </c>
      <c r="H10" s="191"/>
      <c r="I10" s="301"/>
      <c r="J10" s="301">
        <f t="shared" si="8"/>
        <v>0</v>
      </c>
      <c r="M10" s="414" t="s">
        <v>685</v>
      </c>
      <c r="N10" s="415">
        <f>ceiling(sumifs(K16:K1013,J16:J1013,"&gt;="&amp;N11,J16:J1013,"&lt;="&amp;N12),1)</f>
        <v>0</v>
      </c>
      <c r="P10" s="420"/>
    </row>
    <row r="11">
      <c r="B11" s="301">
        <f t="shared" si="2"/>
        <v>5</v>
      </c>
      <c r="C11" s="300" t="s">
        <v>697</v>
      </c>
      <c r="D11" s="301">
        <f t="shared" si="3"/>
        <v>2143</v>
      </c>
      <c r="E11" s="301">
        <f t="shared" si="4"/>
        <v>5</v>
      </c>
      <c r="F11" s="301">
        <f t="shared" si="5"/>
        <v>153</v>
      </c>
      <c r="G11" s="301">
        <f t="shared" si="6"/>
        <v>1836</v>
      </c>
      <c r="H11" s="191"/>
      <c r="I11" s="303"/>
      <c r="J11" s="303">
        <f t="shared" si="8"/>
        <v>0</v>
      </c>
      <c r="M11" s="414" t="s">
        <v>275</v>
      </c>
      <c r="N11" s="421">
        <f>N12-31</f>
        <v>45938</v>
      </c>
      <c r="P11" s="420"/>
    </row>
    <row r="12">
      <c r="B12" s="301">
        <f t="shared" si="2"/>
        <v>8</v>
      </c>
      <c r="C12" s="300" t="s">
        <v>698</v>
      </c>
      <c r="D12" s="301">
        <f t="shared" si="3"/>
        <v>3538</v>
      </c>
      <c r="E12" s="301">
        <f t="shared" si="4"/>
        <v>8</v>
      </c>
      <c r="F12" s="301">
        <f t="shared" si="5"/>
        <v>244</v>
      </c>
      <c r="G12" s="301">
        <f t="shared" si="6"/>
        <v>2928</v>
      </c>
      <c r="H12" s="191"/>
      <c r="M12" s="414" t="s">
        <v>689</v>
      </c>
      <c r="N12" s="419">
        <f>today()</f>
        <v>45969</v>
      </c>
      <c r="O12" s="408"/>
      <c r="P12" s="420"/>
    </row>
    <row r="13">
      <c r="B13" s="301">
        <f t="shared" si="2"/>
        <v>8</v>
      </c>
      <c r="C13" s="300" t="s">
        <v>699</v>
      </c>
      <c r="D13" s="301">
        <f t="shared" si="3"/>
        <v>3698</v>
      </c>
      <c r="E13" s="301">
        <f t="shared" si="4"/>
        <v>8</v>
      </c>
      <c r="F13" s="301">
        <f t="shared" si="5"/>
        <v>244</v>
      </c>
      <c r="G13" s="301">
        <f t="shared" si="6"/>
        <v>2928</v>
      </c>
      <c r="H13" s="191"/>
      <c r="M13" s="256" t="s">
        <v>691</v>
      </c>
      <c r="N13" s="189">
        <f>ceiling(N10/N9,1)</f>
        <v>0</v>
      </c>
      <c r="P13" s="420"/>
    </row>
    <row r="14">
      <c r="B14" s="303">
        <f t="shared" si="2"/>
        <v>12</v>
      </c>
      <c r="C14" s="302" t="s">
        <v>700</v>
      </c>
      <c r="D14" s="303">
        <f t="shared" si="3"/>
        <v>5567</v>
      </c>
      <c r="E14" s="303">
        <f t="shared" si="4"/>
        <v>12</v>
      </c>
      <c r="F14" s="303">
        <f t="shared" si="5"/>
        <v>365</v>
      </c>
      <c r="G14" s="303">
        <f t="shared" si="6"/>
        <v>4380</v>
      </c>
      <c r="H14" s="191"/>
      <c r="P14" s="420"/>
      <c r="AC14" s="2">
        <f>sum(AC16:AC1013)</f>
        <v>2825</v>
      </c>
      <c r="AG14" s="2">
        <f>sum(AG16:AG1013)</f>
        <v>0</v>
      </c>
    </row>
    <row r="15">
      <c r="J15" s="422" t="s">
        <v>129</v>
      </c>
      <c r="K15" s="422" t="s">
        <v>593</v>
      </c>
      <c r="L15" s="422" t="s">
        <v>701</v>
      </c>
      <c r="M15" s="422" t="s">
        <v>702</v>
      </c>
      <c r="N15" s="422" t="s">
        <v>703</v>
      </c>
      <c r="O15" s="422"/>
      <c r="P15" s="423" t="s">
        <v>419</v>
      </c>
      <c r="Q15" s="422" t="s">
        <v>704</v>
      </c>
      <c r="R15" s="379" t="s">
        <v>705</v>
      </c>
      <c r="S15" s="379" t="s">
        <v>706</v>
      </c>
      <c r="T15" s="422" t="s">
        <v>707</v>
      </c>
      <c r="X15" s="6" t="s">
        <v>708</v>
      </c>
      <c r="AA15" s="424" t="str">
        <f t="array" ref="AA15:AA23">UNIQUE(S16:S1013)</f>
        <v/>
      </c>
      <c r="AB15" s="294"/>
      <c r="AC15" s="307" t="s">
        <v>709</v>
      </c>
      <c r="AE15" s="424" t="str">
        <f t="array" ref="AE15:AE23">UNIQUE(S16:S1013)</f>
        <v/>
      </c>
      <c r="AF15" s="294"/>
      <c r="AG15" s="307" t="s">
        <v>710</v>
      </c>
    </row>
    <row r="16">
      <c r="E16" s="2">
        <f t="shared" ref="E16:E608" si="9">DATEDIF(J16,today(),"d")</f>
        <v>502</v>
      </c>
      <c r="F16" s="2">
        <f t="shared" ref="F16:F608" si="10">sum(K16:K1013)</f>
        <v>177550.83</v>
      </c>
      <c r="G16" s="2">
        <f t="shared" ref="G16:G608" si="11">if(E16=0,F16,F16/E16)</f>
        <v>353.6869124</v>
      </c>
      <c r="I16" s="206"/>
      <c r="J16" s="425">
        <v>45467.0</v>
      </c>
      <c r="K16" s="332">
        <v>350.0</v>
      </c>
      <c r="L16" s="332" t="s">
        <v>688</v>
      </c>
      <c r="M16" s="332" t="s">
        <v>711</v>
      </c>
      <c r="N16" s="332">
        <v>375.0</v>
      </c>
      <c r="O16" s="300" t="s">
        <v>712</v>
      </c>
      <c r="P16" s="426" t="s">
        <v>713</v>
      </c>
      <c r="Q16" s="332" t="s">
        <v>714</v>
      </c>
      <c r="R16" s="254" t="s">
        <v>76</v>
      </c>
      <c r="S16" s="301"/>
      <c r="T16" s="301"/>
      <c r="W16" s="360">
        <f t="array" ref="W16:W114">UNIQUE(J16:J1013)</f>
        <v>45467</v>
      </c>
      <c r="X16" s="2">
        <f t="shared" ref="X16:X532" si="12">SUMIFS(K$16:K1013,J$16:J1013,W16)</f>
        <v>1060</v>
      </c>
      <c r="AA16" s="301" t="s">
        <v>645</v>
      </c>
      <c r="AB16" s="300" t="s">
        <v>709</v>
      </c>
      <c r="AC16" s="301">
        <f t="shared" ref="AC16:AC19" si="13">sumifs($K$16:$K1013,$S$16:$S1013,AA16,$T$16:$T1013,AB16)</f>
        <v>1425</v>
      </c>
      <c r="AE16" s="301" t="s">
        <v>645</v>
      </c>
      <c r="AF16" s="300" t="s">
        <v>710</v>
      </c>
      <c r="AG16" s="301">
        <f t="shared" ref="AG16:AG19" si="14">sumifs($K$16:$K1013,$S$16:$S1013,AE16,$T$16:$T1013,AF16)</f>
        <v>0</v>
      </c>
    </row>
    <row r="17">
      <c r="E17" s="2">
        <f t="shared" si="9"/>
        <v>502</v>
      </c>
      <c r="F17" s="2">
        <f t="shared" si="10"/>
        <v>177200.83</v>
      </c>
      <c r="G17" s="2">
        <f t="shared" si="11"/>
        <v>352.9897012</v>
      </c>
      <c r="I17" s="206"/>
      <c r="J17" s="427">
        <v>45467.0</v>
      </c>
      <c r="K17" s="300">
        <v>120.0</v>
      </c>
      <c r="L17" s="300" t="s">
        <v>686</v>
      </c>
      <c r="M17" s="300" t="s">
        <v>715</v>
      </c>
      <c r="N17" s="300">
        <v>1.0</v>
      </c>
      <c r="O17" s="300" t="s">
        <v>716</v>
      </c>
      <c r="P17" s="428" t="s">
        <v>717</v>
      </c>
      <c r="Q17" s="300" t="s">
        <v>718</v>
      </c>
      <c r="R17" s="193" t="s">
        <v>76</v>
      </c>
      <c r="S17" s="301"/>
      <c r="T17" s="301"/>
      <c r="W17" s="360">
        <v>45468.0</v>
      </c>
      <c r="X17" s="2">
        <f t="shared" si="12"/>
        <v>964</v>
      </c>
      <c r="AA17" s="429" t="s">
        <v>719</v>
      </c>
      <c r="AB17" s="300" t="s">
        <v>709</v>
      </c>
      <c r="AC17" s="301">
        <f t="shared" si="13"/>
        <v>420</v>
      </c>
      <c r="AE17" s="429" t="s">
        <v>719</v>
      </c>
      <c r="AF17" s="300" t="s">
        <v>710</v>
      </c>
      <c r="AG17" s="301">
        <f t="shared" si="14"/>
        <v>0</v>
      </c>
    </row>
    <row r="18">
      <c r="E18" s="2">
        <f t="shared" si="9"/>
        <v>502</v>
      </c>
      <c r="F18" s="2">
        <f t="shared" si="10"/>
        <v>177080.83</v>
      </c>
      <c r="G18" s="2">
        <f t="shared" si="11"/>
        <v>352.7506574</v>
      </c>
      <c r="I18" s="206"/>
      <c r="J18" s="427">
        <v>45467.0</v>
      </c>
      <c r="K18" s="300">
        <v>120.0</v>
      </c>
      <c r="L18" s="300" t="s">
        <v>686</v>
      </c>
      <c r="M18" s="300" t="s">
        <v>720</v>
      </c>
      <c r="N18" s="300">
        <v>1.0</v>
      </c>
      <c r="O18" s="300" t="s">
        <v>716</v>
      </c>
      <c r="P18" s="428" t="s">
        <v>721</v>
      </c>
      <c r="Q18" s="300" t="s">
        <v>718</v>
      </c>
      <c r="R18" s="193" t="s">
        <v>76</v>
      </c>
      <c r="S18" s="301"/>
      <c r="T18" s="301"/>
      <c r="W18" s="360">
        <v>45469.0</v>
      </c>
      <c r="X18" s="2">
        <f t="shared" si="12"/>
        <v>267.5</v>
      </c>
      <c r="AA18" s="428" t="s">
        <v>722</v>
      </c>
      <c r="AB18" s="300" t="s">
        <v>709</v>
      </c>
      <c r="AC18" s="301">
        <f t="shared" si="13"/>
        <v>520</v>
      </c>
      <c r="AE18" s="428" t="s">
        <v>722</v>
      </c>
      <c r="AF18" s="300" t="s">
        <v>710</v>
      </c>
      <c r="AG18" s="301">
        <f t="shared" si="14"/>
        <v>0</v>
      </c>
    </row>
    <row r="19">
      <c r="E19" s="2">
        <f t="shared" si="9"/>
        <v>502</v>
      </c>
      <c r="F19" s="2">
        <f t="shared" si="10"/>
        <v>176960.83</v>
      </c>
      <c r="G19" s="2">
        <f t="shared" si="11"/>
        <v>352.5116135</v>
      </c>
      <c r="I19" s="206"/>
      <c r="J19" s="427">
        <v>45467.0</v>
      </c>
      <c r="K19" s="300">
        <v>350.0</v>
      </c>
      <c r="L19" s="300" t="s">
        <v>688</v>
      </c>
      <c r="M19" s="300" t="s">
        <v>711</v>
      </c>
      <c r="N19" s="300">
        <v>375.0</v>
      </c>
      <c r="O19" s="300" t="s">
        <v>712</v>
      </c>
      <c r="P19" s="428" t="s">
        <v>713</v>
      </c>
      <c r="Q19" s="300" t="s">
        <v>714</v>
      </c>
      <c r="R19" s="193" t="s">
        <v>76</v>
      </c>
      <c r="S19" s="301"/>
      <c r="T19" s="301"/>
      <c r="W19" s="360">
        <v>45470.0</v>
      </c>
      <c r="X19" s="2">
        <f t="shared" si="12"/>
        <v>225</v>
      </c>
      <c r="AA19" s="301" t="s">
        <v>378</v>
      </c>
      <c r="AB19" s="300" t="s">
        <v>709</v>
      </c>
      <c r="AC19" s="301">
        <f t="shared" si="13"/>
        <v>460</v>
      </c>
      <c r="AE19" s="301" t="s">
        <v>378</v>
      </c>
      <c r="AF19" s="300" t="s">
        <v>710</v>
      </c>
      <c r="AG19" s="301">
        <f t="shared" si="14"/>
        <v>0</v>
      </c>
    </row>
    <row r="20">
      <c r="E20" s="2">
        <f t="shared" si="9"/>
        <v>502</v>
      </c>
      <c r="F20" s="2">
        <f t="shared" si="10"/>
        <v>176610.83</v>
      </c>
      <c r="G20" s="2">
        <f t="shared" si="11"/>
        <v>351.8144024</v>
      </c>
      <c r="I20" s="206"/>
      <c r="J20" s="430">
        <v>45467.0</v>
      </c>
      <c r="K20" s="302">
        <v>120.0</v>
      </c>
      <c r="L20" s="302" t="s">
        <v>690</v>
      </c>
      <c r="M20" s="302" t="s">
        <v>723</v>
      </c>
      <c r="N20" s="302">
        <v>10.0</v>
      </c>
      <c r="O20" s="300" t="s">
        <v>716</v>
      </c>
      <c r="P20" s="431" t="s">
        <v>717</v>
      </c>
      <c r="Q20" s="302" t="s">
        <v>714</v>
      </c>
      <c r="R20" s="411" t="s">
        <v>76</v>
      </c>
      <c r="S20" s="301"/>
      <c r="T20" s="301"/>
      <c r="W20" s="360">
        <v>45471.0</v>
      </c>
      <c r="X20" s="2">
        <f t="shared" si="12"/>
        <v>783.61</v>
      </c>
      <c r="AA20" s="301" t="s">
        <v>337</v>
      </c>
      <c r="AB20" s="300"/>
      <c r="AC20" s="301"/>
      <c r="AE20" s="301" t="s">
        <v>337</v>
      </c>
      <c r="AF20" s="300"/>
      <c r="AG20" s="301"/>
    </row>
    <row r="21">
      <c r="E21" s="2">
        <f t="shared" si="9"/>
        <v>501</v>
      </c>
      <c r="F21" s="2">
        <f t="shared" si="10"/>
        <v>176490.83</v>
      </c>
      <c r="G21" s="2">
        <f t="shared" si="11"/>
        <v>352.2771058</v>
      </c>
      <c r="I21" s="206"/>
      <c r="J21" s="425">
        <v>45468.0</v>
      </c>
      <c r="K21" s="332">
        <v>26.0</v>
      </c>
      <c r="L21" s="332" t="s">
        <v>690</v>
      </c>
      <c r="M21" s="332" t="s">
        <v>723</v>
      </c>
      <c r="N21" s="300">
        <v>2.0</v>
      </c>
      <c r="O21" s="300" t="s">
        <v>716</v>
      </c>
      <c r="P21" s="426" t="s">
        <v>717</v>
      </c>
      <c r="Q21" s="300" t="s">
        <v>724</v>
      </c>
      <c r="R21" s="193" t="s">
        <v>687</v>
      </c>
      <c r="S21" s="301"/>
      <c r="T21" s="301"/>
      <c r="W21" s="360">
        <v>45472.0</v>
      </c>
      <c r="X21" s="2">
        <f t="shared" si="12"/>
        <v>1445</v>
      </c>
      <c r="AA21" s="429" t="s">
        <v>386</v>
      </c>
      <c r="AB21" s="300"/>
      <c r="AC21" s="301"/>
      <c r="AE21" s="429" t="s">
        <v>386</v>
      </c>
      <c r="AF21" s="300"/>
      <c r="AG21" s="301"/>
    </row>
    <row r="22">
      <c r="E22" s="2">
        <f t="shared" si="9"/>
        <v>501</v>
      </c>
      <c r="F22" s="2">
        <f t="shared" si="10"/>
        <v>176464.83</v>
      </c>
      <c r="G22" s="2">
        <f t="shared" si="11"/>
        <v>352.2252096</v>
      </c>
      <c r="I22" s="206"/>
      <c r="J22" s="427">
        <v>45468.0</v>
      </c>
      <c r="K22" s="300">
        <v>20.0</v>
      </c>
      <c r="L22" s="300" t="s">
        <v>686</v>
      </c>
      <c r="M22" s="300" t="s">
        <v>725</v>
      </c>
      <c r="N22" s="300">
        <v>2.0</v>
      </c>
      <c r="O22" s="300" t="s">
        <v>716</v>
      </c>
      <c r="P22" s="428" t="s">
        <v>717</v>
      </c>
      <c r="Q22" s="300" t="s">
        <v>724</v>
      </c>
      <c r="R22" s="193" t="s">
        <v>76</v>
      </c>
      <c r="S22" s="301"/>
      <c r="T22" s="301"/>
      <c r="W22" s="360">
        <v>45473.0</v>
      </c>
      <c r="X22" s="2">
        <f t="shared" si="12"/>
        <v>4993.98</v>
      </c>
      <c r="AA22" s="428" t="s">
        <v>380</v>
      </c>
      <c r="AB22" s="300"/>
      <c r="AC22" s="301"/>
      <c r="AE22" s="428" t="s">
        <v>380</v>
      </c>
      <c r="AF22" s="300"/>
      <c r="AG22" s="301"/>
    </row>
    <row r="23">
      <c r="E23" s="2">
        <f t="shared" si="9"/>
        <v>501</v>
      </c>
      <c r="F23" s="2">
        <f t="shared" si="10"/>
        <v>176444.83</v>
      </c>
      <c r="G23" s="2">
        <f t="shared" si="11"/>
        <v>352.1852894</v>
      </c>
      <c r="I23" s="206"/>
      <c r="J23" s="427">
        <v>45468.0</v>
      </c>
      <c r="K23" s="300">
        <v>656.0</v>
      </c>
      <c r="L23" s="300" t="s">
        <v>695</v>
      </c>
      <c r="M23" s="300" t="s">
        <v>726</v>
      </c>
      <c r="N23" s="300">
        <v>2.0</v>
      </c>
      <c r="O23" s="300" t="s">
        <v>716</v>
      </c>
      <c r="P23" s="428" t="s">
        <v>727</v>
      </c>
      <c r="Q23" s="300" t="s">
        <v>728</v>
      </c>
      <c r="R23" s="193" t="s">
        <v>687</v>
      </c>
      <c r="S23" s="301"/>
      <c r="T23" s="301"/>
      <c r="W23" s="360">
        <v>45474.0</v>
      </c>
      <c r="X23" s="2">
        <f t="shared" si="12"/>
        <v>128</v>
      </c>
      <c r="AA23" s="301" t="s">
        <v>505</v>
      </c>
      <c r="AB23" s="301"/>
      <c r="AC23" s="301"/>
      <c r="AE23" s="301" t="s">
        <v>505</v>
      </c>
      <c r="AF23" s="301"/>
      <c r="AG23" s="301"/>
    </row>
    <row r="24">
      <c r="E24" s="2">
        <f t="shared" si="9"/>
        <v>501</v>
      </c>
      <c r="F24" s="2">
        <f t="shared" si="10"/>
        <v>175788.83</v>
      </c>
      <c r="G24" s="2">
        <f t="shared" si="11"/>
        <v>350.8759082</v>
      </c>
      <c r="I24" s="206"/>
      <c r="J24" s="427">
        <v>45468.0</v>
      </c>
      <c r="K24" s="300">
        <v>65.0</v>
      </c>
      <c r="L24" s="300" t="s">
        <v>686</v>
      </c>
      <c r="M24" s="300" t="s">
        <v>729</v>
      </c>
      <c r="N24" s="300">
        <v>1.0</v>
      </c>
      <c r="O24" s="300" t="s">
        <v>716</v>
      </c>
      <c r="P24" s="428" t="s">
        <v>717</v>
      </c>
      <c r="Q24" s="300" t="s">
        <v>730</v>
      </c>
      <c r="R24" s="193" t="s">
        <v>687</v>
      </c>
      <c r="S24" s="301"/>
      <c r="T24" s="301"/>
      <c r="W24" s="360">
        <v>45475.0</v>
      </c>
      <c r="X24" s="2">
        <f t="shared" si="12"/>
        <v>817</v>
      </c>
      <c r="AA24" s="301"/>
      <c r="AB24" s="301"/>
      <c r="AC24" s="301"/>
      <c r="AE24" s="301"/>
      <c r="AF24" s="301"/>
      <c r="AG24" s="301"/>
    </row>
    <row r="25">
      <c r="E25" s="2">
        <f t="shared" si="9"/>
        <v>501</v>
      </c>
      <c r="F25" s="2">
        <f t="shared" si="10"/>
        <v>175723.83</v>
      </c>
      <c r="G25" s="2">
        <f t="shared" si="11"/>
        <v>350.7461677</v>
      </c>
      <c r="I25" s="206"/>
      <c r="J25" s="427">
        <v>45468.0</v>
      </c>
      <c r="K25" s="300">
        <v>45.0</v>
      </c>
      <c r="L25" s="300" t="s">
        <v>686</v>
      </c>
      <c r="M25" s="300" t="s">
        <v>731</v>
      </c>
      <c r="N25" s="300">
        <v>6.0</v>
      </c>
      <c r="O25" s="300" t="s">
        <v>716</v>
      </c>
      <c r="P25" s="428" t="s">
        <v>717</v>
      </c>
      <c r="Q25" s="300" t="s">
        <v>730</v>
      </c>
      <c r="R25" s="193" t="s">
        <v>687</v>
      </c>
      <c r="S25" s="301"/>
      <c r="T25" s="301"/>
      <c r="W25" s="360">
        <v>45476.0</v>
      </c>
      <c r="X25" s="2">
        <f t="shared" si="12"/>
        <v>306</v>
      </c>
      <c r="AA25" s="301"/>
      <c r="AB25" s="301"/>
      <c r="AC25" s="301"/>
      <c r="AE25" s="301"/>
      <c r="AF25" s="301"/>
      <c r="AG25" s="301"/>
    </row>
    <row r="26">
      <c r="E26" s="2">
        <f t="shared" si="9"/>
        <v>501</v>
      </c>
      <c r="F26" s="2">
        <f t="shared" si="10"/>
        <v>175678.83</v>
      </c>
      <c r="G26" s="2">
        <f t="shared" si="11"/>
        <v>350.6563473</v>
      </c>
      <c r="I26" s="206"/>
      <c r="J26" s="427">
        <v>45468.0</v>
      </c>
      <c r="K26" s="300">
        <v>50.0</v>
      </c>
      <c r="L26" s="300" t="s">
        <v>686</v>
      </c>
      <c r="M26" s="300" t="s">
        <v>732</v>
      </c>
      <c r="N26" s="300">
        <v>1.0</v>
      </c>
      <c r="O26" s="300" t="s">
        <v>716</v>
      </c>
      <c r="P26" s="428" t="s">
        <v>717</v>
      </c>
      <c r="Q26" s="300" t="s">
        <v>730</v>
      </c>
      <c r="R26" s="193" t="s">
        <v>687</v>
      </c>
      <c r="S26" s="301"/>
      <c r="T26" s="301"/>
      <c r="W26" s="360">
        <v>45477.0</v>
      </c>
      <c r="X26" s="2">
        <f t="shared" si="12"/>
        <v>323</v>
      </c>
      <c r="AA26" s="301"/>
      <c r="AB26" s="301"/>
      <c r="AC26" s="301"/>
      <c r="AE26" s="301"/>
      <c r="AF26" s="301"/>
      <c r="AG26" s="301"/>
    </row>
    <row r="27">
      <c r="E27" s="2">
        <f t="shared" si="9"/>
        <v>501</v>
      </c>
      <c r="F27" s="2">
        <f t="shared" si="10"/>
        <v>175628.83</v>
      </c>
      <c r="G27" s="2">
        <f t="shared" si="11"/>
        <v>350.5565469</v>
      </c>
      <c r="I27" s="206"/>
      <c r="J27" s="427">
        <v>45468.0</v>
      </c>
      <c r="K27" s="300">
        <v>21.0</v>
      </c>
      <c r="L27" s="300" t="s">
        <v>686</v>
      </c>
      <c r="M27" s="300" t="s">
        <v>733</v>
      </c>
      <c r="N27" s="300">
        <v>1.0</v>
      </c>
      <c r="O27" s="300" t="s">
        <v>734</v>
      </c>
      <c r="P27" s="428" t="s">
        <v>717</v>
      </c>
      <c r="Q27" s="300" t="s">
        <v>730</v>
      </c>
      <c r="R27" s="193" t="s">
        <v>687</v>
      </c>
      <c r="S27" s="301"/>
      <c r="T27" s="301"/>
      <c r="W27" s="360">
        <v>45478.0</v>
      </c>
      <c r="X27" s="2">
        <f t="shared" si="12"/>
        <v>1249.39</v>
      </c>
      <c r="AA27" s="301"/>
      <c r="AB27" s="301"/>
      <c r="AC27" s="301"/>
      <c r="AE27" s="301"/>
      <c r="AF27" s="301"/>
      <c r="AG27" s="301"/>
    </row>
    <row r="28">
      <c r="E28" s="2">
        <f t="shared" si="9"/>
        <v>501</v>
      </c>
      <c r="F28" s="2">
        <f t="shared" si="10"/>
        <v>175607.83</v>
      </c>
      <c r="G28" s="2">
        <f t="shared" si="11"/>
        <v>350.5146307</v>
      </c>
      <c r="I28" s="206"/>
      <c r="J28" s="427">
        <v>45468.0</v>
      </c>
      <c r="K28" s="300">
        <v>30.0</v>
      </c>
      <c r="L28" s="300" t="s">
        <v>686</v>
      </c>
      <c r="M28" s="300" t="s">
        <v>735</v>
      </c>
      <c r="N28" s="300">
        <v>500.0</v>
      </c>
      <c r="O28" s="300" t="s">
        <v>712</v>
      </c>
      <c r="P28" s="428" t="s">
        <v>717</v>
      </c>
      <c r="Q28" s="300" t="s">
        <v>730</v>
      </c>
      <c r="R28" s="193" t="s">
        <v>687</v>
      </c>
      <c r="S28" s="301"/>
      <c r="T28" s="301"/>
      <c r="W28" s="360">
        <v>45479.0</v>
      </c>
      <c r="X28" s="2">
        <f t="shared" si="12"/>
        <v>17205</v>
      </c>
      <c r="AA28" s="301"/>
      <c r="AB28" s="301"/>
      <c r="AC28" s="301"/>
      <c r="AE28" s="301"/>
      <c r="AF28" s="301"/>
      <c r="AG28" s="301"/>
    </row>
    <row r="29">
      <c r="E29" s="2">
        <f t="shared" si="9"/>
        <v>501</v>
      </c>
      <c r="F29" s="2">
        <f t="shared" si="10"/>
        <v>175577.83</v>
      </c>
      <c r="G29" s="2">
        <f t="shared" si="11"/>
        <v>350.4547505</v>
      </c>
      <c r="I29" s="206"/>
      <c r="J29" s="427">
        <v>45468.0</v>
      </c>
      <c r="K29" s="300">
        <v>5.0</v>
      </c>
      <c r="L29" s="300" t="s">
        <v>686</v>
      </c>
      <c r="M29" s="300" t="s">
        <v>736</v>
      </c>
      <c r="N29" s="300">
        <v>1.0</v>
      </c>
      <c r="O29" s="300" t="s">
        <v>716</v>
      </c>
      <c r="P29" s="428" t="s">
        <v>717</v>
      </c>
      <c r="Q29" s="300" t="s">
        <v>730</v>
      </c>
      <c r="R29" s="193" t="s">
        <v>687</v>
      </c>
      <c r="S29" s="301"/>
      <c r="T29" s="301"/>
      <c r="W29" s="360">
        <v>45480.0</v>
      </c>
      <c r="X29" s="2">
        <f t="shared" si="12"/>
        <v>1085</v>
      </c>
      <c r="AA29" s="301"/>
      <c r="AB29" s="301"/>
      <c r="AC29" s="301"/>
      <c r="AE29" s="301"/>
      <c r="AF29" s="301"/>
      <c r="AG29" s="301"/>
    </row>
    <row r="30">
      <c r="E30" s="2">
        <f t="shared" si="9"/>
        <v>501</v>
      </c>
      <c r="F30" s="2">
        <f t="shared" si="10"/>
        <v>175572.83</v>
      </c>
      <c r="G30" s="2">
        <f t="shared" si="11"/>
        <v>350.4447705</v>
      </c>
      <c r="I30" s="206"/>
      <c r="J30" s="427">
        <v>45468.0</v>
      </c>
      <c r="K30" s="300">
        <v>26.0</v>
      </c>
      <c r="L30" s="300" t="s">
        <v>690</v>
      </c>
      <c r="M30" s="300" t="s">
        <v>723</v>
      </c>
      <c r="N30" s="300">
        <v>2.0</v>
      </c>
      <c r="O30" s="300" t="s">
        <v>716</v>
      </c>
      <c r="P30" s="428" t="s">
        <v>717</v>
      </c>
      <c r="Q30" s="300" t="s">
        <v>724</v>
      </c>
      <c r="R30" s="193" t="s">
        <v>687</v>
      </c>
      <c r="S30" s="301"/>
      <c r="T30" s="301"/>
      <c r="W30" s="360">
        <v>45481.0</v>
      </c>
      <c r="X30" s="2">
        <f t="shared" si="12"/>
        <v>2377</v>
      </c>
      <c r="AA30" s="301"/>
      <c r="AB30" s="301"/>
      <c r="AC30" s="301"/>
      <c r="AE30" s="301"/>
      <c r="AF30" s="301"/>
      <c r="AG30" s="301"/>
    </row>
    <row r="31">
      <c r="E31" s="2">
        <f t="shared" si="9"/>
        <v>501</v>
      </c>
      <c r="F31" s="2">
        <f t="shared" si="10"/>
        <v>175546.83</v>
      </c>
      <c r="G31" s="2">
        <f t="shared" si="11"/>
        <v>350.3928743</v>
      </c>
      <c r="I31" s="206"/>
      <c r="J31" s="430">
        <v>45468.0</v>
      </c>
      <c r="K31" s="302">
        <v>20.0</v>
      </c>
      <c r="L31" s="302" t="s">
        <v>686</v>
      </c>
      <c r="M31" s="302" t="s">
        <v>725</v>
      </c>
      <c r="N31" s="302">
        <v>2.0</v>
      </c>
      <c r="O31" s="300" t="s">
        <v>716</v>
      </c>
      <c r="P31" s="431" t="s">
        <v>717</v>
      </c>
      <c r="Q31" s="300" t="s">
        <v>724</v>
      </c>
      <c r="R31" s="411" t="s">
        <v>687</v>
      </c>
      <c r="S31" s="301"/>
      <c r="T31" s="301"/>
      <c r="W31" s="360">
        <v>45482.0</v>
      </c>
      <c r="X31" s="2">
        <f t="shared" si="12"/>
        <v>150</v>
      </c>
      <c r="AA31" s="301"/>
      <c r="AB31" s="301"/>
      <c r="AC31" s="301"/>
      <c r="AE31" s="301"/>
      <c r="AF31" s="301"/>
      <c r="AG31" s="301"/>
    </row>
    <row r="32">
      <c r="E32" s="2">
        <f t="shared" si="9"/>
        <v>500</v>
      </c>
      <c r="F32" s="2">
        <f t="shared" si="10"/>
        <v>175526.83</v>
      </c>
      <c r="G32" s="2">
        <f t="shared" si="11"/>
        <v>351.05366</v>
      </c>
      <c r="I32" s="206"/>
      <c r="J32" s="425">
        <v>45469.0</v>
      </c>
      <c r="K32" s="332">
        <v>26.0</v>
      </c>
      <c r="L32" s="332" t="s">
        <v>690</v>
      </c>
      <c r="M32" s="332" t="s">
        <v>723</v>
      </c>
      <c r="N32" s="332">
        <v>2.0</v>
      </c>
      <c r="O32" s="300" t="s">
        <v>716</v>
      </c>
      <c r="P32" s="426" t="s">
        <v>717</v>
      </c>
      <c r="Q32" s="332" t="s">
        <v>724</v>
      </c>
      <c r="R32" s="193" t="s">
        <v>687</v>
      </c>
      <c r="S32" s="301"/>
      <c r="T32" s="301"/>
      <c r="W32" s="360">
        <v>45483.0</v>
      </c>
      <c r="X32" s="2">
        <f t="shared" si="12"/>
        <v>2318</v>
      </c>
      <c r="AA32" s="301"/>
      <c r="AB32" s="301"/>
      <c r="AC32" s="301"/>
      <c r="AE32" s="301"/>
      <c r="AF32" s="301"/>
      <c r="AG32" s="301"/>
    </row>
    <row r="33">
      <c r="E33" s="2">
        <f t="shared" si="9"/>
        <v>500</v>
      </c>
      <c r="F33" s="2">
        <f t="shared" si="10"/>
        <v>175500.83</v>
      </c>
      <c r="G33" s="2">
        <f t="shared" si="11"/>
        <v>351.00166</v>
      </c>
      <c r="I33" s="206"/>
      <c r="J33" s="427">
        <v>45469.0</v>
      </c>
      <c r="K33" s="300">
        <v>20.0</v>
      </c>
      <c r="L33" s="300" t="s">
        <v>686</v>
      </c>
      <c r="M33" s="300" t="s">
        <v>725</v>
      </c>
      <c r="N33" s="300">
        <v>2.0</v>
      </c>
      <c r="O33" s="300" t="s">
        <v>716</v>
      </c>
      <c r="P33" s="428" t="s">
        <v>717</v>
      </c>
      <c r="Q33" s="300" t="s">
        <v>724</v>
      </c>
      <c r="R33" s="193" t="s">
        <v>687</v>
      </c>
      <c r="S33" s="301"/>
      <c r="T33" s="301"/>
      <c r="W33" s="360">
        <v>45485.0</v>
      </c>
      <c r="X33" s="2">
        <f t="shared" si="12"/>
        <v>720</v>
      </c>
      <c r="AA33" s="301"/>
      <c r="AB33" s="301"/>
      <c r="AC33" s="301"/>
      <c r="AE33" s="301"/>
      <c r="AF33" s="301"/>
      <c r="AG33" s="301"/>
    </row>
    <row r="34">
      <c r="E34" s="2">
        <f t="shared" si="9"/>
        <v>500</v>
      </c>
      <c r="F34" s="2">
        <f t="shared" si="10"/>
        <v>175480.83</v>
      </c>
      <c r="G34" s="2">
        <f t="shared" si="11"/>
        <v>350.96166</v>
      </c>
      <c r="I34" s="206"/>
      <c r="J34" s="427">
        <v>45469.0</v>
      </c>
      <c r="K34" s="300">
        <v>20.0</v>
      </c>
      <c r="L34" s="300" t="s">
        <v>686</v>
      </c>
      <c r="M34" s="300" t="s">
        <v>737</v>
      </c>
      <c r="N34" s="300">
        <v>1.0</v>
      </c>
      <c r="O34" s="300" t="s">
        <v>716</v>
      </c>
      <c r="P34" s="428" t="s">
        <v>717</v>
      </c>
      <c r="Q34" s="300" t="s">
        <v>738</v>
      </c>
      <c r="R34" s="193" t="s">
        <v>687</v>
      </c>
      <c r="S34" s="301"/>
      <c r="T34" s="301"/>
      <c r="W34" s="360">
        <v>45486.0</v>
      </c>
      <c r="X34" s="2">
        <f t="shared" si="12"/>
        <v>3893</v>
      </c>
      <c r="AA34" s="301"/>
      <c r="AB34" s="301"/>
      <c r="AC34" s="301"/>
      <c r="AE34" s="301"/>
      <c r="AF34" s="301"/>
      <c r="AG34" s="301"/>
    </row>
    <row r="35">
      <c r="E35" s="2">
        <f t="shared" si="9"/>
        <v>500</v>
      </c>
      <c r="F35" s="2">
        <f t="shared" si="10"/>
        <v>175460.83</v>
      </c>
      <c r="G35" s="2">
        <f t="shared" si="11"/>
        <v>350.92166</v>
      </c>
      <c r="I35" s="206"/>
      <c r="J35" s="427">
        <v>45469.0</v>
      </c>
      <c r="K35" s="300">
        <v>26.0</v>
      </c>
      <c r="L35" s="300" t="s">
        <v>690</v>
      </c>
      <c r="M35" s="300" t="s">
        <v>723</v>
      </c>
      <c r="N35" s="300">
        <v>2.0</v>
      </c>
      <c r="O35" s="300" t="s">
        <v>716</v>
      </c>
      <c r="P35" s="428" t="s">
        <v>717</v>
      </c>
      <c r="Q35" s="300" t="s">
        <v>724</v>
      </c>
      <c r="R35" s="193" t="s">
        <v>687</v>
      </c>
      <c r="S35" s="301"/>
      <c r="T35" s="301"/>
      <c r="W35" s="360">
        <v>45487.0</v>
      </c>
      <c r="X35" s="2">
        <f t="shared" si="12"/>
        <v>2176</v>
      </c>
      <c r="AA35" s="301"/>
      <c r="AB35" s="301"/>
      <c r="AC35" s="301"/>
      <c r="AE35" s="301"/>
      <c r="AF35" s="301"/>
      <c r="AG35" s="301"/>
    </row>
    <row r="36">
      <c r="E36" s="2">
        <f t="shared" si="9"/>
        <v>500</v>
      </c>
      <c r="F36" s="2">
        <f t="shared" si="10"/>
        <v>175434.83</v>
      </c>
      <c r="G36" s="2">
        <f t="shared" si="11"/>
        <v>350.86966</v>
      </c>
      <c r="I36" s="206"/>
      <c r="J36" s="427">
        <v>45469.0</v>
      </c>
      <c r="K36" s="300">
        <v>20.0</v>
      </c>
      <c r="L36" s="300" t="s">
        <v>686</v>
      </c>
      <c r="M36" s="300" t="s">
        <v>725</v>
      </c>
      <c r="N36" s="300">
        <v>2.0</v>
      </c>
      <c r="O36" s="300" t="s">
        <v>716</v>
      </c>
      <c r="P36" s="428" t="s">
        <v>717</v>
      </c>
      <c r="Q36" s="300" t="s">
        <v>724</v>
      </c>
      <c r="R36" s="193" t="s">
        <v>687</v>
      </c>
      <c r="S36" s="301"/>
      <c r="T36" s="301"/>
      <c r="W36" s="360">
        <v>45489.0</v>
      </c>
      <c r="X36" s="2">
        <f t="shared" si="12"/>
        <v>529</v>
      </c>
      <c r="AA36" s="301"/>
      <c r="AB36" s="301"/>
      <c r="AC36" s="301"/>
      <c r="AE36" s="301"/>
      <c r="AF36" s="301"/>
      <c r="AG36" s="301"/>
    </row>
    <row r="37">
      <c r="E37" s="2">
        <f t="shared" si="9"/>
        <v>500</v>
      </c>
      <c r="F37" s="2">
        <f t="shared" si="10"/>
        <v>175414.83</v>
      </c>
      <c r="G37" s="2">
        <f t="shared" si="11"/>
        <v>350.82966</v>
      </c>
      <c r="I37" s="206"/>
      <c r="J37" s="427">
        <v>45469.0</v>
      </c>
      <c r="K37" s="300">
        <v>20.0</v>
      </c>
      <c r="L37" s="300" t="s">
        <v>686</v>
      </c>
      <c r="M37" s="300" t="s">
        <v>737</v>
      </c>
      <c r="N37" s="300">
        <v>1.0</v>
      </c>
      <c r="O37" s="300" t="s">
        <v>716</v>
      </c>
      <c r="P37" s="428" t="s">
        <v>717</v>
      </c>
      <c r="Q37" s="300" t="s">
        <v>738</v>
      </c>
      <c r="R37" s="193" t="s">
        <v>687</v>
      </c>
      <c r="S37" s="301"/>
      <c r="T37" s="301"/>
      <c r="W37" s="360">
        <v>45491.0</v>
      </c>
      <c r="X37" s="2">
        <f t="shared" si="12"/>
        <v>641</v>
      </c>
      <c r="AA37" s="301"/>
      <c r="AB37" s="301"/>
      <c r="AC37" s="301"/>
      <c r="AE37" s="301"/>
      <c r="AF37" s="301"/>
      <c r="AG37" s="301"/>
    </row>
    <row r="38">
      <c r="E38" s="2">
        <f t="shared" si="9"/>
        <v>500</v>
      </c>
      <c r="F38" s="2">
        <f t="shared" si="10"/>
        <v>175394.83</v>
      </c>
      <c r="G38" s="2">
        <f t="shared" si="11"/>
        <v>350.78966</v>
      </c>
      <c r="I38" s="206"/>
      <c r="J38" s="427">
        <v>45469.0</v>
      </c>
      <c r="K38" s="300">
        <v>26.0</v>
      </c>
      <c r="L38" s="300" t="s">
        <v>690</v>
      </c>
      <c r="M38" s="300" t="s">
        <v>723</v>
      </c>
      <c r="N38" s="300">
        <v>2.0</v>
      </c>
      <c r="O38" s="300" t="s">
        <v>716</v>
      </c>
      <c r="P38" s="428" t="s">
        <v>717</v>
      </c>
      <c r="Q38" s="300" t="s">
        <v>724</v>
      </c>
      <c r="R38" s="193" t="s">
        <v>687</v>
      </c>
      <c r="S38" s="301"/>
      <c r="T38" s="301"/>
      <c r="W38" s="360">
        <v>45492.0</v>
      </c>
      <c r="X38" s="2">
        <f t="shared" si="12"/>
        <v>563</v>
      </c>
      <c r="AA38" s="301"/>
      <c r="AB38" s="301"/>
      <c r="AC38" s="301"/>
      <c r="AE38" s="301"/>
      <c r="AF38" s="301"/>
      <c r="AG38" s="301"/>
    </row>
    <row r="39">
      <c r="E39" s="2">
        <f t="shared" si="9"/>
        <v>500</v>
      </c>
      <c r="F39" s="2">
        <f t="shared" si="10"/>
        <v>175368.83</v>
      </c>
      <c r="G39" s="2">
        <f t="shared" si="11"/>
        <v>350.73766</v>
      </c>
      <c r="I39" s="206"/>
      <c r="J39" s="427">
        <v>45469.0</v>
      </c>
      <c r="K39" s="300">
        <v>82.5</v>
      </c>
      <c r="L39" s="300" t="s">
        <v>693</v>
      </c>
      <c r="M39" s="300" t="s">
        <v>308</v>
      </c>
      <c r="N39" s="300">
        <v>11.0</v>
      </c>
      <c r="O39" s="300" t="s">
        <v>716</v>
      </c>
      <c r="P39" s="428" t="s">
        <v>717</v>
      </c>
      <c r="Q39" s="300" t="s">
        <v>314</v>
      </c>
      <c r="R39" s="6" t="s">
        <v>76</v>
      </c>
      <c r="S39" s="301"/>
      <c r="T39" s="301"/>
      <c r="W39" s="360">
        <v>45493.0</v>
      </c>
      <c r="X39" s="2">
        <f t="shared" si="12"/>
        <v>1874.44</v>
      </c>
      <c r="AA39" s="301"/>
      <c r="AB39" s="301"/>
      <c r="AC39" s="301"/>
      <c r="AE39" s="301"/>
      <c r="AF39" s="301"/>
      <c r="AG39" s="301"/>
    </row>
    <row r="40">
      <c r="E40" s="2">
        <f t="shared" si="9"/>
        <v>500</v>
      </c>
      <c r="F40" s="2">
        <f t="shared" si="10"/>
        <v>175286.33</v>
      </c>
      <c r="G40" s="2">
        <f t="shared" si="11"/>
        <v>350.57266</v>
      </c>
      <c r="I40" s="206"/>
      <c r="J40" s="427">
        <v>45469.0</v>
      </c>
      <c r="K40" s="300">
        <v>26.0</v>
      </c>
      <c r="L40" s="300" t="s">
        <v>690</v>
      </c>
      <c r="M40" s="300" t="s">
        <v>723</v>
      </c>
      <c r="N40" s="300">
        <v>2.0</v>
      </c>
      <c r="O40" s="300" t="s">
        <v>716</v>
      </c>
      <c r="P40" s="428" t="s">
        <v>717</v>
      </c>
      <c r="Q40" s="300" t="s">
        <v>724</v>
      </c>
      <c r="R40" s="193" t="s">
        <v>687</v>
      </c>
      <c r="S40" s="301"/>
      <c r="T40" s="301"/>
      <c r="W40" s="360">
        <v>45494.0</v>
      </c>
      <c r="X40" s="2">
        <f t="shared" si="12"/>
        <v>2025</v>
      </c>
      <c r="AA40" s="301"/>
      <c r="AB40" s="301"/>
      <c r="AC40" s="301"/>
      <c r="AE40" s="301"/>
      <c r="AF40" s="301"/>
      <c r="AG40" s="301"/>
    </row>
    <row r="41">
      <c r="E41" s="2">
        <f t="shared" si="9"/>
        <v>500</v>
      </c>
      <c r="F41" s="2">
        <f t="shared" si="10"/>
        <v>175260.33</v>
      </c>
      <c r="G41" s="2">
        <f t="shared" si="11"/>
        <v>350.52066</v>
      </c>
      <c r="I41" s="206"/>
      <c r="J41" s="427">
        <v>45469.0</v>
      </c>
      <c r="K41" s="302">
        <v>1.0</v>
      </c>
      <c r="L41" s="302" t="s">
        <v>686</v>
      </c>
      <c r="M41" s="302" t="s">
        <v>739</v>
      </c>
      <c r="N41" s="302">
        <v>1.0</v>
      </c>
      <c r="O41" s="300" t="s">
        <v>716</v>
      </c>
      <c r="P41" s="431" t="s">
        <v>717</v>
      </c>
      <c r="Q41" s="300" t="s">
        <v>724</v>
      </c>
      <c r="R41" s="411" t="s">
        <v>687</v>
      </c>
      <c r="S41" s="301"/>
      <c r="T41" s="301"/>
      <c r="W41" s="360">
        <v>45495.0</v>
      </c>
      <c r="X41" s="2">
        <f t="shared" si="12"/>
        <v>157</v>
      </c>
      <c r="AA41" s="301"/>
      <c r="AB41" s="301"/>
      <c r="AC41" s="301"/>
      <c r="AE41" s="301"/>
      <c r="AF41" s="301"/>
      <c r="AG41" s="301"/>
    </row>
    <row r="42">
      <c r="E42" s="2">
        <f t="shared" si="9"/>
        <v>499</v>
      </c>
      <c r="F42" s="2">
        <f t="shared" si="10"/>
        <v>175259.33</v>
      </c>
      <c r="G42" s="2">
        <f t="shared" si="11"/>
        <v>351.2211022</v>
      </c>
      <c r="I42" s="206"/>
      <c r="J42" s="425">
        <v>45470.0</v>
      </c>
      <c r="K42" s="332">
        <v>26.0</v>
      </c>
      <c r="L42" s="332" t="s">
        <v>690</v>
      </c>
      <c r="M42" s="332" t="s">
        <v>723</v>
      </c>
      <c r="N42" s="300">
        <v>2.0</v>
      </c>
      <c r="O42" s="300" t="s">
        <v>716</v>
      </c>
      <c r="P42" s="426" t="s">
        <v>717</v>
      </c>
      <c r="Q42" s="332" t="s">
        <v>724</v>
      </c>
      <c r="R42" s="193" t="s">
        <v>687</v>
      </c>
      <c r="S42" s="301"/>
      <c r="T42" s="301"/>
      <c r="W42" s="360">
        <v>45496.0</v>
      </c>
      <c r="X42" s="2">
        <f t="shared" si="12"/>
        <v>905</v>
      </c>
      <c r="AA42" s="301"/>
      <c r="AB42" s="301"/>
      <c r="AC42" s="301"/>
      <c r="AE42" s="301"/>
      <c r="AF42" s="301"/>
      <c r="AG42" s="301"/>
    </row>
    <row r="43">
      <c r="E43" s="2">
        <f t="shared" si="9"/>
        <v>499</v>
      </c>
      <c r="F43" s="2">
        <f t="shared" si="10"/>
        <v>175233.33</v>
      </c>
      <c r="G43" s="2">
        <f t="shared" si="11"/>
        <v>351.168998</v>
      </c>
      <c r="I43" s="206"/>
      <c r="J43" s="427">
        <v>45470.0</v>
      </c>
      <c r="K43" s="300">
        <v>20.0</v>
      </c>
      <c r="L43" s="300" t="s">
        <v>686</v>
      </c>
      <c r="M43" s="300" t="s">
        <v>725</v>
      </c>
      <c r="N43" s="300">
        <v>2.0</v>
      </c>
      <c r="O43" s="300" t="s">
        <v>716</v>
      </c>
      <c r="P43" s="428" t="s">
        <v>717</v>
      </c>
      <c r="Q43" s="300" t="s">
        <v>724</v>
      </c>
      <c r="R43" s="193" t="s">
        <v>687</v>
      </c>
      <c r="S43" s="301"/>
      <c r="T43" s="301"/>
      <c r="W43" s="360">
        <v>45497.0</v>
      </c>
      <c r="X43" s="2">
        <f t="shared" si="12"/>
        <v>224</v>
      </c>
      <c r="AA43" s="301"/>
      <c r="AB43" s="301"/>
      <c r="AC43" s="301"/>
      <c r="AE43" s="301"/>
      <c r="AF43" s="301"/>
      <c r="AG43" s="301"/>
    </row>
    <row r="44">
      <c r="E44" s="2">
        <f t="shared" si="9"/>
        <v>499</v>
      </c>
      <c r="F44" s="2">
        <f t="shared" si="10"/>
        <v>175213.33</v>
      </c>
      <c r="G44" s="2">
        <f t="shared" si="11"/>
        <v>351.1289178</v>
      </c>
      <c r="I44" s="206"/>
      <c r="J44" s="427">
        <v>45470.0</v>
      </c>
      <c r="K44" s="300">
        <v>26.0</v>
      </c>
      <c r="L44" s="300" t="s">
        <v>690</v>
      </c>
      <c r="M44" s="300" t="s">
        <v>723</v>
      </c>
      <c r="N44" s="300">
        <v>2.0</v>
      </c>
      <c r="O44" s="300" t="s">
        <v>716</v>
      </c>
      <c r="P44" s="428" t="s">
        <v>717</v>
      </c>
      <c r="Q44" s="300" t="s">
        <v>740</v>
      </c>
      <c r="R44" s="6" t="s">
        <v>76</v>
      </c>
      <c r="S44" s="301"/>
      <c r="T44" s="301"/>
      <c r="W44" s="360">
        <v>45498.0</v>
      </c>
      <c r="X44" s="2">
        <f t="shared" si="12"/>
        <v>1434</v>
      </c>
      <c r="AA44" s="301"/>
      <c r="AB44" s="301"/>
      <c r="AC44" s="301"/>
      <c r="AE44" s="301"/>
      <c r="AF44" s="301"/>
      <c r="AG44" s="301"/>
    </row>
    <row r="45">
      <c r="E45" s="2">
        <f t="shared" si="9"/>
        <v>499</v>
      </c>
      <c r="F45" s="2">
        <f t="shared" si="10"/>
        <v>175187.33</v>
      </c>
      <c r="G45" s="2">
        <f t="shared" si="11"/>
        <v>351.0768136</v>
      </c>
      <c r="I45" s="206"/>
      <c r="J45" s="427">
        <v>45470.0</v>
      </c>
      <c r="K45" s="300">
        <v>2.0</v>
      </c>
      <c r="L45" s="300" t="s">
        <v>686</v>
      </c>
      <c r="M45" s="300" t="s">
        <v>741</v>
      </c>
      <c r="N45" s="300">
        <v>2.0</v>
      </c>
      <c r="O45" s="300" t="s">
        <v>716</v>
      </c>
      <c r="P45" s="428" t="s">
        <v>717</v>
      </c>
      <c r="Q45" s="300" t="s">
        <v>740</v>
      </c>
      <c r="R45" s="6" t="s">
        <v>76</v>
      </c>
      <c r="S45" s="301"/>
      <c r="T45" s="301"/>
      <c r="W45" s="360">
        <v>45499.0</v>
      </c>
      <c r="X45" s="2">
        <f t="shared" si="12"/>
        <v>929</v>
      </c>
      <c r="AA45" s="301"/>
      <c r="AB45" s="301"/>
      <c r="AC45" s="301"/>
      <c r="AE45" s="301"/>
      <c r="AF45" s="301"/>
      <c r="AG45" s="301"/>
    </row>
    <row r="46">
      <c r="E46" s="2">
        <f t="shared" si="9"/>
        <v>499</v>
      </c>
      <c r="F46" s="2">
        <f t="shared" si="10"/>
        <v>175185.33</v>
      </c>
      <c r="G46" s="2">
        <f t="shared" si="11"/>
        <v>351.0728056</v>
      </c>
      <c r="I46" s="206"/>
      <c r="J46" s="427">
        <v>45470.0</v>
      </c>
      <c r="K46" s="300">
        <v>26.0</v>
      </c>
      <c r="L46" s="300" t="s">
        <v>690</v>
      </c>
      <c r="M46" s="300" t="s">
        <v>723</v>
      </c>
      <c r="N46" s="300">
        <v>2.0</v>
      </c>
      <c r="O46" s="300" t="s">
        <v>716</v>
      </c>
      <c r="P46" s="428" t="s">
        <v>717</v>
      </c>
      <c r="Q46" s="300" t="s">
        <v>724</v>
      </c>
      <c r="R46" s="193" t="s">
        <v>687</v>
      </c>
      <c r="S46" s="301"/>
      <c r="T46" s="301"/>
      <c r="W46" s="360">
        <v>45500.0</v>
      </c>
      <c r="X46" s="2">
        <f t="shared" si="12"/>
        <v>573</v>
      </c>
      <c r="AA46" s="301"/>
      <c r="AB46" s="301"/>
      <c r="AC46" s="301"/>
      <c r="AE46" s="301"/>
      <c r="AF46" s="301"/>
      <c r="AG46" s="301"/>
    </row>
    <row r="47">
      <c r="E47" s="2">
        <f t="shared" si="9"/>
        <v>499</v>
      </c>
      <c r="F47" s="2">
        <f t="shared" si="10"/>
        <v>175159.33</v>
      </c>
      <c r="G47" s="2">
        <f t="shared" si="11"/>
        <v>351.0207014</v>
      </c>
      <c r="I47" s="206"/>
      <c r="J47" s="427">
        <v>45470.0</v>
      </c>
      <c r="K47" s="300">
        <v>20.0</v>
      </c>
      <c r="L47" s="300" t="s">
        <v>686</v>
      </c>
      <c r="M47" s="300" t="s">
        <v>725</v>
      </c>
      <c r="N47" s="300">
        <v>2.0</v>
      </c>
      <c r="O47" s="300" t="s">
        <v>716</v>
      </c>
      <c r="P47" s="428" t="s">
        <v>717</v>
      </c>
      <c r="Q47" s="300" t="s">
        <v>724</v>
      </c>
      <c r="R47" s="193" t="s">
        <v>687</v>
      </c>
      <c r="S47" s="301"/>
      <c r="T47" s="301"/>
      <c r="W47" s="360">
        <v>45501.0</v>
      </c>
      <c r="X47" s="2">
        <f t="shared" si="12"/>
        <v>4107.13</v>
      </c>
      <c r="AA47" s="301"/>
      <c r="AB47" s="301"/>
      <c r="AC47" s="301"/>
      <c r="AE47" s="301"/>
      <c r="AF47" s="301"/>
      <c r="AG47" s="301"/>
    </row>
    <row r="48">
      <c r="E48" s="2">
        <f t="shared" si="9"/>
        <v>499</v>
      </c>
      <c r="F48" s="2">
        <f t="shared" si="10"/>
        <v>175139.33</v>
      </c>
      <c r="G48" s="2">
        <f t="shared" si="11"/>
        <v>350.9806212</v>
      </c>
      <c r="I48" s="206"/>
      <c r="J48" s="427">
        <v>45470.0</v>
      </c>
      <c r="K48" s="300">
        <v>28.0</v>
      </c>
      <c r="L48" s="300" t="s">
        <v>686</v>
      </c>
      <c r="M48" s="300" t="s">
        <v>742</v>
      </c>
      <c r="N48" s="300">
        <v>2.0</v>
      </c>
      <c r="O48" s="300" t="s">
        <v>716</v>
      </c>
      <c r="P48" s="428" t="s">
        <v>717</v>
      </c>
      <c r="Q48" s="300" t="s">
        <v>743</v>
      </c>
      <c r="R48" s="6" t="s">
        <v>76</v>
      </c>
      <c r="S48" s="301"/>
      <c r="T48" s="301"/>
      <c r="W48" s="360">
        <v>45502.0</v>
      </c>
      <c r="X48" s="2">
        <f t="shared" si="12"/>
        <v>29</v>
      </c>
      <c r="AA48" s="301"/>
      <c r="AB48" s="301"/>
      <c r="AC48" s="301"/>
      <c r="AE48" s="301"/>
      <c r="AF48" s="301"/>
      <c r="AG48" s="301"/>
    </row>
    <row r="49">
      <c r="E49" s="2">
        <f t="shared" si="9"/>
        <v>499</v>
      </c>
      <c r="F49" s="2">
        <f t="shared" si="10"/>
        <v>175111.33</v>
      </c>
      <c r="G49" s="2">
        <f t="shared" si="11"/>
        <v>350.924509</v>
      </c>
      <c r="I49" s="206"/>
      <c r="J49" s="427">
        <v>45470.0</v>
      </c>
      <c r="K49" s="300">
        <v>50.0</v>
      </c>
      <c r="L49" s="300" t="s">
        <v>686</v>
      </c>
      <c r="M49" s="300" t="s">
        <v>744</v>
      </c>
      <c r="N49" s="300">
        <v>500.0</v>
      </c>
      <c r="O49" s="300" t="s">
        <v>745</v>
      </c>
      <c r="P49" s="428" t="s">
        <v>717</v>
      </c>
      <c r="Q49" s="300" t="s">
        <v>743</v>
      </c>
      <c r="R49" s="6" t="s">
        <v>76</v>
      </c>
      <c r="S49" s="301"/>
      <c r="T49" s="301"/>
      <c r="W49" s="360">
        <v>45504.0</v>
      </c>
      <c r="X49" s="2">
        <f t="shared" si="12"/>
        <v>1806.15</v>
      </c>
      <c r="AA49" s="301"/>
      <c r="AB49" s="301"/>
      <c r="AC49" s="301"/>
      <c r="AE49" s="301"/>
      <c r="AF49" s="301"/>
      <c r="AG49" s="301"/>
    </row>
    <row r="50">
      <c r="E50" s="2">
        <f t="shared" si="9"/>
        <v>499</v>
      </c>
      <c r="F50" s="2">
        <f t="shared" si="10"/>
        <v>175061.33</v>
      </c>
      <c r="G50" s="2">
        <f t="shared" si="11"/>
        <v>350.8243086</v>
      </c>
      <c r="I50" s="206"/>
      <c r="J50" s="427">
        <v>45470.0</v>
      </c>
      <c r="K50" s="300">
        <v>26.0</v>
      </c>
      <c r="L50" s="300" t="s">
        <v>690</v>
      </c>
      <c r="M50" s="300" t="s">
        <v>723</v>
      </c>
      <c r="N50" s="300">
        <v>2.0</v>
      </c>
      <c r="O50" s="300" t="s">
        <v>716</v>
      </c>
      <c r="P50" s="428" t="s">
        <v>717</v>
      </c>
      <c r="Q50" s="300" t="s">
        <v>724</v>
      </c>
      <c r="R50" s="193" t="s">
        <v>687</v>
      </c>
      <c r="S50" s="301"/>
      <c r="T50" s="301"/>
      <c r="W50" s="360">
        <v>45506.0</v>
      </c>
      <c r="X50" s="2">
        <f t="shared" si="12"/>
        <v>1007.3</v>
      </c>
      <c r="AA50" s="301"/>
      <c r="AB50" s="301"/>
      <c r="AC50" s="301"/>
      <c r="AE50" s="301"/>
      <c r="AF50" s="301"/>
      <c r="AG50" s="301"/>
    </row>
    <row r="51">
      <c r="E51" s="2">
        <f t="shared" si="9"/>
        <v>499</v>
      </c>
      <c r="F51" s="2">
        <f t="shared" si="10"/>
        <v>175035.33</v>
      </c>
      <c r="G51" s="2">
        <f t="shared" si="11"/>
        <v>350.7722044</v>
      </c>
      <c r="I51" s="206"/>
      <c r="J51" s="430">
        <v>45470.0</v>
      </c>
      <c r="K51" s="302">
        <v>1.0</v>
      </c>
      <c r="L51" s="302" t="s">
        <v>686</v>
      </c>
      <c r="M51" s="302" t="s">
        <v>739</v>
      </c>
      <c r="N51" s="302">
        <v>1.0</v>
      </c>
      <c r="O51" s="300" t="s">
        <v>716</v>
      </c>
      <c r="P51" s="431" t="s">
        <v>717</v>
      </c>
      <c r="Q51" s="300" t="s">
        <v>724</v>
      </c>
      <c r="R51" s="411" t="s">
        <v>687</v>
      </c>
      <c r="S51" s="301"/>
      <c r="T51" s="301"/>
      <c r="W51" s="360">
        <v>45507.0</v>
      </c>
      <c r="X51" s="2">
        <f t="shared" si="12"/>
        <v>2677.36</v>
      </c>
      <c r="AA51" s="301"/>
      <c r="AB51" s="301"/>
      <c r="AC51" s="301"/>
      <c r="AE51" s="301"/>
      <c r="AF51" s="301"/>
      <c r="AG51" s="301"/>
    </row>
    <row r="52">
      <c r="E52" s="2">
        <f t="shared" si="9"/>
        <v>498</v>
      </c>
      <c r="F52" s="2">
        <f t="shared" si="10"/>
        <v>175034.33</v>
      </c>
      <c r="G52" s="2">
        <f t="shared" si="11"/>
        <v>351.4745582</v>
      </c>
      <c r="I52" s="206"/>
      <c r="J52" s="425">
        <v>45471.0</v>
      </c>
      <c r="K52" s="332">
        <v>26.0</v>
      </c>
      <c r="L52" s="332" t="s">
        <v>690</v>
      </c>
      <c r="M52" s="332" t="s">
        <v>723</v>
      </c>
      <c r="N52" s="332">
        <v>2.0</v>
      </c>
      <c r="O52" s="300" t="s">
        <v>716</v>
      </c>
      <c r="P52" s="426" t="s">
        <v>717</v>
      </c>
      <c r="Q52" s="332" t="s">
        <v>724</v>
      </c>
      <c r="R52" s="193" t="s">
        <v>687</v>
      </c>
      <c r="S52" s="301"/>
      <c r="T52" s="301"/>
      <c r="W52" s="360">
        <v>45508.0</v>
      </c>
      <c r="X52" s="2">
        <f t="shared" si="12"/>
        <v>2514.44</v>
      </c>
      <c r="AA52" s="301"/>
      <c r="AB52" s="301"/>
      <c r="AC52" s="301"/>
      <c r="AE52" s="301"/>
      <c r="AF52" s="301"/>
      <c r="AG52" s="301"/>
    </row>
    <row r="53">
      <c r="E53" s="2">
        <f t="shared" si="9"/>
        <v>498</v>
      </c>
      <c r="F53" s="2">
        <f t="shared" si="10"/>
        <v>175008.33</v>
      </c>
      <c r="G53" s="2">
        <f t="shared" si="11"/>
        <v>351.4223494</v>
      </c>
      <c r="I53" s="206"/>
      <c r="J53" s="427">
        <v>45471.0</v>
      </c>
      <c r="K53" s="300">
        <v>20.0</v>
      </c>
      <c r="L53" s="300" t="s">
        <v>686</v>
      </c>
      <c r="M53" s="300" t="s">
        <v>725</v>
      </c>
      <c r="N53" s="300">
        <v>2.0</v>
      </c>
      <c r="O53" s="300" t="s">
        <v>716</v>
      </c>
      <c r="P53" s="428" t="s">
        <v>717</v>
      </c>
      <c r="Q53" s="300" t="s">
        <v>724</v>
      </c>
      <c r="R53" s="193" t="s">
        <v>687</v>
      </c>
      <c r="S53" s="301"/>
      <c r="T53" s="301"/>
      <c r="W53" s="360">
        <v>45510.0</v>
      </c>
      <c r="X53" s="2">
        <f t="shared" si="12"/>
        <v>1176.13</v>
      </c>
      <c r="AA53" s="301"/>
      <c r="AB53" s="301"/>
      <c r="AC53" s="301"/>
      <c r="AE53" s="301"/>
      <c r="AF53" s="301"/>
      <c r="AG53" s="301"/>
    </row>
    <row r="54">
      <c r="E54" s="2">
        <f t="shared" si="9"/>
        <v>498</v>
      </c>
      <c r="F54" s="2">
        <f t="shared" si="10"/>
        <v>174988.33</v>
      </c>
      <c r="G54" s="2">
        <f t="shared" si="11"/>
        <v>351.3821888</v>
      </c>
      <c r="I54" s="206"/>
      <c r="J54" s="427">
        <v>45471.0</v>
      </c>
      <c r="K54" s="300">
        <v>20.0</v>
      </c>
      <c r="L54" s="300" t="s">
        <v>686</v>
      </c>
      <c r="M54" s="300" t="s">
        <v>737</v>
      </c>
      <c r="N54" s="300">
        <v>1.0</v>
      </c>
      <c r="O54" s="300" t="s">
        <v>716</v>
      </c>
      <c r="P54" s="428" t="s">
        <v>717</v>
      </c>
      <c r="Q54" s="300" t="s">
        <v>738</v>
      </c>
      <c r="R54" s="193" t="s">
        <v>687</v>
      </c>
      <c r="S54" s="301"/>
      <c r="T54" s="301"/>
      <c r="W54" s="360">
        <v>45512.0</v>
      </c>
      <c r="X54" s="2">
        <f t="shared" si="12"/>
        <v>884.6</v>
      </c>
      <c r="AA54" s="301"/>
      <c r="AB54" s="301"/>
      <c r="AC54" s="301"/>
      <c r="AE54" s="301"/>
      <c r="AF54" s="301"/>
      <c r="AG54" s="301"/>
    </row>
    <row r="55">
      <c r="E55" s="2">
        <f t="shared" si="9"/>
        <v>498</v>
      </c>
      <c r="F55" s="2">
        <f t="shared" si="10"/>
        <v>174968.33</v>
      </c>
      <c r="G55" s="2">
        <f t="shared" si="11"/>
        <v>351.3420281</v>
      </c>
      <c r="I55" s="206"/>
      <c r="J55" s="427">
        <v>45471.0</v>
      </c>
      <c r="K55" s="300">
        <v>20.0</v>
      </c>
      <c r="L55" s="300" t="s">
        <v>686</v>
      </c>
      <c r="M55" s="300" t="s">
        <v>737</v>
      </c>
      <c r="N55" s="300">
        <v>1.0</v>
      </c>
      <c r="O55" s="300" t="s">
        <v>716</v>
      </c>
      <c r="P55" s="428" t="s">
        <v>717</v>
      </c>
      <c r="Q55" s="300" t="s">
        <v>738</v>
      </c>
      <c r="R55" s="193" t="s">
        <v>687</v>
      </c>
      <c r="S55" s="301"/>
      <c r="T55" s="301"/>
      <c r="W55" s="360">
        <v>45513.0</v>
      </c>
      <c r="X55" s="2">
        <f t="shared" si="12"/>
        <v>185</v>
      </c>
      <c r="AA55" s="301"/>
      <c r="AB55" s="301"/>
      <c r="AC55" s="301"/>
      <c r="AE55" s="301"/>
      <c r="AF55" s="301"/>
      <c r="AG55" s="301"/>
    </row>
    <row r="56">
      <c r="E56" s="2">
        <f t="shared" si="9"/>
        <v>498</v>
      </c>
      <c r="F56" s="2">
        <f t="shared" si="10"/>
        <v>174948.33</v>
      </c>
      <c r="G56" s="2">
        <f t="shared" si="11"/>
        <v>351.3018675</v>
      </c>
      <c r="I56" s="206"/>
      <c r="J56" s="427">
        <v>45471.0</v>
      </c>
      <c r="K56" s="300">
        <v>20.0</v>
      </c>
      <c r="L56" s="300" t="s">
        <v>686</v>
      </c>
      <c r="M56" s="300" t="s">
        <v>725</v>
      </c>
      <c r="N56" s="300">
        <v>2.0</v>
      </c>
      <c r="O56" s="300" t="s">
        <v>716</v>
      </c>
      <c r="P56" s="428" t="s">
        <v>717</v>
      </c>
      <c r="Q56" s="300" t="s">
        <v>724</v>
      </c>
      <c r="R56" s="193" t="s">
        <v>687</v>
      </c>
      <c r="S56" s="301"/>
      <c r="T56" s="301"/>
      <c r="W56" s="360">
        <v>45514.0</v>
      </c>
      <c r="X56" s="2">
        <f t="shared" si="12"/>
        <v>4069.4</v>
      </c>
      <c r="AA56" s="301"/>
      <c r="AB56" s="301"/>
      <c r="AC56" s="301"/>
      <c r="AE56" s="301"/>
      <c r="AF56" s="301"/>
      <c r="AG56" s="301"/>
    </row>
    <row r="57">
      <c r="E57" s="2">
        <f t="shared" si="9"/>
        <v>498</v>
      </c>
      <c r="F57" s="2">
        <f t="shared" si="10"/>
        <v>174928.33</v>
      </c>
      <c r="G57" s="2">
        <f t="shared" si="11"/>
        <v>351.2617068</v>
      </c>
      <c r="I57" s="206"/>
      <c r="J57" s="427">
        <v>45471.0</v>
      </c>
      <c r="K57" s="300">
        <v>26.0</v>
      </c>
      <c r="L57" s="300" t="s">
        <v>690</v>
      </c>
      <c r="M57" s="300" t="s">
        <v>723</v>
      </c>
      <c r="N57" s="300">
        <v>2.0</v>
      </c>
      <c r="O57" s="300" t="s">
        <v>716</v>
      </c>
      <c r="P57" s="428" t="s">
        <v>717</v>
      </c>
      <c r="Q57" s="300" t="s">
        <v>724</v>
      </c>
      <c r="R57" s="193" t="s">
        <v>687</v>
      </c>
      <c r="S57" s="301"/>
      <c r="T57" s="301"/>
      <c r="W57" s="360">
        <v>45515.0</v>
      </c>
      <c r="X57" s="2">
        <f t="shared" si="12"/>
        <v>2560</v>
      </c>
      <c r="AA57" s="301"/>
      <c r="AB57" s="301"/>
      <c r="AC57" s="301"/>
      <c r="AE57" s="301"/>
      <c r="AF57" s="301"/>
      <c r="AG57" s="301"/>
    </row>
    <row r="58">
      <c r="E58" s="2">
        <f t="shared" si="9"/>
        <v>498</v>
      </c>
      <c r="F58" s="2">
        <f t="shared" si="10"/>
        <v>174902.33</v>
      </c>
      <c r="G58" s="2">
        <f t="shared" si="11"/>
        <v>351.209498</v>
      </c>
      <c r="I58" s="206"/>
      <c r="J58" s="427">
        <v>45471.0</v>
      </c>
      <c r="K58" s="300">
        <v>220.0</v>
      </c>
      <c r="L58" s="6" t="s">
        <v>692</v>
      </c>
      <c r="M58" s="300" t="s">
        <v>746</v>
      </c>
      <c r="N58" s="300">
        <v>2.04</v>
      </c>
      <c r="O58" s="300" t="s">
        <v>747</v>
      </c>
      <c r="P58" s="428" t="s">
        <v>717</v>
      </c>
      <c r="Q58" s="300" t="s">
        <v>748</v>
      </c>
      <c r="R58" s="6" t="s">
        <v>76</v>
      </c>
      <c r="S58" s="301"/>
      <c r="T58" s="301"/>
      <c r="W58" s="360">
        <v>45517.0</v>
      </c>
      <c r="X58" s="2">
        <f t="shared" si="12"/>
        <v>895</v>
      </c>
      <c r="AA58" s="301"/>
      <c r="AB58" s="301"/>
      <c r="AC58" s="301"/>
      <c r="AE58" s="301"/>
      <c r="AF58" s="301"/>
      <c r="AG58" s="301"/>
    </row>
    <row r="59">
      <c r="E59" s="2">
        <f t="shared" si="9"/>
        <v>498</v>
      </c>
      <c r="F59" s="2">
        <f t="shared" si="10"/>
        <v>174682.33</v>
      </c>
      <c r="G59" s="2">
        <f t="shared" si="11"/>
        <v>350.7677309</v>
      </c>
      <c r="I59" s="206"/>
      <c r="J59" s="427">
        <v>45471.0</v>
      </c>
      <c r="K59" s="300">
        <v>50.0</v>
      </c>
      <c r="L59" s="300" t="s">
        <v>686</v>
      </c>
      <c r="M59" s="300" t="s">
        <v>749</v>
      </c>
      <c r="N59" s="300">
        <v>1.0</v>
      </c>
      <c r="O59" s="300" t="s">
        <v>716</v>
      </c>
      <c r="P59" s="428" t="s">
        <v>717</v>
      </c>
      <c r="Q59" s="300" t="s">
        <v>750</v>
      </c>
      <c r="R59" s="193" t="s">
        <v>687</v>
      </c>
      <c r="S59" s="301"/>
      <c r="T59" s="301"/>
      <c r="W59" s="360">
        <v>45518.0</v>
      </c>
      <c r="X59" s="2">
        <f t="shared" si="12"/>
        <v>904</v>
      </c>
      <c r="AA59" s="301"/>
      <c r="AB59" s="301"/>
      <c r="AC59" s="301"/>
      <c r="AE59" s="301"/>
      <c r="AF59" s="301"/>
      <c r="AG59" s="301"/>
    </row>
    <row r="60">
      <c r="E60" s="2">
        <f t="shared" si="9"/>
        <v>498</v>
      </c>
      <c r="F60" s="2">
        <f t="shared" si="10"/>
        <v>174632.33</v>
      </c>
      <c r="G60" s="2">
        <f t="shared" si="11"/>
        <v>350.6673293</v>
      </c>
      <c r="I60" s="206"/>
      <c r="J60" s="427">
        <v>45471.0</v>
      </c>
      <c r="K60" s="300">
        <v>15.0</v>
      </c>
      <c r="L60" s="300" t="s">
        <v>686</v>
      </c>
      <c r="M60" s="300" t="s">
        <v>751</v>
      </c>
      <c r="N60" s="300">
        <v>1.0</v>
      </c>
      <c r="O60" s="300" t="s">
        <v>716</v>
      </c>
      <c r="P60" s="428" t="s">
        <v>717</v>
      </c>
      <c r="Q60" s="300" t="s">
        <v>750</v>
      </c>
      <c r="R60" s="193" t="s">
        <v>687</v>
      </c>
      <c r="S60" s="301"/>
      <c r="T60" s="301"/>
      <c r="W60" s="360">
        <v>45519.0</v>
      </c>
      <c r="X60" s="2">
        <f t="shared" si="12"/>
        <v>500</v>
      </c>
      <c r="AA60" s="301"/>
      <c r="AB60" s="301"/>
      <c r="AC60" s="301"/>
      <c r="AE60" s="301"/>
      <c r="AF60" s="301"/>
      <c r="AG60" s="301"/>
    </row>
    <row r="61">
      <c r="E61" s="2">
        <f t="shared" si="9"/>
        <v>498</v>
      </c>
      <c r="F61" s="2">
        <f t="shared" si="10"/>
        <v>174617.33</v>
      </c>
      <c r="G61" s="2">
        <f t="shared" si="11"/>
        <v>350.6372088</v>
      </c>
      <c r="I61" s="206"/>
      <c r="J61" s="427">
        <v>45471.0</v>
      </c>
      <c r="K61" s="300">
        <v>14.0</v>
      </c>
      <c r="L61" s="300" t="s">
        <v>686</v>
      </c>
      <c r="M61" s="300" t="s">
        <v>751</v>
      </c>
      <c r="N61" s="300">
        <v>1.0</v>
      </c>
      <c r="O61" s="300" t="s">
        <v>716</v>
      </c>
      <c r="P61" s="428" t="s">
        <v>717</v>
      </c>
      <c r="Q61" s="300" t="s">
        <v>750</v>
      </c>
      <c r="R61" s="193" t="s">
        <v>687</v>
      </c>
      <c r="S61" s="301"/>
      <c r="T61" s="301"/>
      <c r="W61" s="360">
        <v>45520.0</v>
      </c>
      <c r="X61" s="2">
        <f t="shared" si="12"/>
        <v>1720</v>
      </c>
      <c r="AA61" s="301"/>
      <c r="AB61" s="301"/>
      <c r="AC61" s="301"/>
      <c r="AE61" s="301"/>
      <c r="AF61" s="301"/>
      <c r="AG61" s="301"/>
    </row>
    <row r="62">
      <c r="E62" s="2">
        <f t="shared" si="9"/>
        <v>498</v>
      </c>
      <c r="F62" s="2">
        <f t="shared" si="10"/>
        <v>174603.33</v>
      </c>
      <c r="G62" s="2">
        <f t="shared" si="11"/>
        <v>350.6090964</v>
      </c>
      <c r="I62" s="206"/>
      <c r="J62" s="427">
        <v>45471.0</v>
      </c>
      <c r="K62" s="300">
        <v>39.0</v>
      </c>
      <c r="L62" s="300" t="s">
        <v>686</v>
      </c>
      <c r="M62" s="300" t="s">
        <v>752</v>
      </c>
      <c r="N62" s="300">
        <v>1.0</v>
      </c>
      <c r="O62" s="300" t="s">
        <v>734</v>
      </c>
      <c r="P62" s="428" t="s">
        <v>717</v>
      </c>
      <c r="Q62" s="300" t="s">
        <v>750</v>
      </c>
      <c r="R62" s="193" t="s">
        <v>687</v>
      </c>
      <c r="S62" s="301"/>
      <c r="T62" s="301"/>
      <c r="W62" s="360">
        <v>45521.0</v>
      </c>
      <c r="X62" s="2">
        <f t="shared" si="12"/>
        <v>3785.68</v>
      </c>
      <c r="AA62" s="301"/>
      <c r="AB62" s="301"/>
      <c r="AC62" s="301"/>
      <c r="AE62" s="301"/>
      <c r="AF62" s="301"/>
      <c r="AG62" s="301"/>
    </row>
    <row r="63">
      <c r="E63" s="2">
        <f t="shared" si="9"/>
        <v>498</v>
      </c>
      <c r="F63" s="2">
        <f t="shared" si="10"/>
        <v>174564.33</v>
      </c>
      <c r="G63" s="2">
        <f t="shared" si="11"/>
        <v>350.5307831</v>
      </c>
      <c r="I63" s="206"/>
      <c r="J63" s="427">
        <v>45471.0</v>
      </c>
      <c r="K63" s="300">
        <v>5.0</v>
      </c>
      <c r="L63" s="300" t="s">
        <v>686</v>
      </c>
      <c r="M63" s="300" t="s">
        <v>753</v>
      </c>
      <c r="N63" s="300">
        <v>1.0</v>
      </c>
      <c r="O63" s="300" t="s">
        <v>716</v>
      </c>
      <c r="P63" s="428" t="s">
        <v>717</v>
      </c>
      <c r="Q63" s="300" t="s">
        <v>750</v>
      </c>
      <c r="R63" s="193" t="s">
        <v>687</v>
      </c>
      <c r="S63" s="301"/>
      <c r="T63" s="301"/>
      <c r="W63" s="360">
        <v>45522.0</v>
      </c>
      <c r="X63" s="2">
        <f t="shared" si="12"/>
        <v>500</v>
      </c>
      <c r="AA63" s="301"/>
      <c r="AB63" s="301"/>
      <c r="AC63" s="301"/>
      <c r="AE63" s="301"/>
      <c r="AF63" s="301"/>
      <c r="AG63" s="301"/>
    </row>
    <row r="64">
      <c r="E64" s="2">
        <f t="shared" si="9"/>
        <v>498</v>
      </c>
      <c r="F64" s="2">
        <f t="shared" si="10"/>
        <v>174559.33</v>
      </c>
      <c r="G64" s="2">
        <f t="shared" si="11"/>
        <v>350.520743</v>
      </c>
      <c r="I64" s="206"/>
      <c r="J64" s="427">
        <v>45471.0</v>
      </c>
      <c r="K64" s="300">
        <v>19.53</v>
      </c>
      <c r="L64" s="300" t="s">
        <v>686</v>
      </c>
      <c r="M64" s="300" t="s">
        <v>754</v>
      </c>
      <c r="N64" s="300">
        <v>434.0</v>
      </c>
      <c r="O64" s="300" t="s">
        <v>745</v>
      </c>
      <c r="P64" s="428" t="s">
        <v>717</v>
      </c>
      <c r="Q64" s="300" t="s">
        <v>750</v>
      </c>
      <c r="R64" s="193" t="s">
        <v>687</v>
      </c>
      <c r="S64" s="301"/>
      <c r="T64" s="301"/>
      <c r="W64" s="360">
        <v>45523.0</v>
      </c>
      <c r="X64" s="2">
        <f t="shared" si="12"/>
        <v>3511</v>
      </c>
      <c r="AA64" s="301"/>
      <c r="AB64" s="301"/>
      <c r="AC64" s="301"/>
      <c r="AE64" s="301"/>
      <c r="AF64" s="301"/>
      <c r="AG64" s="301"/>
    </row>
    <row r="65">
      <c r="E65" s="2">
        <f t="shared" si="9"/>
        <v>498</v>
      </c>
      <c r="F65" s="2">
        <f t="shared" si="10"/>
        <v>174539.8</v>
      </c>
      <c r="G65" s="2">
        <f t="shared" si="11"/>
        <v>350.4815261</v>
      </c>
      <c r="I65" s="206"/>
      <c r="J65" s="427">
        <v>45471.0</v>
      </c>
      <c r="K65" s="300">
        <v>22.44</v>
      </c>
      <c r="L65" s="300" t="s">
        <v>686</v>
      </c>
      <c r="M65" s="300" t="s">
        <v>755</v>
      </c>
      <c r="N65" s="300">
        <v>284.0</v>
      </c>
      <c r="O65" s="300" t="s">
        <v>745</v>
      </c>
      <c r="P65" s="428" t="s">
        <v>717</v>
      </c>
      <c r="Q65" s="300" t="s">
        <v>750</v>
      </c>
      <c r="R65" s="193" t="s">
        <v>687</v>
      </c>
      <c r="S65" s="301"/>
      <c r="T65" s="301"/>
      <c r="W65" s="360">
        <v>45524.0</v>
      </c>
      <c r="X65" s="2">
        <f t="shared" si="12"/>
        <v>1595.62</v>
      </c>
      <c r="AA65" s="301"/>
      <c r="AB65" s="301"/>
      <c r="AC65" s="301"/>
      <c r="AE65" s="301"/>
      <c r="AF65" s="301"/>
      <c r="AG65" s="301"/>
    </row>
    <row r="66">
      <c r="E66" s="2">
        <f t="shared" si="9"/>
        <v>498</v>
      </c>
      <c r="F66" s="2">
        <f t="shared" si="10"/>
        <v>174517.36</v>
      </c>
      <c r="G66" s="2">
        <f t="shared" si="11"/>
        <v>350.4364659</v>
      </c>
      <c r="I66" s="206"/>
      <c r="J66" s="427">
        <v>45471.0</v>
      </c>
      <c r="K66" s="300">
        <v>12.64</v>
      </c>
      <c r="L66" s="300" t="s">
        <v>686</v>
      </c>
      <c r="M66" s="300" t="s">
        <v>756</v>
      </c>
      <c r="N66" s="300">
        <v>98.0</v>
      </c>
      <c r="O66" s="300" t="s">
        <v>745</v>
      </c>
      <c r="P66" s="428" t="s">
        <v>717</v>
      </c>
      <c r="Q66" s="300" t="s">
        <v>750</v>
      </c>
      <c r="R66" s="193" t="s">
        <v>687</v>
      </c>
      <c r="S66" s="301"/>
      <c r="T66" s="301"/>
      <c r="W66" s="360">
        <v>45525.0</v>
      </c>
      <c r="X66" s="2">
        <f t="shared" si="12"/>
        <v>437.84</v>
      </c>
      <c r="AA66" s="301"/>
      <c r="AB66" s="301"/>
      <c r="AC66" s="301"/>
      <c r="AE66" s="301"/>
      <c r="AF66" s="301"/>
      <c r="AG66" s="301"/>
    </row>
    <row r="67">
      <c r="E67" s="2">
        <f t="shared" si="9"/>
        <v>498</v>
      </c>
      <c r="F67" s="2">
        <f t="shared" si="10"/>
        <v>174504.72</v>
      </c>
      <c r="G67" s="2">
        <f t="shared" si="11"/>
        <v>350.4110843</v>
      </c>
      <c r="I67" s="206"/>
      <c r="J67" s="427">
        <v>45471.0</v>
      </c>
      <c r="K67" s="300">
        <v>200.0</v>
      </c>
      <c r="L67" s="300" t="s">
        <v>686</v>
      </c>
      <c r="M67" s="300" t="s">
        <v>731</v>
      </c>
      <c r="N67" s="300">
        <v>30.0</v>
      </c>
      <c r="O67" s="300" t="s">
        <v>716</v>
      </c>
      <c r="P67" s="428" t="s">
        <v>717</v>
      </c>
      <c r="Q67" s="300" t="s">
        <v>750</v>
      </c>
      <c r="R67" s="193" t="s">
        <v>687</v>
      </c>
      <c r="S67" s="301"/>
      <c r="T67" s="301"/>
      <c r="W67" s="360">
        <v>45526.0</v>
      </c>
      <c r="X67" s="2">
        <f t="shared" si="12"/>
        <v>4343.64</v>
      </c>
      <c r="AA67" s="301"/>
      <c r="AB67" s="301"/>
      <c r="AC67" s="301"/>
      <c r="AE67" s="301"/>
      <c r="AF67" s="301"/>
      <c r="AG67" s="301"/>
    </row>
    <row r="68">
      <c r="E68" s="2">
        <f t="shared" si="9"/>
        <v>498</v>
      </c>
      <c r="F68" s="2">
        <f t="shared" si="10"/>
        <v>174304.72</v>
      </c>
      <c r="G68" s="2">
        <f t="shared" si="11"/>
        <v>350.0094779</v>
      </c>
      <c r="I68" s="206"/>
      <c r="J68" s="427">
        <v>45471.0</v>
      </c>
      <c r="K68" s="300">
        <v>26.0</v>
      </c>
      <c r="L68" s="300" t="s">
        <v>690</v>
      </c>
      <c r="M68" s="300" t="s">
        <v>723</v>
      </c>
      <c r="N68" s="300">
        <v>2.0</v>
      </c>
      <c r="O68" s="300" t="s">
        <v>716</v>
      </c>
      <c r="P68" s="428" t="s">
        <v>717</v>
      </c>
      <c r="Q68" s="300" t="s">
        <v>724</v>
      </c>
      <c r="R68" s="193" t="s">
        <v>687</v>
      </c>
      <c r="S68" s="301"/>
      <c r="T68" s="301"/>
      <c r="W68" s="360">
        <v>45527.0</v>
      </c>
      <c r="X68" s="2">
        <f t="shared" si="12"/>
        <v>4811.38</v>
      </c>
      <c r="AA68" s="301"/>
      <c r="AB68" s="301"/>
      <c r="AC68" s="301"/>
      <c r="AE68" s="301"/>
      <c r="AF68" s="301"/>
      <c r="AG68" s="301"/>
    </row>
    <row r="69">
      <c r="E69" s="2">
        <f t="shared" si="9"/>
        <v>498</v>
      </c>
      <c r="F69" s="2">
        <f t="shared" si="10"/>
        <v>174278.72</v>
      </c>
      <c r="G69" s="2">
        <f t="shared" si="11"/>
        <v>349.9572691</v>
      </c>
      <c r="I69" s="206"/>
      <c r="J69" s="427">
        <v>45471.0</v>
      </c>
      <c r="K69" s="300">
        <v>2.0</v>
      </c>
      <c r="L69" s="300" t="s">
        <v>686</v>
      </c>
      <c r="M69" s="300" t="s">
        <v>739</v>
      </c>
      <c r="N69" s="300">
        <v>2.0</v>
      </c>
      <c r="O69" s="300" t="s">
        <v>716</v>
      </c>
      <c r="P69" s="428" t="s">
        <v>717</v>
      </c>
      <c r="Q69" s="300" t="s">
        <v>724</v>
      </c>
      <c r="R69" s="193" t="s">
        <v>687</v>
      </c>
      <c r="S69" s="301"/>
      <c r="T69" s="301"/>
      <c r="W69" s="360">
        <v>45528.0</v>
      </c>
      <c r="X69" s="2">
        <f t="shared" si="12"/>
        <v>6676</v>
      </c>
      <c r="AA69" s="301"/>
      <c r="AB69" s="301"/>
      <c r="AC69" s="301"/>
      <c r="AE69" s="301"/>
      <c r="AF69" s="301"/>
      <c r="AG69" s="301"/>
    </row>
    <row r="70">
      <c r="E70" s="2">
        <f t="shared" si="9"/>
        <v>498</v>
      </c>
      <c r="F70" s="2">
        <f t="shared" si="10"/>
        <v>174276.72</v>
      </c>
      <c r="G70" s="2">
        <f t="shared" si="11"/>
        <v>349.953253</v>
      </c>
      <c r="I70" s="206"/>
      <c r="J70" s="427">
        <v>45471.0</v>
      </c>
      <c r="K70" s="300">
        <v>26.0</v>
      </c>
      <c r="L70" s="300" t="s">
        <v>690</v>
      </c>
      <c r="M70" s="300" t="s">
        <v>723</v>
      </c>
      <c r="N70" s="300">
        <v>2.0</v>
      </c>
      <c r="O70" s="300" t="s">
        <v>716</v>
      </c>
      <c r="P70" s="428" t="s">
        <v>717</v>
      </c>
      <c r="Q70" s="300" t="s">
        <v>757</v>
      </c>
      <c r="R70" s="411" t="s">
        <v>687</v>
      </c>
      <c r="S70" s="301"/>
      <c r="T70" s="301"/>
      <c r="W70" s="360">
        <v>45529.0</v>
      </c>
      <c r="X70" s="2">
        <f t="shared" si="12"/>
        <v>2523</v>
      </c>
      <c r="AA70" s="301"/>
      <c r="AB70" s="301"/>
      <c r="AC70" s="301"/>
      <c r="AE70" s="301"/>
      <c r="AF70" s="301"/>
      <c r="AG70" s="301"/>
    </row>
    <row r="71">
      <c r="E71" s="2">
        <f t="shared" si="9"/>
        <v>497</v>
      </c>
      <c r="F71" s="2">
        <f t="shared" si="10"/>
        <v>174250.72</v>
      </c>
      <c r="G71" s="2">
        <f t="shared" si="11"/>
        <v>350.6050704</v>
      </c>
      <c r="I71" s="206"/>
      <c r="J71" s="425">
        <v>45472.0</v>
      </c>
      <c r="K71" s="332">
        <v>30.0</v>
      </c>
      <c r="L71" s="332" t="s">
        <v>695</v>
      </c>
      <c r="M71" s="332" t="s">
        <v>758</v>
      </c>
      <c r="N71" s="332">
        <v>1.0</v>
      </c>
      <c r="O71" s="300" t="s">
        <v>716</v>
      </c>
      <c r="P71" s="426" t="s">
        <v>717</v>
      </c>
      <c r="Q71" s="332" t="s">
        <v>759</v>
      </c>
      <c r="R71" s="6" t="s">
        <v>76</v>
      </c>
      <c r="S71" s="301"/>
      <c r="T71" s="301"/>
      <c r="W71" s="360">
        <v>45530.0</v>
      </c>
      <c r="X71" s="2">
        <f t="shared" si="12"/>
        <v>559</v>
      </c>
      <c r="AA71" s="301"/>
      <c r="AB71" s="301"/>
      <c r="AC71" s="301"/>
      <c r="AE71" s="301"/>
      <c r="AF71" s="301"/>
      <c r="AG71" s="301"/>
    </row>
    <row r="72">
      <c r="E72" s="2">
        <f t="shared" si="9"/>
        <v>497</v>
      </c>
      <c r="F72" s="2">
        <f t="shared" si="10"/>
        <v>174220.72</v>
      </c>
      <c r="G72" s="2">
        <f t="shared" si="11"/>
        <v>350.5447082</v>
      </c>
      <c r="I72" s="206"/>
      <c r="J72" s="427">
        <v>45472.0</v>
      </c>
      <c r="K72" s="300">
        <v>399.0</v>
      </c>
      <c r="L72" s="300" t="s">
        <v>686</v>
      </c>
      <c r="M72" s="300" t="s">
        <v>760</v>
      </c>
      <c r="N72" s="300">
        <v>1.0</v>
      </c>
      <c r="O72" s="300" t="s">
        <v>716</v>
      </c>
      <c r="P72" s="428" t="s">
        <v>727</v>
      </c>
      <c r="Q72" s="300" t="s">
        <v>759</v>
      </c>
      <c r="R72" s="6" t="s">
        <v>76</v>
      </c>
      <c r="S72" s="301"/>
      <c r="T72" s="301"/>
      <c r="W72" s="360">
        <v>45531.0</v>
      </c>
      <c r="X72" s="2">
        <f t="shared" si="12"/>
        <v>1590</v>
      </c>
      <c r="AA72" s="301"/>
      <c r="AB72" s="301"/>
      <c r="AC72" s="301"/>
      <c r="AE72" s="301"/>
      <c r="AF72" s="301"/>
      <c r="AG72" s="301"/>
    </row>
    <row r="73">
      <c r="E73" s="2">
        <f t="shared" si="9"/>
        <v>497</v>
      </c>
      <c r="F73" s="2">
        <f t="shared" si="10"/>
        <v>173821.72</v>
      </c>
      <c r="G73" s="2">
        <f t="shared" si="11"/>
        <v>349.7418913</v>
      </c>
      <c r="I73" s="206"/>
      <c r="J73" s="427">
        <v>45472.0</v>
      </c>
      <c r="K73" s="300">
        <v>240.0</v>
      </c>
      <c r="L73" s="300" t="s">
        <v>686</v>
      </c>
      <c r="M73" s="300" t="s">
        <v>761</v>
      </c>
      <c r="N73" s="300">
        <v>2.0</v>
      </c>
      <c r="O73" s="300" t="s">
        <v>716</v>
      </c>
      <c r="P73" s="428" t="s">
        <v>727</v>
      </c>
      <c r="Q73" s="300" t="s">
        <v>759</v>
      </c>
      <c r="R73" s="6" t="s">
        <v>76</v>
      </c>
      <c r="S73" s="301"/>
      <c r="T73" s="301"/>
      <c r="W73" s="360">
        <v>45533.0</v>
      </c>
      <c r="X73" s="2">
        <f t="shared" si="12"/>
        <v>423.38</v>
      </c>
      <c r="AA73" s="301"/>
      <c r="AB73" s="301"/>
      <c r="AC73" s="301"/>
      <c r="AE73" s="301"/>
      <c r="AF73" s="301"/>
      <c r="AG73" s="301"/>
    </row>
    <row r="74">
      <c r="E74" s="2">
        <f t="shared" si="9"/>
        <v>497</v>
      </c>
      <c r="F74" s="2">
        <f t="shared" si="10"/>
        <v>173581.72</v>
      </c>
      <c r="G74" s="2">
        <f t="shared" si="11"/>
        <v>349.258994</v>
      </c>
      <c r="I74" s="206"/>
      <c r="J74" s="427">
        <v>45472.0</v>
      </c>
      <c r="K74" s="300">
        <v>26.0</v>
      </c>
      <c r="L74" s="300" t="s">
        <v>690</v>
      </c>
      <c r="M74" s="300" t="s">
        <v>723</v>
      </c>
      <c r="N74" s="300">
        <v>2.0</v>
      </c>
      <c r="O74" s="300" t="s">
        <v>716</v>
      </c>
      <c r="P74" s="428" t="s">
        <v>717</v>
      </c>
      <c r="Q74" s="300" t="s">
        <v>724</v>
      </c>
      <c r="R74" s="6" t="s">
        <v>76</v>
      </c>
      <c r="S74" s="301"/>
      <c r="T74" s="301"/>
      <c r="W74" s="360">
        <v>45534.0</v>
      </c>
      <c r="X74" s="2">
        <f t="shared" si="12"/>
        <v>841.16</v>
      </c>
      <c r="AA74" s="301"/>
      <c r="AB74" s="301"/>
      <c r="AC74" s="301"/>
      <c r="AE74" s="301"/>
      <c r="AF74" s="301"/>
      <c r="AG74" s="301"/>
    </row>
    <row r="75">
      <c r="E75" s="2">
        <f t="shared" si="9"/>
        <v>497</v>
      </c>
      <c r="F75" s="2">
        <f t="shared" si="10"/>
        <v>173555.72</v>
      </c>
      <c r="G75" s="2">
        <f t="shared" si="11"/>
        <v>349.2066801</v>
      </c>
      <c r="I75" s="206"/>
      <c r="J75" s="427">
        <v>45472.0</v>
      </c>
      <c r="K75" s="300">
        <v>20.0</v>
      </c>
      <c r="L75" s="300" t="s">
        <v>686</v>
      </c>
      <c r="M75" s="300" t="s">
        <v>725</v>
      </c>
      <c r="N75" s="300">
        <v>2.0</v>
      </c>
      <c r="O75" s="300" t="s">
        <v>716</v>
      </c>
      <c r="P75" s="428" t="s">
        <v>717</v>
      </c>
      <c r="Q75" s="300" t="s">
        <v>724</v>
      </c>
      <c r="R75" s="193" t="s">
        <v>687</v>
      </c>
      <c r="S75" s="301"/>
      <c r="T75" s="301"/>
      <c r="W75" s="360">
        <v>45535.0</v>
      </c>
      <c r="X75" s="2">
        <f t="shared" si="12"/>
        <v>6793.66</v>
      </c>
      <c r="AA75" s="301"/>
      <c r="AB75" s="301"/>
      <c r="AC75" s="301"/>
      <c r="AE75" s="301"/>
      <c r="AF75" s="301"/>
      <c r="AG75" s="301"/>
    </row>
    <row r="76">
      <c r="E76" s="2">
        <f t="shared" si="9"/>
        <v>497</v>
      </c>
      <c r="F76" s="2">
        <f t="shared" si="10"/>
        <v>173535.72</v>
      </c>
      <c r="G76" s="2">
        <f t="shared" si="11"/>
        <v>349.1664386</v>
      </c>
      <c r="I76" s="206"/>
      <c r="J76" s="427">
        <v>45472.0</v>
      </c>
      <c r="K76" s="300">
        <v>120.0</v>
      </c>
      <c r="L76" s="300" t="s">
        <v>693</v>
      </c>
      <c r="M76" s="300" t="s">
        <v>762</v>
      </c>
      <c r="N76" s="300">
        <v>1.0</v>
      </c>
      <c r="O76" s="300" t="s">
        <v>716</v>
      </c>
      <c r="P76" s="428" t="s">
        <v>717</v>
      </c>
      <c r="Q76" s="300" t="s">
        <v>763</v>
      </c>
      <c r="R76" s="193" t="s">
        <v>687</v>
      </c>
      <c r="S76" s="301"/>
      <c r="T76" s="301"/>
      <c r="W76" s="360">
        <v>45536.0</v>
      </c>
      <c r="X76" s="2">
        <f t="shared" si="12"/>
        <v>6355.36</v>
      </c>
      <c r="AA76" s="301"/>
      <c r="AB76" s="301"/>
      <c r="AC76" s="301"/>
      <c r="AE76" s="301"/>
      <c r="AF76" s="301"/>
      <c r="AG76" s="301"/>
    </row>
    <row r="77">
      <c r="E77" s="2">
        <f t="shared" si="9"/>
        <v>497</v>
      </c>
      <c r="F77" s="2">
        <f t="shared" si="10"/>
        <v>173415.72</v>
      </c>
      <c r="G77" s="2">
        <f t="shared" si="11"/>
        <v>348.9249899</v>
      </c>
      <c r="I77" s="206"/>
      <c r="J77" s="427">
        <v>45472.0</v>
      </c>
      <c r="K77" s="300">
        <v>368.0</v>
      </c>
      <c r="L77" s="300" t="s">
        <v>686</v>
      </c>
      <c r="M77" s="300" t="s">
        <v>764</v>
      </c>
      <c r="N77" s="300">
        <v>2.0</v>
      </c>
      <c r="O77" s="300" t="s">
        <v>734</v>
      </c>
      <c r="P77" s="428" t="s">
        <v>765</v>
      </c>
      <c r="Q77" s="300" t="s">
        <v>766</v>
      </c>
      <c r="R77" s="193" t="s">
        <v>687</v>
      </c>
      <c r="S77" s="301"/>
      <c r="T77" s="301"/>
      <c r="W77" s="360">
        <v>45537.0</v>
      </c>
      <c r="X77" s="2">
        <f t="shared" si="12"/>
        <v>670</v>
      </c>
      <c r="AA77" s="301"/>
      <c r="AB77" s="301"/>
      <c r="AC77" s="301"/>
      <c r="AE77" s="301"/>
      <c r="AF77" s="301"/>
      <c r="AG77" s="301"/>
    </row>
    <row r="78">
      <c r="E78" s="2">
        <f t="shared" si="9"/>
        <v>497</v>
      </c>
      <c r="F78" s="2">
        <f t="shared" si="10"/>
        <v>173047.72</v>
      </c>
      <c r="G78" s="2">
        <f t="shared" si="11"/>
        <v>348.1845473</v>
      </c>
      <c r="I78" s="206"/>
      <c r="J78" s="427">
        <v>45472.0</v>
      </c>
      <c r="K78" s="300">
        <v>150.0</v>
      </c>
      <c r="L78" s="300" t="s">
        <v>686</v>
      </c>
      <c r="M78" s="300" t="s">
        <v>767</v>
      </c>
      <c r="N78" s="300">
        <v>3.0</v>
      </c>
      <c r="O78" s="300" t="s">
        <v>716</v>
      </c>
      <c r="P78" s="428" t="s">
        <v>765</v>
      </c>
      <c r="Q78" s="300" t="s">
        <v>768</v>
      </c>
      <c r="R78" s="193" t="s">
        <v>687</v>
      </c>
      <c r="S78" s="301"/>
      <c r="T78" s="301"/>
      <c r="W78" s="360">
        <v>45538.0</v>
      </c>
      <c r="X78" s="2">
        <f t="shared" si="12"/>
        <v>3060.5</v>
      </c>
      <c r="AA78" s="301"/>
      <c r="AB78" s="301"/>
      <c r="AC78" s="301"/>
      <c r="AE78" s="301"/>
      <c r="AF78" s="301"/>
      <c r="AG78" s="301"/>
    </row>
    <row r="79">
      <c r="E79" s="2">
        <f t="shared" si="9"/>
        <v>497</v>
      </c>
      <c r="F79" s="2">
        <f t="shared" si="10"/>
        <v>172897.72</v>
      </c>
      <c r="G79" s="2">
        <f t="shared" si="11"/>
        <v>347.8827364</v>
      </c>
      <c r="I79" s="206"/>
      <c r="J79" s="427">
        <v>45472.0</v>
      </c>
      <c r="K79" s="300">
        <v>25.0</v>
      </c>
      <c r="L79" s="300" t="s">
        <v>686</v>
      </c>
      <c r="M79" s="300" t="s">
        <v>769</v>
      </c>
      <c r="N79" s="300">
        <v>100.0</v>
      </c>
      <c r="O79" s="300" t="s">
        <v>745</v>
      </c>
      <c r="P79" s="428" t="s">
        <v>717</v>
      </c>
      <c r="Q79" s="300" t="s">
        <v>768</v>
      </c>
      <c r="R79" s="193" t="s">
        <v>687</v>
      </c>
      <c r="S79" s="301"/>
      <c r="T79" s="301"/>
      <c r="W79" s="360">
        <v>45539.0</v>
      </c>
      <c r="X79" s="2">
        <f t="shared" si="12"/>
        <v>1807.34</v>
      </c>
      <c r="AA79" s="301"/>
      <c r="AB79" s="301"/>
      <c r="AC79" s="301"/>
      <c r="AE79" s="301"/>
      <c r="AF79" s="301"/>
      <c r="AG79" s="301"/>
    </row>
    <row r="80">
      <c r="E80" s="2">
        <f t="shared" si="9"/>
        <v>497</v>
      </c>
      <c r="F80" s="2">
        <f t="shared" si="10"/>
        <v>172872.72</v>
      </c>
      <c r="G80" s="2">
        <f t="shared" si="11"/>
        <v>347.8324346</v>
      </c>
      <c r="I80" s="206"/>
      <c r="J80" s="427">
        <v>45472.0</v>
      </c>
      <c r="K80" s="300">
        <v>21.0</v>
      </c>
      <c r="L80" s="300" t="s">
        <v>686</v>
      </c>
      <c r="M80" s="300" t="s">
        <v>770</v>
      </c>
      <c r="N80" s="300">
        <v>6.0</v>
      </c>
      <c r="O80" s="300" t="s">
        <v>716</v>
      </c>
      <c r="P80" s="428" t="s">
        <v>765</v>
      </c>
      <c r="Q80" s="300" t="s">
        <v>768</v>
      </c>
      <c r="R80" s="193" t="s">
        <v>687</v>
      </c>
      <c r="S80" s="301"/>
      <c r="T80" s="301"/>
      <c r="W80" s="360">
        <v>45540.0</v>
      </c>
      <c r="X80" s="2">
        <f t="shared" si="12"/>
        <v>1139.92</v>
      </c>
      <c r="AA80" s="301"/>
      <c r="AB80" s="301"/>
      <c r="AC80" s="301"/>
      <c r="AE80" s="301"/>
      <c r="AF80" s="301"/>
      <c r="AG80" s="301"/>
    </row>
    <row r="81">
      <c r="E81" s="2">
        <f t="shared" si="9"/>
        <v>497</v>
      </c>
      <c r="F81" s="2">
        <f t="shared" si="10"/>
        <v>172851.72</v>
      </c>
      <c r="G81" s="2">
        <f t="shared" si="11"/>
        <v>347.7901811</v>
      </c>
      <c r="I81" s="206"/>
      <c r="J81" s="427">
        <v>45472.0</v>
      </c>
      <c r="K81" s="300">
        <v>26.0</v>
      </c>
      <c r="L81" s="300" t="s">
        <v>690</v>
      </c>
      <c r="M81" s="300" t="s">
        <v>723</v>
      </c>
      <c r="N81" s="300">
        <v>2.0</v>
      </c>
      <c r="O81" s="300" t="s">
        <v>716</v>
      </c>
      <c r="P81" s="428" t="s">
        <v>717</v>
      </c>
      <c r="Q81" s="300" t="s">
        <v>724</v>
      </c>
      <c r="R81" s="193" t="s">
        <v>687</v>
      </c>
      <c r="S81" s="301"/>
      <c r="T81" s="301"/>
      <c r="W81" s="360">
        <v>45542.0</v>
      </c>
      <c r="X81" s="2">
        <f t="shared" si="12"/>
        <v>1556.5</v>
      </c>
      <c r="AA81" s="301"/>
      <c r="AB81" s="301"/>
      <c r="AC81" s="301"/>
      <c r="AE81" s="301"/>
      <c r="AF81" s="301"/>
      <c r="AG81" s="301"/>
    </row>
    <row r="82">
      <c r="E82" s="2">
        <f t="shared" si="9"/>
        <v>497</v>
      </c>
      <c r="F82" s="2">
        <f t="shared" si="10"/>
        <v>172825.72</v>
      </c>
      <c r="G82" s="2">
        <f t="shared" si="11"/>
        <v>347.7378672</v>
      </c>
      <c r="I82" s="206"/>
      <c r="J82" s="430">
        <v>45472.0</v>
      </c>
      <c r="K82" s="302">
        <v>20.0</v>
      </c>
      <c r="L82" s="302" t="s">
        <v>686</v>
      </c>
      <c r="M82" s="302" t="s">
        <v>725</v>
      </c>
      <c r="N82" s="302">
        <v>2.0</v>
      </c>
      <c r="O82" s="300" t="s">
        <v>716</v>
      </c>
      <c r="P82" s="431" t="s">
        <v>717</v>
      </c>
      <c r="Q82" s="302" t="s">
        <v>724</v>
      </c>
      <c r="R82" s="411" t="s">
        <v>687</v>
      </c>
      <c r="S82" s="301"/>
      <c r="T82" s="301"/>
      <c r="W82" s="360">
        <v>45543.0</v>
      </c>
      <c r="X82" s="2">
        <f t="shared" si="12"/>
        <v>647.84</v>
      </c>
      <c r="AA82" s="301"/>
      <c r="AB82" s="301"/>
      <c r="AC82" s="301"/>
      <c r="AE82" s="301"/>
      <c r="AF82" s="301"/>
      <c r="AG82" s="301"/>
    </row>
    <row r="83">
      <c r="E83" s="2">
        <f t="shared" si="9"/>
        <v>496</v>
      </c>
      <c r="F83" s="2">
        <f t="shared" si="10"/>
        <v>172805.72</v>
      </c>
      <c r="G83" s="2">
        <f t="shared" si="11"/>
        <v>348.398629</v>
      </c>
      <c r="I83" s="206"/>
      <c r="J83" s="427">
        <v>45473.0</v>
      </c>
      <c r="K83" s="300">
        <v>40.0</v>
      </c>
      <c r="L83" s="300" t="s">
        <v>686</v>
      </c>
      <c r="M83" s="300" t="s">
        <v>737</v>
      </c>
      <c r="N83" s="300">
        <v>2.0</v>
      </c>
      <c r="O83" s="300" t="s">
        <v>716</v>
      </c>
      <c r="P83" s="428" t="s">
        <v>771</v>
      </c>
      <c r="Q83" s="300" t="s">
        <v>772</v>
      </c>
      <c r="R83" s="193" t="s">
        <v>687</v>
      </c>
      <c r="S83" s="301"/>
      <c r="T83" s="301"/>
      <c r="W83" s="360">
        <v>45544.0</v>
      </c>
      <c r="X83" s="2">
        <f t="shared" si="12"/>
        <v>1152</v>
      </c>
      <c r="AA83" s="301"/>
      <c r="AB83" s="301"/>
      <c r="AC83" s="301"/>
      <c r="AE83" s="301"/>
      <c r="AF83" s="301"/>
      <c r="AG83" s="301"/>
    </row>
    <row r="84">
      <c r="E84" s="2">
        <f t="shared" si="9"/>
        <v>496</v>
      </c>
      <c r="F84" s="2">
        <f t="shared" si="10"/>
        <v>172765.72</v>
      </c>
      <c r="G84" s="2">
        <f t="shared" si="11"/>
        <v>348.3179839</v>
      </c>
      <c r="I84" s="206"/>
      <c r="J84" s="427">
        <v>45473.0</v>
      </c>
      <c r="K84" s="300">
        <v>5.0</v>
      </c>
      <c r="L84" s="300" t="s">
        <v>686</v>
      </c>
      <c r="M84" s="300" t="s">
        <v>773</v>
      </c>
      <c r="N84" s="300">
        <v>1.0</v>
      </c>
      <c r="O84" s="300" t="s">
        <v>716</v>
      </c>
      <c r="P84" s="428" t="s">
        <v>722</v>
      </c>
      <c r="Q84" s="300" t="s">
        <v>772</v>
      </c>
      <c r="R84" s="193" t="s">
        <v>687</v>
      </c>
      <c r="S84" s="301"/>
      <c r="T84" s="301"/>
      <c r="W84" s="360">
        <v>45545.0</v>
      </c>
      <c r="X84" s="2">
        <f t="shared" si="12"/>
        <v>1265.57</v>
      </c>
      <c r="AA84" s="301"/>
      <c r="AB84" s="301"/>
      <c r="AC84" s="301"/>
      <c r="AE84" s="301"/>
      <c r="AF84" s="301"/>
      <c r="AG84" s="301"/>
    </row>
    <row r="85">
      <c r="E85" s="2">
        <f t="shared" si="9"/>
        <v>496</v>
      </c>
      <c r="F85" s="2">
        <f t="shared" si="10"/>
        <v>172760.72</v>
      </c>
      <c r="G85" s="2">
        <f t="shared" si="11"/>
        <v>348.3079032</v>
      </c>
      <c r="I85" s="206"/>
      <c r="J85" s="427">
        <v>45473.0</v>
      </c>
      <c r="K85" s="300">
        <v>20.0</v>
      </c>
      <c r="L85" s="300" t="s">
        <v>686</v>
      </c>
      <c r="M85" s="300" t="s">
        <v>725</v>
      </c>
      <c r="N85" s="300">
        <v>2.0</v>
      </c>
      <c r="O85" s="300" t="s">
        <v>716</v>
      </c>
      <c r="P85" s="428" t="s">
        <v>717</v>
      </c>
      <c r="Q85" s="300" t="s">
        <v>724</v>
      </c>
      <c r="R85" s="193" t="s">
        <v>687</v>
      </c>
      <c r="S85" s="301"/>
      <c r="T85" s="301"/>
      <c r="W85" s="360">
        <v>45546.0</v>
      </c>
      <c r="X85" s="2">
        <f t="shared" si="12"/>
        <v>203</v>
      </c>
      <c r="AA85" s="301"/>
      <c r="AB85" s="301"/>
      <c r="AC85" s="301"/>
      <c r="AE85" s="301"/>
      <c r="AF85" s="301"/>
      <c r="AG85" s="301"/>
    </row>
    <row r="86">
      <c r="E86" s="2">
        <f t="shared" si="9"/>
        <v>496</v>
      </c>
      <c r="F86" s="2">
        <f t="shared" si="10"/>
        <v>172740.72</v>
      </c>
      <c r="G86" s="2">
        <f t="shared" si="11"/>
        <v>348.2675806</v>
      </c>
      <c r="I86" s="206"/>
      <c r="J86" s="427">
        <v>45473.0</v>
      </c>
      <c r="K86" s="300">
        <v>26.0</v>
      </c>
      <c r="L86" s="300" t="s">
        <v>690</v>
      </c>
      <c r="M86" s="300" t="s">
        <v>723</v>
      </c>
      <c r="N86" s="300">
        <v>2.0</v>
      </c>
      <c r="O86" s="300" t="s">
        <v>716</v>
      </c>
      <c r="P86" s="428" t="s">
        <v>717</v>
      </c>
      <c r="Q86" s="300" t="s">
        <v>724</v>
      </c>
      <c r="R86" s="193" t="s">
        <v>687</v>
      </c>
      <c r="S86" s="301"/>
      <c r="T86" s="301"/>
      <c r="W86" s="360">
        <v>45547.0</v>
      </c>
      <c r="X86" s="2">
        <f t="shared" si="12"/>
        <v>4118</v>
      </c>
      <c r="AA86" s="301"/>
      <c r="AB86" s="301"/>
      <c r="AC86" s="301"/>
      <c r="AE86" s="301"/>
      <c r="AF86" s="301"/>
      <c r="AG86" s="301"/>
    </row>
    <row r="87">
      <c r="E87" s="2">
        <f t="shared" si="9"/>
        <v>496</v>
      </c>
      <c r="F87" s="2">
        <f t="shared" si="10"/>
        <v>172714.72</v>
      </c>
      <c r="G87" s="2">
        <f t="shared" si="11"/>
        <v>348.2151613</v>
      </c>
      <c r="I87" s="206"/>
      <c r="J87" s="427">
        <v>45473.0</v>
      </c>
      <c r="K87" s="300">
        <v>27.35</v>
      </c>
      <c r="L87" s="300" t="s">
        <v>686</v>
      </c>
      <c r="M87" s="300" t="s">
        <v>774</v>
      </c>
      <c r="N87" s="300">
        <v>636.0</v>
      </c>
      <c r="O87" s="300" t="s">
        <v>745</v>
      </c>
      <c r="P87" s="428" t="s">
        <v>765</v>
      </c>
      <c r="Q87" s="300" t="s">
        <v>750</v>
      </c>
      <c r="R87" s="193" t="s">
        <v>687</v>
      </c>
      <c r="S87" s="301"/>
      <c r="T87" s="301"/>
      <c r="W87" s="360">
        <v>45548.0</v>
      </c>
      <c r="X87" s="2">
        <f t="shared" si="12"/>
        <v>279</v>
      </c>
      <c r="AA87" s="301"/>
      <c r="AB87" s="301"/>
      <c r="AC87" s="301"/>
      <c r="AE87" s="301"/>
      <c r="AF87" s="301"/>
      <c r="AG87" s="301"/>
    </row>
    <row r="88">
      <c r="E88" s="2">
        <f t="shared" si="9"/>
        <v>496</v>
      </c>
      <c r="F88" s="2">
        <f t="shared" si="10"/>
        <v>172687.37</v>
      </c>
      <c r="G88" s="2">
        <f t="shared" si="11"/>
        <v>348.1600202</v>
      </c>
      <c r="I88" s="206"/>
      <c r="J88" s="427">
        <v>45473.0</v>
      </c>
      <c r="K88" s="300">
        <v>25.0</v>
      </c>
      <c r="L88" s="300" t="s">
        <v>686</v>
      </c>
      <c r="M88" s="300" t="s">
        <v>775</v>
      </c>
      <c r="N88" s="300">
        <v>500.0</v>
      </c>
      <c r="O88" s="300" t="s">
        <v>712</v>
      </c>
      <c r="P88" s="428" t="s">
        <v>765</v>
      </c>
      <c r="Q88" s="300" t="s">
        <v>750</v>
      </c>
      <c r="R88" s="193" t="s">
        <v>687</v>
      </c>
      <c r="S88" s="301"/>
      <c r="T88" s="301"/>
      <c r="W88" s="360">
        <v>45549.0</v>
      </c>
      <c r="X88" s="2">
        <f t="shared" si="12"/>
        <v>2898</v>
      </c>
      <c r="AA88" s="301"/>
      <c r="AB88" s="301"/>
      <c r="AC88" s="301"/>
      <c r="AE88" s="301"/>
      <c r="AF88" s="301"/>
      <c r="AG88" s="301"/>
    </row>
    <row r="89">
      <c r="E89" s="2">
        <f t="shared" si="9"/>
        <v>496</v>
      </c>
      <c r="F89" s="2">
        <f t="shared" si="10"/>
        <v>172662.37</v>
      </c>
      <c r="G89" s="2">
        <f t="shared" si="11"/>
        <v>348.1096169</v>
      </c>
      <c r="I89" s="206"/>
      <c r="J89" s="427">
        <v>45473.0</v>
      </c>
      <c r="K89" s="300">
        <v>100.0</v>
      </c>
      <c r="L89" s="300" t="s">
        <v>686</v>
      </c>
      <c r="M89" s="300" t="s">
        <v>776</v>
      </c>
      <c r="N89" s="300">
        <v>1.0</v>
      </c>
      <c r="O89" s="300" t="s">
        <v>716</v>
      </c>
      <c r="P89" s="428" t="s">
        <v>765</v>
      </c>
      <c r="Q89" s="300" t="s">
        <v>750</v>
      </c>
      <c r="R89" s="193" t="s">
        <v>687</v>
      </c>
      <c r="S89" s="301"/>
      <c r="T89" s="301"/>
      <c r="W89" s="360">
        <v>45550.0</v>
      </c>
      <c r="X89" s="2">
        <f t="shared" si="12"/>
        <v>66</v>
      </c>
      <c r="AA89" s="301"/>
      <c r="AB89" s="301"/>
      <c r="AC89" s="301"/>
      <c r="AE89" s="301"/>
      <c r="AF89" s="301"/>
      <c r="AG89" s="301"/>
    </row>
    <row r="90">
      <c r="E90" s="2">
        <f t="shared" si="9"/>
        <v>496</v>
      </c>
      <c r="F90" s="2">
        <f t="shared" si="10"/>
        <v>172562.37</v>
      </c>
      <c r="G90" s="2">
        <f t="shared" si="11"/>
        <v>347.908004</v>
      </c>
      <c r="I90" s="206"/>
      <c r="J90" s="427">
        <v>45473.0</v>
      </c>
      <c r="K90" s="300">
        <v>5.0</v>
      </c>
      <c r="L90" s="300" t="s">
        <v>686</v>
      </c>
      <c r="M90" s="300" t="s">
        <v>753</v>
      </c>
      <c r="N90" s="300">
        <v>1.0</v>
      </c>
      <c r="O90" s="300" t="s">
        <v>716</v>
      </c>
      <c r="P90" s="428" t="s">
        <v>765</v>
      </c>
      <c r="Q90" s="300" t="s">
        <v>750</v>
      </c>
      <c r="R90" s="193" t="s">
        <v>687</v>
      </c>
      <c r="S90" s="301"/>
      <c r="T90" s="301"/>
      <c r="W90" s="360">
        <v>45552.0</v>
      </c>
      <c r="X90" s="2">
        <f t="shared" si="12"/>
        <v>267</v>
      </c>
      <c r="AA90" s="301"/>
      <c r="AB90" s="301"/>
      <c r="AC90" s="301"/>
      <c r="AE90" s="301"/>
      <c r="AF90" s="301"/>
      <c r="AG90" s="301"/>
    </row>
    <row r="91">
      <c r="E91" s="2">
        <f t="shared" si="9"/>
        <v>496</v>
      </c>
      <c r="F91" s="2">
        <f t="shared" si="10"/>
        <v>172557.37</v>
      </c>
      <c r="G91" s="2">
        <f t="shared" si="11"/>
        <v>347.8979234</v>
      </c>
      <c r="I91" s="206"/>
      <c r="J91" s="427">
        <v>45473.0</v>
      </c>
      <c r="K91" s="300">
        <v>90.0</v>
      </c>
      <c r="L91" s="300" t="s">
        <v>686</v>
      </c>
      <c r="M91" s="300" t="s">
        <v>777</v>
      </c>
      <c r="N91" s="300">
        <v>1.0</v>
      </c>
      <c r="O91" s="300" t="s">
        <v>716</v>
      </c>
      <c r="P91" s="428" t="s">
        <v>765</v>
      </c>
      <c r="Q91" s="300" t="s">
        <v>778</v>
      </c>
      <c r="R91" s="193" t="s">
        <v>687</v>
      </c>
      <c r="S91" s="301"/>
      <c r="T91" s="301"/>
      <c r="W91" s="360">
        <v>45553.0</v>
      </c>
      <c r="X91" s="2">
        <f t="shared" si="12"/>
        <v>2610</v>
      </c>
      <c r="AA91" s="301"/>
      <c r="AB91" s="301"/>
      <c r="AC91" s="301"/>
      <c r="AE91" s="301"/>
      <c r="AF91" s="301"/>
      <c r="AG91" s="301"/>
    </row>
    <row r="92">
      <c r="E92" s="2">
        <f t="shared" si="9"/>
        <v>496</v>
      </c>
      <c r="F92" s="2">
        <f t="shared" si="10"/>
        <v>172467.37</v>
      </c>
      <c r="G92" s="2">
        <f t="shared" si="11"/>
        <v>347.7164718</v>
      </c>
      <c r="I92" s="206"/>
      <c r="J92" s="427">
        <v>45473.0</v>
      </c>
      <c r="K92" s="300">
        <v>75.0</v>
      </c>
      <c r="L92" s="300" t="s">
        <v>686</v>
      </c>
      <c r="M92" s="300" t="s">
        <v>779</v>
      </c>
      <c r="N92" s="300">
        <v>1.0</v>
      </c>
      <c r="O92" s="300" t="s">
        <v>716</v>
      </c>
      <c r="P92" s="428" t="s">
        <v>765</v>
      </c>
      <c r="Q92" s="300" t="s">
        <v>778</v>
      </c>
      <c r="R92" s="193" t="s">
        <v>687</v>
      </c>
      <c r="S92" s="301"/>
      <c r="T92" s="301"/>
      <c r="W92" s="360">
        <v>45554.0</v>
      </c>
      <c r="X92" s="2">
        <f t="shared" si="12"/>
        <v>762.14</v>
      </c>
      <c r="AA92" s="301"/>
      <c r="AB92" s="301"/>
      <c r="AC92" s="301"/>
      <c r="AE92" s="301"/>
      <c r="AF92" s="301"/>
      <c r="AG92" s="301"/>
    </row>
    <row r="93">
      <c r="E93" s="2">
        <f t="shared" si="9"/>
        <v>496</v>
      </c>
      <c r="F93" s="2">
        <f t="shared" si="10"/>
        <v>172392.37</v>
      </c>
      <c r="G93" s="2">
        <f t="shared" si="11"/>
        <v>347.5652621</v>
      </c>
      <c r="I93" s="206"/>
      <c r="J93" s="427">
        <v>45473.0</v>
      </c>
      <c r="K93" s="300">
        <v>1248.0</v>
      </c>
      <c r="L93" s="300" t="s">
        <v>692</v>
      </c>
      <c r="M93" s="300" t="s">
        <v>780</v>
      </c>
      <c r="N93" s="300">
        <v>1.0</v>
      </c>
      <c r="O93" s="300" t="s">
        <v>716</v>
      </c>
      <c r="P93" s="428" t="s">
        <v>645</v>
      </c>
      <c r="Q93" s="300" t="s">
        <v>781</v>
      </c>
      <c r="R93" s="6" t="s">
        <v>76</v>
      </c>
      <c r="S93" s="301"/>
      <c r="T93" s="301"/>
      <c r="W93" s="360">
        <v>45555.0</v>
      </c>
      <c r="X93" s="2">
        <f t="shared" si="12"/>
        <v>2019.38</v>
      </c>
      <c r="AA93" s="301"/>
      <c r="AB93" s="301"/>
      <c r="AC93" s="301"/>
      <c r="AE93" s="301"/>
      <c r="AF93" s="301"/>
      <c r="AG93" s="301"/>
    </row>
    <row r="94">
      <c r="E94" s="2">
        <f t="shared" si="9"/>
        <v>496</v>
      </c>
      <c r="F94" s="2">
        <f t="shared" si="10"/>
        <v>171144.37</v>
      </c>
      <c r="G94" s="2">
        <f t="shared" si="11"/>
        <v>345.0491331</v>
      </c>
      <c r="I94" s="206"/>
      <c r="J94" s="427">
        <v>45473.0</v>
      </c>
      <c r="K94" s="300">
        <v>26.0</v>
      </c>
      <c r="L94" s="300" t="s">
        <v>690</v>
      </c>
      <c r="M94" s="300" t="s">
        <v>782</v>
      </c>
      <c r="N94" s="300">
        <v>2.0</v>
      </c>
      <c r="O94" s="300" t="s">
        <v>716</v>
      </c>
      <c r="P94" s="428" t="s">
        <v>717</v>
      </c>
      <c r="Q94" s="300" t="s">
        <v>781</v>
      </c>
      <c r="R94" s="193" t="s">
        <v>687</v>
      </c>
      <c r="S94" s="301"/>
      <c r="T94" s="301"/>
      <c r="W94" s="360">
        <v>45560.0</v>
      </c>
      <c r="X94" s="2">
        <f t="shared" si="12"/>
        <v>5380</v>
      </c>
      <c r="AA94" s="301"/>
      <c r="AB94" s="301"/>
      <c r="AC94" s="301"/>
      <c r="AE94" s="301"/>
      <c r="AF94" s="301"/>
      <c r="AG94" s="301"/>
    </row>
    <row r="95">
      <c r="E95" s="2">
        <f t="shared" si="9"/>
        <v>496</v>
      </c>
      <c r="F95" s="2">
        <f t="shared" si="10"/>
        <v>171118.37</v>
      </c>
      <c r="G95" s="2">
        <f t="shared" si="11"/>
        <v>344.9967137</v>
      </c>
      <c r="I95" s="206"/>
      <c r="J95" s="427">
        <v>45473.0</v>
      </c>
      <c r="K95" s="300">
        <v>2.0</v>
      </c>
      <c r="L95" s="300" t="s">
        <v>686</v>
      </c>
      <c r="M95" s="300" t="s">
        <v>783</v>
      </c>
      <c r="N95" s="300">
        <v>2.0</v>
      </c>
      <c r="O95" s="300" t="s">
        <v>716</v>
      </c>
      <c r="P95" s="428" t="s">
        <v>717</v>
      </c>
      <c r="Q95" s="300" t="s">
        <v>781</v>
      </c>
      <c r="R95" s="193" t="s">
        <v>687</v>
      </c>
      <c r="S95" s="301"/>
      <c r="T95" s="301"/>
      <c r="W95" s="360">
        <v>45558.0</v>
      </c>
      <c r="X95" s="2">
        <f t="shared" si="12"/>
        <v>2068</v>
      </c>
      <c r="AA95" s="301"/>
      <c r="AB95" s="301"/>
      <c r="AC95" s="301"/>
      <c r="AE95" s="301"/>
      <c r="AF95" s="301"/>
      <c r="AG95" s="301"/>
    </row>
    <row r="96">
      <c r="E96" s="2">
        <f t="shared" si="9"/>
        <v>496</v>
      </c>
      <c r="F96" s="2">
        <f t="shared" si="10"/>
        <v>171116.37</v>
      </c>
      <c r="G96" s="2">
        <f t="shared" si="11"/>
        <v>344.9926815</v>
      </c>
      <c r="I96" s="206"/>
      <c r="J96" s="427">
        <v>45473.0</v>
      </c>
      <c r="K96" s="300">
        <v>150.0</v>
      </c>
      <c r="L96" s="300" t="s">
        <v>692</v>
      </c>
      <c r="M96" s="300" t="s">
        <v>784</v>
      </c>
      <c r="N96" s="300">
        <v>1.0</v>
      </c>
      <c r="O96" s="300" t="s">
        <v>716</v>
      </c>
      <c r="P96" s="428" t="s">
        <v>645</v>
      </c>
      <c r="Q96" s="300" t="s">
        <v>785</v>
      </c>
      <c r="R96" s="6" t="s">
        <v>76</v>
      </c>
      <c r="S96" s="301"/>
      <c r="T96" s="301"/>
      <c r="W96" s="360">
        <v>45557.0</v>
      </c>
      <c r="X96" s="2">
        <f t="shared" si="12"/>
        <v>1680</v>
      </c>
      <c r="AA96" s="301"/>
      <c r="AB96" s="301"/>
      <c r="AC96" s="301"/>
      <c r="AE96" s="301"/>
      <c r="AF96" s="301"/>
      <c r="AG96" s="301"/>
    </row>
    <row r="97">
      <c r="E97" s="2">
        <f t="shared" si="9"/>
        <v>496</v>
      </c>
      <c r="F97" s="2">
        <f t="shared" si="10"/>
        <v>170966.37</v>
      </c>
      <c r="G97" s="2">
        <f t="shared" si="11"/>
        <v>344.6902621</v>
      </c>
      <c r="I97" s="206"/>
      <c r="J97" s="427">
        <v>45473.0</v>
      </c>
      <c r="K97" s="300">
        <v>429.55</v>
      </c>
      <c r="L97" s="300" t="s">
        <v>692</v>
      </c>
      <c r="M97" s="300" t="s">
        <v>786</v>
      </c>
      <c r="N97" s="300">
        <v>4.0</v>
      </c>
      <c r="O97" s="300" t="s">
        <v>747</v>
      </c>
      <c r="P97" s="428" t="s">
        <v>645</v>
      </c>
      <c r="Q97" s="300" t="s">
        <v>787</v>
      </c>
      <c r="R97" s="193" t="s">
        <v>687</v>
      </c>
      <c r="S97" s="301"/>
      <c r="T97" s="301"/>
      <c r="W97" s="360">
        <v>45556.0</v>
      </c>
      <c r="X97" s="2">
        <f t="shared" si="12"/>
        <v>4425.12</v>
      </c>
      <c r="AA97" s="301"/>
      <c r="AB97" s="301"/>
      <c r="AC97" s="301"/>
      <c r="AE97" s="301"/>
      <c r="AF97" s="301"/>
      <c r="AG97" s="301"/>
    </row>
    <row r="98">
      <c r="E98" s="2">
        <f t="shared" si="9"/>
        <v>496</v>
      </c>
      <c r="F98" s="2">
        <f t="shared" si="10"/>
        <v>170536.82</v>
      </c>
      <c r="G98" s="2">
        <f t="shared" si="11"/>
        <v>343.8242339</v>
      </c>
      <c r="I98" s="206"/>
      <c r="J98" s="427">
        <v>45473.0</v>
      </c>
      <c r="K98" s="300">
        <v>2599.08</v>
      </c>
      <c r="L98" s="300" t="s">
        <v>692</v>
      </c>
      <c r="M98" s="300" t="s">
        <v>788</v>
      </c>
      <c r="N98" s="300">
        <v>24.18</v>
      </c>
      <c r="O98" s="300" t="s">
        <v>747</v>
      </c>
      <c r="P98" s="428" t="s">
        <v>717</v>
      </c>
      <c r="Q98" s="300" t="s">
        <v>787</v>
      </c>
      <c r="R98" s="193" t="s">
        <v>687</v>
      </c>
      <c r="S98" s="301"/>
      <c r="T98" s="301"/>
      <c r="W98" s="360">
        <v>45561.0</v>
      </c>
      <c r="X98" s="2">
        <f t="shared" si="12"/>
        <v>280</v>
      </c>
      <c r="AA98" s="301"/>
      <c r="AB98" s="301"/>
      <c r="AC98" s="301"/>
      <c r="AE98" s="301"/>
      <c r="AF98" s="301"/>
      <c r="AG98" s="301"/>
    </row>
    <row r="99">
      <c r="E99" s="2">
        <f t="shared" si="9"/>
        <v>496</v>
      </c>
      <c r="F99" s="2">
        <f t="shared" si="10"/>
        <v>167937.74</v>
      </c>
      <c r="G99" s="2">
        <f t="shared" si="11"/>
        <v>338.5841532</v>
      </c>
      <c r="I99" s="206"/>
      <c r="J99" s="427">
        <v>45473.0</v>
      </c>
      <c r="K99" s="6">
        <v>60.0</v>
      </c>
      <c r="L99" s="6" t="s">
        <v>686</v>
      </c>
      <c r="M99" s="300" t="s">
        <v>737</v>
      </c>
      <c r="N99" s="300">
        <v>2.0</v>
      </c>
      <c r="O99" s="300" t="s">
        <v>716</v>
      </c>
      <c r="P99" s="428" t="s">
        <v>765</v>
      </c>
      <c r="Q99" s="300" t="s">
        <v>772</v>
      </c>
      <c r="R99" s="193" t="s">
        <v>687</v>
      </c>
      <c r="S99" s="301"/>
      <c r="T99" s="301"/>
      <c r="W99" s="360">
        <v>45562.0</v>
      </c>
      <c r="X99" s="2">
        <f t="shared" si="12"/>
        <v>970</v>
      </c>
      <c r="AA99" s="301"/>
      <c r="AB99" s="301"/>
      <c r="AC99" s="301"/>
      <c r="AE99" s="301"/>
      <c r="AF99" s="301"/>
      <c r="AG99" s="301"/>
    </row>
    <row r="100">
      <c r="E100" s="2">
        <f t="shared" si="9"/>
        <v>496</v>
      </c>
      <c r="F100" s="2">
        <f t="shared" si="10"/>
        <v>167877.74</v>
      </c>
      <c r="G100" s="2">
        <f t="shared" si="11"/>
        <v>338.4631855</v>
      </c>
      <c r="I100" s="206"/>
      <c r="J100" s="427">
        <v>45473.0</v>
      </c>
      <c r="K100" s="6">
        <v>20.0</v>
      </c>
      <c r="L100" s="6" t="s">
        <v>686</v>
      </c>
      <c r="M100" s="300" t="s">
        <v>773</v>
      </c>
      <c r="N100" s="300">
        <v>1.0</v>
      </c>
      <c r="O100" s="300" t="s">
        <v>716</v>
      </c>
      <c r="P100" s="428" t="s">
        <v>789</v>
      </c>
      <c r="Q100" s="300" t="s">
        <v>772</v>
      </c>
      <c r="R100" s="193" t="s">
        <v>687</v>
      </c>
      <c r="S100" s="301"/>
      <c r="T100" s="301"/>
      <c r="W100" s="360">
        <v>45563.0</v>
      </c>
      <c r="X100" s="2">
        <f t="shared" si="12"/>
        <v>315</v>
      </c>
      <c r="AA100" s="301"/>
      <c r="AB100" s="301"/>
      <c r="AC100" s="301"/>
      <c r="AE100" s="301"/>
      <c r="AF100" s="301"/>
      <c r="AG100" s="301"/>
    </row>
    <row r="101">
      <c r="E101" s="2">
        <f t="shared" si="9"/>
        <v>496</v>
      </c>
      <c r="F101" s="2">
        <f t="shared" si="10"/>
        <v>167857.74</v>
      </c>
      <c r="G101" s="2">
        <f t="shared" si="11"/>
        <v>338.4228629</v>
      </c>
      <c r="I101" s="206"/>
      <c r="J101" s="427">
        <v>45473.0</v>
      </c>
      <c r="K101" s="6">
        <v>26.0</v>
      </c>
      <c r="L101" s="6" t="s">
        <v>686</v>
      </c>
      <c r="M101" s="300" t="s">
        <v>725</v>
      </c>
      <c r="N101" s="300">
        <v>2.0</v>
      </c>
      <c r="O101" s="300" t="s">
        <v>716</v>
      </c>
      <c r="P101" s="428" t="s">
        <v>717</v>
      </c>
      <c r="Q101" s="300" t="s">
        <v>724</v>
      </c>
      <c r="R101" s="193" t="s">
        <v>687</v>
      </c>
      <c r="S101" s="301"/>
      <c r="T101" s="301"/>
      <c r="W101" s="360">
        <v>45564.0</v>
      </c>
      <c r="X101" s="2">
        <f t="shared" si="12"/>
        <v>2087.32</v>
      </c>
      <c r="AA101" s="301"/>
      <c r="AB101" s="301"/>
      <c r="AC101" s="301"/>
      <c r="AE101" s="301"/>
      <c r="AF101" s="301"/>
      <c r="AG101" s="301"/>
    </row>
    <row r="102">
      <c r="E102" s="2">
        <f t="shared" si="9"/>
        <v>496</v>
      </c>
      <c r="F102" s="2">
        <f t="shared" si="10"/>
        <v>167831.74</v>
      </c>
      <c r="G102" s="2">
        <f t="shared" si="11"/>
        <v>338.3704435</v>
      </c>
      <c r="I102" s="206"/>
      <c r="J102" s="430">
        <v>45473.0</v>
      </c>
      <c r="K102" s="258">
        <v>20.0</v>
      </c>
      <c r="L102" s="258" t="s">
        <v>690</v>
      </c>
      <c r="M102" s="302" t="s">
        <v>723</v>
      </c>
      <c r="N102" s="302">
        <v>2.0</v>
      </c>
      <c r="O102" s="300" t="s">
        <v>716</v>
      </c>
      <c r="P102" s="431" t="s">
        <v>717</v>
      </c>
      <c r="Q102" s="302" t="s">
        <v>724</v>
      </c>
      <c r="R102" s="411" t="s">
        <v>687</v>
      </c>
      <c r="S102" s="301"/>
      <c r="T102" s="301"/>
      <c r="W102" s="360">
        <v>45565.0</v>
      </c>
      <c r="X102" s="2">
        <f t="shared" si="12"/>
        <v>139</v>
      </c>
      <c r="AA102" s="301"/>
      <c r="AB102" s="301"/>
      <c r="AC102" s="301"/>
      <c r="AE102" s="301"/>
      <c r="AF102" s="301"/>
      <c r="AG102" s="301"/>
    </row>
    <row r="103">
      <c r="E103" s="2">
        <f t="shared" si="9"/>
        <v>495</v>
      </c>
      <c r="F103" s="2">
        <f t="shared" si="10"/>
        <v>167811.74</v>
      </c>
      <c r="G103" s="2">
        <f t="shared" si="11"/>
        <v>339.0136162</v>
      </c>
      <c r="I103" s="206"/>
      <c r="J103" s="427">
        <v>45474.0</v>
      </c>
      <c r="K103" s="300">
        <v>20.0</v>
      </c>
      <c r="L103" s="300" t="s">
        <v>686</v>
      </c>
      <c r="M103" s="300" t="s">
        <v>725</v>
      </c>
      <c r="N103" s="300">
        <v>2.0</v>
      </c>
      <c r="O103" s="300" t="s">
        <v>716</v>
      </c>
      <c r="P103" s="428" t="s">
        <v>789</v>
      </c>
      <c r="Q103" s="300" t="s">
        <v>724</v>
      </c>
      <c r="R103" s="193" t="s">
        <v>687</v>
      </c>
      <c r="S103" s="301"/>
      <c r="T103" s="301"/>
      <c r="W103" s="360">
        <v>45566.0</v>
      </c>
      <c r="X103" s="2">
        <f t="shared" si="12"/>
        <v>80</v>
      </c>
      <c r="AA103" s="301"/>
      <c r="AB103" s="301"/>
      <c r="AC103" s="301"/>
      <c r="AE103" s="301"/>
      <c r="AF103" s="301"/>
      <c r="AG103" s="301"/>
    </row>
    <row r="104">
      <c r="E104" s="2">
        <f t="shared" si="9"/>
        <v>495</v>
      </c>
      <c r="F104" s="2">
        <f t="shared" si="10"/>
        <v>167791.74</v>
      </c>
      <c r="G104" s="2">
        <f t="shared" si="11"/>
        <v>338.9732121</v>
      </c>
      <c r="I104" s="206"/>
      <c r="J104" s="427">
        <v>45474.0</v>
      </c>
      <c r="K104" s="300">
        <v>26.0</v>
      </c>
      <c r="L104" s="300" t="s">
        <v>690</v>
      </c>
      <c r="M104" s="300" t="s">
        <v>723</v>
      </c>
      <c r="N104" s="300">
        <v>2.0</v>
      </c>
      <c r="O104" s="300" t="s">
        <v>716</v>
      </c>
      <c r="P104" s="428" t="s">
        <v>717</v>
      </c>
      <c r="Q104" s="300" t="s">
        <v>724</v>
      </c>
      <c r="R104" s="193" t="s">
        <v>687</v>
      </c>
      <c r="S104" s="301"/>
      <c r="T104" s="301"/>
      <c r="W104" s="360">
        <v>45568.0</v>
      </c>
      <c r="X104" s="2">
        <f t="shared" si="12"/>
        <v>3000</v>
      </c>
      <c r="AA104" s="301"/>
      <c r="AB104" s="301"/>
      <c r="AC104" s="301"/>
      <c r="AE104" s="301"/>
      <c r="AF104" s="301"/>
      <c r="AG104" s="301"/>
    </row>
    <row r="105">
      <c r="E105" s="2">
        <f t="shared" si="9"/>
        <v>495</v>
      </c>
      <c r="F105" s="2">
        <f t="shared" si="10"/>
        <v>167765.74</v>
      </c>
      <c r="G105" s="2">
        <f t="shared" si="11"/>
        <v>338.9206869</v>
      </c>
      <c r="I105" s="206"/>
      <c r="J105" s="427">
        <v>45474.0</v>
      </c>
      <c r="K105" s="300">
        <v>20.0</v>
      </c>
      <c r="L105" s="300" t="s">
        <v>686</v>
      </c>
      <c r="M105" s="300" t="s">
        <v>725</v>
      </c>
      <c r="N105" s="300">
        <v>2.0</v>
      </c>
      <c r="O105" s="300" t="s">
        <v>716</v>
      </c>
      <c r="P105" s="428" t="s">
        <v>789</v>
      </c>
      <c r="Q105" s="300" t="s">
        <v>724</v>
      </c>
      <c r="R105" s="193" t="s">
        <v>687</v>
      </c>
      <c r="S105" s="301"/>
      <c r="T105" s="301"/>
      <c r="W105" s="360">
        <v>45570.0</v>
      </c>
      <c r="X105" s="2">
        <f t="shared" si="12"/>
        <v>40</v>
      </c>
      <c r="AA105" s="301"/>
      <c r="AB105" s="301"/>
      <c r="AC105" s="301"/>
      <c r="AE105" s="301"/>
      <c r="AF105" s="301"/>
      <c r="AG105" s="301"/>
    </row>
    <row r="106">
      <c r="E106" s="2">
        <f t="shared" si="9"/>
        <v>495</v>
      </c>
      <c r="F106" s="2">
        <f t="shared" si="10"/>
        <v>167745.74</v>
      </c>
      <c r="G106" s="2">
        <f t="shared" si="11"/>
        <v>338.8802828</v>
      </c>
      <c r="I106" s="206"/>
      <c r="J106" s="427">
        <v>45474.0</v>
      </c>
      <c r="K106" s="300">
        <v>26.0</v>
      </c>
      <c r="L106" s="300" t="s">
        <v>690</v>
      </c>
      <c r="M106" s="300" t="s">
        <v>723</v>
      </c>
      <c r="N106" s="300">
        <v>2.0</v>
      </c>
      <c r="O106" s="300" t="s">
        <v>716</v>
      </c>
      <c r="P106" s="428" t="s">
        <v>717</v>
      </c>
      <c r="Q106" s="300" t="s">
        <v>724</v>
      </c>
      <c r="R106" s="193" t="s">
        <v>687</v>
      </c>
      <c r="S106" s="301"/>
      <c r="T106" s="301"/>
      <c r="W106" s="360">
        <v>45572.0</v>
      </c>
      <c r="X106" s="2">
        <f t="shared" si="12"/>
        <v>1790</v>
      </c>
      <c r="AA106" s="301"/>
      <c r="AB106" s="301"/>
      <c r="AC106" s="301"/>
      <c r="AE106" s="301"/>
      <c r="AF106" s="301"/>
      <c r="AG106" s="301"/>
    </row>
    <row r="107">
      <c r="E107" s="2">
        <f t="shared" si="9"/>
        <v>495</v>
      </c>
      <c r="F107" s="2">
        <f t="shared" si="10"/>
        <v>167719.74</v>
      </c>
      <c r="G107" s="2">
        <f t="shared" si="11"/>
        <v>338.8277576</v>
      </c>
      <c r="I107" s="206"/>
      <c r="J107" s="427">
        <v>45474.0</v>
      </c>
      <c r="K107" s="300">
        <v>26.0</v>
      </c>
      <c r="L107" s="300" t="s">
        <v>690</v>
      </c>
      <c r="M107" s="300" t="s">
        <v>790</v>
      </c>
      <c r="N107" s="300">
        <v>2.0</v>
      </c>
      <c r="O107" s="300" t="s">
        <v>716</v>
      </c>
      <c r="P107" s="428" t="s">
        <v>789</v>
      </c>
      <c r="Q107" s="300" t="s">
        <v>791</v>
      </c>
      <c r="R107" s="193" t="s">
        <v>687</v>
      </c>
      <c r="S107" s="301"/>
      <c r="T107" s="301"/>
      <c r="W107" s="360">
        <v>45573.0</v>
      </c>
      <c r="X107" s="2">
        <f t="shared" si="12"/>
        <v>1222</v>
      </c>
      <c r="AA107" s="301"/>
      <c r="AB107" s="301"/>
      <c r="AC107" s="301"/>
      <c r="AE107" s="301"/>
      <c r="AF107" s="301"/>
      <c r="AG107" s="301"/>
    </row>
    <row r="108">
      <c r="E108" s="2">
        <f t="shared" si="9"/>
        <v>495</v>
      </c>
      <c r="F108" s="2">
        <f t="shared" si="10"/>
        <v>167693.74</v>
      </c>
      <c r="G108" s="2">
        <f t="shared" si="11"/>
        <v>338.7752323</v>
      </c>
      <c r="I108" s="206"/>
      <c r="J108" s="427">
        <v>45474.0</v>
      </c>
      <c r="K108" s="300">
        <v>10.0</v>
      </c>
      <c r="L108" s="300" t="s">
        <v>686</v>
      </c>
      <c r="M108" s="300" t="s">
        <v>773</v>
      </c>
      <c r="N108" s="300">
        <v>2.0</v>
      </c>
      <c r="O108" s="300" t="s">
        <v>716</v>
      </c>
      <c r="P108" s="428" t="s">
        <v>717</v>
      </c>
      <c r="Q108" s="300" t="s">
        <v>772</v>
      </c>
      <c r="R108" s="411" t="s">
        <v>687</v>
      </c>
      <c r="S108" s="301"/>
      <c r="T108" s="301"/>
      <c r="W108" s="360">
        <v>45574.0</v>
      </c>
      <c r="X108" s="2">
        <f t="shared" si="12"/>
        <v>180</v>
      </c>
      <c r="AA108" s="301"/>
      <c r="AB108" s="301"/>
      <c r="AC108" s="301"/>
      <c r="AE108" s="301"/>
      <c r="AF108" s="301"/>
      <c r="AG108" s="301"/>
    </row>
    <row r="109">
      <c r="E109" s="2">
        <f t="shared" si="9"/>
        <v>494</v>
      </c>
      <c r="F109" s="2">
        <f t="shared" si="10"/>
        <v>167683.74</v>
      </c>
      <c r="G109" s="2">
        <f t="shared" si="11"/>
        <v>339.4407692</v>
      </c>
      <c r="I109" s="206"/>
      <c r="J109" s="425">
        <v>45475.0</v>
      </c>
      <c r="K109" s="332">
        <v>13.0</v>
      </c>
      <c r="L109" s="332" t="s">
        <v>690</v>
      </c>
      <c r="M109" s="332" t="s">
        <v>723</v>
      </c>
      <c r="N109" s="332">
        <v>2.0</v>
      </c>
      <c r="O109" s="300" t="s">
        <v>716</v>
      </c>
      <c r="P109" s="426" t="s">
        <v>717</v>
      </c>
      <c r="Q109" s="332" t="s">
        <v>792</v>
      </c>
      <c r="R109" s="193" t="s">
        <v>687</v>
      </c>
      <c r="S109" s="301"/>
      <c r="T109" s="301"/>
      <c r="W109" s="360">
        <v>45576.0</v>
      </c>
      <c r="X109" s="2">
        <f t="shared" si="12"/>
        <v>965</v>
      </c>
      <c r="AA109" s="301"/>
      <c r="AB109" s="301"/>
      <c r="AC109" s="301"/>
      <c r="AE109" s="301"/>
      <c r="AF109" s="301"/>
      <c r="AG109" s="301"/>
    </row>
    <row r="110">
      <c r="E110" s="2">
        <f t="shared" si="9"/>
        <v>494</v>
      </c>
      <c r="F110" s="2">
        <f t="shared" si="10"/>
        <v>167670.74</v>
      </c>
      <c r="G110" s="2">
        <f t="shared" si="11"/>
        <v>339.4144534</v>
      </c>
      <c r="I110" s="206"/>
      <c r="J110" s="427">
        <v>45475.0</v>
      </c>
      <c r="K110" s="300">
        <v>12.0</v>
      </c>
      <c r="L110" s="300" t="s">
        <v>686</v>
      </c>
      <c r="M110" s="300" t="s">
        <v>793</v>
      </c>
      <c r="N110" s="300">
        <v>1.0</v>
      </c>
      <c r="O110" s="300" t="s">
        <v>716</v>
      </c>
      <c r="P110" s="428" t="s">
        <v>717</v>
      </c>
      <c r="Q110" s="300" t="s">
        <v>794</v>
      </c>
      <c r="R110" s="193" t="s">
        <v>687</v>
      </c>
      <c r="S110" s="301"/>
      <c r="T110" s="301"/>
      <c r="W110" s="360">
        <v>45578.0</v>
      </c>
      <c r="X110" s="2">
        <f t="shared" si="12"/>
        <v>750</v>
      </c>
      <c r="AA110" s="301"/>
      <c r="AB110" s="301"/>
      <c r="AC110" s="301"/>
      <c r="AE110" s="301"/>
      <c r="AF110" s="301"/>
      <c r="AG110" s="301"/>
    </row>
    <row r="111">
      <c r="E111" s="2">
        <f t="shared" si="9"/>
        <v>494</v>
      </c>
      <c r="F111" s="2">
        <f t="shared" si="10"/>
        <v>167658.74</v>
      </c>
      <c r="G111" s="2">
        <f t="shared" si="11"/>
        <v>339.3901619</v>
      </c>
      <c r="I111" s="206"/>
      <c r="J111" s="427">
        <v>45475.0</v>
      </c>
      <c r="K111" s="300">
        <v>13.0</v>
      </c>
      <c r="L111" s="300" t="s">
        <v>690</v>
      </c>
      <c r="M111" s="300" t="s">
        <v>723</v>
      </c>
      <c r="N111" s="300">
        <v>2.0</v>
      </c>
      <c r="O111" s="300" t="s">
        <v>716</v>
      </c>
      <c r="P111" s="428" t="s">
        <v>717</v>
      </c>
      <c r="Q111" s="300" t="s">
        <v>794</v>
      </c>
      <c r="R111" s="193" t="s">
        <v>687</v>
      </c>
      <c r="S111" s="301"/>
      <c r="T111" s="301"/>
      <c r="W111" s="360">
        <v>45581.0</v>
      </c>
      <c r="X111" s="2">
        <f t="shared" si="12"/>
        <v>1384.05</v>
      </c>
      <c r="AA111" s="301"/>
      <c r="AB111" s="301"/>
      <c r="AC111" s="301"/>
      <c r="AE111" s="301"/>
      <c r="AF111" s="301"/>
      <c r="AG111" s="301"/>
    </row>
    <row r="112">
      <c r="E112" s="2">
        <f t="shared" si="9"/>
        <v>494</v>
      </c>
      <c r="F112" s="2">
        <f t="shared" si="10"/>
        <v>167645.74</v>
      </c>
      <c r="G112" s="2">
        <f t="shared" si="11"/>
        <v>339.3638462</v>
      </c>
      <c r="I112" s="206"/>
      <c r="J112" s="427">
        <v>45475.0</v>
      </c>
      <c r="K112" s="300">
        <v>110.0</v>
      </c>
      <c r="L112" s="300" t="s">
        <v>693</v>
      </c>
      <c r="M112" s="300" t="s">
        <v>795</v>
      </c>
      <c r="N112" s="300">
        <v>400.0</v>
      </c>
      <c r="O112" s="300" t="s">
        <v>712</v>
      </c>
      <c r="P112" s="428" t="s">
        <v>717</v>
      </c>
      <c r="Q112" s="300" t="s">
        <v>796</v>
      </c>
      <c r="R112" s="193" t="s">
        <v>687</v>
      </c>
      <c r="S112" s="301"/>
      <c r="T112" s="301"/>
      <c r="W112" s="360">
        <v>45583.0</v>
      </c>
      <c r="X112" s="2">
        <f t="shared" si="12"/>
        <v>4125</v>
      </c>
      <c r="AA112" s="301"/>
      <c r="AB112" s="301"/>
      <c r="AC112" s="301"/>
      <c r="AE112" s="301"/>
      <c r="AF112" s="301"/>
      <c r="AG112" s="301"/>
    </row>
    <row r="113">
      <c r="E113" s="2">
        <f t="shared" si="9"/>
        <v>494</v>
      </c>
      <c r="F113" s="2">
        <f t="shared" si="10"/>
        <v>167535.74</v>
      </c>
      <c r="G113" s="2">
        <f t="shared" si="11"/>
        <v>339.1411741</v>
      </c>
      <c r="I113" s="206"/>
      <c r="J113" s="427">
        <v>45475.0</v>
      </c>
      <c r="K113" s="300">
        <v>215.0</v>
      </c>
      <c r="L113" s="300" t="s">
        <v>693</v>
      </c>
      <c r="M113" s="300" t="s">
        <v>797</v>
      </c>
      <c r="N113" s="300">
        <v>2.0</v>
      </c>
      <c r="O113" s="300" t="s">
        <v>747</v>
      </c>
      <c r="P113" s="428" t="s">
        <v>717</v>
      </c>
      <c r="Q113" s="300" t="s">
        <v>796</v>
      </c>
      <c r="R113" s="193" t="s">
        <v>687</v>
      </c>
      <c r="S113" s="301"/>
      <c r="T113" s="301"/>
      <c r="W113" s="360">
        <v>45584.0</v>
      </c>
      <c r="X113" s="2">
        <f t="shared" si="12"/>
        <v>25</v>
      </c>
      <c r="AA113" s="301"/>
      <c r="AB113" s="301"/>
      <c r="AC113" s="301"/>
      <c r="AE113" s="301"/>
      <c r="AF113" s="301"/>
      <c r="AG113" s="301"/>
    </row>
    <row r="114">
      <c r="E114" s="2">
        <f t="shared" si="9"/>
        <v>494</v>
      </c>
      <c r="F114" s="2">
        <f t="shared" si="10"/>
        <v>167320.74</v>
      </c>
      <c r="G114" s="2">
        <f t="shared" si="11"/>
        <v>338.7059514</v>
      </c>
      <c r="I114" s="206"/>
      <c r="J114" s="427">
        <v>45475.0</v>
      </c>
      <c r="K114" s="300">
        <v>45.0</v>
      </c>
      <c r="L114" s="300" t="s">
        <v>686</v>
      </c>
      <c r="M114" s="300" t="s">
        <v>798</v>
      </c>
      <c r="N114" s="300">
        <v>550.0</v>
      </c>
      <c r="O114" s="300" t="s">
        <v>745</v>
      </c>
      <c r="P114" s="428" t="s">
        <v>717</v>
      </c>
      <c r="Q114" s="300" t="s">
        <v>796</v>
      </c>
      <c r="R114" s="193" t="s">
        <v>687</v>
      </c>
      <c r="S114" s="301"/>
      <c r="T114" s="301"/>
      <c r="W114" s="2"/>
      <c r="X114" s="2">
        <f t="shared" si="12"/>
        <v>0</v>
      </c>
      <c r="AA114" s="301"/>
      <c r="AB114" s="301"/>
      <c r="AC114" s="301"/>
      <c r="AE114" s="301"/>
      <c r="AF114" s="301"/>
      <c r="AG114" s="301"/>
    </row>
    <row r="115">
      <c r="E115" s="2">
        <f t="shared" si="9"/>
        <v>494</v>
      </c>
      <c r="F115" s="2">
        <f t="shared" si="10"/>
        <v>167275.74</v>
      </c>
      <c r="G115" s="2">
        <f t="shared" si="11"/>
        <v>338.6148583</v>
      </c>
      <c r="I115" s="206"/>
      <c r="J115" s="427">
        <v>45475.0</v>
      </c>
      <c r="K115" s="300">
        <v>159.0</v>
      </c>
      <c r="L115" s="300" t="s">
        <v>696</v>
      </c>
      <c r="M115" s="300" t="s">
        <v>799</v>
      </c>
      <c r="N115" s="300">
        <v>2.0</v>
      </c>
      <c r="O115" s="300" t="s">
        <v>747</v>
      </c>
      <c r="P115" s="428" t="s">
        <v>717</v>
      </c>
      <c r="Q115" s="300" t="s">
        <v>796</v>
      </c>
      <c r="R115" s="193" t="s">
        <v>687</v>
      </c>
      <c r="S115" s="301"/>
      <c r="T115" s="301"/>
      <c r="X115" s="2">
        <f t="shared" si="12"/>
        <v>0</v>
      </c>
      <c r="AA115" s="301"/>
      <c r="AB115" s="301"/>
      <c r="AC115" s="301"/>
      <c r="AE115" s="301"/>
      <c r="AF115" s="301"/>
      <c r="AG115" s="301"/>
    </row>
    <row r="116">
      <c r="E116" s="2">
        <f t="shared" si="9"/>
        <v>494</v>
      </c>
      <c r="F116" s="2">
        <f t="shared" si="10"/>
        <v>167116.74</v>
      </c>
      <c r="G116" s="2">
        <f t="shared" si="11"/>
        <v>338.292996</v>
      </c>
      <c r="I116" s="206"/>
      <c r="J116" s="427">
        <v>45475.0</v>
      </c>
      <c r="K116" s="300">
        <v>64.0</v>
      </c>
      <c r="L116" s="300" t="s">
        <v>696</v>
      </c>
      <c r="M116" s="300" t="s">
        <v>800</v>
      </c>
      <c r="N116" s="300">
        <v>1.0</v>
      </c>
      <c r="O116" s="300" t="s">
        <v>747</v>
      </c>
      <c r="P116" s="428" t="s">
        <v>717</v>
      </c>
      <c r="Q116" s="300" t="s">
        <v>796</v>
      </c>
      <c r="R116" s="193" t="s">
        <v>687</v>
      </c>
      <c r="S116" s="301"/>
      <c r="T116" s="301"/>
      <c r="X116" s="2">
        <f t="shared" si="12"/>
        <v>0</v>
      </c>
      <c r="AA116" s="301"/>
      <c r="AB116" s="301"/>
      <c r="AC116" s="301"/>
      <c r="AE116" s="301"/>
      <c r="AF116" s="301"/>
      <c r="AG116" s="301"/>
    </row>
    <row r="117">
      <c r="E117" s="2">
        <f t="shared" si="9"/>
        <v>494</v>
      </c>
      <c r="F117" s="2">
        <f t="shared" si="10"/>
        <v>167052.74</v>
      </c>
      <c r="G117" s="2">
        <f t="shared" si="11"/>
        <v>338.1634413</v>
      </c>
      <c r="I117" s="206"/>
      <c r="J117" s="427">
        <v>45475.0</v>
      </c>
      <c r="K117" s="6">
        <v>13.0</v>
      </c>
      <c r="L117" s="6" t="s">
        <v>690</v>
      </c>
      <c r="M117" s="300" t="s">
        <v>790</v>
      </c>
      <c r="N117" s="300">
        <v>1.0</v>
      </c>
      <c r="O117" s="300" t="s">
        <v>716</v>
      </c>
      <c r="P117" s="428" t="s">
        <v>717</v>
      </c>
      <c r="Q117" s="192" t="s">
        <v>801</v>
      </c>
      <c r="R117" s="193" t="s">
        <v>687</v>
      </c>
      <c r="S117" s="301"/>
      <c r="T117" s="301"/>
      <c r="X117" s="2">
        <f t="shared" si="12"/>
        <v>0</v>
      </c>
      <c r="AA117" s="301"/>
      <c r="AB117" s="301"/>
      <c r="AC117" s="301"/>
      <c r="AE117" s="301"/>
      <c r="AF117" s="301"/>
      <c r="AG117" s="301"/>
    </row>
    <row r="118">
      <c r="E118" s="2">
        <f t="shared" si="9"/>
        <v>494</v>
      </c>
      <c r="F118" s="2">
        <f t="shared" si="10"/>
        <v>167039.74</v>
      </c>
      <c r="G118" s="2">
        <f t="shared" si="11"/>
        <v>338.1371255</v>
      </c>
      <c r="J118" s="427">
        <v>45475.0</v>
      </c>
      <c r="K118" s="300">
        <v>26.0</v>
      </c>
      <c r="L118" s="300" t="s">
        <v>690</v>
      </c>
      <c r="M118" s="300" t="s">
        <v>723</v>
      </c>
      <c r="N118" s="300">
        <v>2.0</v>
      </c>
      <c r="O118" s="300" t="s">
        <v>716</v>
      </c>
      <c r="P118" s="428" t="s">
        <v>717</v>
      </c>
      <c r="Q118" s="300" t="s">
        <v>724</v>
      </c>
      <c r="R118" s="193" t="s">
        <v>687</v>
      </c>
      <c r="S118" s="301"/>
      <c r="T118" s="301"/>
      <c r="X118" s="2">
        <f t="shared" si="12"/>
        <v>0</v>
      </c>
      <c r="AA118" s="301"/>
      <c r="AB118" s="301"/>
      <c r="AC118" s="301"/>
      <c r="AE118" s="301"/>
      <c r="AF118" s="301"/>
      <c r="AG118" s="301"/>
    </row>
    <row r="119">
      <c r="E119" s="2">
        <f t="shared" si="9"/>
        <v>494</v>
      </c>
      <c r="F119" s="2">
        <f t="shared" si="10"/>
        <v>167013.74</v>
      </c>
      <c r="G119" s="2">
        <f t="shared" si="11"/>
        <v>338.0844939</v>
      </c>
      <c r="J119" s="427">
        <v>45475.0</v>
      </c>
      <c r="K119" s="300">
        <v>20.0</v>
      </c>
      <c r="L119" s="300" t="s">
        <v>686</v>
      </c>
      <c r="M119" s="300" t="s">
        <v>725</v>
      </c>
      <c r="N119" s="300">
        <v>2.0</v>
      </c>
      <c r="O119" s="300" t="s">
        <v>716</v>
      </c>
      <c r="P119" s="428" t="s">
        <v>717</v>
      </c>
      <c r="Q119" s="300" t="s">
        <v>724</v>
      </c>
      <c r="R119" s="193" t="s">
        <v>687</v>
      </c>
      <c r="S119" s="301"/>
      <c r="T119" s="301"/>
      <c r="X119" s="2">
        <f t="shared" si="12"/>
        <v>0</v>
      </c>
      <c r="AA119" s="301"/>
      <c r="AB119" s="301"/>
      <c r="AC119" s="301"/>
      <c r="AE119" s="301"/>
      <c r="AF119" s="301"/>
      <c r="AG119" s="301"/>
    </row>
    <row r="120">
      <c r="E120" s="2">
        <f t="shared" si="9"/>
        <v>494</v>
      </c>
      <c r="F120" s="2">
        <f t="shared" si="10"/>
        <v>166993.74</v>
      </c>
      <c r="G120" s="2">
        <f t="shared" si="11"/>
        <v>338.0440081</v>
      </c>
      <c r="J120" s="427">
        <v>45475.0</v>
      </c>
      <c r="K120" s="300">
        <v>26.0</v>
      </c>
      <c r="L120" s="300" t="s">
        <v>690</v>
      </c>
      <c r="M120" s="300" t="s">
        <v>723</v>
      </c>
      <c r="N120" s="300">
        <v>2.0</v>
      </c>
      <c r="O120" s="300" t="s">
        <v>716</v>
      </c>
      <c r="P120" s="428" t="s">
        <v>717</v>
      </c>
      <c r="Q120" s="300" t="s">
        <v>724</v>
      </c>
      <c r="R120" s="193" t="s">
        <v>687</v>
      </c>
      <c r="S120" s="301"/>
      <c r="T120" s="301"/>
      <c r="X120" s="2">
        <f t="shared" si="12"/>
        <v>0</v>
      </c>
      <c r="AA120" s="301"/>
      <c r="AB120" s="301"/>
      <c r="AC120" s="301"/>
      <c r="AE120" s="301"/>
      <c r="AF120" s="301"/>
      <c r="AG120" s="301"/>
    </row>
    <row r="121">
      <c r="E121" s="2">
        <f t="shared" si="9"/>
        <v>494</v>
      </c>
      <c r="F121" s="2">
        <f t="shared" si="10"/>
        <v>166967.74</v>
      </c>
      <c r="G121" s="2">
        <f t="shared" si="11"/>
        <v>337.9913765</v>
      </c>
      <c r="J121" s="427">
        <v>45475.0</v>
      </c>
      <c r="K121" s="300">
        <v>20.0</v>
      </c>
      <c r="L121" s="300" t="s">
        <v>686</v>
      </c>
      <c r="M121" s="300" t="s">
        <v>725</v>
      </c>
      <c r="N121" s="300">
        <v>2.0</v>
      </c>
      <c r="O121" s="300" t="s">
        <v>716</v>
      </c>
      <c r="P121" s="428" t="s">
        <v>717</v>
      </c>
      <c r="Q121" s="300" t="s">
        <v>724</v>
      </c>
      <c r="R121" s="193" t="s">
        <v>687</v>
      </c>
      <c r="S121" s="301"/>
      <c r="T121" s="301"/>
      <c r="X121" s="2">
        <f t="shared" si="12"/>
        <v>0</v>
      </c>
      <c r="AA121" s="301"/>
      <c r="AB121" s="301"/>
      <c r="AC121" s="301"/>
      <c r="AE121" s="301"/>
      <c r="AF121" s="301"/>
      <c r="AG121" s="301"/>
    </row>
    <row r="122">
      <c r="E122" s="2">
        <f t="shared" si="9"/>
        <v>494</v>
      </c>
      <c r="F122" s="2">
        <f t="shared" si="10"/>
        <v>166947.74</v>
      </c>
      <c r="G122" s="2">
        <f t="shared" si="11"/>
        <v>337.9508907</v>
      </c>
      <c r="J122" s="427">
        <v>45475.0</v>
      </c>
      <c r="K122" s="300">
        <v>20.0</v>
      </c>
      <c r="L122" s="300" t="s">
        <v>686</v>
      </c>
      <c r="M122" s="300" t="s">
        <v>737</v>
      </c>
      <c r="N122" s="300">
        <v>1.0</v>
      </c>
      <c r="O122" s="300" t="s">
        <v>716</v>
      </c>
      <c r="P122" s="428" t="s">
        <v>717</v>
      </c>
      <c r="Q122" s="300" t="s">
        <v>772</v>
      </c>
      <c r="R122" s="193" t="s">
        <v>687</v>
      </c>
      <c r="S122" s="301"/>
      <c r="T122" s="301"/>
      <c r="X122" s="2">
        <f t="shared" si="12"/>
        <v>0</v>
      </c>
      <c r="AA122" s="301"/>
      <c r="AB122" s="301"/>
      <c r="AC122" s="301"/>
      <c r="AE122" s="301"/>
      <c r="AF122" s="301"/>
      <c r="AG122" s="301"/>
    </row>
    <row r="123">
      <c r="E123" s="2">
        <f t="shared" si="9"/>
        <v>494</v>
      </c>
      <c r="F123" s="2">
        <f t="shared" si="10"/>
        <v>166927.74</v>
      </c>
      <c r="G123" s="2">
        <f t="shared" si="11"/>
        <v>337.9104049</v>
      </c>
      <c r="J123" s="427">
        <v>45475.0</v>
      </c>
      <c r="K123" s="300">
        <v>26.0</v>
      </c>
      <c r="L123" s="300" t="s">
        <v>690</v>
      </c>
      <c r="M123" s="300" t="s">
        <v>723</v>
      </c>
      <c r="N123" s="300">
        <v>2.0</v>
      </c>
      <c r="O123" s="300" t="s">
        <v>716</v>
      </c>
      <c r="P123" s="428" t="s">
        <v>717</v>
      </c>
      <c r="Q123" s="300" t="s">
        <v>724</v>
      </c>
      <c r="R123" s="193" t="s">
        <v>687</v>
      </c>
      <c r="S123" s="301"/>
      <c r="T123" s="301"/>
      <c r="X123" s="2">
        <f t="shared" si="12"/>
        <v>0</v>
      </c>
      <c r="AA123" s="301"/>
      <c r="AB123" s="301"/>
      <c r="AC123" s="301"/>
      <c r="AE123" s="301"/>
      <c r="AF123" s="301"/>
      <c r="AG123" s="301"/>
    </row>
    <row r="124">
      <c r="E124" s="2">
        <f t="shared" si="9"/>
        <v>494</v>
      </c>
      <c r="F124" s="2">
        <f t="shared" si="10"/>
        <v>166901.74</v>
      </c>
      <c r="G124" s="2">
        <f t="shared" si="11"/>
        <v>337.8577733</v>
      </c>
      <c r="J124" s="427">
        <v>45475.0</v>
      </c>
      <c r="K124" s="300">
        <v>20.0</v>
      </c>
      <c r="L124" s="300" t="s">
        <v>686</v>
      </c>
      <c r="M124" s="300" t="s">
        <v>725</v>
      </c>
      <c r="N124" s="300">
        <v>2.0</v>
      </c>
      <c r="O124" s="300" t="s">
        <v>716</v>
      </c>
      <c r="P124" s="428" t="s">
        <v>717</v>
      </c>
      <c r="Q124" s="300" t="s">
        <v>724</v>
      </c>
      <c r="R124" s="193" t="s">
        <v>687</v>
      </c>
      <c r="S124" s="301"/>
      <c r="T124" s="301"/>
      <c r="X124" s="2">
        <f t="shared" si="12"/>
        <v>0</v>
      </c>
      <c r="AA124" s="301"/>
      <c r="AB124" s="301"/>
      <c r="AC124" s="301"/>
      <c r="AE124" s="301"/>
      <c r="AF124" s="301"/>
      <c r="AG124" s="301"/>
    </row>
    <row r="125">
      <c r="E125" s="2">
        <f t="shared" si="9"/>
        <v>494</v>
      </c>
      <c r="F125" s="2">
        <f t="shared" si="10"/>
        <v>166881.74</v>
      </c>
      <c r="G125" s="2">
        <f t="shared" si="11"/>
        <v>337.8172874</v>
      </c>
      <c r="J125" s="430">
        <v>45475.0</v>
      </c>
      <c r="K125" s="302">
        <v>15.0</v>
      </c>
      <c r="L125" s="302" t="s">
        <v>686</v>
      </c>
      <c r="M125" s="302" t="s">
        <v>793</v>
      </c>
      <c r="N125" s="302">
        <v>1.0</v>
      </c>
      <c r="O125" s="300" t="s">
        <v>716</v>
      </c>
      <c r="P125" s="431" t="s">
        <v>717</v>
      </c>
      <c r="Q125" s="302" t="s">
        <v>772</v>
      </c>
      <c r="R125" s="411" t="s">
        <v>687</v>
      </c>
      <c r="S125" s="301"/>
      <c r="T125" s="301"/>
      <c r="X125" s="2">
        <f t="shared" si="12"/>
        <v>0</v>
      </c>
      <c r="AA125" s="301"/>
      <c r="AB125" s="301"/>
      <c r="AC125" s="301"/>
      <c r="AE125" s="301"/>
      <c r="AF125" s="301"/>
      <c r="AG125" s="301"/>
    </row>
    <row r="126">
      <c r="E126" s="2">
        <f t="shared" si="9"/>
        <v>493</v>
      </c>
      <c r="F126" s="2">
        <f t="shared" si="10"/>
        <v>166866.74</v>
      </c>
      <c r="G126" s="2">
        <f t="shared" si="11"/>
        <v>338.4720892</v>
      </c>
      <c r="J126" s="427">
        <v>45476.0</v>
      </c>
      <c r="K126" s="300">
        <v>26.0</v>
      </c>
      <c r="L126" s="300" t="s">
        <v>690</v>
      </c>
      <c r="M126" s="300" t="s">
        <v>723</v>
      </c>
      <c r="N126" s="300">
        <v>2.0</v>
      </c>
      <c r="O126" s="300" t="s">
        <v>716</v>
      </c>
      <c r="P126" s="428" t="s">
        <v>717</v>
      </c>
      <c r="Q126" s="300" t="s">
        <v>724</v>
      </c>
      <c r="R126" s="193" t="s">
        <v>687</v>
      </c>
      <c r="S126" s="301"/>
      <c r="T126" s="301"/>
      <c r="X126" s="2">
        <f t="shared" si="12"/>
        <v>0</v>
      </c>
      <c r="AA126" s="301"/>
      <c r="AB126" s="301"/>
      <c r="AC126" s="301"/>
      <c r="AE126" s="301"/>
      <c r="AF126" s="301"/>
      <c r="AG126" s="301"/>
    </row>
    <row r="127">
      <c r="E127" s="2">
        <f t="shared" si="9"/>
        <v>493</v>
      </c>
      <c r="F127" s="2">
        <f t="shared" si="10"/>
        <v>166840.74</v>
      </c>
      <c r="G127" s="2">
        <f t="shared" si="11"/>
        <v>338.4193509</v>
      </c>
      <c r="J127" s="427">
        <v>45476.0</v>
      </c>
      <c r="K127" s="300">
        <v>20.0</v>
      </c>
      <c r="L127" s="300" t="s">
        <v>686</v>
      </c>
      <c r="M127" s="300" t="s">
        <v>725</v>
      </c>
      <c r="N127" s="300">
        <v>2.0</v>
      </c>
      <c r="O127" s="300" t="s">
        <v>716</v>
      </c>
      <c r="P127" s="428" t="s">
        <v>717</v>
      </c>
      <c r="Q127" s="300" t="s">
        <v>724</v>
      </c>
      <c r="R127" s="193" t="s">
        <v>687</v>
      </c>
      <c r="S127" s="301"/>
      <c r="T127" s="301"/>
      <c r="X127" s="2">
        <f t="shared" si="12"/>
        <v>0</v>
      </c>
      <c r="AA127" s="301"/>
      <c r="AB127" s="301"/>
      <c r="AC127" s="301"/>
      <c r="AE127" s="301"/>
      <c r="AF127" s="301"/>
      <c r="AG127" s="301"/>
    </row>
    <row r="128">
      <c r="E128" s="2">
        <f t="shared" si="9"/>
        <v>493</v>
      </c>
      <c r="F128" s="2">
        <f t="shared" si="10"/>
        <v>166820.74</v>
      </c>
      <c r="G128" s="2">
        <f t="shared" si="11"/>
        <v>338.378783</v>
      </c>
      <c r="J128" s="427">
        <v>45476.0</v>
      </c>
      <c r="K128" s="300">
        <v>20.0</v>
      </c>
      <c r="L128" s="300" t="s">
        <v>686</v>
      </c>
      <c r="M128" s="300" t="s">
        <v>737</v>
      </c>
      <c r="N128" s="300">
        <v>1.0</v>
      </c>
      <c r="O128" s="300" t="s">
        <v>716</v>
      </c>
      <c r="P128" s="428" t="s">
        <v>717</v>
      </c>
      <c r="Q128" s="300" t="s">
        <v>772</v>
      </c>
      <c r="R128" s="193" t="s">
        <v>687</v>
      </c>
      <c r="S128" s="301"/>
      <c r="T128" s="301"/>
      <c r="X128" s="2">
        <f t="shared" si="12"/>
        <v>0</v>
      </c>
      <c r="AA128" s="301"/>
      <c r="AB128" s="301"/>
      <c r="AC128" s="301"/>
      <c r="AE128" s="301"/>
      <c r="AF128" s="301"/>
      <c r="AG128" s="301"/>
    </row>
    <row r="129">
      <c r="E129" s="2">
        <f t="shared" si="9"/>
        <v>493</v>
      </c>
      <c r="F129" s="2">
        <f t="shared" si="10"/>
        <v>166800.74</v>
      </c>
      <c r="G129" s="2">
        <f t="shared" si="11"/>
        <v>338.338215</v>
      </c>
      <c r="J129" s="427">
        <v>45476.0</v>
      </c>
      <c r="K129" s="300">
        <v>26.0</v>
      </c>
      <c r="L129" s="300" t="s">
        <v>690</v>
      </c>
      <c r="M129" s="300" t="s">
        <v>723</v>
      </c>
      <c r="N129" s="300">
        <v>2.0</v>
      </c>
      <c r="O129" s="300" t="s">
        <v>716</v>
      </c>
      <c r="P129" s="428" t="s">
        <v>717</v>
      </c>
      <c r="Q129" s="300" t="s">
        <v>724</v>
      </c>
      <c r="R129" s="193" t="s">
        <v>687</v>
      </c>
      <c r="S129" s="301"/>
      <c r="T129" s="301"/>
      <c r="X129" s="2">
        <f t="shared" si="12"/>
        <v>0</v>
      </c>
      <c r="AA129" s="301"/>
      <c r="AB129" s="301"/>
      <c r="AC129" s="301"/>
      <c r="AE129" s="301"/>
      <c r="AF129" s="301"/>
      <c r="AG129" s="301"/>
    </row>
    <row r="130">
      <c r="E130" s="2">
        <f t="shared" si="9"/>
        <v>493</v>
      </c>
      <c r="F130" s="2">
        <f t="shared" si="10"/>
        <v>166774.74</v>
      </c>
      <c r="G130" s="2">
        <f t="shared" si="11"/>
        <v>338.2854767</v>
      </c>
      <c r="J130" s="427">
        <v>45476.0</v>
      </c>
      <c r="K130" s="300">
        <v>20.0</v>
      </c>
      <c r="L130" s="300" t="s">
        <v>686</v>
      </c>
      <c r="M130" s="300" t="s">
        <v>725</v>
      </c>
      <c r="N130" s="300">
        <v>2.0</v>
      </c>
      <c r="O130" s="300" t="s">
        <v>716</v>
      </c>
      <c r="P130" s="428" t="s">
        <v>717</v>
      </c>
      <c r="Q130" s="300" t="s">
        <v>724</v>
      </c>
      <c r="R130" s="193" t="s">
        <v>687</v>
      </c>
      <c r="S130" s="301"/>
      <c r="T130" s="301"/>
      <c r="X130" s="2">
        <f t="shared" si="12"/>
        <v>0</v>
      </c>
      <c r="AA130" s="301"/>
      <c r="AB130" s="301"/>
      <c r="AC130" s="301"/>
      <c r="AE130" s="301"/>
      <c r="AF130" s="301"/>
      <c r="AG130" s="301"/>
    </row>
    <row r="131">
      <c r="E131" s="2">
        <f t="shared" si="9"/>
        <v>493</v>
      </c>
      <c r="F131" s="2">
        <f t="shared" si="10"/>
        <v>166754.74</v>
      </c>
      <c r="G131" s="2">
        <f t="shared" si="11"/>
        <v>338.2449087</v>
      </c>
      <c r="J131" s="427">
        <v>45476.0</v>
      </c>
      <c r="K131" s="300">
        <v>10.0</v>
      </c>
      <c r="L131" s="300" t="s">
        <v>686</v>
      </c>
      <c r="M131" s="300" t="s">
        <v>802</v>
      </c>
      <c r="N131" s="300">
        <v>1.0</v>
      </c>
      <c r="O131" s="300" t="s">
        <v>716</v>
      </c>
      <c r="P131" s="428" t="s">
        <v>717</v>
      </c>
      <c r="Q131" s="300" t="s">
        <v>768</v>
      </c>
      <c r="R131" s="193" t="s">
        <v>687</v>
      </c>
      <c r="S131" s="301"/>
      <c r="T131" s="301"/>
      <c r="X131" s="2">
        <f t="shared" si="12"/>
        <v>0</v>
      </c>
      <c r="AA131" s="301"/>
      <c r="AB131" s="301"/>
      <c r="AC131" s="301"/>
      <c r="AE131" s="301"/>
      <c r="AF131" s="301"/>
      <c r="AG131" s="301"/>
    </row>
    <row r="132">
      <c r="E132" s="2">
        <f t="shared" si="9"/>
        <v>493</v>
      </c>
      <c r="F132" s="2">
        <f t="shared" si="10"/>
        <v>166744.74</v>
      </c>
      <c r="G132" s="2">
        <f t="shared" si="11"/>
        <v>338.2246247</v>
      </c>
      <c r="J132" s="427">
        <v>45476.0</v>
      </c>
      <c r="K132" s="300">
        <v>26.0</v>
      </c>
      <c r="L132" s="300" t="s">
        <v>690</v>
      </c>
      <c r="M132" s="300" t="s">
        <v>723</v>
      </c>
      <c r="N132" s="300">
        <v>2.0</v>
      </c>
      <c r="O132" s="300" t="s">
        <v>716</v>
      </c>
      <c r="P132" s="428" t="s">
        <v>717</v>
      </c>
      <c r="Q132" s="300" t="s">
        <v>724</v>
      </c>
      <c r="R132" s="193" t="s">
        <v>687</v>
      </c>
      <c r="S132" s="301"/>
      <c r="T132" s="301"/>
      <c r="X132" s="2">
        <f t="shared" si="12"/>
        <v>0</v>
      </c>
      <c r="AA132" s="301"/>
      <c r="AB132" s="301"/>
      <c r="AC132" s="301"/>
      <c r="AE132" s="301"/>
      <c r="AF132" s="301"/>
      <c r="AG132" s="301"/>
    </row>
    <row r="133">
      <c r="E133" s="2">
        <f t="shared" si="9"/>
        <v>493</v>
      </c>
      <c r="F133" s="2">
        <f t="shared" si="10"/>
        <v>166718.74</v>
      </c>
      <c r="G133" s="2">
        <f t="shared" si="11"/>
        <v>338.1718864</v>
      </c>
      <c r="J133" s="427">
        <v>45476.0</v>
      </c>
      <c r="K133" s="300">
        <v>1.0</v>
      </c>
      <c r="L133" s="300" t="s">
        <v>686</v>
      </c>
      <c r="M133" s="300" t="s">
        <v>739</v>
      </c>
      <c r="N133" s="300">
        <v>1.0</v>
      </c>
      <c r="O133" s="300" t="s">
        <v>716</v>
      </c>
      <c r="P133" s="428" t="s">
        <v>717</v>
      </c>
      <c r="Q133" s="300" t="s">
        <v>724</v>
      </c>
      <c r="R133" s="193" t="s">
        <v>687</v>
      </c>
      <c r="S133" s="301"/>
      <c r="T133" s="301"/>
      <c r="X133" s="2">
        <f t="shared" si="12"/>
        <v>0</v>
      </c>
      <c r="AA133" s="301"/>
      <c r="AB133" s="301"/>
      <c r="AC133" s="301"/>
      <c r="AE133" s="301"/>
      <c r="AF133" s="301"/>
      <c r="AG133" s="301"/>
    </row>
    <row r="134">
      <c r="E134" s="2">
        <f t="shared" si="9"/>
        <v>493</v>
      </c>
      <c r="F134" s="2">
        <f t="shared" si="10"/>
        <v>166717.74</v>
      </c>
      <c r="G134" s="2">
        <f t="shared" si="11"/>
        <v>338.169858</v>
      </c>
      <c r="J134" s="427">
        <v>45476.0</v>
      </c>
      <c r="K134" s="300">
        <v>130.0</v>
      </c>
      <c r="L134" s="300" t="s">
        <v>686</v>
      </c>
      <c r="M134" s="300" t="s">
        <v>492</v>
      </c>
      <c r="N134" s="300">
        <v>541.0</v>
      </c>
      <c r="O134" s="300" t="s">
        <v>745</v>
      </c>
      <c r="P134" s="428" t="s">
        <v>717</v>
      </c>
      <c r="Q134" s="300" t="s">
        <v>766</v>
      </c>
      <c r="R134" s="193" t="s">
        <v>687</v>
      </c>
      <c r="S134" s="301"/>
      <c r="T134" s="301"/>
      <c r="X134" s="2">
        <f t="shared" si="12"/>
        <v>0</v>
      </c>
      <c r="AA134" s="301"/>
      <c r="AB134" s="301"/>
      <c r="AC134" s="301"/>
      <c r="AE134" s="301"/>
      <c r="AF134" s="301"/>
      <c r="AG134" s="301"/>
    </row>
    <row r="135">
      <c r="E135" s="2">
        <f t="shared" si="9"/>
        <v>493</v>
      </c>
      <c r="F135" s="2">
        <f t="shared" si="10"/>
        <v>166587.74</v>
      </c>
      <c r="G135" s="2">
        <f t="shared" si="11"/>
        <v>337.9061663</v>
      </c>
      <c r="J135" s="427">
        <v>45476.0</v>
      </c>
      <c r="K135" s="300">
        <v>26.0</v>
      </c>
      <c r="L135" s="300" t="s">
        <v>690</v>
      </c>
      <c r="M135" s="300" t="s">
        <v>723</v>
      </c>
      <c r="N135" s="300">
        <v>2.0</v>
      </c>
      <c r="O135" s="300" t="s">
        <v>716</v>
      </c>
      <c r="P135" s="428" t="s">
        <v>717</v>
      </c>
      <c r="Q135" s="300" t="s">
        <v>724</v>
      </c>
      <c r="R135" s="193" t="s">
        <v>687</v>
      </c>
      <c r="S135" s="301"/>
      <c r="T135" s="301"/>
      <c r="X135" s="2">
        <f t="shared" si="12"/>
        <v>0</v>
      </c>
      <c r="AA135" s="301"/>
      <c r="AB135" s="301"/>
      <c r="AC135" s="301"/>
      <c r="AE135" s="301"/>
      <c r="AF135" s="301"/>
      <c r="AG135" s="301"/>
    </row>
    <row r="136">
      <c r="E136" s="2">
        <f t="shared" si="9"/>
        <v>493</v>
      </c>
      <c r="F136" s="2">
        <f t="shared" si="10"/>
        <v>166561.74</v>
      </c>
      <c r="G136" s="2">
        <f t="shared" si="11"/>
        <v>337.853428</v>
      </c>
      <c r="J136" s="430">
        <v>45476.0</v>
      </c>
      <c r="K136" s="302">
        <v>1.0</v>
      </c>
      <c r="L136" s="302" t="s">
        <v>686</v>
      </c>
      <c r="M136" s="302" t="s">
        <v>739</v>
      </c>
      <c r="N136" s="302">
        <v>1.0</v>
      </c>
      <c r="O136" s="300" t="s">
        <v>716</v>
      </c>
      <c r="P136" s="431" t="s">
        <v>717</v>
      </c>
      <c r="Q136" s="302" t="s">
        <v>724</v>
      </c>
      <c r="R136" s="411" t="s">
        <v>687</v>
      </c>
      <c r="S136" s="301"/>
      <c r="T136" s="301"/>
      <c r="X136" s="2">
        <f t="shared" si="12"/>
        <v>0</v>
      </c>
      <c r="AA136" s="301"/>
      <c r="AB136" s="301"/>
      <c r="AC136" s="301"/>
      <c r="AE136" s="301"/>
      <c r="AF136" s="301"/>
      <c r="AG136" s="301"/>
    </row>
    <row r="137">
      <c r="E137" s="2">
        <f t="shared" si="9"/>
        <v>492</v>
      </c>
      <c r="F137" s="2">
        <f t="shared" si="10"/>
        <v>166560.74</v>
      </c>
      <c r="G137" s="2">
        <f t="shared" si="11"/>
        <v>338.5380894</v>
      </c>
      <c r="J137" s="427">
        <v>45477.0</v>
      </c>
      <c r="K137" s="300">
        <v>26.0</v>
      </c>
      <c r="L137" s="300" t="s">
        <v>690</v>
      </c>
      <c r="M137" s="300" t="s">
        <v>723</v>
      </c>
      <c r="N137" s="300">
        <v>2.0</v>
      </c>
      <c r="O137" s="300" t="s">
        <v>716</v>
      </c>
      <c r="P137" s="428" t="s">
        <v>717</v>
      </c>
      <c r="Q137" s="300" t="s">
        <v>724</v>
      </c>
      <c r="R137" s="193" t="s">
        <v>687</v>
      </c>
      <c r="S137" s="301"/>
      <c r="T137" s="301"/>
      <c r="X137" s="2">
        <f t="shared" si="12"/>
        <v>0</v>
      </c>
      <c r="AA137" s="301"/>
      <c r="AB137" s="301"/>
      <c r="AC137" s="301"/>
      <c r="AE137" s="301"/>
      <c r="AF137" s="301"/>
      <c r="AG137" s="301"/>
    </row>
    <row r="138">
      <c r="E138" s="2">
        <f t="shared" si="9"/>
        <v>492</v>
      </c>
      <c r="F138" s="2">
        <f t="shared" si="10"/>
        <v>166534.74</v>
      </c>
      <c r="G138" s="2">
        <f t="shared" si="11"/>
        <v>338.4852439</v>
      </c>
      <c r="J138" s="427">
        <v>45477.0</v>
      </c>
      <c r="K138" s="300">
        <v>20.0</v>
      </c>
      <c r="L138" s="300" t="s">
        <v>686</v>
      </c>
      <c r="M138" s="300" t="s">
        <v>737</v>
      </c>
      <c r="N138" s="300">
        <v>1.0</v>
      </c>
      <c r="O138" s="300" t="s">
        <v>716</v>
      </c>
      <c r="P138" s="428" t="s">
        <v>717</v>
      </c>
      <c r="Q138" s="300" t="s">
        <v>772</v>
      </c>
      <c r="R138" s="193" t="s">
        <v>687</v>
      </c>
      <c r="S138" s="301"/>
      <c r="T138" s="301"/>
      <c r="X138" s="2">
        <f t="shared" si="12"/>
        <v>0</v>
      </c>
      <c r="AA138" s="301"/>
      <c r="AB138" s="301"/>
      <c r="AC138" s="301"/>
      <c r="AE138" s="301"/>
      <c r="AF138" s="301"/>
      <c r="AG138" s="301"/>
    </row>
    <row r="139">
      <c r="E139" s="2">
        <f t="shared" si="9"/>
        <v>492</v>
      </c>
      <c r="F139" s="2">
        <f t="shared" si="10"/>
        <v>166514.74</v>
      </c>
      <c r="G139" s="2">
        <f t="shared" si="11"/>
        <v>338.4445935</v>
      </c>
      <c r="J139" s="427">
        <v>45477.0</v>
      </c>
      <c r="K139" s="300">
        <v>26.0</v>
      </c>
      <c r="L139" s="300" t="s">
        <v>690</v>
      </c>
      <c r="M139" s="300" t="s">
        <v>723</v>
      </c>
      <c r="N139" s="300">
        <v>2.0</v>
      </c>
      <c r="O139" s="300" t="s">
        <v>716</v>
      </c>
      <c r="P139" s="428" t="s">
        <v>717</v>
      </c>
      <c r="Q139" s="300" t="s">
        <v>724</v>
      </c>
      <c r="R139" s="193" t="s">
        <v>687</v>
      </c>
      <c r="S139" s="301"/>
      <c r="T139" s="301"/>
      <c r="X139" s="2">
        <f t="shared" si="12"/>
        <v>0</v>
      </c>
      <c r="AA139" s="301"/>
      <c r="AB139" s="301"/>
      <c r="AC139" s="301"/>
      <c r="AE139" s="301"/>
      <c r="AF139" s="301"/>
      <c r="AG139" s="301"/>
    </row>
    <row r="140">
      <c r="E140" s="2">
        <f t="shared" si="9"/>
        <v>492</v>
      </c>
      <c r="F140" s="2">
        <f t="shared" si="10"/>
        <v>166488.74</v>
      </c>
      <c r="G140" s="2">
        <f t="shared" si="11"/>
        <v>338.391748</v>
      </c>
      <c r="J140" s="427">
        <v>45477.0</v>
      </c>
      <c r="K140" s="300">
        <v>1.0</v>
      </c>
      <c r="L140" s="300" t="s">
        <v>686</v>
      </c>
      <c r="M140" s="300" t="s">
        <v>803</v>
      </c>
      <c r="N140" s="300">
        <v>1.0</v>
      </c>
      <c r="O140" s="300" t="s">
        <v>716</v>
      </c>
      <c r="P140" s="428" t="s">
        <v>717</v>
      </c>
      <c r="Q140" s="300" t="s">
        <v>724</v>
      </c>
      <c r="R140" s="193" t="s">
        <v>687</v>
      </c>
      <c r="S140" s="301"/>
      <c r="T140" s="301"/>
      <c r="X140" s="2">
        <f t="shared" si="12"/>
        <v>0</v>
      </c>
      <c r="AA140" s="301"/>
      <c r="AB140" s="301"/>
      <c r="AC140" s="301"/>
      <c r="AE140" s="301"/>
      <c r="AF140" s="301"/>
      <c r="AG140" s="301"/>
    </row>
    <row r="141">
      <c r="E141" s="2">
        <f t="shared" si="9"/>
        <v>492</v>
      </c>
      <c r="F141" s="2">
        <f t="shared" si="10"/>
        <v>166487.74</v>
      </c>
      <c r="G141" s="2">
        <f t="shared" si="11"/>
        <v>338.3897154</v>
      </c>
      <c r="J141" s="427">
        <v>45477.0</v>
      </c>
      <c r="K141" s="300">
        <v>120.0</v>
      </c>
      <c r="L141" s="300" t="s">
        <v>690</v>
      </c>
      <c r="M141" s="300" t="s">
        <v>804</v>
      </c>
      <c r="N141" s="300">
        <v>10.0</v>
      </c>
      <c r="O141" s="300" t="s">
        <v>716</v>
      </c>
      <c r="P141" s="428" t="s">
        <v>717</v>
      </c>
      <c r="Q141" s="300" t="s">
        <v>730</v>
      </c>
      <c r="R141" s="193" t="s">
        <v>687</v>
      </c>
      <c r="S141" s="301"/>
      <c r="T141" s="301"/>
      <c r="X141" s="2">
        <f t="shared" si="12"/>
        <v>0</v>
      </c>
      <c r="AA141" s="301"/>
      <c r="AB141" s="301"/>
      <c r="AC141" s="301"/>
      <c r="AE141" s="301"/>
      <c r="AF141" s="301"/>
      <c r="AG141" s="301"/>
    </row>
    <row r="142">
      <c r="E142" s="2">
        <f t="shared" si="9"/>
        <v>492</v>
      </c>
      <c r="F142" s="2">
        <f t="shared" si="10"/>
        <v>166367.74</v>
      </c>
      <c r="G142" s="2">
        <f t="shared" si="11"/>
        <v>338.145813</v>
      </c>
      <c r="J142" s="427">
        <v>45477.0</v>
      </c>
      <c r="K142" s="300">
        <v>56.0</v>
      </c>
      <c r="L142" s="300" t="s">
        <v>686</v>
      </c>
      <c r="M142" s="300" t="s">
        <v>805</v>
      </c>
      <c r="N142" s="300">
        <v>6.0</v>
      </c>
      <c r="O142" s="300" t="s">
        <v>716</v>
      </c>
      <c r="P142" s="428" t="s">
        <v>717</v>
      </c>
      <c r="Q142" s="300" t="s">
        <v>730</v>
      </c>
      <c r="R142" s="193" t="s">
        <v>687</v>
      </c>
      <c r="S142" s="301"/>
      <c r="T142" s="301"/>
      <c r="X142" s="2">
        <f t="shared" si="12"/>
        <v>0</v>
      </c>
      <c r="AA142" s="301"/>
      <c r="AB142" s="301"/>
      <c r="AC142" s="301"/>
      <c r="AE142" s="301"/>
      <c r="AF142" s="301"/>
      <c r="AG142" s="301"/>
    </row>
    <row r="143">
      <c r="E143" s="2">
        <f t="shared" si="9"/>
        <v>492</v>
      </c>
      <c r="F143" s="2">
        <f t="shared" si="10"/>
        <v>166311.74</v>
      </c>
      <c r="G143" s="2">
        <f t="shared" si="11"/>
        <v>338.0319919</v>
      </c>
      <c r="J143" s="427">
        <v>45477.0</v>
      </c>
      <c r="K143" s="300">
        <v>54.0</v>
      </c>
      <c r="L143" s="300" t="s">
        <v>686</v>
      </c>
      <c r="M143" s="300" t="s">
        <v>774</v>
      </c>
      <c r="N143" s="300">
        <v>1.0</v>
      </c>
      <c r="O143" s="300" t="s">
        <v>734</v>
      </c>
      <c r="P143" s="428" t="s">
        <v>717</v>
      </c>
      <c r="Q143" s="300" t="s">
        <v>730</v>
      </c>
      <c r="R143" s="193" t="s">
        <v>687</v>
      </c>
      <c r="S143" s="301"/>
      <c r="T143" s="301"/>
      <c r="X143" s="2">
        <f t="shared" si="12"/>
        <v>0</v>
      </c>
      <c r="AA143" s="301"/>
      <c r="AB143" s="301"/>
      <c r="AC143" s="301"/>
      <c r="AE143" s="301"/>
      <c r="AF143" s="301"/>
      <c r="AG143" s="301"/>
    </row>
    <row r="144">
      <c r="E144" s="2">
        <f t="shared" si="9"/>
        <v>492</v>
      </c>
      <c r="F144" s="2">
        <f t="shared" si="10"/>
        <v>166257.74</v>
      </c>
      <c r="G144" s="2">
        <f t="shared" si="11"/>
        <v>337.9222358</v>
      </c>
      <c r="J144" s="427">
        <v>45477.0</v>
      </c>
      <c r="K144" s="300">
        <v>10.0</v>
      </c>
      <c r="L144" s="300" t="s">
        <v>690</v>
      </c>
      <c r="M144" s="300" t="s">
        <v>806</v>
      </c>
      <c r="N144" s="300">
        <v>1.0</v>
      </c>
      <c r="O144" s="300" t="s">
        <v>716</v>
      </c>
      <c r="P144" s="428" t="s">
        <v>717</v>
      </c>
      <c r="Q144" s="300" t="s">
        <v>730</v>
      </c>
      <c r="R144" s="193" t="s">
        <v>687</v>
      </c>
      <c r="S144" s="301"/>
      <c r="T144" s="301"/>
      <c r="X144" s="2">
        <f t="shared" si="12"/>
        <v>0</v>
      </c>
      <c r="AA144" s="301"/>
      <c r="AB144" s="301"/>
      <c r="AC144" s="301"/>
      <c r="AE144" s="301"/>
      <c r="AF144" s="301"/>
      <c r="AG144" s="301"/>
    </row>
    <row r="145">
      <c r="E145" s="2">
        <f t="shared" si="9"/>
        <v>492</v>
      </c>
      <c r="F145" s="2">
        <f t="shared" si="10"/>
        <v>166247.74</v>
      </c>
      <c r="G145" s="2">
        <f t="shared" si="11"/>
        <v>337.9019106</v>
      </c>
      <c r="J145" s="427">
        <v>45477.0</v>
      </c>
      <c r="K145" s="300">
        <v>10.0</v>
      </c>
      <c r="L145" s="300" t="s">
        <v>686</v>
      </c>
      <c r="M145" s="300" t="s">
        <v>806</v>
      </c>
      <c r="N145" s="300">
        <v>1.0</v>
      </c>
      <c r="O145" s="300" t="s">
        <v>716</v>
      </c>
      <c r="P145" s="428" t="s">
        <v>717</v>
      </c>
      <c r="Q145" s="300" t="s">
        <v>730</v>
      </c>
      <c r="R145" s="411" t="s">
        <v>687</v>
      </c>
      <c r="S145" s="301"/>
      <c r="T145" s="301"/>
      <c r="X145" s="2">
        <f t="shared" si="12"/>
        <v>0</v>
      </c>
      <c r="AA145" s="301"/>
      <c r="AB145" s="301"/>
      <c r="AC145" s="301"/>
      <c r="AE145" s="301"/>
      <c r="AF145" s="301"/>
      <c r="AG145" s="301"/>
    </row>
    <row r="146">
      <c r="E146" s="2">
        <f t="shared" si="9"/>
        <v>491</v>
      </c>
      <c r="F146" s="2">
        <f t="shared" si="10"/>
        <v>166237.74</v>
      </c>
      <c r="G146" s="2">
        <f t="shared" si="11"/>
        <v>338.5697352</v>
      </c>
      <c r="J146" s="425">
        <v>45478.0</v>
      </c>
      <c r="K146" s="332">
        <v>26.0</v>
      </c>
      <c r="L146" s="332" t="s">
        <v>690</v>
      </c>
      <c r="M146" s="332" t="s">
        <v>723</v>
      </c>
      <c r="N146" s="332">
        <v>2.0</v>
      </c>
      <c r="O146" s="300" t="s">
        <v>716</v>
      </c>
      <c r="P146" s="426" t="s">
        <v>717</v>
      </c>
      <c r="Q146" s="332" t="s">
        <v>724</v>
      </c>
      <c r="R146" s="193" t="s">
        <v>687</v>
      </c>
      <c r="S146" s="301"/>
      <c r="T146" s="301"/>
      <c r="X146" s="2">
        <f t="shared" si="12"/>
        <v>0</v>
      </c>
      <c r="AA146" s="301"/>
      <c r="AB146" s="301"/>
      <c r="AC146" s="301"/>
      <c r="AE146" s="301"/>
      <c r="AF146" s="301"/>
      <c r="AG146" s="301"/>
    </row>
    <row r="147">
      <c r="E147" s="2">
        <f t="shared" si="9"/>
        <v>491</v>
      </c>
      <c r="F147" s="2">
        <f t="shared" si="10"/>
        <v>166211.74</v>
      </c>
      <c r="G147" s="2">
        <f t="shared" si="11"/>
        <v>338.5167821</v>
      </c>
      <c r="J147" s="427">
        <v>45478.0</v>
      </c>
      <c r="K147" s="300">
        <v>20.0</v>
      </c>
      <c r="L147" s="300" t="s">
        <v>686</v>
      </c>
      <c r="M147" s="300" t="s">
        <v>737</v>
      </c>
      <c r="N147" s="300">
        <v>1.0</v>
      </c>
      <c r="O147" s="300" t="s">
        <v>716</v>
      </c>
      <c r="P147" s="428" t="s">
        <v>717</v>
      </c>
      <c r="Q147" s="300" t="s">
        <v>772</v>
      </c>
      <c r="R147" s="193" t="s">
        <v>687</v>
      </c>
      <c r="S147" s="301"/>
      <c r="T147" s="301"/>
      <c r="X147" s="2">
        <f t="shared" si="12"/>
        <v>0</v>
      </c>
      <c r="AA147" s="301"/>
      <c r="AB147" s="301"/>
      <c r="AC147" s="301"/>
      <c r="AE147" s="301"/>
      <c r="AF147" s="301"/>
      <c r="AG147" s="301"/>
    </row>
    <row r="148">
      <c r="E148" s="2">
        <f t="shared" si="9"/>
        <v>491</v>
      </c>
      <c r="F148" s="2">
        <f t="shared" si="10"/>
        <v>166191.74</v>
      </c>
      <c r="G148" s="2">
        <f t="shared" si="11"/>
        <v>338.4760489</v>
      </c>
      <c r="J148" s="427">
        <v>45478.0</v>
      </c>
      <c r="K148" s="300">
        <v>290.52</v>
      </c>
      <c r="L148" s="300" t="s">
        <v>686</v>
      </c>
      <c r="M148" s="300" t="s">
        <v>807</v>
      </c>
      <c r="N148" s="300">
        <v>1.694</v>
      </c>
      <c r="O148" s="300" t="s">
        <v>734</v>
      </c>
      <c r="P148" s="428" t="s">
        <v>717</v>
      </c>
      <c r="Q148" s="300" t="s">
        <v>796</v>
      </c>
      <c r="R148" s="193" t="s">
        <v>687</v>
      </c>
      <c r="S148" s="301"/>
      <c r="T148" s="301"/>
      <c r="X148" s="2">
        <f t="shared" si="12"/>
        <v>0</v>
      </c>
      <c r="AA148" s="301"/>
      <c r="AB148" s="301"/>
      <c r="AC148" s="301"/>
      <c r="AE148" s="301"/>
      <c r="AF148" s="301"/>
      <c r="AG148" s="301"/>
    </row>
    <row r="149">
      <c r="E149" s="2">
        <f t="shared" si="9"/>
        <v>491</v>
      </c>
      <c r="F149" s="2">
        <f t="shared" si="10"/>
        <v>165901.22</v>
      </c>
      <c r="G149" s="2">
        <f t="shared" si="11"/>
        <v>337.8843585</v>
      </c>
      <c r="J149" s="427">
        <v>45478.0</v>
      </c>
      <c r="K149" s="300">
        <v>39.63</v>
      </c>
      <c r="L149" s="300" t="s">
        <v>686</v>
      </c>
      <c r="M149" s="300" t="s">
        <v>752</v>
      </c>
      <c r="N149" s="300">
        <v>714.0</v>
      </c>
      <c r="O149" s="300" t="s">
        <v>745</v>
      </c>
      <c r="P149" s="428" t="s">
        <v>717</v>
      </c>
      <c r="Q149" s="300" t="s">
        <v>796</v>
      </c>
      <c r="R149" s="193" t="s">
        <v>687</v>
      </c>
      <c r="S149" s="301"/>
      <c r="T149" s="301"/>
      <c r="X149" s="2">
        <f t="shared" si="12"/>
        <v>0</v>
      </c>
      <c r="AA149" s="301"/>
      <c r="AB149" s="301"/>
      <c r="AC149" s="301"/>
      <c r="AE149" s="301"/>
      <c r="AF149" s="301"/>
      <c r="AG149" s="301"/>
    </row>
    <row r="150">
      <c r="E150" s="2">
        <f t="shared" si="9"/>
        <v>491</v>
      </c>
      <c r="F150" s="2">
        <f t="shared" si="10"/>
        <v>165861.59</v>
      </c>
      <c r="G150" s="2">
        <f t="shared" si="11"/>
        <v>337.8036456</v>
      </c>
      <c r="J150" s="427">
        <v>45478.0</v>
      </c>
      <c r="K150" s="300">
        <v>183.68</v>
      </c>
      <c r="L150" s="300" t="s">
        <v>686</v>
      </c>
      <c r="M150" s="300" t="s">
        <v>808</v>
      </c>
      <c r="N150" s="300">
        <v>484.0</v>
      </c>
      <c r="O150" s="300" t="s">
        <v>745</v>
      </c>
      <c r="P150" s="428" t="s">
        <v>717</v>
      </c>
      <c r="Q150" s="300" t="s">
        <v>796</v>
      </c>
      <c r="R150" s="193" t="s">
        <v>687</v>
      </c>
      <c r="S150" s="301"/>
      <c r="T150" s="301"/>
      <c r="X150" s="2">
        <f t="shared" si="12"/>
        <v>0</v>
      </c>
      <c r="AA150" s="301"/>
      <c r="AB150" s="301"/>
      <c r="AC150" s="301"/>
      <c r="AE150" s="301"/>
      <c r="AF150" s="301"/>
      <c r="AG150" s="301"/>
    </row>
    <row r="151">
      <c r="E151" s="2">
        <f t="shared" si="9"/>
        <v>491</v>
      </c>
      <c r="F151" s="2">
        <f t="shared" si="10"/>
        <v>165677.91</v>
      </c>
      <c r="G151" s="2">
        <f t="shared" si="11"/>
        <v>337.4295519</v>
      </c>
      <c r="J151" s="427">
        <v>45478.0</v>
      </c>
      <c r="K151" s="300">
        <v>57.5</v>
      </c>
      <c r="L151" s="300" t="s">
        <v>686</v>
      </c>
      <c r="M151" s="300" t="s">
        <v>809</v>
      </c>
      <c r="N151" s="300">
        <v>500.0</v>
      </c>
      <c r="O151" s="300" t="s">
        <v>745</v>
      </c>
      <c r="P151" s="428" t="s">
        <v>717</v>
      </c>
      <c r="Q151" s="300" t="s">
        <v>796</v>
      </c>
      <c r="R151" s="193" t="s">
        <v>687</v>
      </c>
      <c r="S151" s="301"/>
      <c r="T151" s="301"/>
      <c r="X151" s="2">
        <f t="shared" si="12"/>
        <v>0</v>
      </c>
      <c r="AA151" s="301"/>
      <c r="AB151" s="301"/>
      <c r="AC151" s="301"/>
      <c r="AE151" s="301"/>
      <c r="AF151" s="301"/>
      <c r="AG151" s="301"/>
    </row>
    <row r="152">
      <c r="E152" s="2">
        <f t="shared" si="9"/>
        <v>491</v>
      </c>
      <c r="F152" s="2">
        <f t="shared" si="10"/>
        <v>165620.41</v>
      </c>
      <c r="G152" s="2">
        <f t="shared" si="11"/>
        <v>337.312444</v>
      </c>
      <c r="J152" s="427">
        <v>45478.0</v>
      </c>
      <c r="K152" s="300">
        <v>20.3</v>
      </c>
      <c r="L152" s="300" t="s">
        <v>686</v>
      </c>
      <c r="M152" s="300" t="s">
        <v>810</v>
      </c>
      <c r="N152" s="300">
        <v>344.0</v>
      </c>
      <c r="O152" s="300" t="s">
        <v>745</v>
      </c>
      <c r="P152" s="428" t="s">
        <v>717</v>
      </c>
      <c r="Q152" s="300" t="s">
        <v>796</v>
      </c>
      <c r="R152" s="193" t="s">
        <v>687</v>
      </c>
      <c r="S152" s="301"/>
      <c r="T152" s="301"/>
      <c r="X152" s="2">
        <f t="shared" si="12"/>
        <v>0</v>
      </c>
      <c r="AA152" s="301"/>
      <c r="AB152" s="301"/>
      <c r="AC152" s="301"/>
      <c r="AE152" s="301"/>
      <c r="AF152" s="301"/>
      <c r="AG152" s="301"/>
    </row>
    <row r="153">
      <c r="E153" s="2">
        <f t="shared" si="9"/>
        <v>491</v>
      </c>
      <c r="F153" s="2">
        <f t="shared" si="10"/>
        <v>165600.11</v>
      </c>
      <c r="G153" s="2">
        <f t="shared" si="11"/>
        <v>337.2710998</v>
      </c>
      <c r="J153" s="427">
        <v>45478.0</v>
      </c>
      <c r="K153" s="300">
        <v>144.76</v>
      </c>
      <c r="L153" s="300" t="s">
        <v>686</v>
      </c>
      <c r="M153" s="300" t="s">
        <v>811</v>
      </c>
      <c r="N153" s="300">
        <v>2.632</v>
      </c>
      <c r="O153" s="300" t="s">
        <v>734</v>
      </c>
      <c r="P153" s="428" t="s">
        <v>717</v>
      </c>
      <c r="Q153" s="300" t="s">
        <v>796</v>
      </c>
      <c r="R153" s="193" t="s">
        <v>687</v>
      </c>
      <c r="S153" s="301"/>
      <c r="T153" s="301"/>
      <c r="X153" s="2">
        <f t="shared" si="12"/>
        <v>0</v>
      </c>
      <c r="AA153" s="301"/>
      <c r="AB153" s="301"/>
      <c r="AC153" s="301"/>
      <c r="AE153" s="301"/>
      <c r="AF153" s="301"/>
      <c r="AG153" s="301"/>
    </row>
    <row r="154">
      <c r="E154" s="2">
        <f t="shared" si="9"/>
        <v>491</v>
      </c>
      <c r="F154" s="2">
        <f t="shared" si="10"/>
        <v>165455.35</v>
      </c>
      <c r="G154" s="2">
        <f t="shared" si="11"/>
        <v>336.9762729</v>
      </c>
      <c r="J154" s="427">
        <v>45478.0</v>
      </c>
      <c r="K154" s="300">
        <v>48.0</v>
      </c>
      <c r="L154" s="300" t="s">
        <v>686</v>
      </c>
      <c r="M154" s="300" t="s">
        <v>812</v>
      </c>
      <c r="N154" s="300">
        <v>500.0</v>
      </c>
      <c r="O154" s="300" t="s">
        <v>745</v>
      </c>
      <c r="P154" s="428" t="s">
        <v>717</v>
      </c>
      <c r="Q154" s="300" t="s">
        <v>796</v>
      </c>
      <c r="R154" s="193" t="s">
        <v>687</v>
      </c>
      <c r="S154" s="301"/>
      <c r="T154" s="301"/>
      <c r="X154" s="2">
        <f t="shared" si="12"/>
        <v>0</v>
      </c>
      <c r="AA154" s="301"/>
      <c r="AB154" s="301"/>
      <c r="AC154" s="301"/>
      <c r="AE154" s="301"/>
      <c r="AF154" s="301"/>
      <c r="AG154" s="301"/>
    </row>
    <row r="155">
      <c r="E155" s="2">
        <f t="shared" si="9"/>
        <v>491</v>
      </c>
      <c r="F155" s="2">
        <f t="shared" si="10"/>
        <v>165407.35</v>
      </c>
      <c r="G155" s="2">
        <f t="shared" si="11"/>
        <v>336.8785132</v>
      </c>
      <c r="J155" s="427">
        <v>45478.0</v>
      </c>
      <c r="K155" s="300">
        <v>26.0</v>
      </c>
      <c r="L155" s="300" t="s">
        <v>690</v>
      </c>
      <c r="M155" s="300" t="s">
        <v>790</v>
      </c>
      <c r="N155" s="300">
        <v>2.0</v>
      </c>
      <c r="O155" s="300" t="s">
        <v>716</v>
      </c>
      <c r="P155" s="428" t="s">
        <v>717</v>
      </c>
      <c r="Q155" s="300" t="s">
        <v>740</v>
      </c>
      <c r="R155" s="193" t="s">
        <v>687</v>
      </c>
      <c r="S155" s="301"/>
      <c r="T155" s="301"/>
      <c r="X155" s="2">
        <f t="shared" si="12"/>
        <v>0</v>
      </c>
      <c r="AA155" s="301"/>
      <c r="AB155" s="301"/>
      <c r="AC155" s="301"/>
      <c r="AE155" s="301"/>
      <c r="AF155" s="301"/>
      <c r="AG155" s="301"/>
    </row>
    <row r="156">
      <c r="E156" s="2">
        <f t="shared" si="9"/>
        <v>491</v>
      </c>
      <c r="F156" s="2">
        <f t="shared" si="10"/>
        <v>165381.35</v>
      </c>
      <c r="G156" s="2">
        <f t="shared" si="11"/>
        <v>336.8255601</v>
      </c>
      <c r="J156" s="427">
        <v>45478.0</v>
      </c>
      <c r="K156" s="300">
        <v>133.0</v>
      </c>
      <c r="L156" s="300" t="s">
        <v>690</v>
      </c>
      <c r="M156" s="300" t="s">
        <v>723</v>
      </c>
      <c r="N156" s="300">
        <v>11.0</v>
      </c>
      <c r="O156" s="300" t="s">
        <v>716</v>
      </c>
      <c r="P156" s="428" t="s">
        <v>717</v>
      </c>
      <c r="Q156" s="300" t="s">
        <v>724</v>
      </c>
      <c r="R156" s="193" t="s">
        <v>687</v>
      </c>
      <c r="S156" s="301"/>
      <c r="T156" s="301"/>
      <c r="X156" s="2">
        <f t="shared" si="12"/>
        <v>0</v>
      </c>
      <c r="AA156" s="301"/>
      <c r="AB156" s="301"/>
      <c r="AC156" s="301"/>
      <c r="AE156" s="301"/>
      <c r="AF156" s="301"/>
      <c r="AG156" s="301"/>
    </row>
    <row r="157">
      <c r="E157" s="2">
        <f t="shared" si="9"/>
        <v>491</v>
      </c>
      <c r="F157" s="2">
        <f t="shared" si="10"/>
        <v>165248.35</v>
      </c>
      <c r="G157" s="2">
        <f t="shared" si="11"/>
        <v>336.5546843</v>
      </c>
      <c r="J157" s="427">
        <v>45478.0</v>
      </c>
      <c r="K157" s="300">
        <v>240.0</v>
      </c>
      <c r="L157" s="300" t="s">
        <v>690</v>
      </c>
      <c r="M157" s="300" t="s">
        <v>723</v>
      </c>
      <c r="N157" s="300">
        <v>20.0</v>
      </c>
      <c r="O157" s="300" t="s">
        <v>716</v>
      </c>
      <c r="P157" s="428" t="s">
        <v>717</v>
      </c>
      <c r="Q157" s="300" t="s">
        <v>730</v>
      </c>
      <c r="R157" s="193" t="s">
        <v>687</v>
      </c>
      <c r="S157" s="301"/>
      <c r="T157" s="301"/>
      <c r="X157" s="2">
        <f t="shared" si="12"/>
        <v>0</v>
      </c>
      <c r="AA157" s="301"/>
      <c r="AB157" s="301"/>
      <c r="AC157" s="301"/>
      <c r="AE157" s="301"/>
      <c r="AF157" s="301"/>
      <c r="AG157" s="301"/>
    </row>
    <row r="158">
      <c r="E158" s="2">
        <f t="shared" si="9"/>
        <v>491</v>
      </c>
      <c r="F158" s="2">
        <f t="shared" si="10"/>
        <v>165008.35</v>
      </c>
      <c r="G158" s="2">
        <f t="shared" si="11"/>
        <v>336.0658859</v>
      </c>
      <c r="J158" s="430">
        <v>45478.0</v>
      </c>
      <c r="K158" s="302">
        <v>20.0</v>
      </c>
      <c r="L158" s="302" t="s">
        <v>690</v>
      </c>
      <c r="M158" s="302" t="s">
        <v>806</v>
      </c>
      <c r="N158" s="302">
        <v>1.0</v>
      </c>
      <c r="O158" s="300" t="s">
        <v>716</v>
      </c>
      <c r="P158" s="431" t="s">
        <v>717</v>
      </c>
      <c r="Q158" s="302" t="s">
        <v>730</v>
      </c>
      <c r="R158" s="193" t="s">
        <v>687</v>
      </c>
      <c r="S158" s="301"/>
      <c r="T158" s="301"/>
      <c r="X158" s="2">
        <f t="shared" si="12"/>
        <v>0</v>
      </c>
      <c r="AA158" s="301"/>
      <c r="AB158" s="301"/>
      <c r="AC158" s="301"/>
      <c r="AE158" s="301"/>
      <c r="AF158" s="301"/>
      <c r="AG158" s="301"/>
    </row>
    <row r="159">
      <c r="E159" s="2">
        <f t="shared" si="9"/>
        <v>490</v>
      </c>
      <c r="F159" s="2">
        <f t="shared" si="10"/>
        <v>164988.35</v>
      </c>
      <c r="G159" s="2">
        <f t="shared" si="11"/>
        <v>336.7109184</v>
      </c>
      <c r="J159" s="427">
        <v>45479.0</v>
      </c>
      <c r="K159" s="300">
        <v>7928.0</v>
      </c>
      <c r="L159" s="300" t="s">
        <v>692</v>
      </c>
      <c r="M159" s="300" t="s">
        <v>813</v>
      </c>
      <c r="N159" s="300">
        <v>1.0</v>
      </c>
      <c r="O159" s="300" t="s">
        <v>716</v>
      </c>
      <c r="P159" s="428" t="s">
        <v>717</v>
      </c>
      <c r="Q159" s="300" t="s">
        <v>287</v>
      </c>
      <c r="R159" s="255" t="s">
        <v>76</v>
      </c>
      <c r="S159" s="301"/>
      <c r="T159" s="301"/>
      <c r="X159" s="2">
        <f t="shared" si="12"/>
        <v>0</v>
      </c>
      <c r="AA159" s="301"/>
      <c r="AB159" s="301"/>
      <c r="AC159" s="301"/>
      <c r="AE159" s="301"/>
      <c r="AF159" s="301"/>
      <c r="AG159" s="301"/>
    </row>
    <row r="160">
      <c r="E160" s="2">
        <f t="shared" si="9"/>
        <v>490</v>
      </c>
      <c r="F160" s="2">
        <f t="shared" si="10"/>
        <v>157060.35</v>
      </c>
      <c r="G160" s="2">
        <f t="shared" si="11"/>
        <v>320.5313265</v>
      </c>
      <c r="J160" s="427">
        <v>45479.0</v>
      </c>
      <c r="K160" s="300">
        <v>200.0</v>
      </c>
      <c r="L160" s="300" t="s">
        <v>692</v>
      </c>
      <c r="M160" s="300" t="s">
        <v>814</v>
      </c>
      <c r="N160" s="300">
        <v>1.0</v>
      </c>
      <c r="O160" s="300" t="s">
        <v>716</v>
      </c>
      <c r="P160" s="428" t="s">
        <v>717</v>
      </c>
      <c r="Q160" s="300" t="s">
        <v>287</v>
      </c>
      <c r="R160" s="6" t="s">
        <v>76</v>
      </c>
      <c r="S160" s="301"/>
      <c r="T160" s="301"/>
      <c r="X160" s="2">
        <f t="shared" si="12"/>
        <v>0</v>
      </c>
      <c r="AA160" s="301"/>
      <c r="AB160" s="301"/>
      <c r="AC160" s="301"/>
      <c r="AE160" s="301"/>
      <c r="AF160" s="301"/>
      <c r="AG160" s="301"/>
    </row>
    <row r="161">
      <c r="E161" s="2">
        <f t="shared" si="9"/>
        <v>490</v>
      </c>
      <c r="F161" s="2">
        <f t="shared" si="10"/>
        <v>156860.35</v>
      </c>
      <c r="G161" s="2">
        <f t="shared" si="11"/>
        <v>320.1231633</v>
      </c>
      <c r="J161" s="427">
        <v>45479.0</v>
      </c>
      <c r="K161" s="300">
        <v>380.0</v>
      </c>
      <c r="L161" s="300" t="s">
        <v>686</v>
      </c>
      <c r="M161" s="300" t="s">
        <v>815</v>
      </c>
      <c r="N161" s="300">
        <v>1.0</v>
      </c>
      <c r="O161" s="300" t="s">
        <v>716</v>
      </c>
      <c r="P161" s="428" t="s">
        <v>765</v>
      </c>
      <c r="Q161" s="300" t="s">
        <v>816</v>
      </c>
      <c r="R161" s="193" t="s">
        <v>687</v>
      </c>
      <c r="S161" s="301"/>
      <c r="T161" s="301"/>
      <c r="X161" s="2">
        <f t="shared" si="12"/>
        <v>0</v>
      </c>
      <c r="AA161" s="301"/>
      <c r="AB161" s="301"/>
      <c r="AC161" s="301"/>
      <c r="AE161" s="301"/>
      <c r="AF161" s="301"/>
      <c r="AG161" s="301"/>
    </row>
    <row r="162">
      <c r="E162" s="2">
        <f t="shared" si="9"/>
        <v>490</v>
      </c>
      <c r="F162" s="2">
        <f t="shared" si="10"/>
        <v>156480.35</v>
      </c>
      <c r="G162" s="2">
        <f t="shared" si="11"/>
        <v>319.3476531</v>
      </c>
      <c r="J162" s="427">
        <v>45479.0</v>
      </c>
      <c r="K162" s="300">
        <v>770.0</v>
      </c>
      <c r="L162" s="300" t="s">
        <v>686</v>
      </c>
      <c r="M162" s="300" t="s">
        <v>815</v>
      </c>
      <c r="N162" s="300">
        <v>2.0</v>
      </c>
      <c r="O162" s="300" t="s">
        <v>716</v>
      </c>
      <c r="P162" s="428" t="s">
        <v>765</v>
      </c>
      <c r="Q162" s="300" t="s">
        <v>816</v>
      </c>
      <c r="R162" s="193" t="s">
        <v>687</v>
      </c>
      <c r="S162" s="301"/>
      <c r="T162" s="301"/>
      <c r="X162" s="2">
        <f t="shared" si="12"/>
        <v>0</v>
      </c>
      <c r="AA162" s="301"/>
      <c r="AB162" s="301"/>
      <c r="AC162" s="301"/>
      <c r="AE162" s="301"/>
      <c r="AF162" s="301"/>
      <c r="AG162" s="301"/>
    </row>
    <row r="163">
      <c r="E163" s="2">
        <f t="shared" si="9"/>
        <v>490</v>
      </c>
      <c r="F163" s="2">
        <f t="shared" si="10"/>
        <v>155710.35</v>
      </c>
      <c r="G163" s="2">
        <f t="shared" si="11"/>
        <v>317.7762245</v>
      </c>
      <c r="J163" s="427">
        <v>45479.0</v>
      </c>
      <c r="K163" s="300">
        <v>130.0</v>
      </c>
      <c r="L163" s="300" t="s">
        <v>686</v>
      </c>
      <c r="M163" s="300" t="s">
        <v>817</v>
      </c>
      <c r="N163" s="300">
        <v>2.0</v>
      </c>
      <c r="O163" s="300" t="s">
        <v>716</v>
      </c>
      <c r="P163" s="428" t="s">
        <v>765</v>
      </c>
      <c r="Q163" s="300" t="s">
        <v>816</v>
      </c>
      <c r="R163" s="6" t="s">
        <v>76</v>
      </c>
      <c r="S163" s="301"/>
      <c r="T163" s="301"/>
      <c r="X163" s="2">
        <f t="shared" si="12"/>
        <v>0</v>
      </c>
      <c r="AA163" s="301"/>
      <c r="AB163" s="301"/>
      <c r="AC163" s="301"/>
      <c r="AE163" s="301"/>
      <c r="AF163" s="301"/>
      <c r="AG163" s="301"/>
    </row>
    <row r="164">
      <c r="E164" s="2">
        <f t="shared" si="9"/>
        <v>490</v>
      </c>
      <c r="F164" s="2">
        <f t="shared" si="10"/>
        <v>155580.35</v>
      </c>
      <c r="G164" s="2">
        <f t="shared" si="11"/>
        <v>317.5109184</v>
      </c>
      <c r="J164" s="427">
        <v>45479.0</v>
      </c>
      <c r="K164" s="300">
        <v>13.0</v>
      </c>
      <c r="L164" s="300" t="s">
        <v>690</v>
      </c>
      <c r="M164" s="300" t="s">
        <v>790</v>
      </c>
      <c r="N164" s="300">
        <v>1.0</v>
      </c>
      <c r="O164" s="300" t="s">
        <v>716</v>
      </c>
      <c r="P164" s="428" t="s">
        <v>717</v>
      </c>
      <c r="Q164" s="300" t="s">
        <v>818</v>
      </c>
      <c r="R164" s="193" t="s">
        <v>687</v>
      </c>
      <c r="S164" s="301"/>
      <c r="T164" s="301"/>
      <c r="X164" s="2">
        <f t="shared" si="12"/>
        <v>0</v>
      </c>
      <c r="AA164" s="301"/>
      <c r="AB164" s="301"/>
      <c r="AC164" s="301"/>
      <c r="AE164" s="301"/>
      <c r="AF164" s="301"/>
      <c r="AG164" s="301"/>
    </row>
    <row r="165">
      <c r="E165" s="2">
        <f t="shared" si="9"/>
        <v>490</v>
      </c>
      <c r="F165" s="2">
        <f t="shared" si="10"/>
        <v>155567.35</v>
      </c>
      <c r="G165" s="2">
        <f t="shared" si="11"/>
        <v>317.4843878</v>
      </c>
      <c r="J165" s="427">
        <v>45479.0</v>
      </c>
      <c r="K165" s="300">
        <v>2.0</v>
      </c>
      <c r="L165" s="300" t="s">
        <v>686</v>
      </c>
      <c r="M165" s="300" t="s">
        <v>803</v>
      </c>
      <c r="N165" s="300">
        <v>2.0</v>
      </c>
      <c r="O165" s="300" t="s">
        <v>716</v>
      </c>
      <c r="P165" s="428" t="s">
        <v>717</v>
      </c>
      <c r="Q165" s="300" t="s">
        <v>818</v>
      </c>
      <c r="R165" s="193" t="s">
        <v>687</v>
      </c>
      <c r="S165" s="301"/>
      <c r="T165" s="301"/>
      <c r="X165" s="2">
        <f t="shared" si="12"/>
        <v>0</v>
      </c>
      <c r="AA165" s="301"/>
      <c r="AB165" s="301"/>
      <c r="AC165" s="301"/>
      <c r="AE165" s="301"/>
      <c r="AF165" s="301"/>
      <c r="AG165" s="301"/>
    </row>
    <row r="166">
      <c r="E166" s="2">
        <f t="shared" si="9"/>
        <v>490</v>
      </c>
      <c r="F166" s="2">
        <f t="shared" si="10"/>
        <v>155565.35</v>
      </c>
      <c r="G166" s="2">
        <f t="shared" si="11"/>
        <v>317.4803061</v>
      </c>
      <c r="J166" s="427">
        <v>45479.0</v>
      </c>
      <c r="K166" s="300">
        <v>3798.0</v>
      </c>
      <c r="L166" s="300" t="s">
        <v>693</v>
      </c>
      <c r="M166" s="300" t="s">
        <v>819</v>
      </c>
      <c r="N166" s="300">
        <v>5.0</v>
      </c>
      <c r="O166" s="300" t="s">
        <v>716</v>
      </c>
      <c r="P166" s="428" t="s">
        <v>717</v>
      </c>
      <c r="Q166" s="300" t="s">
        <v>820</v>
      </c>
      <c r="R166" s="6" t="s">
        <v>76</v>
      </c>
      <c r="S166" s="301"/>
      <c r="T166" s="301"/>
      <c r="X166" s="2">
        <f t="shared" si="12"/>
        <v>0</v>
      </c>
      <c r="AA166" s="301"/>
      <c r="AB166" s="301"/>
      <c r="AC166" s="301"/>
      <c r="AE166" s="301"/>
      <c r="AF166" s="301"/>
      <c r="AG166" s="301"/>
    </row>
    <row r="167">
      <c r="E167" s="2">
        <f t="shared" si="9"/>
        <v>490</v>
      </c>
      <c r="F167" s="2">
        <f t="shared" si="10"/>
        <v>151767.35</v>
      </c>
      <c r="G167" s="2">
        <f t="shared" si="11"/>
        <v>309.7292857</v>
      </c>
      <c r="J167" s="427">
        <v>45479.0</v>
      </c>
      <c r="K167" s="300">
        <v>13.0</v>
      </c>
      <c r="L167" s="300" t="s">
        <v>690</v>
      </c>
      <c r="M167" s="300" t="s">
        <v>790</v>
      </c>
      <c r="N167" s="300">
        <v>1.0</v>
      </c>
      <c r="O167" s="300" t="s">
        <v>716</v>
      </c>
      <c r="P167" s="428" t="s">
        <v>717</v>
      </c>
      <c r="Q167" s="300" t="s">
        <v>818</v>
      </c>
      <c r="R167" s="193" t="s">
        <v>687</v>
      </c>
      <c r="S167" s="301"/>
      <c r="T167" s="301"/>
      <c r="X167" s="2">
        <f t="shared" si="12"/>
        <v>0</v>
      </c>
      <c r="AA167" s="301"/>
      <c r="AB167" s="301"/>
      <c r="AC167" s="301"/>
      <c r="AE167" s="301"/>
      <c r="AF167" s="301"/>
      <c r="AG167" s="301"/>
    </row>
    <row r="168">
      <c r="E168" s="2">
        <f t="shared" si="9"/>
        <v>490</v>
      </c>
      <c r="F168" s="2">
        <f t="shared" si="10"/>
        <v>151754.35</v>
      </c>
      <c r="G168" s="2">
        <f t="shared" si="11"/>
        <v>309.7027551</v>
      </c>
      <c r="J168" s="427">
        <v>45479.0</v>
      </c>
      <c r="K168" s="300">
        <v>2.0</v>
      </c>
      <c r="L168" s="300" t="s">
        <v>686</v>
      </c>
      <c r="M168" s="300" t="s">
        <v>803</v>
      </c>
      <c r="N168" s="300">
        <v>2.0</v>
      </c>
      <c r="O168" s="300" t="s">
        <v>716</v>
      </c>
      <c r="P168" s="428" t="s">
        <v>717</v>
      </c>
      <c r="Q168" s="300" t="s">
        <v>818</v>
      </c>
      <c r="R168" s="193" t="s">
        <v>687</v>
      </c>
      <c r="S168" s="301"/>
      <c r="T168" s="301"/>
      <c r="X168" s="2">
        <f t="shared" si="12"/>
        <v>0</v>
      </c>
      <c r="AA168" s="301"/>
      <c r="AB168" s="301"/>
      <c r="AC168" s="301"/>
      <c r="AE168" s="301"/>
      <c r="AF168" s="301"/>
      <c r="AG168" s="301"/>
    </row>
    <row r="169">
      <c r="E169" s="2">
        <f t="shared" si="9"/>
        <v>490</v>
      </c>
      <c r="F169" s="2">
        <f t="shared" si="10"/>
        <v>151752.35</v>
      </c>
      <c r="G169" s="2">
        <f t="shared" si="11"/>
        <v>309.6986735</v>
      </c>
      <c r="J169" s="427">
        <v>45479.0</v>
      </c>
      <c r="K169" s="300">
        <v>174.0</v>
      </c>
      <c r="L169" s="300" t="s">
        <v>686</v>
      </c>
      <c r="M169" s="300" t="s">
        <v>821</v>
      </c>
      <c r="N169" s="300">
        <v>1.0</v>
      </c>
      <c r="O169" s="300" t="s">
        <v>716</v>
      </c>
      <c r="P169" s="428" t="s">
        <v>822</v>
      </c>
      <c r="Q169" s="300" t="s">
        <v>823</v>
      </c>
      <c r="R169" s="193" t="s">
        <v>76</v>
      </c>
      <c r="S169" s="301"/>
      <c r="T169" s="301"/>
      <c r="X169" s="2">
        <f t="shared" si="12"/>
        <v>0</v>
      </c>
      <c r="AA169" s="301"/>
      <c r="AB169" s="301"/>
      <c r="AC169" s="301"/>
      <c r="AE169" s="301"/>
      <c r="AF169" s="301"/>
      <c r="AG169" s="301"/>
    </row>
    <row r="170">
      <c r="E170" s="2">
        <f t="shared" si="9"/>
        <v>490</v>
      </c>
      <c r="F170" s="2">
        <f t="shared" si="10"/>
        <v>151578.35</v>
      </c>
      <c r="G170" s="2">
        <f t="shared" si="11"/>
        <v>309.3435714</v>
      </c>
      <c r="J170" s="427">
        <v>45479.0</v>
      </c>
      <c r="K170" s="300">
        <v>2400.0</v>
      </c>
      <c r="L170" s="300" t="s">
        <v>688</v>
      </c>
      <c r="M170" s="300" t="s">
        <v>824</v>
      </c>
      <c r="N170" s="300">
        <v>750.0</v>
      </c>
      <c r="O170" s="300" t="s">
        <v>712</v>
      </c>
      <c r="P170" s="428" t="s">
        <v>825</v>
      </c>
      <c r="Q170" s="300" t="s">
        <v>826</v>
      </c>
      <c r="R170" s="193" t="s">
        <v>76</v>
      </c>
      <c r="S170" s="301"/>
      <c r="T170" s="301"/>
      <c r="X170" s="2">
        <f t="shared" si="12"/>
        <v>0</v>
      </c>
      <c r="AA170" s="301"/>
      <c r="AB170" s="301"/>
      <c r="AC170" s="301"/>
      <c r="AE170" s="301"/>
      <c r="AF170" s="301"/>
      <c r="AG170" s="301"/>
    </row>
    <row r="171">
      <c r="E171" s="2">
        <f t="shared" si="9"/>
        <v>490</v>
      </c>
      <c r="F171" s="2">
        <f t="shared" si="10"/>
        <v>149178.35</v>
      </c>
      <c r="G171" s="2">
        <f t="shared" si="11"/>
        <v>304.4456122</v>
      </c>
      <c r="J171" s="427">
        <v>45479.0</v>
      </c>
      <c r="K171" s="300">
        <v>570.0</v>
      </c>
      <c r="L171" s="300" t="s">
        <v>688</v>
      </c>
      <c r="M171" s="300" t="s">
        <v>827</v>
      </c>
      <c r="N171" s="300">
        <v>3.0</v>
      </c>
      <c r="O171" s="300" t="s">
        <v>716</v>
      </c>
      <c r="P171" s="428" t="s">
        <v>125</v>
      </c>
      <c r="Q171" s="300" t="s">
        <v>826</v>
      </c>
      <c r="R171" s="193" t="s">
        <v>76</v>
      </c>
      <c r="S171" s="301"/>
      <c r="T171" s="301"/>
      <c r="X171" s="2">
        <f t="shared" si="12"/>
        <v>0</v>
      </c>
      <c r="AA171" s="301"/>
      <c r="AB171" s="301"/>
      <c r="AC171" s="301"/>
      <c r="AE171" s="301"/>
      <c r="AF171" s="301"/>
      <c r="AG171" s="301"/>
    </row>
    <row r="172">
      <c r="E172" s="2">
        <f t="shared" si="9"/>
        <v>490</v>
      </c>
      <c r="F172" s="2">
        <f t="shared" si="10"/>
        <v>148608.35</v>
      </c>
      <c r="G172" s="2">
        <f t="shared" si="11"/>
        <v>303.2823469</v>
      </c>
      <c r="J172" s="427">
        <v>45479.0</v>
      </c>
      <c r="K172" s="300">
        <v>26.0</v>
      </c>
      <c r="L172" s="300" t="s">
        <v>690</v>
      </c>
      <c r="M172" s="300" t="s">
        <v>790</v>
      </c>
      <c r="N172" s="300">
        <v>2.0</v>
      </c>
      <c r="O172" s="300" t="s">
        <v>716</v>
      </c>
      <c r="P172" s="428" t="s">
        <v>717</v>
      </c>
      <c r="Q172" s="300" t="s">
        <v>818</v>
      </c>
      <c r="R172" s="193" t="s">
        <v>687</v>
      </c>
      <c r="S172" s="301"/>
      <c r="T172" s="301"/>
      <c r="X172" s="2">
        <f t="shared" si="12"/>
        <v>0</v>
      </c>
      <c r="AA172" s="301"/>
      <c r="AB172" s="301"/>
      <c r="AC172" s="301"/>
      <c r="AE172" s="301"/>
      <c r="AF172" s="301"/>
      <c r="AG172" s="301"/>
    </row>
    <row r="173">
      <c r="E173" s="2">
        <f t="shared" si="9"/>
        <v>490</v>
      </c>
      <c r="F173" s="2">
        <f t="shared" si="10"/>
        <v>148582.35</v>
      </c>
      <c r="G173" s="2">
        <f t="shared" si="11"/>
        <v>303.2292857</v>
      </c>
      <c r="J173" s="427">
        <v>45479.0</v>
      </c>
      <c r="K173" s="300">
        <v>14.0</v>
      </c>
      <c r="L173" s="300" t="s">
        <v>686</v>
      </c>
      <c r="M173" s="300" t="s">
        <v>725</v>
      </c>
      <c r="N173" s="300">
        <v>2.0</v>
      </c>
      <c r="O173" s="300" t="s">
        <v>716</v>
      </c>
      <c r="P173" s="428" t="s">
        <v>771</v>
      </c>
      <c r="Q173" s="300" t="s">
        <v>818</v>
      </c>
      <c r="R173" s="193" t="s">
        <v>687</v>
      </c>
      <c r="S173" s="301"/>
      <c r="T173" s="301"/>
      <c r="X173" s="2">
        <f t="shared" si="12"/>
        <v>0</v>
      </c>
      <c r="AA173" s="301"/>
      <c r="AB173" s="301"/>
      <c r="AC173" s="301"/>
      <c r="AE173" s="301"/>
      <c r="AF173" s="301"/>
      <c r="AG173" s="301"/>
    </row>
    <row r="174">
      <c r="E174" s="2">
        <f t="shared" si="9"/>
        <v>490</v>
      </c>
      <c r="F174" s="2">
        <f t="shared" si="10"/>
        <v>148568.35</v>
      </c>
      <c r="G174" s="2">
        <f t="shared" si="11"/>
        <v>303.2007143</v>
      </c>
      <c r="J174" s="430">
        <v>45479.0</v>
      </c>
      <c r="K174" s="302">
        <v>785.0</v>
      </c>
      <c r="L174" s="302" t="s">
        <v>686</v>
      </c>
      <c r="M174" s="302" t="s">
        <v>828</v>
      </c>
      <c r="N174" s="302">
        <v>1.0</v>
      </c>
      <c r="O174" s="300" t="s">
        <v>716</v>
      </c>
      <c r="P174" s="431" t="s">
        <v>829</v>
      </c>
      <c r="Q174" s="302" t="s">
        <v>830</v>
      </c>
      <c r="R174" s="411" t="s">
        <v>76</v>
      </c>
      <c r="S174" s="301"/>
      <c r="T174" s="301"/>
      <c r="X174" s="2">
        <f t="shared" si="12"/>
        <v>0</v>
      </c>
      <c r="AA174" s="301"/>
      <c r="AB174" s="301"/>
      <c r="AC174" s="301"/>
      <c r="AE174" s="301"/>
      <c r="AF174" s="301"/>
      <c r="AG174" s="301"/>
    </row>
    <row r="175">
      <c r="E175" s="2">
        <f t="shared" si="9"/>
        <v>489</v>
      </c>
      <c r="F175" s="2">
        <f t="shared" si="10"/>
        <v>147783.35</v>
      </c>
      <c r="G175" s="2">
        <f t="shared" si="11"/>
        <v>302.2154397</v>
      </c>
      <c r="J175" s="427">
        <v>45480.0</v>
      </c>
      <c r="K175" s="300">
        <v>26.0</v>
      </c>
      <c r="L175" s="300" t="s">
        <v>690</v>
      </c>
      <c r="M175" s="300" t="s">
        <v>790</v>
      </c>
      <c r="N175" s="300">
        <v>2.0</v>
      </c>
      <c r="O175" s="300" t="s">
        <v>716</v>
      </c>
      <c r="P175" s="428" t="s">
        <v>717</v>
      </c>
      <c r="Q175" s="300" t="s">
        <v>818</v>
      </c>
      <c r="R175" s="6" t="s">
        <v>76</v>
      </c>
      <c r="S175" s="301"/>
      <c r="T175" s="301"/>
      <c r="X175" s="2">
        <f t="shared" si="12"/>
        <v>0</v>
      </c>
      <c r="AA175" s="301"/>
      <c r="AB175" s="301"/>
      <c r="AC175" s="301"/>
      <c r="AE175" s="301"/>
      <c r="AF175" s="301"/>
      <c r="AG175" s="301"/>
    </row>
    <row r="176">
      <c r="E176" s="2">
        <f t="shared" si="9"/>
        <v>489</v>
      </c>
      <c r="F176" s="2">
        <f t="shared" si="10"/>
        <v>147757.35</v>
      </c>
      <c r="G176" s="2">
        <f t="shared" si="11"/>
        <v>302.1622699</v>
      </c>
      <c r="J176" s="427">
        <v>45480.0</v>
      </c>
      <c r="K176" s="300">
        <v>2.0</v>
      </c>
      <c r="L176" s="300" t="s">
        <v>686</v>
      </c>
      <c r="M176" s="300" t="s">
        <v>803</v>
      </c>
      <c r="N176" s="300">
        <v>2.0</v>
      </c>
      <c r="O176" s="300" t="s">
        <v>716</v>
      </c>
      <c r="P176" s="428" t="s">
        <v>717</v>
      </c>
      <c r="Q176" s="300" t="s">
        <v>818</v>
      </c>
      <c r="R176" s="6" t="s">
        <v>76</v>
      </c>
      <c r="S176" s="301"/>
      <c r="T176" s="301"/>
      <c r="X176" s="2">
        <f t="shared" si="12"/>
        <v>0</v>
      </c>
      <c r="AA176" s="301"/>
      <c r="AB176" s="301"/>
      <c r="AC176" s="301"/>
      <c r="AE176" s="301"/>
      <c r="AF176" s="301"/>
      <c r="AG176" s="301"/>
    </row>
    <row r="177">
      <c r="E177" s="2">
        <f t="shared" si="9"/>
        <v>489</v>
      </c>
      <c r="F177" s="2">
        <f t="shared" si="10"/>
        <v>147755.35</v>
      </c>
      <c r="G177" s="2">
        <f t="shared" si="11"/>
        <v>302.15818</v>
      </c>
      <c r="J177" s="427">
        <v>45480.0</v>
      </c>
      <c r="K177" s="300">
        <v>385.0</v>
      </c>
      <c r="L177" s="300" t="s">
        <v>686</v>
      </c>
      <c r="M177" s="300" t="s">
        <v>831</v>
      </c>
      <c r="N177" s="300">
        <v>6.0</v>
      </c>
      <c r="O177" s="300" t="s">
        <v>716</v>
      </c>
      <c r="P177" s="428" t="s">
        <v>832</v>
      </c>
      <c r="Q177" s="300" t="s">
        <v>833</v>
      </c>
      <c r="R177" s="6" t="s">
        <v>76</v>
      </c>
      <c r="S177" s="301"/>
      <c r="T177" s="301"/>
      <c r="X177" s="2">
        <f t="shared" si="12"/>
        <v>0</v>
      </c>
      <c r="AA177" s="301"/>
      <c r="AB177" s="301"/>
      <c r="AC177" s="301"/>
      <c r="AE177" s="301"/>
      <c r="AF177" s="301"/>
      <c r="AG177" s="301"/>
    </row>
    <row r="178">
      <c r="E178" s="2">
        <f t="shared" si="9"/>
        <v>489</v>
      </c>
      <c r="F178" s="2">
        <f t="shared" si="10"/>
        <v>147370.35</v>
      </c>
      <c r="G178" s="2">
        <f t="shared" si="11"/>
        <v>301.3708589</v>
      </c>
      <c r="J178" s="427">
        <v>45480.0</v>
      </c>
      <c r="K178" s="300">
        <v>13.0</v>
      </c>
      <c r="L178" s="300" t="s">
        <v>690</v>
      </c>
      <c r="M178" s="300" t="s">
        <v>790</v>
      </c>
      <c r="N178" s="300">
        <v>1.0</v>
      </c>
      <c r="O178" s="300" t="s">
        <v>716</v>
      </c>
      <c r="P178" s="428" t="s">
        <v>717</v>
      </c>
      <c r="Q178" s="300" t="s">
        <v>818</v>
      </c>
      <c r="R178" s="193" t="s">
        <v>687</v>
      </c>
      <c r="S178" s="301"/>
      <c r="T178" s="301"/>
      <c r="X178" s="2">
        <f t="shared" si="12"/>
        <v>0</v>
      </c>
      <c r="AA178" s="301"/>
      <c r="AB178" s="301"/>
      <c r="AC178" s="301"/>
      <c r="AE178" s="301"/>
      <c r="AF178" s="301"/>
      <c r="AG178" s="301"/>
    </row>
    <row r="179">
      <c r="E179" s="2">
        <f t="shared" si="9"/>
        <v>489</v>
      </c>
      <c r="F179" s="2">
        <f t="shared" si="10"/>
        <v>147357.35</v>
      </c>
      <c r="G179" s="2">
        <f t="shared" si="11"/>
        <v>301.344274</v>
      </c>
      <c r="J179" s="427">
        <v>45480.0</v>
      </c>
      <c r="K179" s="300">
        <v>130.0</v>
      </c>
      <c r="L179" s="300" t="s">
        <v>695</v>
      </c>
      <c r="M179" s="300" t="s">
        <v>834</v>
      </c>
      <c r="N179" s="300">
        <v>1.0</v>
      </c>
      <c r="O179" s="300" t="s">
        <v>716</v>
      </c>
      <c r="P179" s="428" t="s">
        <v>717</v>
      </c>
      <c r="Q179" s="300" t="s">
        <v>750</v>
      </c>
      <c r="R179" s="6" t="s">
        <v>76</v>
      </c>
      <c r="S179" s="301"/>
      <c r="T179" s="301"/>
      <c r="X179" s="2">
        <f t="shared" si="12"/>
        <v>0</v>
      </c>
      <c r="AA179" s="301"/>
      <c r="AB179" s="301"/>
      <c r="AC179" s="301"/>
      <c r="AE179" s="301"/>
      <c r="AF179" s="301"/>
      <c r="AG179" s="301"/>
    </row>
    <row r="180">
      <c r="E180" s="2">
        <f t="shared" si="9"/>
        <v>489</v>
      </c>
      <c r="F180" s="2">
        <f t="shared" si="10"/>
        <v>147227.35</v>
      </c>
      <c r="G180" s="2">
        <f t="shared" si="11"/>
        <v>301.0784254</v>
      </c>
      <c r="J180" s="427">
        <v>45480.0</v>
      </c>
      <c r="K180" s="300">
        <v>26.0</v>
      </c>
      <c r="L180" s="300" t="s">
        <v>690</v>
      </c>
      <c r="M180" s="300" t="s">
        <v>723</v>
      </c>
      <c r="N180" s="300">
        <v>2.0</v>
      </c>
      <c r="O180" s="300" t="s">
        <v>716</v>
      </c>
      <c r="P180" s="428" t="s">
        <v>717</v>
      </c>
      <c r="Q180" s="300" t="s">
        <v>724</v>
      </c>
      <c r="R180" s="193" t="s">
        <v>687</v>
      </c>
      <c r="S180" s="301"/>
      <c r="T180" s="301"/>
      <c r="X180" s="2">
        <f t="shared" si="12"/>
        <v>0</v>
      </c>
      <c r="AA180" s="301"/>
      <c r="AB180" s="301"/>
      <c r="AC180" s="301"/>
      <c r="AE180" s="301"/>
      <c r="AF180" s="301"/>
      <c r="AG180" s="301"/>
    </row>
    <row r="181">
      <c r="E181" s="2">
        <f t="shared" si="9"/>
        <v>489</v>
      </c>
      <c r="F181" s="2">
        <f t="shared" si="10"/>
        <v>147201.35</v>
      </c>
      <c r="G181" s="2">
        <f t="shared" si="11"/>
        <v>301.0252556</v>
      </c>
      <c r="J181" s="427">
        <v>45480.0</v>
      </c>
      <c r="K181" s="300">
        <v>20.0</v>
      </c>
      <c r="L181" s="300" t="s">
        <v>686</v>
      </c>
      <c r="M181" s="300" t="s">
        <v>737</v>
      </c>
      <c r="N181" s="300">
        <v>1.0</v>
      </c>
      <c r="O181" s="300" t="s">
        <v>716</v>
      </c>
      <c r="P181" s="428" t="s">
        <v>717</v>
      </c>
      <c r="Q181" s="300" t="s">
        <v>772</v>
      </c>
      <c r="R181" s="193" t="s">
        <v>687</v>
      </c>
      <c r="S181" s="301"/>
      <c r="T181" s="301"/>
      <c r="X181" s="2">
        <f t="shared" si="12"/>
        <v>0</v>
      </c>
      <c r="AA181" s="301"/>
      <c r="AB181" s="301"/>
      <c r="AC181" s="301"/>
      <c r="AE181" s="301"/>
      <c r="AF181" s="301"/>
      <c r="AG181" s="301"/>
    </row>
    <row r="182">
      <c r="E182" s="2">
        <f t="shared" si="9"/>
        <v>489</v>
      </c>
      <c r="F182" s="2">
        <f t="shared" si="10"/>
        <v>147181.35</v>
      </c>
      <c r="G182" s="2">
        <f t="shared" si="11"/>
        <v>300.9843558</v>
      </c>
      <c r="J182" s="430">
        <v>45480.0</v>
      </c>
      <c r="K182" s="302">
        <v>483.0</v>
      </c>
      <c r="L182" s="302" t="s">
        <v>686</v>
      </c>
      <c r="M182" s="302" t="s">
        <v>835</v>
      </c>
      <c r="N182" s="302">
        <v>1.0</v>
      </c>
      <c r="O182" s="300" t="s">
        <v>716</v>
      </c>
      <c r="P182" s="431" t="s">
        <v>836</v>
      </c>
      <c r="Q182" s="302" t="s">
        <v>837</v>
      </c>
      <c r="R182" s="6" t="s">
        <v>76</v>
      </c>
      <c r="S182" s="301"/>
      <c r="T182" s="301"/>
      <c r="X182" s="2">
        <f t="shared" si="12"/>
        <v>0</v>
      </c>
      <c r="AA182" s="301"/>
      <c r="AB182" s="301"/>
      <c r="AC182" s="301"/>
      <c r="AE182" s="301"/>
      <c r="AF182" s="301"/>
      <c r="AG182" s="301"/>
    </row>
    <row r="183">
      <c r="E183" s="2">
        <f t="shared" si="9"/>
        <v>488</v>
      </c>
      <c r="F183" s="2">
        <f t="shared" si="10"/>
        <v>146698.35</v>
      </c>
      <c r="G183" s="2">
        <f t="shared" si="11"/>
        <v>300.611373</v>
      </c>
      <c r="J183" s="425">
        <v>45481.0</v>
      </c>
      <c r="K183" s="332">
        <v>120.0</v>
      </c>
      <c r="L183" s="332" t="s">
        <v>690</v>
      </c>
      <c r="M183" s="332" t="s">
        <v>723</v>
      </c>
      <c r="N183" s="332">
        <v>10.0</v>
      </c>
      <c r="O183" s="300" t="s">
        <v>716</v>
      </c>
      <c r="P183" s="426" t="s">
        <v>717</v>
      </c>
      <c r="Q183" s="332" t="s">
        <v>724</v>
      </c>
      <c r="R183" s="254" t="s">
        <v>687</v>
      </c>
      <c r="S183" s="301"/>
      <c r="T183" s="301"/>
      <c r="X183" s="2">
        <f t="shared" si="12"/>
        <v>0</v>
      </c>
      <c r="AA183" s="301"/>
      <c r="AB183" s="301"/>
      <c r="AC183" s="301"/>
      <c r="AE183" s="301"/>
      <c r="AF183" s="301"/>
      <c r="AG183" s="301"/>
    </row>
    <row r="184">
      <c r="E184" s="2">
        <f t="shared" si="9"/>
        <v>488</v>
      </c>
      <c r="F184" s="2">
        <f t="shared" si="10"/>
        <v>146578.35</v>
      </c>
      <c r="G184" s="2">
        <f t="shared" si="11"/>
        <v>300.3654713</v>
      </c>
      <c r="J184" s="427">
        <v>45481.0</v>
      </c>
      <c r="K184" s="300">
        <v>10.0</v>
      </c>
      <c r="L184" s="300" t="s">
        <v>690</v>
      </c>
      <c r="M184" s="300" t="s">
        <v>838</v>
      </c>
      <c r="N184" s="300">
        <v>1.0</v>
      </c>
      <c r="O184" s="300" t="s">
        <v>716</v>
      </c>
      <c r="P184" s="428" t="s">
        <v>717</v>
      </c>
      <c r="Q184" s="300" t="s">
        <v>724</v>
      </c>
      <c r="R184" s="193" t="s">
        <v>687</v>
      </c>
      <c r="S184" s="301"/>
      <c r="T184" s="301"/>
      <c r="X184" s="2">
        <f t="shared" si="12"/>
        <v>0</v>
      </c>
      <c r="AA184" s="301"/>
      <c r="AB184" s="301"/>
      <c r="AC184" s="301"/>
      <c r="AE184" s="301"/>
      <c r="AF184" s="301"/>
      <c r="AG184" s="301"/>
    </row>
    <row r="185">
      <c r="E185" s="2">
        <f t="shared" si="9"/>
        <v>488</v>
      </c>
      <c r="F185" s="2">
        <f t="shared" si="10"/>
        <v>146568.35</v>
      </c>
      <c r="G185" s="2">
        <f t="shared" si="11"/>
        <v>300.3449795</v>
      </c>
      <c r="J185" s="427">
        <v>45481.0</v>
      </c>
      <c r="K185" s="300">
        <v>100.0</v>
      </c>
      <c r="L185" s="300" t="s">
        <v>686</v>
      </c>
      <c r="M185" s="300" t="s">
        <v>839</v>
      </c>
      <c r="N185" s="300">
        <v>1.0</v>
      </c>
      <c r="O185" s="300" t="s">
        <v>716</v>
      </c>
      <c r="P185" s="428" t="s">
        <v>840</v>
      </c>
      <c r="Q185" s="300" t="s">
        <v>841</v>
      </c>
      <c r="R185" s="193" t="s">
        <v>687</v>
      </c>
      <c r="S185" s="301"/>
      <c r="T185" s="301"/>
      <c r="X185" s="2">
        <f t="shared" si="12"/>
        <v>0</v>
      </c>
      <c r="AA185" s="301"/>
      <c r="AB185" s="301"/>
      <c r="AC185" s="301"/>
      <c r="AE185" s="301"/>
      <c r="AF185" s="301"/>
      <c r="AG185" s="301"/>
    </row>
    <row r="186">
      <c r="E186" s="2">
        <f t="shared" si="9"/>
        <v>488</v>
      </c>
      <c r="F186" s="2">
        <f t="shared" si="10"/>
        <v>146468.35</v>
      </c>
      <c r="G186" s="2">
        <f t="shared" si="11"/>
        <v>300.1400615</v>
      </c>
      <c r="J186" s="427">
        <v>45481.0</v>
      </c>
      <c r="K186" s="300">
        <v>26.0</v>
      </c>
      <c r="L186" s="300" t="s">
        <v>690</v>
      </c>
      <c r="M186" s="300" t="s">
        <v>842</v>
      </c>
      <c r="N186" s="300">
        <v>2.0</v>
      </c>
      <c r="O186" s="300" t="s">
        <v>716</v>
      </c>
      <c r="P186" s="428" t="s">
        <v>717</v>
      </c>
      <c r="Q186" s="300" t="s">
        <v>841</v>
      </c>
      <c r="R186" s="193" t="s">
        <v>687</v>
      </c>
      <c r="S186" s="301"/>
      <c r="T186" s="301"/>
      <c r="X186" s="2">
        <f t="shared" si="12"/>
        <v>0</v>
      </c>
      <c r="AA186" s="301"/>
      <c r="AB186" s="301"/>
      <c r="AC186" s="301"/>
      <c r="AE186" s="301"/>
      <c r="AF186" s="301"/>
      <c r="AG186" s="301"/>
    </row>
    <row r="187">
      <c r="E187" s="2">
        <f t="shared" si="9"/>
        <v>488</v>
      </c>
      <c r="F187" s="2">
        <f t="shared" si="10"/>
        <v>146442.35</v>
      </c>
      <c r="G187" s="2">
        <f t="shared" si="11"/>
        <v>300.0867828</v>
      </c>
      <c r="J187" s="427">
        <v>45481.0</v>
      </c>
      <c r="K187" s="300">
        <v>10.0</v>
      </c>
      <c r="L187" s="300" t="s">
        <v>686</v>
      </c>
      <c r="M187" s="300" t="s">
        <v>843</v>
      </c>
      <c r="N187" s="300">
        <v>2.0</v>
      </c>
      <c r="O187" s="300" t="s">
        <v>716</v>
      </c>
      <c r="P187" s="428" t="s">
        <v>840</v>
      </c>
      <c r="Q187" s="300" t="s">
        <v>841</v>
      </c>
      <c r="R187" s="193" t="s">
        <v>687</v>
      </c>
      <c r="S187" s="301"/>
      <c r="T187" s="301"/>
      <c r="X187" s="2">
        <f t="shared" si="12"/>
        <v>0</v>
      </c>
      <c r="AA187" s="301"/>
      <c r="AB187" s="301"/>
      <c r="AC187" s="301"/>
      <c r="AE187" s="301"/>
      <c r="AF187" s="301"/>
      <c r="AG187" s="301"/>
    </row>
    <row r="188">
      <c r="E188" s="2">
        <f t="shared" si="9"/>
        <v>488</v>
      </c>
      <c r="F188" s="2">
        <f t="shared" si="10"/>
        <v>146432.35</v>
      </c>
      <c r="G188" s="2">
        <f t="shared" si="11"/>
        <v>300.066291</v>
      </c>
      <c r="J188" s="427">
        <v>45481.0</v>
      </c>
      <c r="K188" s="300">
        <v>20.0</v>
      </c>
      <c r="L188" s="300" t="s">
        <v>686</v>
      </c>
      <c r="M188" s="300" t="s">
        <v>844</v>
      </c>
      <c r="N188" s="300">
        <v>1.0</v>
      </c>
      <c r="O188" s="300" t="s">
        <v>716</v>
      </c>
      <c r="P188" s="428" t="s">
        <v>717</v>
      </c>
      <c r="Q188" s="300" t="s">
        <v>841</v>
      </c>
      <c r="R188" s="193" t="s">
        <v>687</v>
      </c>
      <c r="S188" s="301"/>
      <c r="T188" s="301"/>
      <c r="X188" s="2">
        <f t="shared" si="12"/>
        <v>0</v>
      </c>
      <c r="AA188" s="301"/>
      <c r="AB188" s="301"/>
      <c r="AC188" s="301"/>
      <c r="AE188" s="301"/>
      <c r="AF188" s="301"/>
      <c r="AG188" s="301"/>
    </row>
    <row r="189">
      <c r="E189" s="2">
        <f t="shared" si="9"/>
        <v>488</v>
      </c>
      <c r="F189" s="2">
        <f t="shared" si="10"/>
        <v>146412.35</v>
      </c>
      <c r="G189" s="2">
        <f t="shared" si="11"/>
        <v>300.0253074</v>
      </c>
      <c r="J189" s="427">
        <v>45481.0</v>
      </c>
      <c r="K189" s="300">
        <v>120.0</v>
      </c>
      <c r="L189" s="300" t="s">
        <v>690</v>
      </c>
      <c r="M189" s="300" t="s">
        <v>842</v>
      </c>
      <c r="N189" s="300">
        <v>10.0</v>
      </c>
      <c r="O189" s="300" t="s">
        <v>716</v>
      </c>
      <c r="P189" s="428" t="s">
        <v>717</v>
      </c>
      <c r="Q189" s="300" t="s">
        <v>724</v>
      </c>
      <c r="R189" s="193" t="s">
        <v>687</v>
      </c>
      <c r="S189" s="301"/>
      <c r="T189" s="301"/>
      <c r="X189" s="2">
        <f t="shared" si="12"/>
        <v>0</v>
      </c>
      <c r="AA189" s="301"/>
      <c r="AB189" s="301"/>
      <c r="AC189" s="301"/>
      <c r="AE189" s="301"/>
      <c r="AF189" s="301"/>
      <c r="AG189" s="301"/>
    </row>
    <row r="190">
      <c r="E190" s="2">
        <f t="shared" si="9"/>
        <v>488</v>
      </c>
      <c r="F190" s="2">
        <f t="shared" si="10"/>
        <v>146292.35</v>
      </c>
      <c r="G190" s="2">
        <f t="shared" si="11"/>
        <v>299.7794057</v>
      </c>
      <c r="J190" s="427">
        <v>45481.0</v>
      </c>
      <c r="K190" s="300">
        <v>20.0</v>
      </c>
      <c r="L190" s="300" t="s">
        <v>686</v>
      </c>
      <c r="M190" s="300" t="s">
        <v>725</v>
      </c>
      <c r="N190" s="300">
        <v>2.0</v>
      </c>
      <c r="O190" s="300" t="s">
        <v>716</v>
      </c>
      <c r="P190" s="428" t="s">
        <v>717</v>
      </c>
      <c r="Q190" s="300" t="s">
        <v>724</v>
      </c>
      <c r="R190" s="193" t="s">
        <v>687</v>
      </c>
      <c r="S190" s="301"/>
      <c r="T190" s="301"/>
      <c r="X190" s="2">
        <f t="shared" si="12"/>
        <v>0</v>
      </c>
      <c r="AA190" s="301"/>
      <c r="AB190" s="301"/>
      <c r="AC190" s="301"/>
      <c r="AE190" s="301"/>
      <c r="AF190" s="301"/>
      <c r="AG190" s="301"/>
    </row>
    <row r="191">
      <c r="E191" s="2">
        <f t="shared" si="9"/>
        <v>488</v>
      </c>
      <c r="F191" s="2">
        <f t="shared" si="10"/>
        <v>146272.35</v>
      </c>
      <c r="G191" s="2">
        <f t="shared" si="11"/>
        <v>299.7384221</v>
      </c>
      <c r="J191" s="427">
        <v>45481.0</v>
      </c>
      <c r="K191" s="300">
        <v>15.0</v>
      </c>
      <c r="L191" s="300" t="s">
        <v>686</v>
      </c>
      <c r="M191" s="300" t="s">
        <v>793</v>
      </c>
      <c r="N191" s="300">
        <v>1.0</v>
      </c>
      <c r="O191" s="300" t="s">
        <v>716</v>
      </c>
      <c r="P191" s="428" t="s">
        <v>337</v>
      </c>
      <c r="Q191" s="300" t="s">
        <v>724</v>
      </c>
      <c r="R191" s="193" t="s">
        <v>687</v>
      </c>
      <c r="S191" s="301"/>
      <c r="T191" s="301"/>
      <c r="X191" s="2">
        <f t="shared" si="12"/>
        <v>0</v>
      </c>
      <c r="AA191" s="301"/>
      <c r="AB191" s="301"/>
      <c r="AC191" s="301"/>
      <c r="AE191" s="301"/>
      <c r="AF191" s="301"/>
      <c r="AG191" s="301"/>
    </row>
    <row r="192">
      <c r="E192" s="2">
        <f t="shared" si="9"/>
        <v>488</v>
      </c>
      <c r="F192" s="2">
        <f t="shared" si="10"/>
        <v>146257.35</v>
      </c>
      <c r="G192" s="2">
        <f t="shared" si="11"/>
        <v>299.7076844</v>
      </c>
      <c r="J192" s="427">
        <v>45481.0</v>
      </c>
      <c r="K192" s="300">
        <v>500.0</v>
      </c>
      <c r="L192" s="300" t="s">
        <v>698</v>
      </c>
      <c r="M192" s="300" t="s">
        <v>845</v>
      </c>
      <c r="N192" s="300">
        <v>1.0</v>
      </c>
      <c r="O192" s="300" t="s">
        <v>716</v>
      </c>
      <c r="P192" s="428" t="s">
        <v>645</v>
      </c>
      <c r="Q192" s="300" t="s">
        <v>846</v>
      </c>
      <c r="R192" s="6" t="s">
        <v>76</v>
      </c>
      <c r="S192" s="301"/>
      <c r="T192" s="301"/>
      <c r="X192" s="2">
        <f t="shared" si="12"/>
        <v>0</v>
      </c>
      <c r="AA192" s="301"/>
      <c r="AB192" s="301"/>
      <c r="AC192" s="301"/>
      <c r="AE192" s="301"/>
      <c r="AF192" s="301"/>
      <c r="AG192" s="301"/>
    </row>
    <row r="193">
      <c r="E193" s="2">
        <f t="shared" si="9"/>
        <v>488</v>
      </c>
      <c r="F193" s="2">
        <f t="shared" si="10"/>
        <v>145757.35</v>
      </c>
      <c r="G193" s="2">
        <f t="shared" si="11"/>
        <v>298.6830943</v>
      </c>
      <c r="J193" s="427">
        <v>45481.0</v>
      </c>
      <c r="K193" s="300">
        <v>1000.0</v>
      </c>
      <c r="L193" s="300" t="s">
        <v>698</v>
      </c>
      <c r="M193" s="300" t="s">
        <v>847</v>
      </c>
      <c r="N193" s="300">
        <v>1.0</v>
      </c>
      <c r="O193" s="300" t="s">
        <v>716</v>
      </c>
      <c r="P193" s="428" t="s">
        <v>645</v>
      </c>
      <c r="Q193" s="300" t="s">
        <v>846</v>
      </c>
      <c r="R193" s="6" t="s">
        <v>76</v>
      </c>
      <c r="S193" s="301"/>
      <c r="T193" s="301"/>
      <c r="X193" s="2">
        <f t="shared" si="12"/>
        <v>0</v>
      </c>
      <c r="AA193" s="301"/>
      <c r="AB193" s="301"/>
      <c r="AC193" s="301"/>
      <c r="AE193" s="301"/>
      <c r="AF193" s="301"/>
      <c r="AG193" s="301"/>
    </row>
    <row r="194">
      <c r="E194" s="2">
        <f t="shared" si="9"/>
        <v>488</v>
      </c>
      <c r="F194" s="2">
        <f t="shared" si="10"/>
        <v>144757.35</v>
      </c>
      <c r="G194" s="2">
        <f t="shared" si="11"/>
        <v>296.6339139</v>
      </c>
      <c r="J194" s="427">
        <v>45481.0</v>
      </c>
      <c r="K194" s="300">
        <v>13.0</v>
      </c>
      <c r="L194" s="300" t="s">
        <v>690</v>
      </c>
      <c r="M194" s="300" t="s">
        <v>842</v>
      </c>
      <c r="N194" s="300">
        <v>1.0</v>
      </c>
      <c r="O194" s="300" t="s">
        <v>716</v>
      </c>
      <c r="P194" s="428" t="s">
        <v>717</v>
      </c>
      <c r="Q194" s="300" t="s">
        <v>848</v>
      </c>
      <c r="R194" s="193" t="s">
        <v>687</v>
      </c>
      <c r="S194" s="301"/>
      <c r="T194" s="301"/>
      <c r="X194" s="2">
        <f t="shared" si="12"/>
        <v>0</v>
      </c>
      <c r="AA194" s="301"/>
      <c r="AB194" s="301"/>
      <c r="AC194" s="301"/>
      <c r="AE194" s="301"/>
      <c r="AF194" s="301"/>
      <c r="AG194" s="301"/>
    </row>
    <row r="195">
      <c r="E195" s="2">
        <f t="shared" si="9"/>
        <v>488</v>
      </c>
      <c r="F195" s="2">
        <f t="shared" si="10"/>
        <v>144744.35</v>
      </c>
      <c r="G195" s="2">
        <f t="shared" si="11"/>
        <v>296.6072746</v>
      </c>
      <c r="J195" s="427">
        <v>45481.0</v>
      </c>
      <c r="K195" s="300">
        <v>422.0</v>
      </c>
      <c r="L195" s="300" t="s">
        <v>686</v>
      </c>
      <c r="M195" s="300" t="s">
        <v>715</v>
      </c>
      <c r="N195" s="300">
        <v>2.0</v>
      </c>
      <c r="O195" s="300" t="s">
        <v>716</v>
      </c>
      <c r="P195" s="428" t="s">
        <v>849</v>
      </c>
      <c r="Q195" s="300" t="s">
        <v>848</v>
      </c>
      <c r="R195" s="6" t="s">
        <v>76</v>
      </c>
      <c r="S195" s="301"/>
      <c r="T195" s="301"/>
      <c r="X195" s="2">
        <f t="shared" si="12"/>
        <v>0</v>
      </c>
      <c r="AA195" s="301"/>
      <c r="AB195" s="301"/>
      <c r="AC195" s="301"/>
      <c r="AE195" s="301"/>
      <c r="AF195" s="301"/>
      <c r="AG195" s="301"/>
    </row>
    <row r="196">
      <c r="E196" s="2">
        <f t="shared" si="9"/>
        <v>488</v>
      </c>
      <c r="F196" s="2">
        <f t="shared" si="10"/>
        <v>144322.35</v>
      </c>
      <c r="G196" s="2">
        <f t="shared" si="11"/>
        <v>295.7425205</v>
      </c>
      <c r="J196" s="430">
        <v>45481.0</v>
      </c>
      <c r="K196" s="302">
        <v>1.0</v>
      </c>
      <c r="L196" s="302" t="s">
        <v>686</v>
      </c>
      <c r="M196" s="302" t="s">
        <v>803</v>
      </c>
      <c r="N196" s="302">
        <v>1.0</v>
      </c>
      <c r="O196" s="300" t="s">
        <v>716</v>
      </c>
      <c r="P196" s="431" t="s">
        <v>717</v>
      </c>
      <c r="Q196" s="302" t="s">
        <v>848</v>
      </c>
      <c r="R196" s="411" t="s">
        <v>687</v>
      </c>
      <c r="S196" s="301"/>
      <c r="T196" s="301"/>
      <c r="X196" s="2">
        <f t="shared" si="12"/>
        <v>0</v>
      </c>
      <c r="AA196" s="301"/>
      <c r="AB196" s="301"/>
      <c r="AC196" s="301"/>
      <c r="AE196" s="301"/>
      <c r="AF196" s="301"/>
      <c r="AG196" s="301"/>
    </row>
    <row r="197">
      <c r="E197" s="2">
        <f t="shared" si="9"/>
        <v>487</v>
      </c>
      <c r="F197" s="2">
        <f t="shared" si="10"/>
        <v>144321.35</v>
      </c>
      <c r="G197" s="2">
        <f t="shared" si="11"/>
        <v>296.3477413</v>
      </c>
      <c r="J197" s="425">
        <v>45482.0</v>
      </c>
      <c r="K197" s="332">
        <v>120.0</v>
      </c>
      <c r="L197" s="332" t="s">
        <v>690</v>
      </c>
      <c r="M197" s="332" t="s">
        <v>723</v>
      </c>
      <c r="N197" s="332">
        <v>10.0</v>
      </c>
      <c r="O197" s="300" t="s">
        <v>716</v>
      </c>
      <c r="P197" s="426" t="s">
        <v>717</v>
      </c>
      <c r="Q197" s="332" t="s">
        <v>724</v>
      </c>
      <c r="R197" s="255" t="s">
        <v>76</v>
      </c>
      <c r="S197" s="301"/>
      <c r="T197" s="301"/>
      <c r="X197" s="2">
        <f t="shared" si="12"/>
        <v>0</v>
      </c>
      <c r="AA197" s="301"/>
      <c r="AB197" s="301"/>
      <c r="AC197" s="301"/>
      <c r="AE197" s="301"/>
      <c r="AF197" s="301"/>
      <c r="AG197" s="301"/>
    </row>
    <row r="198">
      <c r="E198" s="2">
        <f t="shared" si="9"/>
        <v>487</v>
      </c>
      <c r="F198" s="2">
        <f t="shared" si="10"/>
        <v>144201.35</v>
      </c>
      <c r="G198" s="2">
        <f t="shared" si="11"/>
        <v>296.1013347</v>
      </c>
      <c r="J198" s="430">
        <v>45482.0</v>
      </c>
      <c r="K198" s="302">
        <v>30.0</v>
      </c>
      <c r="L198" s="302" t="s">
        <v>686</v>
      </c>
      <c r="M198" s="302" t="s">
        <v>725</v>
      </c>
      <c r="N198" s="302">
        <v>3.0</v>
      </c>
      <c r="O198" s="300" t="s">
        <v>716</v>
      </c>
      <c r="P198" s="431" t="s">
        <v>717</v>
      </c>
      <c r="Q198" s="302" t="s">
        <v>724</v>
      </c>
      <c r="R198" s="258" t="s">
        <v>76</v>
      </c>
      <c r="S198" s="301"/>
      <c r="T198" s="301"/>
      <c r="X198" s="2">
        <f t="shared" si="12"/>
        <v>0</v>
      </c>
      <c r="AA198" s="301"/>
      <c r="AB198" s="301"/>
      <c r="AC198" s="301"/>
      <c r="AE198" s="301"/>
      <c r="AF198" s="301"/>
      <c r="AG198" s="301"/>
    </row>
    <row r="199">
      <c r="E199" s="2">
        <f t="shared" si="9"/>
        <v>486</v>
      </c>
      <c r="F199" s="2">
        <f t="shared" si="10"/>
        <v>144171.35</v>
      </c>
      <c r="G199" s="2">
        <f t="shared" si="11"/>
        <v>296.6488683</v>
      </c>
      <c r="J199" s="427">
        <v>45483.0</v>
      </c>
      <c r="K199" s="300">
        <v>26.0</v>
      </c>
      <c r="L199" s="300" t="s">
        <v>690</v>
      </c>
      <c r="M199" s="300" t="s">
        <v>723</v>
      </c>
      <c r="N199" s="300">
        <v>2.0</v>
      </c>
      <c r="O199" s="300" t="s">
        <v>716</v>
      </c>
      <c r="P199" s="428" t="s">
        <v>717</v>
      </c>
      <c r="Q199" s="300" t="s">
        <v>724</v>
      </c>
      <c r="R199" s="6" t="s">
        <v>76</v>
      </c>
      <c r="S199" s="301"/>
      <c r="T199" s="301"/>
      <c r="X199" s="2">
        <f t="shared" si="12"/>
        <v>0</v>
      </c>
      <c r="AA199" s="301"/>
      <c r="AB199" s="301"/>
      <c r="AC199" s="301"/>
      <c r="AE199" s="301"/>
      <c r="AF199" s="301"/>
      <c r="AG199" s="301"/>
    </row>
    <row r="200">
      <c r="E200" s="2">
        <f t="shared" si="9"/>
        <v>486</v>
      </c>
      <c r="F200" s="2">
        <f t="shared" si="10"/>
        <v>144145.35</v>
      </c>
      <c r="G200" s="2">
        <f t="shared" si="11"/>
        <v>296.5953704</v>
      </c>
      <c r="J200" s="427">
        <v>45483.0</v>
      </c>
      <c r="K200" s="300">
        <v>20.0</v>
      </c>
      <c r="L200" s="300" t="s">
        <v>686</v>
      </c>
      <c r="M200" s="300" t="s">
        <v>725</v>
      </c>
      <c r="N200" s="300">
        <v>2.0</v>
      </c>
      <c r="O200" s="300" t="s">
        <v>716</v>
      </c>
      <c r="P200" s="428" t="s">
        <v>717</v>
      </c>
      <c r="Q200" s="300" t="s">
        <v>724</v>
      </c>
      <c r="R200" s="6" t="s">
        <v>76</v>
      </c>
      <c r="S200" s="301"/>
      <c r="T200" s="301"/>
      <c r="X200" s="2">
        <f t="shared" si="12"/>
        <v>0</v>
      </c>
      <c r="AA200" s="301"/>
      <c r="AB200" s="301"/>
      <c r="AC200" s="301"/>
      <c r="AE200" s="301"/>
      <c r="AF200" s="301"/>
      <c r="AG200" s="301"/>
    </row>
    <row r="201">
      <c r="E201" s="2">
        <f t="shared" si="9"/>
        <v>486</v>
      </c>
      <c r="F201" s="2">
        <f t="shared" si="10"/>
        <v>144125.35</v>
      </c>
      <c r="G201" s="2">
        <f t="shared" si="11"/>
        <v>296.5542181</v>
      </c>
      <c r="J201" s="427">
        <v>45483.0</v>
      </c>
      <c r="K201" s="300">
        <v>20.0</v>
      </c>
      <c r="L201" s="300" t="s">
        <v>686</v>
      </c>
      <c r="M201" s="300" t="s">
        <v>737</v>
      </c>
      <c r="N201" s="300">
        <v>1.0</v>
      </c>
      <c r="O201" s="300" t="s">
        <v>716</v>
      </c>
      <c r="P201" s="428" t="s">
        <v>717</v>
      </c>
      <c r="Q201" s="300" t="s">
        <v>772</v>
      </c>
      <c r="R201" s="6" t="s">
        <v>76</v>
      </c>
      <c r="S201" s="301"/>
      <c r="T201" s="301"/>
      <c r="X201" s="2">
        <f t="shared" si="12"/>
        <v>0</v>
      </c>
      <c r="AA201" s="301"/>
      <c r="AB201" s="301"/>
      <c r="AC201" s="301"/>
      <c r="AE201" s="301"/>
      <c r="AF201" s="301"/>
      <c r="AG201" s="301"/>
    </row>
    <row r="202">
      <c r="E202" s="2">
        <f t="shared" si="9"/>
        <v>486</v>
      </c>
      <c r="F202" s="2">
        <f t="shared" si="10"/>
        <v>144105.35</v>
      </c>
      <c r="G202" s="2">
        <f t="shared" si="11"/>
        <v>296.5130658</v>
      </c>
      <c r="J202" s="427">
        <v>45483.0</v>
      </c>
      <c r="K202" s="300">
        <v>240.0</v>
      </c>
      <c r="L202" s="300" t="s">
        <v>690</v>
      </c>
      <c r="M202" s="300" t="s">
        <v>850</v>
      </c>
      <c r="N202" s="300">
        <v>10.0</v>
      </c>
      <c r="O202" s="300" t="s">
        <v>716</v>
      </c>
      <c r="P202" s="428" t="s">
        <v>717</v>
      </c>
      <c r="Q202" s="300" t="s">
        <v>730</v>
      </c>
      <c r="R202" s="6" t="s">
        <v>76</v>
      </c>
      <c r="S202" s="301"/>
      <c r="T202" s="301"/>
      <c r="X202" s="2">
        <f t="shared" si="12"/>
        <v>0</v>
      </c>
      <c r="AA202" s="301"/>
      <c r="AB202" s="301"/>
      <c r="AC202" s="301"/>
      <c r="AE202" s="301"/>
      <c r="AF202" s="301"/>
      <c r="AG202" s="301"/>
    </row>
    <row r="203">
      <c r="E203" s="2">
        <f t="shared" si="9"/>
        <v>486</v>
      </c>
      <c r="F203" s="2">
        <f t="shared" si="10"/>
        <v>143865.35</v>
      </c>
      <c r="G203" s="2">
        <f t="shared" si="11"/>
        <v>296.0192387</v>
      </c>
      <c r="J203" s="427">
        <v>45483.0</v>
      </c>
      <c r="K203" s="300">
        <v>20.0</v>
      </c>
      <c r="L203" s="300" t="s">
        <v>690</v>
      </c>
      <c r="M203" s="300" t="s">
        <v>806</v>
      </c>
      <c r="N203" s="300">
        <v>1.0</v>
      </c>
      <c r="O203" s="300" t="s">
        <v>716</v>
      </c>
      <c r="P203" s="428" t="s">
        <v>717</v>
      </c>
      <c r="Q203" s="300" t="s">
        <v>730</v>
      </c>
      <c r="R203" s="6" t="s">
        <v>76</v>
      </c>
      <c r="S203" s="301"/>
      <c r="T203" s="301"/>
      <c r="X203" s="2">
        <f t="shared" si="12"/>
        <v>0</v>
      </c>
      <c r="AA203" s="301"/>
      <c r="AB203" s="301"/>
      <c r="AC203" s="301"/>
      <c r="AE203" s="301"/>
      <c r="AF203" s="301"/>
      <c r="AG203" s="301"/>
    </row>
    <row r="204">
      <c r="E204" s="2">
        <f t="shared" si="9"/>
        <v>486</v>
      </c>
      <c r="F204" s="2">
        <f t="shared" si="10"/>
        <v>143845.35</v>
      </c>
      <c r="G204" s="2">
        <f t="shared" si="11"/>
        <v>295.9780864</v>
      </c>
      <c r="J204" s="427">
        <v>45483.0</v>
      </c>
      <c r="K204" s="300">
        <v>1110.0</v>
      </c>
      <c r="L204" s="300" t="s">
        <v>696</v>
      </c>
      <c r="M204" s="300" t="s">
        <v>851</v>
      </c>
      <c r="N204" s="300">
        <v>1.0</v>
      </c>
      <c r="O204" s="300" t="s">
        <v>716</v>
      </c>
      <c r="P204" s="428" t="s">
        <v>717</v>
      </c>
      <c r="Q204" s="300" t="s">
        <v>852</v>
      </c>
      <c r="R204" s="6" t="s">
        <v>76</v>
      </c>
      <c r="S204" s="301"/>
      <c r="T204" s="301"/>
      <c r="X204" s="2">
        <f t="shared" si="12"/>
        <v>0</v>
      </c>
      <c r="AA204" s="301"/>
      <c r="AB204" s="301"/>
      <c r="AC204" s="301"/>
      <c r="AE204" s="301"/>
      <c r="AF204" s="301"/>
      <c r="AG204" s="301"/>
    </row>
    <row r="205">
      <c r="E205" s="2">
        <f t="shared" si="9"/>
        <v>486</v>
      </c>
      <c r="F205" s="2">
        <f t="shared" si="10"/>
        <v>142735.35</v>
      </c>
      <c r="G205" s="2">
        <f t="shared" si="11"/>
        <v>293.6941358</v>
      </c>
      <c r="J205" s="427">
        <v>45483.0</v>
      </c>
      <c r="K205" s="300">
        <v>522.0</v>
      </c>
      <c r="L205" s="300" t="s">
        <v>696</v>
      </c>
      <c r="M205" s="300" t="s">
        <v>853</v>
      </c>
      <c r="N205" s="300">
        <v>1.0</v>
      </c>
      <c r="O205" s="300" t="s">
        <v>716</v>
      </c>
      <c r="P205" s="428" t="s">
        <v>717</v>
      </c>
      <c r="Q205" s="300" t="s">
        <v>852</v>
      </c>
      <c r="R205" s="6" t="s">
        <v>76</v>
      </c>
      <c r="S205" s="301"/>
      <c r="T205" s="301"/>
      <c r="X205" s="2">
        <f t="shared" si="12"/>
        <v>0</v>
      </c>
      <c r="AA205" s="301"/>
      <c r="AB205" s="301"/>
      <c r="AC205" s="301"/>
      <c r="AE205" s="301"/>
      <c r="AF205" s="301"/>
      <c r="AG205" s="301"/>
    </row>
    <row r="206">
      <c r="E206" s="2">
        <f t="shared" si="9"/>
        <v>486</v>
      </c>
      <c r="F206" s="2">
        <f t="shared" si="10"/>
        <v>142213.35</v>
      </c>
      <c r="G206" s="2">
        <f t="shared" si="11"/>
        <v>292.6200617</v>
      </c>
      <c r="J206" s="427">
        <v>45483.0</v>
      </c>
      <c r="K206" s="300">
        <v>100.0</v>
      </c>
      <c r="L206" s="300" t="s">
        <v>686</v>
      </c>
      <c r="M206" s="300" t="s">
        <v>492</v>
      </c>
      <c r="N206" s="300">
        <v>415.0</v>
      </c>
      <c r="O206" s="300" t="s">
        <v>745</v>
      </c>
      <c r="P206" s="428" t="s">
        <v>717</v>
      </c>
      <c r="Q206" s="300" t="s">
        <v>854</v>
      </c>
      <c r="R206" s="6" t="s">
        <v>76</v>
      </c>
      <c r="S206" s="301"/>
      <c r="T206" s="301"/>
      <c r="X206" s="2">
        <f t="shared" si="12"/>
        <v>0</v>
      </c>
      <c r="AA206" s="301"/>
      <c r="AB206" s="301"/>
      <c r="AC206" s="301"/>
      <c r="AE206" s="301"/>
      <c r="AF206" s="301"/>
      <c r="AG206" s="301"/>
    </row>
    <row r="207">
      <c r="E207" s="2">
        <f t="shared" si="9"/>
        <v>486</v>
      </c>
      <c r="F207" s="2">
        <f t="shared" si="10"/>
        <v>142113.35</v>
      </c>
      <c r="G207" s="2">
        <f t="shared" si="11"/>
        <v>292.4143004</v>
      </c>
      <c r="J207" s="427">
        <v>45483.0</v>
      </c>
      <c r="K207" s="300">
        <v>240.0</v>
      </c>
      <c r="L207" s="300" t="s">
        <v>690</v>
      </c>
      <c r="M207" s="300" t="s">
        <v>850</v>
      </c>
      <c r="N207" s="300">
        <v>10.0</v>
      </c>
      <c r="O207" s="300" t="s">
        <v>716</v>
      </c>
      <c r="P207" s="428" t="s">
        <v>717</v>
      </c>
      <c r="Q207" s="300" t="s">
        <v>730</v>
      </c>
      <c r="R207" s="6" t="s">
        <v>76</v>
      </c>
      <c r="S207" s="301"/>
      <c r="T207" s="301"/>
      <c r="X207" s="2">
        <f t="shared" si="12"/>
        <v>0</v>
      </c>
      <c r="AA207" s="301"/>
      <c r="AB207" s="301"/>
      <c r="AC207" s="301"/>
      <c r="AE207" s="301"/>
      <c r="AF207" s="301"/>
      <c r="AG207" s="301"/>
    </row>
    <row r="208">
      <c r="E208" s="2">
        <f t="shared" si="9"/>
        <v>486</v>
      </c>
      <c r="F208" s="2">
        <f t="shared" si="10"/>
        <v>141873.35</v>
      </c>
      <c r="G208" s="2">
        <f t="shared" si="11"/>
        <v>291.9204733</v>
      </c>
      <c r="J208" s="430">
        <v>45483.0</v>
      </c>
      <c r="K208" s="302">
        <v>20.0</v>
      </c>
      <c r="L208" s="302" t="s">
        <v>690</v>
      </c>
      <c r="M208" s="302" t="s">
        <v>806</v>
      </c>
      <c r="N208" s="302">
        <v>1.0</v>
      </c>
      <c r="O208" s="300" t="s">
        <v>716</v>
      </c>
      <c r="P208" s="431" t="s">
        <v>717</v>
      </c>
      <c r="Q208" s="302" t="s">
        <v>730</v>
      </c>
      <c r="R208" s="258" t="s">
        <v>76</v>
      </c>
      <c r="S208" s="301"/>
      <c r="T208" s="301"/>
      <c r="X208" s="2">
        <f t="shared" si="12"/>
        <v>0</v>
      </c>
      <c r="AA208" s="301"/>
      <c r="AB208" s="301"/>
      <c r="AC208" s="301"/>
      <c r="AE208" s="301"/>
      <c r="AF208" s="301"/>
      <c r="AG208" s="301"/>
    </row>
    <row r="209">
      <c r="E209" s="2">
        <f t="shared" si="9"/>
        <v>484</v>
      </c>
      <c r="F209" s="2">
        <f t="shared" si="10"/>
        <v>141853.35</v>
      </c>
      <c r="G209" s="2">
        <f t="shared" si="11"/>
        <v>293.0854339</v>
      </c>
      <c r="J209" s="425">
        <v>45485.0</v>
      </c>
      <c r="K209" s="332">
        <v>44.0</v>
      </c>
      <c r="L209" s="332" t="s">
        <v>686</v>
      </c>
      <c r="M209" s="332" t="s">
        <v>793</v>
      </c>
      <c r="N209" s="332">
        <v>2.0</v>
      </c>
      <c r="O209" s="300" t="s">
        <v>716</v>
      </c>
      <c r="P209" s="426" t="s">
        <v>855</v>
      </c>
      <c r="Q209" s="332" t="s">
        <v>856</v>
      </c>
      <c r="R209" s="432" t="s">
        <v>76</v>
      </c>
      <c r="S209" s="301"/>
      <c r="T209" s="301"/>
      <c r="X209" s="2">
        <f t="shared" si="12"/>
        <v>0</v>
      </c>
      <c r="AA209" s="301"/>
      <c r="AB209" s="301"/>
      <c r="AC209" s="301"/>
      <c r="AE209" s="301"/>
      <c r="AF209" s="301"/>
      <c r="AG209" s="301"/>
    </row>
    <row r="210">
      <c r="E210" s="2">
        <f t="shared" si="9"/>
        <v>484</v>
      </c>
      <c r="F210" s="2">
        <f t="shared" si="10"/>
        <v>141809.35</v>
      </c>
      <c r="G210" s="2">
        <f t="shared" si="11"/>
        <v>292.9945248</v>
      </c>
      <c r="J210" s="427">
        <v>45485.0</v>
      </c>
      <c r="K210" s="300">
        <v>18.0</v>
      </c>
      <c r="L210" s="300" t="s">
        <v>690</v>
      </c>
      <c r="M210" s="300" t="s">
        <v>857</v>
      </c>
      <c r="N210" s="300">
        <v>2.0</v>
      </c>
      <c r="O210" s="300" t="s">
        <v>716</v>
      </c>
      <c r="P210" s="428" t="s">
        <v>717</v>
      </c>
      <c r="Q210" s="300" t="s">
        <v>858</v>
      </c>
      <c r="R210" s="432" t="s">
        <v>76</v>
      </c>
      <c r="S210" s="301"/>
      <c r="T210" s="301"/>
      <c r="X210" s="2">
        <f t="shared" si="12"/>
        <v>0</v>
      </c>
      <c r="AA210" s="301"/>
      <c r="AB210" s="301"/>
      <c r="AC210" s="301"/>
      <c r="AE210" s="301"/>
      <c r="AF210" s="301"/>
      <c r="AG210" s="301"/>
    </row>
    <row r="211">
      <c r="E211" s="2">
        <f t="shared" si="9"/>
        <v>484</v>
      </c>
      <c r="F211" s="2">
        <f t="shared" si="10"/>
        <v>141791.35</v>
      </c>
      <c r="G211" s="2">
        <f t="shared" si="11"/>
        <v>292.9573347</v>
      </c>
      <c r="J211" s="427">
        <v>45485.0</v>
      </c>
      <c r="K211" s="300">
        <v>4.0</v>
      </c>
      <c r="L211" s="300" t="s">
        <v>686</v>
      </c>
      <c r="M211" s="300" t="s">
        <v>859</v>
      </c>
      <c r="N211" s="300">
        <v>4.0</v>
      </c>
      <c r="O211" s="300" t="s">
        <v>716</v>
      </c>
      <c r="P211" s="428" t="s">
        <v>717</v>
      </c>
      <c r="Q211" s="300" t="s">
        <v>858</v>
      </c>
      <c r="R211" s="432" t="s">
        <v>76</v>
      </c>
      <c r="S211" s="301"/>
      <c r="T211" s="301"/>
      <c r="X211" s="2">
        <f t="shared" si="12"/>
        <v>0</v>
      </c>
      <c r="AA211" s="301"/>
      <c r="AB211" s="301"/>
      <c r="AC211" s="301"/>
      <c r="AE211" s="301"/>
      <c r="AF211" s="301"/>
      <c r="AG211" s="301"/>
    </row>
    <row r="212">
      <c r="E212" s="2">
        <f t="shared" si="9"/>
        <v>484</v>
      </c>
      <c r="F212" s="2">
        <f t="shared" si="10"/>
        <v>141787.35</v>
      </c>
      <c r="G212" s="2">
        <f t="shared" si="11"/>
        <v>292.9490702</v>
      </c>
      <c r="J212" s="427">
        <v>45485.0</v>
      </c>
      <c r="K212" s="300">
        <v>459.0</v>
      </c>
      <c r="L212" s="300" t="s">
        <v>695</v>
      </c>
      <c r="M212" s="300" t="s">
        <v>860</v>
      </c>
      <c r="N212" s="300">
        <v>2.0</v>
      </c>
      <c r="O212" s="300" t="s">
        <v>716</v>
      </c>
      <c r="P212" s="428" t="s">
        <v>861</v>
      </c>
      <c r="Q212" s="300" t="s">
        <v>862</v>
      </c>
      <c r="R212" s="432" t="s">
        <v>687</v>
      </c>
      <c r="S212" s="301"/>
      <c r="T212" s="301"/>
      <c r="X212" s="2">
        <f t="shared" si="12"/>
        <v>0</v>
      </c>
      <c r="AA212" s="301"/>
      <c r="AB212" s="301"/>
      <c r="AC212" s="301"/>
      <c r="AE212" s="301"/>
      <c r="AF212" s="301"/>
      <c r="AG212" s="301"/>
    </row>
    <row r="213">
      <c r="E213" s="2">
        <f t="shared" si="9"/>
        <v>484</v>
      </c>
      <c r="F213" s="2">
        <f t="shared" si="10"/>
        <v>141328.35</v>
      </c>
      <c r="G213" s="2">
        <f t="shared" si="11"/>
        <v>292.0007231</v>
      </c>
      <c r="J213" s="427">
        <v>45485.0</v>
      </c>
      <c r="K213" s="300">
        <v>26.0</v>
      </c>
      <c r="L213" s="300" t="s">
        <v>690</v>
      </c>
      <c r="M213" s="300" t="s">
        <v>863</v>
      </c>
      <c r="N213" s="300">
        <v>2.0</v>
      </c>
      <c r="O213" s="300" t="s">
        <v>716</v>
      </c>
      <c r="P213" s="428" t="s">
        <v>717</v>
      </c>
      <c r="Q213" s="300" t="s">
        <v>858</v>
      </c>
      <c r="R213" s="432" t="s">
        <v>76</v>
      </c>
      <c r="S213" s="301"/>
      <c r="T213" s="301"/>
      <c r="X213" s="2">
        <f t="shared" si="12"/>
        <v>0</v>
      </c>
      <c r="AA213" s="301"/>
      <c r="AB213" s="301"/>
      <c r="AC213" s="301"/>
      <c r="AE213" s="301"/>
      <c r="AF213" s="301"/>
      <c r="AG213" s="301"/>
    </row>
    <row r="214">
      <c r="E214" s="2">
        <f t="shared" si="9"/>
        <v>484</v>
      </c>
      <c r="F214" s="2">
        <f t="shared" si="10"/>
        <v>141302.35</v>
      </c>
      <c r="G214" s="2">
        <f t="shared" si="11"/>
        <v>291.9470041</v>
      </c>
      <c r="J214" s="427">
        <v>45485.0</v>
      </c>
      <c r="K214" s="300">
        <v>4.0</v>
      </c>
      <c r="L214" s="300" t="s">
        <v>686</v>
      </c>
      <c r="M214" s="300" t="s">
        <v>859</v>
      </c>
      <c r="N214" s="300">
        <v>4.0</v>
      </c>
      <c r="O214" s="300" t="s">
        <v>716</v>
      </c>
      <c r="P214" s="428" t="s">
        <v>864</v>
      </c>
      <c r="Q214" s="300" t="s">
        <v>858</v>
      </c>
      <c r="R214" s="432" t="s">
        <v>76</v>
      </c>
      <c r="S214" s="301"/>
      <c r="T214" s="301"/>
      <c r="X214" s="2">
        <f t="shared" si="12"/>
        <v>0</v>
      </c>
      <c r="AA214" s="301"/>
      <c r="AB214" s="301"/>
      <c r="AC214" s="301"/>
      <c r="AE214" s="301"/>
      <c r="AF214" s="301"/>
      <c r="AG214" s="301"/>
    </row>
    <row r="215">
      <c r="E215" s="2">
        <f t="shared" si="9"/>
        <v>484</v>
      </c>
      <c r="F215" s="2">
        <f t="shared" si="10"/>
        <v>141298.35</v>
      </c>
      <c r="G215" s="2">
        <f t="shared" si="11"/>
        <v>291.9387397</v>
      </c>
      <c r="J215" s="427">
        <v>45485.0</v>
      </c>
      <c r="K215" s="300">
        <v>26.0</v>
      </c>
      <c r="L215" s="300" t="s">
        <v>690</v>
      </c>
      <c r="M215" s="300" t="s">
        <v>863</v>
      </c>
      <c r="N215" s="300">
        <v>2.0</v>
      </c>
      <c r="O215" s="300" t="s">
        <v>716</v>
      </c>
      <c r="P215" s="428" t="s">
        <v>717</v>
      </c>
      <c r="Q215" s="300" t="s">
        <v>858</v>
      </c>
      <c r="R215" s="432" t="s">
        <v>76</v>
      </c>
      <c r="S215" s="301"/>
      <c r="T215" s="301"/>
      <c r="X215" s="2">
        <f t="shared" si="12"/>
        <v>0</v>
      </c>
      <c r="AA215" s="301"/>
      <c r="AB215" s="301"/>
      <c r="AC215" s="301"/>
      <c r="AE215" s="301"/>
      <c r="AF215" s="301"/>
      <c r="AG215" s="301"/>
    </row>
    <row r="216">
      <c r="E216" s="2">
        <f t="shared" si="9"/>
        <v>484</v>
      </c>
      <c r="F216" s="2">
        <f t="shared" si="10"/>
        <v>141272.35</v>
      </c>
      <c r="G216" s="2">
        <f t="shared" si="11"/>
        <v>291.8850207</v>
      </c>
      <c r="J216" s="427">
        <v>45485.0</v>
      </c>
      <c r="K216" s="300">
        <v>18.0</v>
      </c>
      <c r="L216" s="300" t="s">
        <v>690</v>
      </c>
      <c r="M216" s="300" t="s">
        <v>857</v>
      </c>
      <c r="N216" s="300">
        <v>1.0</v>
      </c>
      <c r="O216" s="300" t="s">
        <v>716</v>
      </c>
      <c r="P216" s="428" t="s">
        <v>717</v>
      </c>
      <c r="Q216" s="300" t="s">
        <v>858</v>
      </c>
      <c r="R216" s="432" t="s">
        <v>76</v>
      </c>
      <c r="S216" s="301"/>
      <c r="T216" s="301"/>
      <c r="X216" s="2">
        <f t="shared" si="12"/>
        <v>0</v>
      </c>
      <c r="AA216" s="301"/>
      <c r="AB216" s="301"/>
      <c r="AC216" s="301"/>
      <c r="AE216" s="301"/>
      <c r="AF216" s="301"/>
      <c r="AG216" s="301"/>
    </row>
    <row r="217">
      <c r="E217" s="2">
        <f t="shared" si="9"/>
        <v>484</v>
      </c>
      <c r="F217" s="2">
        <f t="shared" si="10"/>
        <v>141254.35</v>
      </c>
      <c r="G217" s="2">
        <f t="shared" si="11"/>
        <v>291.8478306</v>
      </c>
      <c r="J217" s="427">
        <v>45485.0</v>
      </c>
      <c r="K217" s="300">
        <v>1.0</v>
      </c>
      <c r="L217" s="300" t="s">
        <v>686</v>
      </c>
      <c r="M217" s="300" t="s">
        <v>859</v>
      </c>
      <c r="N217" s="300">
        <v>1.0</v>
      </c>
      <c r="O217" s="300" t="s">
        <v>716</v>
      </c>
      <c r="P217" s="428" t="s">
        <v>721</v>
      </c>
      <c r="Q217" s="300" t="s">
        <v>858</v>
      </c>
      <c r="R217" s="432" t="s">
        <v>76</v>
      </c>
      <c r="S217" s="301"/>
      <c r="T217" s="301"/>
      <c r="X217" s="2">
        <f t="shared" si="12"/>
        <v>0</v>
      </c>
      <c r="AA217" s="301"/>
      <c r="AB217" s="301"/>
      <c r="AC217" s="301"/>
      <c r="AE217" s="301"/>
      <c r="AF217" s="301"/>
      <c r="AG217" s="301"/>
    </row>
    <row r="218">
      <c r="E218" s="2">
        <f t="shared" si="9"/>
        <v>484</v>
      </c>
      <c r="F218" s="2">
        <f t="shared" si="10"/>
        <v>141253.35</v>
      </c>
      <c r="G218" s="2">
        <f t="shared" si="11"/>
        <v>291.8457645</v>
      </c>
      <c r="J218" s="430">
        <v>45485.0</v>
      </c>
      <c r="K218" s="302">
        <v>120.0</v>
      </c>
      <c r="L218" s="302" t="s">
        <v>686</v>
      </c>
      <c r="M218" s="302" t="s">
        <v>865</v>
      </c>
      <c r="N218" s="302">
        <v>4.0</v>
      </c>
      <c r="O218" s="300" t="s">
        <v>716</v>
      </c>
      <c r="P218" s="431" t="s">
        <v>866</v>
      </c>
      <c r="Q218" s="302" t="s">
        <v>858</v>
      </c>
      <c r="R218" s="411" t="s">
        <v>76</v>
      </c>
      <c r="S218" s="301"/>
      <c r="T218" s="301"/>
      <c r="X218" s="2">
        <f t="shared" si="12"/>
        <v>0</v>
      </c>
      <c r="AA218" s="301"/>
      <c r="AB218" s="301"/>
      <c r="AC218" s="301"/>
      <c r="AE218" s="301"/>
      <c r="AF218" s="301"/>
      <c r="AG218" s="301"/>
    </row>
    <row r="219">
      <c r="E219" s="2">
        <f t="shared" si="9"/>
        <v>483</v>
      </c>
      <c r="F219" s="2">
        <f t="shared" si="10"/>
        <v>141133.35</v>
      </c>
      <c r="G219" s="2">
        <f t="shared" si="11"/>
        <v>292.2015528</v>
      </c>
      <c r="J219" s="427">
        <v>45486.0</v>
      </c>
      <c r="K219" s="300">
        <v>18.0</v>
      </c>
      <c r="L219" s="300" t="s">
        <v>690</v>
      </c>
      <c r="M219" s="300" t="s">
        <v>857</v>
      </c>
      <c r="N219" s="300">
        <v>1.0</v>
      </c>
      <c r="O219" s="300" t="s">
        <v>716</v>
      </c>
      <c r="P219" s="428" t="s">
        <v>717</v>
      </c>
      <c r="Q219" s="300" t="s">
        <v>858</v>
      </c>
      <c r="R219" s="258" t="s">
        <v>76</v>
      </c>
      <c r="S219" s="301"/>
      <c r="T219" s="301"/>
      <c r="X219" s="2">
        <f t="shared" si="12"/>
        <v>0</v>
      </c>
      <c r="AA219" s="301"/>
      <c r="AB219" s="301"/>
      <c r="AC219" s="301"/>
      <c r="AE219" s="301"/>
      <c r="AF219" s="301"/>
      <c r="AG219" s="301"/>
    </row>
    <row r="220">
      <c r="E220" s="2">
        <f t="shared" si="9"/>
        <v>483</v>
      </c>
      <c r="F220" s="2">
        <f t="shared" si="10"/>
        <v>141115.35</v>
      </c>
      <c r="G220" s="2">
        <f t="shared" si="11"/>
        <v>292.1642857</v>
      </c>
      <c r="J220" s="427">
        <v>45486.0</v>
      </c>
      <c r="K220" s="300">
        <v>2.0</v>
      </c>
      <c r="L220" s="300" t="s">
        <v>686</v>
      </c>
      <c r="M220" s="300" t="s">
        <v>859</v>
      </c>
      <c r="N220" s="300">
        <v>2.0</v>
      </c>
      <c r="O220" s="300" t="s">
        <v>716</v>
      </c>
      <c r="P220" s="428" t="s">
        <v>717</v>
      </c>
      <c r="Q220" s="300" t="s">
        <v>858</v>
      </c>
      <c r="R220" s="258" t="s">
        <v>76</v>
      </c>
      <c r="S220" s="301"/>
      <c r="T220" s="301"/>
      <c r="X220" s="2">
        <f t="shared" si="12"/>
        <v>0</v>
      </c>
      <c r="AA220" s="301"/>
      <c r="AB220" s="301"/>
      <c r="AC220" s="301"/>
      <c r="AE220" s="301"/>
      <c r="AF220" s="301"/>
      <c r="AG220" s="301"/>
    </row>
    <row r="221">
      <c r="E221" s="2">
        <f t="shared" si="9"/>
        <v>483</v>
      </c>
      <c r="F221" s="2">
        <f t="shared" si="10"/>
        <v>141113.35</v>
      </c>
      <c r="G221" s="2">
        <f t="shared" si="11"/>
        <v>292.1601449</v>
      </c>
      <c r="J221" s="427">
        <v>45486.0</v>
      </c>
      <c r="K221" s="300">
        <v>18.0</v>
      </c>
      <c r="L221" s="300" t="s">
        <v>690</v>
      </c>
      <c r="M221" s="300" t="s">
        <v>857</v>
      </c>
      <c r="N221" s="300">
        <v>1.0</v>
      </c>
      <c r="O221" s="300" t="s">
        <v>716</v>
      </c>
      <c r="P221" s="428" t="s">
        <v>717</v>
      </c>
      <c r="Q221" s="300" t="s">
        <v>858</v>
      </c>
      <c r="R221" s="258" t="s">
        <v>76</v>
      </c>
      <c r="S221" s="301"/>
      <c r="T221" s="301"/>
      <c r="X221" s="2">
        <f t="shared" si="12"/>
        <v>0</v>
      </c>
      <c r="AA221" s="301"/>
      <c r="AB221" s="301"/>
      <c r="AC221" s="301"/>
      <c r="AE221" s="301"/>
      <c r="AF221" s="301"/>
      <c r="AG221" s="301"/>
    </row>
    <row r="222">
      <c r="E222" s="2">
        <f t="shared" si="9"/>
        <v>483</v>
      </c>
      <c r="F222" s="2">
        <f t="shared" si="10"/>
        <v>141095.35</v>
      </c>
      <c r="G222" s="2">
        <f t="shared" si="11"/>
        <v>292.1228778</v>
      </c>
      <c r="J222" s="427">
        <v>45486.0</v>
      </c>
      <c r="K222" s="300">
        <v>2.0</v>
      </c>
      <c r="L222" s="300" t="s">
        <v>686</v>
      </c>
      <c r="M222" s="300" t="s">
        <v>859</v>
      </c>
      <c r="N222" s="300">
        <v>2.0</v>
      </c>
      <c r="O222" s="300" t="s">
        <v>716</v>
      </c>
      <c r="P222" s="428" t="s">
        <v>867</v>
      </c>
      <c r="Q222" s="300" t="s">
        <v>858</v>
      </c>
      <c r="R222" s="258" t="s">
        <v>76</v>
      </c>
      <c r="S222" s="301"/>
      <c r="T222" s="301"/>
      <c r="X222" s="2">
        <f t="shared" si="12"/>
        <v>0</v>
      </c>
      <c r="AA222" s="301"/>
      <c r="AB222" s="301"/>
      <c r="AC222" s="301"/>
      <c r="AE222" s="301"/>
      <c r="AF222" s="301"/>
      <c r="AG222" s="301"/>
    </row>
    <row r="223">
      <c r="E223" s="2">
        <f t="shared" si="9"/>
        <v>483</v>
      </c>
      <c r="F223" s="2">
        <f t="shared" si="10"/>
        <v>141093.35</v>
      </c>
      <c r="G223" s="2">
        <f t="shared" si="11"/>
        <v>292.1187371</v>
      </c>
      <c r="J223" s="427">
        <v>45486.0</v>
      </c>
      <c r="K223" s="300">
        <v>630.0</v>
      </c>
      <c r="L223" s="300" t="s">
        <v>688</v>
      </c>
      <c r="M223" s="300" t="s">
        <v>868</v>
      </c>
      <c r="N223" s="300">
        <v>555.0</v>
      </c>
      <c r="O223" s="300" t="s">
        <v>712</v>
      </c>
      <c r="P223" s="428" t="s">
        <v>869</v>
      </c>
      <c r="Q223" s="300" t="s">
        <v>870</v>
      </c>
      <c r="R223" s="258" t="s">
        <v>76</v>
      </c>
      <c r="S223" s="301"/>
      <c r="T223" s="301"/>
      <c r="X223" s="2">
        <f t="shared" si="12"/>
        <v>0</v>
      </c>
      <c r="AA223" s="301"/>
      <c r="AB223" s="301"/>
      <c r="AC223" s="301"/>
      <c r="AE223" s="301"/>
      <c r="AF223" s="301"/>
      <c r="AG223" s="301"/>
    </row>
    <row r="224">
      <c r="E224" s="2">
        <f t="shared" si="9"/>
        <v>483</v>
      </c>
      <c r="F224" s="2">
        <f t="shared" si="10"/>
        <v>140463.35</v>
      </c>
      <c r="G224" s="2">
        <f t="shared" si="11"/>
        <v>290.8143892</v>
      </c>
      <c r="J224" s="427">
        <v>45486.0</v>
      </c>
      <c r="K224" s="300">
        <v>18.0</v>
      </c>
      <c r="L224" s="300" t="s">
        <v>690</v>
      </c>
      <c r="M224" s="300" t="s">
        <v>857</v>
      </c>
      <c r="N224" s="300">
        <v>1.0</v>
      </c>
      <c r="O224" s="300" t="s">
        <v>716</v>
      </c>
      <c r="P224" s="428" t="s">
        <v>717</v>
      </c>
      <c r="Q224" s="300" t="s">
        <v>870</v>
      </c>
      <c r="R224" s="258" t="s">
        <v>76</v>
      </c>
      <c r="S224" s="301"/>
      <c r="T224" s="301"/>
      <c r="X224" s="2">
        <f t="shared" si="12"/>
        <v>0</v>
      </c>
      <c r="AA224" s="301"/>
      <c r="AB224" s="301"/>
      <c r="AC224" s="301"/>
      <c r="AE224" s="301"/>
      <c r="AF224" s="301"/>
      <c r="AG224" s="301"/>
    </row>
    <row r="225">
      <c r="E225" s="2">
        <f t="shared" si="9"/>
        <v>483</v>
      </c>
      <c r="F225" s="2">
        <f t="shared" si="10"/>
        <v>140445.35</v>
      </c>
      <c r="G225" s="2">
        <f t="shared" si="11"/>
        <v>290.7771222</v>
      </c>
      <c r="J225" s="427">
        <v>45486.0</v>
      </c>
      <c r="K225" s="300">
        <v>14.0</v>
      </c>
      <c r="L225" s="300" t="s">
        <v>686</v>
      </c>
      <c r="M225" s="300" t="s">
        <v>725</v>
      </c>
      <c r="N225" s="300">
        <v>2.0</v>
      </c>
      <c r="O225" s="300" t="s">
        <v>716</v>
      </c>
      <c r="P225" s="428" t="s">
        <v>871</v>
      </c>
      <c r="Q225" s="300" t="s">
        <v>870</v>
      </c>
      <c r="R225" s="258" t="s">
        <v>76</v>
      </c>
      <c r="S225" s="301"/>
      <c r="T225" s="301"/>
      <c r="X225" s="2">
        <f t="shared" si="12"/>
        <v>0</v>
      </c>
      <c r="AA225" s="301"/>
      <c r="AB225" s="301"/>
      <c r="AC225" s="301"/>
      <c r="AE225" s="301"/>
      <c r="AF225" s="301"/>
      <c r="AG225" s="301"/>
    </row>
    <row r="226">
      <c r="E226" s="2">
        <f t="shared" si="9"/>
        <v>483</v>
      </c>
      <c r="F226" s="2">
        <f t="shared" si="10"/>
        <v>140431.35</v>
      </c>
      <c r="G226" s="2">
        <f t="shared" si="11"/>
        <v>290.7481366</v>
      </c>
      <c r="J226" s="427">
        <v>45486.0</v>
      </c>
      <c r="K226" s="300">
        <v>44.0</v>
      </c>
      <c r="L226" s="300" t="s">
        <v>686</v>
      </c>
      <c r="M226" s="300" t="s">
        <v>725</v>
      </c>
      <c r="N226" s="300">
        <v>4.0</v>
      </c>
      <c r="O226" s="300" t="s">
        <v>716</v>
      </c>
      <c r="P226" s="428" t="s">
        <v>871</v>
      </c>
      <c r="Q226" s="300" t="s">
        <v>870</v>
      </c>
      <c r="R226" s="258" t="s">
        <v>76</v>
      </c>
      <c r="S226" s="301"/>
      <c r="T226" s="301"/>
      <c r="X226" s="2">
        <f t="shared" si="12"/>
        <v>0</v>
      </c>
      <c r="AA226" s="301"/>
      <c r="AB226" s="301"/>
      <c r="AC226" s="301"/>
      <c r="AE226" s="301"/>
      <c r="AF226" s="301"/>
      <c r="AG226" s="301"/>
    </row>
    <row r="227">
      <c r="E227" s="2">
        <f t="shared" si="9"/>
        <v>483</v>
      </c>
      <c r="F227" s="2">
        <f t="shared" si="10"/>
        <v>140387.35</v>
      </c>
      <c r="G227" s="2">
        <f t="shared" si="11"/>
        <v>290.6570393</v>
      </c>
      <c r="J227" s="427">
        <v>45486.0</v>
      </c>
      <c r="K227" s="300">
        <v>18.0</v>
      </c>
      <c r="L227" s="300" t="s">
        <v>690</v>
      </c>
      <c r="M227" s="300" t="s">
        <v>857</v>
      </c>
      <c r="N227" s="300">
        <v>1.0</v>
      </c>
      <c r="O227" s="300" t="s">
        <v>716</v>
      </c>
      <c r="P227" s="428" t="s">
        <v>717</v>
      </c>
      <c r="Q227" s="300" t="s">
        <v>870</v>
      </c>
      <c r="R227" s="258" t="s">
        <v>76</v>
      </c>
      <c r="S227" s="301"/>
      <c r="T227" s="301"/>
      <c r="X227" s="2">
        <f t="shared" si="12"/>
        <v>0</v>
      </c>
      <c r="AA227" s="301"/>
      <c r="AB227" s="301"/>
      <c r="AC227" s="301"/>
      <c r="AE227" s="301"/>
      <c r="AF227" s="301"/>
      <c r="AG227" s="301"/>
    </row>
    <row r="228">
      <c r="E228" s="2">
        <f t="shared" si="9"/>
        <v>483</v>
      </c>
      <c r="F228" s="2">
        <f t="shared" si="10"/>
        <v>140369.35</v>
      </c>
      <c r="G228" s="2">
        <f t="shared" si="11"/>
        <v>290.6197723</v>
      </c>
      <c r="J228" s="427">
        <v>45486.0</v>
      </c>
      <c r="K228" s="300">
        <v>2720.0</v>
      </c>
      <c r="L228" s="300" t="s">
        <v>688</v>
      </c>
      <c r="M228" s="300" t="s">
        <v>872</v>
      </c>
      <c r="N228" s="300">
        <v>750.0</v>
      </c>
      <c r="O228" s="300" t="s">
        <v>712</v>
      </c>
      <c r="P228" s="428" t="s">
        <v>873</v>
      </c>
      <c r="Q228" s="300" t="s">
        <v>714</v>
      </c>
      <c r="R228" s="258" t="s">
        <v>76</v>
      </c>
      <c r="S228" s="301"/>
      <c r="T228" s="301"/>
      <c r="X228" s="2">
        <f t="shared" si="12"/>
        <v>0</v>
      </c>
      <c r="AA228" s="301"/>
      <c r="AB228" s="301"/>
      <c r="AC228" s="301"/>
      <c r="AE228" s="301"/>
      <c r="AF228" s="301"/>
      <c r="AG228" s="301"/>
    </row>
    <row r="229">
      <c r="E229" s="2">
        <f t="shared" si="9"/>
        <v>483</v>
      </c>
      <c r="F229" s="2">
        <f t="shared" si="10"/>
        <v>137649.35</v>
      </c>
      <c r="G229" s="2">
        <f t="shared" si="11"/>
        <v>284.9883023</v>
      </c>
      <c r="J229" s="427">
        <v>45486.0</v>
      </c>
      <c r="K229" s="300">
        <v>301.0</v>
      </c>
      <c r="L229" s="300" t="s">
        <v>686</v>
      </c>
      <c r="M229" s="300" t="s">
        <v>874</v>
      </c>
      <c r="N229" s="300">
        <v>2.0</v>
      </c>
      <c r="O229" s="300" t="s">
        <v>716</v>
      </c>
      <c r="P229" s="428" t="s">
        <v>875</v>
      </c>
      <c r="Q229" s="300" t="s">
        <v>876</v>
      </c>
      <c r="R229" s="258" t="s">
        <v>76</v>
      </c>
      <c r="S229" s="301"/>
      <c r="T229" s="301"/>
      <c r="X229" s="2">
        <f t="shared" si="12"/>
        <v>0</v>
      </c>
      <c r="AA229" s="301"/>
      <c r="AB229" s="301"/>
      <c r="AC229" s="301"/>
      <c r="AE229" s="301"/>
      <c r="AF229" s="301"/>
      <c r="AG229" s="301"/>
    </row>
    <row r="230">
      <c r="E230" s="2">
        <f t="shared" si="9"/>
        <v>483</v>
      </c>
      <c r="F230" s="2">
        <f t="shared" si="10"/>
        <v>137348.35</v>
      </c>
      <c r="G230" s="2">
        <f t="shared" si="11"/>
        <v>284.3651139</v>
      </c>
      <c r="J230" s="427">
        <v>45486.0</v>
      </c>
      <c r="K230" s="300">
        <v>90.0</v>
      </c>
      <c r="L230" s="300" t="s">
        <v>686</v>
      </c>
      <c r="M230" s="300" t="s">
        <v>865</v>
      </c>
      <c r="N230" s="300">
        <v>3.0</v>
      </c>
      <c r="O230" s="300" t="s">
        <v>716</v>
      </c>
      <c r="P230" s="428" t="s">
        <v>871</v>
      </c>
      <c r="Q230" s="300" t="s">
        <v>877</v>
      </c>
      <c r="R230" s="258" t="s">
        <v>76</v>
      </c>
      <c r="S230" s="301"/>
      <c r="T230" s="301"/>
      <c r="X230" s="2">
        <f t="shared" si="12"/>
        <v>0</v>
      </c>
      <c r="AA230" s="301"/>
      <c r="AB230" s="301"/>
      <c r="AC230" s="301"/>
      <c r="AE230" s="301"/>
      <c r="AF230" s="301"/>
      <c r="AG230" s="301"/>
    </row>
    <row r="231">
      <c r="E231" s="2">
        <f t="shared" si="9"/>
        <v>483</v>
      </c>
      <c r="F231" s="2">
        <f t="shared" si="10"/>
        <v>137258.35</v>
      </c>
      <c r="G231" s="2">
        <f t="shared" si="11"/>
        <v>284.1787785</v>
      </c>
      <c r="J231" s="430">
        <v>45486.0</v>
      </c>
      <c r="K231" s="302">
        <v>18.0</v>
      </c>
      <c r="L231" s="302" t="s">
        <v>690</v>
      </c>
      <c r="M231" s="302" t="s">
        <v>857</v>
      </c>
      <c r="N231" s="302">
        <v>1.0</v>
      </c>
      <c r="O231" s="300" t="s">
        <v>716</v>
      </c>
      <c r="P231" s="431" t="s">
        <v>717</v>
      </c>
      <c r="Q231" s="300" t="s">
        <v>877</v>
      </c>
      <c r="R231" s="258" t="s">
        <v>76</v>
      </c>
      <c r="S231" s="301"/>
      <c r="T231" s="301"/>
      <c r="X231" s="2">
        <f t="shared" si="12"/>
        <v>0</v>
      </c>
      <c r="AA231" s="301"/>
      <c r="AB231" s="301"/>
      <c r="AC231" s="301"/>
      <c r="AE231" s="301"/>
      <c r="AF231" s="301"/>
      <c r="AG231" s="301"/>
    </row>
    <row r="232">
      <c r="E232" s="2">
        <f t="shared" si="9"/>
        <v>482</v>
      </c>
      <c r="F232" s="2">
        <f t="shared" si="10"/>
        <v>137240.35</v>
      </c>
      <c r="G232" s="2">
        <f t="shared" si="11"/>
        <v>284.7310166</v>
      </c>
      <c r="J232" s="425">
        <v>45487.0</v>
      </c>
      <c r="K232" s="332">
        <v>13.0</v>
      </c>
      <c r="L232" s="332" t="s">
        <v>690</v>
      </c>
      <c r="M232" s="332" t="s">
        <v>863</v>
      </c>
      <c r="N232" s="332">
        <v>1.0</v>
      </c>
      <c r="O232" s="300" t="s">
        <v>716</v>
      </c>
      <c r="P232" s="426" t="s">
        <v>717</v>
      </c>
      <c r="Q232" s="332" t="s">
        <v>878</v>
      </c>
      <c r="R232" s="432" t="s">
        <v>76</v>
      </c>
      <c r="S232" s="301"/>
      <c r="T232" s="301"/>
      <c r="X232" s="2">
        <f t="shared" si="12"/>
        <v>0</v>
      </c>
      <c r="AA232" s="301"/>
      <c r="AB232" s="301"/>
      <c r="AC232" s="301"/>
      <c r="AE232" s="301"/>
      <c r="AF232" s="301"/>
      <c r="AG232" s="301"/>
    </row>
    <row r="233">
      <c r="E233" s="2">
        <f t="shared" si="9"/>
        <v>482</v>
      </c>
      <c r="F233" s="2">
        <f t="shared" si="10"/>
        <v>137227.35</v>
      </c>
      <c r="G233" s="2">
        <f t="shared" si="11"/>
        <v>284.7040456</v>
      </c>
      <c r="J233" s="427">
        <v>45487.0</v>
      </c>
      <c r="K233" s="300">
        <v>20.0</v>
      </c>
      <c r="L233" s="300" t="s">
        <v>686</v>
      </c>
      <c r="M233" s="300" t="s">
        <v>737</v>
      </c>
      <c r="N233" s="300">
        <v>1.0</v>
      </c>
      <c r="O233" s="300" t="s">
        <v>716</v>
      </c>
      <c r="P233" s="428" t="s">
        <v>717</v>
      </c>
      <c r="Q233" s="300" t="s">
        <v>878</v>
      </c>
      <c r="R233" s="258" t="s">
        <v>76</v>
      </c>
      <c r="S233" s="301"/>
      <c r="T233" s="301"/>
      <c r="X233" s="2">
        <f t="shared" si="12"/>
        <v>0</v>
      </c>
      <c r="AA233" s="301"/>
      <c r="AB233" s="301"/>
      <c r="AC233" s="301"/>
      <c r="AE233" s="301"/>
      <c r="AF233" s="301"/>
      <c r="AG233" s="301"/>
    </row>
    <row r="234">
      <c r="E234" s="2">
        <f t="shared" si="9"/>
        <v>482</v>
      </c>
      <c r="F234" s="2">
        <f t="shared" si="10"/>
        <v>137207.35</v>
      </c>
      <c r="G234" s="2">
        <f t="shared" si="11"/>
        <v>284.6625519</v>
      </c>
      <c r="J234" s="427">
        <v>45487.0</v>
      </c>
      <c r="K234" s="300">
        <v>13.0</v>
      </c>
      <c r="L234" s="300" t="s">
        <v>690</v>
      </c>
      <c r="M234" s="300" t="s">
        <v>863</v>
      </c>
      <c r="N234" s="300">
        <v>1.0</v>
      </c>
      <c r="O234" s="300" t="s">
        <v>716</v>
      </c>
      <c r="P234" s="428" t="s">
        <v>717</v>
      </c>
      <c r="Q234" s="300" t="s">
        <v>878</v>
      </c>
      <c r="R234" s="6" t="s">
        <v>76</v>
      </c>
      <c r="S234" s="301"/>
      <c r="T234" s="301"/>
      <c r="X234" s="2">
        <f t="shared" si="12"/>
        <v>0</v>
      </c>
      <c r="AA234" s="301"/>
      <c r="AB234" s="301"/>
      <c r="AC234" s="301"/>
      <c r="AE234" s="301"/>
      <c r="AF234" s="301"/>
      <c r="AG234" s="301"/>
    </row>
    <row r="235">
      <c r="E235" s="2">
        <f t="shared" si="9"/>
        <v>482</v>
      </c>
      <c r="F235" s="2">
        <f t="shared" si="10"/>
        <v>137194.35</v>
      </c>
      <c r="G235" s="2">
        <f t="shared" si="11"/>
        <v>284.6355809</v>
      </c>
      <c r="J235" s="430">
        <v>45487.0</v>
      </c>
      <c r="K235" s="302">
        <v>2130.0</v>
      </c>
      <c r="L235" s="302" t="s">
        <v>690</v>
      </c>
      <c r="M235" s="302" t="s">
        <v>879</v>
      </c>
      <c r="N235" s="302">
        <v>220.0</v>
      </c>
      <c r="O235" s="300" t="s">
        <v>716</v>
      </c>
      <c r="P235" s="431" t="s">
        <v>717</v>
      </c>
      <c r="Q235" s="302" t="s">
        <v>730</v>
      </c>
      <c r="R235" s="258" t="s">
        <v>76</v>
      </c>
      <c r="S235" s="301"/>
      <c r="T235" s="301"/>
      <c r="X235" s="2">
        <f t="shared" si="12"/>
        <v>0</v>
      </c>
      <c r="AA235" s="301"/>
      <c r="AB235" s="301"/>
      <c r="AC235" s="301"/>
      <c r="AE235" s="301"/>
      <c r="AF235" s="301"/>
      <c r="AG235" s="301"/>
    </row>
    <row r="236">
      <c r="E236" s="2">
        <f t="shared" si="9"/>
        <v>480</v>
      </c>
      <c r="F236" s="2">
        <f t="shared" si="10"/>
        <v>135064.35</v>
      </c>
      <c r="G236" s="2">
        <f t="shared" si="11"/>
        <v>281.3840625</v>
      </c>
      <c r="J236" s="427">
        <v>45489.0</v>
      </c>
      <c r="K236" s="300">
        <v>149.0</v>
      </c>
      <c r="L236" s="300" t="s">
        <v>686</v>
      </c>
      <c r="M236" s="300" t="s">
        <v>492</v>
      </c>
      <c r="N236" s="300">
        <v>500.0</v>
      </c>
      <c r="O236" s="300" t="s">
        <v>745</v>
      </c>
      <c r="P236" s="428" t="s">
        <v>717</v>
      </c>
      <c r="Q236" s="300" t="s">
        <v>730</v>
      </c>
      <c r="R236" s="6" t="s">
        <v>76</v>
      </c>
      <c r="S236" s="301"/>
      <c r="T236" s="301"/>
      <c r="X236" s="2">
        <f t="shared" si="12"/>
        <v>0</v>
      </c>
      <c r="AA236" s="301"/>
      <c r="AB236" s="301"/>
      <c r="AC236" s="301"/>
      <c r="AE236" s="301"/>
      <c r="AF236" s="301"/>
      <c r="AG236" s="301"/>
    </row>
    <row r="237">
      <c r="E237" s="2">
        <f t="shared" si="9"/>
        <v>480</v>
      </c>
      <c r="F237" s="2">
        <f t="shared" si="10"/>
        <v>134915.35</v>
      </c>
      <c r="G237" s="2">
        <f t="shared" si="11"/>
        <v>281.0736458</v>
      </c>
      <c r="J237" s="427">
        <v>45489.0</v>
      </c>
      <c r="K237" s="300">
        <v>229.0</v>
      </c>
      <c r="L237" s="300" t="s">
        <v>686</v>
      </c>
      <c r="M237" s="300" t="s">
        <v>731</v>
      </c>
      <c r="N237" s="300">
        <v>30.0</v>
      </c>
      <c r="O237" s="300" t="s">
        <v>716</v>
      </c>
      <c r="P237" s="428" t="s">
        <v>717</v>
      </c>
      <c r="Q237" s="300" t="s">
        <v>730</v>
      </c>
      <c r="R237" s="6" t="s">
        <v>76</v>
      </c>
      <c r="S237" s="301"/>
      <c r="T237" s="301"/>
      <c r="X237" s="2">
        <f t="shared" si="12"/>
        <v>0</v>
      </c>
      <c r="AA237" s="301"/>
      <c r="AB237" s="301"/>
      <c r="AC237" s="301"/>
      <c r="AE237" s="301"/>
      <c r="AF237" s="301"/>
      <c r="AG237" s="301"/>
    </row>
    <row r="238">
      <c r="E238" s="2">
        <f t="shared" si="9"/>
        <v>480</v>
      </c>
      <c r="F238" s="2">
        <f t="shared" si="10"/>
        <v>134686.35</v>
      </c>
      <c r="G238" s="2">
        <f t="shared" si="11"/>
        <v>280.5965625</v>
      </c>
      <c r="J238" s="427">
        <v>45489.0</v>
      </c>
      <c r="K238" s="300">
        <v>38.0</v>
      </c>
      <c r="L238" s="300" t="s">
        <v>686</v>
      </c>
      <c r="M238" s="300" t="s">
        <v>735</v>
      </c>
      <c r="N238" s="300">
        <v>500.0</v>
      </c>
      <c r="O238" s="300" t="s">
        <v>712</v>
      </c>
      <c r="P238" s="428" t="s">
        <v>717</v>
      </c>
      <c r="Q238" s="300" t="s">
        <v>730</v>
      </c>
      <c r="R238" s="6" t="s">
        <v>76</v>
      </c>
      <c r="S238" s="301"/>
      <c r="T238" s="301"/>
      <c r="X238" s="2">
        <f t="shared" si="12"/>
        <v>0</v>
      </c>
      <c r="AA238" s="301"/>
      <c r="AB238" s="301"/>
      <c r="AC238" s="301"/>
      <c r="AE238" s="301"/>
      <c r="AF238" s="301"/>
      <c r="AG238" s="301"/>
    </row>
    <row r="239">
      <c r="E239" s="2">
        <f t="shared" si="9"/>
        <v>480</v>
      </c>
      <c r="F239" s="2">
        <f t="shared" si="10"/>
        <v>134648.35</v>
      </c>
      <c r="G239" s="2">
        <f t="shared" si="11"/>
        <v>280.5173958</v>
      </c>
      <c r="J239" s="427">
        <v>45489.0</v>
      </c>
      <c r="K239" s="300">
        <v>80.0</v>
      </c>
      <c r="L239" s="300" t="s">
        <v>686</v>
      </c>
      <c r="M239" s="300" t="s">
        <v>749</v>
      </c>
      <c r="N239" s="300">
        <v>1.0</v>
      </c>
      <c r="O239" s="300" t="s">
        <v>716</v>
      </c>
      <c r="P239" s="428" t="s">
        <v>717</v>
      </c>
      <c r="Q239" s="300" t="s">
        <v>730</v>
      </c>
      <c r="R239" s="6" t="s">
        <v>76</v>
      </c>
      <c r="S239" s="301"/>
      <c r="T239" s="301"/>
      <c r="X239" s="2">
        <f t="shared" si="12"/>
        <v>0</v>
      </c>
      <c r="AA239" s="301"/>
      <c r="AB239" s="301"/>
      <c r="AC239" s="301"/>
      <c r="AE239" s="301"/>
      <c r="AF239" s="301"/>
      <c r="AG239" s="301"/>
    </row>
    <row r="240">
      <c r="E240" s="2">
        <f t="shared" si="9"/>
        <v>480</v>
      </c>
      <c r="F240" s="2">
        <f t="shared" si="10"/>
        <v>134568.35</v>
      </c>
      <c r="G240" s="2">
        <f t="shared" si="11"/>
        <v>280.3507292</v>
      </c>
      <c r="J240" s="427">
        <v>45489.0</v>
      </c>
      <c r="K240" s="300">
        <v>28.0</v>
      </c>
      <c r="L240" s="300" t="s">
        <v>686</v>
      </c>
      <c r="M240" s="300" t="s">
        <v>775</v>
      </c>
      <c r="N240" s="300">
        <v>1.0</v>
      </c>
      <c r="O240" s="300" t="s">
        <v>716</v>
      </c>
      <c r="P240" s="428" t="s">
        <v>717</v>
      </c>
      <c r="Q240" s="300" t="s">
        <v>730</v>
      </c>
      <c r="R240" s="6" t="s">
        <v>76</v>
      </c>
      <c r="S240" s="301"/>
      <c r="T240" s="301"/>
      <c r="X240" s="2">
        <f t="shared" si="12"/>
        <v>0</v>
      </c>
      <c r="AA240" s="301"/>
      <c r="AB240" s="301"/>
      <c r="AC240" s="301"/>
      <c r="AE240" s="301"/>
      <c r="AF240" s="301"/>
      <c r="AG240" s="301"/>
    </row>
    <row r="241">
      <c r="E241" s="2">
        <f t="shared" si="9"/>
        <v>480</v>
      </c>
      <c r="F241" s="2">
        <f t="shared" si="10"/>
        <v>134540.35</v>
      </c>
      <c r="G241" s="2">
        <f t="shared" si="11"/>
        <v>280.2923958</v>
      </c>
      <c r="J241" s="430">
        <v>45489.0</v>
      </c>
      <c r="K241" s="302">
        <v>5.0</v>
      </c>
      <c r="L241" s="302" t="s">
        <v>686</v>
      </c>
      <c r="M241" s="302" t="s">
        <v>806</v>
      </c>
      <c r="N241" s="302">
        <v>1.0</v>
      </c>
      <c r="O241" s="300" t="s">
        <v>716</v>
      </c>
      <c r="P241" s="431" t="s">
        <v>717</v>
      </c>
      <c r="Q241" s="302" t="s">
        <v>730</v>
      </c>
      <c r="R241" s="258" t="s">
        <v>76</v>
      </c>
      <c r="S241" s="301"/>
      <c r="T241" s="301"/>
      <c r="X241" s="2">
        <f t="shared" si="12"/>
        <v>0</v>
      </c>
      <c r="AA241" s="301"/>
      <c r="AB241" s="301"/>
      <c r="AC241" s="301"/>
      <c r="AE241" s="301"/>
      <c r="AF241" s="301"/>
      <c r="AG241" s="301"/>
    </row>
    <row r="242">
      <c r="E242" s="2">
        <f t="shared" si="9"/>
        <v>478</v>
      </c>
      <c r="F242" s="2">
        <f t="shared" si="10"/>
        <v>134535.35</v>
      </c>
      <c r="G242" s="2">
        <f t="shared" si="11"/>
        <v>281.4547071</v>
      </c>
      <c r="J242" s="427">
        <v>45491.0</v>
      </c>
      <c r="K242" s="300">
        <v>13.0</v>
      </c>
      <c r="L242" s="300" t="s">
        <v>690</v>
      </c>
      <c r="M242" s="300" t="s">
        <v>863</v>
      </c>
      <c r="N242" s="300">
        <v>1.0</v>
      </c>
      <c r="O242" s="300" t="s">
        <v>716</v>
      </c>
      <c r="P242" s="428" t="s">
        <v>717</v>
      </c>
      <c r="Q242" s="300" t="s">
        <v>878</v>
      </c>
      <c r="R242" s="6" t="s">
        <v>76</v>
      </c>
      <c r="S242" s="301"/>
      <c r="T242" s="301"/>
      <c r="X242" s="2">
        <f t="shared" si="12"/>
        <v>0</v>
      </c>
      <c r="AA242" s="301"/>
      <c r="AB242" s="301"/>
      <c r="AC242" s="301"/>
      <c r="AE242" s="301"/>
      <c r="AF242" s="301"/>
      <c r="AG242" s="301"/>
    </row>
    <row r="243">
      <c r="E243" s="2">
        <f t="shared" si="9"/>
        <v>478</v>
      </c>
      <c r="F243" s="2">
        <f t="shared" si="10"/>
        <v>134522.35</v>
      </c>
      <c r="G243" s="2">
        <f t="shared" si="11"/>
        <v>281.4275105</v>
      </c>
      <c r="J243" s="427">
        <v>45491.0</v>
      </c>
      <c r="K243" s="300">
        <v>30.0</v>
      </c>
      <c r="L243" s="300" t="s">
        <v>686</v>
      </c>
      <c r="M243" s="300" t="s">
        <v>725</v>
      </c>
      <c r="N243" s="300">
        <v>3.0</v>
      </c>
      <c r="O243" s="300" t="s">
        <v>716</v>
      </c>
      <c r="P243" s="428" t="s">
        <v>717</v>
      </c>
      <c r="Q243" s="300" t="s">
        <v>878</v>
      </c>
      <c r="R243" s="6" t="s">
        <v>76</v>
      </c>
      <c r="S243" s="301"/>
      <c r="T243" s="301"/>
      <c r="X243" s="2">
        <f t="shared" si="12"/>
        <v>0</v>
      </c>
      <c r="AA243" s="301"/>
      <c r="AB243" s="301"/>
      <c r="AC243" s="301"/>
      <c r="AE243" s="301"/>
      <c r="AF243" s="301"/>
      <c r="AG243" s="301"/>
    </row>
    <row r="244">
      <c r="E244" s="2">
        <f t="shared" si="9"/>
        <v>478</v>
      </c>
      <c r="F244" s="2">
        <f t="shared" si="10"/>
        <v>134492.35</v>
      </c>
      <c r="G244" s="2">
        <f t="shared" si="11"/>
        <v>281.364749</v>
      </c>
      <c r="J244" s="427">
        <v>45491.0</v>
      </c>
      <c r="K244" s="300">
        <v>20.0</v>
      </c>
      <c r="L244" s="300" t="s">
        <v>686</v>
      </c>
      <c r="M244" s="300" t="s">
        <v>880</v>
      </c>
      <c r="N244" s="300">
        <v>1.0</v>
      </c>
      <c r="O244" s="300" t="s">
        <v>716</v>
      </c>
      <c r="P244" s="428" t="s">
        <v>717</v>
      </c>
      <c r="Q244" s="300" t="s">
        <v>772</v>
      </c>
      <c r="R244" s="6" t="s">
        <v>76</v>
      </c>
      <c r="S244" s="301"/>
      <c r="T244" s="301"/>
      <c r="X244" s="2">
        <f t="shared" si="12"/>
        <v>0</v>
      </c>
      <c r="AA244" s="301"/>
      <c r="AB244" s="301"/>
      <c r="AC244" s="301"/>
      <c r="AE244" s="301"/>
      <c r="AF244" s="301"/>
      <c r="AG244" s="301"/>
    </row>
    <row r="245">
      <c r="E245" s="2">
        <f t="shared" si="9"/>
        <v>478</v>
      </c>
      <c r="F245" s="2">
        <f t="shared" si="10"/>
        <v>134472.35</v>
      </c>
      <c r="G245" s="2">
        <f t="shared" si="11"/>
        <v>281.3229079</v>
      </c>
      <c r="J245" s="427">
        <v>45491.0</v>
      </c>
      <c r="K245" s="300">
        <v>20.0</v>
      </c>
      <c r="L245" s="300" t="s">
        <v>686</v>
      </c>
      <c r="M245" s="300" t="s">
        <v>761</v>
      </c>
      <c r="N245" s="300">
        <v>1.0</v>
      </c>
      <c r="O245" s="300" t="s">
        <v>716</v>
      </c>
      <c r="P245" s="428" t="s">
        <v>717</v>
      </c>
      <c r="Q245" s="300" t="s">
        <v>772</v>
      </c>
      <c r="R245" s="6" t="s">
        <v>76</v>
      </c>
      <c r="S245" s="301"/>
      <c r="T245" s="301"/>
      <c r="X245" s="2">
        <f t="shared" si="12"/>
        <v>0</v>
      </c>
      <c r="AA245" s="301"/>
      <c r="AB245" s="301"/>
      <c r="AC245" s="301"/>
      <c r="AE245" s="301"/>
      <c r="AF245" s="301"/>
      <c r="AG245" s="301"/>
    </row>
    <row r="246">
      <c r="E246" s="2">
        <f t="shared" si="9"/>
        <v>478</v>
      </c>
      <c r="F246" s="2">
        <f t="shared" si="10"/>
        <v>134452.35</v>
      </c>
      <c r="G246" s="2">
        <f t="shared" si="11"/>
        <v>281.2810669</v>
      </c>
      <c r="J246" s="427">
        <v>45491.0</v>
      </c>
      <c r="K246" s="300">
        <v>75.0</v>
      </c>
      <c r="L246" s="300" t="s">
        <v>686</v>
      </c>
      <c r="M246" s="300" t="s">
        <v>779</v>
      </c>
      <c r="N246" s="300">
        <v>1.0</v>
      </c>
      <c r="O246" s="300" t="s">
        <v>716</v>
      </c>
      <c r="P246" s="428" t="s">
        <v>717</v>
      </c>
      <c r="Q246" s="300" t="s">
        <v>778</v>
      </c>
      <c r="R246" s="6" t="s">
        <v>76</v>
      </c>
      <c r="S246" s="301"/>
      <c r="T246" s="301"/>
      <c r="X246" s="2">
        <f t="shared" si="12"/>
        <v>0</v>
      </c>
      <c r="AA246" s="301"/>
      <c r="AB246" s="301"/>
      <c r="AC246" s="301"/>
      <c r="AE246" s="301"/>
      <c r="AF246" s="301"/>
      <c r="AG246" s="301"/>
    </row>
    <row r="247">
      <c r="E247" s="2">
        <f t="shared" si="9"/>
        <v>478</v>
      </c>
      <c r="F247" s="2">
        <f t="shared" si="10"/>
        <v>134377.35</v>
      </c>
      <c r="G247" s="2">
        <f t="shared" si="11"/>
        <v>281.1241632</v>
      </c>
      <c r="J247" s="427">
        <v>45491.0</v>
      </c>
      <c r="K247" s="300">
        <v>13.0</v>
      </c>
      <c r="L247" s="300" t="s">
        <v>690</v>
      </c>
      <c r="M247" s="300" t="s">
        <v>863</v>
      </c>
      <c r="N247" s="300">
        <v>1.0</v>
      </c>
      <c r="O247" s="300" t="s">
        <v>716</v>
      </c>
      <c r="P247" s="428" t="s">
        <v>717</v>
      </c>
      <c r="Q247" s="300" t="s">
        <v>881</v>
      </c>
      <c r="R247" s="6" t="s">
        <v>76</v>
      </c>
      <c r="S247" s="301"/>
      <c r="T247" s="301"/>
      <c r="X247" s="2">
        <f t="shared" si="12"/>
        <v>0</v>
      </c>
      <c r="AA247" s="301"/>
      <c r="AB247" s="301"/>
      <c r="AC247" s="301"/>
      <c r="AE247" s="301"/>
      <c r="AF247" s="301"/>
      <c r="AG247" s="301"/>
    </row>
    <row r="248">
      <c r="E248" s="2">
        <f t="shared" si="9"/>
        <v>478</v>
      </c>
      <c r="F248" s="2">
        <f t="shared" si="10"/>
        <v>134364.35</v>
      </c>
      <c r="G248" s="2">
        <f t="shared" si="11"/>
        <v>281.0969665</v>
      </c>
      <c r="J248" s="427">
        <v>45491.0</v>
      </c>
      <c r="K248" s="300">
        <v>236.0</v>
      </c>
      <c r="L248" s="300" t="s">
        <v>686</v>
      </c>
      <c r="M248" s="300" t="s">
        <v>882</v>
      </c>
      <c r="N248" s="300">
        <v>1.0</v>
      </c>
      <c r="O248" s="300" t="s">
        <v>716</v>
      </c>
      <c r="P248" s="428" t="s">
        <v>717</v>
      </c>
      <c r="Q248" s="300" t="s">
        <v>823</v>
      </c>
      <c r="R248" s="6" t="s">
        <v>76</v>
      </c>
      <c r="S248" s="301"/>
      <c r="T248" s="301"/>
      <c r="X248" s="2">
        <f t="shared" si="12"/>
        <v>0</v>
      </c>
      <c r="AA248" s="301"/>
      <c r="AB248" s="301"/>
      <c r="AC248" s="301"/>
      <c r="AE248" s="301"/>
      <c r="AF248" s="301"/>
      <c r="AG248" s="301"/>
    </row>
    <row r="249">
      <c r="E249" s="2">
        <f t="shared" si="9"/>
        <v>478</v>
      </c>
      <c r="F249" s="2">
        <f t="shared" si="10"/>
        <v>134128.35</v>
      </c>
      <c r="G249" s="2">
        <f t="shared" si="11"/>
        <v>280.6032427</v>
      </c>
      <c r="J249" s="427">
        <v>45491.0</v>
      </c>
      <c r="K249" s="300">
        <v>56.0</v>
      </c>
      <c r="L249" s="300" t="s">
        <v>686</v>
      </c>
      <c r="M249" s="300" t="s">
        <v>735</v>
      </c>
      <c r="N249" s="300">
        <v>1.0</v>
      </c>
      <c r="O249" s="300" t="s">
        <v>716</v>
      </c>
      <c r="P249" s="428" t="s">
        <v>717</v>
      </c>
      <c r="Q249" s="300" t="s">
        <v>730</v>
      </c>
      <c r="R249" s="6" t="s">
        <v>76</v>
      </c>
      <c r="S249" s="301"/>
      <c r="T249" s="301"/>
      <c r="X249" s="2">
        <f t="shared" si="12"/>
        <v>0</v>
      </c>
      <c r="AA249" s="301"/>
      <c r="AB249" s="301"/>
      <c r="AC249" s="301"/>
      <c r="AE249" s="301"/>
      <c r="AF249" s="301"/>
      <c r="AG249" s="301"/>
    </row>
    <row r="250">
      <c r="E250" s="2">
        <f t="shared" si="9"/>
        <v>478</v>
      </c>
      <c r="F250" s="2">
        <f t="shared" si="10"/>
        <v>134072.35</v>
      </c>
      <c r="G250" s="2">
        <f t="shared" si="11"/>
        <v>280.4860879</v>
      </c>
      <c r="J250" s="427">
        <v>45491.0</v>
      </c>
      <c r="K250" s="300">
        <v>10.0</v>
      </c>
      <c r="L250" s="300" t="s">
        <v>690</v>
      </c>
      <c r="M250" s="300" t="s">
        <v>883</v>
      </c>
      <c r="N250" s="300">
        <v>1.0</v>
      </c>
      <c r="O250" s="300" t="s">
        <v>716</v>
      </c>
      <c r="P250" s="428" t="s">
        <v>717</v>
      </c>
      <c r="Q250" s="300" t="s">
        <v>730</v>
      </c>
      <c r="R250" s="6" t="s">
        <v>76</v>
      </c>
      <c r="S250" s="301"/>
      <c r="T250" s="301"/>
      <c r="X250" s="2">
        <f t="shared" si="12"/>
        <v>0</v>
      </c>
      <c r="AA250" s="301"/>
      <c r="AB250" s="301"/>
      <c r="AC250" s="301"/>
      <c r="AE250" s="301"/>
      <c r="AF250" s="301"/>
      <c r="AG250" s="301"/>
    </row>
    <row r="251">
      <c r="E251" s="2">
        <f t="shared" si="9"/>
        <v>478</v>
      </c>
      <c r="F251" s="2">
        <f t="shared" si="10"/>
        <v>134062.35</v>
      </c>
      <c r="G251" s="2">
        <f t="shared" si="11"/>
        <v>280.4651674</v>
      </c>
      <c r="J251" s="427">
        <v>45491.0</v>
      </c>
      <c r="K251" s="300">
        <v>125.0</v>
      </c>
      <c r="L251" s="300" t="s">
        <v>686</v>
      </c>
      <c r="M251" s="300" t="s">
        <v>884</v>
      </c>
      <c r="N251" s="300">
        <v>1.0</v>
      </c>
      <c r="O251" s="300" t="s">
        <v>716</v>
      </c>
      <c r="P251" s="428" t="s">
        <v>717</v>
      </c>
      <c r="Q251" s="300" t="s">
        <v>730</v>
      </c>
      <c r="R251" s="6" t="s">
        <v>76</v>
      </c>
      <c r="S251" s="301"/>
      <c r="T251" s="301"/>
      <c r="X251" s="2">
        <f t="shared" si="12"/>
        <v>0</v>
      </c>
      <c r="AA251" s="301"/>
      <c r="AB251" s="301"/>
      <c r="AC251" s="301"/>
      <c r="AE251" s="301"/>
      <c r="AF251" s="301"/>
      <c r="AG251" s="301"/>
    </row>
    <row r="252">
      <c r="E252" s="2">
        <f t="shared" si="9"/>
        <v>478</v>
      </c>
      <c r="F252" s="2">
        <f t="shared" si="10"/>
        <v>133937.35</v>
      </c>
      <c r="G252" s="2">
        <f t="shared" si="11"/>
        <v>280.2036611</v>
      </c>
      <c r="J252" s="427">
        <v>45491.0</v>
      </c>
      <c r="K252" s="300">
        <v>20.0</v>
      </c>
      <c r="L252" s="300" t="s">
        <v>686</v>
      </c>
      <c r="M252" s="300" t="s">
        <v>885</v>
      </c>
      <c r="N252" s="300">
        <v>1.0</v>
      </c>
      <c r="O252" s="300" t="s">
        <v>716</v>
      </c>
      <c r="P252" s="428" t="s">
        <v>717</v>
      </c>
      <c r="Q252" s="300" t="s">
        <v>730</v>
      </c>
      <c r="R252" s="6" t="s">
        <v>76</v>
      </c>
      <c r="S252" s="301"/>
      <c r="T252" s="301"/>
      <c r="X252" s="2">
        <f t="shared" si="12"/>
        <v>0</v>
      </c>
      <c r="AA252" s="301"/>
      <c r="AB252" s="301"/>
      <c r="AC252" s="301"/>
      <c r="AE252" s="301"/>
      <c r="AF252" s="301"/>
      <c r="AG252" s="301"/>
    </row>
    <row r="253">
      <c r="E253" s="2">
        <f t="shared" si="9"/>
        <v>478</v>
      </c>
      <c r="F253" s="2">
        <f t="shared" si="10"/>
        <v>133917.35</v>
      </c>
      <c r="G253" s="2">
        <f t="shared" si="11"/>
        <v>280.1618201</v>
      </c>
      <c r="J253" s="427">
        <v>45491.0</v>
      </c>
      <c r="K253" s="300">
        <v>18.0</v>
      </c>
      <c r="L253" s="300" t="s">
        <v>686</v>
      </c>
      <c r="M253" s="300" t="s">
        <v>886</v>
      </c>
      <c r="N253" s="300">
        <v>1.0</v>
      </c>
      <c r="O253" s="300" t="s">
        <v>716</v>
      </c>
      <c r="P253" s="428" t="s">
        <v>717</v>
      </c>
      <c r="Q253" s="300" t="s">
        <v>730</v>
      </c>
      <c r="R253" s="6" t="s">
        <v>76</v>
      </c>
      <c r="S253" s="301"/>
      <c r="T253" s="301"/>
      <c r="X253" s="2">
        <f t="shared" si="12"/>
        <v>0</v>
      </c>
      <c r="AA253" s="301"/>
      <c r="AB253" s="301"/>
      <c r="AC253" s="301"/>
      <c r="AE253" s="301"/>
      <c r="AF253" s="301"/>
      <c r="AG253" s="301"/>
    </row>
    <row r="254">
      <c r="E254" s="2">
        <f t="shared" si="9"/>
        <v>478</v>
      </c>
      <c r="F254" s="2">
        <f t="shared" si="10"/>
        <v>133899.35</v>
      </c>
      <c r="G254" s="2">
        <f t="shared" si="11"/>
        <v>280.1241632</v>
      </c>
      <c r="J254" s="430">
        <v>45491.0</v>
      </c>
      <c r="K254" s="302">
        <v>5.0</v>
      </c>
      <c r="L254" s="302" t="s">
        <v>686</v>
      </c>
      <c r="M254" s="302" t="s">
        <v>806</v>
      </c>
      <c r="N254" s="302">
        <v>1.0</v>
      </c>
      <c r="O254" s="300" t="s">
        <v>716</v>
      </c>
      <c r="P254" s="431" t="s">
        <v>717</v>
      </c>
      <c r="Q254" s="302" t="s">
        <v>730</v>
      </c>
      <c r="R254" s="258" t="s">
        <v>76</v>
      </c>
      <c r="S254" s="301"/>
      <c r="T254" s="301"/>
      <c r="X254" s="2">
        <f t="shared" si="12"/>
        <v>0</v>
      </c>
      <c r="AA254" s="301"/>
      <c r="AB254" s="301"/>
      <c r="AC254" s="301"/>
      <c r="AE254" s="301"/>
      <c r="AF254" s="301"/>
      <c r="AG254" s="301"/>
    </row>
    <row r="255">
      <c r="E255" s="2">
        <f t="shared" si="9"/>
        <v>477</v>
      </c>
      <c r="F255" s="2">
        <f t="shared" si="10"/>
        <v>133894.35</v>
      </c>
      <c r="G255" s="2">
        <f t="shared" si="11"/>
        <v>280.7009434</v>
      </c>
      <c r="J255" s="427">
        <v>45492.0</v>
      </c>
      <c r="K255" s="300">
        <v>360.0</v>
      </c>
      <c r="L255" s="300" t="s">
        <v>688</v>
      </c>
      <c r="M255" s="300" t="s">
        <v>887</v>
      </c>
      <c r="N255" s="300">
        <v>1.0</v>
      </c>
      <c r="O255" s="300" t="s">
        <v>716</v>
      </c>
      <c r="P255" s="428" t="s">
        <v>717</v>
      </c>
      <c r="Q255" s="300" t="s">
        <v>714</v>
      </c>
      <c r="R255" s="6" t="s">
        <v>76</v>
      </c>
      <c r="S255" s="301"/>
      <c r="T255" s="301"/>
      <c r="X255" s="2">
        <f t="shared" si="12"/>
        <v>0</v>
      </c>
      <c r="AA255" s="301"/>
      <c r="AB255" s="301"/>
      <c r="AC255" s="301"/>
      <c r="AE255" s="301"/>
      <c r="AF255" s="301"/>
      <c r="AG255" s="301"/>
    </row>
    <row r="256">
      <c r="E256" s="2">
        <f t="shared" si="9"/>
        <v>477</v>
      </c>
      <c r="F256" s="2">
        <f t="shared" si="10"/>
        <v>133534.35</v>
      </c>
      <c r="G256" s="2">
        <f t="shared" si="11"/>
        <v>279.9462264</v>
      </c>
      <c r="J256" s="427">
        <v>45492.0</v>
      </c>
      <c r="K256" s="300">
        <v>40.0</v>
      </c>
      <c r="L256" s="300" t="s">
        <v>686</v>
      </c>
      <c r="M256" s="300" t="s">
        <v>888</v>
      </c>
      <c r="N256" s="300">
        <v>1.0</v>
      </c>
      <c r="O256" s="300" t="s">
        <v>716</v>
      </c>
      <c r="P256" s="428" t="s">
        <v>717</v>
      </c>
      <c r="Q256" s="300" t="s">
        <v>766</v>
      </c>
      <c r="R256" s="6" t="s">
        <v>76</v>
      </c>
      <c r="S256" s="301"/>
      <c r="T256" s="301"/>
      <c r="X256" s="2">
        <f t="shared" si="12"/>
        <v>0</v>
      </c>
      <c r="AA256" s="301"/>
      <c r="AB256" s="301"/>
      <c r="AC256" s="301"/>
      <c r="AE256" s="301"/>
      <c r="AF256" s="301"/>
      <c r="AG256" s="301"/>
    </row>
    <row r="257">
      <c r="E257" s="2">
        <f t="shared" si="9"/>
        <v>477</v>
      </c>
      <c r="F257" s="2">
        <f t="shared" si="10"/>
        <v>133494.35</v>
      </c>
      <c r="G257" s="2">
        <f t="shared" si="11"/>
        <v>279.862369</v>
      </c>
      <c r="J257" s="430">
        <v>45492.0</v>
      </c>
      <c r="K257" s="302">
        <v>163.0</v>
      </c>
      <c r="L257" s="302" t="s">
        <v>686</v>
      </c>
      <c r="M257" s="302" t="s">
        <v>720</v>
      </c>
      <c r="N257" s="302">
        <v>1.0</v>
      </c>
      <c r="O257" s="300" t="s">
        <v>716</v>
      </c>
      <c r="P257" s="431" t="s">
        <v>717</v>
      </c>
      <c r="Q257" s="302" t="s">
        <v>889</v>
      </c>
      <c r="R257" s="258" t="s">
        <v>76</v>
      </c>
      <c r="S257" s="301"/>
      <c r="T257" s="301"/>
      <c r="X257" s="2">
        <f t="shared" si="12"/>
        <v>0</v>
      </c>
      <c r="AA257" s="301"/>
      <c r="AB257" s="301"/>
      <c r="AC257" s="301"/>
      <c r="AE257" s="301"/>
      <c r="AF257" s="301"/>
      <c r="AG257" s="301"/>
    </row>
    <row r="258">
      <c r="E258" s="2">
        <f t="shared" si="9"/>
        <v>476</v>
      </c>
      <c r="F258" s="2">
        <f t="shared" si="10"/>
        <v>133331.35</v>
      </c>
      <c r="G258" s="2">
        <f t="shared" si="11"/>
        <v>280.1078782</v>
      </c>
      <c r="J258" s="425">
        <v>45493.0</v>
      </c>
      <c r="K258" s="332">
        <v>1381.44</v>
      </c>
      <c r="L258" s="332" t="s">
        <v>695</v>
      </c>
      <c r="M258" s="332" t="s">
        <v>890</v>
      </c>
      <c r="N258" s="332">
        <v>3.0</v>
      </c>
      <c r="O258" s="300" t="s">
        <v>716</v>
      </c>
      <c r="P258" s="428" t="s">
        <v>765</v>
      </c>
      <c r="Q258" s="332" t="s">
        <v>891</v>
      </c>
      <c r="R258" s="255" t="s">
        <v>71</v>
      </c>
      <c r="S258" s="301"/>
      <c r="T258" s="301"/>
      <c r="X258" s="2">
        <f t="shared" si="12"/>
        <v>0</v>
      </c>
      <c r="AA258" s="301"/>
      <c r="AB258" s="301"/>
      <c r="AC258" s="301"/>
      <c r="AE258" s="301"/>
      <c r="AF258" s="301"/>
      <c r="AG258" s="301"/>
    </row>
    <row r="259">
      <c r="E259" s="2">
        <f t="shared" si="9"/>
        <v>476</v>
      </c>
      <c r="F259" s="2">
        <f t="shared" si="10"/>
        <v>131949.91</v>
      </c>
      <c r="G259" s="2">
        <f t="shared" si="11"/>
        <v>277.2056933</v>
      </c>
      <c r="J259" s="427">
        <v>45493.0</v>
      </c>
      <c r="K259" s="300">
        <v>200.0</v>
      </c>
      <c r="L259" s="300" t="s">
        <v>688</v>
      </c>
      <c r="M259" s="300" t="s">
        <v>711</v>
      </c>
      <c r="N259" s="300">
        <v>1.0</v>
      </c>
      <c r="O259" s="300" t="s">
        <v>716</v>
      </c>
      <c r="P259" s="428" t="s">
        <v>717</v>
      </c>
      <c r="Q259" s="300" t="s">
        <v>766</v>
      </c>
      <c r="R259" s="6" t="s">
        <v>76</v>
      </c>
      <c r="S259" s="301"/>
      <c r="T259" s="301"/>
      <c r="X259" s="2">
        <f t="shared" si="12"/>
        <v>0</v>
      </c>
      <c r="AA259" s="301"/>
      <c r="AB259" s="301"/>
      <c r="AC259" s="301"/>
      <c r="AE259" s="301"/>
      <c r="AF259" s="301"/>
      <c r="AG259" s="301"/>
    </row>
    <row r="260">
      <c r="E260" s="2">
        <f t="shared" si="9"/>
        <v>476</v>
      </c>
      <c r="F260" s="2">
        <f t="shared" si="10"/>
        <v>131749.91</v>
      </c>
      <c r="G260" s="2">
        <f t="shared" si="11"/>
        <v>276.7855252</v>
      </c>
      <c r="J260" s="427">
        <v>45493.0</v>
      </c>
      <c r="K260" s="300">
        <v>88.0</v>
      </c>
      <c r="L260" s="300" t="s">
        <v>686</v>
      </c>
      <c r="M260" s="300" t="s">
        <v>817</v>
      </c>
      <c r="N260" s="300">
        <v>1.0</v>
      </c>
      <c r="O260" s="300" t="s">
        <v>716</v>
      </c>
      <c r="P260" s="428" t="s">
        <v>765</v>
      </c>
      <c r="Q260" s="300" t="s">
        <v>766</v>
      </c>
      <c r="R260" s="6" t="s">
        <v>76</v>
      </c>
      <c r="S260" s="301"/>
      <c r="T260" s="301"/>
      <c r="X260" s="2">
        <f t="shared" si="12"/>
        <v>0</v>
      </c>
      <c r="AA260" s="301"/>
      <c r="AB260" s="301"/>
      <c r="AC260" s="301"/>
      <c r="AE260" s="301"/>
      <c r="AF260" s="301"/>
      <c r="AG260" s="301"/>
    </row>
    <row r="261">
      <c r="E261" s="2">
        <f t="shared" si="9"/>
        <v>476</v>
      </c>
      <c r="F261" s="2">
        <f t="shared" si="10"/>
        <v>131661.91</v>
      </c>
      <c r="G261" s="2">
        <f t="shared" si="11"/>
        <v>276.6006513</v>
      </c>
      <c r="J261" s="427">
        <v>45493.0</v>
      </c>
      <c r="K261" s="300">
        <v>180.0</v>
      </c>
      <c r="L261" s="300" t="s">
        <v>686</v>
      </c>
      <c r="M261" s="300" t="s">
        <v>492</v>
      </c>
      <c r="N261" s="300">
        <v>1.0</v>
      </c>
      <c r="O261" s="300" t="s">
        <v>716</v>
      </c>
      <c r="P261" s="428" t="s">
        <v>765</v>
      </c>
      <c r="Q261" s="300" t="s">
        <v>766</v>
      </c>
      <c r="R261" s="6" t="s">
        <v>76</v>
      </c>
      <c r="S261" s="301"/>
      <c r="T261" s="301"/>
      <c r="X261" s="2">
        <f t="shared" si="12"/>
        <v>0</v>
      </c>
      <c r="AA261" s="301"/>
      <c r="AB261" s="301"/>
      <c r="AC261" s="301"/>
      <c r="AE261" s="301"/>
      <c r="AF261" s="301"/>
      <c r="AG261" s="301"/>
    </row>
    <row r="262">
      <c r="E262" s="2">
        <f t="shared" si="9"/>
        <v>476</v>
      </c>
      <c r="F262" s="2">
        <f t="shared" si="10"/>
        <v>131481.91</v>
      </c>
      <c r="G262" s="2">
        <f t="shared" si="11"/>
        <v>276.2225</v>
      </c>
      <c r="J262" s="430">
        <v>45493.0</v>
      </c>
      <c r="K262" s="302">
        <v>25.0</v>
      </c>
      <c r="L262" s="302" t="s">
        <v>686</v>
      </c>
      <c r="M262" s="302" t="s">
        <v>892</v>
      </c>
      <c r="N262" s="302">
        <v>1.0</v>
      </c>
      <c r="O262" s="300" t="s">
        <v>716</v>
      </c>
      <c r="P262" s="431" t="s">
        <v>765</v>
      </c>
      <c r="Q262" s="302" t="s">
        <v>766</v>
      </c>
      <c r="R262" s="258" t="s">
        <v>76</v>
      </c>
      <c r="S262" s="301"/>
      <c r="T262" s="301"/>
      <c r="X262" s="2">
        <f t="shared" si="12"/>
        <v>0</v>
      </c>
      <c r="AA262" s="301"/>
      <c r="AB262" s="301"/>
      <c r="AC262" s="301"/>
      <c r="AE262" s="301"/>
      <c r="AF262" s="301"/>
      <c r="AG262" s="301"/>
    </row>
    <row r="263">
      <c r="E263" s="2">
        <f t="shared" si="9"/>
        <v>475</v>
      </c>
      <c r="F263" s="2">
        <f t="shared" si="10"/>
        <v>131456.91</v>
      </c>
      <c r="G263" s="2">
        <f t="shared" si="11"/>
        <v>276.7513895</v>
      </c>
      <c r="J263" s="427">
        <v>45494.0</v>
      </c>
      <c r="K263" s="300">
        <v>13.0</v>
      </c>
      <c r="L263" s="300" t="s">
        <v>690</v>
      </c>
      <c r="M263" s="300" t="s">
        <v>893</v>
      </c>
      <c r="N263" s="300">
        <v>1.0</v>
      </c>
      <c r="O263" s="300" t="s">
        <v>716</v>
      </c>
      <c r="P263" s="428" t="s">
        <v>717</v>
      </c>
      <c r="Q263" s="300" t="s">
        <v>894</v>
      </c>
      <c r="R263" s="6" t="s">
        <v>76</v>
      </c>
      <c r="S263" s="301"/>
      <c r="T263" s="301"/>
      <c r="X263" s="2">
        <f t="shared" si="12"/>
        <v>0</v>
      </c>
      <c r="AA263" s="301"/>
      <c r="AB263" s="301"/>
      <c r="AC263" s="301"/>
      <c r="AE263" s="301"/>
      <c r="AF263" s="301"/>
      <c r="AG263" s="301"/>
    </row>
    <row r="264">
      <c r="E264" s="2">
        <f t="shared" si="9"/>
        <v>475</v>
      </c>
      <c r="F264" s="2">
        <f t="shared" si="10"/>
        <v>131443.91</v>
      </c>
      <c r="G264" s="2">
        <f t="shared" si="11"/>
        <v>276.7240211</v>
      </c>
      <c r="J264" s="427">
        <v>45494.0</v>
      </c>
      <c r="K264" s="300">
        <v>775.0</v>
      </c>
      <c r="L264" s="300" t="s">
        <v>686</v>
      </c>
      <c r="M264" s="300" t="s">
        <v>895</v>
      </c>
      <c r="N264" s="300">
        <v>2.0</v>
      </c>
      <c r="O264" s="300" t="s">
        <v>716</v>
      </c>
      <c r="P264" s="428" t="s">
        <v>771</v>
      </c>
      <c r="Q264" s="300" t="s">
        <v>894</v>
      </c>
      <c r="R264" s="6" t="s">
        <v>76</v>
      </c>
      <c r="S264" s="301"/>
      <c r="T264" s="301"/>
      <c r="X264" s="2">
        <f t="shared" si="12"/>
        <v>0</v>
      </c>
      <c r="AA264" s="301"/>
      <c r="AB264" s="301"/>
      <c r="AC264" s="301"/>
      <c r="AE264" s="301"/>
      <c r="AF264" s="301"/>
      <c r="AG264" s="301"/>
    </row>
    <row r="265">
      <c r="E265" s="2">
        <f t="shared" si="9"/>
        <v>475</v>
      </c>
      <c r="F265" s="2">
        <f t="shared" si="10"/>
        <v>130668.91</v>
      </c>
      <c r="G265" s="2">
        <f t="shared" si="11"/>
        <v>275.0924421</v>
      </c>
      <c r="J265" s="427">
        <v>45494.0</v>
      </c>
      <c r="K265" s="300">
        <v>13.0</v>
      </c>
      <c r="L265" s="300" t="s">
        <v>690</v>
      </c>
      <c r="M265" s="300" t="s">
        <v>893</v>
      </c>
      <c r="N265" s="300">
        <v>1.0</v>
      </c>
      <c r="O265" s="300" t="s">
        <v>716</v>
      </c>
      <c r="P265" s="428" t="s">
        <v>717</v>
      </c>
      <c r="Q265" s="300" t="s">
        <v>896</v>
      </c>
      <c r="R265" s="6" t="s">
        <v>76</v>
      </c>
      <c r="S265" s="301"/>
      <c r="T265" s="301"/>
      <c r="X265" s="2">
        <f t="shared" si="12"/>
        <v>0</v>
      </c>
      <c r="AA265" s="301"/>
      <c r="AB265" s="301"/>
      <c r="AC265" s="301"/>
      <c r="AE265" s="301"/>
      <c r="AF265" s="301"/>
      <c r="AG265" s="301"/>
    </row>
    <row r="266">
      <c r="E266" s="2">
        <f t="shared" si="9"/>
        <v>475</v>
      </c>
      <c r="F266" s="2">
        <f t="shared" si="10"/>
        <v>130655.91</v>
      </c>
      <c r="G266" s="2">
        <f t="shared" si="11"/>
        <v>275.0650737</v>
      </c>
      <c r="J266" s="427">
        <v>45494.0</v>
      </c>
      <c r="K266" s="300">
        <v>14.0</v>
      </c>
      <c r="L266" s="300" t="s">
        <v>686</v>
      </c>
      <c r="M266" s="300" t="s">
        <v>725</v>
      </c>
      <c r="N266" s="300">
        <v>2.0</v>
      </c>
      <c r="O266" s="300" t="s">
        <v>716</v>
      </c>
      <c r="P266" s="428" t="s">
        <v>717</v>
      </c>
      <c r="Q266" s="300" t="s">
        <v>896</v>
      </c>
      <c r="R266" s="6" t="s">
        <v>76</v>
      </c>
      <c r="S266" s="301"/>
      <c r="T266" s="301"/>
      <c r="X266" s="2">
        <f t="shared" si="12"/>
        <v>0</v>
      </c>
      <c r="AA266" s="301"/>
      <c r="AB266" s="301"/>
      <c r="AC266" s="301"/>
      <c r="AE266" s="301"/>
      <c r="AF266" s="301"/>
      <c r="AG266" s="301"/>
    </row>
    <row r="267">
      <c r="E267" s="2">
        <f t="shared" si="9"/>
        <v>475</v>
      </c>
      <c r="F267" s="2">
        <f t="shared" si="10"/>
        <v>130641.91</v>
      </c>
      <c r="G267" s="2">
        <f t="shared" si="11"/>
        <v>275.0356</v>
      </c>
      <c r="J267" s="427">
        <v>45494.0</v>
      </c>
      <c r="K267" s="300">
        <v>120.0</v>
      </c>
      <c r="L267" s="300" t="s">
        <v>690</v>
      </c>
      <c r="M267" s="300" t="s">
        <v>893</v>
      </c>
      <c r="N267" s="300">
        <v>10.0</v>
      </c>
      <c r="O267" s="300" t="s">
        <v>716</v>
      </c>
      <c r="P267" s="428" t="s">
        <v>717</v>
      </c>
      <c r="Q267" s="300" t="s">
        <v>897</v>
      </c>
      <c r="R267" s="6" t="s">
        <v>76</v>
      </c>
      <c r="S267" s="301"/>
      <c r="T267" s="301"/>
      <c r="X267" s="2">
        <f t="shared" si="12"/>
        <v>0</v>
      </c>
      <c r="AA267" s="301"/>
      <c r="AB267" s="301"/>
      <c r="AC267" s="301"/>
      <c r="AE267" s="301"/>
      <c r="AF267" s="301"/>
      <c r="AG267" s="301"/>
    </row>
    <row r="268">
      <c r="E268" s="2">
        <f t="shared" si="9"/>
        <v>475</v>
      </c>
      <c r="F268" s="2">
        <f t="shared" si="10"/>
        <v>130521.91</v>
      </c>
      <c r="G268" s="2">
        <f t="shared" si="11"/>
        <v>274.7829684</v>
      </c>
      <c r="J268" s="427">
        <v>45494.0</v>
      </c>
      <c r="K268" s="300">
        <v>20.0</v>
      </c>
      <c r="L268" s="300" t="s">
        <v>690</v>
      </c>
      <c r="M268" s="300" t="s">
        <v>838</v>
      </c>
      <c r="N268" s="300">
        <v>1.0</v>
      </c>
      <c r="O268" s="300" t="s">
        <v>716</v>
      </c>
      <c r="P268" s="428" t="s">
        <v>717</v>
      </c>
      <c r="Q268" s="300" t="s">
        <v>897</v>
      </c>
      <c r="R268" s="6" t="s">
        <v>76</v>
      </c>
      <c r="S268" s="301"/>
      <c r="T268" s="301"/>
      <c r="X268" s="2">
        <f t="shared" si="12"/>
        <v>0</v>
      </c>
      <c r="AA268" s="301"/>
      <c r="AB268" s="301"/>
      <c r="AC268" s="301"/>
      <c r="AE268" s="301"/>
      <c r="AF268" s="301"/>
      <c r="AG268" s="301"/>
    </row>
    <row r="269">
      <c r="E269" s="2">
        <f t="shared" si="9"/>
        <v>475</v>
      </c>
      <c r="F269" s="2">
        <f t="shared" si="10"/>
        <v>130501.91</v>
      </c>
      <c r="G269" s="2">
        <f t="shared" si="11"/>
        <v>274.7408632</v>
      </c>
      <c r="J269" s="427">
        <v>45494.0</v>
      </c>
      <c r="K269" s="300">
        <v>500.0</v>
      </c>
      <c r="L269" s="300" t="s">
        <v>692</v>
      </c>
      <c r="M269" s="300" t="s">
        <v>898</v>
      </c>
      <c r="N269" s="300">
        <v>4.66</v>
      </c>
      <c r="O269" s="300" t="s">
        <v>747</v>
      </c>
      <c r="P269" s="428" t="s">
        <v>717</v>
      </c>
      <c r="Q269" s="300" t="s">
        <v>897</v>
      </c>
      <c r="R269" s="6" t="s">
        <v>91</v>
      </c>
      <c r="S269" s="301"/>
      <c r="T269" s="301"/>
      <c r="X269" s="2">
        <f t="shared" si="12"/>
        <v>0</v>
      </c>
      <c r="AA269" s="301"/>
      <c r="AB269" s="301"/>
      <c r="AC269" s="301"/>
      <c r="AE269" s="301"/>
      <c r="AF269" s="301"/>
      <c r="AG269" s="301"/>
    </row>
    <row r="270">
      <c r="E270" s="2">
        <f t="shared" si="9"/>
        <v>475</v>
      </c>
      <c r="F270" s="2">
        <f t="shared" si="10"/>
        <v>130001.91</v>
      </c>
      <c r="G270" s="2">
        <f t="shared" si="11"/>
        <v>273.6882316</v>
      </c>
      <c r="J270" s="427">
        <v>45494.0</v>
      </c>
      <c r="K270" s="300">
        <v>300.0</v>
      </c>
      <c r="L270" s="300" t="s">
        <v>686</v>
      </c>
      <c r="M270" s="300" t="s">
        <v>899</v>
      </c>
      <c r="N270" s="300">
        <v>4.0</v>
      </c>
      <c r="O270" s="300" t="s">
        <v>716</v>
      </c>
      <c r="P270" s="428" t="s">
        <v>765</v>
      </c>
      <c r="Q270" s="300" t="s">
        <v>900</v>
      </c>
      <c r="R270" s="6" t="s">
        <v>76</v>
      </c>
      <c r="S270" s="301"/>
      <c r="T270" s="301"/>
      <c r="X270" s="2">
        <f t="shared" si="12"/>
        <v>0</v>
      </c>
      <c r="AA270" s="301"/>
      <c r="AB270" s="301"/>
      <c r="AC270" s="301"/>
      <c r="AE270" s="301"/>
      <c r="AF270" s="301"/>
      <c r="AG270" s="301"/>
    </row>
    <row r="271">
      <c r="E271" s="2">
        <f t="shared" si="9"/>
        <v>475</v>
      </c>
      <c r="F271" s="2">
        <f t="shared" si="10"/>
        <v>129701.91</v>
      </c>
      <c r="G271" s="2">
        <f t="shared" si="11"/>
        <v>273.0566526</v>
      </c>
      <c r="J271" s="427">
        <v>45494.0</v>
      </c>
      <c r="K271" s="300">
        <v>270.0</v>
      </c>
      <c r="L271" s="300" t="s">
        <v>686</v>
      </c>
      <c r="M271" s="300" t="s">
        <v>901</v>
      </c>
      <c r="N271" s="300">
        <v>1.0</v>
      </c>
      <c r="O271" s="300" t="s">
        <v>716</v>
      </c>
      <c r="P271" s="428" t="s">
        <v>765</v>
      </c>
      <c r="Q271" s="300" t="s">
        <v>900</v>
      </c>
      <c r="R271" s="6" t="s">
        <v>76</v>
      </c>
      <c r="S271" s="301"/>
      <c r="T271" s="301"/>
      <c r="X271" s="2">
        <f t="shared" si="12"/>
        <v>0</v>
      </c>
      <c r="AA271" s="301"/>
      <c r="AB271" s="301"/>
      <c r="AC271" s="301"/>
      <c r="AE271" s="301"/>
      <c r="AF271" s="301"/>
      <c r="AG271" s="301"/>
    </row>
    <row r="272">
      <c r="E272" s="2">
        <f t="shared" si="9"/>
        <v>474</v>
      </c>
      <c r="F272" s="2">
        <f t="shared" si="10"/>
        <v>129431.91</v>
      </c>
      <c r="G272" s="2">
        <f t="shared" si="11"/>
        <v>273.0631013</v>
      </c>
      <c r="J272" s="433">
        <v>45495.0</v>
      </c>
      <c r="K272" s="296">
        <v>157.0</v>
      </c>
      <c r="L272" s="296" t="s">
        <v>686</v>
      </c>
      <c r="M272" s="296" t="s">
        <v>720</v>
      </c>
      <c r="N272" s="296">
        <v>1.0</v>
      </c>
      <c r="O272" s="300" t="s">
        <v>716</v>
      </c>
      <c r="P272" s="434" t="s">
        <v>717</v>
      </c>
      <c r="Q272" s="296" t="s">
        <v>889</v>
      </c>
      <c r="R272" s="435" t="s">
        <v>76</v>
      </c>
      <c r="S272" s="301"/>
      <c r="T272" s="301"/>
      <c r="X272" s="2">
        <f t="shared" si="12"/>
        <v>0</v>
      </c>
      <c r="AA272" s="301"/>
      <c r="AB272" s="301"/>
      <c r="AC272" s="301"/>
      <c r="AE272" s="301"/>
      <c r="AF272" s="301"/>
      <c r="AG272" s="301"/>
    </row>
    <row r="273">
      <c r="E273" s="2">
        <f t="shared" si="9"/>
        <v>473</v>
      </c>
      <c r="F273" s="2">
        <f t="shared" si="10"/>
        <v>129274.91</v>
      </c>
      <c r="G273" s="2">
        <f t="shared" si="11"/>
        <v>273.3084778</v>
      </c>
      <c r="J273" s="427">
        <v>45496.0</v>
      </c>
      <c r="K273" s="300">
        <v>13.0</v>
      </c>
      <c r="L273" s="300" t="s">
        <v>686</v>
      </c>
      <c r="M273" s="300" t="s">
        <v>902</v>
      </c>
      <c r="N273" s="300">
        <v>1.0</v>
      </c>
      <c r="O273" s="300" t="s">
        <v>716</v>
      </c>
      <c r="P273" s="428" t="s">
        <v>717</v>
      </c>
      <c r="Q273" s="193" t="s">
        <v>730</v>
      </c>
      <c r="R273" s="254" t="s">
        <v>76</v>
      </c>
      <c r="S273" s="301"/>
      <c r="T273" s="301"/>
      <c r="X273" s="2">
        <f t="shared" si="12"/>
        <v>0</v>
      </c>
      <c r="AA273" s="301"/>
      <c r="AB273" s="301"/>
      <c r="AC273" s="301"/>
      <c r="AE273" s="301"/>
      <c r="AF273" s="301"/>
      <c r="AG273" s="301"/>
    </row>
    <row r="274">
      <c r="E274" s="2">
        <f t="shared" si="9"/>
        <v>473</v>
      </c>
      <c r="F274" s="2">
        <f t="shared" si="10"/>
        <v>129261.91</v>
      </c>
      <c r="G274" s="2">
        <f t="shared" si="11"/>
        <v>273.2809937</v>
      </c>
      <c r="J274" s="427">
        <v>45496.0</v>
      </c>
      <c r="K274" s="300">
        <v>50.0</v>
      </c>
      <c r="L274" s="300" t="s">
        <v>686</v>
      </c>
      <c r="M274" s="300" t="s">
        <v>774</v>
      </c>
      <c r="N274" s="300">
        <v>1.0</v>
      </c>
      <c r="O274" s="300" t="s">
        <v>716</v>
      </c>
      <c r="P274" s="428" t="s">
        <v>717</v>
      </c>
      <c r="Q274" s="193" t="s">
        <v>730</v>
      </c>
      <c r="R274" s="193" t="s">
        <v>76</v>
      </c>
      <c r="S274" s="301"/>
      <c r="T274" s="301"/>
      <c r="X274" s="2">
        <f t="shared" si="12"/>
        <v>0</v>
      </c>
      <c r="AA274" s="301"/>
      <c r="AB274" s="301"/>
      <c r="AC274" s="301"/>
      <c r="AE274" s="301"/>
      <c r="AF274" s="301"/>
      <c r="AG274" s="301"/>
    </row>
    <row r="275">
      <c r="E275" s="2">
        <f t="shared" si="9"/>
        <v>473</v>
      </c>
      <c r="F275" s="2">
        <f t="shared" si="10"/>
        <v>129211.91</v>
      </c>
      <c r="G275" s="2">
        <f t="shared" si="11"/>
        <v>273.1752854</v>
      </c>
      <c r="J275" s="427">
        <v>45496.0</v>
      </c>
      <c r="K275" s="300">
        <v>540.0</v>
      </c>
      <c r="L275" s="300" t="s">
        <v>690</v>
      </c>
      <c r="M275" s="300" t="s">
        <v>903</v>
      </c>
      <c r="N275" s="300">
        <v>60.0</v>
      </c>
      <c r="O275" s="300" t="s">
        <v>716</v>
      </c>
      <c r="P275" s="428" t="s">
        <v>717</v>
      </c>
      <c r="Q275" s="193" t="s">
        <v>730</v>
      </c>
      <c r="R275" s="193" t="s">
        <v>76</v>
      </c>
      <c r="S275" s="301"/>
      <c r="T275" s="301"/>
      <c r="X275" s="2">
        <f t="shared" si="12"/>
        <v>0</v>
      </c>
      <c r="AA275" s="301"/>
      <c r="AB275" s="301"/>
      <c r="AC275" s="301"/>
      <c r="AE275" s="301"/>
      <c r="AF275" s="301"/>
      <c r="AG275" s="301"/>
    </row>
    <row r="276">
      <c r="E276" s="2">
        <f t="shared" si="9"/>
        <v>473</v>
      </c>
      <c r="F276" s="2">
        <f t="shared" si="10"/>
        <v>128671.91</v>
      </c>
      <c r="G276" s="2">
        <f t="shared" si="11"/>
        <v>272.0336364</v>
      </c>
      <c r="J276" s="427">
        <v>45496.0</v>
      </c>
      <c r="K276" s="300">
        <v>72.0</v>
      </c>
      <c r="L276" s="300" t="s">
        <v>686</v>
      </c>
      <c r="M276" s="300" t="s">
        <v>731</v>
      </c>
      <c r="N276" s="300">
        <v>12.0</v>
      </c>
      <c r="O276" s="300" t="s">
        <v>716</v>
      </c>
      <c r="P276" s="428" t="s">
        <v>717</v>
      </c>
      <c r="Q276" s="193" t="s">
        <v>730</v>
      </c>
      <c r="R276" s="193" t="s">
        <v>76</v>
      </c>
      <c r="S276" s="301"/>
      <c r="T276" s="301"/>
      <c r="X276" s="2">
        <f t="shared" si="12"/>
        <v>0</v>
      </c>
      <c r="AA276" s="301"/>
      <c r="AB276" s="301"/>
      <c r="AC276" s="301"/>
      <c r="AE276" s="301"/>
      <c r="AF276" s="301"/>
      <c r="AG276" s="301"/>
    </row>
    <row r="277">
      <c r="E277" s="2">
        <f t="shared" si="9"/>
        <v>473</v>
      </c>
      <c r="F277" s="2">
        <f t="shared" si="10"/>
        <v>128599.91</v>
      </c>
      <c r="G277" s="2">
        <f t="shared" si="11"/>
        <v>271.8814165</v>
      </c>
      <c r="J277" s="427">
        <v>45496.0</v>
      </c>
      <c r="K277" s="300">
        <v>180.0</v>
      </c>
      <c r="L277" s="300" t="s">
        <v>690</v>
      </c>
      <c r="M277" s="300" t="s">
        <v>904</v>
      </c>
      <c r="N277" s="300">
        <v>20.0</v>
      </c>
      <c r="O277" s="300" t="s">
        <v>716</v>
      </c>
      <c r="P277" s="428" t="s">
        <v>717</v>
      </c>
      <c r="Q277" s="193" t="s">
        <v>730</v>
      </c>
      <c r="R277" s="193" t="s">
        <v>76</v>
      </c>
      <c r="S277" s="301"/>
      <c r="T277" s="301"/>
      <c r="X277" s="2">
        <f t="shared" si="12"/>
        <v>0</v>
      </c>
      <c r="AA277" s="301"/>
      <c r="AB277" s="301"/>
      <c r="AC277" s="301"/>
      <c r="AE277" s="301"/>
      <c r="AF277" s="301"/>
      <c r="AG277" s="301"/>
    </row>
    <row r="278">
      <c r="E278" s="2">
        <f t="shared" si="9"/>
        <v>473</v>
      </c>
      <c r="F278" s="2">
        <f t="shared" si="10"/>
        <v>128419.91</v>
      </c>
      <c r="G278" s="2">
        <f t="shared" si="11"/>
        <v>271.5008668</v>
      </c>
      <c r="J278" s="430">
        <v>45496.0</v>
      </c>
      <c r="K278" s="302">
        <v>50.0</v>
      </c>
      <c r="L278" s="302" t="s">
        <v>686</v>
      </c>
      <c r="M278" s="302" t="s">
        <v>749</v>
      </c>
      <c r="N278" s="302">
        <v>1.0</v>
      </c>
      <c r="O278" s="300" t="s">
        <v>716</v>
      </c>
      <c r="P278" s="431" t="s">
        <v>717</v>
      </c>
      <c r="Q278" s="411" t="s">
        <v>730</v>
      </c>
      <c r="R278" s="411" t="s">
        <v>76</v>
      </c>
      <c r="S278" s="301"/>
      <c r="T278" s="301"/>
      <c r="X278" s="2">
        <f t="shared" si="12"/>
        <v>0</v>
      </c>
      <c r="AA278" s="301"/>
      <c r="AB278" s="301"/>
      <c r="AC278" s="301"/>
      <c r="AE278" s="301"/>
      <c r="AF278" s="301"/>
      <c r="AG278" s="301"/>
    </row>
    <row r="279">
      <c r="E279" s="2">
        <f t="shared" si="9"/>
        <v>472</v>
      </c>
      <c r="F279" s="2">
        <f t="shared" si="10"/>
        <v>128369.91</v>
      </c>
      <c r="G279" s="2">
        <f t="shared" si="11"/>
        <v>271.9701483</v>
      </c>
      <c r="J279" s="427">
        <v>45497.0</v>
      </c>
      <c r="K279" s="300">
        <v>64.0</v>
      </c>
      <c r="L279" s="300" t="s">
        <v>686</v>
      </c>
      <c r="M279" s="300" t="s">
        <v>905</v>
      </c>
      <c r="N279" s="300">
        <v>6.0</v>
      </c>
      <c r="O279" s="300" t="s">
        <v>716</v>
      </c>
      <c r="P279" s="428" t="s">
        <v>717</v>
      </c>
      <c r="Q279" s="300" t="s">
        <v>730</v>
      </c>
      <c r="R279" s="6" t="s">
        <v>76</v>
      </c>
      <c r="S279" s="301"/>
      <c r="T279" s="301"/>
      <c r="X279" s="2">
        <f t="shared" si="12"/>
        <v>0</v>
      </c>
      <c r="AA279" s="301"/>
      <c r="AB279" s="301"/>
      <c r="AC279" s="301"/>
      <c r="AE279" s="301"/>
      <c r="AF279" s="301"/>
      <c r="AG279" s="301"/>
    </row>
    <row r="280">
      <c r="E280" s="2">
        <f t="shared" si="9"/>
        <v>472</v>
      </c>
      <c r="F280" s="2">
        <f t="shared" si="10"/>
        <v>128305.91</v>
      </c>
      <c r="G280" s="2">
        <f t="shared" si="11"/>
        <v>271.8345551</v>
      </c>
      <c r="J280" s="427">
        <v>45497.0</v>
      </c>
      <c r="K280" s="300">
        <v>5.0</v>
      </c>
      <c r="L280" s="300" t="s">
        <v>686</v>
      </c>
      <c r="M280" s="300" t="s">
        <v>806</v>
      </c>
      <c r="N280" s="300">
        <v>1.0</v>
      </c>
      <c r="O280" s="300" t="s">
        <v>716</v>
      </c>
      <c r="P280" s="428" t="s">
        <v>717</v>
      </c>
      <c r="Q280" s="300" t="s">
        <v>730</v>
      </c>
      <c r="R280" s="6" t="s">
        <v>76</v>
      </c>
      <c r="S280" s="301"/>
      <c r="T280" s="301"/>
      <c r="X280" s="2">
        <f t="shared" si="12"/>
        <v>0</v>
      </c>
      <c r="AA280" s="301"/>
      <c r="AB280" s="301"/>
      <c r="AC280" s="301"/>
      <c r="AE280" s="301"/>
      <c r="AF280" s="301"/>
      <c r="AG280" s="301"/>
    </row>
    <row r="281">
      <c r="E281" s="2">
        <f t="shared" si="9"/>
        <v>472</v>
      </c>
      <c r="F281" s="2">
        <f t="shared" si="10"/>
        <v>128300.91</v>
      </c>
      <c r="G281" s="2">
        <f t="shared" si="11"/>
        <v>271.8239619</v>
      </c>
      <c r="J281" s="430">
        <v>45497.0</v>
      </c>
      <c r="K281" s="302">
        <v>155.0</v>
      </c>
      <c r="L281" s="302" t="s">
        <v>686</v>
      </c>
      <c r="M281" s="302" t="s">
        <v>492</v>
      </c>
      <c r="N281" s="302">
        <v>500.0</v>
      </c>
      <c r="O281" s="300" t="s">
        <v>745</v>
      </c>
      <c r="P281" s="431" t="s">
        <v>717</v>
      </c>
      <c r="Q281" s="302" t="s">
        <v>730</v>
      </c>
      <c r="R281" s="258" t="s">
        <v>76</v>
      </c>
      <c r="S281" s="301"/>
      <c r="T281" s="301"/>
      <c r="X281" s="2">
        <f t="shared" si="12"/>
        <v>0</v>
      </c>
      <c r="AA281" s="301"/>
      <c r="AB281" s="301"/>
      <c r="AC281" s="301"/>
      <c r="AE281" s="301"/>
      <c r="AF281" s="301"/>
      <c r="AG281" s="301"/>
    </row>
    <row r="282">
      <c r="E282" s="2">
        <f t="shared" si="9"/>
        <v>471</v>
      </c>
      <c r="F282" s="2">
        <f t="shared" si="10"/>
        <v>128145.91</v>
      </c>
      <c r="G282" s="2">
        <f t="shared" si="11"/>
        <v>272.0719958</v>
      </c>
      <c r="J282" s="427">
        <v>45498.0</v>
      </c>
      <c r="K282" s="300">
        <v>449.0</v>
      </c>
      <c r="L282" s="300" t="s">
        <v>697</v>
      </c>
      <c r="M282" s="300" t="s">
        <v>906</v>
      </c>
      <c r="N282" s="300">
        <v>1.0</v>
      </c>
      <c r="O282" s="300" t="s">
        <v>716</v>
      </c>
      <c r="P282" s="428" t="s">
        <v>717</v>
      </c>
      <c r="Q282" s="300" t="s">
        <v>907</v>
      </c>
      <c r="R282" s="6" t="s">
        <v>76</v>
      </c>
      <c r="S282" s="301"/>
      <c r="T282" s="301"/>
      <c r="X282" s="2">
        <f t="shared" si="12"/>
        <v>0</v>
      </c>
      <c r="AA282" s="301"/>
      <c r="AB282" s="301"/>
      <c r="AC282" s="301"/>
      <c r="AE282" s="301"/>
      <c r="AF282" s="301"/>
      <c r="AG282" s="301"/>
    </row>
    <row r="283">
      <c r="E283" s="2">
        <f t="shared" si="9"/>
        <v>471</v>
      </c>
      <c r="F283" s="2">
        <f t="shared" si="10"/>
        <v>127696.91</v>
      </c>
      <c r="G283" s="2">
        <f t="shared" si="11"/>
        <v>271.1187049</v>
      </c>
      <c r="J283" s="427">
        <v>45498.0</v>
      </c>
      <c r="K283" s="300">
        <v>56.0</v>
      </c>
      <c r="L283" s="300" t="s">
        <v>686</v>
      </c>
      <c r="M283" s="300" t="s">
        <v>735</v>
      </c>
      <c r="N283" s="300">
        <v>2.0</v>
      </c>
      <c r="O283" s="300" t="s">
        <v>716</v>
      </c>
      <c r="P283" s="428" t="s">
        <v>717</v>
      </c>
      <c r="Q283" s="300" t="s">
        <v>730</v>
      </c>
      <c r="R283" s="6" t="s">
        <v>76</v>
      </c>
      <c r="S283" s="301"/>
      <c r="T283" s="301"/>
      <c r="X283" s="2">
        <f t="shared" si="12"/>
        <v>0</v>
      </c>
      <c r="AA283" s="301"/>
      <c r="AB283" s="301"/>
      <c r="AC283" s="301"/>
      <c r="AE283" s="301"/>
      <c r="AF283" s="301"/>
      <c r="AG283" s="301"/>
    </row>
    <row r="284">
      <c r="E284" s="2">
        <f t="shared" si="9"/>
        <v>471</v>
      </c>
      <c r="F284" s="2">
        <f t="shared" si="10"/>
        <v>127640.91</v>
      </c>
      <c r="G284" s="2">
        <f t="shared" si="11"/>
        <v>270.9998089</v>
      </c>
      <c r="J284" s="427">
        <v>45498.0</v>
      </c>
      <c r="K284" s="300">
        <v>112.0</v>
      </c>
      <c r="L284" s="300" t="s">
        <v>686</v>
      </c>
      <c r="M284" s="300" t="s">
        <v>805</v>
      </c>
      <c r="N284" s="300">
        <v>2.0</v>
      </c>
      <c r="O284" s="300" t="s">
        <v>716</v>
      </c>
      <c r="P284" s="428" t="s">
        <v>717</v>
      </c>
      <c r="Q284" s="300" t="s">
        <v>730</v>
      </c>
      <c r="R284" s="6" t="s">
        <v>76</v>
      </c>
      <c r="S284" s="301"/>
      <c r="T284" s="301"/>
      <c r="X284" s="2">
        <f t="shared" si="12"/>
        <v>0</v>
      </c>
      <c r="AA284" s="301"/>
      <c r="AB284" s="301"/>
      <c r="AC284" s="301"/>
      <c r="AE284" s="301"/>
      <c r="AF284" s="301"/>
      <c r="AG284" s="301"/>
    </row>
    <row r="285">
      <c r="E285" s="2">
        <f t="shared" si="9"/>
        <v>471</v>
      </c>
      <c r="F285" s="2">
        <f t="shared" si="10"/>
        <v>127528.91</v>
      </c>
      <c r="G285" s="2">
        <f t="shared" si="11"/>
        <v>270.762017</v>
      </c>
      <c r="J285" s="427">
        <v>45498.0</v>
      </c>
      <c r="K285" s="300">
        <v>600.0</v>
      </c>
      <c r="L285" s="300" t="s">
        <v>690</v>
      </c>
      <c r="M285" s="300" t="s">
        <v>908</v>
      </c>
      <c r="N285" s="300">
        <v>6.0</v>
      </c>
      <c r="O285" s="300" t="s">
        <v>716</v>
      </c>
      <c r="P285" s="428" t="s">
        <v>717</v>
      </c>
      <c r="Q285" s="300" t="s">
        <v>730</v>
      </c>
      <c r="R285" s="6" t="s">
        <v>76</v>
      </c>
      <c r="S285" s="301"/>
      <c r="T285" s="301"/>
      <c r="X285" s="2">
        <f t="shared" si="12"/>
        <v>0</v>
      </c>
      <c r="AA285" s="301"/>
      <c r="AB285" s="301"/>
      <c r="AC285" s="301"/>
      <c r="AE285" s="301"/>
      <c r="AF285" s="301"/>
      <c r="AG285" s="301"/>
    </row>
    <row r="286">
      <c r="E286" s="2">
        <f t="shared" si="9"/>
        <v>471</v>
      </c>
      <c r="F286" s="2">
        <f t="shared" si="10"/>
        <v>126928.91</v>
      </c>
      <c r="G286" s="2">
        <f t="shared" si="11"/>
        <v>269.4881316</v>
      </c>
      <c r="J286" s="427">
        <v>45498.0</v>
      </c>
      <c r="K286" s="300">
        <v>64.0</v>
      </c>
      <c r="L286" s="300" t="s">
        <v>686</v>
      </c>
      <c r="M286" s="300" t="s">
        <v>905</v>
      </c>
      <c r="N286" s="300">
        <v>1.0</v>
      </c>
      <c r="O286" s="300" t="s">
        <v>716</v>
      </c>
      <c r="P286" s="428" t="s">
        <v>717</v>
      </c>
      <c r="Q286" s="300" t="s">
        <v>730</v>
      </c>
      <c r="R286" s="6" t="s">
        <v>76</v>
      </c>
      <c r="S286" s="301"/>
      <c r="T286" s="301"/>
      <c r="X286" s="2">
        <f t="shared" si="12"/>
        <v>0</v>
      </c>
      <c r="AA286" s="301"/>
      <c r="AB286" s="301"/>
      <c r="AC286" s="301"/>
      <c r="AE286" s="301"/>
      <c r="AF286" s="301"/>
      <c r="AG286" s="301"/>
    </row>
    <row r="287">
      <c r="E287" s="2">
        <f t="shared" si="9"/>
        <v>471</v>
      </c>
      <c r="F287" s="2">
        <f t="shared" si="10"/>
        <v>126864.91</v>
      </c>
      <c r="G287" s="2">
        <f t="shared" si="11"/>
        <v>269.3522505</v>
      </c>
      <c r="J287" s="427">
        <v>45498.0</v>
      </c>
      <c r="K287" s="300">
        <v>41.0</v>
      </c>
      <c r="L287" s="300" t="s">
        <v>686</v>
      </c>
      <c r="M287" s="300" t="s">
        <v>909</v>
      </c>
      <c r="N287" s="300">
        <v>1.0</v>
      </c>
      <c r="O287" s="300" t="s">
        <v>716</v>
      </c>
      <c r="P287" s="428" t="s">
        <v>717</v>
      </c>
      <c r="Q287" s="300" t="s">
        <v>730</v>
      </c>
      <c r="R287" s="6" t="s">
        <v>76</v>
      </c>
      <c r="S287" s="301"/>
      <c r="T287" s="301"/>
      <c r="X287" s="2">
        <f t="shared" si="12"/>
        <v>0</v>
      </c>
      <c r="AA287" s="301"/>
      <c r="AB287" s="301"/>
      <c r="AC287" s="301"/>
      <c r="AE287" s="301"/>
      <c r="AF287" s="301"/>
      <c r="AG287" s="301"/>
    </row>
    <row r="288">
      <c r="E288" s="2">
        <f t="shared" si="9"/>
        <v>471</v>
      </c>
      <c r="F288" s="2">
        <f t="shared" si="10"/>
        <v>126823.91</v>
      </c>
      <c r="G288" s="2">
        <f t="shared" si="11"/>
        <v>269.2652017</v>
      </c>
      <c r="J288" s="427">
        <v>45498.0</v>
      </c>
      <c r="K288" s="300">
        <v>92.0</v>
      </c>
      <c r="L288" s="300" t="s">
        <v>686</v>
      </c>
      <c r="M288" s="300" t="s">
        <v>910</v>
      </c>
      <c r="N288" s="300">
        <v>1.0</v>
      </c>
      <c r="O288" s="300" t="s">
        <v>716</v>
      </c>
      <c r="P288" s="428" t="s">
        <v>717</v>
      </c>
      <c r="Q288" s="300" t="s">
        <v>730</v>
      </c>
      <c r="R288" s="6" t="s">
        <v>76</v>
      </c>
      <c r="S288" s="301"/>
      <c r="T288" s="301"/>
      <c r="X288" s="2">
        <f t="shared" si="12"/>
        <v>0</v>
      </c>
      <c r="AA288" s="301"/>
      <c r="AB288" s="301"/>
      <c r="AC288" s="301"/>
      <c r="AE288" s="301"/>
      <c r="AF288" s="301"/>
      <c r="AG288" s="301"/>
    </row>
    <row r="289">
      <c r="E289" s="2">
        <f t="shared" si="9"/>
        <v>471</v>
      </c>
      <c r="F289" s="2">
        <f t="shared" si="10"/>
        <v>126731.91</v>
      </c>
      <c r="G289" s="2">
        <f t="shared" si="11"/>
        <v>269.0698726</v>
      </c>
      <c r="J289" s="427">
        <v>45498.0</v>
      </c>
      <c r="K289" s="300">
        <v>0.0</v>
      </c>
      <c r="L289" s="300" t="s">
        <v>686</v>
      </c>
      <c r="M289" s="300" t="s">
        <v>911</v>
      </c>
      <c r="N289" s="300">
        <v>1.0</v>
      </c>
      <c r="O289" s="300" t="s">
        <v>716</v>
      </c>
      <c r="P289" s="428" t="s">
        <v>717</v>
      </c>
      <c r="Q289" s="300" t="s">
        <v>730</v>
      </c>
      <c r="R289" s="6" t="s">
        <v>76</v>
      </c>
      <c r="S289" s="301"/>
      <c r="T289" s="301"/>
      <c r="X289" s="2">
        <f t="shared" si="12"/>
        <v>0</v>
      </c>
      <c r="AA289" s="301"/>
      <c r="AB289" s="301"/>
      <c r="AC289" s="301"/>
      <c r="AE289" s="301"/>
      <c r="AF289" s="301"/>
      <c r="AG289" s="301"/>
    </row>
    <row r="290">
      <c r="E290" s="2">
        <f t="shared" si="9"/>
        <v>471</v>
      </c>
      <c r="F290" s="2">
        <f t="shared" si="10"/>
        <v>126731.91</v>
      </c>
      <c r="G290" s="2">
        <f t="shared" si="11"/>
        <v>269.0698726</v>
      </c>
      <c r="J290" s="427">
        <v>45498.0</v>
      </c>
      <c r="K290" s="300">
        <v>13.0</v>
      </c>
      <c r="L290" s="300" t="s">
        <v>690</v>
      </c>
      <c r="M290" s="300" t="s">
        <v>806</v>
      </c>
      <c r="N290" s="300">
        <v>1.0</v>
      </c>
      <c r="O290" s="300" t="s">
        <v>716</v>
      </c>
      <c r="P290" s="428" t="s">
        <v>717</v>
      </c>
      <c r="Q290" s="300" t="s">
        <v>730</v>
      </c>
      <c r="R290" s="6" t="s">
        <v>76</v>
      </c>
      <c r="S290" s="301"/>
      <c r="T290" s="301"/>
      <c r="X290" s="2">
        <f t="shared" si="12"/>
        <v>0</v>
      </c>
      <c r="AA290" s="301"/>
      <c r="AB290" s="301"/>
      <c r="AC290" s="301"/>
      <c r="AE290" s="301"/>
      <c r="AF290" s="301"/>
      <c r="AG290" s="301"/>
    </row>
    <row r="291">
      <c r="E291" s="2">
        <f t="shared" si="9"/>
        <v>471</v>
      </c>
      <c r="F291" s="2">
        <f t="shared" si="10"/>
        <v>126718.91</v>
      </c>
      <c r="G291" s="2">
        <f t="shared" si="11"/>
        <v>269.0422718</v>
      </c>
      <c r="J291" s="427">
        <v>45498.0</v>
      </c>
      <c r="K291" s="300">
        <v>7.0</v>
      </c>
      <c r="L291" s="300" t="s">
        <v>686</v>
      </c>
      <c r="M291" s="300" t="s">
        <v>806</v>
      </c>
      <c r="N291" s="300">
        <v>1.0</v>
      </c>
      <c r="O291" s="300" t="s">
        <v>716</v>
      </c>
      <c r="P291" s="428" t="s">
        <v>717</v>
      </c>
      <c r="Q291" s="300" t="s">
        <v>730</v>
      </c>
      <c r="R291" s="6" t="s">
        <v>76</v>
      </c>
      <c r="S291" s="301"/>
      <c r="T291" s="301"/>
      <c r="X291" s="2">
        <f t="shared" si="12"/>
        <v>0</v>
      </c>
      <c r="AA291" s="301"/>
      <c r="AB291" s="301"/>
      <c r="AC291" s="301"/>
      <c r="AE291" s="301"/>
      <c r="AF291" s="301"/>
      <c r="AG291" s="301"/>
    </row>
    <row r="292">
      <c r="E292" s="2">
        <f t="shared" si="9"/>
        <v>470</v>
      </c>
      <c r="F292" s="2">
        <f t="shared" si="10"/>
        <v>126711.91</v>
      </c>
      <c r="G292" s="2">
        <f t="shared" si="11"/>
        <v>269.5998085</v>
      </c>
      <c r="J292" s="425">
        <v>45499.0</v>
      </c>
      <c r="K292" s="332">
        <v>189.0</v>
      </c>
      <c r="L292" s="332" t="s">
        <v>686</v>
      </c>
      <c r="M292" s="332" t="s">
        <v>492</v>
      </c>
      <c r="N292" s="332">
        <v>1.0</v>
      </c>
      <c r="O292" s="300" t="s">
        <v>716</v>
      </c>
      <c r="P292" s="426" t="s">
        <v>717</v>
      </c>
      <c r="Q292" s="332" t="s">
        <v>730</v>
      </c>
      <c r="R292" s="254" t="s">
        <v>76</v>
      </c>
      <c r="S292" s="301"/>
      <c r="T292" s="301"/>
      <c r="X292" s="2">
        <f t="shared" si="12"/>
        <v>0</v>
      </c>
      <c r="AA292" s="301"/>
      <c r="AB292" s="301"/>
      <c r="AC292" s="301"/>
      <c r="AE292" s="301"/>
      <c r="AF292" s="301"/>
      <c r="AG292" s="301"/>
    </row>
    <row r="293">
      <c r="E293" s="2">
        <f t="shared" si="9"/>
        <v>470</v>
      </c>
      <c r="F293" s="2">
        <f t="shared" si="10"/>
        <v>126522.91</v>
      </c>
      <c r="G293" s="2">
        <f t="shared" si="11"/>
        <v>269.1976809</v>
      </c>
      <c r="J293" s="427">
        <v>45499.0</v>
      </c>
      <c r="K293" s="300">
        <v>120.0</v>
      </c>
      <c r="L293" s="300" t="s">
        <v>690</v>
      </c>
      <c r="M293" s="300" t="s">
        <v>912</v>
      </c>
      <c r="N293" s="300">
        <v>1.0</v>
      </c>
      <c r="O293" s="300" t="s">
        <v>716</v>
      </c>
      <c r="P293" s="428" t="s">
        <v>717</v>
      </c>
      <c r="Q293" s="300" t="s">
        <v>730</v>
      </c>
      <c r="R293" s="193" t="s">
        <v>76</v>
      </c>
      <c r="S293" s="301"/>
      <c r="T293" s="301"/>
      <c r="X293" s="2">
        <f t="shared" si="12"/>
        <v>0</v>
      </c>
      <c r="AA293" s="301"/>
      <c r="AB293" s="301"/>
      <c r="AC293" s="301"/>
      <c r="AE293" s="301"/>
      <c r="AF293" s="301"/>
      <c r="AG293" s="301"/>
    </row>
    <row r="294">
      <c r="E294" s="2">
        <f t="shared" si="9"/>
        <v>470</v>
      </c>
      <c r="F294" s="2">
        <f t="shared" si="10"/>
        <v>126402.91</v>
      </c>
      <c r="G294" s="2">
        <f t="shared" si="11"/>
        <v>268.9423617</v>
      </c>
      <c r="J294" s="427">
        <v>45499.0</v>
      </c>
      <c r="K294" s="300">
        <v>12.0</v>
      </c>
      <c r="L294" s="300" t="s">
        <v>690</v>
      </c>
      <c r="M294" s="300" t="s">
        <v>806</v>
      </c>
      <c r="N294" s="300">
        <v>1.0</v>
      </c>
      <c r="O294" s="300" t="s">
        <v>716</v>
      </c>
      <c r="P294" s="428" t="s">
        <v>717</v>
      </c>
      <c r="Q294" s="300" t="s">
        <v>730</v>
      </c>
      <c r="R294" s="193" t="s">
        <v>76</v>
      </c>
      <c r="S294" s="301"/>
      <c r="T294" s="301"/>
      <c r="X294" s="2">
        <f t="shared" si="12"/>
        <v>0</v>
      </c>
      <c r="AA294" s="301"/>
      <c r="AB294" s="301"/>
      <c r="AC294" s="301"/>
      <c r="AE294" s="301"/>
      <c r="AF294" s="301"/>
      <c r="AG294" s="301"/>
    </row>
    <row r="295">
      <c r="E295" s="2">
        <f t="shared" si="9"/>
        <v>470</v>
      </c>
      <c r="F295" s="2">
        <f t="shared" si="10"/>
        <v>126390.91</v>
      </c>
      <c r="G295" s="2">
        <f t="shared" si="11"/>
        <v>268.9168298</v>
      </c>
      <c r="J295" s="427">
        <v>45499.0</v>
      </c>
      <c r="K295" s="300">
        <v>8.0</v>
      </c>
      <c r="L295" s="300" t="s">
        <v>686</v>
      </c>
      <c r="M295" s="300" t="s">
        <v>806</v>
      </c>
      <c r="N295" s="300">
        <v>1.0</v>
      </c>
      <c r="O295" s="300" t="s">
        <v>716</v>
      </c>
      <c r="P295" s="428" t="s">
        <v>717</v>
      </c>
      <c r="Q295" s="300" t="s">
        <v>730</v>
      </c>
      <c r="R295" s="193" t="s">
        <v>76</v>
      </c>
      <c r="S295" s="301"/>
      <c r="T295" s="301"/>
      <c r="X295" s="2">
        <f t="shared" si="12"/>
        <v>0</v>
      </c>
      <c r="AA295" s="301"/>
      <c r="AB295" s="301"/>
      <c r="AC295" s="301"/>
      <c r="AE295" s="301"/>
      <c r="AF295" s="301"/>
      <c r="AG295" s="301"/>
    </row>
    <row r="296">
      <c r="E296" s="2">
        <f t="shared" si="9"/>
        <v>470</v>
      </c>
      <c r="F296" s="2">
        <f t="shared" si="10"/>
        <v>126382.91</v>
      </c>
      <c r="G296" s="2">
        <f t="shared" si="11"/>
        <v>268.8998085</v>
      </c>
      <c r="J296" s="427">
        <v>45499.0</v>
      </c>
      <c r="K296" s="300">
        <v>360.0</v>
      </c>
      <c r="L296" s="300" t="s">
        <v>688</v>
      </c>
      <c r="M296" s="436" t="s">
        <v>913</v>
      </c>
      <c r="N296" s="437">
        <v>350.0</v>
      </c>
      <c r="O296" s="300" t="s">
        <v>712</v>
      </c>
      <c r="P296" s="438" t="s">
        <v>914</v>
      </c>
      <c r="Q296" s="436" t="s">
        <v>378</v>
      </c>
      <c r="R296" s="193" t="s">
        <v>76</v>
      </c>
      <c r="S296" s="301"/>
      <c r="T296" s="301"/>
      <c r="X296" s="2">
        <f t="shared" si="12"/>
        <v>0</v>
      </c>
      <c r="AA296" s="301"/>
      <c r="AB296" s="301"/>
      <c r="AC296" s="301"/>
      <c r="AE296" s="301"/>
      <c r="AF296" s="301"/>
      <c r="AG296" s="301"/>
    </row>
    <row r="297">
      <c r="E297" s="2">
        <f t="shared" si="9"/>
        <v>470</v>
      </c>
      <c r="F297" s="2">
        <f t="shared" si="10"/>
        <v>126022.91</v>
      </c>
      <c r="G297" s="2">
        <f t="shared" si="11"/>
        <v>268.1338511</v>
      </c>
      <c r="J297" s="430">
        <v>45499.0</v>
      </c>
      <c r="K297" s="302">
        <v>240.0</v>
      </c>
      <c r="L297" s="302" t="s">
        <v>690</v>
      </c>
      <c r="M297" s="302" t="s">
        <v>842</v>
      </c>
      <c r="N297" s="302">
        <v>2.0</v>
      </c>
      <c r="O297" s="300" t="s">
        <v>716</v>
      </c>
      <c r="P297" s="431" t="s">
        <v>717</v>
      </c>
      <c r="Q297" s="439" t="s">
        <v>378</v>
      </c>
      <c r="R297" s="411" t="s">
        <v>76</v>
      </c>
      <c r="S297" s="301"/>
      <c r="T297" s="301"/>
      <c r="X297" s="2">
        <f t="shared" si="12"/>
        <v>0</v>
      </c>
      <c r="AA297" s="301"/>
      <c r="AB297" s="301"/>
      <c r="AC297" s="301"/>
      <c r="AE297" s="301"/>
      <c r="AF297" s="301"/>
      <c r="AG297" s="301"/>
    </row>
    <row r="298">
      <c r="E298" s="2">
        <f t="shared" si="9"/>
        <v>469</v>
      </c>
      <c r="F298" s="2">
        <f t="shared" si="10"/>
        <v>125782.91</v>
      </c>
      <c r="G298" s="2">
        <f t="shared" si="11"/>
        <v>268.193838</v>
      </c>
      <c r="J298" s="427">
        <v>45500.0</v>
      </c>
      <c r="K298" s="300">
        <v>536.0</v>
      </c>
      <c r="L298" s="300" t="s">
        <v>686</v>
      </c>
      <c r="M298" s="300" t="s">
        <v>915</v>
      </c>
      <c r="N298" s="300">
        <v>3.0</v>
      </c>
      <c r="O298" s="300" t="s">
        <v>716</v>
      </c>
      <c r="P298" s="428" t="s">
        <v>916</v>
      </c>
      <c r="Q298" s="300" t="s">
        <v>881</v>
      </c>
      <c r="R298" s="6" t="s">
        <v>76</v>
      </c>
      <c r="S298" s="301"/>
      <c r="T298" s="301"/>
      <c r="X298" s="2">
        <f t="shared" si="12"/>
        <v>0</v>
      </c>
      <c r="AA298" s="301"/>
      <c r="AB298" s="301"/>
      <c r="AC298" s="301"/>
      <c r="AE298" s="301"/>
      <c r="AF298" s="301"/>
      <c r="AG298" s="301"/>
    </row>
    <row r="299">
      <c r="E299" s="2">
        <f t="shared" si="9"/>
        <v>469</v>
      </c>
      <c r="F299" s="2">
        <f t="shared" si="10"/>
        <v>125246.91</v>
      </c>
      <c r="G299" s="2">
        <f t="shared" si="11"/>
        <v>267.0509808</v>
      </c>
      <c r="J299" s="430">
        <v>45500.0</v>
      </c>
      <c r="K299" s="302">
        <v>37.0</v>
      </c>
      <c r="L299" s="302" t="s">
        <v>692</v>
      </c>
      <c r="M299" s="302" t="s">
        <v>917</v>
      </c>
      <c r="N299" s="302">
        <v>1.0</v>
      </c>
      <c r="O299" s="300" t="s">
        <v>716</v>
      </c>
      <c r="P299" s="431" t="s">
        <v>918</v>
      </c>
      <c r="Q299" s="302" t="s">
        <v>919</v>
      </c>
      <c r="R299" s="258" t="s">
        <v>76</v>
      </c>
      <c r="S299" s="301"/>
      <c r="T299" s="301"/>
      <c r="X299" s="2">
        <f t="shared" si="12"/>
        <v>0</v>
      </c>
      <c r="AA299" s="301"/>
      <c r="AB299" s="301"/>
      <c r="AC299" s="301"/>
      <c r="AE299" s="301"/>
      <c r="AF299" s="301"/>
      <c r="AG299" s="301"/>
    </row>
    <row r="300">
      <c r="E300" s="2">
        <f t="shared" si="9"/>
        <v>468</v>
      </c>
      <c r="F300" s="2">
        <f t="shared" si="10"/>
        <v>125209.91</v>
      </c>
      <c r="G300" s="2">
        <f t="shared" si="11"/>
        <v>267.5425427</v>
      </c>
      <c r="J300" s="427">
        <v>45501.0</v>
      </c>
      <c r="K300" s="300">
        <v>400.0</v>
      </c>
      <c r="L300" s="300" t="s">
        <v>690</v>
      </c>
      <c r="M300" s="300" t="s">
        <v>920</v>
      </c>
      <c r="N300" s="300">
        <v>40.0</v>
      </c>
      <c r="O300" s="300" t="s">
        <v>716</v>
      </c>
      <c r="P300" s="428" t="s">
        <v>717</v>
      </c>
      <c r="Q300" s="300" t="s">
        <v>730</v>
      </c>
      <c r="R300" s="6" t="s">
        <v>76</v>
      </c>
      <c r="S300" s="301"/>
      <c r="T300" s="301"/>
      <c r="X300" s="2">
        <f t="shared" si="12"/>
        <v>0</v>
      </c>
      <c r="AA300" s="301"/>
      <c r="AB300" s="301"/>
      <c r="AC300" s="301"/>
      <c r="AE300" s="301"/>
      <c r="AF300" s="301"/>
      <c r="AG300" s="301"/>
    </row>
    <row r="301">
      <c r="E301" s="2">
        <f t="shared" si="9"/>
        <v>468</v>
      </c>
      <c r="F301" s="2">
        <f t="shared" si="10"/>
        <v>124809.91</v>
      </c>
      <c r="G301" s="2">
        <f t="shared" si="11"/>
        <v>266.6878419</v>
      </c>
      <c r="J301" s="427">
        <v>45501.0</v>
      </c>
      <c r="K301" s="300">
        <v>570.0</v>
      </c>
      <c r="L301" s="300" t="s">
        <v>690</v>
      </c>
      <c r="M301" s="300" t="s">
        <v>921</v>
      </c>
      <c r="N301" s="300">
        <v>60.0</v>
      </c>
      <c r="O301" s="300" t="s">
        <v>716</v>
      </c>
      <c r="P301" s="428" t="s">
        <v>717</v>
      </c>
      <c r="Q301" s="300" t="s">
        <v>730</v>
      </c>
      <c r="R301" s="6" t="s">
        <v>76</v>
      </c>
      <c r="S301" s="301"/>
      <c r="T301" s="301"/>
      <c r="X301" s="2">
        <f t="shared" si="12"/>
        <v>0</v>
      </c>
      <c r="AA301" s="301"/>
      <c r="AB301" s="301"/>
      <c r="AC301" s="301"/>
      <c r="AE301" s="301"/>
      <c r="AF301" s="301"/>
      <c r="AG301" s="301"/>
    </row>
    <row r="302">
      <c r="E302" s="2">
        <f t="shared" si="9"/>
        <v>468</v>
      </c>
      <c r="F302" s="2">
        <f t="shared" si="10"/>
        <v>124239.91</v>
      </c>
      <c r="G302" s="2">
        <f t="shared" si="11"/>
        <v>265.4698932</v>
      </c>
      <c r="J302" s="427">
        <v>45501.0</v>
      </c>
      <c r="K302" s="300">
        <v>20.0</v>
      </c>
      <c r="L302" s="300" t="s">
        <v>690</v>
      </c>
      <c r="M302" s="300" t="s">
        <v>922</v>
      </c>
      <c r="N302" s="300">
        <v>1.0</v>
      </c>
      <c r="O302" s="300" t="s">
        <v>716</v>
      </c>
      <c r="P302" s="428" t="s">
        <v>717</v>
      </c>
      <c r="Q302" s="300" t="s">
        <v>730</v>
      </c>
      <c r="R302" s="6" t="s">
        <v>76</v>
      </c>
      <c r="S302" s="301"/>
      <c r="T302" s="301"/>
      <c r="X302" s="2">
        <f t="shared" si="12"/>
        <v>0</v>
      </c>
      <c r="AA302" s="301"/>
      <c r="AB302" s="301"/>
      <c r="AC302" s="301"/>
      <c r="AE302" s="301"/>
      <c r="AF302" s="301"/>
      <c r="AG302" s="301"/>
    </row>
    <row r="303">
      <c r="E303" s="2">
        <f t="shared" si="9"/>
        <v>468</v>
      </c>
      <c r="F303" s="2">
        <f t="shared" si="10"/>
        <v>124219.91</v>
      </c>
      <c r="G303" s="2">
        <f t="shared" si="11"/>
        <v>265.4271581</v>
      </c>
      <c r="J303" s="427">
        <v>45501.0</v>
      </c>
      <c r="K303" s="300">
        <v>0.0</v>
      </c>
      <c r="L303" s="300" t="s">
        <v>686</v>
      </c>
      <c r="M303" s="300" t="s">
        <v>923</v>
      </c>
      <c r="N303" s="300">
        <v>1.0</v>
      </c>
      <c r="O303" s="300" t="s">
        <v>716</v>
      </c>
      <c r="P303" s="428" t="s">
        <v>717</v>
      </c>
      <c r="Q303" s="300" t="s">
        <v>730</v>
      </c>
      <c r="R303" s="6" t="s">
        <v>76</v>
      </c>
      <c r="S303" s="301"/>
      <c r="T303" s="301"/>
      <c r="X303" s="2">
        <f t="shared" si="12"/>
        <v>0</v>
      </c>
      <c r="AA303" s="301"/>
      <c r="AB303" s="301"/>
      <c r="AC303" s="301"/>
      <c r="AE303" s="301"/>
      <c r="AF303" s="301"/>
      <c r="AG303" s="301"/>
    </row>
    <row r="304">
      <c r="E304" s="2">
        <f t="shared" si="9"/>
        <v>468</v>
      </c>
      <c r="F304" s="2">
        <f t="shared" si="10"/>
        <v>124219.91</v>
      </c>
      <c r="G304" s="2">
        <f t="shared" si="11"/>
        <v>265.4271581</v>
      </c>
      <c r="J304" s="427">
        <v>45501.0</v>
      </c>
      <c r="K304" s="300">
        <v>2582.13</v>
      </c>
      <c r="L304" s="300" t="s">
        <v>692</v>
      </c>
      <c r="M304" s="300" t="s">
        <v>788</v>
      </c>
      <c r="N304" s="300">
        <v>24.04</v>
      </c>
      <c r="O304" s="300" t="s">
        <v>747</v>
      </c>
      <c r="P304" s="428" t="s">
        <v>717</v>
      </c>
      <c r="Q304" s="300" t="s">
        <v>924</v>
      </c>
      <c r="R304" s="6" t="s">
        <v>76</v>
      </c>
      <c r="S304" s="301"/>
      <c r="T304" s="301"/>
      <c r="X304" s="2">
        <f t="shared" si="12"/>
        <v>0</v>
      </c>
      <c r="AA304" s="301"/>
      <c r="AB304" s="301"/>
      <c r="AC304" s="301"/>
      <c r="AE304" s="301"/>
      <c r="AF304" s="301"/>
      <c r="AG304" s="301"/>
    </row>
    <row r="305">
      <c r="E305" s="2">
        <f t="shared" si="9"/>
        <v>468</v>
      </c>
      <c r="F305" s="2">
        <f t="shared" si="10"/>
        <v>121637.78</v>
      </c>
      <c r="G305" s="2">
        <f t="shared" si="11"/>
        <v>259.9097863</v>
      </c>
      <c r="J305" s="427">
        <v>45501.0</v>
      </c>
      <c r="K305" s="300">
        <v>20.0</v>
      </c>
      <c r="L305" s="300" t="s">
        <v>686</v>
      </c>
      <c r="M305" s="300" t="s">
        <v>793</v>
      </c>
      <c r="N305" s="300">
        <v>1.0</v>
      </c>
      <c r="O305" s="300" t="s">
        <v>716</v>
      </c>
      <c r="P305" s="428" t="s">
        <v>717</v>
      </c>
      <c r="Q305" s="300" t="s">
        <v>925</v>
      </c>
      <c r="R305" s="6" t="s">
        <v>76</v>
      </c>
      <c r="S305" s="301"/>
      <c r="T305" s="301"/>
      <c r="X305" s="2">
        <f t="shared" si="12"/>
        <v>0</v>
      </c>
      <c r="AA305" s="301"/>
      <c r="AB305" s="301"/>
      <c r="AC305" s="301"/>
      <c r="AE305" s="301"/>
      <c r="AF305" s="301"/>
      <c r="AG305" s="301"/>
    </row>
    <row r="306">
      <c r="E306" s="2">
        <f t="shared" si="9"/>
        <v>468</v>
      </c>
      <c r="F306" s="2">
        <f t="shared" si="10"/>
        <v>121617.78</v>
      </c>
      <c r="G306" s="2">
        <f t="shared" si="11"/>
        <v>259.8670513</v>
      </c>
      <c r="J306" s="427">
        <v>45501.0</v>
      </c>
      <c r="K306" s="300">
        <v>305.0</v>
      </c>
      <c r="L306" s="300" t="s">
        <v>686</v>
      </c>
      <c r="M306" s="300" t="s">
        <v>926</v>
      </c>
      <c r="N306" s="300">
        <v>18.0</v>
      </c>
      <c r="O306" s="300" t="s">
        <v>716</v>
      </c>
      <c r="P306" s="428" t="s">
        <v>927</v>
      </c>
      <c r="Q306" s="300" t="s">
        <v>925</v>
      </c>
      <c r="R306" s="6" t="s">
        <v>76</v>
      </c>
      <c r="S306" s="301"/>
      <c r="T306" s="301"/>
      <c r="X306" s="2">
        <f t="shared" si="12"/>
        <v>0</v>
      </c>
      <c r="AA306" s="301"/>
      <c r="AB306" s="301"/>
      <c r="AC306" s="301"/>
      <c r="AE306" s="301"/>
      <c r="AF306" s="301"/>
      <c r="AG306" s="301"/>
    </row>
    <row r="307">
      <c r="E307" s="2">
        <f t="shared" si="9"/>
        <v>468</v>
      </c>
      <c r="F307" s="2">
        <f t="shared" si="10"/>
        <v>121312.78</v>
      </c>
      <c r="G307" s="2">
        <f t="shared" si="11"/>
        <v>259.2153419</v>
      </c>
      <c r="J307" s="427">
        <v>45501.0</v>
      </c>
      <c r="K307" s="300">
        <v>180.0</v>
      </c>
      <c r="L307" s="300" t="s">
        <v>686</v>
      </c>
      <c r="M307" s="300" t="s">
        <v>928</v>
      </c>
      <c r="N307" s="300">
        <v>9.0</v>
      </c>
      <c r="O307" s="300" t="s">
        <v>716</v>
      </c>
      <c r="P307" s="428" t="s">
        <v>927</v>
      </c>
      <c r="Q307" s="300" t="s">
        <v>925</v>
      </c>
      <c r="R307" s="6" t="s">
        <v>76</v>
      </c>
      <c r="S307" s="301"/>
      <c r="T307" s="301"/>
      <c r="X307" s="2">
        <f t="shared" si="12"/>
        <v>0</v>
      </c>
      <c r="AA307" s="301"/>
      <c r="AB307" s="301"/>
      <c r="AC307" s="301"/>
      <c r="AE307" s="301"/>
      <c r="AF307" s="301"/>
      <c r="AG307" s="301"/>
    </row>
    <row r="308">
      <c r="E308" s="2">
        <f t="shared" si="9"/>
        <v>468</v>
      </c>
      <c r="F308" s="2">
        <f t="shared" si="10"/>
        <v>121132.78</v>
      </c>
      <c r="G308" s="2">
        <f t="shared" si="11"/>
        <v>258.8307265</v>
      </c>
      <c r="J308" s="427">
        <v>45501.0</v>
      </c>
      <c r="K308" s="300">
        <v>26.0</v>
      </c>
      <c r="L308" s="300" t="s">
        <v>690</v>
      </c>
      <c r="M308" s="300" t="s">
        <v>842</v>
      </c>
      <c r="N308" s="300">
        <v>2.0</v>
      </c>
      <c r="O308" s="300" t="s">
        <v>716</v>
      </c>
      <c r="P308" s="428" t="s">
        <v>927</v>
      </c>
      <c r="Q308" s="300" t="s">
        <v>925</v>
      </c>
      <c r="R308" s="6" t="s">
        <v>76</v>
      </c>
      <c r="S308" s="301"/>
      <c r="T308" s="301"/>
      <c r="X308" s="2">
        <f t="shared" si="12"/>
        <v>0</v>
      </c>
      <c r="AA308" s="301"/>
      <c r="AB308" s="301"/>
      <c r="AC308" s="301"/>
      <c r="AE308" s="301"/>
      <c r="AF308" s="301"/>
      <c r="AG308" s="301"/>
    </row>
    <row r="309">
      <c r="E309" s="2">
        <f t="shared" si="9"/>
        <v>468</v>
      </c>
      <c r="F309" s="2">
        <f t="shared" si="10"/>
        <v>121106.78</v>
      </c>
      <c r="G309" s="2">
        <f t="shared" si="11"/>
        <v>258.7751709</v>
      </c>
      <c r="J309" s="430">
        <v>45501.0</v>
      </c>
      <c r="K309" s="302">
        <v>4.0</v>
      </c>
      <c r="L309" s="302" t="s">
        <v>686</v>
      </c>
      <c r="M309" s="302" t="s">
        <v>859</v>
      </c>
      <c r="N309" s="302">
        <v>4.0</v>
      </c>
      <c r="O309" s="300" t="s">
        <v>716</v>
      </c>
      <c r="P309" s="431" t="s">
        <v>927</v>
      </c>
      <c r="Q309" s="302" t="s">
        <v>925</v>
      </c>
      <c r="R309" s="258" t="s">
        <v>76</v>
      </c>
      <c r="S309" s="301"/>
      <c r="T309" s="301"/>
      <c r="X309" s="2">
        <f t="shared" si="12"/>
        <v>0</v>
      </c>
      <c r="AA309" s="301"/>
      <c r="AB309" s="301"/>
      <c r="AC309" s="301"/>
      <c r="AE309" s="301"/>
      <c r="AF309" s="301"/>
      <c r="AG309" s="301"/>
    </row>
    <row r="310">
      <c r="E310" s="2">
        <f t="shared" si="9"/>
        <v>467</v>
      </c>
      <c r="F310" s="2">
        <f t="shared" si="10"/>
        <v>121102.78</v>
      </c>
      <c r="G310" s="2">
        <f t="shared" si="11"/>
        <v>259.3207281</v>
      </c>
      <c r="J310" s="433">
        <v>45502.0</v>
      </c>
      <c r="K310" s="296">
        <v>29.0</v>
      </c>
      <c r="L310" s="296" t="s">
        <v>695</v>
      </c>
      <c r="M310" s="296" t="s">
        <v>929</v>
      </c>
      <c r="N310" s="296">
        <v>1.0</v>
      </c>
      <c r="O310" s="296" t="s">
        <v>716</v>
      </c>
      <c r="P310" s="434" t="s">
        <v>717</v>
      </c>
      <c r="Q310" s="296" t="s">
        <v>930</v>
      </c>
      <c r="R310" s="432" t="s">
        <v>76</v>
      </c>
      <c r="S310" s="301"/>
      <c r="T310" s="301"/>
      <c r="X310" s="2">
        <f t="shared" si="12"/>
        <v>0</v>
      </c>
      <c r="AA310" s="301"/>
      <c r="AB310" s="301"/>
      <c r="AC310" s="301"/>
      <c r="AE310" s="301"/>
      <c r="AF310" s="301"/>
      <c r="AG310" s="301"/>
    </row>
    <row r="311">
      <c r="E311" s="2">
        <f t="shared" si="9"/>
        <v>465</v>
      </c>
      <c r="F311" s="2">
        <f t="shared" si="10"/>
        <v>121073.78</v>
      </c>
      <c r="G311" s="2">
        <f t="shared" si="11"/>
        <v>260.3737204</v>
      </c>
      <c r="J311" s="425">
        <v>45504.0</v>
      </c>
      <c r="K311" s="332">
        <v>98.99</v>
      </c>
      <c r="L311" s="332" t="s">
        <v>686</v>
      </c>
      <c r="M311" s="332" t="s">
        <v>931</v>
      </c>
      <c r="N311" s="332">
        <v>1.0</v>
      </c>
      <c r="O311" s="332" t="s">
        <v>747</v>
      </c>
      <c r="P311" s="426" t="s">
        <v>717</v>
      </c>
      <c r="Q311" s="332" t="s">
        <v>932</v>
      </c>
      <c r="R311" s="255" t="s">
        <v>259</v>
      </c>
      <c r="S311" s="301"/>
      <c r="T311" s="301"/>
      <c r="X311" s="2">
        <f t="shared" si="12"/>
        <v>0</v>
      </c>
      <c r="AA311" s="301"/>
      <c r="AB311" s="301"/>
      <c r="AC311" s="301"/>
      <c r="AE311" s="301"/>
      <c r="AF311" s="301"/>
      <c r="AG311" s="301"/>
    </row>
    <row r="312">
      <c r="E312" s="2">
        <f t="shared" si="9"/>
        <v>465</v>
      </c>
      <c r="F312" s="2">
        <f t="shared" si="10"/>
        <v>120974.79</v>
      </c>
      <c r="G312" s="2">
        <f t="shared" si="11"/>
        <v>260.1608387</v>
      </c>
      <c r="J312" s="427">
        <v>45504.0</v>
      </c>
      <c r="K312" s="300">
        <v>43.16</v>
      </c>
      <c r="L312" s="300" t="s">
        <v>696</v>
      </c>
      <c r="M312" s="300" t="s">
        <v>933</v>
      </c>
      <c r="N312" s="300">
        <v>30.0</v>
      </c>
      <c r="O312" s="300" t="s">
        <v>716</v>
      </c>
      <c r="P312" s="428" t="s">
        <v>717</v>
      </c>
      <c r="Q312" s="300" t="s">
        <v>932</v>
      </c>
      <c r="R312" s="6" t="s">
        <v>259</v>
      </c>
      <c r="S312" s="301"/>
      <c r="T312" s="301"/>
      <c r="X312" s="2">
        <f t="shared" si="12"/>
        <v>0</v>
      </c>
      <c r="AA312" s="301"/>
      <c r="AB312" s="301"/>
      <c r="AC312" s="301"/>
      <c r="AE312" s="301"/>
      <c r="AF312" s="301"/>
      <c r="AG312" s="301"/>
    </row>
    <row r="313">
      <c r="E313" s="2">
        <f t="shared" si="9"/>
        <v>465</v>
      </c>
      <c r="F313" s="2">
        <f t="shared" si="10"/>
        <v>120931.63</v>
      </c>
      <c r="G313" s="2">
        <f t="shared" si="11"/>
        <v>260.0680215</v>
      </c>
      <c r="J313" s="427">
        <v>45504.0</v>
      </c>
      <c r="K313" s="300">
        <v>19.8</v>
      </c>
      <c r="L313" s="300" t="s">
        <v>686</v>
      </c>
      <c r="M313" s="300" t="s">
        <v>934</v>
      </c>
      <c r="N313" s="300">
        <v>1.0</v>
      </c>
      <c r="O313" s="300" t="s">
        <v>734</v>
      </c>
      <c r="P313" s="428" t="s">
        <v>717</v>
      </c>
      <c r="Q313" s="300" t="s">
        <v>932</v>
      </c>
      <c r="R313" s="6" t="s">
        <v>259</v>
      </c>
      <c r="S313" s="301"/>
      <c r="T313" s="301"/>
      <c r="X313" s="2">
        <f t="shared" si="12"/>
        <v>0</v>
      </c>
      <c r="AA313" s="301"/>
      <c r="AB313" s="301"/>
      <c r="AC313" s="301"/>
      <c r="AE313" s="301"/>
      <c r="AF313" s="301"/>
      <c r="AG313" s="301"/>
    </row>
    <row r="314">
      <c r="E314" s="2">
        <f t="shared" si="9"/>
        <v>465</v>
      </c>
      <c r="F314" s="2">
        <f t="shared" si="10"/>
        <v>120911.83</v>
      </c>
      <c r="G314" s="2">
        <f t="shared" si="11"/>
        <v>260.0254409</v>
      </c>
      <c r="J314" s="427">
        <v>45504.0</v>
      </c>
      <c r="K314" s="300">
        <v>900.0</v>
      </c>
      <c r="L314" s="300" t="s">
        <v>690</v>
      </c>
      <c r="M314" s="300" t="s">
        <v>935</v>
      </c>
      <c r="N314" s="300">
        <v>90.0</v>
      </c>
      <c r="O314" s="300" t="s">
        <v>716</v>
      </c>
      <c r="P314" s="428" t="s">
        <v>717</v>
      </c>
      <c r="Q314" s="300" t="s">
        <v>932</v>
      </c>
      <c r="R314" s="6" t="s">
        <v>259</v>
      </c>
      <c r="S314" s="301"/>
      <c r="T314" s="301"/>
      <c r="X314" s="2">
        <f t="shared" si="12"/>
        <v>0</v>
      </c>
      <c r="AA314" s="301"/>
      <c r="AB314" s="301"/>
      <c r="AC314" s="301"/>
      <c r="AE314" s="301"/>
      <c r="AF314" s="301"/>
      <c r="AG314" s="301"/>
    </row>
    <row r="315">
      <c r="E315" s="2">
        <f t="shared" si="9"/>
        <v>465</v>
      </c>
      <c r="F315" s="2">
        <f t="shared" si="10"/>
        <v>120011.83</v>
      </c>
      <c r="G315" s="2">
        <f t="shared" si="11"/>
        <v>258.089957</v>
      </c>
      <c r="J315" s="427">
        <v>45504.0</v>
      </c>
      <c r="K315" s="300">
        <v>51.3</v>
      </c>
      <c r="L315" s="300" t="s">
        <v>686</v>
      </c>
      <c r="M315" s="300" t="s">
        <v>936</v>
      </c>
      <c r="N315" s="300">
        <v>1.0</v>
      </c>
      <c r="O315" s="300" t="s">
        <v>734</v>
      </c>
      <c r="P315" s="428" t="s">
        <v>717</v>
      </c>
      <c r="Q315" s="300" t="s">
        <v>932</v>
      </c>
      <c r="R315" s="6" t="s">
        <v>259</v>
      </c>
      <c r="S315" s="301"/>
      <c r="T315" s="301"/>
      <c r="X315" s="2">
        <f t="shared" si="12"/>
        <v>0</v>
      </c>
      <c r="AA315" s="301"/>
      <c r="AB315" s="301"/>
      <c r="AC315" s="301"/>
      <c r="AE315" s="301"/>
      <c r="AF315" s="301"/>
      <c r="AG315" s="301"/>
    </row>
    <row r="316">
      <c r="E316" s="2">
        <f t="shared" si="9"/>
        <v>465</v>
      </c>
      <c r="F316" s="2">
        <f t="shared" si="10"/>
        <v>119960.53</v>
      </c>
      <c r="G316" s="2">
        <f t="shared" si="11"/>
        <v>257.9796344</v>
      </c>
      <c r="J316" s="427">
        <v>45504.0</v>
      </c>
      <c r="K316" s="300">
        <v>15.3</v>
      </c>
      <c r="L316" s="300" t="s">
        <v>686</v>
      </c>
      <c r="M316" s="300" t="s">
        <v>937</v>
      </c>
      <c r="N316" s="300">
        <v>50.0</v>
      </c>
      <c r="O316" s="300" t="s">
        <v>745</v>
      </c>
      <c r="P316" s="428" t="s">
        <v>717</v>
      </c>
      <c r="Q316" s="300" t="s">
        <v>932</v>
      </c>
      <c r="R316" s="6" t="s">
        <v>259</v>
      </c>
      <c r="S316" s="301"/>
      <c r="T316" s="301"/>
      <c r="X316" s="2">
        <f t="shared" si="12"/>
        <v>0</v>
      </c>
      <c r="AA316" s="301"/>
      <c r="AB316" s="301"/>
      <c r="AC316" s="301"/>
      <c r="AE316" s="301"/>
      <c r="AF316" s="301"/>
      <c r="AG316" s="301"/>
    </row>
    <row r="317">
      <c r="E317" s="2">
        <f t="shared" si="9"/>
        <v>465</v>
      </c>
      <c r="F317" s="2">
        <f t="shared" si="10"/>
        <v>119945.23</v>
      </c>
      <c r="G317" s="2">
        <f t="shared" si="11"/>
        <v>257.9467312</v>
      </c>
      <c r="J317" s="427">
        <v>45504.0</v>
      </c>
      <c r="K317" s="300">
        <v>44.1</v>
      </c>
      <c r="L317" s="300" t="s">
        <v>686</v>
      </c>
      <c r="M317" s="300" t="s">
        <v>938</v>
      </c>
      <c r="N317" s="300">
        <v>200.0</v>
      </c>
      <c r="O317" s="300" t="s">
        <v>745</v>
      </c>
      <c r="P317" s="428" t="s">
        <v>717</v>
      </c>
      <c r="Q317" s="300" t="s">
        <v>932</v>
      </c>
      <c r="R317" s="6" t="s">
        <v>259</v>
      </c>
      <c r="S317" s="301"/>
      <c r="T317" s="301"/>
      <c r="X317" s="2">
        <f t="shared" si="12"/>
        <v>0</v>
      </c>
      <c r="AA317" s="301"/>
      <c r="AB317" s="301"/>
      <c r="AC317" s="301"/>
      <c r="AE317" s="301"/>
      <c r="AF317" s="301"/>
      <c r="AG317" s="301"/>
    </row>
    <row r="318">
      <c r="E318" s="2">
        <f t="shared" si="9"/>
        <v>465</v>
      </c>
      <c r="F318" s="2">
        <f t="shared" si="10"/>
        <v>119901.13</v>
      </c>
      <c r="G318" s="2">
        <f t="shared" si="11"/>
        <v>257.8518925</v>
      </c>
      <c r="J318" s="427">
        <v>45504.0</v>
      </c>
      <c r="K318" s="300">
        <v>198.0</v>
      </c>
      <c r="L318" s="300" t="s">
        <v>686</v>
      </c>
      <c r="M318" s="300" t="s">
        <v>939</v>
      </c>
      <c r="N318" s="300">
        <v>30.0</v>
      </c>
      <c r="O318" s="300" t="s">
        <v>716</v>
      </c>
      <c r="P318" s="428" t="s">
        <v>717</v>
      </c>
      <c r="Q318" s="300" t="s">
        <v>932</v>
      </c>
      <c r="R318" s="6" t="s">
        <v>259</v>
      </c>
      <c r="S318" s="301"/>
      <c r="T318" s="301"/>
      <c r="X318" s="2">
        <f t="shared" si="12"/>
        <v>0</v>
      </c>
      <c r="AA318" s="301"/>
      <c r="AB318" s="301"/>
      <c r="AC318" s="301"/>
      <c r="AE318" s="301"/>
      <c r="AF318" s="301"/>
      <c r="AG318" s="301"/>
    </row>
    <row r="319">
      <c r="E319" s="2">
        <f t="shared" si="9"/>
        <v>465</v>
      </c>
      <c r="F319" s="2">
        <f t="shared" si="10"/>
        <v>119703.13</v>
      </c>
      <c r="G319" s="2">
        <f t="shared" si="11"/>
        <v>257.426086</v>
      </c>
      <c r="J319" s="427">
        <v>45504.0</v>
      </c>
      <c r="K319" s="300">
        <v>37.8</v>
      </c>
      <c r="L319" s="300" t="s">
        <v>686</v>
      </c>
      <c r="M319" s="300" t="s">
        <v>940</v>
      </c>
      <c r="N319" s="300">
        <v>500.0</v>
      </c>
      <c r="O319" s="300" t="s">
        <v>745</v>
      </c>
      <c r="P319" s="428" t="s">
        <v>717</v>
      </c>
      <c r="Q319" s="300" t="s">
        <v>932</v>
      </c>
      <c r="R319" s="6" t="s">
        <v>259</v>
      </c>
      <c r="S319" s="301"/>
      <c r="T319" s="301"/>
      <c r="X319" s="2">
        <f t="shared" si="12"/>
        <v>0</v>
      </c>
      <c r="AA319" s="301"/>
      <c r="AB319" s="301"/>
      <c r="AC319" s="301"/>
      <c r="AE319" s="301"/>
      <c r="AF319" s="301"/>
      <c r="AG319" s="301"/>
    </row>
    <row r="320">
      <c r="E320" s="2">
        <f t="shared" si="9"/>
        <v>465</v>
      </c>
      <c r="F320" s="2">
        <f t="shared" si="10"/>
        <v>119665.33</v>
      </c>
      <c r="G320" s="2">
        <f t="shared" si="11"/>
        <v>257.3447957</v>
      </c>
      <c r="J320" s="427">
        <v>45504.0</v>
      </c>
      <c r="K320" s="300">
        <v>1.0</v>
      </c>
      <c r="L320" s="300" t="s">
        <v>686</v>
      </c>
      <c r="M320" s="300" t="s">
        <v>941</v>
      </c>
      <c r="N320" s="300">
        <v>1.0</v>
      </c>
      <c r="O320" s="300" t="s">
        <v>734</v>
      </c>
      <c r="P320" s="428" t="s">
        <v>717</v>
      </c>
      <c r="Q320" s="300" t="s">
        <v>932</v>
      </c>
      <c r="R320" s="6" t="s">
        <v>259</v>
      </c>
      <c r="S320" s="301"/>
      <c r="T320" s="301"/>
      <c r="X320" s="2">
        <f t="shared" si="12"/>
        <v>0</v>
      </c>
      <c r="AA320" s="301"/>
      <c r="AB320" s="301"/>
      <c r="AC320" s="301"/>
      <c r="AE320" s="301"/>
      <c r="AF320" s="301"/>
      <c r="AG320" s="301"/>
    </row>
    <row r="321">
      <c r="E321" s="2">
        <f t="shared" si="9"/>
        <v>465</v>
      </c>
      <c r="F321" s="2">
        <f t="shared" si="10"/>
        <v>119664.33</v>
      </c>
      <c r="G321" s="2">
        <f t="shared" si="11"/>
        <v>257.3426452</v>
      </c>
      <c r="J321" s="427">
        <v>45504.0</v>
      </c>
      <c r="K321" s="300">
        <v>345.6</v>
      </c>
      <c r="L321" s="300" t="s">
        <v>686</v>
      </c>
      <c r="M321" s="300" t="s">
        <v>942</v>
      </c>
      <c r="N321" s="300">
        <v>1.5</v>
      </c>
      <c r="O321" s="300" t="s">
        <v>734</v>
      </c>
      <c r="P321" s="428" t="s">
        <v>717</v>
      </c>
      <c r="Q321" s="300" t="s">
        <v>932</v>
      </c>
      <c r="R321" s="6" t="s">
        <v>259</v>
      </c>
      <c r="S321" s="301"/>
      <c r="T321" s="301"/>
      <c r="X321" s="2">
        <f t="shared" si="12"/>
        <v>0</v>
      </c>
      <c r="AA321" s="301"/>
      <c r="AB321" s="301"/>
      <c r="AC321" s="301"/>
      <c r="AE321" s="301"/>
      <c r="AF321" s="301"/>
      <c r="AG321" s="301"/>
    </row>
    <row r="322">
      <c r="E322" s="2">
        <f t="shared" si="9"/>
        <v>465</v>
      </c>
      <c r="F322" s="2">
        <f t="shared" si="10"/>
        <v>119318.73</v>
      </c>
      <c r="G322" s="2">
        <f t="shared" si="11"/>
        <v>256.5994194</v>
      </c>
      <c r="J322" s="427">
        <v>45504.0</v>
      </c>
      <c r="K322" s="300">
        <v>45.0</v>
      </c>
      <c r="L322" s="300" t="s">
        <v>686</v>
      </c>
      <c r="M322" s="300" t="s">
        <v>943</v>
      </c>
      <c r="N322" s="300">
        <v>400.0</v>
      </c>
      <c r="O322" s="300" t="s">
        <v>745</v>
      </c>
      <c r="P322" s="428" t="s">
        <v>717</v>
      </c>
      <c r="Q322" s="300" t="s">
        <v>932</v>
      </c>
      <c r="R322" s="6" t="s">
        <v>259</v>
      </c>
      <c r="S322" s="301"/>
      <c r="T322" s="301"/>
      <c r="X322" s="2">
        <f t="shared" si="12"/>
        <v>0</v>
      </c>
      <c r="AA322" s="301"/>
      <c r="AB322" s="301"/>
      <c r="AC322" s="301"/>
      <c r="AE322" s="301"/>
      <c r="AF322" s="301"/>
      <c r="AG322" s="301"/>
    </row>
    <row r="323">
      <c r="E323" s="2">
        <f t="shared" si="9"/>
        <v>465</v>
      </c>
      <c r="F323" s="2">
        <f t="shared" si="10"/>
        <v>119273.73</v>
      </c>
      <c r="G323" s="2">
        <f t="shared" si="11"/>
        <v>256.5026452</v>
      </c>
      <c r="J323" s="430">
        <v>45504.0</v>
      </c>
      <c r="K323" s="302">
        <v>6.1</v>
      </c>
      <c r="L323" s="302" t="s">
        <v>686</v>
      </c>
      <c r="M323" s="302" t="s">
        <v>922</v>
      </c>
      <c r="N323" s="302">
        <v>1.0</v>
      </c>
      <c r="O323" s="302" t="s">
        <v>716</v>
      </c>
      <c r="P323" s="431" t="s">
        <v>717</v>
      </c>
      <c r="Q323" s="302" t="s">
        <v>932</v>
      </c>
      <c r="R323" s="258" t="s">
        <v>259</v>
      </c>
      <c r="S323" s="301"/>
      <c r="T323" s="301"/>
      <c r="X323" s="2">
        <f t="shared" si="12"/>
        <v>0</v>
      </c>
      <c r="AA323" s="301"/>
      <c r="AB323" s="301"/>
      <c r="AC323" s="301"/>
      <c r="AE323" s="301"/>
      <c r="AF323" s="301"/>
      <c r="AG323" s="301"/>
    </row>
    <row r="324">
      <c r="E324" s="2">
        <f t="shared" si="9"/>
        <v>463</v>
      </c>
      <c r="F324" s="2">
        <f t="shared" si="10"/>
        <v>119267.63</v>
      </c>
      <c r="G324" s="2">
        <f t="shared" si="11"/>
        <v>257.597473</v>
      </c>
      <c r="J324" s="433">
        <v>45506.0</v>
      </c>
      <c r="K324" s="296">
        <v>1007.3</v>
      </c>
      <c r="L324" s="296" t="s">
        <v>690</v>
      </c>
      <c r="M324" s="296" t="s">
        <v>920</v>
      </c>
      <c r="N324" s="296">
        <v>100.0</v>
      </c>
      <c r="O324" s="296" t="s">
        <v>716</v>
      </c>
      <c r="P324" s="434" t="s">
        <v>717</v>
      </c>
      <c r="Q324" s="296" t="s">
        <v>932</v>
      </c>
      <c r="R324" s="432" t="s">
        <v>259</v>
      </c>
      <c r="S324" s="301"/>
      <c r="T324" s="301"/>
      <c r="X324" s="2">
        <f t="shared" si="12"/>
        <v>0</v>
      </c>
      <c r="AA324" s="301"/>
      <c r="AB324" s="301"/>
      <c r="AC324" s="301"/>
      <c r="AE324" s="301"/>
      <c r="AF324" s="301"/>
      <c r="AG324" s="301"/>
    </row>
    <row r="325">
      <c r="E325" s="2">
        <f t="shared" si="9"/>
        <v>462</v>
      </c>
      <c r="F325" s="2">
        <f t="shared" si="10"/>
        <v>118260.33</v>
      </c>
      <c r="G325" s="2">
        <f t="shared" si="11"/>
        <v>255.9747403</v>
      </c>
      <c r="J325" s="427">
        <v>45507.0</v>
      </c>
      <c r="K325" s="300">
        <v>794.0</v>
      </c>
      <c r="L325" s="300" t="s">
        <v>686</v>
      </c>
      <c r="M325" s="300" t="s">
        <v>915</v>
      </c>
      <c r="N325" s="300">
        <v>1.0</v>
      </c>
      <c r="O325" s="300" t="s">
        <v>716</v>
      </c>
      <c r="P325" s="428" t="s">
        <v>727</v>
      </c>
      <c r="Q325" s="300" t="s">
        <v>881</v>
      </c>
      <c r="R325" s="6" t="s">
        <v>76</v>
      </c>
      <c r="S325" s="301"/>
      <c r="T325" s="301"/>
      <c r="X325" s="2">
        <f t="shared" si="12"/>
        <v>0</v>
      </c>
      <c r="AA325" s="301"/>
      <c r="AB325" s="301"/>
      <c r="AC325" s="301"/>
      <c r="AE325" s="301"/>
      <c r="AF325" s="301"/>
      <c r="AG325" s="301"/>
    </row>
    <row r="326">
      <c r="E326" s="2">
        <f t="shared" si="9"/>
        <v>462</v>
      </c>
      <c r="F326" s="2">
        <f t="shared" si="10"/>
        <v>117466.33</v>
      </c>
      <c r="G326" s="2">
        <f t="shared" si="11"/>
        <v>254.2561255</v>
      </c>
      <c r="J326" s="427">
        <v>45507.0</v>
      </c>
      <c r="K326" s="300">
        <v>406.36</v>
      </c>
      <c r="L326" s="300" t="s">
        <v>686</v>
      </c>
      <c r="M326" s="300" t="s">
        <v>926</v>
      </c>
      <c r="N326" s="300">
        <v>1.0</v>
      </c>
      <c r="O326" s="300" t="s">
        <v>716</v>
      </c>
      <c r="P326" s="428" t="s">
        <v>944</v>
      </c>
      <c r="Q326" s="300" t="s">
        <v>945</v>
      </c>
      <c r="R326" s="6" t="s">
        <v>76</v>
      </c>
      <c r="S326" s="301"/>
      <c r="T326" s="301"/>
      <c r="X326" s="2">
        <f t="shared" si="12"/>
        <v>0</v>
      </c>
      <c r="AA326" s="301"/>
      <c r="AB326" s="301"/>
      <c r="AC326" s="301"/>
      <c r="AE326" s="301"/>
      <c r="AF326" s="301"/>
      <c r="AG326" s="301"/>
    </row>
    <row r="327">
      <c r="E327" s="2">
        <f t="shared" si="9"/>
        <v>462</v>
      </c>
      <c r="F327" s="2">
        <f t="shared" si="10"/>
        <v>117059.97</v>
      </c>
      <c r="G327" s="2">
        <f t="shared" si="11"/>
        <v>253.3765584</v>
      </c>
      <c r="J327" s="427">
        <v>45507.0</v>
      </c>
      <c r="K327" s="300">
        <v>360.0</v>
      </c>
      <c r="L327" s="300" t="s">
        <v>688</v>
      </c>
      <c r="M327" s="300" t="s">
        <v>913</v>
      </c>
      <c r="N327" s="300">
        <v>360.0</v>
      </c>
      <c r="O327" s="300" t="s">
        <v>712</v>
      </c>
      <c r="P327" s="428" t="s">
        <v>771</v>
      </c>
      <c r="Q327" s="300" t="s">
        <v>714</v>
      </c>
      <c r="R327" s="6" t="s">
        <v>76</v>
      </c>
      <c r="S327" s="301"/>
      <c r="T327" s="301"/>
      <c r="X327" s="2">
        <f t="shared" si="12"/>
        <v>0</v>
      </c>
      <c r="AA327" s="301"/>
      <c r="AB327" s="301"/>
      <c r="AC327" s="301"/>
      <c r="AE327" s="301"/>
      <c r="AF327" s="301"/>
      <c r="AG327" s="301"/>
    </row>
    <row r="328">
      <c r="E328" s="2">
        <f t="shared" si="9"/>
        <v>462</v>
      </c>
      <c r="F328" s="2">
        <f t="shared" si="10"/>
        <v>116699.97</v>
      </c>
      <c r="G328" s="2">
        <f t="shared" si="11"/>
        <v>252.5973377</v>
      </c>
      <c r="J328" s="427">
        <v>45507.0</v>
      </c>
      <c r="K328" s="300">
        <v>118.0</v>
      </c>
      <c r="L328" s="300" t="s">
        <v>686</v>
      </c>
      <c r="M328" s="300" t="s">
        <v>946</v>
      </c>
      <c r="N328" s="300">
        <v>1.0</v>
      </c>
      <c r="O328" s="300" t="s">
        <v>716</v>
      </c>
      <c r="P328" s="428" t="s">
        <v>944</v>
      </c>
      <c r="Q328" s="300" t="s">
        <v>947</v>
      </c>
      <c r="R328" s="6" t="s">
        <v>76</v>
      </c>
      <c r="S328" s="301"/>
      <c r="T328" s="301"/>
      <c r="X328" s="2">
        <f t="shared" si="12"/>
        <v>0</v>
      </c>
      <c r="AA328" s="301"/>
      <c r="AB328" s="301"/>
      <c r="AC328" s="301"/>
      <c r="AE328" s="301"/>
      <c r="AF328" s="301"/>
      <c r="AG328" s="301"/>
    </row>
    <row r="329">
      <c r="E329" s="2">
        <f t="shared" si="9"/>
        <v>462</v>
      </c>
      <c r="F329" s="2">
        <f t="shared" si="10"/>
        <v>116581.97</v>
      </c>
      <c r="G329" s="2">
        <f t="shared" si="11"/>
        <v>252.3419264</v>
      </c>
      <c r="J329" s="427">
        <v>45507.0</v>
      </c>
      <c r="K329" s="300">
        <v>350.0</v>
      </c>
      <c r="L329" s="300" t="s">
        <v>686</v>
      </c>
      <c r="M329" s="300" t="s">
        <v>948</v>
      </c>
      <c r="N329" s="300">
        <v>1.0</v>
      </c>
      <c r="O329" s="300" t="s">
        <v>716</v>
      </c>
      <c r="P329" s="428" t="s">
        <v>944</v>
      </c>
      <c r="Q329" s="300" t="s">
        <v>949</v>
      </c>
      <c r="R329" s="6" t="s">
        <v>259</v>
      </c>
      <c r="S329" s="301"/>
      <c r="T329" s="301"/>
      <c r="X329" s="2">
        <f t="shared" si="12"/>
        <v>0</v>
      </c>
      <c r="AA329" s="301"/>
      <c r="AB329" s="301"/>
      <c r="AC329" s="301"/>
      <c r="AE329" s="301"/>
      <c r="AF329" s="301"/>
      <c r="AG329" s="301"/>
    </row>
    <row r="330">
      <c r="E330" s="2">
        <f t="shared" si="9"/>
        <v>462</v>
      </c>
      <c r="F330" s="2">
        <f t="shared" si="10"/>
        <v>116231.97</v>
      </c>
      <c r="G330" s="2">
        <f t="shared" si="11"/>
        <v>251.5843506</v>
      </c>
      <c r="J330" s="430">
        <v>45507.0</v>
      </c>
      <c r="K330" s="302">
        <v>649.0</v>
      </c>
      <c r="L330" s="302" t="s">
        <v>686</v>
      </c>
      <c r="M330" s="302" t="s">
        <v>950</v>
      </c>
      <c r="N330" s="302">
        <v>1.0</v>
      </c>
      <c r="O330" s="302" t="s">
        <v>716</v>
      </c>
      <c r="P330" s="431" t="s">
        <v>944</v>
      </c>
      <c r="Q330" s="302" t="s">
        <v>949</v>
      </c>
      <c r="R330" s="258" t="s">
        <v>259</v>
      </c>
      <c r="S330" s="301"/>
      <c r="T330" s="301"/>
      <c r="X330" s="2">
        <f t="shared" si="12"/>
        <v>0</v>
      </c>
      <c r="AA330" s="301"/>
      <c r="AB330" s="301"/>
      <c r="AC330" s="301"/>
      <c r="AE330" s="301"/>
      <c r="AF330" s="301"/>
      <c r="AG330" s="301"/>
    </row>
    <row r="331">
      <c r="E331" s="2">
        <f t="shared" si="9"/>
        <v>461</v>
      </c>
      <c r="F331" s="2">
        <f t="shared" si="10"/>
        <v>115582.97</v>
      </c>
      <c r="G331" s="2">
        <f t="shared" si="11"/>
        <v>250.7222777</v>
      </c>
      <c r="J331" s="427">
        <v>45508.0</v>
      </c>
      <c r="K331" s="300">
        <v>500.0</v>
      </c>
      <c r="L331" s="300" t="s">
        <v>696</v>
      </c>
      <c r="M331" s="300" t="s">
        <v>951</v>
      </c>
      <c r="N331" s="300">
        <v>2.0</v>
      </c>
      <c r="O331" s="300" t="s">
        <v>716</v>
      </c>
      <c r="P331" s="428" t="s">
        <v>645</v>
      </c>
      <c r="Q331" s="300" t="s">
        <v>952</v>
      </c>
      <c r="R331" s="6" t="s">
        <v>76</v>
      </c>
      <c r="S331" s="301"/>
      <c r="T331" s="301"/>
      <c r="X331" s="2">
        <f t="shared" si="12"/>
        <v>0</v>
      </c>
      <c r="AA331" s="301"/>
      <c r="AB331" s="301"/>
      <c r="AC331" s="301"/>
      <c r="AE331" s="301"/>
      <c r="AF331" s="301"/>
      <c r="AG331" s="301"/>
    </row>
    <row r="332">
      <c r="E332" s="2">
        <f t="shared" si="9"/>
        <v>461</v>
      </c>
      <c r="F332" s="2">
        <f t="shared" si="10"/>
        <v>115082.97</v>
      </c>
      <c r="G332" s="2">
        <f t="shared" si="11"/>
        <v>249.637679</v>
      </c>
      <c r="J332" s="427">
        <v>45508.0</v>
      </c>
      <c r="K332" s="300">
        <v>296.0</v>
      </c>
      <c r="L332" s="300" t="s">
        <v>686</v>
      </c>
      <c r="M332" s="300" t="s">
        <v>953</v>
      </c>
      <c r="N332" s="300">
        <v>3.0</v>
      </c>
      <c r="O332" s="300" t="s">
        <v>716</v>
      </c>
      <c r="P332" s="428" t="s">
        <v>944</v>
      </c>
      <c r="Q332" s="300" t="s">
        <v>954</v>
      </c>
      <c r="R332" s="6" t="s">
        <v>76</v>
      </c>
      <c r="S332" s="301"/>
      <c r="T332" s="301"/>
      <c r="X332" s="2">
        <f t="shared" si="12"/>
        <v>0</v>
      </c>
      <c r="AA332" s="301"/>
      <c r="AB332" s="301"/>
      <c r="AC332" s="301"/>
      <c r="AE332" s="301"/>
      <c r="AF332" s="301"/>
      <c r="AG332" s="301"/>
    </row>
    <row r="333">
      <c r="E333" s="2">
        <f t="shared" si="9"/>
        <v>461</v>
      </c>
      <c r="F333" s="2">
        <f t="shared" si="10"/>
        <v>114786.97</v>
      </c>
      <c r="G333" s="2">
        <f t="shared" si="11"/>
        <v>248.9955965</v>
      </c>
      <c r="J333" s="427">
        <v>45508.0</v>
      </c>
      <c r="K333" s="300">
        <v>102.0</v>
      </c>
      <c r="L333" s="300" t="s">
        <v>690</v>
      </c>
      <c r="M333" s="300" t="s">
        <v>908</v>
      </c>
      <c r="N333" s="300">
        <v>10.0</v>
      </c>
      <c r="O333" s="300" t="s">
        <v>716</v>
      </c>
      <c r="P333" s="428" t="s">
        <v>717</v>
      </c>
      <c r="Q333" s="300" t="s">
        <v>955</v>
      </c>
      <c r="R333" s="6" t="s">
        <v>76</v>
      </c>
      <c r="S333" s="301"/>
      <c r="T333" s="301"/>
      <c r="X333" s="2">
        <f t="shared" si="12"/>
        <v>0</v>
      </c>
      <c r="AA333" s="301"/>
      <c r="AB333" s="301"/>
      <c r="AC333" s="301"/>
      <c r="AE333" s="301"/>
      <c r="AF333" s="301"/>
      <c r="AG333" s="301"/>
    </row>
    <row r="334">
      <c r="E334" s="2">
        <f t="shared" si="9"/>
        <v>461</v>
      </c>
      <c r="F334" s="2">
        <f t="shared" si="10"/>
        <v>114684.97</v>
      </c>
      <c r="G334" s="2">
        <f t="shared" si="11"/>
        <v>248.7743384</v>
      </c>
      <c r="J334" s="427">
        <v>45508.0</v>
      </c>
      <c r="K334" s="300">
        <v>24.0</v>
      </c>
      <c r="L334" s="300" t="s">
        <v>686</v>
      </c>
      <c r="M334" s="300" t="s">
        <v>725</v>
      </c>
      <c r="N334" s="300">
        <v>3.0</v>
      </c>
      <c r="O334" s="300" t="s">
        <v>716</v>
      </c>
      <c r="P334" s="428" t="s">
        <v>717</v>
      </c>
      <c r="Q334" s="300" t="s">
        <v>955</v>
      </c>
      <c r="R334" s="6" t="s">
        <v>76</v>
      </c>
      <c r="S334" s="301"/>
      <c r="T334" s="301"/>
      <c r="X334" s="2">
        <f t="shared" si="12"/>
        <v>0</v>
      </c>
      <c r="AA334" s="301"/>
      <c r="AB334" s="301"/>
      <c r="AC334" s="301"/>
      <c r="AE334" s="301"/>
      <c r="AF334" s="301"/>
      <c r="AG334" s="301"/>
    </row>
    <row r="335">
      <c r="E335" s="2">
        <f t="shared" si="9"/>
        <v>461</v>
      </c>
      <c r="F335" s="2">
        <f t="shared" si="10"/>
        <v>114660.97</v>
      </c>
      <c r="G335" s="2">
        <f t="shared" si="11"/>
        <v>248.7222777</v>
      </c>
      <c r="J335" s="427">
        <v>45508.0</v>
      </c>
      <c r="K335" s="300">
        <v>240.0</v>
      </c>
      <c r="L335" s="300" t="s">
        <v>686</v>
      </c>
      <c r="M335" s="300" t="s">
        <v>956</v>
      </c>
      <c r="N335" s="300">
        <v>2.0</v>
      </c>
      <c r="O335" s="300" t="s">
        <v>716</v>
      </c>
      <c r="P335" s="428" t="s">
        <v>944</v>
      </c>
      <c r="Q335" s="300" t="s">
        <v>955</v>
      </c>
      <c r="R335" s="6" t="s">
        <v>76</v>
      </c>
      <c r="S335" s="301"/>
      <c r="T335" s="301"/>
      <c r="X335" s="2">
        <f t="shared" si="12"/>
        <v>0</v>
      </c>
      <c r="AA335" s="301"/>
      <c r="AB335" s="301"/>
      <c r="AC335" s="301"/>
      <c r="AE335" s="301"/>
      <c r="AF335" s="301"/>
      <c r="AG335" s="301"/>
    </row>
    <row r="336">
      <c r="E336" s="2">
        <f t="shared" si="9"/>
        <v>461</v>
      </c>
      <c r="F336" s="2">
        <f t="shared" si="10"/>
        <v>114420.97</v>
      </c>
      <c r="G336" s="2">
        <f t="shared" si="11"/>
        <v>248.2016703</v>
      </c>
      <c r="J336" s="427">
        <v>45508.0</v>
      </c>
      <c r="K336" s="300">
        <v>25.0</v>
      </c>
      <c r="L336" s="300" t="s">
        <v>686</v>
      </c>
      <c r="M336" s="300" t="s">
        <v>957</v>
      </c>
      <c r="N336" s="300">
        <v>1.0</v>
      </c>
      <c r="O336" s="300" t="s">
        <v>716</v>
      </c>
      <c r="P336" s="428" t="s">
        <v>944</v>
      </c>
      <c r="Q336" s="300" t="s">
        <v>958</v>
      </c>
      <c r="R336" s="6" t="s">
        <v>76</v>
      </c>
      <c r="S336" s="301"/>
      <c r="T336" s="301"/>
      <c r="X336" s="2">
        <f t="shared" si="12"/>
        <v>0</v>
      </c>
      <c r="AA336" s="301"/>
      <c r="AB336" s="301"/>
      <c r="AC336" s="301"/>
      <c r="AE336" s="301"/>
      <c r="AF336" s="301"/>
      <c r="AG336" s="301"/>
    </row>
    <row r="337">
      <c r="E337" s="2">
        <f t="shared" si="9"/>
        <v>461</v>
      </c>
      <c r="F337" s="2">
        <f t="shared" si="10"/>
        <v>114395.97</v>
      </c>
      <c r="G337" s="2">
        <f t="shared" si="11"/>
        <v>248.1474403</v>
      </c>
      <c r="J337" s="430">
        <v>45508.0</v>
      </c>
      <c r="K337" s="302">
        <v>1327.44</v>
      </c>
      <c r="L337" s="302" t="s">
        <v>695</v>
      </c>
      <c r="M337" s="302" t="s">
        <v>959</v>
      </c>
      <c r="N337" s="302">
        <v>3.0</v>
      </c>
      <c r="O337" s="302" t="s">
        <v>716</v>
      </c>
      <c r="P337" s="431" t="s">
        <v>944</v>
      </c>
      <c r="Q337" s="302" t="s">
        <v>960</v>
      </c>
      <c r="R337" s="258" t="s">
        <v>687</v>
      </c>
      <c r="S337" s="301"/>
      <c r="T337" s="301"/>
      <c r="X337" s="2">
        <f t="shared" si="12"/>
        <v>0</v>
      </c>
      <c r="AA337" s="301"/>
      <c r="AB337" s="301"/>
      <c r="AC337" s="301"/>
      <c r="AE337" s="301"/>
      <c r="AF337" s="301"/>
      <c r="AG337" s="301"/>
    </row>
    <row r="338">
      <c r="E338" s="2">
        <f t="shared" si="9"/>
        <v>459</v>
      </c>
      <c r="F338" s="2">
        <f t="shared" si="10"/>
        <v>113068.53</v>
      </c>
      <c r="G338" s="2">
        <f t="shared" si="11"/>
        <v>246.3366667</v>
      </c>
      <c r="J338" s="427">
        <v>45510.0</v>
      </c>
      <c r="K338" s="300">
        <v>1000.0</v>
      </c>
      <c r="L338" s="300" t="s">
        <v>690</v>
      </c>
      <c r="M338" s="300" t="s">
        <v>920</v>
      </c>
      <c r="N338" s="300">
        <v>100.0</v>
      </c>
      <c r="O338" s="300" t="s">
        <v>716</v>
      </c>
      <c r="P338" s="428" t="s">
        <v>717</v>
      </c>
      <c r="Q338" s="300" t="s">
        <v>945</v>
      </c>
      <c r="R338" s="6" t="s">
        <v>76</v>
      </c>
      <c r="S338" s="301"/>
      <c r="T338" s="301"/>
      <c r="X338" s="2">
        <f t="shared" si="12"/>
        <v>0</v>
      </c>
      <c r="AA338" s="301"/>
      <c r="AB338" s="301"/>
      <c r="AC338" s="301"/>
      <c r="AE338" s="301"/>
      <c r="AF338" s="301"/>
      <c r="AG338" s="301"/>
    </row>
    <row r="339">
      <c r="E339" s="2">
        <f t="shared" si="9"/>
        <v>459</v>
      </c>
      <c r="F339" s="2">
        <f t="shared" si="10"/>
        <v>112068.53</v>
      </c>
      <c r="G339" s="2">
        <f t="shared" si="11"/>
        <v>244.1580174</v>
      </c>
      <c r="J339" s="430">
        <v>45510.0</v>
      </c>
      <c r="K339" s="302">
        <v>176.13</v>
      </c>
      <c r="L339" s="302" t="s">
        <v>686</v>
      </c>
      <c r="M339" s="302" t="s">
        <v>926</v>
      </c>
      <c r="N339" s="302">
        <v>2.0</v>
      </c>
      <c r="O339" s="302" t="s">
        <v>716</v>
      </c>
      <c r="P339" s="431" t="s">
        <v>717</v>
      </c>
      <c r="Q339" s="302" t="s">
        <v>945</v>
      </c>
      <c r="R339" s="258" t="s">
        <v>76</v>
      </c>
      <c r="S339" s="301"/>
      <c r="T339" s="301"/>
      <c r="X339" s="2">
        <f t="shared" si="12"/>
        <v>0</v>
      </c>
      <c r="AA339" s="301"/>
      <c r="AB339" s="301"/>
      <c r="AC339" s="301"/>
      <c r="AE339" s="301"/>
      <c r="AF339" s="301"/>
      <c r="AG339" s="301"/>
    </row>
    <row r="340">
      <c r="E340" s="2">
        <f t="shared" si="9"/>
        <v>457</v>
      </c>
      <c r="F340" s="2">
        <f t="shared" si="10"/>
        <v>111892.4</v>
      </c>
      <c r="G340" s="2">
        <f t="shared" si="11"/>
        <v>244.8411379</v>
      </c>
      <c r="J340" s="427">
        <v>45512.0</v>
      </c>
      <c r="K340" s="300">
        <v>400.0</v>
      </c>
      <c r="L340" s="300" t="s">
        <v>690</v>
      </c>
      <c r="M340" s="300" t="s">
        <v>908</v>
      </c>
      <c r="N340" s="300">
        <v>40.0</v>
      </c>
      <c r="O340" s="300" t="s">
        <v>716</v>
      </c>
      <c r="P340" s="428" t="s">
        <v>717</v>
      </c>
      <c r="Q340" s="300" t="s">
        <v>945</v>
      </c>
      <c r="R340" s="6" t="s">
        <v>76</v>
      </c>
      <c r="S340" s="301"/>
      <c r="T340" s="301"/>
      <c r="X340" s="2">
        <f t="shared" si="12"/>
        <v>0</v>
      </c>
      <c r="AA340" s="301"/>
      <c r="AB340" s="301"/>
      <c r="AC340" s="301"/>
      <c r="AE340" s="301"/>
      <c r="AF340" s="301"/>
      <c r="AG340" s="301"/>
    </row>
    <row r="341">
      <c r="E341" s="2">
        <f t="shared" si="9"/>
        <v>457</v>
      </c>
      <c r="F341" s="2">
        <f t="shared" si="10"/>
        <v>111492.4</v>
      </c>
      <c r="G341" s="2">
        <f t="shared" si="11"/>
        <v>243.9658643</v>
      </c>
      <c r="J341" s="427">
        <v>45512.0</v>
      </c>
      <c r="K341" s="300">
        <v>112.0</v>
      </c>
      <c r="L341" s="300" t="s">
        <v>686</v>
      </c>
      <c r="M341" s="300" t="s">
        <v>931</v>
      </c>
      <c r="N341" s="300">
        <v>1.0</v>
      </c>
      <c r="O341" s="300" t="s">
        <v>747</v>
      </c>
      <c r="P341" s="428" t="s">
        <v>717</v>
      </c>
      <c r="Q341" s="300" t="s">
        <v>945</v>
      </c>
      <c r="R341" s="6" t="s">
        <v>76</v>
      </c>
      <c r="S341" s="301"/>
      <c r="T341" s="301"/>
      <c r="X341" s="2">
        <f t="shared" si="12"/>
        <v>0</v>
      </c>
      <c r="AA341" s="301"/>
      <c r="AB341" s="301"/>
      <c r="AC341" s="301"/>
      <c r="AE341" s="301"/>
      <c r="AF341" s="301"/>
      <c r="AG341" s="301"/>
    </row>
    <row r="342">
      <c r="E342" s="2">
        <f t="shared" si="9"/>
        <v>457</v>
      </c>
      <c r="F342" s="2">
        <f t="shared" si="10"/>
        <v>111380.4</v>
      </c>
      <c r="G342" s="2">
        <f t="shared" si="11"/>
        <v>243.7207877</v>
      </c>
      <c r="J342" s="427">
        <v>45512.0</v>
      </c>
      <c r="K342" s="300">
        <v>180.0</v>
      </c>
      <c r="L342" s="300" t="s">
        <v>686</v>
      </c>
      <c r="M342" s="300" t="s">
        <v>961</v>
      </c>
      <c r="N342" s="300">
        <v>500.0</v>
      </c>
      <c r="O342" s="300" t="s">
        <v>745</v>
      </c>
      <c r="P342" s="428" t="s">
        <v>717</v>
      </c>
      <c r="Q342" s="300" t="s">
        <v>945</v>
      </c>
      <c r="R342" s="6" t="s">
        <v>76</v>
      </c>
      <c r="S342" s="301"/>
      <c r="T342" s="301"/>
      <c r="X342" s="2">
        <f t="shared" si="12"/>
        <v>0</v>
      </c>
      <c r="AA342" s="301"/>
      <c r="AB342" s="301"/>
      <c r="AC342" s="301"/>
      <c r="AE342" s="301"/>
      <c r="AF342" s="301"/>
      <c r="AG342" s="301"/>
    </row>
    <row r="343">
      <c r="E343" s="2">
        <f t="shared" si="9"/>
        <v>457</v>
      </c>
      <c r="F343" s="2">
        <f t="shared" si="10"/>
        <v>111200.4</v>
      </c>
      <c r="G343" s="2">
        <f t="shared" si="11"/>
        <v>243.3269147</v>
      </c>
      <c r="J343" s="427">
        <v>45512.0</v>
      </c>
      <c r="K343" s="300">
        <v>116.0</v>
      </c>
      <c r="L343" s="300" t="s">
        <v>686</v>
      </c>
      <c r="M343" s="300" t="s">
        <v>905</v>
      </c>
      <c r="N343" s="300">
        <v>350.0</v>
      </c>
      <c r="O343" s="300" t="s">
        <v>745</v>
      </c>
      <c r="P343" s="428" t="s">
        <v>717</v>
      </c>
      <c r="Q343" s="300" t="s">
        <v>945</v>
      </c>
      <c r="R343" s="6" t="s">
        <v>76</v>
      </c>
      <c r="S343" s="301"/>
      <c r="T343" s="301"/>
      <c r="X343" s="2">
        <f t="shared" si="12"/>
        <v>0</v>
      </c>
      <c r="AA343" s="301"/>
      <c r="AB343" s="301"/>
      <c r="AC343" s="301"/>
      <c r="AE343" s="301"/>
      <c r="AF343" s="301"/>
      <c r="AG343" s="301"/>
    </row>
    <row r="344">
      <c r="E344" s="2">
        <f t="shared" si="9"/>
        <v>457</v>
      </c>
      <c r="F344" s="2">
        <f t="shared" si="10"/>
        <v>111084.4</v>
      </c>
      <c r="G344" s="2">
        <f t="shared" si="11"/>
        <v>243.0730853</v>
      </c>
      <c r="J344" s="427">
        <v>45512.0</v>
      </c>
      <c r="K344" s="300">
        <v>70.0</v>
      </c>
      <c r="L344" s="300" t="s">
        <v>686</v>
      </c>
      <c r="M344" s="300" t="s">
        <v>962</v>
      </c>
      <c r="N344" s="300">
        <v>400.0</v>
      </c>
      <c r="O344" s="300" t="s">
        <v>745</v>
      </c>
      <c r="P344" s="428" t="s">
        <v>717</v>
      </c>
      <c r="Q344" s="300" t="s">
        <v>945</v>
      </c>
      <c r="R344" s="6" t="s">
        <v>76</v>
      </c>
      <c r="S344" s="301"/>
      <c r="T344" s="301"/>
      <c r="X344" s="2">
        <f t="shared" si="12"/>
        <v>0</v>
      </c>
      <c r="AA344" s="301"/>
      <c r="AB344" s="301"/>
      <c r="AC344" s="301"/>
      <c r="AE344" s="301"/>
      <c r="AF344" s="301"/>
      <c r="AG344" s="301"/>
    </row>
    <row r="345">
      <c r="E345" s="2">
        <f t="shared" si="9"/>
        <v>457</v>
      </c>
      <c r="F345" s="2">
        <f t="shared" si="10"/>
        <v>111014.4</v>
      </c>
      <c r="G345" s="2">
        <f t="shared" si="11"/>
        <v>242.9199125</v>
      </c>
      <c r="J345" s="430">
        <v>45512.0</v>
      </c>
      <c r="K345" s="302">
        <f>884.6-sum(K340:K344)</f>
        <v>6.6</v>
      </c>
      <c r="L345" s="302" t="s">
        <v>686</v>
      </c>
      <c r="M345" s="302" t="s">
        <v>922</v>
      </c>
      <c r="N345" s="302">
        <v>1.0</v>
      </c>
      <c r="O345" s="302" t="s">
        <v>716</v>
      </c>
      <c r="P345" s="431" t="s">
        <v>717</v>
      </c>
      <c r="Q345" s="302" t="s">
        <v>945</v>
      </c>
      <c r="R345" s="258" t="s">
        <v>76</v>
      </c>
      <c r="S345" s="301"/>
      <c r="T345" s="301"/>
      <c r="X345" s="2">
        <f t="shared" si="12"/>
        <v>0</v>
      </c>
      <c r="AA345" s="301"/>
      <c r="AB345" s="301"/>
      <c r="AC345" s="301"/>
      <c r="AE345" s="301"/>
      <c r="AF345" s="301"/>
      <c r="AG345" s="301"/>
    </row>
    <row r="346">
      <c r="E346" s="2">
        <f t="shared" si="9"/>
        <v>456</v>
      </c>
      <c r="F346" s="2">
        <f t="shared" si="10"/>
        <v>111007.8</v>
      </c>
      <c r="G346" s="2">
        <f t="shared" si="11"/>
        <v>243.4381579</v>
      </c>
      <c r="J346" s="427">
        <v>45513.0</v>
      </c>
      <c r="K346" s="300">
        <v>120.0</v>
      </c>
      <c r="L346" s="300" t="s">
        <v>690</v>
      </c>
      <c r="M346" s="300" t="s">
        <v>842</v>
      </c>
      <c r="N346" s="300">
        <v>10.0</v>
      </c>
      <c r="O346" s="300" t="s">
        <v>716</v>
      </c>
      <c r="P346" s="428" t="s">
        <v>717</v>
      </c>
      <c r="Q346" s="300" t="s">
        <v>378</v>
      </c>
      <c r="R346" s="6" t="s">
        <v>76</v>
      </c>
      <c r="S346" s="301"/>
      <c r="T346" s="301"/>
      <c r="X346" s="2">
        <f t="shared" si="12"/>
        <v>0</v>
      </c>
      <c r="AA346" s="301"/>
      <c r="AB346" s="301"/>
      <c r="AC346" s="301"/>
      <c r="AE346" s="301"/>
      <c r="AF346" s="301"/>
      <c r="AG346" s="301"/>
    </row>
    <row r="347">
      <c r="E347" s="2">
        <f t="shared" si="9"/>
        <v>456</v>
      </c>
      <c r="F347" s="2">
        <f t="shared" si="10"/>
        <v>110887.8</v>
      </c>
      <c r="G347" s="2">
        <f t="shared" si="11"/>
        <v>243.175</v>
      </c>
      <c r="J347" s="427">
        <v>45513.0</v>
      </c>
      <c r="K347" s="300">
        <v>45.0</v>
      </c>
      <c r="L347" s="300" t="s">
        <v>686</v>
      </c>
      <c r="M347" s="300" t="s">
        <v>963</v>
      </c>
      <c r="N347" s="300">
        <v>1.0</v>
      </c>
      <c r="O347" s="300" t="s">
        <v>747</v>
      </c>
      <c r="P347" s="428" t="s">
        <v>914</v>
      </c>
      <c r="Q347" s="300" t="s">
        <v>378</v>
      </c>
      <c r="R347" s="6" t="s">
        <v>76</v>
      </c>
      <c r="S347" s="301"/>
      <c r="T347" s="301"/>
      <c r="X347" s="2">
        <f t="shared" si="12"/>
        <v>0</v>
      </c>
      <c r="AA347" s="301"/>
      <c r="AB347" s="301"/>
      <c r="AC347" s="301"/>
      <c r="AE347" s="301"/>
      <c r="AF347" s="301"/>
      <c r="AG347" s="301"/>
    </row>
    <row r="348">
      <c r="E348" s="2">
        <f t="shared" si="9"/>
        <v>456</v>
      </c>
      <c r="F348" s="2">
        <f t="shared" si="10"/>
        <v>110842.8</v>
      </c>
      <c r="G348" s="2">
        <f t="shared" si="11"/>
        <v>243.0763158</v>
      </c>
      <c r="J348" s="430">
        <v>45513.0</v>
      </c>
      <c r="K348" s="302">
        <v>20.0</v>
      </c>
      <c r="L348" s="302" t="s">
        <v>686</v>
      </c>
      <c r="M348" s="302" t="s">
        <v>964</v>
      </c>
      <c r="N348" s="302">
        <v>2.0</v>
      </c>
      <c r="O348" s="302" t="s">
        <v>716</v>
      </c>
      <c r="P348" s="431" t="s">
        <v>914</v>
      </c>
      <c r="Q348" s="302" t="s">
        <v>378</v>
      </c>
      <c r="R348" s="258" t="s">
        <v>76</v>
      </c>
      <c r="S348" s="301"/>
      <c r="T348" s="301"/>
      <c r="X348" s="2">
        <f t="shared" si="12"/>
        <v>0</v>
      </c>
      <c r="AA348" s="301"/>
      <c r="AB348" s="301"/>
      <c r="AC348" s="301"/>
      <c r="AE348" s="301"/>
      <c r="AF348" s="301"/>
      <c r="AG348" s="301"/>
    </row>
    <row r="349">
      <c r="E349" s="2">
        <f t="shared" si="9"/>
        <v>455</v>
      </c>
      <c r="F349" s="2">
        <f t="shared" si="10"/>
        <v>110822.8</v>
      </c>
      <c r="G349" s="2">
        <f t="shared" si="11"/>
        <v>243.5665934</v>
      </c>
      <c r="J349" s="427">
        <v>45514.0</v>
      </c>
      <c r="K349" s="300">
        <v>130.0</v>
      </c>
      <c r="L349" s="300" t="s">
        <v>686</v>
      </c>
      <c r="M349" s="300" t="s">
        <v>965</v>
      </c>
      <c r="N349" s="300">
        <v>3.0</v>
      </c>
      <c r="O349" s="300" t="s">
        <v>716</v>
      </c>
      <c r="P349" s="428" t="s">
        <v>914</v>
      </c>
      <c r="Q349" s="300" t="s">
        <v>378</v>
      </c>
      <c r="R349" s="6" t="s">
        <v>76</v>
      </c>
      <c r="S349" s="301"/>
      <c r="T349" s="301"/>
      <c r="X349" s="2">
        <f t="shared" si="12"/>
        <v>0</v>
      </c>
      <c r="AA349" s="301"/>
      <c r="AB349" s="301"/>
      <c r="AC349" s="301"/>
      <c r="AE349" s="301"/>
      <c r="AF349" s="301"/>
      <c r="AG349" s="301"/>
    </row>
    <row r="350">
      <c r="E350" s="2">
        <f t="shared" si="9"/>
        <v>455</v>
      </c>
      <c r="F350" s="2">
        <f t="shared" si="10"/>
        <v>110692.8</v>
      </c>
      <c r="G350" s="2">
        <f t="shared" si="11"/>
        <v>243.2808791</v>
      </c>
      <c r="J350" s="427">
        <v>45514.0</v>
      </c>
      <c r="K350" s="300">
        <v>120.0</v>
      </c>
      <c r="L350" s="300" t="s">
        <v>690</v>
      </c>
      <c r="M350" s="300" t="s">
        <v>842</v>
      </c>
      <c r="N350" s="300">
        <v>10.0</v>
      </c>
      <c r="O350" s="300" t="s">
        <v>716</v>
      </c>
      <c r="P350" s="428" t="s">
        <v>717</v>
      </c>
      <c r="Q350" s="300" t="s">
        <v>378</v>
      </c>
      <c r="R350" s="6" t="s">
        <v>76</v>
      </c>
      <c r="S350" s="301"/>
      <c r="T350" s="301"/>
      <c r="X350" s="2">
        <f t="shared" si="12"/>
        <v>0</v>
      </c>
      <c r="AA350" s="301"/>
      <c r="AB350" s="301"/>
      <c r="AC350" s="301"/>
      <c r="AE350" s="301"/>
      <c r="AF350" s="301"/>
      <c r="AG350" s="301"/>
    </row>
    <row r="351">
      <c r="E351" s="2">
        <f t="shared" si="9"/>
        <v>455</v>
      </c>
      <c r="F351" s="2">
        <f t="shared" si="10"/>
        <v>110572.8</v>
      </c>
      <c r="G351" s="2">
        <f t="shared" si="11"/>
        <v>243.0171429</v>
      </c>
      <c r="J351" s="427">
        <v>45514.0</v>
      </c>
      <c r="K351" s="300">
        <v>130.0</v>
      </c>
      <c r="L351" s="300" t="s">
        <v>686</v>
      </c>
      <c r="M351" s="300" t="s">
        <v>966</v>
      </c>
      <c r="N351" s="300">
        <v>1.0</v>
      </c>
      <c r="O351" s="300" t="s">
        <v>716</v>
      </c>
      <c r="P351" s="428" t="s">
        <v>727</v>
      </c>
      <c r="Q351" s="300" t="s">
        <v>958</v>
      </c>
      <c r="R351" s="6" t="s">
        <v>76</v>
      </c>
      <c r="S351" s="301"/>
      <c r="T351" s="301"/>
      <c r="X351" s="2">
        <f t="shared" si="12"/>
        <v>0</v>
      </c>
      <c r="AA351" s="301"/>
      <c r="AB351" s="301"/>
      <c r="AC351" s="301"/>
      <c r="AE351" s="301"/>
      <c r="AF351" s="301"/>
      <c r="AG351" s="301"/>
    </row>
    <row r="352">
      <c r="E352" s="2">
        <f t="shared" si="9"/>
        <v>455</v>
      </c>
      <c r="F352" s="2">
        <f t="shared" si="10"/>
        <v>110442.8</v>
      </c>
      <c r="G352" s="2">
        <f t="shared" si="11"/>
        <v>242.7314286</v>
      </c>
      <c r="J352" s="427">
        <v>45514.0</v>
      </c>
      <c r="K352" s="300">
        <v>75.0</v>
      </c>
      <c r="L352" s="300" t="s">
        <v>686</v>
      </c>
      <c r="M352" s="300" t="s">
        <v>967</v>
      </c>
      <c r="N352" s="300">
        <v>1.0</v>
      </c>
      <c r="O352" s="300" t="s">
        <v>716</v>
      </c>
      <c r="P352" s="428" t="s">
        <v>727</v>
      </c>
      <c r="Q352" s="300" t="s">
        <v>958</v>
      </c>
      <c r="R352" s="6" t="s">
        <v>76</v>
      </c>
      <c r="S352" s="301"/>
      <c r="T352" s="301"/>
      <c r="X352" s="2">
        <f t="shared" si="12"/>
        <v>0</v>
      </c>
      <c r="AA352" s="301"/>
      <c r="AB352" s="301"/>
      <c r="AC352" s="301"/>
      <c r="AE352" s="301"/>
      <c r="AF352" s="301"/>
      <c r="AG352" s="301"/>
    </row>
    <row r="353">
      <c r="E353" s="2">
        <f t="shared" si="9"/>
        <v>455</v>
      </c>
      <c r="F353" s="2">
        <f t="shared" si="10"/>
        <v>110367.8</v>
      </c>
      <c r="G353" s="2">
        <f t="shared" si="11"/>
        <v>242.5665934</v>
      </c>
      <c r="J353" s="427">
        <v>45514.0</v>
      </c>
      <c r="K353" s="300">
        <v>60.0</v>
      </c>
      <c r="L353" s="300" t="s">
        <v>686</v>
      </c>
      <c r="M353" s="300" t="s">
        <v>963</v>
      </c>
      <c r="N353" s="300">
        <v>3.0</v>
      </c>
      <c r="O353" s="300" t="s">
        <v>716</v>
      </c>
      <c r="P353" s="428" t="s">
        <v>944</v>
      </c>
      <c r="Q353" s="300" t="s">
        <v>958</v>
      </c>
      <c r="R353" s="6" t="s">
        <v>76</v>
      </c>
      <c r="S353" s="301"/>
      <c r="T353" s="301"/>
      <c r="X353" s="2">
        <f t="shared" si="12"/>
        <v>0</v>
      </c>
      <c r="AA353" s="301"/>
      <c r="AB353" s="301"/>
      <c r="AC353" s="301"/>
      <c r="AE353" s="301"/>
      <c r="AF353" s="301"/>
      <c r="AG353" s="301"/>
    </row>
    <row r="354">
      <c r="E354" s="2">
        <f t="shared" si="9"/>
        <v>455</v>
      </c>
      <c r="F354" s="2">
        <f t="shared" si="10"/>
        <v>110307.8</v>
      </c>
      <c r="G354" s="2">
        <f t="shared" si="11"/>
        <v>242.4347253</v>
      </c>
      <c r="J354" s="427">
        <v>45514.0</v>
      </c>
      <c r="K354" s="300">
        <v>100.0</v>
      </c>
      <c r="L354" s="300" t="s">
        <v>686</v>
      </c>
      <c r="M354" s="300" t="s">
        <v>968</v>
      </c>
      <c r="N354" s="300">
        <v>1.0</v>
      </c>
      <c r="O354" s="300" t="s">
        <v>716</v>
      </c>
      <c r="P354" s="428" t="s">
        <v>645</v>
      </c>
      <c r="Q354" s="300" t="s">
        <v>969</v>
      </c>
      <c r="R354" s="6" t="s">
        <v>76</v>
      </c>
      <c r="S354" s="301"/>
      <c r="T354" s="301"/>
      <c r="X354" s="2">
        <f t="shared" si="12"/>
        <v>0</v>
      </c>
      <c r="AA354" s="301"/>
      <c r="AB354" s="301"/>
      <c r="AC354" s="301"/>
      <c r="AE354" s="301"/>
      <c r="AF354" s="301"/>
      <c r="AG354" s="301"/>
    </row>
    <row r="355">
      <c r="E355" s="2">
        <f t="shared" si="9"/>
        <v>455</v>
      </c>
      <c r="F355" s="2">
        <f t="shared" si="10"/>
        <v>110207.8</v>
      </c>
      <c r="G355" s="2">
        <f t="shared" si="11"/>
        <v>242.2149451</v>
      </c>
      <c r="J355" s="427">
        <v>45514.0</v>
      </c>
      <c r="K355" s="300">
        <v>20.0</v>
      </c>
      <c r="L355" s="300" t="s">
        <v>686</v>
      </c>
      <c r="M355" s="300" t="s">
        <v>970</v>
      </c>
      <c r="N355" s="300">
        <v>1.0</v>
      </c>
      <c r="O355" s="300" t="s">
        <v>747</v>
      </c>
      <c r="P355" s="428" t="s">
        <v>727</v>
      </c>
      <c r="Q355" s="300" t="s">
        <v>969</v>
      </c>
      <c r="R355" s="6" t="s">
        <v>76</v>
      </c>
      <c r="S355" s="301"/>
      <c r="T355" s="301"/>
      <c r="X355" s="2">
        <f t="shared" si="12"/>
        <v>0</v>
      </c>
      <c r="AA355" s="301"/>
      <c r="AB355" s="301"/>
      <c r="AC355" s="301"/>
      <c r="AE355" s="301"/>
      <c r="AF355" s="301"/>
      <c r="AG355" s="301"/>
    </row>
    <row r="356">
      <c r="E356" s="2">
        <f t="shared" si="9"/>
        <v>455</v>
      </c>
      <c r="F356" s="2">
        <f t="shared" si="10"/>
        <v>110187.8</v>
      </c>
      <c r="G356" s="2">
        <f t="shared" si="11"/>
        <v>242.170989</v>
      </c>
      <c r="J356" s="427">
        <v>45514.0</v>
      </c>
      <c r="K356" s="300">
        <v>200.0</v>
      </c>
      <c r="L356" s="300" t="s">
        <v>690</v>
      </c>
      <c r="M356" s="300" t="s">
        <v>908</v>
      </c>
      <c r="N356" s="300">
        <v>20.0</v>
      </c>
      <c r="O356" s="300" t="s">
        <v>716</v>
      </c>
      <c r="P356" s="428" t="s">
        <v>717</v>
      </c>
      <c r="Q356" s="300" t="s">
        <v>958</v>
      </c>
      <c r="R356" s="6" t="s">
        <v>76</v>
      </c>
      <c r="S356" s="301"/>
      <c r="T356" s="301"/>
      <c r="X356" s="2">
        <f t="shared" si="12"/>
        <v>0</v>
      </c>
      <c r="AA356" s="301"/>
      <c r="AB356" s="301"/>
      <c r="AC356" s="301"/>
      <c r="AE356" s="301"/>
      <c r="AF356" s="301"/>
      <c r="AG356" s="301"/>
    </row>
    <row r="357">
      <c r="E357" s="2">
        <f t="shared" si="9"/>
        <v>455</v>
      </c>
      <c r="F357" s="2">
        <f t="shared" si="10"/>
        <v>109987.8</v>
      </c>
      <c r="G357" s="2">
        <f t="shared" si="11"/>
        <v>241.7314286</v>
      </c>
      <c r="J357" s="427">
        <v>45514.0</v>
      </c>
      <c r="K357" s="300">
        <v>2687.4</v>
      </c>
      <c r="L357" s="300" t="s">
        <v>692</v>
      </c>
      <c r="M357" s="300" t="s">
        <v>788</v>
      </c>
      <c r="N357" s="300">
        <v>25.02</v>
      </c>
      <c r="O357" s="300" t="s">
        <v>747</v>
      </c>
      <c r="P357" s="428" t="s">
        <v>717</v>
      </c>
      <c r="Q357" s="300" t="s">
        <v>971</v>
      </c>
      <c r="R357" s="6" t="s">
        <v>687</v>
      </c>
      <c r="S357" s="301"/>
      <c r="T357" s="301"/>
      <c r="X357" s="2">
        <f t="shared" si="12"/>
        <v>0</v>
      </c>
      <c r="AA357" s="301"/>
      <c r="AB357" s="301"/>
      <c r="AC357" s="301"/>
      <c r="AE357" s="301"/>
      <c r="AF357" s="301"/>
      <c r="AG357" s="301"/>
    </row>
    <row r="358">
      <c r="E358" s="2">
        <f t="shared" si="9"/>
        <v>455</v>
      </c>
      <c r="F358" s="2">
        <f t="shared" si="10"/>
        <v>107300.4</v>
      </c>
      <c r="G358" s="2">
        <f t="shared" si="11"/>
        <v>235.8250549</v>
      </c>
      <c r="J358" s="427">
        <v>45514.0</v>
      </c>
      <c r="K358" s="300">
        <f>332*60%</f>
        <v>199.2</v>
      </c>
      <c r="L358" s="300" t="s">
        <v>686</v>
      </c>
      <c r="M358" s="300" t="s">
        <v>972</v>
      </c>
      <c r="N358" s="300">
        <v>1.0</v>
      </c>
      <c r="O358" s="300" t="s">
        <v>716</v>
      </c>
      <c r="P358" s="428" t="s">
        <v>944</v>
      </c>
      <c r="Q358" s="300" t="s">
        <v>973</v>
      </c>
      <c r="R358" s="6" t="s">
        <v>76</v>
      </c>
      <c r="S358" s="301"/>
      <c r="T358" s="301"/>
      <c r="X358" s="2">
        <f t="shared" si="12"/>
        <v>0</v>
      </c>
      <c r="AA358" s="301"/>
      <c r="AB358" s="301"/>
      <c r="AC358" s="301"/>
      <c r="AE358" s="301"/>
      <c r="AF358" s="301"/>
      <c r="AG358" s="301"/>
    </row>
    <row r="359">
      <c r="E359" s="2">
        <f t="shared" si="9"/>
        <v>455</v>
      </c>
      <c r="F359" s="2">
        <f t="shared" si="10"/>
        <v>107101.2</v>
      </c>
      <c r="G359" s="2">
        <f t="shared" si="11"/>
        <v>235.3872527</v>
      </c>
      <c r="J359" s="440">
        <v>45514.0</v>
      </c>
      <c r="K359" s="300">
        <v>215.0</v>
      </c>
      <c r="L359" s="300" t="s">
        <v>693</v>
      </c>
      <c r="M359" s="300" t="s">
        <v>974</v>
      </c>
      <c r="N359" s="300">
        <v>1.0</v>
      </c>
      <c r="O359" s="300" t="s">
        <v>716</v>
      </c>
      <c r="P359" s="428" t="s">
        <v>505</v>
      </c>
      <c r="Q359" s="300" t="s">
        <v>975</v>
      </c>
      <c r="R359" s="193" t="s">
        <v>76</v>
      </c>
      <c r="S359" s="301"/>
      <c r="T359" s="301"/>
      <c r="X359" s="2">
        <f t="shared" si="12"/>
        <v>0</v>
      </c>
      <c r="AA359" s="301"/>
      <c r="AB359" s="301"/>
      <c r="AC359" s="301"/>
      <c r="AE359" s="301"/>
      <c r="AF359" s="301"/>
      <c r="AG359" s="301"/>
    </row>
    <row r="360">
      <c r="E360" s="2">
        <f t="shared" si="9"/>
        <v>455</v>
      </c>
      <c r="F360" s="2">
        <f t="shared" si="10"/>
        <v>106886.2</v>
      </c>
      <c r="G360" s="2">
        <f t="shared" si="11"/>
        <v>234.9147253</v>
      </c>
      <c r="J360" s="430">
        <v>45514.0</v>
      </c>
      <c r="K360" s="302">
        <f>332*40%</f>
        <v>132.8</v>
      </c>
      <c r="L360" s="302" t="s">
        <v>686</v>
      </c>
      <c r="M360" s="302" t="s">
        <v>976</v>
      </c>
      <c r="N360" s="302">
        <v>1.0</v>
      </c>
      <c r="O360" s="302" t="s">
        <v>716</v>
      </c>
      <c r="P360" s="431" t="s">
        <v>944</v>
      </c>
      <c r="Q360" s="302" t="s">
        <v>973</v>
      </c>
      <c r="R360" s="258" t="s">
        <v>76</v>
      </c>
      <c r="S360" s="301"/>
      <c r="T360" s="301"/>
      <c r="X360" s="2">
        <f t="shared" si="12"/>
        <v>0</v>
      </c>
      <c r="AA360" s="301"/>
      <c r="AB360" s="301"/>
      <c r="AC360" s="301"/>
      <c r="AE360" s="301"/>
      <c r="AF360" s="301"/>
      <c r="AG360" s="301"/>
    </row>
    <row r="361">
      <c r="E361" s="2">
        <f t="shared" si="9"/>
        <v>454</v>
      </c>
      <c r="F361" s="2">
        <f t="shared" si="10"/>
        <v>106753.4</v>
      </c>
      <c r="G361" s="2">
        <f t="shared" si="11"/>
        <v>235.1396476</v>
      </c>
      <c r="J361" s="427">
        <v>45515.0</v>
      </c>
      <c r="K361" s="300">
        <v>1500.0</v>
      </c>
      <c r="L361" s="300" t="s">
        <v>692</v>
      </c>
      <c r="M361" s="300" t="s">
        <v>977</v>
      </c>
      <c r="N361" s="300">
        <v>1.0</v>
      </c>
      <c r="O361" s="300" t="s">
        <v>716</v>
      </c>
      <c r="P361" s="428" t="s">
        <v>717</v>
      </c>
      <c r="Q361" s="300" t="s">
        <v>978</v>
      </c>
      <c r="R361" s="6" t="s">
        <v>76</v>
      </c>
      <c r="S361" s="301"/>
      <c r="T361" s="301"/>
      <c r="X361" s="2">
        <f t="shared" si="12"/>
        <v>0</v>
      </c>
      <c r="AA361" s="301"/>
      <c r="AB361" s="301"/>
      <c r="AC361" s="301"/>
      <c r="AE361" s="301"/>
      <c r="AF361" s="301"/>
      <c r="AG361" s="301"/>
    </row>
    <row r="362">
      <c r="E362" s="2">
        <f t="shared" si="9"/>
        <v>454</v>
      </c>
      <c r="F362" s="2">
        <f t="shared" si="10"/>
        <v>105253.4</v>
      </c>
      <c r="G362" s="2">
        <f t="shared" si="11"/>
        <v>231.8356828</v>
      </c>
      <c r="J362" s="427">
        <v>45515.0</v>
      </c>
      <c r="K362" s="300">
        <v>1000.0</v>
      </c>
      <c r="L362" s="300" t="s">
        <v>698</v>
      </c>
      <c r="M362" s="300" t="s">
        <v>979</v>
      </c>
      <c r="N362" s="300">
        <v>1.0</v>
      </c>
      <c r="O362" s="300" t="s">
        <v>716</v>
      </c>
      <c r="P362" s="428" t="s">
        <v>980</v>
      </c>
      <c r="Q362" s="300" t="s">
        <v>981</v>
      </c>
      <c r="R362" s="6" t="s">
        <v>91</v>
      </c>
      <c r="S362" s="301"/>
      <c r="T362" s="301"/>
      <c r="X362" s="2">
        <f t="shared" si="12"/>
        <v>0</v>
      </c>
      <c r="AA362" s="301"/>
      <c r="AB362" s="301"/>
      <c r="AC362" s="301"/>
      <c r="AE362" s="301"/>
      <c r="AF362" s="301"/>
      <c r="AG362" s="301"/>
    </row>
    <row r="363">
      <c r="E363" s="2">
        <f t="shared" si="9"/>
        <v>454</v>
      </c>
      <c r="F363" s="2">
        <f t="shared" si="10"/>
        <v>104253.4</v>
      </c>
      <c r="G363" s="2">
        <f t="shared" si="11"/>
        <v>229.6330396</v>
      </c>
      <c r="J363" s="427">
        <v>45515.0</v>
      </c>
      <c r="K363" s="300">
        <v>30.0</v>
      </c>
      <c r="L363" s="300" t="s">
        <v>692</v>
      </c>
      <c r="M363" s="300" t="s">
        <v>982</v>
      </c>
      <c r="N363" s="300">
        <v>1.0</v>
      </c>
      <c r="O363" s="300" t="s">
        <v>716</v>
      </c>
      <c r="P363" s="428" t="s">
        <v>717</v>
      </c>
      <c r="Q363" s="300" t="s">
        <v>983</v>
      </c>
      <c r="R363" s="6" t="s">
        <v>76</v>
      </c>
      <c r="S363" s="301"/>
      <c r="T363" s="301"/>
      <c r="X363" s="2">
        <f t="shared" si="12"/>
        <v>0</v>
      </c>
      <c r="AA363" s="301"/>
      <c r="AB363" s="301"/>
      <c r="AC363" s="301"/>
      <c r="AE363" s="301"/>
      <c r="AF363" s="301"/>
      <c r="AG363" s="301"/>
    </row>
    <row r="364">
      <c r="E364" s="2">
        <f t="shared" si="9"/>
        <v>454</v>
      </c>
      <c r="F364" s="2">
        <f t="shared" si="10"/>
        <v>104223.4</v>
      </c>
      <c r="G364" s="2">
        <f t="shared" si="11"/>
        <v>229.5669604</v>
      </c>
      <c r="J364" s="427">
        <v>45515.0</v>
      </c>
      <c r="K364" s="300">
        <v>30.0</v>
      </c>
      <c r="L364" s="300" t="s">
        <v>686</v>
      </c>
      <c r="M364" s="300" t="s">
        <v>752</v>
      </c>
      <c r="N364" s="300">
        <v>1.0</v>
      </c>
      <c r="O364" s="300" t="s">
        <v>716</v>
      </c>
      <c r="P364" s="428" t="s">
        <v>717</v>
      </c>
      <c r="Q364" s="300" t="s">
        <v>984</v>
      </c>
      <c r="R364" s="6" t="s">
        <v>76</v>
      </c>
      <c r="S364" s="301"/>
      <c r="T364" s="301"/>
      <c r="X364" s="2">
        <f t="shared" si="12"/>
        <v>0</v>
      </c>
      <c r="AA364" s="301"/>
      <c r="AB364" s="301"/>
      <c r="AC364" s="301"/>
      <c r="AE364" s="301"/>
      <c r="AF364" s="301"/>
      <c r="AG364" s="301"/>
    </row>
    <row r="365">
      <c r="E365" s="2">
        <f t="shared" si="9"/>
        <v>452</v>
      </c>
      <c r="F365" s="2">
        <f t="shared" si="10"/>
        <v>104193.4</v>
      </c>
      <c r="G365" s="2">
        <f t="shared" si="11"/>
        <v>230.5163717</v>
      </c>
      <c r="J365" s="425">
        <v>45517.0</v>
      </c>
      <c r="K365" s="332">
        <v>269.0</v>
      </c>
      <c r="L365" s="332" t="s">
        <v>695</v>
      </c>
      <c r="M365" s="332" t="s">
        <v>985</v>
      </c>
      <c r="N365" s="332">
        <v>1.0</v>
      </c>
      <c r="O365" s="332" t="s">
        <v>716</v>
      </c>
      <c r="P365" s="426" t="s">
        <v>717</v>
      </c>
      <c r="Q365" s="332" t="s">
        <v>986</v>
      </c>
      <c r="R365" s="254" t="s">
        <v>76</v>
      </c>
      <c r="S365" s="301"/>
      <c r="T365" s="301"/>
      <c r="X365" s="2">
        <f t="shared" si="12"/>
        <v>0</v>
      </c>
      <c r="AA365" s="301"/>
      <c r="AB365" s="301"/>
      <c r="AC365" s="301"/>
      <c r="AE365" s="301"/>
      <c r="AF365" s="301"/>
      <c r="AG365" s="301"/>
    </row>
    <row r="366">
      <c r="E366" s="2">
        <f t="shared" si="9"/>
        <v>452</v>
      </c>
      <c r="F366" s="2">
        <f t="shared" si="10"/>
        <v>103924.4</v>
      </c>
      <c r="G366" s="2">
        <f t="shared" si="11"/>
        <v>229.9212389</v>
      </c>
      <c r="J366" s="427">
        <v>45517.0</v>
      </c>
      <c r="K366" s="300">
        <v>10.0</v>
      </c>
      <c r="L366" s="300" t="s">
        <v>686</v>
      </c>
      <c r="M366" s="300" t="s">
        <v>987</v>
      </c>
      <c r="N366" s="300">
        <v>10.0</v>
      </c>
      <c r="O366" s="300" t="s">
        <v>716</v>
      </c>
      <c r="P366" s="428" t="s">
        <v>717</v>
      </c>
      <c r="Q366" s="300" t="s">
        <v>988</v>
      </c>
      <c r="R366" s="193" t="s">
        <v>76</v>
      </c>
      <c r="S366" s="301"/>
      <c r="T366" s="301"/>
      <c r="X366" s="2">
        <f t="shared" si="12"/>
        <v>0</v>
      </c>
      <c r="AA366" s="301"/>
      <c r="AB366" s="301"/>
      <c r="AC366" s="301"/>
      <c r="AE366" s="301"/>
      <c r="AF366" s="301"/>
      <c r="AG366" s="301"/>
    </row>
    <row r="367">
      <c r="E367" s="2">
        <f t="shared" si="9"/>
        <v>452</v>
      </c>
      <c r="F367" s="2">
        <f t="shared" si="10"/>
        <v>103914.4</v>
      </c>
      <c r="G367" s="2">
        <f t="shared" si="11"/>
        <v>229.899115</v>
      </c>
      <c r="J367" s="427">
        <v>45517.0</v>
      </c>
      <c r="K367" s="300">
        <v>250.0</v>
      </c>
      <c r="L367" s="300" t="s">
        <v>688</v>
      </c>
      <c r="M367" s="300" t="s">
        <v>989</v>
      </c>
      <c r="N367" s="300">
        <v>600.0</v>
      </c>
      <c r="O367" s="300" t="s">
        <v>712</v>
      </c>
      <c r="P367" s="428" t="s">
        <v>717</v>
      </c>
      <c r="Q367" s="300" t="s">
        <v>990</v>
      </c>
      <c r="R367" s="193" t="s">
        <v>76</v>
      </c>
      <c r="S367" s="301"/>
      <c r="T367" s="301"/>
      <c r="X367" s="2">
        <f t="shared" si="12"/>
        <v>0</v>
      </c>
      <c r="AA367" s="301"/>
      <c r="AB367" s="301"/>
      <c r="AC367" s="301"/>
      <c r="AE367" s="301"/>
      <c r="AF367" s="301"/>
      <c r="AG367" s="301"/>
    </row>
    <row r="368">
      <c r="E368" s="2">
        <f t="shared" si="9"/>
        <v>452</v>
      </c>
      <c r="F368" s="2">
        <f t="shared" si="10"/>
        <v>103664.4</v>
      </c>
      <c r="G368" s="2">
        <f t="shared" si="11"/>
        <v>229.3460177</v>
      </c>
      <c r="J368" s="427">
        <v>45517.0</v>
      </c>
      <c r="K368" s="300">
        <v>200.0</v>
      </c>
      <c r="L368" s="300" t="s">
        <v>688</v>
      </c>
      <c r="M368" s="300" t="s">
        <v>991</v>
      </c>
      <c r="N368" s="300">
        <v>350.0</v>
      </c>
      <c r="O368" s="300" t="s">
        <v>712</v>
      </c>
      <c r="P368" s="428" t="s">
        <v>386</v>
      </c>
      <c r="Q368" s="300" t="s">
        <v>990</v>
      </c>
      <c r="R368" s="193" t="s">
        <v>76</v>
      </c>
      <c r="S368" s="301"/>
      <c r="T368" s="301"/>
      <c r="X368" s="2">
        <f t="shared" si="12"/>
        <v>0</v>
      </c>
      <c r="AA368" s="301"/>
      <c r="AB368" s="301"/>
      <c r="AC368" s="301"/>
      <c r="AE368" s="301"/>
      <c r="AF368" s="301"/>
      <c r="AG368" s="301"/>
    </row>
    <row r="369">
      <c r="E369" s="2">
        <f t="shared" si="9"/>
        <v>452</v>
      </c>
      <c r="F369" s="2">
        <f t="shared" si="10"/>
        <v>103464.4</v>
      </c>
      <c r="G369" s="2">
        <f t="shared" si="11"/>
        <v>228.9035398</v>
      </c>
      <c r="J369" s="427">
        <v>45517.0</v>
      </c>
      <c r="K369" s="300">
        <v>80.0</v>
      </c>
      <c r="L369" s="300" t="s">
        <v>686</v>
      </c>
      <c r="M369" s="300" t="s">
        <v>828</v>
      </c>
      <c r="N369" s="300">
        <v>5.0</v>
      </c>
      <c r="O369" s="300" t="s">
        <v>716</v>
      </c>
      <c r="P369" s="428" t="s">
        <v>992</v>
      </c>
      <c r="Q369" s="300" t="s">
        <v>990</v>
      </c>
      <c r="R369" s="193" t="s">
        <v>76</v>
      </c>
      <c r="S369" s="301"/>
      <c r="T369" s="301"/>
      <c r="X369" s="2">
        <f t="shared" si="12"/>
        <v>0</v>
      </c>
      <c r="AA369" s="301"/>
      <c r="AB369" s="301"/>
      <c r="AC369" s="301"/>
      <c r="AE369" s="301"/>
      <c r="AF369" s="301"/>
      <c r="AG369" s="301"/>
    </row>
    <row r="370">
      <c r="E370" s="2">
        <f t="shared" si="9"/>
        <v>452</v>
      </c>
      <c r="F370" s="2">
        <f t="shared" si="10"/>
        <v>103384.4</v>
      </c>
      <c r="G370" s="2">
        <f t="shared" si="11"/>
        <v>228.7265487</v>
      </c>
      <c r="J370" s="427">
        <v>45517.0</v>
      </c>
      <c r="K370" s="300">
        <v>40.0</v>
      </c>
      <c r="L370" s="300" t="s">
        <v>690</v>
      </c>
      <c r="M370" s="300" t="s">
        <v>993</v>
      </c>
      <c r="N370" s="300">
        <v>2.0</v>
      </c>
      <c r="O370" s="300" t="s">
        <v>716</v>
      </c>
      <c r="P370" s="428" t="s">
        <v>717</v>
      </c>
      <c r="Q370" s="300" t="s">
        <v>994</v>
      </c>
      <c r="R370" s="193" t="s">
        <v>76</v>
      </c>
      <c r="S370" s="301"/>
      <c r="T370" s="301"/>
      <c r="X370" s="2">
        <f t="shared" si="12"/>
        <v>0</v>
      </c>
      <c r="AA370" s="301"/>
      <c r="AB370" s="301"/>
      <c r="AC370" s="301"/>
      <c r="AE370" s="301"/>
      <c r="AF370" s="301"/>
      <c r="AG370" s="301"/>
    </row>
    <row r="371">
      <c r="E371" s="2">
        <f t="shared" si="9"/>
        <v>452</v>
      </c>
      <c r="F371" s="2">
        <f t="shared" si="10"/>
        <v>103344.4</v>
      </c>
      <c r="G371" s="2">
        <f t="shared" si="11"/>
        <v>228.6380531</v>
      </c>
      <c r="J371" s="427">
        <v>45517.0</v>
      </c>
      <c r="K371" s="300">
        <v>40.0</v>
      </c>
      <c r="L371" s="300" t="s">
        <v>690</v>
      </c>
      <c r="M371" s="300" t="s">
        <v>995</v>
      </c>
      <c r="N371" s="300">
        <v>2.0</v>
      </c>
      <c r="O371" s="300" t="s">
        <v>716</v>
      </c>
      <c r="P371" s="428" t="s">
        <v>996</v>
      </c>
      <c r="Q371" s="300" t="s">
        <v>994</v>
      </c>
      <c r="R371" s="193" t="s">
        <v>76</v>
      </c>
      <c r="S371" s="301"/>
      <c r="T371" s="301"/>
      <c r="X371" s="2">
        <f t="shared" si="12"/>
        <v>0</v>
      </c>
      <c r="AA371" s="301"/>
      <c r="AB371" s="301"/>
      <c r="AC371" s="301"/>
      <c r="AE371" s="301"/>
      <c r="AF371" s="301"/>
      <c r="AG371" s="301"/>
    </row>
    <row r="372">
      <c r="E372" s="2">
        <f t="shared" si="9"/>
        <v>452</v>
      </c>
      <c r="F372" s="2">
        <f t="shared" si="10"/>
        <v>103304.4</v>
      </c>
      <c r="G372" s="2">
        <f t="shared" si="11"/>
        <v>228.5495575</v>
      </c>
      <c r="J372" s="430">
        <v>45517.0</v>
      </c>
      <c r="K372" s="302">
        <v>6.0</v>
      </c>
      <c r="L372" s="302" t="s">
        <v>686</v>
      </c>
      <c r="M372" s="302" t="s">
        <v>997</v>
      </c>
      <c r="N372" s="302">
        <v>6.0</v>
      </c>
      <c r="O372" s="302" t="s">
        <v>716</v>
      </c>
      <c r="P372" s="431" t="s">
        <v>998</v>
      </c>
      <c r="Q372" s="302" t="s">
        <v>994</v>
      </c>
      <c r="R372" s="411" t="s">
        <v>76</v>
      </c>
      <c r="S372" s="301"/>
      <c r="T372" s="301"/>
      <c r="X372" s="2">
        <f t="shared" si="12"/>
        <v>0</v>
      </c>
      <c r="AA372" s="301"/>
      <c r="AB372" s="301"/>
      <c r="AC372" s="301"/>
      <c r="AE372" s="301"/>
      <c r="AF372" s="301"/>
      <c r="AG372" s="301"/>
    </row>
    <row r="373">
      <c r="E373" s="2">
        <f t="shared" si="9"/>
        <v>451</v>
      </c>
      <c r="F373" s="2">
        <f t="shared" si="10"/>
        <v>103298.4</v>
      </c>
      <c r="G373" s="2">
        <f t="shared" si="11"/>
        <v>229.0430155</v>
      </c>
      <c r="J373" s="427">
        <v>45518.0</v>
      </c>
      <c r="K373" s="300">
        <v>139.0</v>
      </c>
      <c r="L373" s="300" t="s">
        <v>697</v>
      </c>
      <c r="M373" s="300" t="s">
        <v>999</v>
      </c>
      <c r="N373" s="300">
        <v>12.0</v>
      </c>
      <c r="O373" s="300" t="s">
        <v>1000</v>
      </c>
      <c r="P373" s="428" t="s">
        <v>717</v>
      </c>
      <c r="Q373" s="300" t="s">
        <v>930</v>
      </c>
      <c r="R373" s="193" t="s">
        <v>76</v>
      </c>
      <c r="S373" s="301"/>
      <c r="T373" s="301"/>
      <c r="X373" s="2">
        <f t="shared" si="12"/>
        <v>0</v>
      </c>
      <c r="AA373" s="301"/>
      <c r="AB373" s="301"/>
      <c r="AC373" s="301"/>
      <c r="AE373" s="301"/>
      <c r="AF373" s="301"/>
      <c r="AG373" s="301"/>
    </row>
    <row r="374">
      <c r="E374" s="2">
        <f t="shared" si="9"/>
        <v>451</v>
      </c>
      <c r="F374" s="2">
        <f t="shared" si="10"/>
        <v>103159.4</v>
      </c>
      <c r="G374" s="2">
        <f t="shared" si="11"/>
        <v>228.7348115</v>
      </c>
      <c r="J374" s="427">
        <v>45518.0</v>
      </c>
      <c r="K374" s="300">
        <v>545.0</v>
      </c>
      <c r="L374" s="300" t="s">
        <v>688</v>
      </c>
      <c r="M374" s="300" t="s">
        <v>989</v>
      </c>
      <c r="N374" s="300">
        <v>2.0</v>
      </c>
      <c r="O374" s="300" t="s">
        <v>716</v>
      </c>
      <c r="P374" s="428" t="s">
        <v>992</v>
      </c>
      <c r="Q374" s="300" t="s">
        <v>1001</v>
      </c>
      <c r="R374" s="193" t="s">
        <v>76</v>
      </c>
      <c r="S374" s="301"/>
      <c r="T374" s="301"/>
      <c r="X374" s="2">
        <f t="shared" si="12"/>
        <v>0</v>
      </c>
      <c r="AA374" s="301"/>
      <c r="AB374" s="301"/>
      <c r="AC374" s="301"/>
      <c r="AE374" s="301"/>
      <c r="AF374" s="301"/>
      <c r="AG374" s="301"/>
    </row>
    <row r="375">
      <c r="E375" s="2">
        <f t="shared" si="9"/>
        <v>451</v>
      </c>
      <c r="F375" s="2">
        <f t="shared" si="10"/>
        <v>102614.4</v>
      </c>
      <c r="G375" s="2">
        <f t="shared" si="11"/>
        <v>227.5263858</v>
      </c>
      <c r="J375" s="430">
        <v>45518.0</v>
      </c>
      <c r="K375" s="302">
        <v>220.0</v>
      </c>
      <c r="L375" s="302" t="s">
        <v>690</v>
      </c>
      <c r="M375" s="302" t="s">
        <v>1002</v>
      </c>
      <c r="N375" s="302">
        <v>10.0</v>
      </c>
      <c r="O375" s="302" t="s">
        <v>716</v>
      </c>
      <c r="P375" s="431" t="s">
        <v>1003</v>
      </c>
      <c r="Q375" s="302" t="s">
        <v>1004</v>
      </c>
      <c r="R375" s="411" t="s">
        <v>76</v>
      </c>
      <c r="S375" s="301"/>
      <c r="T375" s="301"/>
      <c r="X375" s="2">
        <f t="shared" si="12"/>
        <v>0</v>
      </c>
      <c r="AA375" s="301"/>
      <c r="AB375" s="301"/>
      <c r="AC375" s="301"/>
      <c r="AE375" s="301"/>
      <c r="AF375" s="301"/>
      <c r="AG375" s="301"/>
    </row>
    <row r="376">
      <c r="E376" s="2">
        <f t="shared" si="9"/>
        <v>450</v>
      </c>
      <c r="F376" s="2">
        <f t="shared" si="10"/>
        <v>102394.4</v>
      </c>
      <c r="G376" s="2">
        <f t="shared" si="11"/>
        <v>227.5431111</v>
      </c>
      <c r="J376" s="427">
        <v>45519.0</v>
      </c>
      <c r="K376" s="300">
        <v>440.0</v>
      </c>
      <c r="L376" s="300" t="s">
        <v>688</v>
      </c>
      <c r="M376" s="300" t="s">
        <v>868</v>
      </c>
      <c r="N376" s="300">
        <v>2.0</v>
      </c>
      <c r="O376" s="300" t="s">
        <v>716</v>
      </c>
      <c r="P376" s="428" t="s">
        <v>992</v>
      </c>
      <c r="Q376" s="300" t="s">
        <v>386</v>
      </c>
      <c r="R376" s="6" t="s">
        <v>91</v>
      </c>
      <c r="S376" s="301"/>
      <c r="T376" s="301"/>
      <c r="X376" s="2">
        <f t="shared" si="12"/>
        <v>0</v>
      </c>
      <c r="AA376" s="301"/>
      <c r="AB376" s="301"/>
      <c r="AC376" s="301"/>
      <c r="AE376" s="301"/>
      <c r="AF376" s="301"/>
      <c r="AG376" s="301"/>
    </row>
    <row r="377">
      <c r="E377" s="2">
        <f t="shared" si="9"/>
        <v>450</v>
      </c>
      <c r="F377" s="2">
        <f t="shared" si="10"/>
        <v>101954.4</v>
      </c>
      <c r="G377" s="2">
        <f t="shared" si="11"/>
        <v>226.5653333</v>
      </c>
      <c r="J377" s="430">
        <v>45519.0</v>
      </c>
      <c r="K377" s="302">
        <v>60.0</v>
      </c>
      <c r="L377" s="302" t="s">
        <v>686</v>
      </c>
      <c r="M377" s="302" t="s">
        <v>964</v>
      </c>
      <c r="N377" s="302">
        <v>12.0</v>
      </c>
      <c r="O377" s="302" t="s">
        <v>716</v>
      </c>
      <c r="P377" s="431" t="s">
        <v>1005</v>
      </c>
      <c r="Q377" s="302" t="s">
        <v>386</v>
      </c>
      <c r="R377" s="258" t="s">
        <v>91</v>
      </c>
      <c r="S377" s="301"/>
      <c r="T377" s="301"/>
      <c r="X377" s="2">
        <f t="shared" si="12"/>
        <v>0</v>
      </c>
      <c r="AA377" s="301"/>
      <c r="AB377" s="301"/>
      <c r="AC377" s="301"/>
      <c r="AE377" s="301"/>
      <c r="AF377" s="301"/>
      <c r="AG377" s="301"/>
    </row>
    <row r="378">
      <c r="E378" s="2">
        <f t="shared" si="9"/>
        <v>449</v>
      </c>
      <c r="F378" s="2">
        <f t="shared" si="10"/>
        <v>101894.4</v>
      </c>
      <c r="G378" s="2">
        <f t="shared" si="11"/>
        <v>226.9363029</v>
      </c>
      <c r="J378" s="425">
        <v>45520.0</v>
      </c>
      <c r="K378" s="332">
        <v>360.0</v>
      </c>
      <c r="L378" s="332" t="s">
        <v>688</v>
      </c>
      <c r="M378" s="332" t="s">
        <v>868</v>
      </c>
      <c r="N378" s="332">
        <v>360.0</v>
      </c>
      <c r="O378" s="332" t="s">
        <v>712</v>
      </c>
      <c r="P378" s="426" t="s">
        <v>992</v>
      </c>
      <c r="Q378" s="332" t="s">
        <v>386</v>
      </c>
      <c r="R378" s="255" t="s">
        <v>76</v>
      </c>
      <c r="S378" s="301"/>
      <c r="T378" s="301"/>
      <c r="X378" s="2">
        <f t="shared" si="12"/>
        <v>0</v>
      </c>
      <c r="AA378" s="301"/>
      <c r="AB378" s="301"/>
      <c r="AC378" s="301"/>
      <c r="AE378" s="301"/>
      <c r="AF378" s="301"/>
      <c r="AG378" s="301"/>
    </row>
    <row r="379">
      <c r="E379" s="2">
        <f t="shared" si="9"/>
        <v>449</v>
      </c>
      <c r="F379" s="2">
        <f t="shared" si="10"/>
        <v>101534.4</v>
      </c>
      <c r="G379" s="2">
        <f t="shared" si="11"/>
        <v>226.1345212</v>
      </c>
      <c r="J379" s="427">
        <v>45520.0</v>
      </c>
      <c r="K379" s="300">
        <v>20.0</v>
      </c>
      <c r="L379" s="300" t="s">
        <v>690</v>
      </c>
      <c r="M379" s="300" t="s">
        <v>1006</v>
      </c>
      <c r="N379" s="300">
        <v>1.0</v>
      </c>
      <c r="O379" s="300" t="s">
        <v>716</v>
      </c>
      <c r="P379" s="428" t="s">
        <v>717</v>
      </c>
      <c r="Q379" s="300" t="s">
        <v>386</v>
      </c>
      <c r="R379" s="6" t="s">
        <v>76</v>
      </c>
      <c r="S379" s="301"/>
      <c r="T379" s="301"/>
      <c r="X379" s="2">
        <f t="shared" si="12"/>
        <v>0</v>
      </c>
      <c r="AA379" s="301"/>
      <c r="AB379" s="301"/>
      <c r="AC379" s="301"/>
      <c r="AE379" s="301"/>
      <c r="AF379" s="301"/>
      <c r="AG379" s="301"/>
    </row>
    <row r="380">
      <c r="E380" s="2">
        <f t="shared" si="9"/>
        <v>449</v>
      </c>
      <c r="F380" s="2">
        <f t="shared" si="10"/>
        <v>101514.4</v>
      </c>
      <c r="G380" s="2">
        <f t="shared" si="11"/>
        <v>226.0899777</v>
      </c>
      <c r="J380" s="427">
        <v>45520.0</v>
      </c>
      <c r="K380" s="300">
        <v>500.0</v>
      </c>
      <c r="L380" s="300" t="s">
        <v>695</v>
      </c>
      <c r="M380" s="300" t="s">
        <v>1007</v>
      </c>
      <c r="N380" s="300">
        <v>2.0</v>
      </c>
      <c r="O380" s="300" t="s">
        <v>716</v>
      </c>
      <c r="P380" s="428" t="s">
        <v>992</v>
      </c>
      <c r="Q380" s="300" t="s">
        <v>1008</v>
      </c>
      <c r="R380" s="6" t="s">
        <v>76</v>
      </c>
      <c r="S380" s="301"/>
      <c r="T380" s="301"/>
      <c r="X380" s="2">
        <f t="shared" si="12"/>
        <v>0</v>
      </c>
      <c r="AA380" s="301"/>
      <c r="AB380" s="301"/>
      <c r="AC380" s="301"/>
      <c r="AE380" s="301"/>
      <c r="AF380" s="301"/>
      <c r="AG380" s="301"/>
    </row>
    <row r="381">
      <c r="E381" s="2">
        <f t="shared" si="9"/>
        <v>449</v>
      </c>
      <c r="F381" s="2">
        <f t="shared" si="10"/>
        <v>101014.4</v>
      </c>
      <c r="G381" s="2">
        <f t="shared" si="11"/>
        <v>224.976392</v>
      </c>
      <c r="J381" s="427">
        <v>45520.0</v>
      </c>
      <c r="K381" s="300">
        <v>270.0</v>
      </c>
      <c r="L381" s="300" t="s">
        <v>686</v>
      </c>
      <c r="M381" s="300" t="s">
        <v>1009</v>
      </c>
      <c r="N381" s="300">
        <v>2.0</v>
      </c>
      <c r="O381" s="300" t="s">
        <v>716</v>
      </c>
      <c r="P381" s="428" t="s">
        <v>992</v>
      </c>
      <c r="Q381" s="300" t="s">
        <v>1008</v>
      </c>
      <c r="R381" s="6" t="s">
        <v>76</v>
      </c>
      <c r="S381" s="301"/>
      <c r="T381" s="301"/>
      <c r="X381" s="2">
        <f t="shared" si="12"/>
        <v>0</v>
      </c>
      <c r="AA381" s="301"/>
      <c r="AB381" s="301"/>
      <c r="AC381" s="301"/>
      <c r="AE381" s="301"/>
      <c r="AF381" s="301"/>
      <c r="AG381" s="301"/>
    </row>
    <row r="382">
      <c r="E382" s="2">
        <f t="shared" si="9"/>
        <v>449</v>
      </c>
      <c r="F382" s="2">
        <f t="shared" si="10"/>
        <v>100744.4</v>
      </c>
      <c r="G382" s="2">
        <f t="shared" si="11"/>
        <v>224.3750557</v>
      </c>
      <c r="J382" s="430">
        <v>45520.0</v>
      </c>
      <c r="K382" s="302">
        <v>570.0</v>
      </c>
      <c r="L382" s="302" t="s">
        <v>686</v>
      </c>
      <c r="M382" s="302" t="s">
        <v>926</v>
      </c>
      <c r="N382" s="302">
        <v>35.0</v>
      </c>
      <c r="O382" s="302" t="s">
        <v>716</v>
      </c>
      <c r="P382" s="431" t="s">
        <v>1010</v>
      </c>
      <c r="Q382" s="302" t="s">
        <v>1011</v>
      </c>
      <c r="R382" s="258" t="s">
        <v>76</v>
      </c>
      <c r="S382" s="301"/>
      <c r="T382" s="301"/>
      <c r="X382" s="2">
        <f t="shared" si="12"/>
        <v>0</v>
      </c>
      <c r="AA382" s="301"/>
      <c r="AB382" s="301"/>
      <c r="AC382" s="301"/>
      <c r="AE382" s="301"/>
      <c r="AF382" s="301"/>
      <c r="AG382" s="301"/>
    </row>
    <row r="383">
      <c r="E383" s="2">
        <f t="shared" si="9"/>
        <v>448</v>
      </c>
      <c r="F383" s="2">
        <f t="shared" si="10"/>
        <v>100174.4</v>
      </c>
      <c r="G383" s="2">
        <f t="shared" si="11"/>
        <v>223.6035714</v>
      </c>
      <c r="J383" s="425">
        <v>45521.0</v>
      </c>
      <c r="K383" s="332">
        <v>150.0</v>
      </c>
      <c r="L383" s="332" t="s">
        <v>698</v>
      </c>
      <c r="M383" s="332" t="s">
        <v>1012</v>
      </c>
      <c r="N383" s="332">
        <v>2.0</v>
      </c>
      <c r="O383" s="332" t="s">
        <v>716</v>
      </c>
      <c r="P383" s="426" t="s">
        <v>717</v>
      </c>
      <c r="Q383" s="332" t="s">
        <v>1013</v>
      </c>
      <c r="R383" s="255" t="s">
        <v>76</v>
      </c>
      <c r="S383" s="301"/>
      <c r="T383" s="301"/>
      <c r="X383" s="2">
        <f t="shared" si="12"/>
        <v>0</v>
      </c>
      <c r="AA383" s="301"/>
      <c r="AB383" s="301"/>
      <c r="AC383" s="301"/>
      <c r="AE383" s="301"/>
      <c r="AF383" s="301"/>
      <c r="AG383" s="301"/>
    </row>
    <row r="384">
      <c r="E384" s="2">
        <f t="shared" si="9"/>
        <v>448</v>
      </c>
      <c r="F384" s="2">
        <f t="shared" si="10"/>
        <v>100024.4</v>
      </c>
      <c r="G384" s="2">
        <f t="shared" si="11"/>
        <v>223.26875</v>
      </c>
      <c r="J384" s="427">
        <v>45521.0</v>
      </c>
      <c r="K384" s="300">
        <v>180.0</v>
      </c>
      <c r="L384" s="300" t="s">
        <v>690</v>
      </c>
      <c r="M384" s="300" t="s">
        <v>1006</v>
      </c>
      <c r="N384" s="300">
        <v>10.0</v>
      </c>
      <c r="O384" s="300" t="s">
        <v>716</v>
      </c>
      <c r="P384" s="428" t="s">
        <v>1014</v>
      </c>
      <c r="Q384" s="300" t="s">
        <v>1001</v>
      </c>
      <c r="R384" s="6" t="s">
        <v>76</v>
      </c>
      <c r="S384" s="301"/>
      <c r="T384" s="301"/>
      <c r="X384" s="2">
        <f t="shared" si="12"/>
        <v>0</v>
      </c>
      <c r="AA384" s="301"/>
      <c r="AB384" s="301"/>
      <c r="AC384" s="301"/>
      <c r="AE384" s="301"/>
      <c r="AF384" s="301"/>
      <c r="AG384" s="301"/>
    </row>
    <row r="385">
      <c r="E385" s="2">
        <f t="shared" si="9"/>
        <v>448</v>
      </c>
      <c r="F385" s="2">
        <f t="shared" si="10"/>
        <v>99844.4</v>
      </c>
      <c r="G385" s="2">
        <f t="shared" si="11"/>
        <v>222.8669643</v>
      </c>
      <c r="J385" s="427">
        <v>45521.0</v>
      </c>
      <c r="K385" s="300">
        <v>100.0</v>
      </c>
      <c r="L385" s="300" t="s">
        <v>686</v>
      </c>
      <c r="M385" s="300" t="s">
        <v>1015</v>
      </c>
      <c r="N385" s="300">
        <v>10.0</v>
      </c>
      <c r="O385" s="300" t="s">
        <v>716</v>
      </c>
      <c r="P385" s="428" t="s">
        <v>1010</v>
      </c>
      <c r="Q385" s="300" t="s">
        <v>1001</v>
      </c>
      <c r="R385" s="6" t="s">
        <v>76</v>
      </c>
      <c r="S385" s="301"/>
      <c r="T385" s="301"/>
      <c r="X385" s="2">
        <f t="shared" si="12"/>
        <v>0</v>
      </c>
      <c r="AA385" s="301"/>
      <c r="AB385" s="301"/>
      <c r="AC385" s="301"/>
      <c r="AE385" s="301"/>
      <c r="AF385" s="301"/>
      <c r="AG385" s="301"/>
    </row>
    <row r="386">
      <c r="E386" s="2">
        <f t="shared" si="9"/>
        <v>448</v>
      </c>
      <c r="F386" s="2">
        <f t="shared" si="10"/>
        <v>99744.4</v>
      </c>
      <c r="G386" s="2">
        <f t="shared" si="11"/>
        <v>222.64375</v>
      </c>
      <c r="J386" s="427">
        <v>45521.0</v>
      </c>
      <c r="K386" s="300">
        <v>20.0</v>
      </c>
      <c r="L386" s="300" t="s">
        <v>686</v>
      </c>
      <c r="M386" s="300" t="s">
        <v>1016</v>
      </c>
      <c r="N386" s="300">
        <v>2.0</v>
      </c>
      <c r="O386" s="300" t="s">
        <v>716</v>
      </c>
      <c r="P386" s="428" t="s">
        <v>717</v>
      </c>
      <c r="Q386" s="300" t="s">
        <v>1001</v>
      </c>
      <c r="R386" s="6" t="s">
        <v>76</v>
      </c>
      <c r="S386" s="301"/>
      <c r="T386" s="301"/>
      <c r="X386" s="2">
        <f t="shared" si="12"/>
        <v>0</v>
      </c>
      <c r="AA386" s="301"/>
      <c r="AB386" s="301"/>
      <c r="AC386" s="301"/>
      <c r="AE386" s="301"/>
      <c r="AF386" s="301"/>
      <c r="AG386" s="301"/>
    </row>
    <row r="387">
      <c r="E387" s="2">
        <f t="shared" si="9"/>
        <v>448</v>
      </c>
      <c r="F387" s="2">
        <f t="shared" si="10"/>
        <v>99724.4</v>
      </c>
      <c r="G387" s="2">
        <f t="shared" si="11"/>
        <v>222.5991071</v>
      </c>
      <c r="J387" s="427">
        <v>45521.0</v>
      </c>
      <c r="K387" s="300">
        <v>2835.68</v>
      </c>
      <c r="L387" s="300" t="s">
        <v>692</v>
      </c>
      <c r="M387" s="300" t="s">
        <v>1017</v>
      </c>
      <c r="N387" s="300">
        <v>27.24</v>
      </c>
      <c r="O387" s="300" t="s">
        <v>747</v>
      </c>
      <c r="P387" s="428" t="s">
        <v>717</v>
      </c>
      <c r="Q387" s="300" t="s">
        <v>1018</v>
      </c>
      <c r="R387" s="6" t="s">
        <v>71</v>
      </c>
      <c r="S387" s="301"/>
      <c r="T387" s="301"/>
      <c r="X387" s="2">
        <f t="shared" si="12"/>
        <v>0</v>
      </c>
      <c r="AA387" s="301"/>
      <c r="AB387" s="301"/>
      <c r="AC387" s="301"/>
      <c r="AE387" s="301"/>
      <c r="AF387" s="301"/>
      <c r="AG387" s="301"/>
    </row>
    <row r="388">
      <c r="E388" s="2">
        <f t="shared" si="9"/>
        <v>448</v>
      </c>
      <c r="F388" s="2">
        <f t="shared" si="10"/>
        <v>96888.72</v>
      </c>
      <c r="G388" s="2">
        <f t="shared" si="11"/>
        <v>216.2694643</v>
      </c>
      <c r="J388" s="427">
        <v>45521.0</v>
      </c>
      <c r="K388" s="300">
        <v>360.0</v>
      </c>
      <c r="L388" s="300" t="s">
        <v>688</v>
      </c>
      <c r="M388" s="300" t="s">
        <v>868</v>
      </c>
      <c r="N388" s="300">
        <v>360.0</v>
      </c>
      <c r="O388" s="300" t="s">
        <v>712</v>
      </c>
      <c r="P388" s="428" t="s">
        <v>992</v>
      </c>
      <c r="Q388" s="300" t="s">
        <v>386</v>
      </c>
      <c r="R388" s="6" t="s">
        <v>91</v>
      </c>
      <c r="S388" s="301"/>
      <c r="T388" s="301"/>
      <c r="X388" s="2">
        <f t="shared" si="12"/>
        <v>0</v>
      </c>
      <c r="AA388" s="301"/>
      <c r="AB388" s="301"/>
      <c r="AC388" s="301"/>
      <c r="AE388" s="301"/>
      <c r="AF388" s="301"/>
      <c r="AG388" s="301"/>
    </row>
    <row r="389">
      <c r="E389" s="2">
        <f t="shared" si="9"/>
        <v>448</v>
      </c>
      <c r="F389" s="2">
        <f t="shared" si="10"/>
        <v>96528.72</v>
      </c>
      <c r="G389" s="2">
        <f t="shared" si="11"/>
        <v>215.4658929</v>
      </c>
      <c r="J389" s="430">
        <v>45521.0</v>
      </c>
      <c r="K389" s="302">
        <v>140.0</v>
      </c>
      <c r="L389" s="302" t="s">
        <v>686</v>
      </c>
      <c r="M389" s="302" t="s">
        <v>828</v>
      </c>
      <c r="N389" s="302">
        <v>14.0</v>
      </c>
      <c r="O389" s="302" t="s">
        <v>716</v>
      </c>
      <c r="P389" s="431" t="s">
        <v>1019</v>
      </c>
      <c r="Q389" s="302" t="s">
        <v>386</v>
      </c>
      <c r="R389" s="258" t="s">
        <v>91</v>
      </c>
      <c r="S389" s="301"/>
      <c r="T389" s="301"/>
      <c r="X389" s="2">
        <f t="shared" si="12"/>
        <v>0</v>
      </c>
      <c r="AA389" s="301"/>
      <c r="AB389" s="301"/>
      <c r="AC389" s="301"/>
      <c r="AE389" s="301"/>
      <c r="AF389" s="301"/>
      <c r="AG389" s="301"/>
    </row>
    <row r="390">
      <c r="E390" s="2">
        <f t="shared" si="9"/>
        <v>447</v>
      </c>
      <c r="F390" s="2">
        <f t="shared" si="10"/>
        <v>96388.72</v>
      </c>
      <c r="G390" s="2">
        <f t="shared" si="11"/>
        <v>215.6347204</v>
      </c>
      <c r="J390" s="425">
        <v>45522.0</v>
      </c>
      <c r="K390" s="332">
        <v>360.0</v>
      </c>
      <c r="L390" s="332" t="s">
        <v>688</v>
      </c>
      <c r="M390" s="332" t="s">
        <v>868</v>
      </c>
      <c r="N390" s="332">
        <v>2.0</v>
      </c>
      <c r="O390" s="332" t="s">
        <v>716</v>
      </c>
      <c r="P390" s="426" t="s">
        <v>992</v>
      </c>
      <c r="Q390" s="332" t="s">
        <v>386</v>
      </c>
      <c r="R390" s="255" t="s">
        <v>76</v>
      </c>
      <c r="S390" s="301"/>
      <c r="T390" s="301"/>
      <c r="X390" s="2">
        <f t="shared" si="12"/>
        <v>0</v>
      </c>
      <c r="AA390" s="301"/>
      <c r="AB390" s="301"/>
      <c r="AC390" s="301"/>
      <c r="AE390" s="301"/>
      <c r="AF390" s="301"/>
      <c r="AG390" s="301"/>
    </row>
    <row r="391">
      <c r="E391" s="2">
        <f t="shared" si="9"/>
        <v>447</v>
      </c>
      <c r="F391" s="2">
        <f t="shared" si="10"/>
        <v>96028.72</v>
      </c>
      <c r="G391" s="2">
        <f t="shared" si="11"/>
        <v>214.8293512</v>
      </c>
      <c r="J391" s="427">
        <v>45522.0</v>
      </c>
      <c r="K391" s="300">
        <v>80.0</v>
      </c>
      <c r="L391" s="300" t="s">
        <v>686</v>
      </c>
      <c r="M391" s="300" t="s">
        <v>928</v>
      </c>
      <c r="N391" s="300">
        <v>5.0</v>
      </c>
      <c r="O391" s="300" t="s">
        <v>716</v>
      </c>
      <c r="P391" s="428" t="s">
        <v>1020</v>
      </c>
      <c r="Q391" s="300" t="s">
        <v>386</v>
      </c>
      <c r="R391" s="6" t="s">
        <v>76</v>
      </c>
      <c r="S391" s="301"/>
      <c r="T391" s="301"/>
      <c r="X391" s="2">
        <f t="shared" si="12"/>
        <v>0</v>
      </c>
      <c r="AA391" s="301"/>
      <c r="AB391" s="301"/>
      <c r="AC391" s="301"/>
      <c r="AE391" s="301"/>
      <c r="AF391" s="301"/>
      <c r="AG391" s="301"/>
    </row>
    <row r="392">
      <c r="E392" s="2">
        <f t="shared" si="9"/>
        <v>447</v>
      </c>
      <c r="F392" s="2">
        <f t="shared" si="10"/>
        <v>95948.72</v>
      </c>
      <c r="G392" s="2">
        <f t="shared" si="11"/>
        <v>214.6503803</v>
      </c>
      <c r="J392" s="430">
        <v>45522.0</v>
      </c>
      <c r="K392" s="302">
        <v>60.0</v>
      </c>
      <c r="L392" s="302" t="s">
        <v>690</v>
      </c>
      <c r="M392" s="302" t="s">
        <v>1006</v>
      </c>
      <c r="N392" s="302">
        <v>3.0</v>
      </c>
      <c r="O392" s="302" t="s">
        <v>716</v>
      </c>
      <c r="P392" s="431" t="s">
        <v>1021</v>
      </c>
      <c r="Q392" s="302" t="s">
        <v>386</v>
      </c>
      <c r="R392" s="258" t="s">
        <v>76</v>
      </c>
      <c r="S392" s="301"/>
      <c r="T392" s="301"/>
      <c r="X392" s="2">
        <f t="shared" si="12"/>
        <v>0</v>
      </c>
      <c r="AA392" s="301"/>
      <c r="AB392" s="301"/>
      <c r="AC392" s="301"/>
      <c r="AE392" s="301"/>
      <c r="AF392" s="301"/>
      <c r="AG392" s="301"/>
    </row>
    <row r="393">
      <c r="E393" s="2">
        <f t="shared" si="9"/>
        <v>446</v>
      </c>
      <c r="F393" s="2">
        <f t="shared" si="10"/>
        <v>95888.72</v>
      </c>
      <c r="G393" s="2">
        <f t="shared" si="11"/>
        <v>214.99713</v>
      </c>
      <c r="J393" s="425">
        <v>45523.0</v>
      </c>
      <c r="K393" s="332">
        <v>100.0</v>
      </c>
      <c r="L393" s="332" t="s">
        <v>690</v>
      </c>
      <c r="M393" s="332" t="s">
        <v>908</v>
      </c>
      <c r="N393" s="332">
        <v>10.0</v>
      </c>
      <c r="O393" s="332" t="s">
        <v>716</v>
      </c>
      <c r="P393" s="426" t="s">
        <v>717</v>
      </c>
      <c r="Q393" s="332" t="s">
        <v>1022</v>
      </c>
      <c r="R393" s="255" t="s">
        <v>76</v>
      </c>
      <c r="S393" s="301"/>
      <c r="T393" s="301"/>
      <c r="X393" s="2">
        <f t="shared" si="12"/>
        <v>0</v>
      </c>
      <c r="AA393" s="301"/>
      <c r="AB393" s="301"/>
      <c r="AC393" s="301"/>
      <c r="AE393" s="301"/>
      <c r="AF393" s="301"/>
      <c r="AG393" s="301"/>
    </row>
    <row r="394">
      <c r="E394" s="2">
        <f t="shared" si="9"/>
        <v>446</v>
      </c>
      <c r="F394" s="2">
        <f t="shared" si="10"/>
        <v>95788.72</v>
      </c>
      <c r="G394" s="2">
        <f t="shared" si="11"/>
        <v>214.7729148</v>
      </c>
      <c r="J394" s="427">
        <v>45523.0</v>
      </c>
      <c r="K394" s="300">
        <v>1.0</v>
      </c>
      <c r="L394" s="300" t="s">
        <v>690</v>
      </c>
      <c r="M394" s="300" t="s">
        <v>883</v>
      </c>
      <c r="N394" s="300">
        <v>1.0</v>
      </c>
      <c r="O394" s="300" t="s">
        <v>716</v>
      </c>
      <c r="P394" s="428" t="s">
        <v>717</v>
      </c>
      <c r="Q394" s="300" t="s">
        <v>1022</v>
      </c>
      <c r="R394" s="6" t="s">
        <v>76</v>
      </c>
      <c r="S394" s="301"/>
      <c r="T394" s="301"/>
      <c r="X394" s="2">
        <f t="shared" si="12"/>
        <v>0</v>
      </c>
      <c r="AA394" s="301"/>
      <c r="AB394" s="301"/>
      <c r="AC394" s="301"/>
      <c r="AE394" s="301"/>
      <c r="AF394" s="301"/>
      <c r="AG394" s="301"/>
    </row>
    <row r="395">
      <c r="E395" s="2">
        <f t="shared" si="9"/>
        <v>446</v>
      </c>
      <c r="F395" s="2">
        <f t="shared" si="10"/>
        <v>95787.72</v>
      </c>
      <c r="G395" s="2">
        <f t="shared" si="11"/>
        <v>214.7706726</v>
      </c>
      <c r="J395" s="427">
        <v>45523.0</v>
      </c>
      <c r="K395" s="300">
        <v>2410.0</v>
      </c>
      <c r="L395" s="300" t="s">
        <v>686</v>
      </c>
      <c r="M395" s="300" t="s">
        <v>1023</v>
      </c>
      <c r="N395" s="300">
        <v>70.0</v>
      </c>
      <c r="O395" s="300" t="s">
        <v>716</v>
      </c>
      <c r="P395" s="428" t="s">
        <v>1010</v>
      </c>
      <c r="Q395" s="300" t="s">
        <v>1024</v>
      </c>
      <c r="R395" s="6" t="s">
        <v>76</v>
      </c>
      <c r="S395" s="301"/>
      <c r="T395" s="301"/>
      <c r="X395" s="2">
        <f t="shared" si="12"/>
        <v>0</v>
      </c>
      <c r="AA395" s="301"/>
      <c r="AB395" s="301"/>
      <c r="AC395" s="301"/>
      <c r="AE395" s="301"/>
      <c r="AF395" s="301"/>
      <c r="AG395" s="301"/>
    </row>
    <row r="396">
      <c r="E396" s="2">
        <f t="shared" si="9"/>
        <v>446</v>
      </c>
      <c r="F396" s="2">
        <f t="shared" si="10"/>
        <v>93377.72</v>
      </c>
      <c r="G396" s="2">
        <f t="shared" si="11"/>
        <v>209.3670852</v>
      </c>
      <c r="J396" s="430">
        <v>45523.0</v>
      </c>
      <c r="K396" s="302">
        <v>1000.0</v>
      </c>
      <c r="L396" s="302" t="s">
        <v>699</v>
      </c>
      <c r="M396" s="302" t="s">
        <v>1025</v>
      </c>
      <c r="N396" s="302">
        <v>1.0</v>
      </c>
      <c r="O396" s="302" t="s">
        <v>716</v>
      </c>
      <c r="P396" s="431" t="s">
        <v>380</v>
      </c>
      <c r="Q396" s="302" t="s">
        <v>380</v>
      </c>
      <c r="R396" s="258" t="s">
        <v>76</v>
      </c>
      <c r="S396" s="301"/>
      <c r="T396" s="301"/>
      <c r="X396" s="2">
        <f t="shared" si="12"/>
        <v>0</v>
      </c>
      <c r="AA396" s="301"/>
      <c r="AB396" s="301"/>
      <c r="AC396" s="301"/>
      <c r="AE396" s="301"/>
      <c r="AF396" s="301"/>
      <c r="AG396" s="301"/>
    </row>
    <row r="397">
      <c r="E397" s="2">
        <f t="shared" si="9"/>
        <v>445</v>
      </c>
      <c r="F397" s="2">
        <f t="shared" si="10"/>
        <v>92377.72</v>
      </c>
      <c r="G397" s="2">
        <f t="shared" si="11"/>
        <v>207.590382</v>
      </c>
      <c r="J397" s="425">
        <v>45524.0</v>
      </c>
      <c r="K397" s="332">
        <v>795.62</v>
      </c>
      <c r="L397" s="332" t="s">
        <v>692</v>
      </c>
      <c r="M397" s="332" t="s">
        <v>898</v>
      </c>
      <c r="N397" s="332">
        <v>7.64</v>
      </c>
      <c r="O397" s="332" t="s">
        <v>747</v>
      </c>
      <c r="P397" s="426" t="s">
        <v>717</v>
      </c>
      <c r="Q397" s="332" t="s">
        <v>1026</v>
      </c>
      <c r="R397" s="255" t="s">
        <v>687</v>
      </c>
      <c r="S397" s="301"/>
      <c r="T397" s="301"/>
      <c r="X397" s="2">
        <f t="shared" si="12"/>
        <v>0</v>
      </c>
      <c r="AA397" s="301"/>
      <c r="AB397" s="301"/>
      <c r="AC397" s="301"/>
      <c r="AE397" s="301"/>
      <c r="AF397" s="301"/>
      <c r="AG397" s="301"/>
    </row>
    <row r="398">
      <c r="E398" s="2">
        <f t="shared" si="9"/>
        <v>445</v>
      </c>
      <c r="F398" s="2">
        <f t="shared" si="10"/>
        <v>91582.1</v>
      </c>
      <c r="G398" s="2">
        <f t="shared" si="11"/>
        <v>205.8024719</v>
      </c>
      <c r="J398" s="430">
        <v>45524.0</v>
      </c>
      <c r="K398" s="302">
        <v>800.0</v>
      </c>
      <c r="L398" s="302" t="s">
        <v>686</v>
      </c>
      <c r="M398" s="302" t="s">
        <v>915</v>
      </c>
      <c r="N398" s="302">
        <v>4.0</v>
      </c>
      <c r="O398" s="302" t="s">
        <v>716</v>
      </c>
      <c r="P398" s="431" t="s">
        <v>1027</v>
      </c>
      <c r="Q398" s="302" t="s">
        <v>1028</v>
      </c>
      <c r="R398" s="258" t="s">
        <v>76</v>
      </c>
      <c r="S398" s="301"/>
      <c r="T398" s="301"/>
      <c r="X398" s="2">
        <f t="shared" si="12"/>
        <v>0</v>
      </c>
      <c r="AA398" s="301"/>
      <c r="AB398" s="301"/>
      <c r="AC398" s="301"/>
      <c r="AE398" s="301"/>
      <c r="AF398" s="301"/>
      <c r="AG398" s="301"/>
    </row>
    <row r="399">
      <c r="E399" s="2">
        <f t="shared" si="9"/>
        <v>444</v>
      </c>
      <c r="F399" s="2">
        <f t="shared" si="10"/>
        <v>90782.1</v>
      </c>
      <c r="G399" s="2">
        <f t="shared" si="11"/>
        <v>204.4641892</v>
      </c>
      <c r="J399" s="425">
        <v>45525.0</v>
      </c>
      <c r="K399" s="332">
        <v>26.0</v>
      </c>
      <c r="L399" s="332" t="s">
        <v>690</v>
      </c>
      <c r="M399" s="332" t="s">
        <v>782</v>
      </c>
      <c r="N399" s="332">
        <v>2.0</v>
      </c>
      <c r="O399" s="332" t="s">
        <v>716</v>
      </c>
      <c r="P399" s="426" t="s">
        <v>717</v>
      </c>
      <c r="Q399" s="332" t="s">
        <v>1029</v>
      </c>
      <c r="R399" s="255" t="s">
        <v>76</v>
      </c>
      <c r="S399" s="301"/>
      <c r="T399" s="301"/>
      <c r="X399" s="2">
        <f t="shared" si="12"/>
        <v>0</v>
      </c>
      <c r="AA399" s="301"/>
      <c r="AB399" s="301"/>
      <c r="AC399" s="301"/>
      <c r="AE399" s="301"/>
      <c r="AF399" s="301"/>
      <c r="AG399" s="301"/>
    </row>
    <row r="400">
      <c r="E400" s="2">
        <f t="shared" si="9"/>
        <v>444</v>
      </c>
      <c r="F400" s="2">
        <f t="shared" si="10"/>
        <v>90756.1</v>
      </c>
      <c r="G400" s="2">
        <f t="shared" si="11"/>
        <v>204.4056306</v>
      </c>
      <c r="J400" s="427">
        <v>45525.0</v>
      </c>
      <c r="K400" s="300">
        <v>2.0</v>
      </c>
      <c r="L400" s="300" t="s">
        <v>686</v>
      </c>
      <c r="M400" s="300" t="s">
        <v>1030</v>
      </c>
      <c r="N400" s="300">
        <v>2.0</v>
      </c>
      <c r="O400" s="300" t="s">
        <v>716</v>
      </c>
      <c r="P400" s="428" t="s">
        <v>717</v>
      </c>
      <c r="Q400" s="300" t="s">
        <v>1029</v>
      </c>
      <c r="R400" s="6" t="s">
        <v>76</v>
      </c>
      <c r="S400" s="301"/>
      <c r="T400" s="301"/>
      <c r="X400" s="2">
        <f t="shared" si="12"/>
        <v>0</v>
      </c>
      <c r="AA400" s="301"/>
      <c r="AB400" s="301"/>
      <c r="AC400" s="301"/>
      <c r="AE400" s="301"/>
      <c r="AF400" s="301"/>
      <c r="AG400" s="301"/>
    </row>
    <row r="401">
      <c r="E401" s="2">
        <f t="shared" si="9"/>
        <v>444</v>
      </c>
      <c r="F401" s="2">
        <f t="shared" si="10"/>
        <v>90754.1</v>
      </c>
      <c r="G401" s="2">
        <f t="shared" si="11"/>
        <v>204.4011261</v>
      </c>
      <c r="J401" s="427">
        <v>45525.0</v>
      </c>
      <c r="K401" s="300">
        <v>200.0</v>
      </c>
      <c r="L401" s="300" t="s">
        <v>690</v>
      </c>
      <c r="M401" s="300" t="s">
        <v>908</v>
      </c>
      <c r="N401" s="300">
        <v>20.0</v>
      </c>
      <c r="O401" s="300" t="s">
        <v>716</v>
      </c>
      <c r="P401" s="428" t="s">
        <v>717</v>
      </c>
      <c r="Q401" s="300" t="s">
        <v>1031</v>
      </c>
      <c r="R401" s="6" t="s">
        <v>76</v>
      </c>
      <c r="S401" s="301"/>
      <c r="T401" s="301"/>
      <c r="X401" s="2">
        <f t="shared" si="12"/>
        <v>0</v>
      </c>
      <c r="AA401" s="301"/>
      <c r="AB401" s="301"/>
      <c r="AC401" s="301"/>
      <c r="AE401" s="301"/>
      <c r="AF401" s="301"/>
      <c r="AG401" s="301"/>
    </row>
    <row r="402">
      <c r="E402" s="2">
        <f t="shared" si="9"/>
        <v>444</v>
      </c>
      <c r="F402" s="2">
        <f t="shared" si="10"/>
        <v>90554.1</v>
      </c>
      <c r="G402" s="2">
        <f t="shared" si="11"/>
        <v>203.9506757</v>
      </c>
      <c r="J402" s="427">
        <v>45525.0</v>
      </c>
      <c r="K402" s="300">
        <v>2.0</v>
      </c>
      <c r="L402" s="300" t="s">
        <v>690</v>
      </c>
      <c r="M402" s="300" t="s">
        <v>883</v>
      </c>
      <c r="N402" s="300">
        <v>1.0</v>
      </c>
      <c r="O402" s="300" t="s">
        <v>716</v>
      </c>
      <c r="P402" s="428" t="s">
        <v>717</v>
      </c>
      <c r="Q402" s="300" t="s">
        <v>1031</v>
      </c>
      <c r="R402" s="6" t="s">
        <v>76</v>
      </c>
      <c r="S402" s="301"/>
      <c r="T402" s="301"/>
      <c r="X402" s="2">
        <f t="shared" si="12"/>
        <v>0</v>
      </c>
      <c r="AA402" s="301"/>
      <c r="AB402" s="301"/>
      <c r="AC402" s="301"/>
      <c r="AE402" s="301"/>
      <c r="AF402" s="301"/>
      <c r="AG402" s="301"/>
    </row>
    <row r="403">
      <c r="E403" s="2">
        <f t="shared" si="9"/>
        <v>444</v>
      </c>
      <c r="F403" s="2">
        <f t="shared" si="10"/>
        <v>90552.1</v>
      </c>
      <c r="G403" s="2">
        <f t="shared" si="11"/>
        <v>203.9461712</v>
      </c>
      <c r="J403" s="427">
        <v>45525.0</v>
      </c>
      <c r="K403" s="300">
        <v>10.0</v>
      </c>
      <c r="L403" s="300" t="s">
        <v>686</v>
      </c>
      <c r="M403" s="300" t="s">
        <v>1032</v>
      </c>
      <c r="N403" s="300">
        <v>2.0</v>
      </c>
      <c r="O403" s="300" t="s">
        <v>716</v>
      </c>
      <c r="P403" s="428" t="s">
        <v>717</v>
      </c>
      <c r="Q403" s="300" t="s">
        <v>1031</v>
      </c>
      <c r="R403" s="6" t="s">
        <v>76</v>
      </c>
      <c r="S403" s="301"/>
      <c r="T403" s="301"/>
      <c r="X403" s="2">
        <f t="shared" si="12"/>
        <v>0</v>
      </c>
      <c r="AA403" s="301"/>
      <c r="AB403" s="301"/>
      <c r="AC403" s="301"/>
      <c r="AE403" s="301"/>
      <c r="AF403" s="301"/>
      <c r="AG403" s="301"/>
    </row>
    <row r="404">
      <c r="E404" s="2">
        <f t="shared" si="9"/>
        <v>444</v>
      </c>
      <c r="F404" s="2">
        <f t="shared" si="10"/>
        <v>90542.1</v>
      </c>
      <c r="G404" s="2">
        <f t="shared" si="11"/>
        <v>203.9236486</v>
      </c>
      <c r="J404" s="427">
        <v>45525.0</v>
      </c>
      <c r="K404" s="300">
        <v>3.0</v>
      </c>
      <c r="L404" s="300" t="s">
        <v>686</v>
      </c>
      <c r="M404" s="300" t="s">
        <v>1030</v>
      </c>
      <c r="N404" s="300">
        <v>3.0</v>
      </c>
      <c r="O404" s="300" t="s">
        <v>716</v>
      </c>
      <c r="P404" s="428" t="s">
        <v>717</v>
      </c>
      <c r="Q404" s="300" t="s">
        <v>1031</v>
      </c>
      <c r="R404" s="6" t="s">
        <v>76</v>
      </c>
      <c r="S404" s="301"/>
      <c r="T404" s="301"/>
      <c r="X404" s="2">
        <f t="shared" si="12"/>
        <v>0</v>
      </c>
      <c r="AA404" s="301"/>
      <c r="AB404" s="301"/>
      <c r="AC404" s="301"/>
      <c r="AE404" s="301"/>
      <c r="AF404" s="301"/>
      <c r="AG404" s="301"/>
    </row>
    <row r="405">
      <c r="E405" s="2">
        <f t="shared" si="9"/>
        <v>444</v>
      </c>
      <c r="F405" s="2">
        <f t="shared" si="10"/>
        <v>90539.1</v>
      </c>
      <c r="G405" s="2">
        <f t="shared" si="11"/>
        <v>203.9168919</v>
      </c>
      <c r="J405" s="430">
        <v>45525.0</v>
      </c>
      <c r="K405" s="302">
        <v>194.84</v>
      </c>
      <c r="L405" s="302" t="s">
        <v>686</v>
      </c>
      <c r="M405" s="302" t="s">
        <v>1033</v>
      </c>
      <c r="N405" s="302">
        <v>5.0</v>
      </c>
      <c r="O405" s="302" t="s">
        <v>716</v>
      </c>
      <c r="P405" s="431" t="s">
        <v>717</v>
      </c>
      <c r="Q405" s="302" t="s">
        <v>945</v>
      </c>
      <c r="R405" s="258" t="s">
        <v>76</v>
      </c>
      <c r="S405" s="301"/>
      <c r="T405" s="301"/>
      <c r="X405" s="2">
        <f t="shared" si="12"/>
        <v>0</v>
      </c>
      <c r="AA405" s="301"/>
      <c r="AB405" s="301"/>
      <c r="AC405" s="301"/>
      <c r="AE405" s="301"/>
      <c r="AF405" s="301"/>
      <c r="AG405" s="301"/>
    </row>
    <row r="406">
      <c r="E406" s="2">
        <f t="shared" si="9"/>
        <v>443</v>
      </c>
      <c r="F406" s="2">
        <f t="shared" si="10"/>
        <v>90344.26</v>
      </c>
      <c r="G406" s="2">
        <f t="shared" si="11"/>
        <v>203.9373815</v>
      </c>
      <c r="J406" s="427">
        <v>45526.0</v>
      </c>
      <c r="K406" s="300">
        <v>172.0</v>
      </c>
      <c r="L406" s="300" t="s">
        <v>696</v>
      </c>
      <c r="M406" s="300" t="s">
        <v>1034</v>
      </c>
      <c r="N406" s="300">
        <v>5.0</v>
      </c>
      <c r="O406" s="300" t="s">
        <v>716</v>
      </c>
      <c r="P406" s="428" t="s">
        <v>505</v>
      </c>
      <c r="Q406" s="300" t="s">
        <v>1035</v>
      </c>
      <c r="R406" s="6" t="s">
        <v>76</v>
      </c>
      <c r="S406" s="301"/>
      <c r="T406" s="301"/>
      <c r="X406" s="2">
        <f t="shared" si="12"/>
        <v>0</v>
      </c>
      <c r="AA406" s="301"/>
      <c r="AB406" s="301"/>
      <c r="AC406" s="301"/>
      <c r="AE406" s="301"/>
      <c r="AF406" s="301"/>
      <c r="AG406" s="301"/>
    </row>
    <row r="407">
      <c r="E407" s="2">
        <f t="shared" si="9"/>
        <v>443</v>
      </c>
      <c r="F407" s="2">
        <f t="shared" si="10"/>
        <v>90172.26</v>
      </c>
      <c r="G407" s="2">
        <f t="shared" si="11"/>
        <v>203.5491196</v>
      </c>
      <c r="J407" s="427">
        <v>45526.0</v>
      </c>
      <c r="K407" s="300">
        <v>1375.0</v>
      </c>
      <c r="L407" s="300" t="s">
        <v>686</v>
      </c>
      <c r="M407" s="300" t="s">
        <v>1036</v>
      </c>
      <c r="N407" s="300">
        <v>6.0</v>
      </c>
      <c r="O407" s="300" t="s">
        <v>716</v>
      </c>
      <c r="P407" s="428" t="s">
        <v>1037</v>
      </c>
      <c r="Q407" s="300" t="s">
        <v>1038</v>
      </c>
      <c r="R407" s="6" t="s">
        <v>76</v>
      </c>
      <c r="S407" s="301"/>
      <c r="T407" s="301"/>
      <c r="X407" s="2">
        <f t="shared" si="12"/>
        <v>0</v>
      </c>
      <c r="AA407" s="301"/>
      <c r="AB407" s="301"/>
      <c r="AC407" s="301"/>
      <c r="AE407" s="301"/>
      <c r="AF407" s="301"/>
      <c r="AG407" s="301"/>
    </row>
    <row r="408">
      <c r="E408" s="2">
        <f t="shared" si="9"/>
        <v>443</v>
      </c>
      <c r="F408" s="2">
        <f t="shared" si="10"/>
        <v>88797.26</v>
      </c>
      <c r="G408" s="2">
        <f t="shared" si="11"/>
        <v>200.4452822</v>
      </c>
      <c r="J408" s="427">
        <v>45526.0</v>
      </c>
      <c r="K408" s="300">
        <v>810.0</v>
      </c>
      <c r="L408" s="300" t="s">
        <v>686</v>
      </c>
      <c r="M408" s="300" t="s">
        <v>1039</v>
      </c>
      <c r="N408" s="300">
        <v>3.0</v>
      </c>
      <c r="O408" s="300" t="s">
        <v>716</v>
      </c>
      <c r="P408" s="428" t="s">
        <v>1037</v>
      </c>
      <c r="Q408" s="300" t="s">
        <v>1038</v>
      </c>
      <c r="R408" s="6" t="s">
        <v>76</v>
      </c>
      <c r="S408" s="301"/>
      <c r="T408" s="301"/>
      <c r="X408" s="2">
        <f t="shared" si="12"/>
        <v>0</v>
      </c>
      <c r="AA408" s="301"/>
      <c r="AB408" s="301"/>
      <c r="AC408" s="301"/>
      <c r="AE408" s="301"/>
      <c r="AF408" s="301"/>
      <c r="AG408" s="301"/>
    </row>
    <row r="409">
      <c r="E409" s="2">
        <f t="shared" si="9"/>
        <v>443</v>
      </c>
      <c r="F409" s="2">
        <f t="shared" si="10"/>
        <v>87987.26</v>
      </c>
      <c r="G409" s="2">
        <f t="shared" si="11"/>
        <v>198.6168397</v>
      </c>
      <c r="J409" s="427">
        <v>45526.0</v>
      </c>
      <c r="K409" s="300">
        <v>41.0</v>
      </c>
      <c r="L409" s="300" t="s">
        <v>690</v>
      </c>
      <c r="M409" s="300" t="s">
        <v>842</v>
      </c>
      <c r="N409" s="300">
        <v>3.0</v>
      </c>
      <c r="O409" s="300" t="s">
        <v>716</v>
      </c>
      <c r="P409" s="428" t="s">
        <v>717</v>
      </c>
      <c r="Q409" s="300" t="s">
        <v>1040</v>
      </c>
      <c r="R409" s="6" t="s">
        <v>76</v>
      </c>
      <c r="S409" s="301"/>
      <c r="T409" s="301"/>
      <c r="X409" s="2">
        <f t="shared" si="12"/>
        <v>0</v>
      </c>
      <c r="AA409" s="301"/>
      <c r="AB409" s="301"/>
      <c r="AC409" s="301"/>
      <c r="AE409" s="301"/>
      <c r="AF409" s="301"/>
      <c r="AG409" s="301"/>
    </row>
    <row r="410">
      <c r="E410" s="2">
        <f t="shared" si="9"/>
        <v>443</v>
      </c>
      <c r="F410" s="2">
        <f t="shared" si="10"/>
        <v>87946.26</v>
      </c>
      <c r="G410" s="2">
        <f t="shared" si="11"/>
        <v>198.5242889</v>
      </c>
      <c r="J410" s="427">
        <v>45526.0</v>
      </c>
      <c r="K410" s="300">
        <v>183.24</v>
      </c>
      <c r="L410" s="300" t="s">
        <v>698</v>
      </c>
      <c r="M410" s="300" t="s">
        <v>1041</v>
      </c>
      <c r="N410" s="300">
        <v>2.0</v>
      </c>
      <c r="O410" s="300" t="s">
        <v>716</v>
      </c>
      <c r="P410" s="428" t="s">
        <v>505</v>
      </c>
      <c r="Q410" s="300" t="s">
        <v>1042</v>
      </c>
      <c r="R410" s="6" t="s">
        <v>76</v>
      </c>
      <c r="S410" s="301"/>
      <c r="T410" s="301"/>
      <c r="X410" s="2">
        <f t="shared" si="12"/>
        <v>0</v>
      </c>
      <c r="AA410" s="301"/>
      <c r="AB410" s="301"/>
      <c r="AC410" s="301"/>
      <c r="AE410" s="301"/>
      <c r="AF410" s="301"/>
      <c r="AG410" s="301"/>
    </row>
    <row r="411">
      <c r="E411" s="2">
        <f t="shared" si="9"/>
        <v>443</v>
      </c>
      <c r="F411" s="2">
        <f t="shared" si="10"/>
        <v>87763.02</v>
      </c>
      <c r="G411" s="2">
        <f t="shared" si="11"/>
        <v>198.1106546</v>
      </c>
      <c r="J411" s="427">
        <v>45526.0</v>
      </c>
      <c r="K411" s="300">
        <v>913.28</v>
      </c>
      <c r="L411" s="300" t="s">
        <v>690</v>
      </c>
      <c r="M411" s="300" t="s">
        <v>908</v>
      </c>
      <c r="N411" s="300">
        <v>90.0</v>
      </c>
      <c r="O411" s="300" t="s">
        <v>716</v>
      </c>
      <c r="P411" s="428" t="s">
        <v>717</v>
      </c>
      <c r="Q411" s="300" t="s">
        <v>945</v>
      </c>
      <c r="R411" s="6" t="s">
        <v>76</v>
      </c>
      <c r="S411" s="301"/>
      <c r="T411" s="301"/>
      <c r="X411" s="2">
        <f t="shared" si="12"/>
        <v>0</v>
      </c>
      <c r="AA411" s="301"/>
      <c r="AB411" s="301"/>
      <c r="AC411" s="301"/>
      <c r="AE411" s="301"/>
      <c r="AF411" s="301"/>
      <c r="AG411" s="301"/>
    </row>
    <row r="412">
      <c r="E412" s="2">
        <f t="shared" si="9"/>
        <v>443</v>
      </c>
      <c r="F412" s="2">
        <f t="shared" si="10"/>
        <v>86849.74</v>
      </c>
      <c r="G412" s="2">
        <f t="shared" si="11"/>
        <v>196.0490745</v>
      </c>
      <c r="J412" s="430">
        <v>45526.0</v>
      </c>
      <c r="K412" s="302">
        <v>849.12</v>
      </c>
      <c r="L412" s="302" t="s">
        <v>695</v>
      </c>
      <c r="M412" s="302" t="s">
        <v>1043</v>
      </c>
      <c r="N412" s="302">
        <v>3.0</v>
      </c>
      <c r="O412" s="302" t="s">
        <v>716</v>
      </c>
      <c r="P412" s="431" t="s">
        <v>1037</v>
      </c>
      <c r="Q412" s="302" t="s">
        <v>1038</v>
      </c>
      <c r="R412" s="258" t="s">
        <v>687</v>
      </c>
      <c r="S412" s="301"/>
      <c r="T412" s="301"/>
      <c r="X412" s="2">
        <f t="shared" si="12"/>
        <v>0</v>
      </c>
      <c r="AA412" s="301"/>
      <c r="AB412" s="301"/>
      <c r="AC412" s="301"/>
      <c r="AE412" s="301"/>
      <c r="AF412" s="301"/>
      <c r="AG412" s="301"/>
    </row>
    <row r="413">
      <c r="E413" s="2">
        <f t="shared" si="9"/>
        <v>442</v>
      </c>
      <c r="F413" s="2">
        <f t="shared" si="10"/>
        <v>86000.62</v>
      </c>
      <c r="G413" s="2">
        <f t="shared" si="11"/>
        <v>194.5715385</v>
      </c>
      <c r="J413" s="427">
        <v>45527.0</v>
      </c>
      <c r="K413" s="300">
        <v>26.0</v>
      </c>
      <c r="L413" s="300" t="s">
        <v>690</v>
      </c>
      <c r="M413" s="300" t="s">
        <v>842</v>
      </c>
      <c r="N413" s="300">
        <v>2.0</v>
      </c>
      <c r="O413" s="300" t="s">
        <v>716</v>
      </c>
      <c r="P413" s="428" t="s">
        <v>717</v>
      </c>
      <c r="Q413" s="300" t="s">
        <v>878</v>
      </c>
      <c r="R413" s="6" t="s">
        <v>76</v>
      </c>
      <c r="S413" s="301"/>
      <c r="T413" s="301"/>
      <c r="X413" s="2">
        <f t="shared" si="12"/>
        <v>0</v>
      </c>
      <c r="AA413" s="301"/>
      <c r="AB413" s="301"/>
      <c r="AC413" s="301"/>
      <c r="AE413" s="301"/>
      <c r="AF413" s="301"/>
      <c r="AG413" s="301"/>
    </row>
    <row r="414">
      <c r="E414" s="2">
        <f t="shared" si="9"/>
        <v>442</v>
      </c>
      <c r="F414" s="2">
        <f t="shared" si="10"/>
        <v>85974.62</v>
      </c>
      <c r="G414" s="2">
        <f t="shared" si="11"/>
        <v>194.5127149</v>
      </c>
      <c r="J414" s="427">
        <v>45527.0</v>
      </c>
      <c r="K414" s="300">
        <v>20.0</v>
      </c>
      <c r="L414" s="300" t="s">
        <v>686</v>
      </c>
      <c r="M414" s="300" t="s">
        <v>725</v>
      </c>
      <c r="N414" s="300">
        <v>2.0</v>
      </c>
      <c r="O414" s="300" t="s">
        <v>716</v>
      </c>
      <c r="P414" s="428" t="s">
        <v>717</v>
      </c>
      <c r="Q414" s="300" t="s">
        <v>878</v>
      </c>
      <c r="R414" s="6" t="s">
        <v>76</v>
      </c>
      <c r="S414" s="301"/>
      <c r="T414" s="301"/>
      <c r="X414" s="2">
        <f t="shared" si="12"/>
        <v>0</v>
      </c>
      <c r="AA414" s="301"/>
      <c r="AB414" s="301"/>
      <c r="AC414" s="301"/>
      <c r="AE414" s="301"/>
      <c r="AF414" s="301"/>
      <c r="AG414" s="301"/>
    </row>
    <row r="415">
      <c r="E415" s="2">
        <f t="shared" si="9"/>
        <v>442</v>
      </c>
      <c r="F415" s="2">
        <f t="shared" si="10"/>
        <v>85954.62</v>
      </c>
      <c r="G415" s="2">
        <f t="shared" si="11"/>
        <v>194.4674661</v>
      </c>
      <c r="J415" s="427">
        <v>45527.0</v>
      </c>
      <c r="K415" s="300">
        <v>120.0</v>
      </c>
      <c r="L415" s="300" t="s">
        <v>686</v>
      </c>
      <c r="M415" s="300" t="s">
        <v>1044</v>
      </c>
      <c r="N415" s="300">
        <v>2.0</v>
      </c>
      <c r="O415" s="300" t="s">
        <v>716</v>
      </c>
      <c r="P415" s="428" t="s">
        <v>1045</v>
      </c>
      <c r="Q415" s="300" t="s">
        <v>768</v>
      </c>
      <c r="R415" s="6" t="s">
        <v>76</v>
      </c>
      <c r="S415" s="301"/>
      <c r="T415" s="301"/>
      <c r="X415" s="2">
        <f t="shared" si="12"/>
        <v>0</v>
      </c>
      <c r="AA415" s="301"/>
      <c r="AB415" s="301"/>
      <c r="AC415" s="301"/>
      <c r="AE415" s="301"/>
      <c r="AF415" s="301"/>
      <c r="AG415" s="301"/>
    </row>
    <row r="416">
      <c r="E416" s="2">
        <f t="shared" si="9"/>
        <v>442</v>
      </c>
      <c r="F416" s="2">
        <f t="shared" si="10"/>
        <v>85834.62</v>
      </c>
      <c r="G416" s="2">
        <f t="shared" si="11"/>
        <v>194.1959729</v>
      </c>
      <c r="J416" s="427">
        <v>45527.0</v>
      </c>
      <c r="K416" s="300">
        <v>390.0</v>
      </c>
      <c r="L416" s="300" t="s">
        <v>686</v>
      </c>
      <c r="M416" s="300" t="s">
        <v>1033</v>
      </c>
      <c r="N416" s="300">
        <v>500.0</v>
      </c>
      <c r="O416" s="300" t="s">
        <v>745</v>
      </c>
      <c r="P416" s="428" t="s">
        <v>1046</v>
      </c>
      <c r="Q416" s="300" t="s">
        <v>925</v>
      </c>
      <c r="R416" s="6" t="s">
        <v>76</v>
      </c>
      <c r="S416" s="301"/>
      <c r="T416" s="301"/>
      <c r="X416" s="2">
        <f t="shared" si="12"/>
        <v>0</v>
      </c>
      <c r="AA416" s="301"/>
      <c r="AB416" s="301"/>
      <c r="AC416" s="301"/>
      <c r="AE416" s="301"/>
      <c r="AF416" s="301"/>
      <c r="AG416" s="301"/>
    </row>
    <row r="417">
      <c r="E417" s="2">
        <f t="shared" si="9"/>
        <v>442</v>
      </c>
      <c r="F417" s="2">
        <f t="shared" si="10"/>
        <v>85444.62</v>
      </c>
      <c r="G417" s="2">
        <f t="shared" si="11"/>
        <v>193.3136199</v>
      </c>
      <c r="J417" s="427">
        <v>45527.0</v>
      </c>
      <c r="K417" s="300">
        <v>1100.0</v>
      </c>
      <c r="L417" s="300" t="s">
        <v>688</v>
      </c>
      <c r="M417" s="300" t="s">
        <v>1047</v>
      </c>
      <c r="N417" s="300">
        <v>6.0</v>
      </c>
      <c r="O417" s="300" t="s">
        <v>716</v>
      </c>
      <c r="P417" s="428" t="s">
        <v>713</v>
      </c>
      <c r="Q417" s="300" t="s">
        <v>925</v>
      </c>
      <c r="R417" s="6" t="s">
        <v>76</v>
      </c>
      <c r="S417" s="301"/>
      <c r="T417" s="301"/>
      <c r="X417" s="2">
        <f t="shared" si="12"/>
        <v>0</v>
      </c>
      <c r="AA417" s="301"/>
      <c r="AB417" s="301"/>
      <c r="AC417" s="301"/>
      <c r="AE417" s="301"/>
      <c r="AF417" s="301"/>
      <c r="AG417" s="301"/>
    </row>
    <row r="418">
      <c r="E418" s="2">
        <f t="shared" si="9"/>
        <v>442</v>
      </c>
      <c r="F418" s="2">
        <f t="shared" si="10"/>
        <v>84344.62</v>
      </c>
      <c r="G418" s="2">
        <f t="shared" si="11"/>
        <v>190.8249321</v>
      </c>
      <c r="J418" s="427">
        <v>45527.0</v>
      </c>
      <c r="K418" s="300">
        <v>2675.38</v>
      </c>
      <c r="L418" s="300" t="s">
        <v>692</v>
      </c>
      <c r="M418" s="300" t="s">
        <v>1017</v>
      </c>
      <c r="N418" s="300">
        <v>24.62</v>
      </c>
      <c r="O418" s="300" t="s">
        <v>747</v>
      </c>
      <c r="P418" s="428" t="s">
        <v>158</v>
      </c>
      <c r="Q418" s="300" t="s">
        <v>925</v>
      </c>
      <c r="R418" s="6" t="s">
        <v>76</v>
      </c>
      <c r="S418" s="301"/>
      <c r="T418" s="301"/>
      <c r="X418" s="2">
        <f t="shared" si="12"/>
        <v>0</v>
      </c>
      <c r="AA418" s="301"/>
      <c r="AB418" s="301"/>
      <c r="AC418" s="301"/>
      <c r="AE418" s="301"/>
      <c r="AF418" s="301"/>
      <c r="AG418" s="301"/>
    </row>
    <row r="419">
      <c r="E419" s="2">
        <f t="shared" si="9"/>
        <v>442</v>
      </c>
      <c r="F419" s="2">
        <f t="shared" si="10"/>
        <v>81669.24</v>
      </c>
      <c r="G419" s="2">
        <f t="shared" si="11"/>
        <v>184.7720362</v>
      </c>
      <c r="J419" s="430">
        <v>45527.0</v>
      </c>
      <c r="K419" s="302">
        <v>480.0</v>
      </c>
      <c r="L419" s="302" t="s">
        <v>686</v>
      </c>
      <c r="M419" s="302" t="s">
        <v>874</v>
      </c>
      <c r="N419" s="302">
        <v>10.0</v>
      </c>
      <c r="O419" s="302" t="s">
        <v>716</v>
      </c>
      <c r="P419" s="431" t="s">
        <v>1046</v>
      </c>
      <c r="Q419" s="302" t="s">
        <v>925</v>
      </c>
      <c r="R419" s="6" t="s">
        <v>76</v>
      </c>
      <c r="S419" s="301"/>
      <c r="T419" s="301"/>
      <c r="X419" s="2">
        <f t="shared" si="12"/>
        <v>0</v>
      </c>
      <c r="AA419" s="301"/>
      <c r="AB419" s="301"/>
      <c r="AC419" s="301"/>
      <c r="AE419" s="301"/>
      <c r="AF419" s="301"/>
      <c r="AG419" s="301"/>
    </row>
    <row r="420">
      <c r="E420" s="2">
        <f t="shared" si="9"/>
        <v>441</v>
      </c>
      <c r="F420" s="2">
        <f t="shared" si="10"/>
        <v>81189.24</v>
      </c>
      <c r="G420" s="2">
        <f t="shared" si="11"/>
        <v>184.102585</v>
      </c>
      <c r="J420" s="427">
        <v>45528.0</v>
      </c>
      <c r="K420" s="300">
        <v>750.0</v>
      </c>
      <c r="L420" s="300" t="s">
        <v>688</v>
      </c>
      <c r="M420" s="300" t="s">
        <v>1048</v>
      </c>
      <c r="N420" s="300">
        <v>5.0</v>
      </c>
      <c r="O420" s="300" t="s">
        <v>716</v>
      </c>
      <c r="P420" s="428" t="s">
        <v>1049</v>
      </c>
      <c r="Q420" s="300" t="s">
        <v>1050</v>
      </c>
      <c r="R420" s="6" t="s">
        <v>76</v>
      </c>
      <c r="S420" s="301"/>
      <c r="T420" s="301"/>
      <c r="X420" s="2">
        <f t="shared" si="12"/>
        <v>0</v>
      </c>
      <c r="AA420" s="301"/>
      <c r="AB420" s="301"/>
      <c r="AC420" s="301"/>
      <c r="AE420" s="301"/>
      <c r="AF420" s="301"/>
      <c r="AG420" s="301"/>
    </row>
    <row r="421">
      <c r="E421" s="2">
        <f t="shared" si="9"/>
        <v>441</v>
      </c>
      <c r="F421" s="2">
        <f t="shared" si="10"/>
        <v>80439.24</v>
      </c>
      <c r="G421" s="2">
        <f t="shared" si="11"/>
        <v>182.4019048</v>
      </c>
      <c r="J421" s="427">
        <v>45528.0</v>
      </c>
      <c r="K421" s="300">
        <v>600.0</v>
      </c>
      <c r="L421" s="300" t="s">
        <v>686</v>
      </c>
      <c r="M421" s="300" t="s">
        <v>1033</v>
      </c>
      <c r="N421" s="300">
        <v>500.0</v>
      </c>
      <c r="O421" s="300" t="s">
        <v>745</v>
      </c>
      <c r="P421" s="428" t="s">
        <v>1051</v>
      </c>
      <c r="Q421" s="300" t="s">
        <v>1050</v>
      </c>
      <c r="R421" s="6" t="s">
        <v>76</v>
      </c>
      <c r="S421" s="301"/>
      <c r="T421" s="301"/>
      <c r="X421" s="2">
        <f t="shared" si="12"/>
        <v>0</v>
      </c>
      <c r="AA421" s="301"/>
      <c r="AB421" s="301"/>
      <c r="AC421" s="301"/>
      <c r="AE421" s="301"/>
      <c r="AF421" s="301"/>
      <c r="AG421" s="301"/>
    </row>
    <row r="422">
      <c r="E422" s="2">
        <f t="shared" si="9"/>
        <v>441</v>
      </c>
      <c r="F422" s="2">
        <f t="shared" si="10"/>
        <v>79839.24</v>
      </c>
      <c r="G422" s="2">
        <f t="shared" si="11"/>
        <v>181.0413605</v>
      </c>
      <c r="J422" s="427">
        <v>45528.0</v>
      </c>
      <c r="K422" s="300">
        <v>46.0</v>
      </c>
      <c r="L422" s="300" t="s">
        <v>690</v>
      </c>
      <c r="M422" s="300" t="s">
        <v>1052</v>
      </c>
      <c r="N422" s="300">
        <v>10.0</v>
      </c>
      <c r="O422" s="300" t="s">
        <v>716</v>
      </c>
      <c r="P422" s="428" t="s">
        <v>1051</v>
      </c>
      <c r="Q422" s="300" t="s">
        <v>1050</v>
      </c>
      <c r="R422" s="6" t="s">
        <v>76</v>
      </c>
      <c r="S422" s="301"/>
      <c r="T422" s="301"/>
      <c r="X422" s="2">
        <f t="shared" si="12"/>
        <v>0</v>
      </c>
      <c r="AA422" s="301"/>
      <c r="AB422" s="301"/>
      <c r="AC422" s="301"/>
      <c r="AE422" s="301"/>
      <c r="AF422" s="301"/>
      <c r="AG422" s="301"/>
    </row>
    <row r="423">
      <c r="E423" s="2">
        <f t="shared" si="9"/>
        <v>441</v>
      </c>
      <c r="F423" s="2">
        <f t="shared" si="10"/>
        <v>79793.24</v>
      </c>
      <c r="G423" s="2">
        <f t="shared" si="11"/>
        <v>180.9370522</v>
      </c>
      <c r="J423" s="430">
        <v>45528.0</v>
      </c>
      <c r="K423" s="302">
        <v>5280.0</v>
      </c>
      <c r="L423" s="302" t="s">
        <v>690</v>
      </c>
      <c r="M423" s="302" t="s">
        <v>1053</v>
      </c>
      <c r="N423" s="302">
        <v>600.0</v>
      </c>
      <c r="O423" s="302" t="s">
        <v>716</v>
      </c>
      <c r="P423" s="431" t="s">
        <v>717</v>
      </c>
      <c r="Q423" s="302" t="s">
        <v>1050</v>
      </c>
      <c r="R423" s="258" t="s">
        <v>687</v>
      </c>
      <c r="S423" s="301"/>
      <c r="T423" s="301"/>
      <c r="X423" s="2">
        <f t="shared" si="12"/>
        <v>0</v>
      </c>
      <c r="AA423" s="301"/>
      <c r="AB423" s="301"/>
      <c r="AC423" s="301"/>
      <c r="AE423" s="301"/>
      <c r="AF423" s="301"/>
      <c r="AG423" s="301"/>
    </row>
    <row r="424">
      <c r="E424" s="2">
        <f t="shared" si="9"/>
        <v>440</v>
      </c>
      <c r="F424" s="2">
        <f t="shared" si="10"/>
        <v>74513.24</v>
      </c>
      <c r="G424" s="2">
        <f t="shared" si="11"/>
        <v>169.3482727</v>
      </c>
      <c r="J424" s="427">
        <v>45529.0</v>
      </c>
      <c r="K424" s="300">
        <v>39.0</v>
      </c>
      <c r="L424" s="300" t="s">
        <v>690</v>
      </c>
      <c r="M424" s="300" t="s">
        <v>912</v>
      </c>
      <c r="N424" s="300">
        <v>3.0</v>
      </c>
      <c r="O424" s="300" t="s">
        <v>716</v>
      </c>
      <c r="P424" s="428" t="s">
        <v>1054</v>
      </c>
      <c r="Q424" s="300" t="s">
        <v>1055</v>
      </c>
      <c r="R424" s="6" t="s">
        <v>76</v>
      </c>
      <c r="S424" s="301"/>
      <c r="T424" s="301"/>
      <c r="X424" s="2">
        <f t="shared" si="12"/>
        <v>0</v>
      </c>
      <c r="AA424" s="301"/>
      <c r="AB424" s="301"/>
      <c r="AC424" s="301"/>
      <c r="AE424" s="301"/>
      <c r="AF424" s="301"/>
      <c r="AG424" s="301"/>
    </row>
    <row r="425">
      <c r="E425" s="2">
        <f t="shared" si="9"/>
        <v>440</v>
      </c>
      <c r="F425" s="2">
        <f t="shared" si="10"/>
        <v>74474.24</v>
      </c>
      <c r="G425" s="2">
        <f t="shared" si="11"/>
        <v>169.2596364</v>
      </c>
      <c r="J425" s="427">
        <v>45529.0</v>
      </c>
      <c r="K425" s="300">
        <v>230.0</v>
      </c>
      <c r="L425" s="300" t="s">
        <v>686</v>
      </c>
      <c r="M425" s="300" t="s">
        <v>1056</v>
      </c>
      <c r="N425" s="300">
        <v>1.0</v>
      </c>
      <c r="O425" s="300" t="s">
        <v>716</v>
      </c>
      <c r="P425" s="428" t="s">
        <v>1057</v>
      </c>
      <c r="Q425" s="300" t="s">
        <v>1058</v>
      </c>
      <c r="R425" s="6" t="s">
        <v>76</v>
      </c>
      <c r="S425" s="301"/>
      <c r="T425" s="301"/>
      <c r="X425" s="2">
        <f t="shared" si="12"/>
        <v>0</v>
      </c>
      <c r="AA425" s="301"/>
      <c r="AB425" s="301"/>
      <c r="AC425" s="301"/>
      <c r="AE425" s="301"/>
      <c r="AF425" s="301"/>
      <c r="AG425" s="301"/>
    </row>
    <row r="426">
      <c r="E426" s="2">
        <f t="shared" si="9"/>
        <v>440</v>
      </c>
      <c r="F426" s="2">
        <f t="shared" si="10"/>
        <v>74244.24</v>
      </c>
      <c r="G426" s="2">
        <f t="shared" si="11"/>
        <v>168.7369091</v>
      </c>
      <c r="J426" s="427">
        <v>45529.0</v>
      </c>
      <c r="K426" s="300">
        <v>230.0</v>
      </c>
      <c r="L426" s="300" t="s">
        <v>686</v>
      </c>
      <c r="M426" s="300" t="s">
        <v>1056</v>
      </c>
      <c r="N426" s="300">
        <v>1.0</v>
      </c>
      <c r="O426" s="300" t="s">
        <v>716</v>
      </c>
      <c r="P426" s="428" t="s">
        <v>1059</v>
      </c>
      <c r="Q426" s="300" t="s">
        <v>1058</v>
      </c>
      <c r="R426" s="6" t="s">
        <v>76</v>
      </c>
      <c r="S426" s="301"/>
      <c r="T426" s="301"/>
      <c r="X426" s="2">
        <f t="shared" si="12"/>
        <v>0</v>
      </c>
      <c r="AA426" s="301"/>
      <c r="AB426" s="301"/>
      <c r="AC426" s="301"/>
      <c r="AE426" s="301"/>
      <c r="AF426" s="301"/>
      <c r="AG426" s="301"/>
    </row>
    <row r="427">
      <c r="E427" s="2">
        <f t="shared" si="9"/>
        <v>440</v>
      </c>
      <c r="F427" s="2">
        <f t="shared" si="10"/>
        <v>74014.24</v>
      </c>
      <c r="G427" s="2">
        <f t="shared" si="11"/>
        <v>168.2141818</v>
      </c>
      <c r="J427" s="427">
        <v>45529.0</v>
      </c>
      <c r="K427" s="300">
        <v>610.0</v>
      </c>
      <c r="L427" s="300" t="s">
        <v>686</v>
      </c>
      <c r="M427" s="300" t="s">
        <v>828</v>
      </c>
      <c r="N427" s="300">
        <v>5.0</v>
      </c>
      <c r="O427" s="300" t="s">
        <v>716</v>
      </c>
      <c r="P427" s="428" t="s">
        <v>1059</v>
      </c>
      <c r="Q427" s="300" t="s">
        <v>1058</v>
      </c>
      <c r="R427" s="6" t="s">
        <v>76</v>
      </c>
      <c r="S427" s="301"/>
      <c r="T427" s="301"/>
      <c r="X427" s="2">
        <f t="shared" si="12"/>
        <v>0</v>
      </c>
      <c r="AA427" s="301"/>
      <c r="AB427" s="301"/>
      <c r="AC427" s="301"/>
      <c r="AE427" s="301"/>
      <c r="AF427" s="301"/>
      <c r="AG427" s="301"/>
    </row>
    <row r="428">
      <c r="E428" s="2">
        <f t="shared" si="9"/>
        <v>440</v>
      </c>
      <c r="F428" s="2">
        <f t="shared" si="10"/>
        <v>73404.24</v>
      </c>
      <c r="G428" s="2">
        <f t="shared" si="11"/>
        <v>166.8278182</v>
      </c>
      <c r="J428" s="427">
        <v>45529.0</v>
      </c>
      <c r="K428" s="300">
        <v>170.0</v>
      </c>
      <c r="L428" s="300" t="s">
        <v>686</v>
      </c>
      <c r="M428" s="300" t="s">
        <v>1060</v>
      </c>
      <c r="N428" s="300">
        <v>1.0</v>
      </c>
      <c r="O428" s="300" t="s">
        <v>716</v>
      </c>
      <c r="P428" s="428" t="s">
        <v>505</v>
      </c>
      <c r="Q428" s="300" t="s">
        <v>1058</v>
      </c>
      <c r="R428" s="6" t="s">
        <v>76</v>
      </c>
      <c r="S428" s="301"/>
      <c r="T428" s="301"/>
      <c r="X428" s="2">
        <f t="shared" si="12"/>
        <v>0</v>
      </c>
      <c r="AA428" s="301"/>
      <c r="AB428" s="301"/>
      <c r="AC428" s="301"/>
      <c r="AE428" s="301"/>
      <c r="AF428" s="301"/>
      <c r="AG428" s="301"/>
    </row>
    <row r="429">
      <c r="E429" s="2">
        <f t="shared" si="9"/>
        <v>440</v>
      </c>
      <c r="F429" s="2">
        <f t="shared" si="10"/>
        <v>73234.24</v>
      </c>
      <c r="G429" s="2">
        <f t="shared" si="11"/>
        <v>166.4414545</v>
      </c>
      <c r="J429" s="427">
        <v>45529.0</v>
      </c>
      <c r="K429" s="300">
        <v>395.0</v>
      </c>
      <c r="L429" s="300" t="s">
        <v>686</v>
      </c>
      <c r="M429" s="300" t="s">
        <v>1033</v>
      </c>
      <c r="N429" s="300">
        <v>500.0</v>
      </c>
      <c r="O429" s="300" t="s">
        <v>745</v>
      </c>
      <c r="P429" s="428" t="s">
        <v>1061</v>
      </c>
      <c r="Q429" s="300" t="s">
        <v>1062</v>
      </c>
      <c r="R429" s="6" t="s">
        <v>76</v>
      </c>
      <c r="S429" s="301"/>
      <c r="T429" s="301"/>
      <c r="X429" s="2">
        <f t="shared" si="12"/>
        <v>0</v>
      </c>
      <c r="AA429" s="301"/>
      <c r="AB429" s="301"/>
      <c r="AC429" s="301"/>
      <c r="AE429" s="301"/>
      <c r="AF429" s="301"/>
      <c r="AG429" s="301"/>
    </row>
    <row r="430">
      <c r="E430" s="2">
        <f t="shared" si="9"/>
        <v>440</v>
      </c>
      <c r="F430" s="2">
        <f t="shared" si="10"/>
        <v>72839.24</v>
      </c>
      <c r="G430" s="2">
        <f t="shared" si="11"/>
        <v>165.5437273</v>
      </c>
      <c r="J430" s="430">
        <v>45529.0</v>
      </c>
      <c r="K430" s="302">
        <v>849.0</v>
      </c>
      <c r="L430" s="302" t="s">
        <v>695</v>
      </c>
      <c r="M430" s="302" t="s">
        <v>1063</v>
      </c>
      <c r="N430" s="302">
        <v>3.0</v>
      </c>
      <c r="O430" s="302" t="s">
        <v>716</v>
      </c>
      <c r="P430" s="431" t="s">
        <v>1059</v>
      </c>
      <c r="Q430" s="302" t="s">
        <v>1058</v>
      </c>
      <c r="R430" s="258" t="s">
        <v>76</v>
      </c>
      <c r="S430" s="301"/>
      <c r="T430" s="301"/>
      <c r="X430" s="2">
        <f t="shared" si="12"/>
        <v>0</v>
      </c>
      <c r="AA430" s="301"/>
      <c r="AB430" s="301"/>
      <c r="AC430" s="301"/>
      <c r="AE430" s="301"/>
      <c r="AF430" s="301"/>
      <c r="AG430" s="301"/>
    </row>
    <row r="431">
      <c r="E431" s="2">
        <f t="shared" si="9"/>
        <v>439</v>
      </c>
      <c r="F431" s="2">
        <f t="shared" si="10"/>
        <v>71990.24</v>
      </c>
      <c r="G431" s="2">
        <f t="shared" si="11"/>
        <v>163.9868793</v>
      </c>
      <c r="J431" s="427">
        <v>45530.0</v>
      </c>
      <c r="K431" s="300">
        <v>192.0</v>
      </c>
      <c r="L431" s="300" t="s">
        <v>686</v>
      </c>
      <c r="M431" s="300" t="s">
        <v>731</v>
      </c>
      <c r="N431" s="300">
        <v>30.0</v>
      </c>
      <c r="O431" s="300" t="s">
        <v>716</v>
      </c>
      <c r="P431" s="428" t="s">
        <v>1059</v>
      </c>
      <c r="Q431" s="300" t="s">
        <v>945</v>
      </c>
      <c r="R431" s="6" t="s">
        <v>76</v>
      </c>
      <c r="S431" s="301"/>
      <c r="T431" s="301"/>
      <c r="X431" s="2">
        <f t="shared" si="12"/>
        <v>0</v>
      </c>
      <c r="AA431" s="301"/>
      <c r="AB431" s="301"/>
      <c r="AC431" s="301"/>
      <c r="AE431" s="301"/>
      <c r="AF431" s="301"/>
      <c r="AG431" s="301"/>
    </row>
    <row r="432">
      <c r="E432" s="2">
        <f t="shared" si="9"/>
        <v>439</v>
      </c>
      <c r="F432" s="2">
        <f t="shared" si="10"/>
        <v>71798.24</v>
      </c>
      <c r="G432" s="2">
        <f t="shared" si="11"/>
        <v>163.5495216</v>
      </c>
      <c r="J432" s="427">
        <v>45530.0</v>
      </c>
      <c r="K432" s="300">
        <v>30.0</v>
      </c>
      <c r="L432" s="300" t="s">
        <v>686</v>
      </c>
      <c r="M432" s="300" t="s">
        <v>735</v>
      </c>
      <c r="N432" s="300">
        <v>500.0</v>
      </c>
      <c r="O432" s="300" t="s">
        <v>712</v>
      </c>
      <c r="P432" s="428" t="s">
        <v>1059</v>
      </c>
      <c r="Q432" s="300" t="s">
        <v>945</v>
      </c>
      <c r="R432" s="6" t="s">
        <v>76</v>
      </c>
      <c r="S432" s="301"/>
      <c r="T432" s="301"/>
      <c r="X432" s="2">
        <f t="shared" si="12"/>
        <v>0</v>
      </c>
      <c r="AA432" s="301"/>
      <c r="AB432" s="301"/>
      <c r="AC432" s="301"/>
      <c r="AE432" s="301"/>
      <c r="AF432" s="301"/>
      <c r="AG432" s="301"/>
    </row>
    <row r="433">
      <c r="E433" s="2">
        <f t="shared" si="9"/>
        <v>439</v>
      </c>
      <c r="F433" s="2">
        <f t="shared" si="10"/>
        <v>71768.24</v>
      </c>
      <c r="G433" s="2">
        <f t="shared" si="11"/>
        <v>163.4811845</v>
      </c>
      <c r="J433" s="427">
        <v>45530.0</v>
      </c>
      <c r="K433" s="300">
        <v>23.0</v>
      </c>
      <c r="L433" s="300" t="s">
        <v>686</v>
      </c>
      <c r="M433" s="300" t="s">
        <v>1064</v>
      </c>
      <c r="N433" s="300">
        <v>100.0</v>
      </c>
      <c r="O433" s="300" t="s">
        <v>745</v>
      </c>
      <c r="P433" s="428" t="s">
        <v>1059</v>
      </c>
      <c r="Q433" s="300" t="s">
        <v>945</v>
      </c>
      <c r="R433" s="6" t="s">
        <v>76</v>
      </c>
      <c r="S433" s="301"/>
      <c r="T433" s="301"/>
      <c r="X433" s="2">
        <f t="shared" si="12"/>
        <v>0</v>
      </c>
      <c r="AA433" s="301"/>
      <c r="AB433" s="301"/>
      <c r="AC433" s="301"/>
      <c r="AE433" s="301"/>
      <c r="AF433" s="301"/>
      <c r="AG433" s="301"/>
    </row>
    <row r="434">
      <c r="E434" s="2">
        <f t="shared" si="9"/>
        <v>439</v>
      </c>
      <c r="F434" s="2">
        <f t="shared" si="10"/>
        <v>71745.24</v>
      </c>
      <c r="G434" s="2">
        <f t="shared" si="11"/>
        <v>163.4287927</v>
      </c>
      <c r="J434" s="427">
        <v>45530.0</v>
      </c>
      <c r="K434" s="300">
        <v>83.0</v>
      </c>
      <c r="L434" s="300" t="s">
        <v>686</v>
      </c>
      <c r="M434" s="300" t="s">
        <v>1065</v>
      </c>
      <c r="N434" s="300">
        <v>200.0</v>
      </c>
      <c r="O434" s="300" t="s">
        <v>745</v>
      </c>
      <c r="P434" s="428" t="s">
        <v>1059</v>
      </c>
      <c r="Q434" s="300" t="s">
        <v>945</v>
      </c>
      <c r="R434" s="6" t="s">
        <v>76</v>
      </c>
      <c r="S434" s="301"/>
      <c r="T434" s="301"/>
      <c r="X434" s="2">
        <f t="shared" si="12"/>
        <v>0</v>
      </c>
      <c r="AA434" s="301"/>
      <c r="AB434" s="301"/>
      <c r="AC434" s="301"/>
      <c r="AE434" s="301"/>
      <c r="AF434" s="301"/>
      <c r="AG434" s="301"/>
    </row>
    <row r="435">
      <c r="E435" s="2">
        <f t="shared" si="9"/>
        <v>439</v>
      </c>
      <c r="F435" s="2">
        <f t="shared" si="10"/>
        <v>71662.24</v>
      </c>
      <c r="G435" s="2">
        <f t="shared" si="11"/>
        <v>163.2397267</v>
      </c>
      <c r="J435" s="427">
        <v>45530.0</v>
      </c>
      <c r="K435" s="300">
        <v>42.0</v>
      </c>
      <c r="L435" s="300" t="s">
        <v>686</v>
      </c>
      <c r="M435" s="300" t="s">
        <v>1066</v>
      </c>
      <c r="N435" s="300">
        <v>100.0</v>
      </c>
      <c r="O435" s="300" t="s">
        <v>745</v>
      </c>
      <c r="P435" s="428" t="s">
        <v>1059</v>
      </c>
      <c r="Q435" s="300" t="s">
        <v>945</v>
      </c>
      <c r="R435" s="6" t="s">
        <v>76</v>
      </c>
      <c r="S435" s="301"/>
      <c r="T435" s="301"/>
      <c r="X435" s="2">
        <f t="shared" si="12"/>
        <v>0</v>
      </c>
      <c r="AA435" s="301"/>
      <c r="AB435" s="301"/>
      <c r="AC435" s="301"/>
      <c r="AE435" s="301"/>
      <c r="AF435" s="301"/>
      <c r="AG435" s="301"/>
    </row>
    <row r="436">
      <c r="E436" s="2">
        <f t="shared" si="9"/>
        <v>439</v>
      </c>
      <c r="F436" s="2">
        <f t="shared" si="10"/>
        <v>71620.24</v>
      </c>
      <c r="G436" s="2">
        <f t="shared" si="11"/>
        <v>163.1440547</v>
      </c>
      <c r="J436" s="427">
        <v>45530.0</v>
      </c>
      <c r="K436" s="300">
        <v>69.0</v>
      </c>
      <c r="L436" s="300" t="s">
        <v>686</v>
      </c>
      <c r="M436" s="300" t="s">
        <v>910</v>
      </c>
      <c r="N436" s="300">
        <v>170.0</v>
      </c>
      <c r="O436" s="300" t="s">
        <v>745</v>
      </c>
      <c r="P436" s="428" t="s">
        <v>1059</v>
      </c>
      <c r="Q436" s="300" t="s">
        <v>945</v>
      </c>
      <c r="R436" s="6" t="s">
        <v>76</v>
      </c>
      <c r="S436" s="301"/>
      <c r="T436" s="301"/>
      <c r="X436" s="2">
        <f t="shared" si="12"/>
        <v>0</v>
      </c>
      <c r="AA436" s="301"/>
      <c r="AB436" s="301"/>
      <c r="AC436" s="301"/>
      <c r="AE436" s="301"/>
      <c r="AF436" s="301"/>
      <c r="AG436" s="301"/>
    </row>
    <row r="437">
      <c r="E437" s="2">
        <f t="shared" si="9"/>
        <v>439</v>
      </c>
      <c r="F437" s="2">
        <f t="shared" si="10"/>
        <v>71551.24</v>
      </c>
      <c r="G437" s="2">
        <f t="shared" si="11"/>
        <v>162.9868793</v>
      </c>
      <c r="J437" s="430">
        <v>45530.0</v>
      </c>
      <c r="K437" s="302">
        <v>120.0</v>
      </c>
      <c r="L437" s="302" t="s">
        <v>686</v>
      </c>
      <c r="M437" s="302" t="s">
        <v>1067</v>
      </c>
      <c r="N437" s="302">
        <v>2.0</v>
      </c>
      <c r="O437" s="302" t="s">
        <v>716</v>
      </c>
      <c r="P437" s="431" t="s">
        <v>1059</v>
      </c>
      <c r="Q437" s="302" t="s">
        <v>945</v>
      </c>
      <c r="R437" s="258" t="s">
        <v>76</v>
      </c>
      <c r="S437" s="301"/>
      <c r="T437" s="301"/>
      <c r="X437" s="2">
        <f t="shared" si="12"/>
        <v>0</v>
      </c>
      <c r="AA437" s="301"/>
      <c r="AB437" s="301"/>
      <c r="AC437" s="301"/>
      <c r="AE437" s="301"/>
      <c r="AF437" s="301"/>
      <c r="AG437" s="301"/>
    </row>
    <row r="438">
      <c r="E438" s="2">
        <f t="shared" si="9"/>
        <v>438</v>
      </c>
      <c r="F438" s="2">
        <f t="shared" si="10"/>
        <v>71431.24</v>
      </c>
      <c r="G438" s="2">
        <f t="shared" si="11"/>
        <v>163.0850228</v>
      </c>
      <c r="J438" s="433">
        <v>45531.0</v>
      </c>
      <c r="K438" s="296">
        <v>1590.0</v>
      </c>
      <c r="L438" s="296" t="s">
        <v>686</v>
      </c>
      <c r="M438" s="296" t="s">
        <v>1068</v>
      </c>
      <c r="N438" s="296">
        <v>10.0</v>
      </c>
      <c r="O438" s="296" t="s">
        <v>716</v>
      </c>
      <c r="P438" s="434" t="s">
        <v>1059</v>
      </c>
      <c r="Q438" s="296" t="s">
        <v>945</v>
      </c>
      <c r="R438" s="432" t="s">
        <v>76</v>
      </c>
      <c r="S438" s="301"/>
      <c r="T438" s="301"/>
      <c r="X438" s="2">
        <f t="shared" si="12"/>
        <v>0</v>
      </c>
      <c r="AA438" s="301"/>
      <c r="AB438" s="301"/>
      <c r="AC438" s="301"/>
      <c r="AE438" s="301"/>
      <c r="AF438" s="301"/>
      <c r="AG438" s="301"/>
    </row>
    <row r="439">
      <c r="E439" s="2">
        <f t="shared" si="9"/>
        <v>436</v>
      </c>
      <c r="F439" s="2">
        <f t="shared" si="10"/>
        <v>69841.24</v>
      </c>
      <c r="G439" s="2">
        <f t="shared" si="11"/>
        <v>160.1863303</v>
      </c>
      <c r="J439" s="433">
        <v>45533.0</v>
      </c>
      <c r="K439" s="296">
        <v>423.38</v>
      </c>
      <c r="L439" s="296" t="s">
        <v>686</v>
      </c>
      <c r="M439" s="296" t="s">
        <v>1068</v>
      </c>
      <c r="N439" s="296">
        <v>5.0</v>
      </c>
      <c r="O439" s="296" t="s">
        <v>716</v>
      </c>
      <c r="P439" s="434" t="s">
        <v>1069</v>
      </c>
      <c r="Q439" s="296" t="s">
        <v>945</v>
      </c>
      <c r="R439" s="6" t="s">
        <v>76</v>
      </c>
      <c r="S439" s="301"/>
      <c r="T439" s="301"/>
      <c r="X439" s="2">
        <f t="shared" si="12"/>
        <v>0</v>
      </c>
      <c r="AA439" s="301"/>
      <c r="AB439" s="301"/>
      <c r="AC439" s="301"/>
      <c r="AE439" s="301"/>
      <c r="AF439" s="301"/>
      <c r="AG439" s="301"/>
    </row>
    <row r="440">
      <c r="E440" s="2">
        <f t="shared" si="9"/>
        <v>435</v>
      </c>
      <c r="F440" s="2">
        <f t="shared" si="10"/>
        <v>69417.86</v>
      </c>
      <c r="G440" s="2">
        <f t="shared" si="11"/>
        <v>159.5812874</v>
      </c>
      <c r="J440" s="427">
        <v>45534.0</v>
      </c>
      <c r="K440" s="300">
        <v>292.99</v>
      </c>
      <c r="L440" s="300" t="s">
        <v>686</v>
      </c>
      <c r="M440" s="300" t="s">
        <v>1070</v>
      </c>
      <c r="N440" s="300">
        <v>5.0</v>
      </c>
      <c r="O440" s="300" t="s">
        <v>716</v>
      </c>
      <c r="P440" s="428" t="s">
        <v>1069</v>
      </c>
      <c r="Q440" s="300" t="s">
        <v>945</v>
      </c>
      <c r="R440" s="6" t="s">
        <v>76</v>
      </c>
      <c r="S440" s="301"/>
      <c r="T440" s="301"/>
      <c r="X440" s="2">
        <f t="shared" si="12"/>
        <v>0</v>
      </c>
      <c r="AA440" s="301"/>
      <c r="AB440" s="301"/>
      <c r="AC440" s="301"/>
      <c r="AE440" s="301"/>
      <c r="AF440" s="301"/>
      <c r="AG440" s="301"/>
    </row>
    <row r="441">
      <c r="E441" s="2">
        <f t="shared" si="9"/>
        <v>435</v>
      </c>
      <c r="F441" s="2">
        <f t="shared" si="10"/>
        <v>69124.87</v>
      </c>
      <c r="G441" s="2">
        <f t="shared" si="11"/>
        <v>158.9077471</v>
      </c>
      <c r="J441" s="427">
        <v>45534.0</v>
      </c>
      <c r="K441" s="300">
        <v>120.0</v>
      </c>
      <c r="L441" s="300" t="s">
        <v>686</v>
      </c>
      <c r="M441" s="300" t="s">
        <v>839</v>
      </c>
      <c r="N441" s="300">
        <v>1.0</v>
      </c>
      <c r="O441" s="300" t="s">
        <v>716</v>
      </c>
      <c r="P441" s="428" t="s">
        <v>1071</v>
      </c>
      <c r="Q441" s="300" t="s">
        <v>1072</v>
      </c>
      <c r="R441" s="6" t="s">
        <v>76</v>
      </c>
      <c r="S441" s="301"/>
      <c r="T441" s="301"/>
      <c r="X441" s="2">
        <f t="shared" si="12"/>
        <v>0</v>
      </c>
      <c r="AA441" s="301"/>
      <c r="AB441" s="301"/>
      <c r="AC441" s="301"/>
      <c r="AE441" s="301"/>
      <c r="AF441" s="301"/>
      <c r="AG441" s="301"/>
    </row>
    <row r="442">
      <c r="E442" s="2">
        <f t="shared" si="9"/>
        <v>435</v>
      </c>
      <c r="F442" s="2">
        <f t="shared" si="10"/>
        <v>69004.87</v>
      </c>
      <c r="G442" s="2">
        <f t="shared" si="11"/>
        <v>158.6318851</v>
      </c>
      <c r="J442" s="427">
        <v>45534.0</v>
      </c>
      <c r="K442" s="300">
        <v>26.0</v>
      </c>
      <c r="L442" s="300" t="s">
        <v>686</v>
      </c>
      <c r="M442" s="300" t="s">
        <v>1073</v>
      </c>
      <c r="N442" s="300">
        <v>2.0</v>
      </c>
      <c r="O442" s="300" t="s">
        <v>716</v>
      </c>
      <c r="P442" s="428" t="s">
        <v>1071</v>
      </c>
      <c r="Q442" s="300" t="s">
        <v>1074</v>
      </c>
      <c r="R442" s="6" t="s">
        <v>76</v>
      </c>
      <c r="S442" s="301"/>
      <c r="T442" s="301"/>
      <c r="X442" s="2">
        <f t="shared" si="12"/>
        <v>0</v>
      </c>
      <c r="AA442" s="301"/>
      <c r="AB442" s="301"/>
      <c r="AC442" s="301"/>
      <c r="AE442" s="301"/>
      <c r="AF442" s="301"/>
      <c r="AG442" s="301"/>
    </row>
    <row r="443">
      <c r="E443" s="2">
        <f t="shared" si="9"/>
        <v>435</v>
      </c>
      <c r="F443" s="2">
        <f t="shared" si="10"/>
        <v>68978.87</v>
      </c>
      <c r="G443" s="2">
        <f t="shared" si="11"/>
        <v>158.5721149</v>
      </c>
      <c r="J443" s="427">
        <v>45534.0</v>
      </c>
      <c r="K443" s="300">
        <v>10.0</v>
      </c>
      <c r="L443" s="300" t="s">
        <v>686</v>
      </c>
      <c r="M443" s="300" t="s">
        <v>793</v>
      </c>
      <c r="N443" s="300">
        <v>1.0</v>
      </c>
      <c r="O443" s="300" t="s">
        <v>716</v>
      </c>
      <c r="P443" s="428" t="s">
        <v>1071</v>
      </c>
      <c r="Q443" s="300" t="s">
        <v>1074</v>
      </c>
      <c r="R443" s="6" t="s">
        <v>76</v>
      </c>
      <c r="S443" s="301"/>
      <c r="T443" s="301"/>
      <c r="X443" s="2">
        <f t="shared" si="12"/>
        <v>0</v>
      </c>
      <c r="AA443" s="301"/>
      <c r="AB443" s="301"/>
      <c r="AC443" s="301"/>
      <c r="AE443" s="301"/>
      <c r="AF443" s="301"/>
      <c r="AG443" s="301"/>
    </row>
    <row r="444">
      <c r="E444" s="2">
        <f t="shared" si="9"/>
        <v>435</v>
      </c>
      <c r="F444" s="2">
        <f t="shared" si="10"/>
        <v>68968.87</v>
      </c>
      <c r="G444" s="2">
        <f t="shared" si="11"/>
        <v>158.5491264</v>
      </c>
      <c r="J444" s="427">
        <v>45534.0</v>
      </c>
      <c r="K444" s="300">
        <v>5.0</v>
      </c>
      <c r="L444" s="300" t="s">
        <v>686</v>
      </c>
      <c r="M444" s="300" t="s">
        <v>1075</v>
      </c>
      <c r="N444" s="300">
        <v>5.0</v>
      </c>
      <c r="O444" s="300" t="s">
        <v>716</v>
      </c>
      <c r="P444" s="428" t="s">
        <v>1071</v>
      </c>
      <c r="Q444" s="300" t="s">
        <v>1074</v>
      </c>
      <c r="R444" s="6" t="s">
        <v>76</v>
      </c>
      <c r="S444" s="301"/>
      <c r="T444" s="301"/>
      <c r="X444" s="2">
        <f t="shared" si="12"/>
        <v>0</v>
      </c>
      <c r="AA444" s="301"/>
      <c r="AB444" s="301"/>
      <c r="AC444" s="301"/>
      <c r="AE444" s="301"/>
      <c r="AF444" s="301"/>
      <c r="AG444" s="301"/>
    </row>
    <row r="445">
      <c r="E445" s="2">
        <f t="shared" si="9"/>
        <v>435</v>
      </c>
      <c r="F445" s="2">
        <f t="shared" si="10"/>
        <v>68963.87</v>
      </c>
      <c r="G445" s="2">
        <f t="shared" si="11"/>
        <v>158.5376322</v>
      </c>
      <c r="J445" s="427">
        <v>45534.0</v>
      </c>
      <c r="K445" s="300">
        <v>100.0</v>
      </c>
      <c r="L445" s="300" t="s">
        <v>698</v>
      </c>
      <c r="M445" s="300" t="s">
        <v>1076</v>
      </c>
      <c r="N445" s="300">
        <v>10.0</v>
      </c>
      <c r="O445" s="300" t="s">
        <v>716</v>
      </c>
      <c r="P445" s="428" t="s">
        <v>1077</v>
      </c>
      <c r="Q445" s="300" t="s">
        <v>1074</v>
      </c>
      <c r="R445" s="6" t="s">
        <v>76</v>
      </c>
      <c r="S445" s="301"/>
      <c r="T445" s="301"/>
      <c r="X445" s="2">
        <f t="shared" si="12"/>
        <v>0</v>
      </c>
      <c r="AA445" s="301"/>
      <c r="AB445" s="301"/>
      <c r="AC445" s="301"/>
      <c r="AE445" s="301"/>
      <c r="AF445" s="301"/>
      <c r="AG445" s="301"/>
    </row>
    <row r="446">
      <c r="E446" s="2">
        <f t="shared" si="9"/>
        <v>435</v>
      </c>
      <c r="F446" s="2">
        <f t="shared" si="10"/>
        <v>68863.87</v>
      </c>
      <c r="G446" s="2">
        <f t="shared" si="11"/>
        <v>158.3077471</v>
      </c>
      <c r="J446" s="427">
        <v>45534.0</v>
      </c>
      <c r="K446" s="300">
        <v>130.0</v>
      </c>
      <c r="L446" s="300" t="s">
        <v>686</v>
      </c>
      <c r="M446" s="300" t="s">
        <v>1078</v>
      </c>
      <c r="N446" s="300">
        <v>3.0</v>
      </c>
      <c r="O446" s="300" t="s">
        <v>716</v>
      </c>
      <c r="P446" s="428" t="s">
        <v>1079</v>
      </c>
      <c r="Q446" s="300" t="s">
        <v>1074</v>
      </c>
      <c r="R446" s="6" t="s">
        <v>76</v>
      </c>
      <c r="S446" s="301"/>
      <c r="T446" s="301"/>
      <c r="X446" s="2">
        <f t="shared" si="12"/>
        <v>0</v>
      </c>
      <c r="AA446" s="301"/>
      <c r="AB446" s="301"/>
      <c r="AC446" s="301"/>
      <c r="AE446" s="301"/>
      <c r="AF446" s="301"/>
      <c r="AG446" s="301"/>
    </row>
    <row r="447">
      <c r="E447" s="2">
        <f t="shared" si="9"/>
        <v>435</v>
      </c>
      <c r="F447" s="2">
        <f t="shared" si="10"/>
        <v>68733.87</v>
      </c>
      <c r="G447" s="2">
        <f t="shared" si="11"/>
        <v>158.0088966</v>
      </c>
      <c r="J447" s="427">
        <v>45534.0</v>
      </c>
      <c r="K447" s="300">
        <v>137.17</v>
      </c>
      <c r="L447" s="300" t="s">
        <v>686</v>
      </c>
      <c r="M447" s="300" t="s">
        <v>1080</v>
      </c>
      <c r="N447" s="300">
        <v>3.0</v>
      </c>
      <c r="O447" s="300" t="s">
        <v>716</v>
      </c>
      <c r="P447" s="428" t="s">
        <v>1077</v>
      </c>
      <c r="Q447" s="300" t="s">
        <v>945</v>
      </c>
      <c r="R447" s="6" t="s">
        <v>76</v>
      </c>
      <c r="S447" s="301"/>
      <c r="T447" s="301"/>
      <c r="X447" s="2">
        <f t="shared" si="12"/>
        <v>0</v>
      </c>
      <c r="AA447" s="301"/>
      <c r="AB447" s="301"/>
      <c r="AC447" s="301"/>
      <c r="AE447" s="301"/>
      <c r="AF447" s="301"/>
      <c r="AG447" s="301"/>
    </row>
    <row r="448">
      <c r="E448" s="2">
        <f t="shared" si="9"/>
        <v>435</v>
      </c>
      <c r="F448" s="2">
        <f t="shared" si="10"/>
        <v>68596.7</v>
      </c>
      <c r="G448" s="2">
        <f t="shared" si="11"/>
        <v>157.6935632</v>
      </c>
      <c r="J448" s="430">
        <v>45534.0</v>
      </c>
      <c r="K448" s="302">
        <v>20.0</v>
      </c>
      <c r="L448" s="302" t="s">
        <v>686</v>
      </c>
      <c r="M448" s="302" t="s">
        <v>1081</v>
      </c>
      <c r="N448" s="302">
        <v>1.0</v>
      </c>
      <c r="O448" s="302" t="s">
        <v>716</v>
      </c>
      <c r="P448" s="431" t="s">
        <v>505</v>
      </c>
      <c r="Q448" s="302" t="s">
        <v>1082</v>
      </c>
      <c r="R448" s="258" t="s">
        <v>76</v>
      </c>
      <c r="S448" s="301"/>
      <c r="T448" s="301"/>
      <c r="X448" s="2">
        <f t="shared" si="12"/>
        <v>0</v>
      </c>
      <c r="AA448" s="301"/>
      <c r="AB448" s="301"/>
      <c r="AC448" s="301"/>
      <c r="AE448" s="301"/>
      <c r="AF448" s="301"/>
      <c r="AG448" s="301"/>
    </row>
    <row r="449">
      <c r="E449" s="2">
        <f t="shared" si="9"/>
        <v>434</v>
      </c>
      <c r="F449" s="2">
        <f t="shared" si="10"/>
        <v>68576.7</v>
      </c>
      <c r="G449" s="2">
        <f t="shared" si="11"/>
        <v>158.0108295</v>
      </c>
      <c r="J449" s="425">
        <v>45535.0</v>
      </c>
      <c r="K449" s="332">
        <v>2792.66</v>
      </c>
      <c r="L449" s="332" t="s">
        <v>692</v>
      </c>
      <c r="M449" s="332" t="s">
        <v>788</v>
      </c>
      <c r="N449" s="332">
        <v>26.0</v>
      </c>
      <c r="O449" s="332" t="s">
        <v>747</v>
      </c>
      <c r="P449" s="426" t="s">
        <v>1071</v>
      </c>
      <c r="Q449" s="332" t="s">
        <v>1083</v>
      </c>
      <c r="R449" s="255" t="s">
        <v>687</v>
      </c>
      <c r="S449" s="301"/>
      <c r="T449" s="301"/>
      <c r="X449" s="2">
        <f t="shared" si="12"/>
        <v>0</v>
      </c>
      <c r="AA449" s="301"/>
      <c r="AB449" s="301"/>
      <c r="AC449" s="301"/>
      <c r="AE449" s="301"/>
      <c r="AF449" s="301"/>
      <c r="AG449" s="301"/>
    </row>
    <row r="450">
      <c r="E450" s="2">
        <f t="shared" si="9"/>
        <v>434</v>
      </c>
      <c r="F450" s="2">
        <f t="shared" si="10"/>
        <v>65784.04</v>
      </c>
      <c r="G450" s="2">
        <f t="shared" si="11"/>
        <v>151.576129</v>
      </c>
      <c r="J450" s="427">
        <v>45535.0</v>
      </c>
      <c r="K450" s="300">
        <v>1140.0</v>
      </c>
      <c r="L450" s="300" t="s">
        <v>686</v>
      </c>
      <c r="M450" s="300" t="s">
        <v>1084</v>
      </c>
      <c r="N450" s="300">
        <v>3.0</v>
      </c>
      <c r="O450" s="300" t="s">
        <v>716</v>
      </c>
      <c r="P450" s="428" t="s">
        <v>1057</v>
      </c>
      <c r="Q450" s="300" t="s">
        <v>1085</v>
      </c>
      <c r="R450" s="6" t="s">
        <v>76</v>
      </c>
      <c r="S450" s="301"/>
      <c r="T450" s="301"/>
      <c r="X450" s="2">
        <f t="shared" si="12"/>
        <v>0</v>
      </c>
      <c r="AA450" s="301"/>
      <c r="AB450" s="301"/>
      <c r="AC450" s="301"/>
      <c r="AE450" s="301"/>
      <c r="AF450" s="301"/>
      <c r="AG450" s="301"/>
    </row>
    <row r="451">
      <c r="E451" s="2">
        <f t="shared" si="9"/>
        <v>434</v>
      </c>
      <c r="F451" s="2">
        <f t="shared" si="10"/>
        <v>64644.04</v>
      </c>
      <c r="G451" s="2">
        <f t="shared" si="11"/>
        <v>148.9494009</v>
      </c>
      <c r="J451" s="427">
        <v>45535.0</v>
      </c>
      <c r="K451" s="300">
        <v>375.0</v>
      </c>
      <c r="L451" s="300" t="s">
        <v>686</v>
      </c>
      <c r="M451" s="300" t="s">
        <v>1086</v>
      </c>
      <c r="N451" s="300">
        <v>5.0</v>
      </c>
      <c r="O451" s="300" t="s">
        <v>716</v>
      </c>
      <c r="P451" s="428" t="s">
        <v>1087</v>
      </c>
      <c r="Q451" s="300" t="s">
        <v>1088</v>
      </c>
      <c r="R451" s="6" t="s">
        <v>76</v>
      </c>
      <c r="S451" s="301"/>
      <c r="T451" s="301"/>
      <c r="X451" s="2">
        <f t="shared" si="12"/>
        <v>0</v>
      </c>
      <c r="AA451" s="301"/>
      <c r="AB451" s="301"/>
      <c r="AC451" s="301"/>
      <c r="AE451" s="301"/>
      <c r="AF451" s="301"/>
      <c r="AG451" s="301"/>
    </row>
    <row r="452">
      <c r="E452" s="2">
        <f t="shared" si="9"/>
        <v>434</v>
      </c>
      <c r="F452" s="2">
        <f t="shared" si="10"/>
        <v>64269.04</v>
      </c>
      <c r="G452" s="2">
        <f t="shared" si="11"/>
        <v>148.0853456</v>
      </c>
      <c r="J452" s="427">
        <v>45535.0</v>
      </c>
      <c r="K452" s="300">
        <v>125.0</v>
      </c>
      <c r="L452" s="300" t="s">
        <v>690</v>
      </c>
      <c r="M452" s="300" t="s">
        <v>995</v>
      </c>
      <c r="N452" s="300">
        <v>6.0</v>
      </c>
      <c r="O452" s="300" t="s">
        <v>716</v>
      </c>
      <c r="P452" s="428" t="s">
        <v>1089</v>
      </c>
      <c r="Q452" s="300" t="s">
        <v>818</v>
      </c>
      <c r="R452" s="6" t="s">
        <v>76</v>
      </c>
      <c r="S452" s="301"/>
      <c r="T452" s="301"/>
      <c r="X452" s="2">
        <f t="shared" si="12"/>
        <v>0</v>
      </c>
      <c r="AA452" s="301"/>
      <c r="AB452" s="301"/>
      <c r="AC452" s="301"/>
      <c r="AE452" s="301"/>
      <c r="AF452" s="301"/>
      <c r="AG452" s="301"/>
    </row>
    <row r="453">
      <c r="E453" s="2">
        <f t="shared" si="9"/>
        <v>434</v>
      </c>
      <c r="F453" s="2">
        <f t="shared" si="10"/>
        <v>64144.04</v>
      </c>
      <c r="G453" s="2">
        <f t="shared" si="11"/>
        <v>147.7973272</v>
      </c>
      <c r="J453" s="427">
        <v>45535.0</v>
      </c>
      <c r="K453" s="300">
        <v>970.0</v>
      </c>
      <c r="L453" s="300" t="s">
        <v>688</v>
      </c>
      <c r="M453" s="300" t="s">
        <v>1090</v>
      </c>
      <c r="N453" s="300">
        <v>3.0</v>
      </c>
      <c r="O453" s="300" t="s">
        <v>716</v>
      </c>
      <c r="P453" s="428" t="s">
        <v>1091</v>
      </c>
      <c r="Q453" s="300" t="s">
        <v>818</v>
      </c>
      <c r="R453" s="6" t="s">
        <v>76</v>
      </c>
      <c r="S453" s="301"/>
      <c r="T453" s="301"/>
      <c r="X453" s="2">
        <f t="shared" si="12"/>
        <v>0</v>
      </c>
      <c r="AA453" s="301"/>
      <c r="AB453" s="301"/>
      <c r="AC453" s="301"/>
      <c r="AE453" s="301"/>
      <c r="AF453" s="301"/>
      <c r="AG453" s="301"/>
    </row>
    <row r="454">
      <c r="E454" s="2">
        <f t="shared" si="9"/>
        <v>434</v>
      </c>
      <c r="F454" s="2">
        <f t="shared" si="10"/>
        <v>63174.04</v>
      </c>
      <c r="G454" s="2">
        <f t="shared" si="11"/>
        <v>145.5623041</v>
      </c>
      <c r="J454" s="427">
        <v>45535.0</v>
      </c>
      <c r="K454" s="300">
        <v>400.0</v>
      </c>
      <c r="L454" s="300" t="s">
        <v>695</v>
      </c>
      <c r="M454" s="300" t="s">
        <v>1092</v>
      </c>
      <c r="N454" s="300">
        <v>4.0</v>
      </c>
      <c r="O454" s="300" t="s">
        <v>716</v>
      </c>
      <c r="P454" s="428" t="s">
        <v>1093</v>
      </c>
      <c r="Q454" s="300" t="s">
        <v>1094</v>
      </c>
      <c r="R454" s="6" t="s">
        <v>76</v>
      </c>
      <c r="S454" s="301"/>
      <c r="T454" s="301"/>
      <c r="X454" s="2">
        <f t="shared" si="12"/>
        <v>0</v>
      </c>
      <c r="AA454" s="301"/>
      <c r="AB454" s="301"/>
      <c r="AC454" s="301"/>
      <c r="AE454" s="301"/>
      <c r="AF454" s="301"/>
      <c r="AG454" s="301"/>
    </row>
    <row r="455">
      <c r="E455" s="2">
        <f t="shared" si="9"/>
        <v>434</v>
      </c>
      <c r="F455" s="2">
        <f t="shared" si="10"/>
        <v>62774.04</v>
      </c>
      <c r="G455" s="2">
        <f t="shared" si="11"/>
        <v>144.6406452</v>
      </c>
      <c r="J455" s="427">
        <v>45535.0</v>
      </c>
      <c r="K455" s="300">
        <v>937.0</v>
      </c>
      <c r="L455" s="300" t="s">
        <v>686</v>
      </c>
      <c r="M455" s="300" t="s">
        <v>1095</v>
      </c>
      <c r="N455" s="300">
        <v>3.0</v>
      </c>
      <c r="O455" s="300" t="s">
        <v>716</v>
      </c>
      <c r="P455" s="428" t="s">
        <v>1096</v>
      </c>
      <c r="Q455" s="300" t="s">
        <v>818</v>
      </c>
      <c r="R455" s="6" t="s">
        <v>76</v>
      </c>
      <c r="S455" s="301"/>
      <c r="T455" s="301"/>
      <c r="X455" s="2">
        <f t="shared" si="12"/>
        <v>0</v>
      </c>
      <c r="AA455" s="301"/>
      <c r="AB455" s="301"/>
      <c r="AC455" s="301"/>
      <c r="AE455" s="301"/>
      <c r="AF455" s="301"/>
      <c r="AG455" s="301"/>
    </row>
    <row r="456">
      <c r="E456" s="2">
        <f t="shared" si="9"/>
        <v>434</v>
      </c>
      <c r="F456" s="2">
        <f t="shared" si="10"/>
        <v>61837.04</v>
      </c>
      <c r="G456" s="2">
        <f t="shared" si="11"/>
        <v>142.481659</v>
      </c>
      <c r="J456" s="430">
        <v>45535.0</v>
      </c>
      <c r="K456" s="302">
        <v>54.0</v>
      </c>
      <c r="L456" s="302" t="s">
        <v>690</v>
      </c>
      <c r="M456" s="302" t="s">
        <v>995</v>
      </c>
      <c r="N456" s="302">
        <v>3.0</v>
      </c>
      <c r="O456" s="302" t="s">
        <v>716</v>
      </c>
      <c r="P456" s="431" t="s">
        <v>1089</v>
      </c>
      <c r="Q456" s="302" t="s">
        <v>818</v>
      </c>
      <c r="R456" s="258" t="s">
        <v>76</v>
      </c>
      <c r="S456" s="301"/>
      <c r="T456" s="301"/>
      <c r="X456" s="2">
        <f t="shared" si="12"/>
        <v>0</v>
      </c>
      <c r="AA456" s="301"/>
      <c r="AB456" s="301"/>
      <c r="AC456" s="301"/>
      <c r="AE456" s="301"/>
      <c r="AF456" s="301"/>
      <c r="AG456" s="301"/>
    </row>
    <row r="457">
      <c r="E457" s="2">
        <f t="shared" si="9"/>
        <v>433</v>
      </c>
      <c r="F457" s="2">
        <f t="shared" si="10"/>
        <v>61783.04</v>
      </c>
      <c r="G457" s="2">
        <f t="shared" si="11"/>
        <v>142.6860046</v>
      </c>
      <c r="J457" s="427">
        <v>45536.0</v>
      </c>
      <c r="K457" s="300">
        <v>330.0</v>
      </c>
      <c r="L457" s="300" t="s">
        <v>686</v>
      </c>
      <c r="M457" s="300" t="s">
        <v>965</v>
      </c>
      <c r="N457" s="300">
        <v>6.0</v>
      </c>
      <c r="O457" s="300" t="s">
        <v>716</v>
      </c>
      <c r="P457" s="428" t="s">
        <v>1097</v>
      </c>
      <c r="Q457" s="300" t="s">
        <v>1098</v>
      </c>
      <c r="R457" s="6" t="s">
        <v>76</v>
      </c>
      <c r="S457" s="301"/>
      <c r="T457" s="301"/>
      <c r="X457" s="2">
        <f t="shared" si="12"/>
        <v>0</v>
      </c>
      <c r="AA457" s="301"/>
      <c r="AB457" s="301"/>
      <c r="AC457" s="301"/>
      <c r="AE457" s="301"/>
      <c r="AF457" s="301"/>
      <c r="AG457" s="301"/>
    </row>
    <row r="458">
      <c r="E458" s="2">
        <f t="shared" si="9"/>
        <v>433</v>
      </c>
      <c r="F458" s="2">
        <f t="shared" si="10"/>
        <v>61453.04</v>
      </c>
      <c r="G458" s="2">
        <f t="shared" si="11"/>
        <v>141.9238799</v>
      </c>
      <c r="J458" s="427">
        <v>45536.0</v>
      </c>
      <c r="K458" s="300">
        <v>725.78</v>
      </c>
      <c r="L458" s="300" t="s">
        <v>686</v>
      </c>
      <c r="M458" s="300" t="s">
        <v>1099</v>
      </c>
      <c r="N458" s="300">
        <v>5.0</v>
      </c>
      <c r="O458" s="300" t="s">
        <v>716</v>
      </c>
      <c r="P458" s="428" t="s">
        <v>1097</v>
      </c>
      <c r="Q458" s="300" t="s">
        <v>945</v>
      </c>
      <c r="R458" s="6" t="s">
        <v>76</v>
      </c>
      <c r="S458" s="301"/>
      <c r="T458" s="301"/>
      <c r="X458" s="2">
        <f t="shared" si="12"/>
        <v>0</v>
      </c>
      <c r="AA458" s="301"/>
      <c r="AB458" s="301"/>
      <c r="AC458" s="301"/>
      <c r="AE458" s="301"/>
      <c r="AF458" s="301"/>
      <c r="AG458" s="301"/>
    </row>
    <row r="459">
      <c r="E459" s="2">
        <f t="shared" si="9"/>
        <v>433</v>
      </c>
      <c r="F459" s="2">
        <f t="shared" si="10"/>
        <v>60727.26</v>
      </c>
      <c r="G459" s="2">
        <f t="shared" si="11"/>
        <v>140.2477136</v>
      </c>
      <c r="J459" s="427">
        <v>45536.0</v>
      </c>
      <c r="K459" s="300">
        <v>2500.0</v>
      </c>
      <c r="L459" s="300" t="s">
        <v>699</v>
      </c>
      <c r="M459" s="300" t="s">
        <v>1100</v>
      </c>
      <c r="N459" s="300">
        <v>1.0</v>
      </c>
      <c r="O459" s="300" t="s">
        <v>716</v>
      </c>
      <c r="P459" s="428" t="s">
        <v>1097</v>
      </c>
      <c r="Q459" s="300" t="s">
        <v>1101</v>
      </c>
      <c r="R459" s="6" t="s">
        <v>76</v>
      </c>
      <c r="S459" s="301"/>
      <c r="T459" s="301"/>
      <c r="X459" s="2">
        <f t="shared" si="12"/>
        <v>0</v>
      </c>
      <c r="AA459" s="301"/>
      <c r="AB459" s="301"/>
      <c r="AC459" s="301"/>
      <c r="AE459" s="301"/>
      <c r="AF459" s="301"/>
      <c r="AG459" s="301"/>
    </row>
    <row r="460">
      <c r="E460" s="2">
        <f t="shared" si="9"/>
        <v>433</v>
      </c>
      <c r="F460" s="2">
        <f t="shared" si="10"/>
        <v>58227.26</v>
      </c>
      <c r="G460" s="2">
        <f t="shared" si="11"/>
        <v>134.4740416</v>
      </c>
      <c r="J460" s="427">
        <v>45536.0</v>
      </c>
      <c r="K460" s="300">
        <v>763.4</v>
      </c>
      <c r="L460" s="300" t="s">
        <v>695</v>
      </c>
      <c r="M460" s="300" t="s">
        <v>1102</v>
      </c>
      <c r="N460" s="300">
        <v>4.0</v>
      </c>
      <c r="O460" s="300" t="s">
        <v>716</v>
      </c>
      <c r="P460" s="428" t="s">
        <v>1097</v>
      </c>
      <c r="Q460" s="300" t="s">
        <v>1103</v>
      </c>
      <c r="R460" s="6" t="s">
        <v>76</v>
      </c>
      <c r="S460" s="301"/>
      <c r="T460" s="301"/>
      <c r="X460" s="2">
        <f t="shared" si="12"/>
        <v>0</v>
      </c>
      <c r="AA460" s="301"/>
      <c r="AB460" s="301"/>
      <c r="AC460" s="301"/>
      <c r="AE460" s="301"/>
      <c r="AF460" s="301"/>
      <c r="AG460" s="301"/>
    </row>
    <row r="461">
      <c r="E461" s="2">
        <f t="shared" si="9"/>
        <v>433</v>
      </c>
      <c r="F461" s="2">
        <f t="shared" si="10"/>
        <v>57463.86</v>
      </c>
      <c r="G461" s="2">
        <f t="shared" si="11"/>
        <v>132.7109931</v>
      </c>
      <c r="J461" s="427">
        <v>45536.0</v>
      </c>
      <c r="K461" s="300">
        <v>1120.0</v>
      </c>
      <c r="L461" s="300" t="s">
        <v>686</v>
      </c>
      <c r="M461" s="300" t="s">
        <v>1104</v>
      </c>
      <c r="N461" s="300">
        <v>3.0</v>
      </c>
      <c r="O461" s="300" t="s">
        <v>716</v>
      </c>
      <c r="P461" s="428" t="s">
        <v>1097</v>
      </c>
      <c r="Q461" s="300" t="s">
        <v>1103</v>
      </c>
      <c r="R461" s="6" t="s">
        <v>76</v>
      </c>
      <c r="S461" s="301"/>
      <c r="T461" s="301"/>
      <c r="X461" s="2">
        <f t="shared" si="12"/>
        <v>0</v>
      </c>
      <c r="AA461" s="301"/>
      <c r="AB461" s="301"/>
      <c r="AC461" s="301"/>
      <c r="AE461" s="301"/>
      <c r="AF461" s="301"/>
      <c r="AG461" s="301"/>
    </row>
    <row r="462">
      <c r="E462" s="2">
        <f t="shared" si="9"/>
        <v>433</v>
      </c>
      <c r="F462" s="2">
        <f t="shared" si="10"/>
        <v>56343.86</v>
      </c>
      <c r="G462" s="2">
        <f t="shared" si="11"/>
        <v>130.124388</v>
      </c>
      <c r="J462" s="427">
        <v>45536.0</v>
      </c>
      <c r="K462" s="300">
        <v>350.0</v>
      </c>
      <c r="L462" s="300" t="s">
        <v>686</v>
      </c>
      <c r="M462" s="300" t="s">
        <v>901</v>
      </c>
      <c r="N462" s="300">
        <v>1.0</v>
      </c>
      <c r="O462" s="300" t="s">
        <v>716</v>
      </c>
      <c r="P462" s="428" t="s">
        <v>1097</v>
      </c>
      <c r="Q462" s="300" t="s">
        <v>1103</v>
      </c>
      <c r="R462" s="6" t="s">
        <v>76</v>
      </c>
      <c r="S462" s="301"/>
      <c r="T462" s="301"/>
      <c r="X462" s="2">
        <f t="shared" si="12"/>
        <v>0</v>
      </c>
      <c r="AA462" s="301"/>
      <c r="AB462" s="301"/>
      <c r="AC462" s="301"/>
      <c r="AE462" s="301"/>
      <c r="AF462" s="301"/>
      <c r="AG462" s="301"/>
    </row>
    <row r="463">
      <c r="E463" s="2">
        <f t="shared" si="9"/>
        <v>433</v>
      </c>
      <c r="F463" s="2">
        <f t="shared" si="10"/>
        <v>55993.86</v>
      </c>
      <c r="G463" s="2">
        <f t="shared" si="11"/>
        <v>129.3160739</v>
      </c>
      <c r="J463" s="427">
        <v>45536.0</v>
      </c>
      <c r="K463" s="192">
        <v>26.0</v>
      </c>
      <c r="L463" s="300" t="s">
        <v>686</v>
      </c>
      <c r="M463" s="300" t="s">
        <v>725</v>
      </c>
      <c r="N463" s="300">
        <v>2.0</v>
      </c>
      <c r="O463" s="300" t="s">
        <v>716</v>
      </c>
      <c r="P463" s="428" t="s">
        <v>1071</v>
      </c>
      <c r="Q463" s="300" t="s">
        <v>1105</v>
      </c>
      <c r="R463" s="6" t="s">
        <v>76</v>
      </c>
      <c r="S463" s="301"/>
      <c r="T463" s="301"/>
      <c r="X463" s="2">
        <f t="shared" si="12"/>
        <v>0</v>
      </c>
      <c r="AA463" s="301"/>
      <c r="AB463" s="301"/>
      <c r="AC463" s="301"/>
      <c r="AE463" s="301"/>
      <c r="AF463" s="301"/>
      <c r="AG463" s="301"/>
    </row>
    <row r="464">
      <c r="E464" s="2">
        <f t="shared" si="9"/>
        <v>433</v>
      </c>
      <c r="F464" s="2">
        <f t="shared" si="10"/>
        <v>55967.86</v>
      </c>
      <c r="G464" s="2">
        <f t="shared" si="11"/>
        <v>129.2560277</v>
      </c>
      <c r="J464" s="427">
        <v>45536.0</v>
      </c>
      <c r="K464" s="192">
        <v>244.0</v>
      </c>
      <c r="L464" s="300" t="s">
        <v>686</v>
      </c>
      <c r="M464" s="300" t="s">
        <v>892</v>
      </c>
      <c r="N464" s="300">
        <v>5.0</v>
      </c>
      <c r="O464" s="300" t="s">
        <v>716</v>
      </c>
      <c r="P464" s="428" t="s">
        <v>1097</v>
      </c>
      <c r="Q464" s="300" t="s">
        <v>1106</v>
      </c>
      <c r="R464" s="6" t="s">
        <v>76</v>
      </c>
      <c r="S464" s="301"/>
      <c r="T464" s="301"/>
      <c r="X464" s="2">
        <f t="shared" si="12"/>
        <v>0</v>
      </c>
      <c r="AA464" s="301"/>
      <c r="AB464" s="301"/>
      <c r="AC464" s="301"/>
      <c r="AE464" s="301"/>
      <c r="AF464" s="301"/>
      <c r="AG464" s="301"/>
    </row>
    <row r="465">
      <c r="E465" s="2">
        <f t="shared" si="9"/>
        <v>433</v>
      </c>
      <c r="F465" s="2">
        <f t="shared" si="10"/>
        <v>55723.86</v>
      </c>
      <c r="G465" s="2">
        <f t="shared" si="11"/>
        <v>128.6925173</v>
      </c>
      <c r="J465" s="427">
        <v>45536.0</v>
      </c>
      <c r="K465" s="192">
        <v>276.18</v>
      </c>
      <c r="L465" s="300" t="s">
        <v>686</v>
      </c>
      <c r="M465" s="300" t="s">
        <v>874</v>
      </c>
      <c r="N465" s="300">
        <v>3.0</v>
      </c>
      <c r="O465" s="300" t="s">
        <v>716</v>
      </c>
      <c r="P465" s="428" t="s">
        <v>1107</v>
      </c>
      <c r="Q465" s="300" t="s">
        <v>945</v>
      </c>
      <c r="R465" s="6" t="s">
        <v>76</v>
      </c>
      <c r="S465" s="301"/>
      <c r="T465" s="301"/>
      <c r="X465" s="2">
        <f t="shared" si="12"/>
        <v>0</v>
      </c>
      <c r="AA465" s="301"/>
      <c r="AB465" s="301"/>
      <c r="AC465" s="301"/>
      <c r="AE465" s="301"/>
      <c r="AF465" s="301"/>
      <c r="AG465" s="301"/>
    </row>
    <row r="466">
      <c r="E466" s="2">
        <f t="shared" si="9"/>
        <v>433</v>
      </c>
      <c r="F466" s="2">
        <f t="shared" si="10"/>
        <v>55447.68</v>
      </c>
      <c r="G466" s="2">
        <f t="shared" si="11"/>
        <v>128.0546882</v>
      </c>
      <c r="J466" s="430">
        <v>45536.0</v>
      </c>
      <c r="K466" s="259">
        <v>20.0</v>
      </c>
      <c r="L466" s="302" t="s">
        <v>686</v>
      </c>
      <c r="M466" s="302" t="s">
        <v>892</v>
      </c>
      <c r="N466" s="302">
        <v>1.0</v>
      </c>
      <c r="O466" s="302" t="s">
        <v>716</v>
      </c>
      <c r="P466" s="431" t="s">
        <v>1097</v>
      </c>
      <c r="Q466" s="302" t="s">
        <v>1108</v>
      </c>
      <c r="R466" s="258" t="s">
        <v>76</v>
      </c>
      <c r="S466" s="301"/>
      <c r="T466" s="301"/>
      <c r="X466" s="2">
        <f t="shared" si="12"/>
        <v>0</v>
      </c>
      <c r="AA466" s="301"/>
      <c r="AB466" s="301"/>
      <c r="AC466" s="301"/>
      <c r="AE466" s="301"/>
      <c r="AF466" s="301"/>
      <c r="AG466" s="301"/>
    </row>
    <row r="467">
      <c r="E467" s="2">
        <f t="shared" si="9"/>
        <v>432</v>
      </c>
      <c r="F467" s="2">
        <f t="shared" si="10"/>
        <v>55427.68</v>
      </c>
      <c r="G467" s="2">
        <f t="shared" si="11"/>
        <v>128.3048148</v>
      </c>
      <c r="J467" s="427">
        <v>45537.0</v>
      </c>
      <c r="K467" s="300">
        <v>180.0</v>
      </c>
      <c r="L467" s="300" t="s">
        <v>686</v>
      </c>
      <c r="M467" s="300" t="s">
        <v>1109</v>
      </c>
      <c r="N467" s="300">
        <v>5.0</v>
      </c>
      <c r="O467" s="300" t="s">
        <v>716</v>
      </c>
      <c r="P467" s="428" t="s">
        <v>1110</v>
      </c>
      <c r="Q467" s="300" t="s">
        <v>1038</v>
      </c>
      <c r="R467" s="6" t="s">
        <v>76</v>
      </c>
      <c r="S467" s="301"/>
      <c r="T467" s="301"/>
      <c r="X467" s="2">
        <f t="shared" si="12"/>
        <v>0</v>
      </c>
      <c r="AA467" s="301"/>
      <c r="AB467" s="301"/>
      <c r="AC467" s="301"/>
      <c r="AE467" s="301"/>
      <c r="AF467" s="301"/>
      <c r="AG467" s="301"/>
    </row>
    <row r="468">
      <c r="E468" s="2">
        <f t="shared" si="9"/>
        <v>432</v>
      </c>
      <c r="F468" s="2">
        <f t="shared" si="10"/>
        <v>55247.68</v>
      </c>
      <c r="G468" s="2">
        <f t="shared" si="11"/>
        <v>127.8881481</v>
      </c>
      <c r="J468" s="427">
        <v>45537.0</v>
      </c>
      <c r="K468" s="300">
        <v>36.0</v>
      </c>
      <c r="L468" s="300" t="s">
        <v>690</v>
      </c>
      <c r="M468" s="300" t="s">
        <v>995</v>
      </c>
      <c r="N468" s="300">
        <v>2.0</v>
      </c>
      <c r="O468" s="300" t="s">
        <v>716</v>
      </c>
      <c r="P468" s="428" t="s">
        <v>1111</v>
      </c>
      <c r="Q468" s="300" t="s">
        <v>1038</v>
      </c>
      <c r="R468" s="6" t="s">
        <v>76</v>
      </c>
      <c r="S468" s="301"/>
      <c r="T468" s="301"/>
      <c r="X468" s="2">
        <f t="shared" si="12"/>
        <v>0</v>
      </c>
      <c r="AA468" s="301"/>
      <c r="AB468" s="301"/>
      <c r="AC468" s="301"/>
      <c r="AE468" s="301"/>
      <c r="AF468" s="301"/>
      <c r="AG468" s="301"/>
    </row>
    <row r="469">
      <c r="E469" s="2">
        <f t="shared" si="9"/>
        <v>432</v>
      </c>
      <c r="F469" s="2">
        <f t="shared" si="10"/>
        <v>55211.68</v>
      </c>
      <c r="G469" s="2">
        <f t="shared" si="11"/>
        <v>127.8048148</v>
      </c>
      <c r="J469" s="427">
        <v>45537.0</v>
      </c>
      <c r="K469" s="300">
        <v>4.0</v>
      </c>
      <c r="L469" s="300" t="s">
        <v>686</v>
      </c>
      <c r="M469" s="300" t="s">
        <v>1112</v>
      </c>
      <c r="N469" s="300">
        <v>4.0</v>
      </c>
      <c r="O469" s="300" t="s">
        <v>716</v>
      </c>
      <c r="P469" s="428" t="s">
        <v>1089</v>
      </c>
      <c r="Q469" s="300" t="s">
        <v>1038</v>
      </c>
      <c r="R469" s="6" t="s">
        <v>76</v>
      </c>
      <c r="S469" s="301"/>
      <c r="T469" s="301"/>
      <c r="X469" s="2">
        <f t="shared" si="12"/>
        <v>0</v>
      </c>
      <c r="AA469" s="301"/>
      <c r="AB469" s="301"/>
      <c r="AC469" s="301"/>
      <c r="AE469" s="301"/>
      <c r="AF469" s="301"/>
      <c r="AG469" s="301"/>
    </row>
    <row r="470">
      <c r="E470" s="2">
        <f t="shared" si="9"/>
        <v>432</v>
      </c>
      <c r="F470" s="2">
        <f t="shared" si="10"/>
        <v>55207.68</v>
      </c>
      <c r="G470" s="2">
        <f t="shared" si="11"/>
        <v>127.7955556</v>
      </c>
      <c r="J470" s="427">
        <v>45537.0</v>
      </c>
      <c r="K470" s="300">
        <v>450.0</v>
      </c>
      <c r="L470" s="300" t="s">
        <v>686</v>
      </c>
      <c r="M470" s="300" t="s">
        <v>1113</v>
      </c>
      <c r="N470" s="300">
        <v>2.0</v>
      </c>
      <c r="O470" s="300" t="s">
        <v>716</v>
      </c>
      <c r="P470" s="428" t="s">
        <v>1107</v>
      </c>
      <c r="Q470" s="300" t="s">
        <v>881</v>
      </c>
      <c r="R470" s="6" t="s">
        <v>76</v>
      </c>
      <c r="S470" s="301"/>
      <c r="T470" s="301"/>
      <c r="X470" s="2">
        <f t="shared" si="12"/>
        <v>0</v>
      </c>
      <c r="AA470" s="301"/>
      <c r="AB470" s="301"/>
      <c r="AC470" s="301"/>
      <c r="AE470" s="301"/>
      <c r="AF470" s="301"/>
      <c r="AG470" s="301"/>
    </row>
    <row r="471">
      <c r="E471" s="2">
        <f t="shared" si="9"/>
        <v>431</v>
      </c>
      <c r="F471" s="2">
        <f t="shared" si="10"/>
        <v>54757.68</v>
      </c>
      <c r="G471" s="2">
        <f t="shared" si="11"/>
        <v>127.0479814</v>
      </c>
      <c r="J471" s="425">
        <v>45538.0</v>
      </c>
      <c r="K471" s="332">
        <v>1624.5</v>
      </c>
      <c r="L471" s="332" t="s">
        <v>692</v>
      </c>
      <c r="M471" s="332" t="s">
        <v>1114</v>
      </c>
      <c r="N471" s="332">
        <v>2.0</v>
      </c>
      <c r="O471" s="332" t="s">
        <v>716</v>
      </c>
      <c r="P471" s="426" t="s">
        <v>1115</v>
      </c>
      <c r="Q471" s="332" t="s">
        <v>1116</v>
      </c>
      <c r="R471" s="255" t="s">
        <v>76</v>
      </c>
      <c r="S471" s="301"/>
      <c r="T471" s="301"/>
      <c r="X471" s="2">
        <f t="shared" si="12"/>
        <v>0</v>
      </c>
      <c r="AA471" s="301"/>
      <c r="AB471" s="301"/>
      <c r="AC471" s="301"/>
      <c r="AE471" s="301"/>
      <c r="AF471" s="301"/>
      <c r="AG471" s="301"/>
    </row>
    <row r="472">
      <c r="E472" s="2">
        <f t="shared" si="9"/>
        <v>431</v>
      </c>
      <c r="F472" s="2">
        <f t="shared" si="10"/>
        <v>53133.18</v>
      </c>
      <c r="G472" s="2">
        <f t="shared" si="11"/>
        <v>123.2788399</v>
      </c>
      <c r="J472" s="427">
        <v>45538.0</v>
      </c>
      <c r="K472" s="300">
        <v>500.0</v>
      </c>
      <c r="L472" s="300" t="s">
        <v>686</v>
      </c>
      <c r="M472" s="300" t="s">
        <v>1117</v>
      </c>
      <c r="N472" s="300">
        <v>1.0</v>
      </c>
      <c r="O472" s="300" t="s">
        <v>716</v>
      </c>
      <c r="P472" s="428" t="s">
        <v>1107</v>
      </c>
      <c r="Q472" s="300" t="s">
        <v>505</v>
      </c>
      <c r="R472" s="6" t="s">
        <v>76</v>
      </c>
      <c r="S472" s="300" t="s">
        <v>645</v>
      </c>
      <c r="T472" s="300" t="s">
        <v>709</v>
      </c>
      <c r="X472" s="2">
        <f t="shared" si="12"/>
        <v>0</v>
      </c>
      <c r="AA472" s="301"/>
      <c r="AB472" s="301"/>
      <c r="AC472" s="301"/>
      <c r="AE472" s="301"/>
      <c r="AF472" s="301"/>
      <c r="AG472" s="301"/>
    </row>
    <row r="473">
      <c r="E473" s="2">
        <f t="shared" si="9"/>
        <v>431</v>
      </c>
      <c r="F473" s="2">
        <f t="shared" si="10"/>
        <v>52633.18</v>
      </c>
      <c r="G473" s="2">
        <f t="shared" si="11"/>
        <v>122.1187471</v>
      </c>
      <c r="J473" s="427">
        <v>45538.0</v>
      </c>
      <c r="K473" s="300">
        <v>337.0</v>
      </c>
      <c r="L473" s="300" t="s">
        <v>686</v>
      </c>
      <c r="M473" s="300" t="s">
        <v>1118</v>
      </c>
      <c r="N473" s="300">
        <v>1.0</v>
      </c>
      <c r="O473" s="300" t="s">
        <v>716</v>
      </c>
      <c r="P473" s="428" t="s">
        <v>1107</v>
      </c>
      <c r="Q473" s="300" t="s">
        <v>945</v>
      </c>
      <c r="R473" s="6" t="s">
        <v>76</v>
      </c>
      <c r="S473" s="300" t="s">
        <v>645</v>
      </c>
      <c r="T473" s="300" t="s">
        <v>709</v>
      </c>
      <c r="X473" s="2">
        <f t="shared" si="12"/>
        <v>0</v>
      </c>
      <c r="AA473" s="301"/>
      <c r="AB473" s="301"/>
      <c r="AC473" s="301"/>
      <c r="AE473" s="301"/>
      <c r="AF473" s="301"/>
      <c r="AG473" s="301"/>
    </row>
    <row r="474">
      <c r="E474" s="2">
        <f t="shared" si="9"/>
        <v>431</v>
      </c>
      <c r="F474" s="2">
        <f t="shared" si="10"/>
        <v>52296.18</v>
      </c>
      <c r="G474" s="2">
        <f t="shared" si="11"/>
        <v>121.3368445</v>
      </c>
      <c r="J474" s="430">
        <v>45538.0</v>
      </c>
      <c r="K474" s="302">
        <v>599.0</v>
      </c>
      <c r="L474" s="302" t="s">
        <v>695</v>
      </c>
      <c r="M474" s="302" t="s">
        <v>1119</v>
      </c>
      <c r="N474" s="302">
        <v>1.0</v>
      </c>
      <c r="O474" s="302" t="s">
        <v>716</v>
      </c>
      <c r="P474" s="431" t="s">
        <v>1071</v>
      </c>
      <c r="Q474" s="302" t="s">
        <v>1120</v>
      </c>
      <c r="R474" s="258" t="s">
        <v>76</v>
      </c>
      <c r="S474" s="301"/>
      <c r="T474" s="301"/>
      <c r="X474" s="2">
        <f t="shared" si="12"/>
        <v>0</v>
      </c>
      <c r="AA474" s="301"/>
      <c r="AB474" s="301"/>
      <c r="AC474" s="301"/>
      <c r="AE474" s="301"/>
      <c r="AF474" s="301"/>
      <c r="AG474" s="301"/>
    </row>
    <row r="475">
      <c r="E475" s="2">
        <f t="shared" si="9"/>
        <v>430</v>
      </c>
      <c r="F475" s="2">
        <f t="shared" si="10"/>
        <v>51697.18</v>
      </c>
      <c r="G475" s="2">
        <f t="shared" si="11"/>
        <v>120.226</v>
      </c>
      <c r="J475" s="425">
        <v>45539.0</v>
      </c>
      <c r="K475" s="332">
        <v>110.0</v>
      </c>
      <c r="L475" s="332" t="s">
        <v>686</v>
      </c>
      <c r="M475" s="332" t="s">
        <v>1121</v>
      </c>
      <c r="N475" s="332">
        <v>3.0</v>
      </c>
      <c r="O475" s="332" t="s">
        <v>716</v>
      </c>
      <c r="P475" s="426" t="s">
        <v>1122</v>
      </c>
      <c r="Q475" s="426" t="s">
        <v>1123</v>
      </c>
      <c r="R475" s="255" t="s">
        <v>76</v>
      </c>
      <c r="S475" s="301"/>
      <c r="T475" s="301"/>
      <c r="X475" s="2">
        <f t="shared" si="12"/>
        <v>0</v>
      </c>
      <c r="AA475" s="301"/>
      <c r="AB475" s="301"/>
      <c r="AC475" s="301"/>
      <c r="AE475" s="301"/>
      <c r="AF475" s="301"/>
      <c r="AG475" s="301"/>
    </row>
    <row r="476">
      <c r="E476" s="2">
        <f t="shared" si="9"/>
        <v>430</v>
      </c>
      <c r="F476" s="2">
        <f t="shared" si="10"/>
        <v>51587.18</v>
      </c>
      <c r="G476" s="2">
        <f t="shared" si="11"/>
        <v>119.970186</v>
      </c>
      <c r="J476" s="427">
        <v>45539.0</v>
      </c>
      <c r="K476" s="300">
        <v>420.0</v>
      </c>
      <c r="L476" s="300" t="s">
        <v>686</v>
      </c>
      <c r="M476" s="300" t="s">
        <v>1124</v>
      </c>
      <c r="N476" s="300">
        <v>2.0</v>
      </c>
      <c r="O476" s="300" t="s">
        <v>716</v>
      </c>
      <c r="P476" s="428" t="s">
        <v>1125</v>
      </c>
      <c r="Q476" s="300" t="s">
        <v>881</v>
      </c>
      <c r="R476" s="6" t="s">
        <v>76</v>
      </c>
      <c r="S476" s="300" t="s">
        <v>719</v>
      </c>
      <c r="T476" s="300" t="s">
        <v>709</v>
      </c>
      <c r="X476" s="2">
        <f t="shared" si="12"/>
        <v>0</v>
      </c>
      <c r="AA476" s="301"/>
      <c r="AB476" s="301"/>
      <c r="AC476" s="301"/>
      <c r="AE476" s="301"/>
      <c r="AF476" s="301"/>
      <c r="AG476" s="301"/>
    </row>
    <row r="477">
      <c r="E477" s="2">
        <f t="shared" si="9"/>
        <v>430</v>
      </c>
      <c r="F477" s="2">
        <f t="shared" si="10"/>
        <v>51167.18</v>
      </c>
      <c r="G477" s="2">
        <f t="shared" si="11"/>
        <v>118.9934419</v>
      </c>
      <c r="J477" s="427">
        <v>45539.0</v>
      </c>
      <c r="K477" s="300">
        <v>520.0</v>
      </c>
      <c r="L477" s="300" t="s">
        <v>688</v>
      </c>
      <c r="M477" s="300" t="s">
        <v>1126</v>
      </c>
      <c r="N477" s="300">
        <f>180*3</f>
        <v>540</v>
      </c>
      <c r="O477" s="300" t="s">
        <v>712</v>
      </c>
      <c r="P477" s="428" t="s">
        <v>1127</v>
      </c>
      <c r="Q477" s="300" t="s">
        <v>88</v>
      </c>
      <c r="R477" s="6" t="s">
        <v>76</v>
      </c>
      <c r="S477" s="300" t="s">
        <v>722</v>
      </c>
      <c r="T477" s="300" t="s">
        <v>709</v>
      </c>
      <c r="X477" s="2">
        <f t="shared" si="12"/>
        <v>0</v>
      </c>
      <c r="AA477" s="301"/>
      <c r="AB477" s="301"/>
      <c r="AC477" s="301"/>
      <c r="AE477" s="301"/>
      <c r="AF477" s="301"/>
      <c r="AG477" s="301"/>
    </row>
    <row r="478">
      <c r="E478" s="2">
        <f t="shared" si="9"/>
        <v>430</v>
      </c>
      <c r="F478" s="2">
        <f t="shared" si="10"/>
        <v>50647.18</v>
      </c>
      <c r="G478" s="2">
        <f t="shared" si="11"/>
        <v>117.7841395</v>
      </c>
      <c r="J478" s="427">
        <v>45539.0</v>
      </c>
      <c r="K478" s="300">
        <v>264.99</v>
      </c>
      <c r="L478" s="300" t="s">
        <v>686</v>
      </c>
      <c r="M478" s="300" t="s">
        <v>874</v>
      </c>
      <c r="N478" s="300">
        <v>5.0</v>
      </c>
      <c r="O478" s="300" t="s">
        <v>716</v>
      </c>
      <c r="P478" s="428" t="s">
        <v>1107</v>
      </c>
      <c r="Q478" s="300" t="s">
        <v>945</v>
      </c>
      <c r="R478" s="6" t="s">
        <v>76</v>
      </c>
      <c r="S478" s="301"/>
      <c r="T478" s="301"/>
      <c r="X478" s="2">
        <f t="shared" si="12"/>
        <v>0</v>
      </c>
      <c r="AA478" s="301"/>
      <c r="AB478" s="301"/>
      <c r="AC478" s="301"/>
      <c r="AE478" s="301"/>
      <c r="AF478" s="301"/>
      <c r="AG478" s="301"/>
    </row>
    <row r="479">
      <c r="E479" s="2">
        <f t="shared" si="9"/>
        <v>430</v>
      </c>
      <c r="F479" s="2">
        <f t="shared" si="10"/>
        <v>50382.19</v>
      </c>
      <c r="G479" s="2">
        <f t="shared" si="11"/>
        <v>117.1678837</v>
      </c>
      <c r="J479" s="427">
        <v>45539.0</v>
      </c>
      <c r="K479" s="300">
        <v>217.35</v>
      </c>
      <c r="L479" s="300" t="s">
        <v>686</v>
      </c>
      <c r="M479" s="300" t="s">
        <v>1070</v>
      </c>
      <c r="N479" s="300">
        <v>5.0</v>
      </c>
      <c r="O479" s="300" t="s">
        <v>716</v>
      </c>
      <c r="P479" s="428" t="s">
        <v>1107</v>
      </c>
      <c r="Q479" s="300" t="s">
        <v>945</v>
      </c>
      <c r="R479" s="6" t="s">
        <v>76</v>
      </c>
      <c r="S479" s="301"/>
      <c r="T479" s="301"/>
      <c r="X479" s="2">
        <f t="shared" si="12"/>
        <v>0</v>
      </c>
      <c r="AA479" s="301"/>
      <c r="AB479" s="301"/>
      <c r="AC479" s="301"/>
      <c r="AE479" s="301"/>
      <c r="AF479" s="301"/>
      <c r="AG479" s="301"/>
    </row>
    <row r="480">
      <c r="E480" s="2">
        <f t="shared" si="9"/>
        <v>430</v>
      </c>
      <c r="F480" s="2">
        <f t="shared" si="10"/>
        <v>50164.84</v>
      </c>
      <c r="G480" s="2">
        <f t="shared" si="11"/>
        <v>116.6624186</v>
      </c>
      <c r="J480" s="430">
        <v>45539.0</v>
      </c>
      <c r="K480" s="302">
        <v>275.0</v>
      </c>
      <c r="L480" s="302" t="s">
        <v>686</v>
      </c>
      <c r="M480" s="302" t="s">
        <v>1128</v>
      </c>
      <c r="N480" s="302">
        <v>3.0</v>
      </c>
      <c r="O480" s="302" t="s">
        <v>716</v>
      </c>
      <c r="P480" s="431" t="s">
        <v>1107</v>
      </c>
      <c r="Q480" s="302" t="s">
        <v>973</v>
      </c>
      <c r="R480" s="258" t="s">
        <v>76</v>
      </c>
      <c r="S480" s="301"/>
      <c r="T480" s="301"/>
      <c r="X480" s="2">
        <f t="shared" si="12"/>
        <v>0</v>
      </c>
      <c r="AA480" s="301"/>
      <c r="AB480" s="301"/>
      <c r="AC480" s="301"/>
      <c r="AE480" s="301"/>
      <c r="AF480" s="301"/>
      <c r="AG480" s="301"/>
    </row>
    <row r="481">
      <c r="E481" s="2">
        <f t="shared" si="9"/>
        <v>429</v>
      </c>
      <c r="F481" s="2">
        <f t="shared" si="10"/>
        <v>49889.84</v>
      </c>
      <c r="G481" s="2">
        <f t="shared" si="11"/>
        <v>116.2933333</v>
      </c>
      <c r="J481" s="427">
        <v>45540.0</v>
      </c>
      <c r="K481" s="300">
        <v>1086.92</v>
      </c>
      <c r="L481" s="300" t="s">
        <v>686</v>
      </c>
      <c r="M481" s="300" t="s">
        <v>1129</v>
      </c>
      <c r="N481" s="300">
        <v>2.0</v>
      </c>
      <c r="O481" s="300" t="s">
        <v>716</v>
      </c>
      <c r="P481" s="428" t="s">
        <v>1130</v>
      </c>
      <c r="Q481" s="300" t="s">
        <v>1131</v>
      </c>
      <c r="R481" s="6" t="s">
        <v>76</v>
      </c>
      <c r="S481" s="301"/>
      <c r="T481" s="301"/>
      <c r="X481" s="2">
        <f t="shared" si="12"/>
        <v>0</v>
      </c>
      <c r="AA481" s="301"/>
      <c r="AB481" s="301"/>
      <c r="AC481" s="301"/>
      <c r="AE481" s="301"/>
      <c r="AF481" s="301"/>
      <c r="AG481" s="301"/>
    </row>
    <row r="482">
      <c r="E482" s="2">
        <f t="shared" si="9"/>
        <v>429</v>
      </c>
      <c r="F482" s="2">
        <f t="shared" si="10"/>
        <v>48802.92</v>
      </c>
      <c r="G482" s="2">
        <f t="shared" si="11"/>
        <v>113.7597203</v>
      </c>
      <c r="J482" s="427">
        <v>45540.0</v>
      </c>
      <c r="K482" s="300">
        <v>13.0</v>
      </c>
      <c r="L482" s="300" t="s">
        <v>690</v>
      </c>
      <c r="M482" s="300" t="s">
        <v>782</v>
      </c>
      <c r="N482" s="300">
        <v>1.0</v>
      </c>
      <c r="O482" s="300" t="s">
        <v>716</v>
      </c>
      <c r="P482" s="428" t="s">
        <v>1071</v>
      </c>
      <c r="Q482" s="300" t="s">
        <v>1131</v>
      </c>
      <c r="R482" s="6" t="s">
        <v>76</v>
      </c>
      <c r="S482" s="301"/>
      <c r="T482" s="301"/>
      <c r="X482" s="2">
        <f t="shared" si="12"/>
        <v>0</v>
      </c>
      <c r="AA482" s="301"/>
      <c r="AB482" s="301"/>
      <c r="AC482" s="301"/>
      <c r="AE482" s="301"/>
      <c r="AF482" s="301"/>
      <c r="AG482" s="301"/>
    </row>
    <row r="483">
      <c r="E483" s="2">
        <f t="shared" si="9"/>
        <v>429</v>
      </c>
      <c r="F483" s="2">
        <f t="shared" si="10"/>
        <v>48789.92</v>
      </c>
      <c r="G483" s="2">
        <f t="shared" si="11"/>
        <v>113.7294172</v>
      </c>
      <c r="J483" s="430">
        <v>45540.0</v>
      </c>
      <c r="K483" s="302">
        <v>40.0</v>
      </c>
      <c r="L483" s="302" t="s">
        <v>692</v>
      </c>
      <c r="M483" s="302" t="s">
        <v>1132</v>
      </c>
      <c r="N483" s="302">
        <v>1.0</v>
      </c>
      <c r="O483" s="302" t="s">
        <v>716</v>
      </c>
      <c r="P483" s="431" t="s">
        <v>1133</v>
      </c>
      <c r="Q483" s="302" t="s">
        <v>1134</v>
      </c>
      <c r="R483" s="258" t="s">
        <v>76</v>
      </c>
      <c r="S483" s="303"/>
      <c r="T483" s="303"/>
      <c r="X483" s="2">
        <f t="shared" si="12"/>
        <v>0</v>
      </c>
      <c r="AA483" s="301"/>
      <c r="AB483" s="301"/>
      <c r="AC483" s="301"/>
      <c r="AE483" s="301"/>
      <c r="AF483" s="301"/>
      <c r="AG483" s="301"/>
    </row>
    <row r="484">
      <c r="E484" s="2">
        <f t="shared" si="9"/>
        <v>427</v>
      </c>
      <c r="F484" s="2">
        <f t="shared" si="10"/>
        <v>48749.92</v>
      </c>
      <c r="G484" s="2">
        <f t="shared" si="11"/>
        <v>114.1684309</v>
      </c>
      <c r="J484" s="427">
        <v>45542.0</v>
      </c>
      <c r="K484" s="300">
        <v>263.0</v>
      </c>
      <c r="L484" s="300" t="s">
        <v>686</v>
      </c>
      <c r="M484" s="300" t="s">
        <v>1135</v>
      </c>
      <c r="N484" s="300">
        <v>2.0</v>
      </c>
      <c r="O484" s="300" t="s">
        <v>716</v>
      </c>
      <c r="P484" s="428" t="s">
        <v>1130</v>
      </c>
      <c r="Q484" s="300" t="s">
        <v>945</v>
      </c>
      <c r="R484" s="6" t="s">
        <v>76</v>
      </c>
      <c r="S484" s="300" t="s">
        <v>645</v>
      </c>
      <c r="T484" s="300" t="s">
        <v>709</v>
      </c>
      <c r="X484" s="2">
        <f t="shared" si="12"/>
        <v>0</v>
      </c>
      <c r="AA484" s="301"/>
      <c r="AB484" s="301"/>
      <c r="AC484" s="301"/>
      <c r="AE484" s="301"/>
      <c r="AF484" s="301"/>
      <c r="AG484" s="301"/>
    </row>
    <row r="485">
      <c r="E485" s="2">
        <f t="shared" si="9"/>
        <v>427</v>
      </c>
      <c r="F485" s="2">
        <f t="shared" si="10"/>
        <v>48486.92</v>
      </c>
      <c r="G485" s="2">
        <f t="shared" si="11"/>
        <v>113.5525059</v>
      </c>
      <c r="J485" s="427">
        <v>45542.0</v>
      </c>
      <c r="K485" s="300">
        <v>150.0</v>
      </c>
      <c r="L485" s="300" t="s">
        <v>686</v>
      </c>
      <c r="M485" s="300" t="s">
        <v>1136</v>
      </c>
      <c r="N485" s="300">
        <v>2.0</v>
      </c>
      <c r="O485" s="300" t="s">
        <v>716</v>
      </c>
      <c r="P485" s="428" t="s">
        <v>1130</v>
      </c>
      <c r="Q485" s="300" t="s">
        <v>945</v>
      </c>
      <c r="R485" s="6" t="s">
        <v>76</v>
      </c>
      <c r="S485" s="300" t="s">
        <v>645</v>
      </c>
      <c r="T485" s="300" t="s">
        <v>709</v>
      </c>
      <c r="X485" s="2">
        <f t="shared" si="12"/>
        <v>0</v>
      </c>
      <c r="AA485" s="301"/>
      <c r="AB485" s="301"/>
      <c r="AC485" s="301"/>
      <c r="AE485" s="301"/>
      <c r="AF485" s="301"/>
      <c r="AG485" s="301"/>
    </row>
    <row r="486">
      <c r="E486" s="2">
        <f t="shared" si="9"/>
        <v>427</v>
      </c>
      <c r="F486" s="2">
        <f t="shared" si="10"/>
        <v>48336.92</v>
      </c>
      <c r="G486" s="2">
        <f t="shared" si="11"/>
        <v>113.2012178</v>
      </c>
      <c r="J486" s="427">
        <v>45542.0</v>
      </c>
      <c r="K486" s="300">
        <v>134.5</v>
      </c>
      <c r="L486" s="300" t="s">
        <v>698</v>
      </c>
      <c r="M486" s="300" t="s">
        <v>1041</v>
      </c>
      <c r="N486" s="300">
        <v>3.0</v>
      </c>
      <c r="O486" s="300" t="s">
        <v>716</v>
      </c>
      <c r="P486" s="428" t="s">
        <v>645</v>
      </c>
      <c r="Q486" s="300" t="s">
        <v>1042</v>
      </c>
      <c r="R486" s="6" t="s">
        <v>76</v>
      </c>
      <c r="S486" s="301"/>
      <c r="T486" s="301"/>
      <c r="X486" s="2">
        <f t="shared" si="12"/>
        <v>0</v>
      </c>
      <c r="AA486" s="301"/>
      <c r="AB486" s="301"/>
      <c r="AC486" s="301"/>
      <c r="AE486" s="301"/>
      <c r="AF486" s="301"/>
      <c r="AG486" s="301"/>
    </row>
    <row r="487">
      <c r="E487" s="2">
        <f t="shared" si="9"/>
        <v>427</v>
      </c>
      <c r="F487" s="2">
        <f t="shared" si="10"/>
        <v>48202.42</v>
      </c>
      <c r="G487" s="2">
        <f t="shared" si="11"/>
        <v>112.8862295</v>
      </c>
      <c r="J487" s="427">
        <v>45542.0</v>
      </c>
      <c r="K487" s="300">
        <v>422.0</v>
      </c>
      <c r="L487" s="300" t="s">
        <v>686</v>
      </c>
      <c r="M487" s="300" t="s">
        <v>1137</v>
      </c>
      <c r="N487" s="300">
        <v>2.0</v>
      </c>
      <c r="O487" s="300" t="s">
        <v>716</v>
      </c>
      <c r="P487" s="428" t="s">
        <v>1071</v>
      </c>
      <c r="Q487" s="300" t="s">
        <v>1131</v>
      </c>
      <c r="R487" s="6" t="s">
        <v>687</v>
      </c>
      <c r="S487" s="301"/>
      <c r="T487" s="301"/>
      <c r="X487" s="2">
        <f t="shared" si="12"/>
        <v>0</v>
      </c>
      <c r="AA487" s="301"/>
      <c r="AB487" s="301"/>
      <c r="AC487" s="301"/>
      <c r="AE487" s="301"/>
      <c r="AF487" s="301"/>
      <c r="AG487" s="301"/>
    </row>
    <row r="488">
      <c r="E488" s="2">
        <f t="shared" si="9"/>
        <v>427</v>
      </c>
      <c r="F488" s="2">
        <f t="shared" si="10"/>
        <v>47780.42</v>
      </c>
      <c r="G488" s="2">
        <f t="shared" si="11"/>
        <v>111.8979391</v>
      </c>
      <c r="J488" s="430">
        <v>45542.0</v>
      </c>
      <c r="K488" s="302">
        <v>587.0</v>
      </c>
      <c r="L488" s="302" t="s">
        <v>686</v>
      </c>
      <c r="M488" s="302" t="s">
        <v>715</v>
      </c>
      <c r="N488" s="302">
        <v>3.0</v>
      </c>
      <c r="O488" s="302" t="s">
        <v>716</v>
      </c>
      <c r="P488" s="431" t="s">
        <v>1138</v>
      </c>
      <c r="Q488" s="302" t="s">
        <v>1139</v>
      </c>
      <c r="R488" s="258" t="s">
        <v>259</v>
      </c>
      <c r="S488" s="303"/>
      <c r="T488" s="303"/>
      <c r="X488" s="2">
        <f t="shared" si="12"/>
        <v>0</v>
      </c>
      <c r="AA488" s="301"/>
      <c r="AB488" s="301"/>
      <c r="AC488" s="301"/>
      <c r="AE488" s="301"/>
      <c r="AF488" s="301"/>
      <c r="AG488" s="301"/>
    </row>
    <row r="489">
      <c r="E489" s="2">
        <f t="shared" si="9"/>
        <v>426</v>
      </c>
      <c r="F489" s="2">
        <f t="shared" si="10"/>
        <v>47193.42</v>
      </c>
      <c r="G489" s="2">
        <f t="shared" si="11"/>
        <v>110.7826761</v>
      </c>
      <c r="J489" s="427">
        <v>45543.0</v>
      </c>
      <c r="K489" s="300">
        <v>171.0</v>
      </c>
      <c r="L489" s="300" t="s">
        <v>686</v>
      </c>
      <c r="M489" s="300" t="s">
        <v>1140</v>
      </c>
      <c r="N489" s="300">
        <v>2.0</v>
      </c>
      <c r="O489" s="300" t="s">
        <v>716</v>
      </c>
      <c r="P489" s="428" t="s">
        <v>1071</v>
      </c>
      <c r="Q489" s="300" t="s">
        <v>1141</v>
      </c>
      <c r="R489" s="6" t="s">
        <v>76</v>
      </c>
      <c r="S489" s="301"/>
      <c r="T489" s="301"/>
      <c r="X489" s="2">
        <f t="shared" si="12"/>
        <v>0</v>
      </c>
      <c r="AA489" s="301"/>
      <c r="AB489" s="301"/>
      <c r="AC489" s="301"/>
      <c r="AE489" s="301"/>
      <c r="AF489" s="301"/>
      <c r="AG489" s="301"/>
    </row>
    <row r="490">
      <c r="E490" s="2">
        <f t="shared" si="9"/>
        <v>426</v>
      </c>
      <c r="F490" s="2">
        <f t="shared" si="10"/>
        <v>47022.42</v>
      </c>
      <c r="G490" s="2">
        <f t="shared" si="11"/>
        <v>110.3812676</v>
      </c>
      <c r="J490" s="427">
        <v>45543.0</v>
      </c>
      <c r="K490" s="300">
        <v>170.0</v>
      </c>
      <c r="L490" s="300" t="s">
        <v>686</v>
      </c>
      <c r="M490" s="300" t="s">
        <v>492</v>
      </c>
      <c r="N490" s="300">
        <v>750.0</v>
      </c>
      <c r="O490" s="300" t="s">
        <v>745</v>
      </c>
      <c r="P490" s="428" t="s">
        <v>1130</v>
      </c>
      <c r="Q490" s="300" t="s">
        <v>111</v>
      </c>
      <c r="R490" s="6" t="s">
        <v>76</v>
      </c>
      <c r="S490" s="301"/>
      <c r="T490" s="301"/>
      <c r="X490" s="2">
        <f t="shared" si="12"/>
        <v>0</v>
      </c>
      <c r="AA490" s="301"/>
      <c r="AB490" s="301"/>
      <c r="AC490" s="301"/>
      <c r="AE490" s="301"/>
      <c r="AF490" s="301"/>
      <c r="AG490" s="301"/>
    </row>
    <row r="491">
      <c r="E491" s="2">
        <f t="shared" si="9"/>
        <v>426</v>
      </c>
      <c r="F491" s="2">
        <f t="shared" si="10"/>
        <v>46852.42</v>
      </c>
      <c r="G491" s="2">
        <f t="shared" si="11"/>
        <v>109.9822066</v>
      </c>
      <c r="J491" s="427">
        <v>45543.0</v>
      </c>
      <c r="K491" s="300">
        <v>25.0</v>
      </c>
      <c r="L491" s="300" t="s">
        <v>686</v>
      </c>
      <c r="M491" s="300" t="s">
        <v>1070</v>
      </c>
      <c r="N491" s="300">
        <v>2.0</v>
      </c>
      <c r="O491" s="300" t="s">
        <v>716</v>
      </c>
      <c r="P491" s="428" t="s">
        <v>1130</v>
      </c>
      <c r="Q491" s="300" t="s">
        <v>1082</v>
      </c>
      <c r="R491" s="6" t="s">
        <v>76</v>
      </c>
      <c r="S491" s="300" t="s">
        <v>645</v>
      </c>
      <c r="T491" s="300" t="s">
        <v>709</v>
      </c>
      <c r="X491" s="2">
        <f t="shared" si="12"/>
        <v>0</v>
      </c>
      <c r="AA491" s="301"/>
      <c r="AB491" s="301"/>
      <c r="AC491" s="301"/>
      <c r="AE491" s="301"/>
      <c r="AF491" s="301"/>
      <c r="AG491" s="301"/>
    </row>
    <row r="492">
      <c r="E492" s="2">
        <f t="shared" si="9"/>
        <v>426</v>
      </c>
      <c r="F492" s="2">
        <f t="shared" si="10"/>
        <v>46827.42</v>
      </c>
      <c r="G492" s="2">
        <f t="shared" si="11"/>
        <v>109.9235211</v>
      </c>
      <c r="J492" s="430">
        <v>45543.0</v>
      </c>
      <c r="K492" s="302">
        <v>281.84</v>
      </c>
      <c r="L492" s="302" t="s">
        <v>686</v>
      </c>
      <c r="M492" s="302" t="s">
        <v>1142</v>
      </c>
      <c r="N492" s="302">
        <v>5.0</v>
      </c>
      <c r="O492" s="302" t="s">
        <v>716</v>
      </c>
      <c r="P492" s="431" t="s">
        <v>1130</v>
      </c>
      <c r="Q492" s="302" t="s">
        <v>945</v>
      </c>
      <c r="R492" s="258" t="s">
        <v>76</v>
      </c>
      <c r="S492" s="301"/>
      <c r="T492" s="301"/>
      <c r="X492" s="2">
        <f t="shared" si="12"/>
        <v>0</v>
      </c>
      <c r="AA492" s="301"/>
      <c r="AB492" s="301"/>
      <c r="AC492" s="301"/>
      <c r="AE492" s="301"/>
      <c r="AF492" s="301"/>
      <c r="AG492" s="301"/>
    </row>
    <row r="493">
      <c r="E493" s="2">
        <f t="shared" si="9"/>
        <v>425</v>
      </c>
      <c r="F493" s="2">
        <f t="shared" si="10"/>
        <v>46545.58</v>
      </c>
      <c r="G493" s="2">
        <f t="shared" si="11"/>
        <v>109.5190118</v>
      </c>
      <c r="J493" s="425">
        <v>45544.0</v>
      </c>
      <c r="K493" s="332">
        <v>482.0</v>
      </c>
      <c r="L493" s="332" t="s">
        <v>695</v>
      </c>
      <c r="M493" s="332" t="s">
        <v>1143</v>
      </c>
      <c r="N493" s="332">
        <v>2.0</v>
      </c>
      <c r="O493" s="332" t="s">
        <v>716</v>
      </c>
      <c r="P493" s="426" t="s">
        <v>1130</v>
      </c>
      <c r="Q493" s="332" t="s">
        <v>1144</v>
      </c>
      <c r="R493" s="255" t="s">
        <v>76</v>
      </c>
      <c r="S493" s="416"/>
      <c r="T493" s="416"/>
      <c r="X493" s="2">
        <f t="shared" si="12"/>
        <v>0</v>
      </c>
      <c r="AA493" s="301"/>
      <c r="AB493" s="301"/>
      <c r="AC493" s="301"/>
      <c r="AE493" s="301"/>
      <c r="AF493" s="301"/>
      <c r="AG493" s="301"/>
    </row>
    <row r="494">
      <c r="E494" s="2">
        <f t="shared" si="9"/>
        <v>425</v>
      </c>
      <c r="F494" s="2">
        <f t="shared" si="10"/>
        <v>46063.58</v>
      </c>
      <c r="G494" s="2">
        <f t="shared" si="11"/>
        <v>108.3848941</v>
      </c>
      <c r="J494" s="427">
        <v>45544.0</v>
      </c>
      <c r="K494" s="300">
        <v>240.0</v>
      </c>
      <c r="L494" s="300" t="s">
        <v>686</v>
      </c>
      <c r="M494" s="300" t="s">
        <v>761</v>
      </c>
      <c r="N494" s="300">
        <v>2.0</v>
      </c>
      <c r="O494" s="300" t="s">
        <v>716</v>
      </c>
      <c r="P494" s="428" t="s">
        <v>1130</v>
      </c>
      <c r="Q494" s="300" t="s">
        <v>1144</v>
      </c>
      <c r="R494" s="6" t="s">
        <v>76</v>
      </c>
      <c r="S494" s="301"/>
      <c r="T494" s="301"/>
      <c r="X494" s="2">
        <f t="shared" si="12"/>
        <v>0</v>
      </c>
      <c r="AA494" s="301"/>
      <c r="AB494" s="301"/>
      <c r="AC494" s="301"/>
      <c r="AE494" s="301"/>
      <c r="AF494" s="301"/>
      <c r="AG494" s="301"/>
    </row>
    <row r="495">
      <c r="E495" s="2">
        <f t="shared" si="9"/>
        <v>425</v>
      </c>
      <c r="F495" s="2">
        <f t="shared" si="10"/>
        <v>45823.58</v>
      </c>
      <c r="G495" s="2">
        <f t="shared" si="11"/>
        <v>107.8201882</v>
      </c>
      <c r="J495" s="427">
        <v>45544.0</v>
      </c>
      <c r="K495" s="300">
        <v>280.0</v>
      </c>
      <c r="L495" s="300" t="s">
        <v>686</v>
      </c>
      <c r="M495" s="300" t="s">
        <v>1145</v>
      </c>
      <c r="N495" s="300">
        <v>1.0</v>
      </c>
      <c r="O495" s="300" t="s">
        <v>716</v>
      </c>
      <c r="P495" s="428" t="s">
        <v>1071</v>
      </c>
      <c r="Q495" s="300" t="s">
        <v>1144</v>
      </c>
      <c r="R495" s="6" t="s">
        <v>76</v>
      </c>
      <c r="S495" s="301"/>
      <c r="T495" s="301"/>
      <c r="X495" s="2">
        <f t="shared" si="12"/>
        <v>0</v>
      </c>
      <c r="AA495" s="301"/>
      <c r="AB495" s="301"/>
      <c r="AC495" s="301"/>
      <c r="AE495" s="301"/>
      <c r="AF495" s="301"/>
      <c r="AG495" s="301"/>
    </row>
    <row r="496">
      <c r="E496" s="2">
        <f t="shared" si="9"/>
        <v>425</v>
      </c>
      <c r="F496" s="2">
        <f t="shared" si="10"/>
        <v>45543.58</v>
      </c>
      <c r="G496" s="2">
        <f t="shared" si="11"/>
        <v>107.1613647</v>
      </c>
      <c r="J496" s="427">
        <v>45544.0</v>
      </c>
      <c r="K496" s="300">
        <v>120.0</v>
      </c>
      <c r="L496" s="300" t="s">
        <v>686</v>
      </c>
      <c r="M496" s="300" t="s">
        <v>761</v>
      </c>
      <c r="N496" s="300">
        <v>1.0</v>
      </c>
      <c r="O496" s="300" t="s">
        <v>716</v>
      </c>
      <c r="P496" s="428" t="s">
        <v>1071</v>
      </c>
      <c r="Q496" s="300" t="s">
        <v>1144</v>
      </c>
      <c r="R496" s="6" t="s">
        <v>76</v>
      </c>
      <c r="S496" s="300" t="s">
        <v>645</v>
      </c>
      <c r="T496" s="300" t="s">
        <v>709</v>
      </c>
      <c r="X496" s="2">
        <f t="shared" si="12"/>
        <v>0</v>
      </c>
      <c r="AA496" s="301"/>
      <c r="AB496" s="301"/>
      <c r="AC496" s="301"/>
      <c r="AE496" s="301"/>
      <c r="AF496" s="301"/>
      <c r="AG496" s="301"/>
    </row>
    <row r="497">
      <c r="E497" s="2">
        <f t="shared" si="9"/>
        <v>425</v>
      </c>
      <c r="F497" s="2">
        <f t="shared" si="10"/>
        <v>45423.58</v>
      </c>
      <c r="G497" s="2">
        <f t="shared" si="11"/>
        <v>106.8790118</v>
      </c>
      <c r="J497" s="430">
        <v>45544.0</v>
      </c>
      <c r="K497" s="302">
        <v>30.0</v>
      </c>
      <c r="L497" s="302" t="s">
        <v>692</v>
      </c>
      <c r="M497" s="302" t="s">
        <v>1132</v>
      </c>
      <c r="N497" s="302">
        <v>1.0</v>
      </c>
      <c r="O497" s="302" t="s">
        <v>716</v>
      </c>
      <c r="P497" s="428" t="s">
        <v>1130</v>
      </c>
      <c r="Q497" s="302" t="s">
        <v>1144</v>
      </c>
      <c r="R497" s="258" t="s">
        <v>76</v>
      </c>
      <c r="S497" s="302" t="s">
        <v>645</v>
      </c>
      <c r="T497" s="302" t="s">
        <v>709</v>
      </c>
      <c r="X497" s="2">
        <f t="shared" si="12"/>
        <v>0</v>
      </c>
      <c r="AA497" s="301"/>
      <c r="AB497" s="301"/>
      <c r="AC497" s="301"/>
      <c r="AE497" s="301"/>
      <c r="AF497" s="301"/>
      <c r="AG497" s="301"/>
    </row>
    <row r="498">
      <c r="E498" s="2">
        <f t="shared" si="9"/>
        <v>424</v>
      </c>
      <c r="F498" s="2">
        <f t="shared" si="10"/>
        <v>45393.58</v>
      </c>
      <c r="G498" s="2">
        <f t="shared" si="11"/>
        <v>107.0603302</v>
      </c>
      <c r="J498" s="425">
        <v>45545.0</v>
      </c>
      <c r="K498" s="332">
        <v>304.57</v>
      </c>
      <c r="L498" s="332" t="s">
        <v>686</v>
      </c>
      <c r="M498" s="332" t="s">
        <v>1146</v>
      </c>
      <c r="N498" s="332">
        <v>5.0</v>
      </c>
      <c r="O498" s="254" t="s">
        <v>716</v>
      </c>
      <c r="P498" s="426" t="s">
        <v>1071</v>
      </c>
      <c r="Q498" s="256" t="s">
        <v>945</v>
      </c>
      <c r="R498" s="255" t="s">
        <v>76</v>
      </c>
      <c r="S498" s="416"/>
      <c r="T498" s="416"/>
      <c r="X498" s="2">
        <f t="shared" si="12"/>
        <v>0</v>
      </c>
      <c r="AA498" s="301"/>
      <c r="AB498" s="301"/>
      <c r="AC498" s="301"/>
      <c r="AE498" s="301"/>
      <c r="AF498" s="301"/>
      <c r="AG498" s="301"/>
    </row>
    <row r="499">
      <c r="E499" s="2">
        <f t="shared" si="9"/>
        <v>424</v>
      </c>
      <c r="F499" s="2">
        <f t="shared" si="10"/>
        <v>45089.01</v>
      </c>
      <c r="G499" s="2">
        <f t="shared" si="11"/>
        <v>106.3420047</v>
      </c>
      <c r="J499" s="427">
        <v>45545.0</v>
      </c>
      <c r="K499" s="300">
        <v>300.0</v>
      </c>
      <c r="L499" s="300" t="s">
        <v>686</v>
      </c>
      <c r="M499" s="300" t="s">
        <v>835</v>
      </c>
      <c r="N499" s="300">
        <v>1.0</v>
      </c>
      <c r="O499" s="193" t="s">
        <v>716</v>
      </c>
      <c r="P499" s="428" t="s">
        <v>1071</v>
      </c>
      <c r="Q499" s="192" t="s">
        <v>973</v>
      </c>
      <c r="R499" s="6" t="s">
        <v>76</v>
      </c>
      <c r="S499" s="301"/>
      <c r="T499" s="301"/>
      <c r="X499" s="2">
        <f t="shared" si="12"/>
        <v>0</v>
      </c>
      <c r="AA499" s="301"/>
      <c r="AB499" s="301"/>
      <c r="AC499" s="301"/>
      <c r="AE499" s="301"/>
      <c r="AF499" s="301"/>
      <c r="AG499" s="301"/>
    </row>
    <row r="500">
      <c r="E500" s="2">
        <f t="shared" si="9"/>
        <v>424</v>
      </c>
      <c r="F500" s="2">
        <f t="shared" si="10"/>
        <v>44789.01</v>
      </c>
      <c r="G500" s="2">
        <f t="shared" si="11"/>
        <v>105.6344575</v>
      </c>
      <c r="J500" s="427">
        <v>45545.0</v>
      </c>
      <c r="K500" s="300">
        <v>360.0</v>
      </c>
      <c r="L500" s="300" t="s">
        <v>688</v>
      </c>
      <c r="M500" s="300" t="s">
        <v>1147</v>
      </c>
      <c r="N500" s="300">
        <v>360.0</v>
      </c>
      <c r="O500" s="193" t="s">
        <v>712</v>
      </c>
      <c r="P500" s="428" t="s">
        <v>1148</v>
      </c>
      <c r="Q500" s="192" t="s">
        <v>378</v>
      </c>
      <c r="R500" s="6" t="s">
        <v>76</v>
      </c>
      <c r="S500" s="300" t="s">
        <v>378</v>
      </c>
      <c r="T500" s="300" t="s">
        <v>709</v>
      </c>
      <c r="X500" s="2">
        <f t="shared" si="12"/>
        <v>0</v>
      </c>
      <c r="AA500" s="301"/>
      <c r="AB500" s="301"/>
      <c r="AC500" s="301"/>
      <c r="AE500" s="301"/>
      <c r="AF500" s="301"/>
      <c r="AG500" s="301"/>
    </row>
    <row r="501">
      <c r="E501" s="2">
        <f t="shared" si="9"/>
        <v>424</v>
      </c>
      <c r="F501" s="2">
        <f t="shared" si="10"/>
        <v>44429.01</v>
      </c>
      <c r="G501" s="2">
        <f t="shared" si="11"/>
        <v>104.7854009</v>
      </c>
      <c r="J501" s="427">
        <v>45545.0</v>
      </c>
      <c r="K501" s="300">
        <v>100.0</v>
      </c>
      <c r="L501" s="300" t="s">
        <v>686</v>
      </c>
      <c r="M501" s="300" t="s">
        <v>828</v>
      </c>
      <c r="N501" s="300">
        <v>4.0</v>
      </c>
      <c r="O501" s="193" t="s">
        <v>716</v>
      </c>
      <c r="P501" s="428" t="s">
        <v>1148</v>
      </c>
      <c r="Q501" s="192" t="s">
        <v>378</v>
      </c>
      <c r="R501" s="6" t="s">
        <v>76</v>
      </c>
      <c r="S501" s="300" t="s">
        <v>378</v>
      </c>
      <c r="T501" s="300" t="s">
        <v>709</v>
      </c>
      <c r="X501" s="2">
        <f t="shared" si="12"/>
        <v>0</v>
      </c>
      <c r="AA501" s="301"/>
      <c r="AB501" s="301"/>
      <c r="AC501" s="301"/>
      <c r="AE501" s="301"/>
      <c r="AF501" s="301"/>
      <c r="AG501" s="301"/>
    </row>
    <row r="502">
      <c r="E502" s="2">
        <f t="shared" si="9"/>
        <v>424</v>
      </c>
      <c r="F502" s="2">
        <f t="shared" si="10"/>
        <v>44329.01</v>
      </c>
      <c r="G502" s="2">
        <f t="shared" si="11"/>
        <v>104.5495519</v>
      </c>
      <c r="J502" s="430">
        <v>45545.0</v>
      </c>
      <c r="K502" s="302">
        <v>201.0</v>
      </c>
      <c r="L502" s="302" t="s">
        <v>686</v>
      </c>
      <c r="M502" s="302" t="s">
        <v>1149</v>
      </c>
      <c r="N502" s="302">
        <v>2.0</v>
      </c>
      <c r="O502" s="411" t="s">
        <v>716</v>
      </c>
      <c r="P502" s="431" t="s">
        <v>1148</v>
      </c>
      <c r="Q502" s="259" t="s">
        <v>973</v>
      </c>
      <c r="R502" s="258" t="s">
        <v>76</v>
      </c>
      <c r="S502" s="303"/>
      <c r="T502" s="303"/>
      <c r="X502" s="2">
        <f t="shared" si="12"/>
        <v>0</v>
      </c>
      <c r="AA502" s="301"/>
      <c r="AB502" s="301"/>
      <c r="AC502" s="301"/>
      <c r="AE502" s="301"/>
      <c r="AF502" s="301"/>
      <c r="AG502" s="301"/>
    </row>
    <row r="503">
      <c r="E503" s="2">
        <f t="shared" si="9"/>
        <v>423</v>
      </c>
      <c r="F503" s="2">
        <f t="shared" si="10"/>
        <v>44128.01</v>
      </c>
      <c r="G503" s="2">
        <f t="shared" si="11"/>
        <v>104.3215366</v>
      </c>
      <c r="J503" s="430">
        <v>45546.0</v>
      </c>
      <c r="K503" s="302">
        <v>203.0</v>
      </c>
      <c r="L503" s="302" t="s">
        <v>686</v>
      </c>
      <c r="M503" s="302" t="s">
        <v>1150</v>
      </c>
      <c r="N503" s="302">
        <v>1.0</v>
      </c>
      <c r="O503" s="411" t="s">
        <v>716</v>
      </c>
      <c r="P503" s="431" t="s">
        <v>1071</v>
      </c>
      <c r="Q503" s="259" t="s">
        <v>881</v>
      </c>
      <c r="R503" s="258" t="s">
        <v>76</v>
      </c>
      <c r="S503" s="303"/>
      <c r="T503" s="303"/>
      <c r="X503" s="2">
        <f t="shared" si="12"/>
        <v>0</v>
      </c>
      <c r="AA503" s="301"/>
      <c r="AB503" s="301"/>
      <c r="AC503" s="301"/>
      <c r="AE503" s="301"/>
      <c r="AF503" s="301"/>
      <c r="AG503" s="301"/>
    </row>
    <row r="504">
      <c r="E504" s="2">
        <f t="shared" si="9"/>
        <v>422</v>
      </c>
      <c r="F504" s="2">
        <f t="shared" si="10"/>
        <v>43925.01</v>
      </c>
      <c r="G504" s="2">
        <f t="shared" si="11"/>
        <v>104.0877014</v>
      </c>
      <c r="J504" s="427">
        <v>45547.0</v>
      </c>
      <c r="K504" s="300">
        <v>119.0</v>
      </c>
      <c r="L504" s="300" t="s">
        <v>686</v>
      </c>
      <c r="M504" s="300" t="s">
        <v>1151</v>
      </c>
      <c r="N504" s="300">
        <v>1.0</v>
      </c>
      <c r="O504" s="300" t="s">
        <v>716</v>
      </c>
      <c r="P504" s="428" t="s">
        <v>1071</v>
      </c>
      <c r="Q504" s="300" t="s">
        <v>1152</v>
      </c>
      <c r="R504" s="6" t="s">
        <v>76</v>
      </c>
      <c r="S504" s="301"/>
      <c r="T504" s="301"/>
      <c r="X504" s="2">
        <f t="shared" si="12"/>
        <v>0</v>
      </c>
      <c r="AA504" s="301"/>
      <c r="AB504" s="301"/>
      <c r="AC504" s="301"/>
      <c r="AE504" s="301"/>
      <c r="AF504" s="301"/>
      <c r="AG504" s="301"/>
    </row>
    <row r="505">
      <c r="E505" s="2">
        <f t="shared" si="9"/>
        <v>422</v>
      </c>
      <c r="F505" s="2">
        <f t="shared" si="10"/>
        <v>43806.01</v>
      </c>
      <c r="G505" s="2">
        <f t="shared" si="11"/>
        <v>103.8057109</v>
      </c>
      <c r="J505" s="427">
        <v>45547.0</v>
      </c>
      <c r="K505" s="300">
        <v>99.0</v>
      </c>
      <c r="L505" s="300" t="s">
        <v>686</v>
      </c>
      <c r="M505" s="300" t="s">
        <v>1153</v>
      </c>
      <c r="N505" s="300">
        <v>1.0</v>
      </c>
      <c r="O505" s="300" t="s">
        <v>716</v>
      </c>
      <c r="P505" s="428" t="s">
        <v>1071</v>
      </c>
      <c r="Q505" s="300" t="s">
        <v>1152</v>
      </c>
      <c r="R505" s="6" t="s">
        <v>76</v>
      </c>
      <c r="S505" s="301"/>
      <c r="T505" s="301"/>
      <c r="X505" s="2">
        <f t="shared" si="12"/>
        <v>0</v>
      </c>
      <c r="AA505" s="301"/>
      <c r="AB505" s="301"/>
      <c r="AC505" s="301"/>
      <c r="AE505" s="301"/>
      <c r="AF505" s="301"/>
      <c r="AG505" s="301"/>
    </row>
    <row r="506">
      <c r="E506" s="2">
        <f t="shared" si="9"/>
        <v>422</v>
      </c>
      <c r="F506" s="2">
        <f t="shared" si="10"/>
        <v>43707.01</v>
      </c>
      <c r="G506" s="2">
        <f t="shared" si="11"/>
        <v>103.5711137</v>
      </c>
      <c r="J506" s="427">
        <v>45547.0</v>
      </c>
      <c r="K506" s="300">
        <f>230-sum(K504:K505)</f>
        <v>12</v>
      </c>
      <c r="L506" s="300" t="s">
        <v>686</v>
      </c>
      <c r="M506" s="300" t="s">
        <v>1154</v>
      </c>
      <c r="N506" s="300">
        <v>1.0</v>
      </c>
      <c r="O506" s="300" t="s">
        <v>716</v>
      </c>
      <c r="P506" s="428" t="s">
        <v>1071</v>
      </c>
      <c r="Q506" s="300" t="s">
        <v>1152</v>
      </c>
      <c r="R506" s="6" t="s">
        <v>76</v>
      </c>
      <c r="S506" s="301"/>
      <c r="T506" s="301"/>
      <c r="X506" s="2">
        <f t="shared" si="12"/>
        <v>0</v>
      </c>
      <c r="AA506" s="301"/>
      <c r="AB506" s="301"/>
      <c r="AC506" s="301"/>
      <c r="AE506" s="301"/>
      <c r="AF506" s="301"/>
      <c r="AG506" s="301"/>
    </row>
    <row r="507">
      <c r="E507" s="2">
        <f t="shared" si="9"/>
        <v>422</v>
      </c>
      <c r="F507" s="2">
        <f t="shared" si="10"/>
        <v>43695.01</v>
      </c>
      <c r="G507" s="2">
        <f t="shared" si="11"/>
        <v>103.5426777</v>
      </c>
      <c r="J507" s="427">
        <v>45547.0</v>
      </c>
      <c r="K507" s="300">
        <v>30.0</v>
      </c>
      <c r="L507" s="300" t="s">
        <v>686</v>
      </c>
      <c r="M507" s="300" t="s">
        <v>1155</v>
      </c>
      <c r="N507" s="300">
        <v>1.0</v>
      </c>
      <c r="O507" s="300" t="s">
        <v>716</v>
      </c>
      <c r="P507" s="428" t="s">
        <v>1071</v>
      </c>
      <c r="Q507" s="300" t="s">
        <v>1156</v>
      </c>
      <c r="R507" s="6" t="s">
        <v>687</v>
      </c>
      <c r="S507" s="301"/>
      <c r="T507" s="301"/>
      <c r="X507" s="2">
        <f t="shared" si="12"/>
        <v>0</v>
      </c>
      <c r="AA507" s="301"/>
      <c r="AB507" s="301"/>
      <c r="AC507" s="301"/>
      <c r="AE507" s="301"/>
      <c r="AF507" s="301"/>
      <c r="AG507" s="301"/>
    </row>
    <row r="508">
      <c r="E508" s="2">
        <f t="shared" si="9"/>
        <v>422</v>
      </c>
      <c r="F508" s="2">
        <f t="shared" si="10"/>
        <v>43665.01</v>
      </c>
      <c r="G508" s="2">
        <f t="shared" si="11"/>
        <v>103.4715877</v>
      </c>
      <c r="J508" s="427">
        <v>45547.0</v>
      </c>
      <c r="K508" s="300">
        <v>30.0</v>
      </c>
      <c r="L508" s="300" t="s">
        <v>686</v>
      </c>
      <c r="M508" s="300" t="s">
        <v>1157</v>
      </c>
      <c r="N508" s="300">
        <v>1.0</v>
      </c>
      <c r="O508" s="300" t="s">
        <v>716</v>
      </c>
      <c r="P508" s="428" t="s">
        <v>1071</v>
      </c>
      <c r="Q508" s="300" t="s">
        <v>1156</v>
      </c>
      <c r="R508" s="6" t="s">
        <v>687</v>
      </c>
      <c r="S508" s="301"/>
      <c r="T508" s="301"/>
      <c r="X508" s="2">
        <f t="shared" si="12"/>
        <v>0</v>
      </c>
      <c r="AA508" s="301"/>
      <c r="AB508" s="301"/>
      <c r="AC508" s="301"/>
      <c r="AE508" s="301"/>
      <c r="AF508" s="301"/>
      <c r="AG508" s="301"/>
    </row>
    <row r="509">
      <c r="E509" s="2">
        <f t="shared" si="9"/>
        <v>422</v>
      </c>
      <c r="F509" s="2">
        <f t="shared" si="10"/>
        <v>43635.01</v>
      </c>
      <c r="G509" s="2">
        <f t="shared" si="11"/>
        <v>103.4004976</v>
      </c>
      <c r="J509" s="427">
        <v>45547.0</v>
      </c>
      <c r="K509" s="300">
        <v>40.0</v>
      </c>
      <c r="L509" s="300" t="s">
        <v>686</v>
      </c>
      <c r="M509" s="300" t="s">
        <v>1158</v>
      </c>
      <c r="N509" s="300">
        <v>1.0</v>
      </c>
      <c r="O509" s="300" t="s">
        <v>716</v>
      </c>
      <c r="P509" s="428" t="s">
        <v>1159</v>
      </c>
      <c r="Q509" s="300" t="s">
        <v>1156</v>
      </c>
      <c r="R509" s="6" t="s">
        <v>687</v>
      </c>
      <c r="S509" s="301"/>
      <c r="T509" s="301"/>
      <c r="X509" s="2">
        <f t="shared" si="12"/>
        <v>0</v>
      </c>
      <c r="AA509" s="301"/>
      <c r="AB509" s="301"/>
      <c r="AC509" s="301"/>
      <c r="AE509" s="301"/>
      <c r="AF509" s="301"/>
      <c r="AG509" s="301"/>
    </row>
    <row r="510">
      <c r="E510" s="2">
        <f t="shared" si="9"/>
        <v>422</v>
      </c>
      <c r="F510" s="2">
        <f t="shared" si="10"/>
        <v>43595.01</v>
      </c>
      <c r="G510" s="2">
        <f t="shared" si="11"/>
        <v>103.3057109</v>
      </c>
      <c r="J510" s="427">
        <v>45547.0</v>
      </c>
      <c r="K510" s="300">
        <v>40.0</v>
      </c>
      <c r="L510" s="300" t="s">
        <v>686</v>
      </c>
      <c r="M510" s="300" t="s">
        <v>1160</v>
      </c>
      <c r="N510" s="300">
        <v>1.0</v>
      </c>
      <c r="O510" s="300" t="s">
        <v>716</v>
      </c>
      <c r="P510" s="428" t="s">
        <v>1159</v>
      </c>
      <c r="Q510" s="300" t="s">
        <v>1156</v>
      </c>
      <c r="R510" s="6" t="s">
        <v>687</v>
      </c>
      <c r="S510" s="301"/>
      <c r="T510" s="301"/>
      <c r="X510" s="2">
        <f t="shared" si="12"/>
        <v>0</v>
      </c>
      <c r="AA510" s="301"/>
      <c r="AB510" s="301"/>
      <c r="AC510" s="301"/>
      <c r="AE510" s="301"/>
      <c r="AF510" s="301"/>
      <c r="AG510" s="301"/>
    </row>
    <row r="511">
      <c r="E511" s="2">
        <f t="shared" si="9"/>
        <v>422</v>
      </c>
      <c r="F511" s="2">
        <f t="shared" si="10"/>
        <v>43555.01</v>
      </c>
      <c r="G511" s="2">
        <f t="shared" si="11"/>
        <v>103.2109242</v>
      </c>
      <c r="J511" s="427">
        <v>45547.0</v>
      </c>
      <c r="K511" s="300">
        <v>50.0</v>
      </c>
      <c r="L511" s="300" t="s">
        <v>686</v>
      </c>
      <c r="M511" s="300" t="s">
        <v>1161</v>
      </c>
      <c r="N511" s="300">
        <v>1.0</v>
      </c>
      <c r="O511" s="300" t="s">
        <v>716</v>
      </c>
      <c r="P511" s="428" t="s">
        <v>1071</v>
      </c>
      <c r="Q511" s="300" t="s">
        <v>1156</v>
      </c>
      <c r="R511" s="6" t="s">
        <v>687</v>
      </c>
      <c r="S511" s="301"/>
      <c r="T511" s="301"/>
      <c r="X511" s="2">
        <f t="shared" si="12"/>
        <v>0</v>
      </c>
      <c r="AA511" s="301"/>
      <c r="AB511" s="301"/>
      <c r="AC511" s="301"/>
      <c r="AE511" s="301"/>
      <c r="AF511" s="301"/>
      <c r="AG511" s="301"/>
    </row>
    <row r="512">
      <c r="E512" s="2">
        <f t="shared" si="9"/>
        <v>422</v>
      </c>
      <c r="F512" s="2">
        <f t="shared" si="10"/>
        <v>43505.01</v>
      </c>
      <c r="G512" s="2">
        <f t="shared" si="11"/>
        <v>103.0924408</v>
      </c>
      <c r="J512" s="427">
        <v>45547.0</v>
      </c>
      <c r="K512" s="300">
        <v>179.0</v>
      </c>
      <c r="L512" s="300" t="s">
        <v>686</v>
      </c>
      <c r="M512" s="300" t="s">
        <v>1162</v>
      </c>
      <c r="N512" s="300">
        <v>1.0</v>
      </c>
      <c r="O512" s="300" t="s">
        <v>716</v>
      </c>
      <c r="P512" s="428" t="s">
        <v>1159</v>
      </c>
      <c r="Q512" s="300" t="s">
        <v>1163</v>
      </c>
      <c r="R512" s="6" t="s">
        <v>687</v>
      </c>
      <c r="S512" s="301"/>
      <c r="T512" s="301"/>
      <c r="X512" s="2">
        <f t="shared" si="12"/>
        <v>0</v>
      </c>
      <c r="AA512" s="301"/>
      <c r="AB512" s="301"/>
      <c r="AC512" s="301"/>
      <c r="AE512" s="301"/>
      <c r="AF512" s="301"/>
      <c r="AG512" s="301"/>
    </row>
    <row r="513">
      <c r="E513" s="2">
        <f t="shared" si="9"/>
        <v>422</v>
      </c>
      <c r="F513" s="2">
        <f t="shared" si="10"/>
        <v>43326.01</v>
      </c>
      <c r="G513" s="2">
        <f t="shared" si="11"/>
        <v>102.6682701</v>
      </c>
      <c r="J513" s="427">
        <v>45547.0</v>
      </c>
      <c r="K513" s="300">
        <v>229.0</v>
      </c>
      <c r="L513" s="300" t="s">
        <v>686</v>
      </c>
      <c r="M513" s="300" t="s">
        <v>1164</v>
      </c>
      <c r="N513" s="300">
        <v>1.0</v>
      </c>
      <c r="O513" s="300" t="s">
        <v>716</v>
      </c>
      <c r="P513" s="428" t="s">
        <v>1159</v>
      </c>
      <c r="Q513" s="300" t="s">
        <v>1163</v>
      </c>
      <c r="R513" s="6" t="s">
        <v>687</v>
      </c>
      <c r="S513" s="301"/>
      <c r="T513" s="301"/>
      <c r="X513" s="2">
        <f t="shared" si="12"/>
        <v>0</v>
      </c>
      <c r="AA513" s="301"/>
      <c r="AB513" s="301"/>
      <c r="AC513" s="301"/>
      <c r="AE513" s="301"/>
      <c r="AF513" s="301"/>
      <c r="AG513" s="301"/>
    </row>
    <row r="514">
      <c r="E514" s="2">
        <f t="shared" si="9"/>
        <v>422</v>
      </c>
      <c r="F514" s="2">
        <f t="shared" si="10"/>
        <v>43097.01</v>
      </c>
      <c r="G514" s="2">
        <f t="shared" si="11"/>
        <v>102.1256161</v>
      </c>
      <c r="J514" s="427">
        <v>45547.0</v>
      </c>
      <c r="K514" s="300">
        <v>39.0</v>
      </c>
      <c r="L514" s="300" t="s">
        <v>686</v>
      </c>
      <c r="M514" s="300" t="s">
        <v>1165</v>
      </c>
      <c r="N514" s="300">
        <v>2.0</v>
      </c>
      <c r="O514" s="300" t="s">
        <v>716</v>
      </c>
      <c r="P514" s="428" t="s">
        <v>1159</v>
      </c>
      <c r="Q514" s="300" t="s">
        <v>1163</v>
      </c>
      <c r="R514" s="6" t="s">
        <v>687</v>
      </c>
      <c r="S514" s="301"/>
      <c r="T514" s="301"/>
      <c r="X514" s="2">
        <f t="shared" si="12"/>
        <v>0</v>
      </c>
      <c r="AA514" s="301"/>
      <c r="AB514" s="301"/>
      <c r="AC514" s="301"/>
      <c r="AE514" s="301"/>
      <c r="AF514" s="301"/>
      <c r="AG514" s="301"/>
    </row>
    <row r="515">
      <c r="E515" s="2">
        <f t="shared" si="9"/>
        <v>422</v>
      </c>
      <c r="F515" s="2">
        <f t="shared" si="10"/>
        <v>43058.01</v>
      </c>
      <c r="G515" s="2">
        <f t="shared" si="11"/>
        <v>102.0331991</v>
      </c>
      <c r="J515" s="427">
        <v>45547.0</v>
      </c>
      <c r="K515" s="300">
        <v>23.0</v>
      </c>
      <c r="L515" s="300" t="s">
        <v>686</v>
      </c>
      <c r="M515" s="300" t="s">
        <v>1165</v>
      </c>
      <c r="N515" s="300">
        <v>1.0</v>
      </c>
      <c r="O515" s="300" t="s">
        <v>716</v>
      </c>
      <c r="P515" s="428" t="s">
        <v>1159</v>
      </c>
      <c r="Q515" s="300" t="s">
        <v>1163</v>
      </c>
      <c r="R515" s="6" t="s">
        <v>687</v>
      </c>
      <c r="S515" s="301"/>
      <c r="T515" s="301"/>
      <c r="X515" s="2">
        <f t="shared" si="12"/>
        <v>0</v>
      </c>
      <c r="AA515" s="301"/>
      <c r="AB515" s="301"/>
      <c r="AC515" s="301"/>
      <c r="AE515" s="301"/>
      <c r="AF515" s="301"/>
      <c r="AG515" s="301"/>
    </row>
    <row r="516">
      <c r="E516" s="2">
        <f t="shared" si="9"/>
        <v>422</v>
      </c>
      <c r="F516" s="2">
        <f t="shared" si="10"/>
        <v>43035.01</v>
      </c>
      <c r="G516" s="2">
        <f t="shared" si="11"/>
        <v>101.9786967</v>
      </c>
      <c r="J516" s="427">
        <v>45547.0</v>
      </c>
      <c r="K516" s="300">
        <v>310.0</v>
      </c>
      <c r="L516" s="300" t="s">
        <v>686</v>
      </c>
      <c r="M516" s="300" t="s">
        <v>972</v>
      </c>
      <c r="N516" s="300">
        <v>2.0</v>
      </c>
      <c r="O516" s="300" t="s">
        <v>716</v>
      </c>
      <c r="P516" s="428" t="s">
        <v>1159</v>
      </c>
      <c r="Q516" s="300" t="s">
        <v>1163</v>
      </c>
      <c r="R516" s="6" t="s">
        <v>687</v>
      </c>
      <c r="S516" s="301"/>
      <c r="T516" s="301"/>
      <c r="X516" s="2">
        <f t="shared" si="12"/>
        <v>0</v>
      </c>
      <c r="AA516" s="301"/>
      <c r="AB516" s="301"/>
      <c r="AC516" s="301"/>
      <c r="AE516" s="301"/>
      <c r="AF516" s="301"/>
      <c r="AG516" s="301"/>
    </row>
    <row r="517">
      <c r="E517" s="2">
        <f t="shared" si="9"/>
        <v>422</v>
      </c>
      <c r="F517" s="2">
        <f t="shared" si="10"/>
        <v>42725.01</v>
      </c>
      <c r="G517" s="2">
        <f t="shared" si="11"/>
        <v>101.2440995</v>
      </c>
      <c r="J517" s="427">
        <v>45547.0</v>
      </c>
      <c r="K517" s="300">
        <v>38.0</v>
      </c>
      <c r="L517" s="300" t="s">
        <v>686</v>
      </c>
      <c r="M517" s="300" t="s">
        <v>1154</v>
      </c>
      <c r="N517" s="300">
        <v>2.0</v>
      </c>
      <c r="O517" s="300" t="s">
        <v>716</v>
      </c>
      <c r="P517" s="428" t="s">
        <v>1159</v>
      </c>
      <c r="Q517" s="300" t="s">
        <v>1163</v>
      </c>
      <c r="R517" s="6" t="s">
        <v>687</v>
      </c>
      <c r="S517" s="301"/>
      <c r="T517" s="301"/>
      <c r="X517" s="2">
        <f t="shared" si="12"/>
        <v>0</v>
      </c>
      <c r="AA517" s="301"/>
      <c r="AB517" s="301"/>
      <c r="AC517" s="301"/>
      <c r="AE517" s="301"/>
      <c r="AF517" s="301"/>
      <c r="AG517" s="301"/>
    </row>
    <row r="518">
      <c r="E518" s="2">
        <f t="shared" si="9"/>
        <v>422</v>
      </c>
      <c r="F518" s="2">
        <f t="shared" si="10"/>
        <v>42687.01</v>
      </c>
      <c r="G518" s="2">
        <f t="shared" si="11"/>
        <v>101.1540521</v>
      </c>
      <c r="J518" s="427">
        <v>45547.0</v>
      </c>
      <c r="K518" s="300">
        <v>1360.0</v>
      </c>
      <c r="L518" s="300" t="s">
        <v>688</v>
      </c>
      <c r="M518" s="300" t="s">
        <v>1166</v>
      </c>
      <c r="N518" s="300">
        <v>750.0</v>
      </c>
      <c r="O518" s="300" t="s">
        <v>712</v>
      </c>
      <c r="P518" s="428" t="s">
        <v>1071</v>
      </c>
      <c r="Q518" s="300" t="s">
        <v>714</v>
      </c>
      <c r="R518" s="6" t="s">
        <v>687</v>
      </c>
      <c r="S518" s="301"/>
      <c r="T518" s="301"/>
      <c r="X518" s="2">
        <f t="shared" si="12"/>
        <v>0</v>
      </c>
      <c r="AA518" s="301"/>
      <c r="AB518" s="301"/>
      <c r="AC518" s="301"/>
      <c r="AE518" s="301"/>
      <c r="AF518" s="301"/>
      <c r="AG518" s="301"/>
    </row>
    <row r="519">
      <c r="E519" s="2">
        <f t="shared" si="9"/>
        <v>422</v>
      </c>
      <c r="F519" s="2">
        <f t="shared" si="10"/>
        <v>41327.01</v>
      </c>
      <c r="G519" s="2">
        <f t="shared" si="11"/>
        <v>97.93130332</v>
      </c>
      <c r="J519" s="427">
        <v>45547.0</v>
      </c>
      <c r="K519" s="300">
        <v>380.0</v>
      </c>
      <c r="L519" s="300" t="s">
        <v>688</v>
      </c>
      <c r="M519" s="300" t="s">
        <v>989</v>
      </c>
      <c r="N519" s="300">
        <v>2.0</v>
      </c>
      <c r="O519" s="300" t="s">
        <v>716</v>
      </c>
      <c r="P519" s="428" t="s">
        <v>1071</v>
      </c>
      <c r="Q519" s="300" t="s">
        <v>714</v>
      </c>
      <c r="R519" s="6" t="s">
        <v>687</v>
      </c>
      <c r="S519" s="301"/>
      <c r="T519" s="301"/>
      <c r="X519" s="2">
        <f t="shared" si="12"/>
        <v>0</v>
      </c>
      <c r="AA519" s="301"/>
      <c r="AB519" s="301"/>
      <c r="AC519" s="301"/>
      <c r="AE519" s="301"/>
      <c r="AF519" s="301"/>
      <c r="AG519" s="301"/>
    </row>
    <row r="520">
      <c r="E520" s="2">
        <f t="shared" si="9"/>
        <v>422</v>
      </c>
      <c r="F520" s="2">
        <f t="shared" si="10"/>
        <v>40947.01</v>
      </c>
      <c r="G520" s="2">
        <f t="shared" si="11"/>
        <v>97.03082938</v>
      </c>
      <c r="J520" s="427">
        <v>45547.0</v>
      </c>
      <c r="K520" s="300">
        <v>690.0</v>
      </c>
      <c r="L520" s="300" t="s">
        <v>688</v>
      </c>
      <c r="M520" s="300" t="s">
        <v>1126</v>
      </c>
      <c r="N520" s="300">
        <v>750.0</v>
      </c>
      <c r="O520" s="300" t="s">
        <v>712</v>
      </c>
      <c r="P520" s="428" t="s">
        <v>1071</v>
      </c>
      <c r="Q520" s="300" t="s">
        <v>714</v>
      </c>
      <c r="R520" s="6" t="s">
        <v>687</v>
      </c>
      <c r="S520" s="301"/>
      <c r="T520" s="301"/>
      <c r="X520" s="2">
        <f t="shared" si="12"/>
        <v>0</v>
      </c>
      <c r="AA520" s="301"/>
      <c r="AB520" s="301"/>
      <c r="AC520" s="301"/>
      <c r="AE520" s="301"/>
      <c r="AF520" s="301"/>
      <c r="AG520" s="301"/>
    </row>
    <row r="521">
      <c r="E521" s="2">
        <f t="shared" si="9"/>
        <v>422</v>
      </c>
      <c r="F521" s="2">
        <f t="shared" si="10"/>
        <v>40257.01</v>
      </c>
      <c r="G521" s="2">
        <f t="shared" si="11"/>
        <v>95.39575829</v>
      </c>
      <c r="J521" s="430">
        <v>45547.0</v>
      </c>
      <c r="K521" s="302">
        <v>450.0</v>
      </c>
      <c r="L521" s="302" t="s">
        <v>688</v>
      </c>
      <c r="M521" s="302" t="s">
        <v>1167</v>
      </c>
      <c r="N521" s="302">
        <v>3.0</v>
      </c>
      <c r="O521" s="302" t="s">
        <v>716</v>
      </c>
      <c r="P521" s="431" t="s">
        <v>1168</v>
      </c>
      <c r="Q521" s="302" t="s">
        <v>714</v>
      </c>
      <c r="R521" s="258" t="s">
        <v>687</v>
      </c>
      <c r="S521" s="303"/>
      <c r="T521" s="303"/>
      <c r="X521" s="2">
        <f t="shared" si="12"/>
        <v>0</v>
      </c>
      <c r="AA521" s="301"/>
      <c r="AB521" s="301"/>
      <c r="AC521" s="301"/>
      <c r="AE521" s="301"/>
      <c r="AF521" s="301"/>
      <c r="AG521" s="301"/>
    </row>
    <row r="522">
      <c r="E522" s="2">
        <f t="shared" si="9"/>
        <v>421</v>
      </c>
      <c r="F522" s="2">
        <f t="shared" si="10"/>
        <v>39807.01</v>
      </c>
      <c r="G522" s="2">
        <f t="shared" si="11"/>
        <v>94.55346793</v>
      </c>
      <c r="J522" s="427">
        <v>45548.0</v>
      </c>
      <c r="K522" s="300">
        <v>144.0</v>
      </c>
      <c r="L522" s="300" t="s">
        <v>686</v>
      </c>
      <c r="M522" s="300" t="s">
        <v>1169</v>
      </c>
      <c r="N522" s="300">
        <v>1.0</v>
      </c>
      <c r="O522" s="300" t="s">
        <v>716</v>
      </c>
      <c r="P522" s="428" t="s">
        <v>1071</v>
      </c>
      <c r="Q522" s="300" t="s">
        <v>1170</v>
      </c>
      <c r="R522" s="6" t="s">
        <v>76</v>
      </c>
      <c r="S522" s="301"/>
      <c r="T522" s="301"/>
      <c r="X522" s="2">
        <f t="shared" si="12"/>
        <v>0</v>
      </c>
      <c r="AA522" s="301"/>
      <c r="AB522" s="301"/>
      <c r="AC522" s="301"/>
      <c r="AE522" s="301"/>
      <c r="AF522" s="301"/>
      <c r="AG522" s="301"/>
    </row>
    <row r="523">
      <c r="E523" s="2">
        <f t="shared" si="9"/>
        <v>421</v>
      </c>
      <c r="F523" s="2">
        <f t="shared" si="10"/>
        <v>39663.01</v>
      </c>
      <c r="G523" s="2">
        <f t="shared" si="11"/>
        <v>94.21142518</v>
      </c>
      <c r="J523" s="430">
        <v>45548.0</v>
      </c>
      <c r="K523" s="302">
        <v>135.0</v>
      </c>
      <c r="L523" s="302" t="s">
        <v>686</v>
      </c>
      <c r="M523" s="302" t="s">
        <v>1171</v>
      </c>
      <c r="N523" s="302">
        <v>1.0</v>
      </c>
      <c r="O523" s="302" t="s">
        <v>716</v>
      </c>
      <c r="P523" s="431" t="s">
        <v>1071</v>
      </c>
      <c r="Q523" s="302" t="s">
        <v>1170</v>
      </c>
      <c r="R523" s="258" t="s">
        <v>76</v>
      </c>
      <c r="S523" s="303"/>
      <c r="T523" s="303"/>
      <c r="X523" s="2">
        <f t="shared" si="12"/>
        <v>0</v>
      </c>
      <c r="AA523" s="301"/>
      <c r="AB523" s="301"/>
      <c r="AC523" s="301"/>
      <c r="AE523" s="301"/>
      <c r="AF523" s="301"/>
      <c r="AG523" s="301"/>
    </row>
    <row r="524">
      <c r="E524" s="2">
        <f t="shared" si="9"/>
        <v>420</v>
      </c>
      <c r="F524" s="2">
        <f t="shared" si="10"/>
        <v>39528.01</v>
      </c>
      <c r="G524" s="2">
        <f t="shared" si="11"/>
        <v>94.11430952</v>
      </c>
      <c r="J524" s="427">
        <v>45549.0</v>
      </c>
      <c r="K524" s="300">
        <v>248.0</v>
      </c>
      <c r="L524" s="300" t="s">
        <v>686</v>
      </c>
      <c r="M524" s="300" t="s">
        <v>1172</v>
      </c>
      <c r="N524" s="300">
        <v>2.0</v>
      </c>
      <c r="O524" s="300" t="s">
        <v>716</v>
      </c>
      <c r="P524" s="428" t="s">
        <v>1173</v>
      </c>
      <c r="Q524" s="300" t="s">
        <v>1174</v>
      </c>
      <c r="R524" s="6" t="s">
        <v>76</v>
      </c>
      <c r="S524" s="301"/>
      <c r="T524" s="301"/>
      <c r="X524" s="2">
        <f t="shared" si="12"/>
        <v>0</v>
      </c>
      <c r="AA524" s="301"/>
      <c r="AB524" s="301"/>
      <c r="AC524" s="301"/>
      <c r="AE524" s="301"/>
      <c r="AF524" s="301"/>
      <c r="AG524" s="301"/>
    </row>
    <row r="525">
      <c r="E525" s="2">
        <f t="shared" si="9"/>
        <v>420</v>
      </c>
      <c r="F525" s="2">
        <f t="shared" si="10"/>
        <v>39280.01</v>
      </c>
      <c r="G525" s="2">
        <f t="shared" si="11"/>
        <v>93.52383333</v>
      </c>
      <c r="J525" s="430">
        <v>45549.0</v>
      </c>
      <c r="K525" s="302">
        <v>2650.0</v>
      </c>
      <c r="L525" s="302" t="s">
        <v>692</v>
      </c>
      <c r="M525" s="302" t="s">
        <v>788</v>
      </c>
      <c r="N525" s="302">
        <v>25.7</v>
      </c>
      <c r="O525" s="302" t="s">
        <v>712</v>
      </c>
      <c r="P525" s="431" t="s">
        <v>1071</v>
      </c>
      <c r="Q525" s="302" t="s">
        <v>1175</v>
      </c>
      <c r="R525" s="258" t="s">
        <v>687</v>
      </c>
      <c r="S525" s="303"/>
      <c r="T525" s="303"/>
      <c r="X525" s="2">
        <f t="shared" si="12"/>
        <v>0</v>
      </c>
      <c r="AA525" s="301"/>
      <c r="AB525" s="301"/>
      <c r="AC525" s="301"/>
      <c r="AE525" s="301"/>
      <c r="AF525" s="301"/>
      <c r="AG525" s="301"/>
    </row>
    <row r="526">
      <c r="E526" s="2">
        <f t="shared" si="9"/>
        <v>419</v>
      </c>
      <c r="F526" s="2">
        <f t="shared" si="10"/>
        <v>36630.01</v>
      </c>
      <c r="G526" s="2">
        <f t="shared" si="11"/>
        <v>87.42245823</v>
      </c>
      <c r="J526" s="427">
        <v>45550.0</v>
      </c>
      <c r="K526" s="300">
        <v>30.0</v>
      </c>
      <c r="L526" s="300" t="s">
        <v>686</v>
      </c>
      <c r="M526" s="300" t="s">
        <v>1176</v>
      </c>
      <c r="N526" s="300">
        <v>1.0</v>
      </c>
      <c r="O526" s="300" t="s">
        <v>716</v>
      </c>
      <c r="P526" s="428" t="s">
        <v>665</v>
      </c>
      <c r="Q526" s="300" t="s">
        <v>1177</v>
      </c>
      <c r="R526" s="6" t="s">
        <v>76</v>
      </c>
      <c r="S526" s="301"/>
      <c r="T526" s="301"/>
      <c r="X526" s="2">
        <f t="shared" si="12"/>
        <v>0</v>
      </c>
      <c r="AA526" s="301"/>
      <c r="AB526" s="301"/>
      <c r="AC526" s="301"/>
      <c r="AE526" s="301"/>
      <c r="AF526" s="301"/>
      <c r="AG526" s="301"/>
    </row>
    <row r="527">
      <c r="E527" s="2">
        <f t="shared" si="9"/>
        <v>419</v>
      </c>
      <c r="F527" s="2">
        <f t="shared" si="10"/>
        <v>36600.01</v>
      </c>
      <c r="G527" s="2">
        <f t="shared" si="11"/>
        <v>87.35085919</v>
      </c>
      <c r="J527" s="427">
        <v>45550.0</v>
      </c>
      <c r="K527" s="300">
        <v>36.0</v>
      </c>
      <c r="L527" s="300" t="s">
        <v>690</v>
      </c>
      <c r="M527" s="300" t="s">
        <v>1178</v>
      </c>
      <c r="N527" s="300">
        <v>2.0</v>
      </c>
      <c r="O527" s="300" t="s">
        <v>716</v>
      </c>
      <c r="P527" s="428" t="s">
        <v>1071</v>
      </c>
      <c r="Q527" s="300" t="s">
        <v>1179</v>
      </c>
      <c r="R527" s="6" t="s">
        <v>76</v>
      </c>
      <c r="S527" s="301"/>
      <c r="T527" s="301"/>
      <c r="X527" s="2">
        <f t="shared" si="12"/>
        <v>0</v>
      </c>
      <c r="AA527" s="301"/>
      <c r="AB527" s="301"/>
      <c r="AC527" s="301"/>
      <c r="AE527" s="301"/>
      <c r="AF527" s="301"/>
      <c r="AG527" s="301"/>
    </row>
    <row r="528">
      <c r="E528" s="2">
        <f t="shared" si="9"/>
        <v>417</v>
      </c>
      <c r="F528" s="2">
        <f t="shared" si="10"/>
        <v>36564.01</v>
      </c>
      <c r="G528" s="2">
        <f t="shared" si="11"/>
        <v>87.68347722</v>
      </c>
      <c r="J528" s="425">
        <v>45552.0</v>
      </c>
      <c r="K528" s="332">
        <v>69.0</v>
      </c>
      <c r="L528" s="332" t="s">
        <v>697</v>
      </c>
      <c r="M528" s="332" t="s">
        <v>999</v>
      </c>
      <c r="N528" s="332">
        <v>6.0</v>
      </c>
      <c r="O528" s="332" t="s">
        <v>1000</v>
      </c>
      <c r="P528" s="426" t="s">
        <v>1071</v>
      </c>
      <c r="Q528" s="332" t="s">
        <v>930</v>
      </c>
      <c r="R528" s="332" t="s">
        <v>76</v>
      </c>
      <c r="S528" s="416"/>
      <c r="T528" s="416"/>
      <c r="X528" s="2">
        <f t="shared" si="12"/>
        <v>0</v>
      </c>
      <c r="AA528" s="301"/>
      <c r="AB528" s="301"/>
      <c r="AC528" s="301"/>
      <c r="AE528" s="301"/>
      <c r="AF528" s="301"/>
      <c r="AG528" s="301"/>
    </row>
    <row r="529">
      <c r="E529" s="2">
        <f t="shared" si="9"/>
        <v>417</v>
      </c>
      <c r="F529" s="2">
        <f t="shared" si="10"/>
        <v>36495.01</v>
      </c>
      <c r="G529" s="2">
        <f t="shared" si="11"/>
        <v>87.51800959</v>
      </c>
      <c r="J529" s="430">
        <v>45552.0</v>
      </c>
      <c r="K529" s="302">
        <v>198.0</v>
      </c>
      <c r="L529" s="302" t="s">
        <v>699</v>
      </c>
      <c r="M529" s="302" t="s">
        <v>1180</v>
      </c>
      <c r="N529" s="302">
        <v>14.0</v>
      </c>
      <c r="O529" s="302" t="s">
        <v>1181</v>
      </c>
      <c r="P529" s="431" t="s">
        <v>1071</v>
      </c>
      <c r="Q529" s="302" t="s">
        <v>930</v>
      </c>
      <c r="R529" s="302" t="s">
        <v>76</v>
      </c>
      <c r="S529" s="303"/>
      <c r="T529" s="303"/>
      <c r="X529" s="2">
        <f t="shared" si="12"/>
        <v>0</v>
      </c>
      <c r="AA529" s="301"/>
      <c r="AB529" s="301"/>
      <c r="AC529" s="301"/>
      <c r="AE529" s="301"/>
      <c r="AF529" s="301"/>
      <c r="AG529" s="301"/>
    </row>
    <row r="530">
      <c r="E530" s="2">
        <f t="shared" si="9"/>
        <v>416</v>
      </c>
      <c r="F530" s="2">
        <f t="shared" si="10"/>
        <v>36297.01</v>
      </c>
      <c r="G530" s="2">
        <f t="shared" si="11"/>
        <v>87.25242788</v>
      </c>
      <c r="J530" s="427">
        <v>45553.0</v>
      </c>
      <c r="K530" s="300">
        <v>20.0</v>
      </c>
      <c r="L530" s="300" t="s">
        <v>690</v>
      </c>
      <c r="M530" s="300" t="s">
        <v>1178</v>
      </c>
      <c r="N530" s="300">
        <v>1.0</v>
      </c>
      <c r="O530" s="300" t="s">
        <v>716</v>
      </c>
      <c r="P530" s="428" t="s">
        <v>1071</v>
      </c>
      <c r="Q530" s="300" t="s">
        <v>1001</v>
      </c>
      <c r="R530" s="6" t="s">
        <v>76</v>
      </c>
      <c r="S530" s="301"/>
      <c r="T530" s="301"/>
      <c r="X530" s="2">
        <f t="shared" si="12"/>
        <v>0</v>
      </c>
      <c r="AA530" s="301"/>
      <c r="AB530" s="301"/>
      <c r="AC530" s="301"/>
      <c r="AE530" s="301"/>
      <c r="AF530" s="301"/>
      <c r="AG530" s="301"/>
    </row>
    <row r="531">
      <c r="E531" s="2">
        <f t="shared" si="9"/>
        <v>416</v>
      </c>
      <c r="F531" s="2">
        <f t="shared" si="10"/>
        <v>36277.01</v>
      </c>
      <c r="G531" s="2">
        <f t="shared" si="11"/>
        <v>87.20435096</v>
      </c>
      <c r="J531" s="427">
        <v>45553.0</v>
      </c>
      <c r="K531" s="300">
        <v>3.0</v>
      </c>
      <c r="L531" s="300" t="s">
        <v>686</v>
      </c>
      <c r="M531" s="300" t="s">
        <v>1182</v>
      </c>
      <c r="N531" s="300">
        <v>3.0</v>
      </c>
      <c r="O531" s="300" t="s">
        <v>716</v>
      </c>
      <c r="P531" s="428" t="s">
        <v>1183</v>
      </c>
      <c r="Q531" s="300" t="s">
        <v>1001</v>
      </c>
      <c r="R531" s="6" t="s">
        <v>76</v>
      </c>
      <c r="S531" s="301"/>
      <c r="T531" s="301"/>
      <c r="X531" s="2">
        <f t="shared" si="12"/>
        <v>0</v>
      </c>
      <c r="AA531" s="301"/>
      <c r="AB531" s="301"/>
      <c r="AC531" s="301"/>
      <c r="AE531" s="301"/>
      <c r="AF531" s="301"/>
      <c r="AG531" s="301"/>
    </row>
    <row r="532">
      <c r="E532" s="2">
        <f t="shared" si="9"/>
        <v>416</v>
      </c>
      <c r="F532" s="2">
        <f t="shared" si="10"/>
        <v>36274.01</v>
      </c>
      <c r="G532" s="2">
        <f t="shared" si="11"/>
        <v>87.19713942</v>
      </c>
      <c r="J532" s="427">
        <v>45553.0</v>
      </c>
      <c r="K532" s="300">
        <v>1565.0</v>
      </c>
      <c r="L532" s="300" t="s">
        <v>688</v>
      </c>
      <c r="M532" s="300" t="s">
        <v>868</v>
      </c>
      <c r="N532" s="300">
        <v>1500.0</v>
      </c>
      <c r="O532" s="300" t="s">
        <v>712</v>
      </c>
      <c r="P532" s="428" t="s">
        <v>1183</v>
      </c>
      <c r="Q532" s="300" t="s">
        <v>1184</v>
      </c>
      <c r="R532" s="6" t="s">
        <v>76</v>
      </c>
      <c r="S532" s="301"/>
      <c r="T532" s="301"/>
      <c r="X532" s="2">
        <f t="shared" si="12"/>
        <v>0</v>
      </c>
      <c r="AA532" s="301"/>
      <c r="AB532" s="301"/>
      <c r="AC532" s="301"/>
      <c r="AE532" s="301"/>
      <c r="AF532" s="301"/>
      <c r="AG532" s="301"/>
    </row>
    <row r="533">
      <c r="E533" s="2">
        <f t="shared" si="9"/>
        <v>416</v>
      </c>
      <c r="F533" s="2">
        <f t="shared" si="10"/>
        <v>34709.01</v>
      </c>
      <c r="G533" s="2">
        <f t="shared" si="11"/>
        <v>83.43512019</v>
      </c>
      <c r="J533" s="427">
        <v>45553.0</v>
      </c>
      <c r="K533" s="300">
        <v>1000.0</v>
      </c>
      <c r="L533" s="300" t="s">
        <v>697</v>
      </c>
      <c r="M533" s="300" t="s">
        <v>1185</v>
      </c>
      <c r="N533" s="300">
        <v>1.0</v>
      </c>
      <c r="O533" s="300" t="s">
        <v>716</v>
      </c>
      <c r="P533" s="428" t="s">
        <v>1071</v>
      </c>
      <c r="Q533" s="300" t="s">
        <v>930</v>
      </c>
      <c r="R533" s="6" t="s">
        <v>76</v>
      </c>
      <c r="S533" s="301"/>
      <c r="T533" s="301"/>
      <c r="AA533" s="301"/>
      <c r="AB533" s="301"/>
      <c r="AC533" s="301"/>
      <c r="AE533" s="301"/>
      <c r="AF533" s="301"/>
      <c r="AG533" s="301"/>
    </row>
    <row r="534">
      <c r="E534" s="2">
        <f t="shared" si="9"/>
        <v>416</v>
      </c>
      <c r="F534" s="2">
        <f t="shared" si="10"/>
        <v>33709.01</v>
      </c>
      <c r="G534" s="2">
        <f t="shared" si="11"/>
        <v>81.03127404</v>
      </c>
      <c r="J534" s="427">
        <v>45553.0</v>
      </c>
      <c r="K534" s="300">
        <v>20.0</v>
      </c>
      <c r="L534" s="300" t="s">
        <v>690</v>
      </c>
      <c r="M534" s="300" t="s">
        <v>1178</v>
      </c>
      <c r="N534" s="300">
        <v>1.0</v>
      </c>
      <c r="O534" s="300" t="s">
        <v>716</v>
      </c>
      <c r="P534" s="428" t="s">
        <v>1071</v>
      </c>
      <c r="Q534" s="300" t="s">
        <v>1184</v>
      </c>
      <c r="R534" s="6" t="s">
        <v>76</v>
      </c>
      <c r="S534" s="301"/>
      <c r="T534" s="301"/>
      <c r="X534" s="2">
        <f t="shared" ref="X534:X584" si="15">SUMIFS(K$16:K1013,J$16:J1013,W534)</f>
        <v>0</v>
      </c>
      <c r="AA534" s="301"/>
      <c r="AB534" s="301"/>
      <c r="AC534" s="301"/>
      <c r="AE534" s="301"/>
      <c r="AF534" s="301"/>
      <c r="AG534" s="301"/>
    </row>
    <row r="535">
      <c r="E535" s="2">
        <f t="shared" si="9"/>
        <v>416</v>
      </c>
      <c r="F535" s="2">
        <f t="shared" si="10"/>
        <v>33689.01</v>
      </c>
      <c r="G535" s="2">
        <f t="shared" si="11"/>
        <v>80.98319712</v>
      </c>
      <c r="J535" s="427">
        <v>45553.0</v>
      </c>
      <c r="K535" s="300">
        <v>2.0</v>
      </c>
      <c r="L535" s="300" t="s">
        <v>686</v>
      </c>
      <c r="M535" s="300" t="s">
        <v>1182</v>
      </c>
      <c r="N535" s="300">
        <v>2.0</v>
      </c>
      <c r="O535" s="300" t="s">
        <v>716</v>
      </c>
      <c r="P535" s="428" t="s">
        <v>1186</v>
      </c>
      <c r="Q535" s="300" t="s">
        <v>1184</v>
      </c>
      <c r="R535" s="6" t="s">
        <v>76</v>
      </c>
      <c r="S535" s="301"/>
      <c r="T535" s="301"/>
      <c r="X535" s="2">
        <f t="shared" si="15"/>
        <v>0</v>
      </c>
      <c r="AA535" s="301"/>
      <c r="AB535" s="301"/>
      <c r="AC535" s="301"/>
      <c r="AE535" s="301"/>
      <c r="AF535" s="301"/>
      <c r="AG535" s="301"/>
    </row>
    <row r="536">
      <c r="E536" s="2">
        <f t="shared" si="9"/>
        <v>415</v>
      </c>
      <c r="F536" s="2">
        <f t="shared" si="10"/>
        <v>33687.01</v>
      </c>
      <c r="G536" s="2">
        <f t="shared" si="11"/>
        <v>81.17351807</v>
      </c>
      <c r="J536" s="425">
        <v>45554.0</v>
      </c>
      <c r="K536" s="332">
        <v>69.0</v>
      </c>
      <c r="L536" s="332" t="s">
        <v>697</v>
      </c>
      <c r="M536" s="332" t="s">
        <v>999</v>
      </c>
      <c r="N536" s="332">
        <v>6.0</v>
      </c>
      <c r="O536" s="332" t="s">
        <v>1000</v>
      </c>
      <c r="P536" s="426" t="s">
        <v>1071</v>
      </c>
      <c r="Q536" s="332" t="s">
        <v>930</v>
      </c>
      <c r="R536" s="332" t="s">
        <v>76</v>
      </c>
      <c r="S536" s="416"/>
      <c r="T536" s="416"/>
      <c r="X536" s="2">
        <f t="shared" si="15"/>
        <v>0</v>
      </c>
      <c r="AA536" s="301"/>
      <c r="AB536" s="301"/>
      <c r="AC536" s="301"/>
      <c r="AE536" s="301"/>
      <c r="AF536" s="301"/>
      <c r="AG536" s="301"/>
    </row>
    <row r="537">
      <c r="E537" s="2">
        <f t="shared" si="9"/>
        <v>415</v>
      </c>
      <c r="F537" s="2">
        <f t="shared" si="10"/>
        <v>33618.01</v>
      </c>
      <c r="G537" s="2">
        <f t="shared" si="11"/>
        <v>81.00725301</v>
      </c>
      <c r="J537" s="427">
        <v>45554.0</v>
      </c>
      <c r="K537" s="300">
        <v>235.0</v>
      </c>
      <c r="L537" s="300" t="s">
        <v>686</v>
      </c>
      <c r="M537" s="300" t="s">
        <v>915</v>
      </c>
      <c r="N537" s="300">
        <v>4.0</v>
      </c>
      <c r="O537" s="300" t="s">
        <v>716</v>
      </c>
      <c r="P537" s="428" t="s">
        <v>1071</v>
      </c>
      <c r="Q537" s="300" t="s">
        <v>1187</v>
      </c>
      <c r="R537" s="300" t="s">
        <v>76</v>
      </c>
      <c r="S537" s="301"/>
      <c r="T537" s="301"/>
      <c r="X537" s="2">
        <f t="shared" si="15"/>
        <v>0</v>
      </c>
      <c r="AA537" s="301"/>
      <c r="AB537" s="301"/>
      <c r="AC537" s="301"/>
      <c r="AE537" s="301"/>
      <c r="AF537" s="301"/>
      <c r="AG537" s="301"/>
    </row>
    <row r="538">
      <c r="E538" s="2">
        <f t="shared" si="9"/>
        <v>415</v>
      </c>
      <c r="F538" s="2">
        <f t="shared" si="10"/>
        <v>33383.01</v>
      </c>
      <c r="G538" s="2">
        <f t="shared" si="11"/>
        <v>80.44098795</v>
      </c>
      <c r="J538" s="427">
        <v>45554.0</v>
      </c>
      <c r="K538" s="300">
        <v>358.14</v>
      </c>
      <c r="L538" s="300" t="s">
        <v>692</v>
      </c>
      <c r="M538" s="300" t="s">
        <v>1188</v>
      </c>
      <c r="N538" s="300">
        <v>1.0</v>
      </c>
      <c r="O538" s="300" t="s">
        <v>716</v>
      </c>
      <c r="P538" s="428" t="s">
        <v>1189</v>
      </c>
      <c r="Q538" s="300" t="s">
        <v>1190</v>
      </c>
      <c r="R538" s="300" t="s">
        <v>76</v>
      </c>
      <c r="S538" s="301"/>
      <c r="T538" s="301"/>
      <c r="X538" s="2">
        <f t="shared" si="15"/>
        <v>0</v>
      </c>
      <c r="AA538" s="301"/>
      <c r="AB538" s="301"/>
      <c r="AC538" s="301"/>
      <c r="AE538" s="301"/>
      <c r="AF538" s="301"/>
      <c r="AG538" s="301"/>
    </row>
    <row r="539">
      <c r="E539" s="2">
        <f t="shared" si="9"/>
        <v>415</v>
      </c>
      <c r="F539" s="2">
        <f t="shared" si="10"/>
        <v>33024.87</v>
      </c>
      <c r="G539" s="2">
        <f t="shared" si="11"/>
        <v>79.578</v>
      </c>
      <c r="J539" s="427">
        <v>45554.0</v>
      </c>
      <c r="K539" s="300">
        <v>100.0</v>
      </c>
      <c r="L539" s="300" t="s">
        <v>698</v>
      </c>
      <c r="M539" s="300" t="s">
        <v>1191</v>
      </c>
      <c r="N539" s="300">
        <v>10.0</v>
      </c>
      <c r="O539" s="300" t="s">
        <v>716</v>
      </c>
      <c r="P539" s="428" t="s">
        <v>1189</v>
      </c>
      <c r="Q539" s="300" t="s">
        <v>1074</v>
      </c>
      <c r="R539" s="300" t="s">
        <v>76</v>
      </c>
      <c r="S539" s="301"/>
      <c r="T539" s="301"/>
      <c r="X539" s="2">
        <f t="shared" si="15"/>
        <v>0</v>
      </c>
      <c r="AA539" s="301"/>
      <c r="AB539" s="301"/>
      <c r="AC539" s="301"/>
      <c r="AE539" s="301"/>
      <c r="AF539" s="301"/>
      <c r="AG539" s="301"/>
    </row>
    <row r="540">
      <c r="E540" s="2">
        <f t="shared" si="9"/>
        <v>414</v>
      </c>
      <c r="F540" s="2">
        <f t="shared" si="10"/>
        <v>32924.87</v>
      </c>
      <c r="G540" s="2">
        <f t="shared" si="11"/>
        <v>79.5286715</v>
      </c>
      <c r="J540" s="425">
        <v>45555.0</v>
      </c>
      <c r="K540" s="332">
        <v>26.0</v>
      </c>
      <c r="L540" s="332" t="s">
        <v>690</v>
      </c>
      <c r="M540" s="332" t="s">
        <v>1192</v>
      </c>
      <c r="N540" s="332">
        <v>2.0</v>
      </c>
      <c r="O540" s="332" t="s">
        <v>716</v>
      </c>
      <c r="P540" s="426" t="s">
        <v>1071</v>
      </c>
      <c r="Q540" s="332" t="s">
        <v>878</v>
      </c>
      <c r="R540" s="332" t="s">
        <v>76</v>
      </c>
      <c r="S540" s="416"/>
      <c r="T540" s="416"/>
      <c r="X540" s="2">
        <f t="shared" si="15"/>
        <v>0</v>
      </c>
      <c r="AA540" s="301"/>
      <c r="AB540" s="301"/>
      <c r="AC540" s="301"/>
      <c r="AE540" s="301"/>
      <c r="AF540" s="301"/>
      <c r="AG540" s="301"/>
    </row>
    <row r="541">
      <c r="E541" s="2">
        <f t="shared" si="9"/>
        <v>414</v>
      </c>
      <c r="F541" s="2">
        <f t="shared" si="10"/>
        <v>32898.87</v>
      </c>
      <c r="G541" s="2">
        <f t="shared" si="11"/>
        <v>79.46586957</v>
      </c>
      <c r="J541" s="427">
        <v>45555.0</v>
      </c>
      <c r="K541" s="300">
        <v>20.0</v>
      </c>
      <c r="L541" s="300" t="s">
        <v>686</v>
      </c>
      <c r="M541" s="300" t="s">
        <v>725</v>
      </c>
      <c r="N541" s="300">
        <v>2.0</v>
      </c>
      <c r="O541" s="300" t="s">
        <v>716</v>
      </c>
      <c r="P541" s="428" t="s">
        <v>1071</v>
      </c>
      <c r="Q541" s="300" t="s">
        <v>878</v>
      </c>
      <c r="R541" s="300" t="s">
        <v>76</v>
      </c>
      <c r="S541" s="301"/>
      <c r="T541" s="301"/>
      <c r="X541" s="2">
        <f t="shared" si="15"/>
        <v>0</v>
      </c>
      <c r="AA541" s="301"/>
      <c r="AB541" s="301"/>
      <c r="AC541" s="301"/>
      <c r="AE541" s="301"/>
      <c r="AF541" s="301"/>
      <c r="AG541" s="301"/>
    </row>
    <row r="542">
      <c r="E542" s="2">
        <f t="shared" si="9"/>
        <v>414</v>
      </c>
      <c r="F542" s="2">
        <f t="shared" si="10"/>
        <v>32878.87</v>
      </c>
      <c r="G542" s="2">
        <f t="shared" si="11"/>
        <v>79.41756039</v>
      </c>
      <c r="J542" s="427">
        <v>45555.0</v>
      </c>
      <c r="K542" s="300">
        <v>139.0</v>
      </c>
      <c r="L542" s="300" t="s">
        <v>697</v>
      </c>
      <c r="M542" s="300" t="s">
        <v>999</v>
      </c>
      <c r="N542" s="300">
        <v>12.0</v>
      </c>
      <c r="O542" s="300" t="s">
        <v>1000</v>
      </c>
      <c r="P542" s="428" t="s">
        <v>1071</v>
      </c>
      <c r="Q542" s="300" t="s">
        <v>930</v>
      </c>
      <c r="R542" s="300" t="s">
        <v>76</v>
      </c>
      <c r="S542" s="301"/>
      <c r="T542" s="301"/>
      <c r="X542" s="2">
        <f t="shared" si="15"/>
        <v>0</v>
      </c>
      <c r="AA542" s="301"/>
      <c r="AB542" s="301"/>
      <c r="AC542" s="301"/>
      <c r="AE542" s="301"/>
      <c r="AF542" s="301"/>
      <c r="AG542" s="301"/>
    </row>
    <row r="543">
      <c r="E543" s="2">
        <f t="shared" si="9"/>
        <v>414</v>
      </c>
      <c r="F543" s="2">
        <f t="shared" si="10"/>
        <v>32739.87</v>
      </c>
      <c r="G543" s="2">
        <f t="shared" si="11"/>
        <v>79.08181159</v>
      </c>
      <c r="J543" s="427">
        <v>45555.0</v>
      </c>
      <c r="K543" s="300">
        <v>358.13</v>
      </c>
      <c r="L543" s="300" t="s">
        <v>686</v>
      </c>
      <c r="M543" s="300" t="s">
        <v>1193</v>
      </c>
      <c r="N543" s="300">
        <v>8.0</v>
      </c>
      <c r="O543" s="300" t="s">
        <v>716</v>
      </c>
      <c r="P543" s="428" t="s">
        <v>1101</v>
      </c>
      <c r="Q543" s="300" t="s">
        <v>945</v>
      </c>
      <c r="R543" s="300" t="s">
        <v>76</v>
      </c>
      <c r="S543" s="301"/>
      <c r="T543" s="301"/>
      <c r="X543" s="2">
        <f t="shared" si="15"/>
        <v>0</v>
      </c>
      <c r="AA543" s="301"/>
      <c r="AB543" s="301"/>
      <c r="AC543" s="301"/>
      <c r="AE543" s="301"/>
      <c r="AF543" s="301"/>
      <c r="AG543" s="301"/>
    </row>
    <row r="544">
      <c r="E544" s="2">
        <f t="shared" si="9"/>
        <v>414</v>
      </c>
      <c r="F544" s="2">
        <f t="shared" si="10"/>
        <v>32381.74</v>
      </c>
      <c r="G544" s="2">
        <f t="shared" si="11"/>
        <v>78.21676329</v>
      </c>
      <c r="J544" s="427">
        <v>45555.0</v>
      </c>
      <c r="K544" s="300">
        <v>226.25</v>
      </c>
      <c r="L544" s="300" t="s">
        <v>700</v>
      </c>
      <c r="M544" s="300" t="s">
        <v>1194</v>
      </c>
      <c r="N544" s="300">
        <v>6.0</v>
      </c>
      <c r="O544" s="300" t="s">
        <v>716</v>
      </c>
      <c r="P544" s="428" t="s">
        <v>1195</v>
      </c>
      <c r="Q544" s="300" t="s">
        <v>945</v>
      </c>
      <c r="R544" s="300" t="s">
        <v>76</v>
      </c>
      <c r="S544" s="301"/>
      <c r="T544" s="301"/>
      <c r="X544" s="2">
        <f t="shared" si="15"/>
        <v>0</v>
      </c>
      <c r="AA544" s="301"/>
      <c r="AB544" s="301"/>
      <c r="AC544" s="301"/>
      <c r="AE544" s="301"/>
      <c r="AF544" s="301"/>
      <c r="AG544" s="301"/>
    </row>
    <row r="545">
      <c r="E545" s="2">
        <f t="shared" si="9"/>
        <v>414</v>
      </c>
      <c r="F545" s="2">
        <f t="shared" si="10"/>
        <v>32155.49</v>
      </c>
      <c r="G545" s="2">
        <f t="shared" si="11"/>
        <v>77.6702657</v>
      </c>
      <c r="J545" s="427">
        <v>45555.0</v>
      </c>
      <c r="K545" s="300">
        <v>300.0</v>
      </c>
      <c r="L545" s="300" t="s">
        <v>688</v>
      </c>
      <c r="M545" s="300" t="s">
        <v>1196</v>
      </c>
      <c r="N545" s="300">
        <v>1.0</v>
      </c>
      <c r="O545" s="300" t="s">
        <v>716</v>
      </c>
      <c r="P545" s="428" t="s">
        <v>1071</v>
      </c>
      <c r="Q545" s="300" t="s">
        <v>1197</v>
      </c>
      <c r="R545" s="300" t="s">
        <v>76</v>
      </c>
      <c r="S545" s="300" t="s">
        <v>337</v>
      </c>
      <c r="T545" s="300" t="s">
        <v>709</v>
      </c>
      <c r="X545" s="2">
        <f t="shared" si="15"/>
        <v>0</v>
      </c>
      <c r="AA545" s="301"/>
      <c r="AB545" s="301"/>
      <c r="AC545" s="301"/>
      <c r="AE545" s="301"/>
      <c r="AF545" s="301"/>
      <c r="AG545" s="301"/>
    </row>
    <row r="546">
      <c r="E546" s="2">
        <f t="shared" si="9"/>
        <v>414</v>
      </c>
      <c r="F546" s="2">
        <f t="shared" si="10"/>
        <v>31855.49</v>
      </c>
      <c r="G546" s="2">
        <f t="shared" si="11"/>
        <v>76.94562802</v>
      </c>
      <c r="J546" s="427">
        <v>45555.0</v>
      </c>
      <c r="K546" s="300">
        <v>892.0</v>
      </c>
      <c r="L546" s="300" t="s">
        <v>686</v>
      </c>
      <c r="M546" s="300" t="s">
        <v>828</v>
      </c>
      <c r="N546" s="300">
        <v>5.0</v>
      </c>
      <c r="O546" s="300" t="s">
        <v>716</v>
      </c>
      <c r="P546" s="428" t="s">
        <v>1198</v>
      </c>
      <c r="Q546" s="300" t="s">
        <v>1197</v>
      </c>
      <c r="R546" s="300" t="s">
        <v>76</v>
      </c>
      <c r="S546" s="300" t="s">
        <v>337</v>
      </c>
      <c r="T546" s="300" t="s">
        <v>709</v>
      </c>
      <c r="X546" s="2">
        <f t="shared" si="15"/>
        <v>0</v>
      </c>
      <c r="AA546" s="301"/>
      <c r="AB546" s="301"/>
      <c r="AC546" s="301"/>
      <c r="AE546" s="301"/>
      <c r="AF546" s="301"/>
      <c r="AG546" s="301"/>
    </row>
    <row r="547">
      <c r="E547" s="2">
        <f t="shared" si="9"/>
        <v>414</v>
      </c>
      <c r="F547" s="2">
        <f t="shared" si="10"/>
        <v>30963.49</v>
      </c>
      <c r="G547" s="2">
        <f t="shared" si="11"/>
        <v>74.79103865</v>
      </c>
      <c r="J547" s="427">
        <v>45555.0</v>
      </c>
      <c r="K547" s="300">
        <v>13.0</v>
      </c>
      <c r="L547" s="300" t="s">
        <v>690</v>
      </c>
      <c r="M547" s="300" t="s">
        <v>1192</v>
      </c>
      <c r="N547" s="300">
        <v>1.0</v>
      </c>
      <c r="O547" s="300" t="s">
        <v>716</v>
      </c>
      <c r="P547" s="428" t="s">
        <v>1071</v>
      </c>
      <c r="Q547" s="300" t="s">
        <v>878</v>
      </c>
      <c r="R547" s="300" t="s">
        <v>76</v>
      </c>
      <c r="S547" s="300" t="s">
        <v>337</v>
      </c>
      <c r="T547" s="300" t="s">
        <v>709</v>
      </c>
      <c r="X547" s="2">
        <f t="shared" si="15"/>
        <v>0</v>
      </c>
      <c r="AA547" s="301"/>
      <c r="AB547" s="301"/>
      <c r="AC547" s="301"/>
      <c r="AE547" s="301"/>
      <c r="AF547" s="301"/>
      <c r="AG547" s="301"/>
    </row>
    <row r="548">
      <c r="E548" s="2">
        <f t="shared" si="9"/>
        <v>414</v>
      </c>
      <c r="F548" s="2">
        <f t="shared" si="10"/>
        <v>30950.49</v>
      </c>
      <c r="G548" s="2">
        <f t="shared" si="11"/>
        <v>74.75963768</v>
      </c>
      <c r="J548" s="430">
        <v>45555.0</v>
      </c>
      <c r="K548" s="302">
        <v>45.0</v>
      </c>
      <c r="L548" s="302" t="s">
        <v>686</v>
      </c>
      <c r="M548" s="302" t="s">
        <v>1199</v>
      </c>
      <c r="N548" s="302">
        <v>3.0</v>
      </c>
      <c r="O548" s="302" t="s">
        <v>716</v>
      </c>
      <c r="P548" s="431" t="s">
        <v>1198</v>
      </c>
      <c r="Q548" s="302" t="s">
        <v>878</v>
      </c>
      <c r="R548" s="302" t="s">
        <v>76</v>
      </c>
      <c r="S548" s="302" t="s">
        <v>337</v>
      </c>
      <c r="T548" s="302" t="s">
        <v>709</v>
      </c>
      <c r="X548" s="2">
        <f t="shared" si="15"/>
        <v>0</v>
      </c>
      <c r="AA548" s="301"/>
      <c r="AB548" s="301"/>
      <c r="AC548" s="301"/>
      <c r="AE548" s="301"/>
      <c r="AF548" s="301"/>
      <c r="AG548" s="301"/>
    </row>
    <row r="549">
      <c r="E549" s="2">
        <f t="shared" si="9"/>
        <v>409</v>
      </c>
      <c r="F549" s="2">
        <f t="shared" si="10"/>
        <v>30905.49</v>
      </c>
      <c r="G549" s="2">
        <f t="shared" si="11"/>
        <v>75.56354523</v>
      </c>
      <c r="J549" s="425">
        <v>45560.0</v>
      </c>
      <c r="K549" s="332">
        <v>510.0</v>
      </c>
      <c r="L549" s="332" t="s">
        <v>700</v>
      </c>
      <c r="M549" s="332" t="s">
        <v>1200</v>
      </c>
      <c r="N549" s="332">
        <v>2.0</v>
      </c>
      <c r="O549" s="332" t="s">
        <v>716</v>
      </c>
      <c r="P549" s="426" t="s">
        <v>645</v>
      </c>
      <c r="Q549" s="332" t="s">
        <v>952</v>
      </c>
      <c r="R549" s="255" t="s">
        <v>76</v>
      </c>
      <c r="S549" s="332" t="s">
        <v>337</v>
      </c>
      <c r="T549" s="332" t="s">
        <v>709</v>
      </c>
      <c r="X549" s="2">
        <f t="shared" si="15"/>
        <v>0</v>
      </c>
      <c r="AA549" s="301"/>
      <c r="AB549" s="301"/>
      <c r="AC549" s="301"/>
      <c r="AE549" s="301"/>
      <c r="AF549" s="301"/>
      <c r="AG549" s="301"/>
    </row>
    <row r="550">
      <c r="E550" s="2">
        <f t="shared" si="9"/>
        <v>409</v>
      </c>
      <c r="F550" s="2">
        <f t="shared" si="10"/>
        <v>30395.49</v>
      </c>
      <c r="G550" s="2">
        <f t="shared" si="11"/>
        <v>74.31660147</v>
      </c>
      <c r="J550" s="427">
        <v>45560.0</v>
      </c>
      <c r="K550" s="300">
        <v>800.0</v>
      </c>
      <c r="L550" s="300" t="s">
        <v>700</v>
      </c>
      <c r="M550" s="300" t="s">
        <v>1201</v>
      </c>
      <c r="N550" s="300">
        <v>3.0</v>
      </c>
      <c r="O550" s="300" t="s">
        <v>716</v>
      </c>
      <c r="P550" s="428" t="s">
        <v>645</v>
      </c>
      <c r="Q550" s="300" t="s">
        <v>952</v>
      </c>
      <c r="R550" s="6" t="s">
        <v>76</v>
      </c>
      <c r="S550" s="300" t="s">
        <v>337</v>
      </c>
      <c r="T550" s="300" t="s">
        <v>709</v>
      </c>
      <c r="X550" s="2">
        <f t="shared" si="15"/>
        <v>0</v>
      </c>
      <c r="AA550" s="301"/>
      <c r="AB550" s="301"/>
      <c r="AC550" s="301"/>
      <c r="AE550" s="301"/>
      <c r="AF550" s="301"/>
      <c r="AG550" s="301"/>
    </row>
    <row r="551">
      <c r="E551" s="2">
        <f t="shared" si="9"/>
        <v>409</v>
      </c>
      <c r="F551" s="2">
        <f t="shared" si="10"/>
        <v>29595.49</v>
      </c>
      <c r="G551" s="2">
        <f t="shared" si="11"/>
        <v>72.36061125</v>
      </c>
      <c r="J551" s="427">
        <v>45560.0</v>
      </c>
      <c r="K551" s="300">
        <v>600.0</v>
      </c>
      <c r="L551" s="300" t="s">
        <v>700</v>
      </c>
      <c r="M551" s="300" t="s">
        <v>1202</v>
      </c>
      <c r="N551" s="300">
        <v>1.0</v>
      </c>
      <c r="O551" s="300" t="s">
        <v>716</v>
      </c>
      <c r="P551" s="428" t="s">
        <v>645</v>
      </c>
      <c r="Q551" s="300" t="s">
        <v>952</v>
      </c>
      <c r="R551" s="6" t="s">
        <v>76</v>
      </c>
      <c r="S551" s="300" t="s">
        <v>337</v>
      </c>
      <c r="T551" s="300" t="s">
        <v>709</v>
      </c>
      <c r="X551" s="2">
        <f t="shared" si="15"/>
        <v>0</v>
      </c>
      <c r="AA551" s="301"/>
      <c r="AB551" s="301"/>
      <c r="AC551" s="301"/>
      <c r="AE551" s="301"/>
      <c r="AF551" s="301"/>
      <c r="AG551" s="301"/>
    </row>
    <row r="552">
      <c r="E552" s="2">
        <f t="shared" si="9"/>
        <v>409</v>
      </c>
      <c r="F552" s="2">
        <f t="shared" si="10"/>
        <v>28995.49</v>
      </c>
      <c r="G552" s="2">
        <f t="shared" si="11"/>
        <v>70.89361858</v>
      </c>
      <c r="J552" s="427">
        <v>45560.0</v>
      </c>
      <c r="K552" s="301">
        <f>3170+260</f>
        <v>3430</v>
      </c>
      <c r="L552" s="300" t="s">
        <v>700</v>
      </c>
      <c r="M552" s="300" t="s">
        <v>1203</v>
      </c>
      <c r="N552" s="300">
        <v>1.0</v>
      </c>
      <c r="O552" s="300" t="s">
        <v>716</v>
      </c>
      <c r="P552" s="428" t="s">
        <v>645</v>
      </c>
      <c r="Q552" s="300" t="s">
        <v>952</v>
      </c>
      <c r="R552" s="6" t="s">
        <v>76</v>
      </c>
      <c r="S552" s="300" t="s">
        <v>337</v>
      </c>
      <c r="T552" s="300" t="s">
        <v>709</v>
      </c>
      <c r="X552" s="2">
        <f t="shared" si="15"/>
        <v>0</v>
      </c>
      <c r="AA552" s="301"/>
      <c r="AB552" s="301"/>
      <c r="AC552" s="301"/>
      <c r="AE552" s="301"/>
      <c r="AF552" s="301"/>
      <c r="AG552" s="301"/>
    </row>
    <row r="553">
      <c r="E553" s="2">
        <f t="shared" si="9"/>
        <v>409</v>
      </c>
      <c r="F553" s="2">
        <f t="shared" si="10"/>
        <v>25565.49</v>
      </c>
      <c r="G553" s="2">
        <f t="shared" si="11"/>
        <v>62.50731051</v>
      </c>
      <c r="J553" s="427">
        <v>45560.0</v>
      </c>
      <c r="K553" s="300">
        <v>20.0</v>
      </c>
      <c r="L553" s="300" t="s">
        <v>690</v>
      </c>
      <c r="M553" s="300" t="s">
        <v>838</v>
      </c>
      <c r="N553" s="300">
        <v>1.0</v>
      </c>
      <c r="O553" s="300" t="s">
        <v>716</v>
      </c>
      <c r="P553" s="428" t="s">
        <v>1071</v>
      </c>
      <c r="Q553" s="300" t="s">
        <v>1001</v>
      </c>
      <c r="R553" s="6" t="s">
        <v>76</v>
      </c>
      <c r="S553" s="301"/>
      <c r="T553" s="301"/>
      <c r="X553" s="2">
        <f t="shared" si="15"/>
        <v>0</v>
      </c>
      <c r="AA553" s="301"/>
      <c r="AB553" s="301"/>
      <c r="AC553" s="301"/>
      <c r="AE553" s="301"/>
      <c r="AF553" s="301"/>
      <c r="AG553" s="301"/>
    </row>
    <row r="554">
      <c r="E554" s="2">
        <f t="shared" si="9"/>
        <v>409</v>
      </c>
      <c r="F554" s="2">
        <f t="shared" si="10"/>
        <v>25545.49</v>
      </c>
      <c r="G554" s="2">
        <f t="shared" si="11"/>
        <v>62.45841076</v>
      </c>
      <c r="J554" s="430">
        <v>45560.0</v>
      </c>
      <c r="K554" s="302">
        <v>20.0</v>
      </c>
      <c r="L554" s="302" t="s">
        <v>686</v>
      </c>
      <c r="M554" s="302" t="s">
        <v>1204</v>
      </c>
      <c r="N554" s="302">
        <v>2.0</v>
      </c>
      <c r="O554" s="302" t="s">
        <v>716</v>
      </c>
      <c r="P554" s="431" t="s">
        <v>1071</v>
      </c>
      <c r="Q554" s="302" t="s">
        <v>1026</v>
      </c>
      <c r="R554" s="258" t="s">
        <v>91</v>
      </c>
      <c r="S554" s="303"/>
      <c r="T554" s="303"/>
      <c r="X554" s="2">
        <f t="shared" si="15"/>
        <v>0</v>
      </c>
      <c r="AA554" s="301"/>
      <c r="AB554" s="301"/>
      <c r="AC554" s="301"/>
      <c r="AE554" s="301"/>
      <c r="AF554" s="301"/>
      <c r="AG554" s="301"/>
    </row>
    <row r="555">
      <c r="E555" s="2">
        <f t="shared" si="9"/>
        <v>411</v>
      </c>
      <c r="F555" s="2">
        <f t="shared" si="10"/>
        <v>25525.49</v>
      </c>
      <c r="G555" s="2">
        <f t="shared" si="11"/>
        <v>62.10581509</v>
      </c>
      <c r="J555" s="425">
        <v>45558.0</v>
      </c>
      <c r="K555" s="332">
        <v>638.0</v>
      </c>
      <c r="L555" s="332" t="s">
        <v>692</v>
      </c>
      <c r="M555" s="332" t="s">
        <v>1188</v>
      </c>
      <c r="N555" s="332">
        <v>1.0</v>
      </c>
      <c r="O555" s="332" t="s">
        <v>716</v>
      </c>
      <c r="P555" s="426" t="s">
        <v>1205</v>
      </c>
      <c r="Q555" s="332" t="s">
        <v>1026</v>
      </c>
      <c r="R555" s="255" t="s">
        <v>76</v>
      </c>
      <c r="S555" s="416"/>
      <c r="T555" s="416"/>
      <c r="X555" s="2">
        <f t="shared" si="15"/>
        <v>0</v>
      </c>
      <c r="AA555" s="301"/>
      <c r="AB555" s="301"/>
      <c r="AC555" s="301"/>
      <c r="AE555" s="301"/>
      <c r="AF555" s="301"/>
      <c r="AG555" s="301"/>
    </row>
    <row r="556">
      <c r="E556" s="2">
        <f t="shared" si="9"/>
        <v>411</v>
      </c>
      <c r="F556" s="2">
        <f t="shared" si="10"/>
        <v>24887.49</v>
      </c>
      <c r="G556" s="2">
        <f t="shared" si="11"/>
        <v>60.55350365</v>
      </c>
      <c r="J556" s="427">
        <v>45558.0</v>
      </c>
      <c r="K556" s="300">
        <v>70.0</v>
      </c>
      <c r="L556" s="300" t="s">
        <v>686</v>
      </c>
      <c r="M556" s="300" t="s">
        <v>865</v>
      </c>
      <c r="N556" s="300">
        <v>2.0</v>
      </c>
      <c r="O556" s="300" t="s">
        <v>716</v>
      </c>
      <c r="P556" s="428" t="s">
        <v>1198</v>
      </c>
      <c r="Q556" s="300" t="s">
        <v>924</v>
      </c>
      <c r="R556" s="6" t="s">
        <v>76</v>
      </c>
      <c r="S556" s="301"/>
      <c r="T556" s="301"/>
      <c r="X556" s="2">
        <f t="shared" si="15"/>
        <v>0</v>
      </c>
      <c r="AA556" s="301"/>
      <c r="AB556" s="301"/>
      <c r="AC556" s="301"/>
      <c r="AE556" s="301"/>
      <c r="AF556" s="301"/>
      <c r="AG556" s="301"/>
    </row>
    <row r="557">
      <c r="E557" s="2">
        <f t="shared" si="9"/>
        <v>411</v>
      </c>
      <c r="F557" s="2">
        <f t="shared" si="10"/>
        <v>24817.49</v>
      </c>
      <c r="G557" s="2">
        <f t="shared" si="11"/>
        <v>60.38318735</v>
      </c>
      <c r="J557" s="427">
        <v>45558.0</v>
      </c>
      <c r="K557" s="300">
        <v>20.0</v>
      </c>
      <c r="L557" s="300" t="s">
        <v>686</v>
      </c>
      <c r="M557" s="300" t="s">
        <v>1206</v>
      </c>
      <c r="N557" s="300">
        <v>4.0</v>
      </c>
      <c r="O557" s="300" t="s">
        <v>716</v>
      </c>
      <c r="P557" s="428" t="s">
        <v>1198</v>
      </c>
      <c r="Q557" s="300" t="s">
        <v>1207</v>
      </c>
      <c r="R557" s="6" t="s">
        <v>76</v>
      </c>
      <c r="S557" s="301"/>
      <c r="T557" s="301"/>
      <c r="X557" s="2">
        <f t="shared" si="15"/>
        <v>0</v>
      </c>
      <c r="AA557" s="301"/>
      <c r="AB557" s="301"/>
      <c r="AC557" s="301"/>
      <c r="AE557" s="301"/>
      <c r="AF557" s="301"/>
      <c r="AG557" s="301"/>
    </row>
    <row r="558">
      <c r="E558" s="2">
        <f t="shared" si="9"/>
        <v>411</v>
      </c>
      <c r="F558" s="2">
        <f t="shared" si="10"/>
        <v>24797.49</v>
      </c>
      <c r="G558" s="2">
        <f t="shared" si="11"/>
        <v>60.33452555</v>
      </c>
      <c r="J558" s="427">
        <v>45558.0</v>
      </c>
      <c r="K558" s="300">
        <v>30.0</v>
      </c>
      <c r="L558" s="300" t="s">
        <v>686</v>
      </c>
      <c r="M558" s="300" t="s">
        <v>793</v>
      </c>
      <c r="N558" s="300">
        <v>2.0</v>
      </c>
      <c r="O558" s="300" t="s">
        <v>716</v>
      </c>
      <c r="P558" s="428" t="s">
        <v>1198</v>
      </c>
      <c r="Q558" s="300" t="s">
        <v>1207</v>
      </c>
      <c r="R558" s="6" t="s">
        <v>76</v>
      </c>
      <c r="S558" s="301"/>
      <c r="T558" s="301"/>
      <c r="X558" s="2">
        <f t="shared" si="15"/>
        <v>0</v>
      </c>
      <c r="AA558" s="301"/>
      <c r="AB558" s="301"/>
      <c r="AC558" s="301"/>
      <c r="AE558" s="301"/>
      <c r="AF558" s="301"/>
      <c r="AG558" s="301"/>
    </row>
    <row r="559">
      <c r="E559" s="2">
        <f t="shared" si="9"/>
        <v>411</v>
      </c>
      <c r="F559" s="2">
        <f t="shared" si="10"/>
        <v>24767.49</v>
      </c>
      <c r="G559" s="2">
        <f t="shared" si="11"/>
        <v>60.26153285</v>
      </c>
      <c r="J559" s="427">
        <v>45558.0</v>
      </c>
      <c r="K559" s="300">
        <v>90.0</v>
      </c>
      <c r="L559" s="300" t="s">
        <v>686</v>
      </c>
      <c r="M559" s="300" t="s">
        <v>1208</v>
      </c>
      <c r="N559" s="300">
        <v>2.0</v>
      </c>
      <c r="O559" s="300" t="s">
        <v>716</v>
      </c>
      <c r="P559" s="428" t="s">
        <v>1198</v>
      </c>
      <c r="Q559" s="300" t="s">
        <v>1207</v>
      </c>
      <c r="R559" s="6" t="s">
        <v>76</v>
      </c>
      <c r="S559" s="301"/>
      <c r="T559" s="301"/>
      <c r="X559" s="2">
        <f t="shared" si="15"/>
        <v>0</v>
      </c>
      <c r="AA559" s="301"/>
      <c r="AB559" s="301"/>
      <c r="AC559" s="301"/>
      <c r="AE559" s="301"/>
      <c r="AF559" s="301"/>
      <c r="AG559" s="301"/>
    </row>
    <row r="560">
      <c r="E560" s="2">
        <f t="shared" si="9"/>
        <v>411</v>
      </c>
      <c r="F560" s="2">
        <f t="shared" si="10"/>
        <v>24677.49</v>
      </c>
      <c r="G560" s="2">
        <f t="shared" si="11"/>
        <v>60.04255474</v>
      </c>
      <c r="J560" s="430">
        <v>45558.0</v>
      </c>
      <c r="K560" s="302">
        <v>1220.0</v>
      </c>
      <c r="L560" s="302" t="s">
        <v>688</v>
      </c>
      <c r="M560" s="302" t="s">
        <v>1209</v>
      </c>
      <c r="N560" s="302">
        <v>1.0</v>
      </c>
      <c r="O560" s="302" t="s">
        <v>716</v>
      </c>
      <c r="P560" s="431" t="s">
        <v>1210</v>
      </c>
      <c r="Q560" s="302" t="s">
        <v>924</v>
      </c>
      <c r="R560" s="258" t="s">
        <v>76</v>
      </c>
      <c r="S560" s="303"/>
      <c r="T560" s="303"/>
      <c r="X560" s="2">
        <f t="shared" si="15"/>
        <v>0</v>
      </c>
      <c r="AA560" s="301"/>
      <c r="AB560" s="301"/>
      <c r="AC560" s="301"/>
      <c r="AE560" s="301"/>
      <c r="AF560" s="301"/>
      <c r="AG560" s="301"/>
    </row>
    <row r="561">
      <c r="E561" s="2">
        <f t="shared" si="9"/>
        <v>412</v>
      </c>
      <c r="F561" s="2">
        <f t="shared" si="10"/>
        <v>23457.49</v>
      </c>
      <c r="G561" s="2">
        <f t="shared" si="11"/>
        <v>56.93565534</v>
      </c>
      <c r="J561" s="425">
        <v>45557.0</v>
      </c>
      <c r="K561" s="332">
        <v>120.0</v>
      </c>
      <c r="L561" s="332" t="s">
        <v>690</v>
      </c>
      <c r="M561" s="332" t="s">
        <v>782</v>
      </c>
      <c r="N561" s="332">
        <v>1.0</v>
      </c>
      <c r="O561" s="332" t="s">
        <v>716</v>
      </c>
      <c r="P561" s="426" t="s">
        <v>1071</v>
      </c>
      <c r="Q561" s="332" t="s">
        <v>924</v>
      </c>
      <c r="R561" s="255" t="s">
        <v>76</v>
      </c>
      <c r="S561" s="416"/>
      <c r="T561" s="416"/>
      <c r="X561" s="2">
        <f t="shared" si="15"/>
        <v>0</v>
      </c>
      <c r="AA561" s="301"/>
      <c r="AB561" s="301"/>
      <c r="AC561" s="301"/>
      <c r="AE561" s="301"/>
      <c r="AF561" s="301"/>
      <c r="AG561" s="301"/>
    </row>
    <row r="562">
      <c r="E562" s="2">
        <f t="shared" si="9"/>
        <v>412</v>
      </c>
      <c r="F562" s="2">
        <f t="shared" si="10"/>
        <v>23337.49</v>
      </c>
      <c r="G562" s="2">
        <f t="shared" si="11"/>
        <v>56.6443932</v>
      </c>
      <c r="J562" s="427">
        <v>45557.0</v>
      </c>
      <c r="K562" s="300">
        <v>186.0</v>
      </c>
      <c r="L562" s="300" t="s">
        <v>686</v>
      </c>
      <c r="M562" s="300" t="s">
        <v>1211</v>
      </c>
      <c r="N562" s="300">
        <v>1.0</v>
      </c>
      <c r="O562" s="300" t="s">
        <v>716</v>
      </c>
      <c r="P562" s="428" t="s">
        <v>1212</v>
      </c>
      <c r="Q562" s="300" t="s">
        <v>924</v>
      </c>
      <c r="R562" s="6" t="s">
        <v>76</v>
      </c>
      <c r="S562" s="301"/>
      <c r="T562" s="301"/>
      <c r="X562" s="2">
        <f t="shared" si="15"/>
        <v>0</v>
      </c>
      <c r="AA562" s="301"/>
      <c r="AB562" s="301"/>
      <c r="AC562" s="301"/>
      <c r="AE562" s="301"/>
      <c r="AF562" s="301"/>
      <c r="AG562" s="301"/>
    </row>
    <row r="563">
      <c r="E563" s="2">
        <f t="shared" si="9"/>
        <v>412</v>
      </c>
      <c r="F563" s="2">
        <f t="shared" si="10"/>
        <v>23151.49</v>
      </c>
      <c r="G563" s="2">
        <f t="shared" si="11"/>
        <v>56.19293689</v>
      </c>
      <c r="J563" s="427">
        <v>45557.0</v>
      </c>
      <c r="K563" s="300">
        <v>1200.0</v>
      </c>
      <c r="L563" s="300" t="s">
        <v>696</v>
      </c>
      <c r="M563" s="300" t="s">
        <v>1213</v>
      </c>
      <c r="N563" s="300">
        <v>1.0</v>
      </c>
      <c r="O563" s="300" t="s">
        <v>716</v>
      </c>
      <c r="P563" s="428" t="s">
        <v>645</v>
      </c>
      <c r="Q563" s="300" t="s">
        <v>1214</v>
      </c>
      <c r="R563" s="6" t="s">
        <v>76</v>
      </c>
      <c r="S563" s="301"/>
      <c r="T563" s="301"/>
      <c r="X563" s="2">
        <f t="shared" si="15"/>
        <v>0</v>
      </c>
      <c r="AA563" s="301"/>
      <c r="AB563" s="301"/>
      <c r="AC563" s="301"/>
      <c r="AE563" s="301"/>
      <c r="AF563" s="301"/>
      <c r="AG563" s="301"/>
    </row>
    <row r="564">
      <c r="E564" s="2">
        <f t="shared" si="9"/>
        <v>412</v>
      </c>
      <c r="F564" s="2">
        <f t="shared" si="10"/>
        <v>21951.49</v>
      </c>
      <c r="G564" s="2">
        <f t="shared" si="11"/>
        <v>53.28031553</v>
      </c>
      <c r="J564" s="427">
        <v>45557.0</v>
      </c>
      <c r="K564" s="300">
        <v>33.0</v>
      </c>
      <c r="L564" s="300" t="s">
        <v>690</v>
      </c>
      <c r="M564" s="300" t="s">
        <v>782</v>
      </c>
      <c r="N564" s="300">
        <v>1.0</v>
      </c>
      <c r="O564" s="300" t="s">
        <v>716</v>
      </c>
      <c r="P564" s="428" t="s">
        <v>1071</v>
      </c>
      <c r="Q564" s="300" t="s">
        <v>952</v>
      </c>
      <c r="R564" s="6" t="s">
        <v>76</v>
      </c>
      <c r="S564" s="301"/>
      <c r="T564" s="301"/>
      <c r="X564" s="2">
        <f t="shared" si="15"/>
        <v>0</v>
      </c>
      <c r="AA564" s="301"/>
      <c r="AB564" s="301"/>
      <c r="AC564" s="301"/>
      <c r="AE564" s="301"/>
      <c r="AF564" s="301"/>
      <c r="AG564" s="301"/>
    </row>
    <row r="565">
      <c r="E565" s="2">
        <f t="shared" si="9"/>
        <v>412</v>
      </c>
      <c r="F565" s="2">
        <f t="shared" si="10"/>
        <v>21918.49</v>
      </c>
      <c r="G565" s="2">
        <f t="shared" si="11"/>
        <v>53.20021845</v>
      </c>
      <c r="J565" s="427">
        <v>45557.0</v>
      </c>
      <c r="K565" s="300">
        <v>70.0</v>
      </c>
      <c r="L565" s="300" t="s">
        <v>686</v>
      </c>
      <c r="M565" s="300" t="s">
        <v>965</v>
      </c>
      <c r="N565" s="300">
        <v>1.0</v>
      </c>
      <c r="O565" s="300" t="s">
        <v>716</v>
      </c>
      <c r="P565" s="428" t="s">
        <v>1210</v>
      </c>
      <c r="Q565" s="300" t="s">
        <v>952</v>
      </c>
      <c r="R565" s="6" t="s">
        <v>76</v>
      </c>
      <c r="S565" s="301"/>
      <c r="T565" s="301"/>
      <c r="X565" s="2">
        <f t="shared" si="15"/>
        <v>0</v>
      </c>
      <c r="AA565" s="301"/>
      <c r="AB565" s="301"/>
      <c r="AC565" s="301"/>
      <c r="AE565" s="301"/>
      <c r="AF565" s="301"/>
      <c r="AG565" s="301"/>
    </row>
    <row r="566">
      <c r="E566" s="2">
        <f t="shared" si="9"/>
        <v>412</v>
      </c>
      <c r="F566" s="2">
        <f t="shared" si="10"/>
        <v>21848.49</v>
      </c>
      <c r="G566" s="2">
        <f t="shared" si="11"/>
        <v>53.03031553</v>
      </c>
      <c r="J566" s="427">
        <v>45557.0</v>
      </c>
      <c r="K566" s="300">
        <v>33.0</v>
      </c>
      <c r="L566" s="300" t="s">
        <v>690</v>
      </c>
      <c r="M566" s="300" t="s">
        <v>782</v>
      </c>
      <c r="N566" s="300">
        <v>1.0</v>
      </c>
      <c r="O566" s="300" t="s">
        <v>716</v>
      </c>
      <c r="P566" s="428" t="s">
        <v>1071</v>
      </c>
      <c r="Q566" s="300" t="s">
        <v>952</v>
      </c>
      <c r="R566" s="6" t="s">
        <v>76</v>
      </c>
      <c r="S566" s="301"/>
      <c r="T566" s="301"/>
      <c r="X566" s="2">
        <f t="shared" si="15"/>
        <v>0</v>
      </c>
      <c r="AA566" s="301"/>
      <c r="AB566" s="301"/>
      <c r="AC566" s="301"/>
      <c r="AE566" s="301"/>
      <c r="AF566" s="301"/>
      <c r="AG566" s="301"/>
    </row>
    <row r="567">
      <c r="E567" s="2">
        <f t="shared" si="9"/>
        <v>412</v>
      </c>
      <c r="F567" s="2">
        <f t="shared" si="10"/>
        <v>21815.49</v>
      </c>
      <c r="G567" s="2">
        <f t="shared" si="11"/>
        <v>52.95021845</v>
      </c>
      <c r="J567" s="427">
        <v>45557.0</v>
      </c>
      <c r="K567" s="300">
        <v>38.0</v>
      </c>
      <c r="L567" s="300" t="s">
        <v>690</v>
      </c>
      <c r="M567" s="300" t="s">
        <v>782</v>
      </c>
      <c r="N567" s="300">
        <v>1.0</v>
      </c>
      <c r="O567" s="300" t="s">
        <v>716</v>
      </c>
      <c r="P567" s="428" t="s">
        <v>1071</v>
      </c>
      <c r="Q567" s="300" t="s">
        <v>952</v>
      </c>
      <c r="R567" s="6" t="s">
        <v>76</v>
      </c>
      <c r="S567" s="301"/>
      <c r="T567" s="301"/>
      <c r="X567" s="2">
        <f t="shared" si="15"/>
        <v>0</v>
      </c>
      <c r="AA567" s="301"/>
      <c r="AB567" s="301"/>
      <c r="AC567" s="301"/>
      <c r="AE567" s="301"/>
      <c r="AF567" s="301"/>
      <c r="AG567" s="301"/>
    </row>
    <row r="568">
      <c r="E568" s="2">
        <f t="shared" si="9"/>
        <v>413</v>
      </c>
      <c r="F568" s="2">
        <f t="shared" si="10"/>
        <v>21777.49</v>
      </c>
      <c r="G568" s="2">
        <f t="shared" si="11"/>
        <v>52.73</v>
      </c>
      <c r="J568" s="425">
        <v>45556.0</v>
      </c>
      <c r="K568" s="332">
        <v>394.64</v>
      </c>
      <c r="L568" s="332" t="s">
        <v>695</v>
      </c>
      <c r="M568" s="332" t="s">
        <v>1215</v>
      </c>
      <c r="N568" s="332">
        <v>1.0</v>
      </c>
      <c r="O568" s="332" t="s">
        <v>716</v>
      </c>
      <c r="P568" s="426" t="s">
        <v>1010</v>
      </c>
      <c r="Q568" s="332" t="s">
        <v>924</v>
      </c>
      <c r="R568" s="332" t="s">
        <v>76</v>
      </c>
      <c r="S568" s="416"/>
      <c r="T568" s="416"/>
      <c r="X568" s="2">
        <f t="shared" si="15"/>
        <v>0</v>
      </c>
      <c r="AA568" s="301"/>
      <c r="AB568" s="301"/>
      <c r="AC568" s="301"/>
      <c r="AE568" s="301"/>
      <c r="AF568" s="301"/>
      <c r="AG568" s="301"/>
    </row>
    <row r="569">
      <c r="E569" s="2">
        <f t="shared" si="9"/>
        <v>413</v>
      </c>
      <c r="F569" s="2">
        <f t="shared" si="10"/>
        <v>21382.85</v>
      </c>
      <c r="G569" s="2">
        <f t="shared" si="11"/>
        <v>51.77445521</v>
      </c>
      <c r="J569" s="427">
        <v>45556.0</v>
      </c>
      <c r="K569" s="300">
        <v>30.0</v>
      </c>
      <c r="L569" s="300" t="s">
        <v>690</v>
      </c>
      <c r="M569" s="300" t="s">
        <v>782</v>
      </c>
      <c r="N569" s="300">
        <v>1.0</v>
      </c>
      <c r="O569" s="300" t="s">
        <v>716</v>
      </c>
      <c r="P569" s="428" t="s">
        <v>1071</v>
      </c>
      <c r="Q569" s="300" t="s">
        <v>924</v>
      </c>
      <c r="R569" s="300" t="s">
        <v>76</v>
      </c>
      <c r="S569" s="301"/>
      <c r="T569" s="301"/>
      <c r="X569" s="2">
        <f t="shared" si="15"/>
        <v>0</v>
      </c>
      <c r="AA569" s="301"/>
      <c r="AB569" s="301"/>
      <c r="AC569" s="301"/>
      <c r="AE569" s="301"/>
      <c r="AF569" s="301"/>
      <c r="AG569" s="301"/>
    </row>
    <row r="570">
      <c r="E570" s="2">
        <f t="shared" si="9"/>
        <v>413</v>
      </c>
      <c r="F570" s="2">
        <f t="shared" si="10"/>
        <v>21352.85</v>
      </c>
      <c r="G570" s="2">
        <f t="shared" si="11"/>
        <v>51.70181598</v>
      </c>
      <c r="J570" s="427">
        <v>45556.0</v>
      </c>
      <c r="K570" s="300">
        <v>139.0</v>
      </c>
      <c r="L570" s="300" t="s">
        <v>697</v>
      </c>
      <c r="M570" s="300" t="s">
        <v>1216</v>
      </c>
      <c r="N570" s="300">
        <v>12.0</v>
      </c>
      <c r="O570" s="300" t="s">
        <v>1000</v>
      </c>
      <c r="P570" s="428" t="s">
        <v>1071</v>
      </c>
      <c r="Q570" s="300" t="s">
        <v>930</v>
      </c>
      <c r="R570" s="300" t="s">
        <v>76</v>
      </c>
      <c r="S570" s="301"/>
      <c r="T570" s="301"/>
      <c r="X570" s="2">
        <f t="shared" si="15"/>
        <v>0</v>
      </c>
      <c r="AA570" s="301"/>
      <c r="AB570" s="301"/>
      <c r="AC570" s="301"/>
      <c r="AE570" s="301"/>
      <c r="AF570" s="301"/>
      <c r="AG570" s="301"/>
    </row>
    <row r="571">
      <c r="E571" s="2">
        <f t="shared" si="9"/>
        <v>413</v>
      </c>
      <c r="F571" s="2">
        <f t="shared" si="10"/>
        <v>21213.85</v>
      </c>
      <c r="G571" s="2">
        <f t="shared" si="11"/>
        <v>51.36525424</v>
      </c>
      <c r="J571" s="427">
        <v>45556.0</v>
      </c>
      <c r="K571" s="300">
        <v>1968.24</v>
      </c>
      <c r="L571" s="300" t="s">
        <v>695</v>
      </c>
      <c r="M571" s="300" t="s">
        <v>1217</v>
      </c>
      <c r="N571" s="300">
        <v>6.0</v>
      </c>
      <c r="O571" s="300" t="s">
        <v>716</v>
      </c>
      <c r="P571" s="428" t="s">
        <v>1205</v>
      </c>
      <c r="Q571" s="300" t="s">
        <v>1038</v>
      </c>
      <c r="R571" s="300" t="s">
        <v>687</v>
      </c>
      <c r="S571" s="301"/>
      <c r="T571" s="301"/>
      <c r="X571" s="2">
        <f t="shared" si="15"/>
        <v>0</v>
      </c>
      <c r="AA571" s="301"/>
      <c r="AB571" s="301"/>
      <c r="AC571" s="301"/>
      <c r="AE571" s="301"/>
      <c r="AF571" s="301"/>
      <c r="AG571" s="301"/>
    </row>
    <row r="572">
      <c r="E572" s="2">
        <f t="shared" si="9"/>
        <v>413</v>
      </c>
      <c r="F572" s="2">
        <f t="shared" si="10"/>
        <v>19245.61</v>
      </c>
      <c r="G572" s="2">
        <f t="shared" si="11"/>
        <v>46.59953995</v>
      </c>
      <c r="J572" s="430">
        <v>45556.0</v>
      </c>
      <c r="K572" s="302">
        <v>1893.24</v>
      </c>
      <c r="L572" s="302" t="s">
        <v>695</v>
      </c>
      <c r="M572" s="302" t="s">
        <v>1217</v>
      </c>
      <c r="N572" s="302">
        <v>6.0</v>
      </c>
      <c r="O572" s="302" t="s">
        <v>716</v>
      </c>
      <c r="P572" s="431" t="s">
        <v>1205</v>
      </c>
      <c r="Q572" s="302" t="s">
        <v>1038</v>
      </c>
      <c r="R572" s="302" t="s">
        <v>687</v>
      </c>
      <c r="S572" s="303"/>
      <c r="T572" s="303"/>
      <c r="X572" s="2">
        <f t="shared" si="15"/>
        <v>0</v>
      </c>
      <c r="AA572" s="301"/>
      <c r="AB572" s="301"/>
      <c r="AC572" s="301"/>
      <c r="AE572" s="301"/>
      <c r="AF572" s="301"/>
      <c r="AG572" s="301"/>
    </row>
    <row r="573">
      <c r="E573" s="2">
        <f t="shared" si="9"/>
        <v>408</v>
      </c>
      <c r="F573" s="2">
        <f t="shared" si="10"/>
        <v>17352.37</v>
      </c>
      <c r="G573" s="2">
        <f t="shared" si="11"/>
        <v>42.53031863</v>
      </c>
      <c r="J573" s="427">
        <v>45561.0</v>
      </c>
      <c r="K573" s="300">
        <v>20.0</v>
      </c>
      <c r="L573" s="300" t="s">
        <v>690</v>
      </c>
      <c r="M573" s="300" t="s">
        <v>857</v>
      </c>
      <c r="N573" s="300">
        <v>1.0</v>
      </c>
      <c r="O573" s="300" t="s">
        <v>716</v>
      </c>
      <c r="P573" s="428" t="s">
        <v>1071</v>
      </c>
      <c r="Q573" s="300" t="s">
        <v>1001</v>
      </c>
      <c r="R573" s="6" t="s">
        <v>76</v>
      </c>
      <c r="S573" s="301"/>
      <c r="T573" s="301"/>
      <c r="X573" s="2">
        <f t="shared" si="15"/>
        <v>0</v>
      </c>
      <c r="AA573" s="301"/>
      <c r="AB573" s="301"/>
      <c r="AC573" s="301"/>
      <c r="AE573" s="301"/>
      <c r="AF573" s="301"/>
      <c r="AG573" s="301"/>
    </row>
    <row r="574">
      <c r="E574" s="2">
        <f t="shared" si="9"/>
        <v>408</v>
      </c>
      <c r="F574" s="2">
        <f t="shared" si="10"/>
        <v>17332.37</v>
      </c>
      <c r="G574" s="2">
        <f t="shared" si="11"/>
        <v>42.48129902</v>
      </c>
      <c r="J574" s="427">
        <v>45561.0</v>
      </c>
      <c r="K574" s="300">
        <v>190.0</v>
      </c>
      <c r="L574" s="300" t="s">
        <v>688</v>
      </c>
      <c r="M574" s="300" t="s">
        <v>868</v>
      </c>
      <c r="N574" s="300">
        <v>180.0</v>
      </c>
      <c r="O574" s="300" t="s">
        <v>712</v>
      </c>
      <c r="P574" s="428" t="s">
        <v>1071</v>
      </c>
      <c r="Q574" s="300" t="s">
        <v>1218</v>
      </c>
      <c r="R574" s="6" t="s">
        <v>76</v>
      </c>
      <c r="S574" s="300" t="s">
        <v>386</v>
      </c>
      <c r="T574" s="300" t="s">
        <v>709</v>
      </c>
      <c r="X574" s="2">
        <f t="shared" si="15"/>
        <v>0</v>
      </c>
      <c r="AA574" s="301"/>
      <c r="AB574" s="301"/>
      <c r="AC574" s="301"/>
      <c r="AE574" s="301"/>
      <c r="AF574" s="301"/>
      <c r="AG574" s="301"/>
    </row>
    <row r="575">
      <c r="E575" s="2">
        <f t="shared" si="9"/>
        <v>408</v>
      </c>
      <c r="F575" s="2">
        <f t="shared" si="10"/>
        <v>17142.37</v>
      </c>
      <c r="G575" s="2">
        <f t="shared" si="11"/>
        <v>42.01561275</v>
      </c>
      <c r="J575" s="427">
        <v>45561.0</v>
      </c>
      <c r="K575" s="300">
        <v>50.0</v>
      </c>
      <c r="L575" s="300" t="s">
        <v>686</v>
      </c>
      <c r="M575" s="300" t="s">
        <v>1219</v>
      </c>
      <c r="N575" s="300">
        <v>20.0</v>
      </c>
      <c r="O575" s="300" t="s">
        <v>716</v>
      </c>
      <c r="P575" s="428" t="s">
        <v>1071</v>
      </c>
      <c r="Q575" s="300" t="s">
        <v>1218</v>
      </c>
      <c r="R575" s="6" t="s">
        <v>76</v>
      </c>
      <c r="S575" s="300" t="s">
        <v>386</v>
      </c>
      <c r="T575" s="300" t="s">
        <v>709</v>
      </c>
      <c r="X575" s="2">
        <f t="shared" si="15"/>
        <v>0</v>
      </c>
      <c r="AA575" s="301"/>
      <c r="AB575" s="301"/>
      <c r="AC575" s="301"/>
      <c r="AE575" s="301"/>
      <c r="AF575" s="301"/>
      <c r="AG575" s="301"/>
    </row>
    <row r="576">
      <c r="E576" s="2">
        <f t="shared" si="9"/>
        <v>408</v>
      </c>
      <c r="F576" s="2">
        <f t="shared" si="10"/>
        <v>17092.37</v>
      </c>
      <c r="G576" s="2">
        <f t="shared" si="11"/>
        <v>41.89306373</v>
      </c>
      <c r="J576" s="430">
        <v>45561.0</v>
      </c>
      <c r="K576" s="302">
        <v>20.0</v>
      </c>
      <c r="L576" s="302" t="s">
        <v>686</v>
      </c>
      <c r="M576" s="302" t="s">
        <v>970</v>
      </c>
      <c r="N576" s="302">
        <v>1.0</v>
      </c>
      <c r="O576" s="302" t="s">
        <v>747</v>
      </c>
      <c r="P576" s="431" t="s">
        <v>1071</v>
      </c>
      <c r="Q576" s="302" t="s">
        <v>1218</v>
      </c>
      <c r="R576" s="258" t="s">
        <v>76</v>
      </c>
      <c r="S576" s="302" t="s">
        <v>386</v>
      </c>
      <c r="T576" s="302" t="s">
        <v>709</v>
      </c>
      <c r="X576" s="2">
        <f t="shared" si="15"/>
        <v>0</v>
      </c>
      <c r="AA576" s="301"/>
      <c r="AB576" s="301"/>
      <c r="AC576" s="301"/>
      <c r="AE576" s="301"/>
      <c r="AF576" s="301"/>
      <c r="AG576" s="301"/>
    </row>
    <row r="577">
      <c r="E577" s="2">
        <f t="shared" si="9"/>
        <v>407</v>
      </c>
      <c r="F577" s="2">
        <f t="shared" si="10"/>
        <v>17072.37</v>
      </c>
      <c r="G577" s="2">
        <f t="shared" si="11"/>
        <v>41.94685504</v>
      </c>
      <c r="J577" s="425">
        <v>45562.0</v>
      </c>
      <c r="K577" s="332">
        <v>400.0</v>
      </c>
      <c r="L577" s="332" t="s">
        <v>695</v>
      </c>
      <c r="M577" s="332" t="s">
        <v>1220</v>
      </c>
      <c r="N577" s="332">
        <v>1.0</v>
      </c>
      <c r="O577" s="332" t="s">
        <v>716</v>
      </c>
      <c r="P577" s="426" t="s">
        <v>1071</v>
      </c>
      <c r="Q577" s="332" t="s">
        <v>1221</v>
      </c>
      <c r="R577" s="255" t="s">
        <v>76</v>
      </c>
      <c r="S577" s="416"/>
      <c r="T577" s="416"/>
      <c r="X577" s="2">
        <f t="shared" si="15"/>
        <v>0</v>
      </c>
      <c r="AA577" s="301"/>
      <c r="AB577" s="301"/>
      <c r="AC577" s="301"/>
      <c r="AE577" s="301"/>
      <c r="AF577" s="301"/>
      <c r="AG577" s="301"/>
    </row>
    <row r="578">
      <c r="E578" s="2">
        <f t="shared" si="9"/>
        <v>407</v>
      </c>
      <c r="F578" s="2">
        <f t="shared" si="10"/>
        <v>16672.37</v>
      </c>
      <c r="G578" s="2">
        <f t="shared" si="11"/>
        <v>40.96405405</v>
      </c>
      <c r="J578" s="430">
        <v>45562.0</v>
      </c>
      <c r="K578" s="302">
        <v>570.0</v>
      </c>
      <c r="L578" s="302" t="s">
        <v>688</v>
      </c>
      <c r="M578" s="302" t="s">
        <v>868</v>
      </c>
      <c r="N578" s="303">
        <f>180*3</f>
        <v>540</v>
      </c>
      <c r="O578" s="302" t="s">
        <v>712</v>
      </c>
      <c r="P578" s="431" t="s">
        <v>1222</v>
      </c>
      <c r="Q578" s="302" t="s">
        <v>1184</v>
      </c>
      <c r="R578" s="258" t="s">
        <v>76</v>
      </c>
      <c r="S578" s="303"/>
      <c r="T578" s="303"/>
      <c r="X578" s="2">
        <f t="shared" si="15"/>
        <v>0</v>
      </c>
      <c r="AA578" s="301"/>
      <c r="AB578" s="301"/>
      <c r="AC578" s="301"/>
      <c r="AE578" s="301"/>
      <c r="AF578" s="301"/>
      <c r="AG578" s="301"/>
    </row>
    <row r="579">
      <c r="E579" s="2">
        <f t="shared" si="9"/>
        <v>406</v>
      </c>
      <c r="F579" s="2">
        <f t="shared" si="10"/>
        <v>16102.37</v>
      </c>
      <c r="G579" s="2">
        <f t="shared" si="11"/>
        <v>39.66100985</v>
      </c>
      <c r="J579" s="427">
        <v>45563.0</v>
      </c>
      <c r="K579" s="300">
        <v>170.0</v>
      </c>
      <c r="L579" s="300" t="s">
        <v>698</v>
      </c>
      <c r="M579" s="300" t="s">
        <v>1223</v>
      </c>
      <c r="N579" s="300">
        <v>2.0</v>
      </c>
      <c r="O579" s="300" t="s">
        <v>716</v>
      </c>
      <c r="P579" s="428" t="s">
        <v>1071</v>
      </c>
      <c r="Q579" s="300" t="s">
        <v>1224</v>
      </c>
      <c r="R579" s="6" t="s">
        <v>76</v>
      </c>
      <c r="S579" s="300" t="s">
        <v>386</v>
      </c>
      <c r="T579" s="300" t="s">
        <v>709</v>
      </c>
      <c r="X579" s="2">
        <f t="shared" si="15"/>
        <v>0</v>
      </c>
      <c r="AA579" s="301"/>
      <c r="AB579" s="301"/>
      <c r="AC579" s="301"/>
      <c r="AE579" s="301"/>
      <c r="AF579" s="301"/>
      <c r="AG579" s="301"/>
    </row>
    <row r="580">
      <c r="E580" s="2">
        <f t="shared" si="9"/>
        <v>406</v>
      </c>
      <c r="F580" s="2">
        <f t="shared" si="10"/>
        <v>15932.37</v>
      </c>
      <c r="G580" s="2">
        <f t="shared" si="11"/>
        <v>39.24229064</v>
      </c>
      <c r="J580" s="430">
        <v>45563.0</v>
      </c>
      <c r="K580" s="302">
        <v>145.0</v>
      </c>
      <c r="L580" s="302" t="s">
        <v>686</v>
      </c>
      <c r="M580" s="302" t="s">
        <v>1225</v>
      </c>
      <c r="N580" s="302">
        <v>18.0</v>
      </c>
      <c r="O580" s="302" t="s">
        <v>716</v>
      </c>
      <c r="P580" s="431" t="s">
        <v>1195</v>
      </c>
      <c r="Q580" s="302" t="s">
        <v>1082</v>
      </c>
      <c r="R580" s="258" t="s">
        <v>76</v>
      </c>
      <c r="S580" s="303"/>
      <c r="T580" s="303"/>
      <c r="X580" s="2">
        <f t="shared" si="15"/>
        <v>0</v>
      </c>
      <c r="AA580" s="301"/>
      <c r="AB580" s="301"/>
      <c r="AC580" s="301"/>
      <c r="AE580" s="301"/>
      <c r="AF580" s="301"/>
      <c r="AG580" s="301"/>
    </row>
    <row r="581">
      <c r="E581" s="2">
        <f t="shared" si="9"/>
        <v>405</v>
      </c>
      <c r="F581" s="2">
        <f t="shared" si="10"/>
        <v>15787.37</v>
      </c>
      <c r="G581" s="2">
        <f t="shared" si="11"/>
        <v>38.98116049</v>
      </c>
      <c r="J581" s="427">
        <v>45564.0</v>
      </c>
      <c r="K581" s="300">
        <v>598.0</v>
      </c>
      <c r="L581" s="300" t="s">
        <v>695</v>
      </c>
      <c r="M581" s="300" t="s">
        <v>1226</v>
      </c>
      <c r="N581" s="300">
        <v>1.0</v>
      </c>
      <c r="O581" s="300" t="s">
        <v>716</v>
      </c>
      <c r="P581" s="428" t="s">
        <v>1195</v>
      </c>
      <c r="Q581" s="300" t="s">
        <v>1227</v>
      </c>
      <c r="R581" s="6" t="s">
        <v>76</v>
      </c>
      <c r="S581" s="301"/>
      <c r="T581" s="301"/>
      <c r="X581" s="2">
        <f t="shared" si="15"/>
        <v>0</v>
      </c>
      <c r="AA581" s="301"/>
      <c r="AB581" s="301"/>
      <c r="AC581" s="301"/>
      <c r="AE581" s="301"/>
      <c r="AF581" s="301"/>
      <c r="AG581" s="301"/>
    </row>
    <row r="582">
      <c r="E582" s="2">
        <f t="shared" si="9"/>
        <v>405</v>
      </c>
      <c r="F582" s="2">
        <f t="shared" si="10"/>
        <v>15189.37</v>
      </c>
      <c r="G582" s="2">
        <f t="shared" si="11"/>
        <v>37.50461728</v>
      </c>
      <c r="J582" s="427">
        <v>45564.0</v>
      </c>
      <c r="K582" s="300">
        <v>590.32</v>
      </c>
      <c r="L582" s="300" t="s">
        <v>693</v>
      </c>
      <c r="M582" s="300" t="s">
        <v>1228</v>
      </c>
      <c r="N582" s="300">
        <v>2.0</v>
      </c>
      <c r="O582" s="300" t="s">
        <v>716</v>
      </c>
      <c r="P582" s="428" t="s">
        <v>1071</v>
      </c>
      <c r="Q582" s="300" t="s">
        <v>1227</v>
      </c>
      <c r="R582" s="6" t="s">
        <v>76</v>
      </c>
      <c r="S582" s="301"/>
      <c r="T582" s="301"/>
      <c r="X582" s="2">
        <f t="shared" si="15"/>
        <v>0</v>
      </c>
      <c r="AA582" s="301"/>
      <c r="AB582" s="301"/>
      <c r="AC582" s="301"/>
      <c r="AE582" s="301"/>
      <c r="AF582" s="301"/>
      <c r="AG582" s="301"/>
    </row>
    <row r="583">
      <c r="E583" s="2">
        <f t="shared" si="9"/>
        <v>405</v>
      </c>
      <c r="F583" s="2">
        <f t="shared" si="10"/>
        <v>14599.05</v>
      </c>
      <c r="G583" s="2">
        <f t="shared" si="11"/>
        <v>36.04703704</v>
      </c>
      <c r="J583" s="427">
        <v>45564.0</v>
      </c>
      <c r="K583" s="300">
        <v>529.0</v>
      </c>
      <c r="L583" s="300" t="s">
        <v>693</v>
      </c>
      <c r="M583" s="300" t="s">
        <v>1229</v>
      </c>
      <c r="N583" s="300">
        <v>3.0</v>
      </c>
      <c r="O583" s="300" t="s">
        <v>716</v>
      </c>
      <c r="P583" s="428" t="s">
        <v>1071</v>
      </c>
      <c r="Q583" s="300" t="s">
        <v>1230</v>
      </c>
      <c r="R583" s="6" t="s">
        <v>76</v>
      </c>
      <c r="S583" s="301"/>
      <c r="T583" s="301"/>
      <c r="X583" s="2">
        <f t="shared" si="15"/>
        <v>0</v>
      </c>
      <c r="AA583" s="301"/>
      <c r="AB583" s="301"/>
      <c r="AC583" s="301"/>
      <c r="AE583" s="301"/>
      <c r="AF583" s="301"/>
      <c r="AG583" s="301"/>
    </row>
    <row r="584">
      <c r="E584" s="2">
        <f t="shared" si="9"/>
        <v>405</v>
      </c>
      <c r="F584" s="2">
        <f t="shared" si="10"/>
        <v>14070.05</v>
      </c>
      <c r="G584" s="2">
        <f t="shared" si="11"/>
        <v>34.7408642</v>
      </c>
      <c r="J584" s="427">
        <v>45564.0</v>
      </c>
      <c r="K584" s="300">
        <v>190.0</v>
      </c>
      <c r="L584" s="300" t="s">
        <v>688</v>
      </c>
      <c r="M584" s="300" t="s">
        <v>868</v>
      </c>
      <c r="N584" s="300">
        <v>180.0</v>
      </c>
      <c r="O584" s="300" t="s">
        <v>712</v>
      </c>
      <c r="P584" s="428" t="s">
        <v>380</v>
      </c>
      <c r="Q584" s="300" t="s">
        <v>1184</v>
      </c>
      <c r="R584" s="6" t="s">
        <v>76</v>
      </c>
      <c r="S584" s="301"/>
      <c r="T584" s="301"/>
      <c r="X584" s="2">
        <f t="shared" si="15"/>
        <v>0</v>
      </c>
      <c r="AA584" s="301"/>
      <c r="AB584" s="301"/>
      <c r="AC584" s="301"/>
      <c r="AE584" s="301"/>
      <c r="AF584" s="301"/>
      <c r="AG584" s="301"/>
    </row>
    <row r="585">
      <c r="E585" s="2">
        <f t="shared" si="9"/>
        <v>405</v>
      </c>
      <c r="F585" s="2">
        <f t="shared" si="10"/>
        <v>13880.05</v>
      </c>
      <c r="G585" s="2">
        <f t="shared" si="11"/>
        <v>34.2717284</v>
      </c>
      <c r="J585" s="427">
        <v>45564.0</v>
      </c>
      <c r="K585" s="300">
        <v>100.0</v>
      </c>
      <c r="L585" s="300" t="s">
        <v>688</v>
      </c>
      <c r="M585" s="300" t="s">
        <v>868</v>
      </c>
      <c r="N585" s="300">
        <v>90.0</v>
      </c>
      <c r="O585" s="300" t="s">
        <v>712</v>
      </c>
      <c r="P585" s="428" t="s">
        <v>1071</v>
      </c>
      <c r="Q585" s="300" t="s">
        <v>1184</v>
      </c>
      <c r="R585" s="6" t="s">
        <v>76</v>
      </c>
      <c r="S585" s="301"/>
      <c r="T585" s="301"/>
      <c r="AA585" s="301"/>
      <c r="AB585" s="301"/>
      <c r="AC585" s="301"/>
      <c r="AE585" s="301"/>
      <c r="AF585" s="301"/>
      <c r="AG585" s="301"/>
    </row>
    <row r="586">
      <c r="E586" s="2">
        <f t="shared" si="9"/>
        <v>405</v>
      </c>
      <c r="F586" s="2">
        <f t="shared" si="10"/>
        <v>13780.05</v>
      </c>
      <c r="G586" s="2">
        <f t="shared" si="11"/>
        <v>34.02481481</v>
      </c>
      <c r="J586" s="427">
        <v>45564.0</v>
      </c>
      <c r="K586" s="300">
        <v>40.0</v>
      </c>
      <c r="L586" s="300" t="s">
        <v>686</v>
      </c>
      <c r="M586" s="300" t="s">
        <v>970</v>
      </c>
      <c r="N586" s="300">
        <v>2.0</v>
      </c>
      <c r="O586" s="300" t="s">
        <v>747</v>
      </c>
      <c r="P586" s="428" t="s">
        <v>1222</v>
      </c>
      <c r="Q586" s="300" t="s">
        <v>1184</v>
      </c>
      <c r="R586" s="300" t="s">
        <v>76</v>
      </c>
      <c r="S586" s="194"/>
      <c r="T586" s="301"/>
      <c r="X586" s="2">
        <f t="shared" ref="X586:X587" si="16">SUMIFS(K$16:K1013,J$16:J1013,W586)</f>
        <v>0</v>
      </c>
      <c r="AA586" s="301"/>
      <c r="AB586" s="301"/>
      <c r="AC586" s="301"/>
      <c r="AE586" s="301"/>
      <c r="AF586" s="301"/>
      <c r="AG586" s="301"/>
    </row>
    <row r="587">
      <c r="E587" s="2">
        <f t="shared" si="9"/>
        <v>405</v>
      </c>
      <c r="F587" s="2">
        <f t="shared" si="10"/>
        <v>13740.05</v>
      </c>
      <c r="G587" s="2">
        <f t="shared" si="11"/>
        <v>33.92604938</v>
      </c>
      <c r="J587" s="430">
        <v>45564.0</v>
      </c>
      <c r="K587" s="302">
        <v>40.0</v>
      </c>
      <c r="L587" s="302" t="s">
        <v>690</v>
      </c>
      <c r="M587" s="302" t="s">
        <v>908</v>
      </c>
      <c r="N587" s="302">
        <v>4.0</v>
      </c>
      <c r="O587" s="302" t="s">
        <v>716</v>
      </c>
      <c r="P587" s="431" t="s">
        <v>1071</v>
      </c>
      <c r="Q587" s="302" t="s">
        <v>1001</v>
      </c>
      <c r="R587" s="302" t="s">
        <v>91</v>
      </c>
      <c r="S587" s="197"/>
      <c r="T587" s="303"/>
      <c r="X587" s="2">
        <f t="shared" si="16"/>
        <v>0</v>
      </c>
      <c r="AA587" s="301"/>
      <c r="AB587" s="301"/>
      <c r="AC587" s="301"/>
      <c r="AE587" s="301"/>
      <c r="AF587" s="301"/>
      <c r="AG587" s="301"/>
    </row>
    <row r="588">
      <c r="E588" s="2">
        <f t="shared" si="9"/>
        <v>404</v>
      </c>
      <c r="F588" s="2">
        <f t="shared" si="10"/>
        <v>13700.05</v>
      </c>
      <c r="G588" s="2">
        <f t="shared" si="11"/>
        <v>33.91101485</v>
      </c>
      <c r="J588" s="433">
        <v>45565.0</v>
      </c>
      <c r="K588" s="296">
        <v>139.0</v>
      </c>
      <c r="L588" s="296" t="s">
        <v>697</v>
      </c>
      <c r="M588" s="296" t="s">
        <v>1216</v>
      </c>
      <c r="N588" s="296">
        <v>12.0</v>
      </c>
      <c r="O588" s="296" t="s">
        <v>1000</v>
      </c>
      <c r="P588" s="434" t="s">
        <v>1071</v>
      </c>
      <c r="Q588" s="296" t="s">
        <v>930</v>
      </c>
      <c r="R588" s="432" t="s">
        <v>76</v>
      </c>
      <c r="S588" s="299"/>
      <c r="T588" s="299"/>
      <c r="AA588" s="301"/>
      <c r="AB588" s="301"/>
      <c r="AC588" s="301"/>
      <c r="AE588" s="301"/>
      <c r="AF588" s="301"/>
      <c r="AG588" s="301"/>
    </row>
    <row r="589">
      <c r="E589" s="2">
        <f t="shared" si="9"/>
        <v>403</v>
      </c>
      <c r="F589" s="2">
        <f t="shared" si="10"/>
        <v>13561.05</v>
      </c>
      <c r="G589" s="2">
        <f t="shared" si="11"/>
        <v>33.65024814</v>
      </c>
      <c r="J589" s="433">
        <v>45566.0</v>
      </c>
      <c r="K589" s="296">
        <v>80.0</v>
      </c>
      <c r="L589" s="296" t="s">
        <v>686</v>
      </c>
      <c r="M589" s="296" t="s">
        <v>828</v>
      </c>
      <c r="N589" s="296">
        <v>8.0</v>
      </c>
      <c r="O589" s="296" t="s">
        <v>716</v>
      </c>
      <c r="P589" s="434" t="s">
        <v>1186</v>
      </c>
      <c r="Q589" s="296" t="s">
        <v>1001</v>
      </c>
      <c r="R589" s="432" t="s">
        <v>76</v>
      </c>
      <c r="S589" s="299"/>
      <c r="T589" s="299"/>
      <c r="X589" s="2">
        <f t="shared" ref="X589:X1013" si="17">SUMIFS(K$16:K1013,J$16:J1013,W589)</f>
        <v>0</v>
      </c>
      <c r="AA589" s="301"/>
      <c r="AB589" s="301"/>
      <c r="AC589" s="301"/>
      <c r="AE589" s="301"/>
      <c r="AF589" s="301"/>
      <c r="AG589" s="301"/>
    </row>
    <row r="590">
      <c r="E590" s="2">
        <f t="shared" si="9"/>
        <v>401</v>
      </c>
      <c r="F590" s="2">
        <f t="shared" si="10"/>
        <v>13481.05</v>
      </c>
      <c r="G590" s="2">
        <f t="shared" si="11"/>
        <v>33.61857855</v>
      </c>
      <c r="J590" s="430">
        <v>45568.0</v>
      </c>
      <c r="K590" s="302">
        <v>3000.0</v>
      </c>
      <c r="L590" s="302" t="s">
        <v>688</v>
      </c>
      <c r="M590" s="302" t="s">
        <v>1231</v>
      </c>
      <c r="N590" s="302">
        <v>3.0</v>
      </c>
      <c r="O590" s="302" t="s">
        <v>747</v>
      </c>
      <c r="P590" s="431" t="s">
        <v>1186</v>
      </c>
      <c r="Q590" s="302" t="s">
        <v>1184</v>
      </c>
      <c r="R590" s="432" t="s">
        <v>76</v>
      </c>
      <c r="S590" s="303"/>
      <c r="T590" s="303"/>
      <c r="X590" s="2">
        <f t="shared" si="17"/>
        <v>0</v>
      </c>
      <c r="AA590" s="301"/>
      <c r="AB590" s="301"/>
      <c r="AC590" s="301"/>
      <c r="AE590" s="301"/>
      <c r="AF590" s="301"/>
      <c r="AG590" s="301"/>
    </row>
    <row r="591">
      <c r="E591" s="2">
        <f t="shared" si="9"/>
        <v>399</v>
      </c>
      <c r="F591" s="2">
        <f t="shared" si="10"/>
        <v>10481.05</v>
      </c>
      <c r="G591" s="2">
        <f t="shared" si="11"/>
        <v>26.26829574</v>
      </c>
      <c r="J591" s="433">
        <v>45570.0</v>
      </c>
      <c r="K591" s="296">
        <v>40.0</v>
      </c>
      <c r="L591" s="296" t="s">
        <v>695</v>
      </c>
      <c r="M591" s="296" t="s">
        <v>1232</v>
      </c>
      <c r="N591" s="296">
        <v>1.0</v>
      </c>
      <c r="O591" s="296" t="s">
        <v>716</v>
      </c>
      <c r="P591" s="434" t="s">
        <v>1010</v>
      </c>
      <c r="Q591" s="296" t="s">
        <v>1101</v>
      </c>
      <c r="R591" s="432" t="s">
        <v>91</v>
      </c>
      <c r="S591" s="299"/>
      <c r="T591" s="299"/>
      <c r="X591" s="2">
        <f t="shared" si="17"/>
        <v>0</v>
      </c>
      <c r="AA591" s="301"/>
      <c r="AB591" s="301"/>
      <c r="AC591" s="301"/>
      <c r="AE591" s="301"/>
      <c r="AF591" s="301"/>
      <c r="AG591" s="301"/>
    </row>
    <row r="592">
      <c r="E592" s="2">
        <f t="shared" si="9"/>
        <v>397</v>
      </c>
      <c r="F592" s="2">
        <f t="shared" si="10"/>
        <v>10441.05</v>
      </c>
      <c r="G592" s="2">
        <f t="shared" si="11"/>
        <v>26.29987406</v>
      </c>
      <c r="J592" s="427">
        <v>45572.0</v>
      </c>
      <c r="K592" s="300">
        <v>60.0</v>
      </c>
      <c r="L592" s="300" t="s">
        <v>686</v>
      </c>
      <c r="M592" s="300" t="s">
        <v>1233</v>
      </c>
      <c r="N592" s="300">
        <v>3.0</v>
      </c>
      <c r="O592" s="300" t="s">
        <v>716</v>
      </c>
      <c r="P592" s="428" t="s">
        <v>1222</v>
      </c>
      <c r="Q592" s="300" t="s">
        <v>1026</v>
      </c>
      <c r="R592" s="6" t="s">
        <v>76</v>
      </c>
      <c r="S592" s="301"/>
      <c r="T592" s="301"/>
      <c r="X592" s="2">
        <f t="shared" si="17"/>
        <v>0</v>
      </c>
      <c r="AA592" s="301"/>
      <c r="AB592" s="301"/>
      <c r="AC592" s="301"/>
      <c r="AE592" s="301"/>
      <c r="AF592" s="301"/>
      <c r="AG592" s="301"/>
    </row>
    <row r="593">
      <c r="E593" s="2">
        <f t="shared" si="9"/>
        <v>397</v>
      </c>
      <c r="F593" s="2">
        <f t="shared" si="10"/>
        <v>10381.05</v>
      </c>
      <c r="G593" s="2">
        <f t="shared" si="11"/>
        <v>26.14874055</v>
      </c>
      <c r="J593" s="430">
        <v>45572.0</v>
      </c>
      <c r="K593" s="302">
        <v>1730.0</v>
      </c>
      <c r="L593" s="302" t="s">
        <v>688</v>
      </c>
      <c r="M593" s="302" t="s">
        <v>1209</v>
      </c>
      <c r="N593" s="302">
        <v>3.0</v>
      </c>
      <c r="O593" s="302" t="s">
        <v>716</v>
      </c>
      <c r="P593" s="431" t="s">
        <v>1186</v>
      </c>
      <c r="Q593" s="302" t="s">
        <v>1026</v>
      </c>
      <c r="R593" s="258" t="s">
        <v>76</v>
      </c>
      <c r="S593" s="301"/>
      <c r="T593" s="301"/>
      <c r="X593" s="2">
        <f t="shared" si="17"/>
        <v>0</v>
      </c>
      <c r="AA593" s="301"/>
      <c r="AB593" s="301"/>
      <c r="AC593" s="301"/>
      <c r="AE593" s="301"/>
      <c r="AF593" s="301"/>
      <c r="AG593" s="301"/>
    </row>
    <row r="594">
      <c r="E594" s="2">
        <f t="shared" si="9"/>
        <v>396</v>
      </c>
      <c r="F594" s="2">
        <f t="shared" si="10"/>
        <v>8651.05</v>
      </c>
      <c r="G594" s="2">
        <f t="shared" si="11"/>
        <v>21.84608586</v>
      </c>
      <c r="J594" s="433">
        <v>45573.0</v>
      </c>
      <c r="K594" s="296">
        <v>1222.0</v>
      </c>
      <c r="L594" s="296" t="s">
        <v>688</v>
      </c>
      <c r="M594" s="296" t="s">
        <v>1209</v>
      </c>
      <c r="N594" s="296">
        <v>2.0</v>
      </c>
      <c r="O594" s="296" t="s">
        <v>716</v>
      </c>
      <c r="P594" s="434" t="s">
        <v>1222</v>
      </c>
      <c r="Q594" s="296" t="s">
        <v>1234</v>
      </c>
      <c r="R594" s="414" t="s">
        <v>76</v>
      </c>
      <c r="S594" s="299"/>
      <c r="T594" s="299"/>
      <c r="X594" s="2">
        <f t="shared" si="17"/>
        <v>0</v>
      </c>
      <c r="AA594" s="301"/>
      <c r="AB594" s="301"/>
      <c r="AC594" s="301"/>
      <c r="AE594" s="301"/>
      <c r="AF594" s="301"/>
      <c r="AG594" s="301"/>
    </row>
    <row r="595">
      <c r="E595" s="2">
        <f t="shared" si="9"/>
        <v>395</v>
      </c>
      <c r="F595" s="2">
        <f t="shared" si="10"/>
        <v>7429.05</v>
      </c>
      <c r="G595" s="2">
        <f t="shared" si="11"/>
        <v>18.80772152</v>
      </c>
      <c r="J595" s="425">
        <v>45574.0</v>
      </c>
      <c r="K595" s="332">
        <v>180.0</v>
      </c>
      <c r="L595" s="332" t="s">
        <v>688</v>
      </c>
      <c r="M595" s="332" t="s">
        <v>868</v>
      </c>
      <c r="N595" s="332">
        <v>1.0</v>
      </c>
      <c r="O595" s="332" t="s">
        <v>716</v>
      </c>
      <c r="P595" s="426" t="s">
        <v>1071</v>
      </c>
      <c r="Q595" s="332" t="s">
        <v>1026</v>
      </c>
      <c r="R595" s="256" t="s">
        <v>76</v>
      </c>
      <c r="S595" s="332" t="s">
        <v>380</v>
      </c>
      <c r="T595" s="332" t="s">
        <v>709</v>
      </c>
      <c r="X595" s="2">
        <f t="shared" si="17"/>
        <v>0</v>
      </c>
      <c r="AA595" s="301"/>
      <c r="AB595" s="301"/>
      <c r="AC595" s="301"/>
      <c r="AE595" s="301"/>
      <c r="AF595" s="301"/>
      <c r="AG595" s="301"/>
    </row>
    <row r="596">
      <c r="E596" s="2">
        <f t="shared" si="9"/>
        <v>393</v>
      </c>
      <c r="F596" s="2">
        <f t="shared" si="10"/>
        <v>7249.05</v>
      </c>
      <c r="G596" s="2">
        <f t="shared" si="11"/>
        <v>18.44541985</v>
      </c>
      <c r="J596" s="425">
        <v>45576.0</v>
      </c>
      <c r="K596" s="332">
        <v>50.0</v>
      </c>
      <c r="L596" s="332" t="s">
        <v>698</v>
      </c>
      <c r="M596" s="332" t="s">
        <v>1041</v>
      </c>
      <c r="N596" s="332">
        <v>2.0</v>
      </c>
      <c r="O596" s="332" t="s">
        <v>716</v>
      </c>
      <c r="P596" s="426" t="s">
        <v>1071</v>
      </c>
      <c r="Q596" s="332" t="s">
        <v>1026</v>
      </c>
      <c r="R596" s="332" t="s">
        <v>76</v>
      </c>
      <c r="S596" s="416"/>
      <c r="T596" s="416"/>
      <c r="X596" s="2">
        <f t="shared" si="17"/>
        <v>0</v>
      </c>
      <c r="AA596" s="301"/>
      <c r="AB596" s="301"/>
      <c r="AC596" s="301"/>
      <c r="AE596" s="301"/>
      <c r="AF596" s="301"/>
      <c r="AG596" s="301"/>
    </row>
    <row r="597">
      <c r="E597" s="2">
        <f t="shared" si="9"/>
        <v>393</v>
      </c>
      <c r="F597" s="2">
        <f t="shared" si="10"/>
        <v>7199.05</v>
      </c>
      <c r="G597" s="2">
        <f t="shared" si="11"/>
        <v>18.31819338</v>
      </c>
      <c r="J597" s="427">
        <v>45576.0</v>
      </c>
      <c r="K597" s="300">
        <v>200.0</v>
      </c>
      <c r="L597" s="300" t="s">
        <v>686</v>
      </c>
      <c r="M597" s="300" t="s">
        <v>926</v>
      </c>
      <c r="N597" s="300">
        <v>10.0</v>
      </c>
      <c r="O597" s="300" t="s">
        <v>716</v>
      </c>
      <c r="P597" s="428" t="s">
        <v>1071</v>
      </c>
      <c r="Q597" s="300" t="s">
        <v>1026</v>
      </c>
      <c r="R597" s="300" t="s">
        <v>76</v>
      </c>
      <c r="S597" s="300" t="s">
        <v>386</v>
      </c>
      <c r="T597" s="300" t="s">
        <v>709</v>
      </c>
      <c r="X597" s="2">
        <f t="shared" si="17"/>
        <v>0</v>
      </c>
      <c r="AA597" s="301"/>
      <c r="AB597" s="301"/>
      <c r="AC597" s="301"/>
      <c r="AE597" s="301"/>
      <c r="AF597" s="301"/>
      <c r="AG597" s="301"/>
    </row>
    <row r="598">
      <c r="E598" s="2">
        <f t="shared" si="9"/>
        <v>393</v>
      </c>
      <c r="F598" s="2">
        <f t="shared" si="10"/>
        <v>6999.05</v>
      </c>
      <c r="G598" s="2">
        <f t="shared" si="11"/>
        <v>17.80928753</v>
      </c>
      <c r="J598" s="427">
        <v>45576.0</v>
      </c>
      <c r="K598" s="300">
        <v>290.0</v>
      </c>
      <c r="L598" s="300" t="s">
        <v>688</v>
      </c>
      <c r="M598" s="300" t="s">
        <v>1235</v>
      </c>
      <c r="N598" s="300">
        <v>2.0</v>
      </c>
      <c r="O598" s="300" t="s">
        <v>716</v>
      </c>
      <c r="P598" s="428" t="s">
        <v>1071</v>
      </c>
      <c r="Q598" s="300" t="s">
        <v>1026</v>
      </c>
      <c r="R598" s="300" t="s">
        <v>76</v>
      </c>
      <c r="S598" s="300" t="s">
        <v>380</v>
      </c>
      <c r="T598" s="300" t="s">
        <v>709</v>
      </c>
      <c r="X598" s="2">
        <f t="shared" si="17"/>
        <v>0</v>
      </c>
      <c r="AA598" s="301"/>
      <c r="AB598" s="301"/>
      <c r="AC598" s="301"/>
      <c r="AE598" s="301"/>
      <c r="AF598" s="301"/>
      <c r="AG598" s="301"/>
    </row>
    <row r="599">
      <c r="E599" s="2">
        <f t="shared" si="9"/>
        <v>393</v>
      </c>
      <c r="F599" s="2">
        <f t="shared" si="10"/>
        <v>6709.05</v>
      </c>
      <c r="G599" s="2">
        <f t="shared" si="11"/>
        <v>17.07137405</v>
      </c>
      <c r="J599" s="427">
        <v>45576.0</v>
      </c>
      <c r="K599" s="300">
        <v>380.0</v>
      </c>
      <c r="L599" s="300" t="s">
        <v>686</v>
      </c>
      <c r="M599" s="300" t="s">
        <v>1236</v>
      </c>
      <c r="N599" s="300">
        <v>2.0</v>
      </c>
      <c r="O599" s="300" t="s">
        <v>716</v>
      </c>
      <c r="P599" s="428" t="s">
        <v>1071</v>
      </c>
      <c r="Q599" s="300" t="s">
        <v>1026</v>
      </c>
      <c r="R599" s="300" t="s">
        <v>76</v>
      </c>
      <c r="S599" s="300" t="s">
        <v>380</v>
      </c>
      <c r="T599" s="300" t="s">
        <v>709</v>
      </c>
      <c r="X599" s="2">
        <f t="shared" si="17"/>
        <v>0</v>
      </c>
      <c r="AA599" s="301"/>
      <c r="AB599" s="301"/>
      <c r="AC599" s="301"/>
      <c r="AE599" s="301"/>
      <c r="AF599" s="301"/>
      <c r="AG599" s="301"/>
    </row>
    <row r="600">
      <c r="E600" s="2">
        <f t="shared" si="9"/>
        <v>393</v>
      </c>
      <c r="F600" s="2">
        <f t="shared" si="10"/>
        <v>6329.05</v>
      </c>
      <c r="G600" s="2">
        <f t="shared" si="11"/>
        <v>16.10445293</v>
      </c>
      <c r="J600" s="430">
        <v>45576.0</v>
      </c>
      <c r="K600" s="302">
        <v>45.0</v>
      </c>
      <c r="L600" s="302" t="s">
        <v>686</v>
      </c>
      <c r="M600" s="302" t="s">
        <v>963</v>
      </c>
      <c r="N600" s="302">
        <v>1.0</v>
      </c>
      <c r="O600" s="302" t="s">
        <v>716</v>
      </c>
      <c r="P600" s="431" t="s">
        <v>1071</v>
      </c>
      <c r="Q600" s="302" t="s">
        <v>1026</v>
      </c>
      <c r="R600" s="302" t="s">
        <v>76</v>
      </c>
      <c r="S600" s="302" t="s">
        <v>380</v>
      </c>
      <c r="T600" s="302" t="s">
        <v>709</v>
      </c>
      <c r="X600" s="2">
        <f t="shared" si="17"/>
        <v>0</v>
      </c>
      <c r="AA600" s="301"/>
      <c r="AB600" s="301"/>
      <c r="AC600" s="301"/>
      <c r="AE600" s="301"/>
      <c r="AF600" s="301"/>
      <c r="AG600" s="301"/>
    </row>
    <row r="601">
      <c r="E601" s="2">
        <f t="shared" si="9"/>
        <v>391</v>
      </c>
      <c r="F601" s="2">
        <f t="shared" si="10"/>
        <v>6284.05</v>
      </c>
      <c r="G601" s="2">
        <f t="shared" si="11"/>
        <v>16.07173913</v>
      </c>
      <c r="J601" s="425">
        <v>45578.0</v>
      </c>
      <c r="K601" s="332">
        <v>750.0</v>
      </c>
      <c r="L601" s="332" t="s">
        <v>688</v>
      </c>
      <c r="M601" s="332" t="s">
        <v>1209</v>
      </c>
      <c r="N601" s="332">
        <v>3.0</v>
      </c>
      <c r="O601" s="332" t="s">
        <v>716</v>
      </c>
      <c r="P601" s="426" t="s">
        <v>1186</v>
      </c>
      <c r="Q601" s="332" t="s">
        <v>1026</v>
      </c>
      <c r="R601" s="332" t="s">
        <v>76</v>
      </c>
      <c r="S601" s="416"/>
      <c r="T601" s="416"/>
      <c r="X601" s="2">
        <f t="shared" si="17"/>
        <v>0</v>
      </c>
      <c r="AA601" s="301"/>
      <c r="AB601" s="301"/>
      <c r="AC601" s="301"/>
      <c r="AE601" s="301"/>
      <c r="AF601" s="301"/>
      <c r="AG601" s="301"/>
    </row>
    <row r="602">
      <c r="E602" s="2">
        <f t="shared" si="9"/>
        <v>388</v>
      </c>
      <c r="F602" s="2">
        <f t="shared" si="10"/>
        <v>5534.05</v>
      </c>
      <c r="G602" s="2">
        <f t="shared" si="11"/>
        <v>14.26301546</v>
      </c>
      <c r="J602" s="425">
        <v>45581.0</v>
      </c>
      <c r="K602" s="332">
        <v>900.0</v>
      </c>
      <c r="L602" s="332" t="s">
        <v>688</v>
      </c>
      <c r="M602" s="332" t="s">
        <v>1209</v>
      </c>
      <c r="N602" s="332">
        <v>3.0</v>
      </c>
      <c r="O602" s="332" t="s">
        <v>716</v>
      </c>
      <c r="P602" s="426" t="s">
        <v>1186</v>
      </c>
      <c r="Q602" s="332" t="s">
        <v>1026</v>
      </c>
      <c r="R602" s="332" t="s">
        <v>76</v>
      </c>
      <c r="S602" s="416"/>
      <c r="T602" s="416"/>
      <c r="X602" s="2">
        <f t="shared" si="17"/>
        <v>0</v>
      </c>
      <c r="AA602" s="301"/>
      <c r="AB602" s="301"/>
      <c r="AC602" s="301"/>
      <c r="AE602" s="301"/>
      <c r="AF602" s="301"/>
      <c r="AG602" s="301"/>
    </row>
    <row r="603">
      <c r="E603" s="2">
        <f t="shared" si="9"/>
        <v>388</v>
      </c>
      <c r="F603" s="2">
        <f t="shared" si="10"/>
        <v>4634.05</v>
      </c>
      <c r="G603" s="2">
        <f t="shared" si="11"/>
        <v>11.94342784</v>
      </c>
      <c r="J603" s="430">
        <v>45581.0</v>
      </c>
      <c r="K603" s="302">
        <v>484.05</v>
      </c>
      <c r="L603" s="302" t="s">
        <v>692</v>
      </c>
      <c r="M603" s="302" t="s">
        <v>1237</v>
      </c>
      <c r="N603" s="302">
        <v>1.0</v>
      </c>
      <c r="O603" s="302" t="s">
        <v>716</v>
      </c>
      <c r="P603" s="431" t="s">
        <v>1071</v>
      </c>
      <c r="Q603" s="302" t="s">
        <v>1238</v>
      </c>
      <c r="R603" s="302" t="s">
        <v>76</v>
      </c>
      <c r="S603" s="303"/>
      <c r="T603" s="303"/>
      <c r="X603" s="2">
        <f t="shared" si="17"/>
        <v>0</v>
      </c>
      <c r="AA603" s="301"/>
      <c r="AB603" s="301"/>
      <c r="AC603" s="301"/>
      <c r="AE603" s="301"/>
      <c r="AF603" s="301"/>
      <c r="AG603" s="301"/>
    </row>
    <row r="604">
      <c r="E604" s="2">
        <f t="shared" si="9"/>
        <v>386</v>
      </c>
      <c r="F604" s="2">
        <f t="shared" si="10"/>
        <v>4150</v>
      </c>
      <c r="G604" s="2">
        <f t="shared" si="11"/>
        <v>10.75129534</v>
      </c>
      <c r="J604" s="427">
        <v>45583.0</v>
      </c>
      <c r="K604" s="300">
        <v>2875.0</v>
      </c>
      <c r="L604" s="300" t="s">
        <v>692</v>
      </c>
      <c r="M604" s="300" t="s">
        <v>1239</v>
      </c>
      <c r="N604" s="300">
        <v>27.62</v>
      </c>
      <c r="O604" s="300" t="s">
        <v>747</v>
      </c>
      <c r="P604" s="428" t="s">
        <v>1071</v>
      </c>
      <c r="Q604" s="300" t="s">
        <v>1184</v>
      </c>
      <c r="R604" s="302" t="s">
        <v>76</v>
      </c>
      <c r="S604" s="301"/>
      <c r="T604" s="301"/>
      <c r="X604" s="2">
        <f t="shared" si="17"/>
        <v>0</v>
      </c>
      <c r="AA604" s="301"/>
      <c r="AB604" s="301"/>
      <c r="AC604" s="301"/>
      <c r="AE604" s="301"/>
      <c r="AF604" s="301"/>
      <c r="AG604" s="301"/>
    </row>
    <row r="605">
      <c r="E605" s="2">
        <f t="shared" si="9"/>
        <v>386</v>
      </c>
      <c r="F605" s="2">
        <f t="shared" si="10"/>
        <v>1275</v>
      </c>
      <c r="G605" s="2">
        <f t="shared" si="11"/>
        <v>3.303108808</v>
      </c>
      <c r="J605" s="427">
        <v>45583.0</v>
      </c>
      <c r="K605" s="300">
        <v>950.0</v>
      </c>
      <c r="L605" s="300" t="s">
        <v>688</v>
      </c>
      <c r="M605" s="300" t="s">
        <v>1209</v>
      </c>
      <c r="N605" s="300">
        <v>2.0</v>
      </c>
      <c r="O605" s="300" t="s">
        <v>716</v>
      </c>
      <c r="P605" s="428" t="s">
        <v>1240</v>
      </c>
      <c r="Q605" s="300" t="s">
        <v>1241</v>
      </c>
      <c r="R605" s="300" t="s">
        <v>76</v>
      </c>
      <c r="S605" s="301"/>
      <c r="T605" s="301"/>
      <c r="X605" s="2">
        <f t="shared" si="17"/>
        <v>0</v>
      </c>
      <c r="AA605" s="301"/>
      <c r="AB605" s="301"/>
      <c r="AC605" s="301"/>
      <c r="AE605" s="301"/>
      <c r="AF605" s="301"/>
      <c r="AG605" s="301"/>
    </row>
    <row r="606">
      <c r="E606" s="2">
        <f t="shared" si="9"/>
        <v>386</v>
      </c>
      <c r="F606" s="2">
        <f t="shared" si="10"/>
        <v>325</v>
      </c>
      <c r="G606" s="2">
        <f t="shared" si="11"/>
        <v>0.8419689119</v>
      </c>
      <c r="J606" s="427">
        <v>45583.0</v>
      </c>
      <c r="K606" s="300">
        <v>150.0</v>
      </c>
      <c r="L606" s="300" t="s">
        <v>692</v>
      </c>
      <c r="M606" s="300" t="s">
        <v>1242</v>
      </c>
      <c r="N606" s="300">
        <v>1.0</v>
      </c>
      <c r="O606" s="300" t="s">
        <v>716</v>
      </c>
      <c r="P606" s="428" t="s">
        <v>1071</v>
      </c>
      <c r="Q606" s="300" t="s">
        <v>1241</v>
      </c>
      <c r="R606" s="300" t="s">
        <v>91</v>
      </c>
      <c r="S606" s="301"/>
      <c r="T606" s="301"/>
      <c r="X606" s="2">
        <f t="shared" si="17"/>
        <v>0</v>
      </c>
      <c r="AA606" s="301"/>
      <c r="AB606" s="301"/>
      <c r="AC606" s="301"/>
      <c r="AE606" s="301"/>
      <c r="AF606" s="301"/>
      <c r="AG606" s="301"/>
    </row>
    <row r="607">
      <c r="E607" s="2">
        <f t="shared" si="9"/>
        <v>386</v>
      </c>
      <c r="F607" s="2">
        <f t="shared" si="10"/>
        <v>175</v>
      </c>
      <c r="G607" s="2">
        <f t="shared" si="11"/>
        <v>0.4533678756</v>
      </c>
      <c r="J607" s="430">
        <v>45583.0</v>
      </c>
      <c r="K607" s="302">
        <v>150.0</v>
      </c>
      <c r="L607" s="302" t="s">
        <v>698</v>
      </c>
      <c r="M607" s="302" t="s">
        <v>1243</v>
      </c>
      <c r="N607" s="302">
        <v>1.0</v>
      </c>
      <c r="O607" s="302" t="s">
        <v>716</v>
      </c>
      <c r="P607" s="431" t="s">
        <v>1071</v>
      </c>
      <c r="Q607" s="302" t="s">
        <v>1241</v>
      </c>
      <c r="R607" s="302" t="s">
        <v>91</v>
      </c>
      <c r="S607" s="302" t="s">
        <v>505</v>
      </c>
      <c r="T607" s="302" t="s">
        <v>709</v>
      </c>
      <c r="X607" s="2">
        <f t="shared" si="17"/>
        <v>0</v>
      </c>
      <c r="AA607" s="301"/>
      <c r="AB607" s="301"/>
      <c r="AC607" s="301"/>
      <c r="AE607" s="301"/>
      <c r="AF607" s="301"/>
      <c r="AG607" s="301"/>
    </row>
    <row r="608">
      <c r="E608" s="2">
        <f t="shared" si="9"/>
        <v>385</v>
      </c>
      <c r="F608" s="2">
        <f t="shared" si="10"/>
        <v>25</v>
      </c>
      <c r="G608" s="2">
        <f t="shared" si="11"/>
        <v>0.06493506494</v>
      </c>
      <c r="J608" s="427">
        <v>45584.0</v>
      </c>
      <c r="K608" s="300">
        <v>25.0</v>
      </c>
      <c r="L608" s="300" t="s">
        <v>686</v>
      </c>
      <c r="M608" s="300" t="s">
        <v>752</v>
      </c>
      <c r="N608" s="300">
        <v>1.0</v>
      </c>
      <c r="O608" s="300" t="s">
        <v>716</v>
      </c>
      <c r="P608" s="428" t="s">
        <v>1071</v>
      </c>
      <c r="Q608" s="300" t="s">
        <v>1001</v>
      </c>
      <c r="R608" s="6" t="s">
        <v>76</v>
      </c>
      <c r="S608" s="301"/>
      <c r="T608" s="301"/>
      <c r="X608" s="2">
        <f t="shared" si="17"/>
        <v>0</v>
      </c>
      <c r="AA608" s="301"/>
      <c r="AB608" s="301"/>
      <c r="AC608" s="301"/>
      <c r="AE608" s="301"/>
      <c r="AF608" s="301"/>
      <c r="AG608" s="301"/>
    </row>
    <row r="609">
      <c r="J609" s="301"/>
      <c r="K609" s="301"/>
      <c r="L609" s="301"/>
      <c r="M609" s="301"/>
      <c r="N609" s="301"/>
      <c r="O609" s="300"/>
      <c r="P609" s="429"/>
      <c r="Q609" s="301"/>
      <c r="R609" s="2"/>
      <c r="S609" s="301"/>
      <c r="T609" s="301"/>
      <c r="X609" s="2">
        <f t="shared" si="17"/>
        <v>0</v>
      </c>
      <c r="AA609" s="301"/>
      <c r="AB609" s="301"/>
      <c r="AC609" s="301"/>
      <c r="AE609" s="301"/>
      <c r="AF609" s="301"/>
      <c r="AG609" s="301"/>
    </row>
    <row r="610">
      <c r="J610" s="301"/>
      <c r="K610" s="301"/>
      <c r="L610" s="301"/>
      <c r="M610" s="301"/>
      <c r="N610" s="301"/>
      <c r="O610" s="300"/>
      <c r="P610" s="429"/>
      <c r="Q610" s="301"/>
      <c r="R610" s="2"/>
      <c r="S610" s="301"/>
      <c r="T610" s="301"/>
      <c r="X610" s="2">
        <f t="shared" si="17"/>
        <v>0</v>
      </c>
      <c r="AA610" s="301"/>
      <c r="AB610" s="301"/>
      <c r="AC610" s="301"/>
      <c r="AE610" s="301"/>
      <c r="AF610" s="301"/>
      <c r="AG610" s="301"/>
    </row>
    <row r="611">
      <c r="J611" s="301"/>
      <c r="K611" s="301"/>
      <c r="L611" s="301"/>
      <c r="M611" s="301"/>
      <c r="N611" s="301"/>
      <c r="O611" s="300"/>
      <c r="P611" s="429"/>
      <c r="Q611" s="301"/>
      <c r="R611" s="2"/>
      <c r="S611" s="301"/>
      <c r="T611" s="301"/>
      <c r="X611" s="2">
        <f t="shared" si="17"/>
        <v>0</v>
      </c>
      <c r="AA611" s="301"/>
      <c r="AB611" s="301"/>
      <c r="AC611" s="301"/>
      <c r="AE611" s="301"/>
      <c r="AF611" s="301"/>
      <c r="AG611" s="301"/>
    </row>
    <row r="612">
      <c r="J612" s="301"/>
      <c r="K612" s="301"/>
      <c r="L612" s="301"/>
      <c r="M612" s="301"/>
      <c r="N612" s="301"/>
      <c r="O612" s="300"/>
      <c r="P612" s="429"/>
      <c r="Q612" s="301"/>
      <c r="R612" s="2"/>
      <c r="S612" s="301"/>
      <c r="T612" s="301"/>
      <c r="X612" s="2">
        <f t="shared" si="17"/>
        <v>0</v>
      </c>
      <c r="AA612" s="301"/>
      <c r="AB612" s="301"/>
      <c r="AC612" s="301"/>
      <c r="AE612" s="301"/>
      <c r="AF612" s="301"/>
      <c r="AG612" s="301"/>
    </row>
    <row r="613">
      <c r="J613" s="301"/>
      <c r="K613" s="301"/>
      <c r="L613" s="301"/>
      <c r="M613" s="301"/>
      <c r="N613" s="301"/>
      <c r="O613" s="300"/>
      <c r="P613" s="429"/>
      <c r="Q613" s="301"/>
      <c r="R613" s="2"/>
      <c r="S613" s="301"/>
      <c r="T613" s="301"/>
      <c r="X613" s="2">
        <f t="shared" si="17"/>
        <v>0</v>
      </c>
      <c r="AA613" s="301"/>
      <c r="AB613" s="301"/>
      <c r="AC613" s="301"/>
      <c r="AE613" s="301"/>
      <c r="AF613" s="301"/>
      <c r="AG613" s="301"/>
    </row>
    <row r="614">
      <c r="J614" s="301"/>
      <c r="K614" s="301"/>
      <c r="L614" s="301"/>
      <c r="M614" s="301"/>
      <c r="N614" s="301"/>
      <c r="O614" s="300"/>
      <c r="P614" s="429"/>
      <c r="Q614" s="301"/>
      <c r="R614" s="2"/>
      <c r="S614" s="301"/>
      <c r="T614" s="301"/>
      <c r="X614" s="2">
        <f t="shared" si="17"/>
        <v>0</v>
      </c>
      <c r="AA614" s="301"/>
      <c r="AB614" s="301"/>
      <c r="AC614" s="301"/>
      <c r="AE614" s="301"/>
      <c r="AF614" s="301"/>
      <c r="AG614" s="301"/>
    </row>
    <row r="615">
      <c r="J615" s="301"/>
      <c r="K615" s="301"/>
      <c r="L615" s="301"/>
      <c r="M615" s="301"/>
      <c r="N615" s="301"/>
      <c r="O615" s="300"/>
      <c r="P615" s="429"/>
      <c r="Q615" s="301"/>
      <c r="R615" s="2"/>
      <c r="S615" s="301"/>
      <c r="T615" s="301"/>
      <c r="X615" s="2">
        <f t="shared" si="17"/>
        <v>0</v>
      </c>
      <c r="AA615" s="301"/>
      <c r="AB615" s="301"/>
      <c r="AC615" s="301"/>
      <c r="AE615" s="301"/>
      <c r="AF615" s="301"/>
      <c r="AG615" s="301"/>
    </row>
    <row r="616">
      <c r="J616" s="301"/>
      <c r="K616" s="301"/>
      <c r="L616" s="301"/>
      <c r="M616" s="301"/>
      <c r="N616" s="301"/>
      <c r="O616" s="300"/>
      <c r="P616" s="429"/>
      <c r="Q616" s="301"/>
      <c r="R616" s="2"/>
      <c r="S616" s="301"/>
      <c r="T616" s="301"/>
      <c r="X616" s="2">
        <f t="shared" si="17"/>
        <v>0</v>
      </c>
      <c r="AA616" s="301"/>
      <c r="AB616" s="301"/>
      <c r="AC616" s="301"/>
      <c r="AE616" s="301"/>
      <c r="AF616" s="301"/>
      <c r="AG616" s="301"/>
    </row>
    <row r="617">
      <c r="J617" s="301"/>
      <c r="K617" s="301"/>
      <c r="L617" s="301"/>
      <c r="M617" s="301"/>
      <c r="N617" s="301"/>
      <c r="O617" s="300"/>
      <c r="P617" s="429"/>
      <c r="Q617" s="301"/>
      <c r="R617" s="2"/>
      <c r="S617" s="301"/>
      <c r="T617" s="301"/>
      <c r="X617" s="2">
        <f t="shared" si="17"/>
        <v>0</v>
      </c>
      <c r="AA617" s="301"/>
      <c r="AB617" s="301"/>
      <c r="AC617" s="301"/>
      <c r="AE617" s="301"/>
      <c r="AF617" s="301"/>
      <c r="AG617" s="301"/>
    </row>
    <row r="618">
      <c r="J618" s="301"/>
      <c r="K618" s="301"/>
      <c r="L618" s="301"/>
      <c r="M618" s="301"/>
      <c r="N618" s="301"/>
      <c r="O618" s="300"/>
      <c r="P618" s="429"/>
      <c r="Q618" s="301"/>
      <c r="R618" s="2"/>
      <c r="S618" s="301"/>
      <c r="T618" s="301"/>
      <c r="X618" s="2">
        <f t="shared" si="17"/>
        <v>0</v>
      </c>
      <c r="AA618" s="301"/>
      <c r="AB618" s="301"/>
      <c r="AC618" s="301"/>
      <c r="AE618" s="301"/>
      <c r="AF618" s="301"/>
      <c r="AG618" s="301"/>
    </row>
    <row r="619">
      <c r="J619" s="301"/>
      <c r="K619" s="301"/>
      <c r="L619" s="301"/>
      <c r="M619" s="301"/>
      <c r="N619" s="301"/>
      <c r="O619" s="300"/>
      <c r="P619" s="429"/>
      <c r="Q619" s="301"/>
      <c r="R619" s="2"/>
      <c r="S619" s="301"/>
      <c r="T619" s="301"/>
      <c r="X619" s="2">
        <f t="shared" si="17"/>
        <v>0</v>
      </c>
      <c r="AA619" s="301"/>
      <c r="AB619" s="301"/>
      <c r="AC619" s="301"/>
      <c r="AE619" s="301"/>
      <c r="AF619" s="301"/>
      <c r="AG619" s="301"/>
    </row>
    <row r="620">
      <c r="J620" s="301"/>
      <c r="K620" s="301"/>
      <c r="L620" s="301"/>
      <c r="M620" s="301"/>
      <c r="N620" s="301"/>
      <c r="O620" s="300"/>
      <c r="P620" s="429"/>
      <c r="Q620" s="301"/>
      <c r="R620" s="2"/>
      <c r="S620" s="301"/>
      <c r="T620" s="301"/>
      <c r="X620" s="2">
        <f t="shared" si="17"/>
        <v>0</v>
      </c>
      <c r="AA620" s="301"/>
      <c r="AB620" s="301"/>
      <c r="AC620" s="301"/>
      <c r="AE620" s="301"/>
      <c r="AF620" s="301"/>
      <c r="AG620" s="301"/>
    </row>
    <row r="621">
      <c r="J621" s="301"/>
      <c r="K621" s="301"/>
      <c r="L621" s="301"/>
      <c r="M621" s="301"/>
      <c r="N621" s="301"/>
      <c r="O621" s="300"/>
      <c r="P621" s="429"/>
      <c r="Q621" s="301"/>
      <c r="R621" s="2"/>
      <c r="S621" s="301"/>
      <c r="T621" s="301"/>
      <c r="X621" s="2">
        <f t="shared" si="17"/>
        <v>0</v>
      </c>
      <c r="AA621" s="301"/>
      <c r="AB621" s="301"/>
      <c r="AC621" s="301"/>
      <c r="AE621" s="301"/>
      <c r="AF621" s="301"/>
      <c r="AG621" s="301"/>
    </row>
    <row r="622">
      <c r="J622" s="301"/>
      <c r="K622" s="301"/>
      <c r="L622" s="301"/>
      <c r="M622" s="301"/>
      <c r="N622" s="301"/>
      <c r="O622" s="300"/>
      <c r="P622" s="429"/>
      <c r="Q622" s="301"/>
      <c r="R622" s="2"/>
      <c r="S622" s="301"/>
      <c r="T622" s="301"/>
      <c r="X622" s="2">
        <f t="shared" si="17"/>
        <v>0</v>
      </c>
      <c r="AA622" s="301"/>
      <c r="AB622" s="301"/>
      <c r="AC622" s="301"/>
      <c r="AE622" s="301"/>
      <c r="AF622" s="301"/>
      <c r="AG622" s="301"/>
    </row>
    <row r="623">
      <c r="J623" s="301"/>
      <c r="K623" s="301"/>
      <c r="L623" s="301"/>
      <c r="M623" s="301"/>
      <c r="N623" s="301"/>
      <c r="O623" s="300"/>
      <c r="P623" s="429"/>
      <c r="Q623" s="301"/>
      <c r="R623" s="2"/>
      <c r="S623" s="301"/>
      <c r="T623" s="301"/>
      <c r="X623" s="2">
        <f t="shared" si="17"/>
        <v>0</v>
      </c>
      <c r="AA623" s="301"/>
      <c r="AB623" s="301"/>
      <c r="AC623" s="301"/>
      <c r="AE623" s="301"/>
      <c r="AF623" s="301"/>
      <c r="AG623" s="301"/>
    </row>
    <row r="624">
      <c r="J624" s="301"/>
      <c r="K624" s="301"/>
      <c r="L624" s="301"/>
      <c r="M624" s="301"/>
      <c r="N624" s="301"/>
      <c r="O624" s="300"/>
      <c r="P624" s="429"/>
      <c r="Q624" s="301"/>
      <c r="R624" s="2"/>
      <c r="S624" s="301"/>
      <c r="T624" s="301"/>
      <c r="X624" s="2">
        <f t="shared" si="17"/>
        <v>0</v>
      </c>
      <c r="AA624" s="301"/>
      <c r="AB624" s="301"/>
      <c r="AC624" s="301"/>
      <c r="AE624" s="301"/>
      <c r="AF624" s="301"/>
      <c r="AG624" s="301"/>
    </row>
    <row r="625">
      <c r="J625" s="301"/>
      <c r="K625" s="301"/>
      <c r="L625" s="301"/>
      <c r="M625" s="301"/>
      <c r="N625" s="301"/>
      <c r="O625" s="300"/>
      <c r="P625" s="429"/>
      <c r="Q625" s="301"/>
      <c r="R625" s="2"/>
      <c r="S625" s="301"/>
      <c r="T625" s="301"/>
      <c r="X625" s="2">
        <f t="shared" si="17"/>
        <v>0</v>
      </c>
      <c r="AA625" s="301"/>
      <c r="AB625" s="301"/>
      <c r="AC625" s="301"/>
      <c r="AE625" s="301"/>
      <c r="AF625" s="301"/>
      <c r="AG625" s="301"/>
    </row>
    <row r="626">
      <c r="J626" s="301"/>
      <c r="K626" s="301"/>
      <c r="L626" s="301"/>
      <c r="M626" s="301"/>
      <c r="N626" s="301"/>
      <c r="O626" s="300"/>
      <c r="P626" s="429"/>
      <c r="Q626" s="301"/>
      <c r="R626" s="2"/>
      <c r="S626" s="301"/>
      <c r="T626" s="301"/>
      <c r="X626" s="2">
        <f t="shared" si="17"/>
        <v>0</v>
      </c>
      <c r="AA626" s="301"/>
      <c r="AB626" s="301"/>
      <c r="AC626" s="301"/>
      <c r="AE626" s="301"/>
      <c r="AF626" s="301"/>
      <c r="AG626" s="301"/>
    </row>
    <row r="627">
      <c r="J627" s="301"/>
      <c r="K627" s="301"/>
      <c r="L627" s="301"/>
      <c r="M627" s="301"/>
      <c r="N627" s="301"/>
      <c r="O627" s="300"/>
      <c r="P627" s="429"/>
      <c r="Q627" s="301"/>
      <c r="R627" s="2"/>
      <c r="S627" s="301"/>
      <c r="T627" s="301"/>
      <c r="X627" s="2">
        <f t="shared" si="17"/>
        <v>0</v>
      </c>
      <c r="AA627" s="301"/>
      <c r="AB627" s="301"/>
      <c r="AC627" s="301"/>
      <c r="AE627" s="301"/>
      <c r="AF627" s="301"/>
      <c r="AG627" s="301"/>
    </row>
    <row r="628">
      <c r="J628" s="301"/>
      <c r="K628" s="301"/>
      <c r="L628" s="301"/>
      <c r="M628" s="301"/>
      <c r="N628" s="301"/>
      <c r="O628" s="300"/>
      <c r="P628" s="429"/>
      <c r="Q628" s="301"/>
      <c r="R628" s="2"/>
      <c r="S628" s="301"/>
      <c r="T628" s="301"/>
      <c r="X628" s="2">
        <f t="shared" si="17"/>
        <v>0</v>
      </c>
      <c r="AA628" s="301"/>
      <c r="AB628" s="301"/>
      <c r="AC628" s="301"/>
      <c r="AE628" s="301"/>
      <c r="AF628" s="301"/>
      <c r="AG628" s="301"/>
    </row>
    <row r="629">
      <c r="J629" s="301"/>
      <c r="K629" s="301"/>
      <c r="L629" s="301"/>
      <c r="M629" s="301"/>
      <c r="N629" s="301"/>
      <c r="O629" s="300"/>
      <c r="P629" s="429"/>
      <c r="Q629" s="301"/>
      <c r="R629" s="2"/>
      <c r="S629" s="301"/>
      <c r="T629" s="301"/>
      <c r="X629" s="2">
        <f t="shared" si="17"/>
        <v>0</v>
      </c>
      <c r="AA629" s="301"/>
      <c r="AB629" s="301"/>
      <c r="AC629" s="301"/>
      <c r="AE629" s="301"/>
      <c r="AF629" s="301"/>
      <c r="AG629" s="301"/>
    </row>
    <row r="630">
      <c r="J630" s="301"/>
      <c r="K630" s="301"/>
      <c r="L630" s="301"/>
      <c r="M630" s="301"/>
      <c r="N630" s="301"/>
      <c r="O630" s="300"/>
      <c r="P630" s="429"/>
      <c r="Q630" s="301"/>
      <c r="R630" s="2"/>
      <c r="S630" s="301"/>
      <c r="T630" s="301"/>
      <c r="X630" s="2">
        <f t="shared" si="17"/>
        <v>0</v>
      </c>
      <c r="AA630" s="301"/>
      <c r="AB630" s="301"/>
      <c r="AC630" s="301"/>
      <c r="AE630" s="301"/>
      <c r="AF630" s="301"/>
      <c r="AG630" s="301"/>
    </row>
    <row r="631">
      <c r="J631" s="301"/>
      <c r="K631" s="301"/>
      <c r="L631" s="301"/>
      <c r="M631" s="301"/>
      <c r="N631" s="301"/>
      <c r="O631" s="300"/>
      <c r="P631" s="429"/>
      <c r="Q631" s="301"/>
      <c r="R631" s="2"/>
      <c r="S631" s="301"/>
      <c r="T631" s="301"/>
      <c r="X631" s="2">
        <f t="shared" si="17"/>
        <v>0</v>
      </c>
      <c r="AA631" s="301"/>
      <c r="AB631" s="301"/>
      <c r="AC631" s="301"/>
      <c r="AE631" s="301"/>
      <c r="AF631" s="301"/>
      <c r="AG631" s="301"/>
    </row>
    <row r="632">
      <c r="J632" s="301"/>
      <c r="K632" s="301"/>
      <c r="L632" s="301"/>
      <c r="M632" s="301"/>
      <c r="N632" s="301"/>
      <c r="O632" s="300"/>
      <c r="P632" s="429"/>
      <c r="Q632" s="301"/>
      <c r="R632" s="2"/>
      <c r="S632" s="301"/>
      <c r="T632" s="301"/>
      <c r="X632" s="2">
        <f t="shared" si="17"/>
        <v>0</v>
      </c>
      <c r="AA632" s="301"/>
      <c r="AB632" s="301"/>
      <c r="AC632" s="301"/>
      <c r="AE632" s="301"/>
      <c r="AF632" s="301"/>
      <c r="AG632" s="301"/>
    </row>
    <row r="633">
      <c r="J633" s="301"/>
      <c r="K633" s="301"/>
      <c r="L633" s="301"/>
      <c r="M633" s="301"/>
      <c r="N633" s="301"/>
      <c r="O633" s="300"/>
      <c r="P633" s="429"/>
      <c r="Q633" s="301"/>
      <c r="R633" s="2"/>
      <c r="S633" s="301"/>
      <c r="T633" s="301"/>
      <c r="X633" s="2">
        <f t="shared" si="17"/>
        <v>0</v>
      </c>
      <c r="AA633" s="301"/>
      <c r="AB633" s="301"/>
      <c r="AC633" s="301"/>
      <c r="AE633" s="301"/>
      <c r="AF633" s="301"/>
      <c r="AG633" s="301"/>
    </row>
    <row r="634">
      <c r="J634" s="301"/>
      <c r="K634" s="301"/>
      <c r="L634" s="301"/>
      <c r="M634" s="301"/>
      <c r="N634" s="301"/>
      <c r="O634" s="300"/>
      <c r="P634" s="429"/>
      <c r="Q634" s="301"/>
      <c r="R634" s="2"/>
      <c r="S634" s="301"/>
      <c r="T634" s="301"/>
      <c r="X634" s="2">
        <f t="shared" si="17"/>
        <v>0</v>
      </c>
      <c r="AA634" s="301"/>
      <c r="AB634" s="301"/>
      <c r="AC634" s="301"/>
      <c r="AE634" s="301"/>
      <c r="AF634" s="301"/>
      <c r="AG634" s="301"/>
    </row>
    <row r="635">
      <c r="J635" s="301"/>
      <c r="K635" s="301"/>
      <c r="L635" s="301"/>
      <c r="M635" s="301"/>
      <c r="N635" s="301"/>
      <c r="O635" s="300"/>
      <c r="P635" s="429"/>
      <c r="Q635" s="301"/>
      <c r="R635" s="2"/>
      <c r="S635" s="301"/>
      <c r="T635" s="301"/>
      <c r="X635" s="2">
        <f t="shared" si="17"/>
        <v>0</v>
      </c>
      <c r="AA635" s="301"/>
      <c r="AB635" s="301"/>
      <c r="AC635" s="301"/>
      <c r="AE635" s="301"/>
      <c r="AF635" s="301"/>
      <c r="AG635" s="301"/>
    </row>
    <row r="636">
      <c r="J636" s="301"/>
      <c r="K636" s="301"/>
      <c r="L636" s="301"/>
      <c r="M636" s="301"/>
      <c r="N636" s="301"/>
      <c r="O636" s="300"/>
      <c r="P636" s="429"/>
      <c r="Q636" s="301"/>
      <c r="R636" s="2"/>
      <c r="S636" s="301"/>
      <c r="T636" s="301"/>
      <c r="X636" s="2">
        <f t="shared" si="17"/>
        <v>0</v>
      </c>
      <c r="AA636" s="301"/>
      <c r="AB636" s="301"/>
      <c r="AC636" s="301"/>
      <c r="AE636" s="301"/>
      <c r="AF636" s="301"/>
      <c r="AG636" s="301"/>
    </row>
    <row r="637">
      <c r="J637" s="301"/>
      <c r="K637" s="301"/>
      <c r="L637" s="301"/>
      <c r="M637" s="301"/>
      <c r="N637" s="301"/>
      <c r="O637" s="300"/>
      <c r="P637" s="429"/>
      <c r="Q637" s="301"/>
      <c r="R637" s="2"/>
      <c r="S637" s="301"/>
      <c r="T637" s="301"/>
      <c r="X637" s="2">
        <f t="shared" si="17"/>
        <v>0</v>
      </c>
      <c r="AA637" s="301"/>
      <c r="AB637" s="301"/>
      <c r="AC637" s="301"/>
      <c r="AE637" s="301"/>
      <c r="AF637" s="301"/>
      <c r="AG637" s="301"/>
    </row>
    <row r="638">
      <c r="J638" s="301"/>
      <c r="K638" s="301"/>
      <c r="L638" s="301"/>
      <c r="M638" s="301"/>
      <c r="N638" s="301"/>
      <c r="O638" s="300"/>
      <c r="P638" s="429"/>
      <c r="Q638" s="301"/>
      <c r="R638" s="2"/>
      <c r="S638" s="301"/>
      <c r="T638" s="301"/>
      <c r="X638" s="2">
        <f t="shared" si="17"/>
        <v>0</v>
      </c>
      <c r="AA638" s="301"/>
      <c r="AB638" s="301"/>
      <c r="AC638" s="301"/>
      <c r="AE638" s="301"/>
      <c r="AF638" s="301"/>
      <c r="AG638" s="301"/>
    </row>
    <row r="639">
      <c r="J639" s="301"/>
      <c r="K639" s="301"/>
      <c r="L639" s="301"/>
      <c r="M639" s="301"/>
      <c r="N639" s="301"/>
      <c r="O639" s="300"/>
      <c r="P639" s="429"/>
      <c r="Q639" s="301"/>
      <c r="R639" s="2"/>
      <c r="S639" s="301"/>
      <c r="T639" s="301"/>
      <c r="X639" s="2">
        <f t="shared" si="17"/>
        <v>0</v>
      </c>
      <c r="AA639" s="301"/>
      <c r="AB639" s="301"/>
      <c r="AC639" s="301"/>
      <c r="AE639" s="301"/>
      <c r="AF639" s="301"/>
      <c r="AG639" s="301"/>
    </row>
    <row r="640">
      <c r="J640" s="301"/>
      <c r="K640" s="301"/>
      <c r="L640" s="301"/>
      <c r="M640" s="301"/>
      <c r="N640" s="301"/>
      <c r="O640" s="300"/>
      <c r="P640" s="429"/>
      <c r="Q640" s="301"/>
      <c r="R640" s="2"/>
      <c r="S640" s="301"/>
      <c r="T640" s="301"/>
      <c r="X640" s="2">
        <f t="shared" si="17"/>
        <v>0</v>
      </c>
      <c r="AA640" s="301"/>
      <c r="AB640" s="301"/>
      <c r="AC640" s="301"/>
      <c r="AE640" s="301"/>
      <c r="AF640" s="301"/>
      <c r="AG640" s="301"/>
    </row>
    <row r="641">
      <c r="J641" s="301"/>
      <c r="K641" s="301"/>
      <c r="L641" s="301"/>
      <c r="M641" s="301"/>
      <c r="N641" s="301"/>
      <c r="O641" s="300"/>
      <c r="P641" s="429"/>
      <c r="Q641" s="301"/>
      <c r="R641" s="2"/>
      <c r="S641" s="301"/>
      <c r="T641" s="301"/>
      <c r="X641" s="2">
        <f t="shared" si="17"/>
        <v>0</v>
      </c>
      <c r="AA641" s="301"/>
      <c r="AB641" s="301"/>
      <c r="AC641" s="301"/>
      <c r="AE641" s="301"/>
      <c r="AF641" s="301"/>
      <c r="AG641" s="301"/>
    </row>
    <row r="642">
      <c r="J642" s="301"/>
      <c r="K642" s="301"/>
      <c r="L642" s="301"/>
      <c r="M642" s="301"/>
      <c r="N642" s="301"/>
      <c r="O642" s="300"/>
      <c r="P642" s="429"/>
      <c r="Q642" s="301"/>
      <c r="R642" s="2"/>
      <c r="S642" s="301"/>
      <c r="T642" s="301"/>
      <c r="X642" s="2">
        <f t="shared" si="17"/>
        <v>0</v>
      </c>
      <c r="AA642" s="301"/>
      <c r="AB642" s="301"/>
      <c r="AC642" s="301"/>
      <c r="AE642" s="301"/>
      <c r="AF642" s="301"/>
      <c r="AG642" s="301"/>
    </row>
    <row r="643">
      <c r="J643" s="301"/>
      <c r="K643" s="301"/>
      <c r="L643" s="301"/>
      <c r="M643" s="301"/>
      <c r="N643" s="301"/>
      <c r="O643" s="300"/>
      <c r="P643" s="429"/>
      <c r="Q643" s="301"/>
      <c r="R643" s="2"/>
      <c r="S643" s="301"/>
      <c r="T643" s="301"/>
      <c r="X643" s="2">
        <f t="shared" si="17"/>
        <v>0</v>
      </c>
      <c r="AA643" s="301"/>
      <c r="AB643" s="301"/>
      <c r="AC643" s="301"/>
      <c r="AE643" s="301"/>
      <c r="AF643" s="301"/>
      <c r="AG643" s="301"/>
    </row>
    <row r="644">
      <c r="J644" s="301"/>
      <c r="K644" s="301"/>
      <c r="L644" s="301"/>
      <c r="M644" s="301"/>
      <c r="N644" s="301"/>
      <c r="O644" s="300"/>
      <c r="P644" s="429"/>
      <c r="Q644" s="301"/>
      <c r="R644" s="2"/>
      <c r="S644" s="301"/>
      <c r="T644" s="301"/>
      <c r="X644" s="2">
        <f t="shared" si="17"/>
        <v>0</v>
      </c>
      <c r="AA644" s="301"/>
      <c r="AB644" s="301"/>
      <c r="AC644" s="301"/>
      <c r="AE644" s="301"/>
      <c r="AF644" s="301"/>
      <c r="AG644" s="301"/>
    </row>
    <row r="645">
      <c r="J645" s="301"/>
      <c r="K645" s="301"/>
      <c r="L645" s="301"/>
      <c r="M645" s="301"/>
      <c r="N645" s="301"/>
      <c r="O645" s="300"/>
      <c r="P645" s="429"/>
      <c r="Q645" s="301"/>
      <c r="R645" s="2"/>
      <c r="S645" s="301"/>
      <c r="T645" s="301"/>
      <c r="X645" s="2">
        <f t="shared" si="17"/>
        <v>0</v>
      </c>
      <c r="AA645" s="301"/>
      <c r="AB645" s="301"/>
      <c r="AC645" s="301"/>
      <c r="AE645" s="301"/>
      <c r="AF645" s="301"/>
      <c r="AG645" s="301"/>
    </row>
    <row r="646">
      <c r="J646" s="301"/>
      <c r="K646" s="301"/>
      <c r="L646" s="301"/>
      <c r="M646" s="301"/>
      <c r="N646" s="301"/>
      <c r="O646" s="300"/>
      <c r="P646" s="429"/>
      <c r="Q646" s="301"/>
      <c r="R646" s="2"/>
      <c r="S646" s="301"/>
      <c r="T646" s="301"/>
      <c r="X646" s="2">
        <f t="shared" si="17"/>
        <v>0</v>
      </c>
      <c r="AA646" s="301"/>
      <c r="AB646" s="301"/>
      <c r="AC646" s="301"/>
      <c r="AE646" s="301"/>
      <c r="AF646" s="301"/>
      <c r="AG646" s="301"/>
    </row>
    <row r="647">
      <c r="J647" s="301"/>
      <c r="K647" s="301"/>
      <c r="L647" s="301"/>
      <c r="M647" s="301"/>
      <c r="N647" s="301"/>
      <c r="O647" s="300"/>
      <c r="P647" s="429"/>
      <c r="Q647" s="301"/>
      <c r="R647" s="2"/>
      <c r="S647" s="301"/>
      <c r="T647" s="301"/>
      <c r="X647" s="2">
        <f t="shared" si="17"/>
        <v>0</v>
      </c>
      <c r="AA647" s="301"/>
      <c r="AB647" s="301"/>
      <c r="AC647" s="301"/>
      <c r="AE647" s="301"/>
      <c r="AF647" s="301"/>
      <c r="AG647" s="301"/>
    </row>
    <row r="648">
      <c r="J648" s="301"/>
      <c r="K648" s="301"/>
      <c r="L648" s="301"/>
      <c r="M648" s="301"/>
      <c r="N648" s="301"/>
      <c r="O648" s="300"/>
      <c r="P648" s="429"/>
      <c r="Q648" s="301"/>
      <c r="R648" s="2"/>
      <c r="S648" s="301"/>
      <c r="T648" s="301"/>
      <c r="X648" s="2">
        <f t="shared" si="17"/>
        <v>0</v>
      </c>
      <c r="AA648" s="301"/>
      <c r="AB648" s="301"/>
      <c r="AC648" s="301"/>
      <c r="AE648" s="301"/>
      <c r="AF648" s="301"/>
      <c r="AG648" s="301"/>
    </row>
    <row r="649">
      <c r="J649" s="301"/>
      <c r="K649" s="301"/>
      <c r="L649" s="301"/>
      <c r="M649" s="301"/>
      <c r="N649" s="301"/>
      <c r="O649" s="300"/>
      <c r="P649" s="429"/>
      <c r="Q649" s="301"/>
      <c r="R649" s="2"/>
      <c r="S649" s="301"/>
      <c r="T649" s="301"/>
      <c r="X649" s="2">
        <f t="shared" si="17"/>
        <v>0</v>
      </c>
      <c r="AA649" s="301"/>
      <c r="AB649" s="301"/>
      <c r="AC649" s="301"/>
      <c r="AE649" s="301"/>
      <c r="AF649" s="301"/>
      <c r="AG649" s="301"/>
    </row>
    <row r="650">
      <c r="J650" s="301"/>
      <c r="K650" s="301"/>
      <c r="L650" s="301"/>
      <c r="M650" s="301"/>
      <c r="N650" s="301"/>
      <c r="O650" s="300"/>
      <c r="P650" s="429"/>
      <c r="Q650" s="301"/>
      <c r="R650" s="2"/>
      <c r="S650" s="301"/>
      <c r="T650" s="301"/>
      <c r="X650" s="2">
        <f t="shared" si="17"/>
        <v>0</v>
      </c>
      <c r="AA650" s="301"/>
      <c r="AB650" s="301"/>
      <c r="AC650" s="301"/>
      <c r="AE650" s="301"/>
      <c r="AF650" s="301"/>
      <c r="AG650" s="301"/>
    </row>
    <row r="651">
      <c r="J651" s="301"/>
      <c r="K651" s="301"/>
      <c r="L651" s="301"/>
      <c r="M651" s="301"/>
      <c r="N651" s="301"/>
      <c r="O651" s="300"/>
      <c r="P651" s="429"/>
      <c r="Q651" s="301"/>
      <c r="R651" s="2"/>
      <c r="S651" s="301"/>
      <c r="T651" s="301"/>
      <c r="X651" s="2">
        <f t="shared" si="17"/>
        <v>0</v>
      </c>
      <c r="AA651" s="301"/>
      <c r="AB651" s="301"/>
      <c r="AC651" s="301"/>
      <c r="AE651" s="301"/>
      <c r="AF651" s="301"/>
      <c r="AG651" s="301"/>
    </row>
    <row r="652">
      <c r="J652" s="301"/>
      <c r="K652" s="301"/>
      <c r="L652" s="301"/>
      <c r="M652" s="301"/>
      <c r="N652" s="301"/>
      <c r="O652" s="300"/>
      <c r="P652" s="429"/>
      <c r="Q652" s="301"/>
      <c r="R652" s="2"/>
      <c r="S652" s="301"/>
      <c r="T652" s="301"/>
      <c r="X652" s="2">
        <f t="shared" si="17"/>
        <v>0</v>
      </c>
      <c r="AA652" s="301"/>
      <c r="AB652" s="301"/>
      <c r="AC652" s="301"/>
      <c r="AE652" s="301"/>
      <c r="AF652" s="301"/>
      <c r="AG652" s="301"/>
    </row>
    <row r="653">
      <c r="J653" s="301"/>
      <c r="K653" s="301"/>
      <c r="L653" s="301"/>
      <c r="M653" s="301"/>
      <c r="N653" s="301"/>
      <c r="O653" s="300"/>
      <c r="P653" s="429"/>
      <c r="Q653" s="301"/>
      <c r="R653" s="2"/>
      <c r="S653" s="301"/>
      <c r="T653" s="301"/>
      <c r="X653" s="2">
        <f t="shared" si="17"/>
        <v>0</v>
      </c>
      <c r="AA653" s="301"/>
      <c r="AB653" s="301"/>
      <c r="AC653" s="301"/>
      <c r="AE653" s="301"/>
      <c r="AF653" s="301"/>
      <c r="AG653" s="301"/>
    </row>
    <row r="654">
      <c r="J654" s="301"/>
      <c r="K654" s="301"/>
      <c r="L654" s="301"/>
      <c r="M654" s="301"/>
      <c r="N654" s="301"/>
      <c r="O654" s="300"/>
      <c r="P654" s="429"/>
      <c r="Q654" s="301"/>
      <c r="R654" s="2"/>
      <c r="S654" s="301"/>
      <c r="T654" s="301"/>
      <c r="X654" s="2">
        <f t="shared" si="17"/>
        <v>0</v>
      </c>
      <c r="AA654" s="301"/>
      <c r="AB654" s="301"/>
      <c r="AC654" s="301"/>
      <c r="AE654" s="301"/>
      <c r="AF654" s="301"/>
      <c r="AG654" s="301"/>
    </row>
    <row r="655">
      <c r="J655" s="301"/>
      <c r="K655" s="301"/>
      <c r="L655" s="301"/>
      <c r="M655" s="301"/>
      <c r="N655" s="301"/>
      <c r="O655" s="300"/>
      <c r="P655" s="429"/>
      <c r="Q655" s="301"/>
      <c r="R655" s="2"/>
      <c r="S655" s="301"/>
      <c r="T655" s="301"/>
      <c r="X655" s="2">
        <f t="shared" si="17"/>
        <v>0</v>
      </c>
      <c r="AA655" s="301"/>
      <c r="AB655" s="301"/>
      <c r="AC655" s="301"/>
      <c r="AE655" s="301"/>
      <c r="AF655" s="301"/>
      <c r="AG655" s="301"/>
    </row>
    <row r="656">
      <c r="J656" s="301"/>
      <c r="K656" s="301"/>
      <c r="L656" s="301"/>
      <c r="M656" s="301"/>
      <c r="N656" s="301"/>
      <c r="O656" s="300"/>
      <c r="P656" s="429"/>
      <c r="Q656" s="301"/>
      <c r="R656" s="2"/>
      <c r="S656" s="301"/>
      <c r="T656" s="301"/>
      <c r="X656" s="2">
        <f t="shared" si="17"/>
        <v>0</v>
      </c>
      <c r="AA656" s="301"/>
      <c r="AB656" s="301"/>
      <c r="AC656" s="301"/>
      <c r="AE656" s="301"/>
      <c r="AF656" s="301"/>
      <c r="AG656" s="301"/>
    </row>
    <row r="657">
      <c r="J657" s="301"/>
      <c r="K657" s="301"/>
      <c r="L657" s="301"/>
      <c r="M657" s="301"/>
      <c r="N657" s="301"/>
      <c r="O657" s="300"/>
      <c r="P657" s="429"/>
      <c r="Q657" s="301"/>
      <c r="R657" s="2"/>
      <c r="S657" s="301"/>
      <c r="T657" s="301"/>
      <c r="X657" s="2">
        <f t="shared" si="17"/>
        <v>0</v>
      </c>
      <c r="AA657" s="301"/>
      <c r="AB657" s="301"/>
      <c r="AC657" s="301"/>
      <c r="AE657" s="301"/>
      <c r="AF657" s="301"/>
      <c r="AG657" s="301"/>
    </row>
    <row r="658">
      <c r="J658" s="301"/>
      <c r="K658" s="301"/>
      <c r="L658" s="301"/>
      <c r="M658" s="301"/>
      <c r="N658" s="301"/>
      <c r="O658" s="300"/>
      <c r="P658" s="429"/>
      <c r="Q658" s="301"/>
      <c r="R658" s="2"/>
      <c r="S658" s="301"/>
      <c r="T658" s="301"/>
      <c r="X658" s="2">
        <f t="shared" si="17"/>
        <v>0</v>
      </c>
      <c r="AA658" s="301"/>
      <c r="AB658" s="301"/>
      <c r="AC658" s="301"/>
      <c r="AE658" s="301"/>
      <c r="AF658" s="301"/>
      <c r="AG658" s="301"/>
    </row>
    <row r="659">
      <c r="J659" s="301"/>
      <c r="K659" s="301"/>
      <c r="L659" s="301"/>
      <c r="M659" s="301"/>
      <c r="N659" s="301"/>
      <c r="O659" s="300"/>
      <c r="P659" s="429"/>
      <c r="Q659" s="301"/>
      <c r="R659" s="2"/>
      <c r="S659" s="301"/>
      <c r="T659" s="301"/>
      <c r="X659" s="2">
        <f t="shared" si="17"/>
        <v>0</v>
      </c>
      <c r="AA659" s="301"/>
      <c r="AB659" s="301"/>
      <c r="AC659" s="301"/>
      <c r="AE659" s="301"/>
      <c r="AF659" s="301"/>
      <c r="AG659" s="301"/>
    </row>
    <row r="660">
      <c r="J660" s="301"/>
      <c r="K660" s="301"/>
      <c r="L660" s="301"/>
      <c r="M660" s="301"/>
      <c r="N660" s="301"/>
      <c r="O660" s="300"/>
      <c r="P660" s="429"/>
      <c r="Q660" s="301"/>
      <c r="R660" s="2"/>
      <c r="S660" s="301"/>
      <c r="T660" s="301"/>
      <c r="X660" s="2">
        <f t="shared" si="17"/>
        <v>0</v>
      </c>
      <c r="AA660" s="301"/>
      <c r="AB660" s="301"/>
      <c r="AC660" s="301"/>
      <c r="AE660" s="301"/>
      <c r="AF660" s="301"/>
      <c r="AG660" s="301"/>
    </row>
    <row r="661">
      <c r="J661" s="301"/>
      <c r="K661" s="301"/>
      <c r="L661" s="301"/>
      <c r="M661" s="301"/>
      <c r="N661" s="301"/>
      <c r="O661" s="300"/>
      <c r="P661" s="429"/>
      <c r="Q661" s="301"/>
      <c r="R661" s="2"/>
      <c r="S661" s="301"/>
      <c r="T661" s="301"/>
      <c r="X661" s="2">
        <f t="shared" si="17"/>
        <v>0</v>
      </c>
      <c r="AA661" s="301"/>
      <c r="AB661" s="301"/>
      <c r="AC661" s="301"/>
      <c r="AE661" s="301"/>
      <c r="AF661" s="301"/>
      <c r="AG661" s="301"/>
    </row>
    <row r="662">
      <c r="J662" s="301"/>
      <c r="K662" s="301"/>
      <c r="L662" s="301"/>
      <c r="M662" s="301"/>
      <c r="N662" s="301"/>
      <c r="O662" s="300"/>
      <c r="P662" s="429"/>
      <c r="Q662" s="301"/>
      <c r="R662" s="2"/>
      <c r="S662" s="301"/>
      <c r="T662" s="301"/>
      <c r="X662" s="2">
        <f t="shared" si="17"/>
        <v>0</v>
      </c>
      <c r="AA662" s="301"/>
      <c r="AB662" s="301"/>
      <c r="AC662" s="301"/>
      <c r="AE662" s="301"/>
      <c r="AF662" s="301"/>
      <c r="AG662" s="301"/>
    </row>
    <row r="663">
      <c r="J663" s="301"/>
      <c r="K663" s="301"/>
      <c r="L663" s="301"/>
      <c r="M663" s="301"/>
      <c r="N663" s="301"/>
      <c r="O663" s="300"/>
      <c r="P663" s="429"/>
      <c r="Q663" s="301"/>
      <c r="R663" s="2"/>
      <c r="S663" s="301"/>
      <c r="T663" s="301"/>
      <c r="X663" s="2">
        <f t="shared" si="17"/>
        <v>0</v>
      </c>
      <c r="AA663" s="301"/>
      <c r="AB663" s="301"/>
      <c r="AC663" s="301"/>
      <c r="AE663" s="301"/>
      <c r="AF663" s="301"/>
      <c r="AG663" s="301"/>
    </row>
    <row r="664">
      <c r="J664" s="301"/>
      <c r="K664" s="301"/>
      <c r="L664" s="301"/>
      <c r="M664" s="301"/>
      <c r="N664" s="301"/>
      <c r="O664" s="300"/>
      <c r="P664" s="429"/>
      <c r="Q664" s="301"/>
      <c r="R664" s="2"/>
      <c r="S664" s="301"/>
      <c r="T664" s="301"/>
      <c r="X664" s="2">
        <f t="shared" si="17"/>
        <v>0</v>
      </c>
      <c r="AA664" s="301"/>
      <c r="AB664" s="301"/>
      <c r="AC664" s="301"/>
      <c r="AE664" s="301"/>
      <c r="AF664" s="301"/>
      <c r="AG664" s="301"/>
    </row>
    <row r="665">
      <c r="J665" s="301"/>
      <c r="K665" s="301"/>
      <c r="L665" s="301"/>
      <c r="M665" s="301"/>
      <c r="N665" s="301"/>
      <c r="O665" s="300"/>
      <c r="P665" s="429"/>
      <c r="Q665" s="301"/>
      <c r="R665" s="2"/>
      <c r="S665" s="301"/>
      <c r="T665" s="301"/>
      <c r="X665" s="2">
        <f t="shared" si="17"/>
        <v>0</v>
      </c>
      <c r="AA665" s="301"/>
      <c r="AB665" s="301"/>
      <c r="AC665" s="301"/>
      <c r="AE665" s="301"/>
      <c r="AF665" s="301"/>
      <c r="AG665" s="301"/>
    </row>
    <row r="666">
      <c r="J666" s="301"/>
      <c r="K666" s="301"/>
      <c r="L666" s="301"/>
      <c r="M666" s="301"/>
      <c r="N666" s="301"/>
      <c r="O666" s="300"/>
      <c r="P666" s="429"/>
      <c r="Q666" s="301"/>
      <c r="R666" s="2"/>
      <c r="S666" s="301"/>
      <c r="T666" s="301"/>
      <c r="X666" s="2">
        <f t="shared" si="17"/>
        <v>0</v>
      </c>
      <c r="AA666" s="301"/>
      <c r="AB666" s="301"/>
      <c r="AC666" s="301"/>
      <c r="AE666" s="301"/>
      <c r="AF666" s="301"/>
      <c r="AG666" s="301"/>
    </row>
    <row r="667">
      <c r="J667" s="301"/>
      <c r="K667" s="301"/>
      <c r="L667" s="301"/>
      <c r="M667" s="301"/>
      <c r="N667" s="301"/>
      <c r="O667" s="300"/>
      <c r="P667" s="429"/>
      <c r="Q667" s="301"/>
      <c r="R667" s="2"/>
      <c r="S667" s="301"/>
      <c r="T667" s="301"/>
      <c r="X667" s="2">
        <f t="shared" si="17"/>
        <v>0</v>
      </c>
      <c r="AA667" s="301"/>
      <c r="AB667" s="301"/>
      <c r="AC667" s="301"/>
      <c r="AE667" s="301"/>
      <c r="AF667" s="301"/>
      <c r="AG667" s="301"/>
    </row>
    <row r="668">
      <c r="J668" s="301"/>
      <c r="K668" s="301"/>
      <c r="L668" s="301"/>
      <c r="M668" s="301"/>
      <c r="N668" s="301"/>
      <c r="O668" s="300"/>
      <c r="P668" s="429"/>
      <c r="Q668" s="301"/>
      <c r="R668" s="2"/>
      <c r="S668" s="301"/>
      <c r="T668" s="301"/>
      <c r="X668" s="2">
        <f t="shared" si="17"/>
        <v>0</v>
      </c>
      <c r="AA668" s="301"/>
      <c r="AB668" s="301"/>
      <c r="AC668" s="301"/>
      <c r="AE668" s="301"/>
      <c r="AF668" s="301"/>
      <c r="AG668" s="301"/>
    </row>
    <row r="669">
      <c r="J669" s="301"/>
      <c r="K669" s="301"/>
      <c r="L669" s="301"/>
      <c r="M669" s="301"/>
      <c r="N669" s="301"/>
      <c r="O669" s="300"/>
      <c r="P669" s="429"/>
      <c r="Q669" s="301"/>
      <c r="R669" s="2"/>
      <c r="S669" s="301"/>
      <c r="T669" s="301"/>
      <c r="X669" s="2">
        <f t="shared" si="17"/>
        <v>0</v>
      </c>
      <c r="AA669" s="301"/>
      <c r="AB669" s="301"/>
      <c r="AC669" s="301"/>
      <c r="AE669" s="301"/>
      <c r="AF669" s="301"/>
      <c r="AG669" s="301"/>
    </row>
    <row r="670">
      <c r="J670" s="301"/>
      <c r="K670" s="301"/>
      <c r="L670" s="301"/>
      <c r="M670" s="301"/>
      <c r="N670" s="301"/>
      <c r="O670" s="300"/>
      <c r="P670" s="429"/>
      <c r="Q670" s="301"/>
      <c r="R670" s="2"/>
      <c r="S670" s="301"/>
      <c r="T670" s="301"/>
      <c r="X670" s="2">
        <f t="shared" si="17"/>
        <v>0</v>
      </c>
      <c r="AA670" s="301"/>
      <c r="AB670" s="301"/>
      <c r="AC670" s="301"/>
      <c r="AE670" s="301"/>
      <c r="AF670" s="301"/>
      <c r="AG670" s="301"/>
    </row>
    <row r="671">
      <c r="J671" s="301"/>
      <c r="K671" s="301"/>
      <c r="L671" s="301"/>
      <c r="M671" s="301"/>
      <c r="N671" s="301"/>
      <c r="O671" s="300"/>
      <c r="P671" s="429"/>
      <c r="Q671" s="301"/>
      <c r="R671" s="2"/>
      <c r="S671" s="301"/>
      <c r="T671" s="301"/>
      <c r="X671" s="2">
        <f t="shared" si="17"/>
        <v>0</v>
      </c>
      <c r="AA671" s="301"/>
      <c r="AB671" s="301"/>
      <c r="AC671" s="301"/>
      <c r="AE671" s="301"/>
      <c r="AF671" s="301"/>
      <c r="AG671" s="301"/>
    </row>
    <row r="672">
      <c r="J672" s="301"/>
      <c r="K672" s="301"/>
      <c r="L672" s="301"/>
      <c r="M672" s="301"/>
      <c r="N672" s="301"/>
      <c r="O672" s="300"/>
      <c r="P672" s="429"/>
      <c r="Q672" s="301"/>
      <c r="R672" s="2"/>
      <c r="S672" s="301"/>
      <c r="T672" s="301"/>
      <c r="X672" s="2">
        <f t="shared" si="17"/>
        <v>0</v>
      </c>
      <c r="AA672" s="301"/>
      <c r="AB672" s="301"/>
      <c r="AC672" s="301"/>
      <c r="AE672" s="301"/>
      <c r="AF672" s="301"/>
      <c r="AG672" s="301"/>
    </row>
    <row r="673">
      <c r="J673" s="301"/>
      <c r="K673" s="301"/>
      <c r="L673" s="301"/>
      <c r="M673" s="301"/>
      <c r="N673" s="301"/>
      <c r="O673" s="300"/>
      <c r="P673" s="429"/>
      <c r="Q673" s="301"/>
      <c r="R673" s="2"/>
      <c r="S673" s="301"/>
      <c r="T673" s="301"/>
      <c r="X673" s="2">
        <f t="shared" si="17"/>
        <v>0</v>
      </c>
      <c r="AA673" s="301"/>
      <c r="AB673" s="301"/>
      <c r="AC673" s="301"/>
      <c r="AE673" s="301"/>
      <c r="AF673" s="301"/>
      <c r="AG673" s="301"/>
    </row>
    <row r="674">
      <c r="J674" s="301"/>
      <c r="K674" s="301"/>
      <c r="L674" s="301"/>
      <c r="M674" s="301"/>
      <c r="N674" s="301"/>
      <c r="O674" s="300"/>
      <c r="P674" s="429"/>
      <c r="Q674" s="301"/>
      <c r="R674" s="2"/>
      <c r="S674" s="301"/>
      <c r="T674" s="301"/>
      <c r="X674" s="2">
        <f t="shared" si="17"/>
        <v>0</v>
      </c>
      <c r="AA674" s="301"/>
      <c r="AB674" s="301"/>
      <c r="AC674" s="301"/>
      <c r="AE674" s="301"/>
      <c r="AF674" s="301"/>
      <c r="AG674" s="301"/>
    </row>
    <row r="675">
      <c r="J675" s="301"/>
      <c r="K675" s="301"/>
      <c r="L675" s="301"/>
      <c r="M675" s="301"/>
      <c r="N675" s="301"/>
      <c r="O675" s="300"/>
      <c r="P675" s="429"/>
      <c r="Q675" s="301"/>
      <c r="R675" s="2"/>
      <c r="S675" s="301"/>
      <c r="T675" s="301"/>
      <c r="X675" s="2">
        <f t="shared" si="17"/>
        <v>0</v>
      </c>
      <c r="AA675" s="301"/>
      <c r="AB675" s="301"/>
      <c r="AC675" s="301"/>
      <c r="AE675" s="301"/>
      <c r="AF675" s="301"/>
      <c r="AG675" s="301"/>
    </row>
    <row r="676">
      <c r="J676" s="301"/>
      <c r="K676" s="301"/>
      <c r="L676" s="301"/>
      <c r="M676" s="301"/>
      <c r="N676" s="301"/>
      <c r="O676" s="300"/>
      <c r="P676" s="429"/>
      <c r="Q676" s="301"/>
      <c r="R676" s="2"/>
      <c r="S676" s="301"/>
      <c r="T676" s="301"/>
      <c r="X676" s="2">
        <f t="shared" si="17"/>
        <v>0</v>
      </c>
      <c r="AA676" s="301"/>
      <c r="AB676" s="301"/>
      <c r="AC676" s="301"/>
      <c r="AE676" s="301"/>
      <c r="AF676" s="301"/>
      <c r="AG676" s="301"/>
    </row>
    <row r="677">
      <c r="J677" s="301"/>
      <c r="K677" s="301"/>
      <c r="L677" s="301"/>
      <c r="M677" s="301"/>
      <c r="N677" s="301"/>
      <c r="O677" s="300"/>
      <c r="P677" s="429"/>
      <c r="Q677" s="301"/>
      <c r="R677" s="2"/>
      <c r="S677" s="301"/>
      <c r="T677" s="301"/>
      <c r="X677" s="2">
        <f t="shared" si="17"/>
        <v>0</v>
      </c>
      <c r="AA677" s="301"/>
      <c r="AB677" s="301"/>
      <c r="AC677" s="301"/>
      <c r="AE677" s="301"/>
      <c r="AF677" s="301"/>
      <c r="AG677" s="301"/>
    </row>
    <row r="678">
      <c r="J678" s="301"/>
      <c r="K678" s="301"/>
      <c r="L678" s="301"/>
      <c r="M678" s="301"/>
      <c r="N678" s="301"/>
      <c r="O678" s="300"/>
      <c r="P678" s="429"/>
      <c r="Q678" s="301"/>
      <c r="R678" s="2"/>
      <c r="S678" s="301"/>
      <c r="T678" s="301"/>
      <c r="X678" s="2">
        <f t="shared" si="17"/>
        <v>0</v>
      </c>
      <c r="AA678" s="301"/>
      <c r="AB678" s="301"/>
      <c r="AC678" s="301"/>
      <c r="AE678" s="301"/>
      <c r="AF678" s="301"/>
      <c r="AG678" s="301"/>
    </row>
    <row r="679">
      <c r="J679" s="301"/>
      <c r="K679" s="301"/>
      <c r="L679" s="301"/>
      <c r="M679" s="301"/>
      <c r="N679" s="301"/>
      <c r="O679" s="300"/>
      <c r="P679" s="429"/>
      <c r="Q679" s="301"/>
      <c r="R679" s="2"/>
      <c r="S679" s="301"/>
      <c r="T679" s="301"/>
      <c r="X679" s="2">
        <f t="shared" si="17"/>
        <v>0</v>
      </c>
      <c r="AA679" s="301"/>
      <c r="AB679" s="301"/>
      <c r="AC679" s="301"/>
      <c r="AE679" s="301"/>
      <c r="AF679" s="301"/>
      <c r="AG679" s="301"/>
    </row>
    <row r="680">
      <c r="J680" s="301"/>
      <c r="K680" s="301"/>
      <c r="L680" s="301"/>
      <c r="M680" s="301"/>
      <c r="N680" s="301"/>
      <c r="O680" s="300"/>
      <c r="P680" s="429"/>
      <c r="Q680" s="301"/>
      <c r="R680" s="2"/>
      <c r="S680" s="301"/>
      <c r="T680" s="301"/>
      <c r="X680" s="2">
        <f t="shared" si="17"/>
        <v>0</v>
      </c>
      <c r="AA680" s="301"/>
      <c r="AB680" s="301"/>
      <c r="AC680" s="301"/>
      <c r="AE680" s="301"/>
      <c r="AF680" s="301"/>
      <c r="AG680" s="301"/>
    </row>
    <row r="681">
      <c r="J681" s="301"/>
      <c r="K681" s="301"/>
      <c r="L681" s="301"/>
      <c r="M681" s="301"/>
      <c r="N681" s="301"/>
      <c r="O681" s="300"/>
      <c r="P681" s="429"/>
      <c r="Q681" s="301"/>
      <c r="R681" s="2"/>
      <c r="S681" s="301"/>
      <c r="T681" s="301"/>
      <c r="X681" s="2">
        <f t="shared" si="17"/>
        <v>0</v>
      </c>
      <c r="AA681" s="301"/>
      <c r="AB681" s="301"/>
      <c r="AC681" s="301"/>
      <c r="AE681" s="301"/>
      <c r="AF681" s="301"/>
      <c r="AG681" s="301"/>
    </row>
    <row r="682">
      <c r="J682" s="301"/>
      <c r="K682" s="301"/>
      <c r="L682" s="301"/>
      <c r="M682" s="301"/>
      <c r="N682" s="301"/>
      <c r="O682" s="300"/>
      <c r="P682" s="429"/>
      <c r="Q682" s="301"/>
      <c r="R682" s="2"/>
      <c r="S682" s="301"/>
      <c r="T682" s="301"/>
      <c r="X682" s="2">
        <f t="shared" si="17"/>
        <v>0</v>
      </c>
      <c r="AA682" s="301"/>
      <c r="AB682" s="301"/>
      <c r="AC682" s="301"/>
      <c r="AE682" s="301"/>
      <c r="AF682" s="301"/>
      <c r="AG682" s="301"/>
    </row>
    <row r="683">
      <c r="J683" s="301"/>
      <c r="K683" s="301"/>
      <c r="L683" s="301"/>
      <c r="M683" s="301"/>
      <c r="N683" s="301"/>
      <c r="O683" s="300"/>
      <c r="P683" s="429"/>
      <c r="Q683" s="301"/>
      <c r="R683" s="2"/>
      <c r="S683" s="301"/>
      <c r="T683" s="301"/>
      <c r="X683" s="2">
        <f t="shared" si="17"/>
        <v>0</v>
      </c>
      <c r="AA683" s="301"/>
      <c r="AB683" s="301"/>
      <c r="AC683" s="301"/>
      <c r="AE683" s="301"/>
      <c r="AF683" s="301"/>
      <c r="AG683" s="301"/>
    </row>
    <row r="684">
      <c r="J684" s="301"/>
      <c r="K684" s="301"/>
      <c r="L684" s="301"/>
      <c r="M684" s="301"/>
      <c r="N684" s="301"/>
      <c r="O684" s="300"/>
      <c r="P684" s="429"/>
      <c r="Q684" s="301"/>
      <c r="R684" s="2"/>
      <c r="S684" s="301"/>
      <c r="T684" s="301"/>
      <c r="X684" s="2">
        <f t="shared" si="17"/>
        <v>0</v>
      </c>
      <c r="AA684" s="301"/>
      <c r="AB684" s="301"/>
      <c r="AC684" s="301"/>
      <c r="AE684" s="301"/>
      <c r="AF684" s="301"/>
      <c r="AG684" s="301"/>
    </row>
    <row r="685">
      <c r="J685" s="301"/>
      <c r="K685" s="301"/>
      <c r="L685" s="301"/>
      <c r="M685" s="301"/>
      <c r="N685" s="301"/>
      <c r="O685" s="300"/>
      <c r="P685" s="429"/>
      <c r="Q685" s="301"/>
      <c r="R685" s="2"/>
      <c r="S685" s="301"/>
      <c r="T685" s="301"/>
      <c r="X685" s="2">
        <f t="shared" si="17"/>
        <v>0</v>
      </c>
      <c r="AA685" s="301"/>
      <c r="AB685" s="301"/>
      <c r="AC685" s="301"/>
      <c r="AE685" s="301"/>
      <c r="AF685" s="301"/>
      <c r="AG685" s="301"/>
    </row>
    <row r="686">
      <c r="J686" s="301"/>
      <c r="K686" s="301"/>
      <c r="L686" s="301"/>
      <c r="M686" s="301"/>
      <c r="N686" s="301"/>
      <c r="O686" s="300"/>
      <c r="P686" s="429"/>
      <c r="Q686" s="301"/>
      <c r="R686" s="2"/>
      <c r="S686" s="301"/>
      <c r="T686" s="301"/>
      <c r="X686" s="2">
        <f t="shared" si="17"/>
        <v>0</v>
      </c>
      <c r="AA686" s="301"/>
      <c r="AB686" s="301"/>
      <c r="AC686" s="301"/>
      <c r="AE686" s="301"/>
      <c r="AF686" s="301"/>
      <c r="AG686" s="301"/>
    </row>
    <row r="687">
      <c r="J687" s="301"/>
      <c r="K687" s="301"/>
      <c r="L687" s="301"/>
      <c r="M687" s="301"/>
      <c r="N687" s="301"/>
      <c r="O687" s="300"/>
      <c r="P687" s="429"/>
      <c r="Q687" s="301"/>
      <c r="R687" s="2"/>
      <c r="S687" s="301"/>
      <c r="T687" s="301"/>
      <c r="X687" s="2">
        <f t="shared" si="17"/>
        <v>0</v>
      </c>
      <c r="AA687" s="301"/>
      <c r="AB687" s="301"/>
      <c r="AC687" s="301"/>
      <c r="AE687" s="301"/>
      <c r="AF687" s="301"/>
      <c r="AG687" s="301"/>
    </row>
    <row r="688">
      <c r="J688" s="301"/>
      <c r="K688" s="301"/>
      <c r="L688" s="301"/>
      <c r="M688" s="301"/>
      <c r="N688" s="301"/>
      <c r="O688" s="300"/>
      <c r="P688" s="429"/>
      <c r="Q688" s="301"/>
      <c r="R688" s="2"/>
      <c r="S688" s="301"/>
      <c r="T688" s="301"/>
      <c r="X688" s="2">
        <f t="shared" si="17"/>
        <v>0</v>
      </c>
      <c r="AA688" s="301"/>
      <c r="AB688" s="301"/>
      <c r="AC688" s="301"/>
      <c r="AE688" s="301"/>
      <c r="AF688" s="301"/>
      <c r="AG688" s="301"/>
    </row>
    <row r="689">
      <c r="J689" s="301"/>
      <c r="K689" s="301"/>
      <c r="L689" s="301"/>
      <c r="M689" s="301"/>
      <c r="N689" s="301"/>
      <c r="O689" s="300"/>
      <c r="P689" s="429"/>
      <c r="Q689" s="301"/>
      <c r="R689" s="2"/>
      <c r="S689" s="301"/>
      <c r="T689" s="301"/>
      <c r="X689" s="2">
        <f t="shared" si="17"/>
        <v>0</v>
      </c>
      <c r="AA689" s="301"/>
      <c r="AB689" s="301"/>
      <c r="AC689" s="301"/>
      <c r="AE689" s="301"/>
      <c r="AF689" s="301"/>
      <c r="AG689" s="301"/>
    </row>
    <row r="690">
      <c r="J690" s="301"/>
      <c r="K690" s="301"/>
      <c r="L690" s="301"/>
      <c r="M690" s="301"/>
      <c r="N690" s="301"/>
      <c r="O690" s="300"/>
      <c r="P690" s="429"/>
      <c r="Q690" s="301"/>
      <c r="R690" s="2"/>
      <c r="S690" s="301"/>
      <c r="T690" s="301"/>
      <c r="X690" s="2">
        <f t="shared" si="17"/>
        <v>0</v>
      </c>
      <c r="AA690" s="301"/>
      <c r="AB690" s="301"/>
      <c r="AC690" s="301"/>
      <c r="AE690" s="301"/>
      <c r="AF690" s="301"/>
      <c r="AG690" s="301"/>
    </row>
    <row r="691">
      <c r="J691" s="301"/>
      <c r="K691" s="301"/>
      <c r="L691" s="301"/>
      <c r="M691" s="301"/>
      <c r="N691" s="301"/>
      <c r="O691" s="300"/>
      <c r="P691" s="429"/>
      <c r="Q691" s="301"/>
      <c r="R691" s="2"/>
      <c r="S691" s="301"/>
      <c r="T691" s="301"/>
      <c r="X691" s="2">
        <f t="shared" si="17"/>
        <v>0</v>
      </c>
      <c r="AA691" s="301"/>
      <c r="AB691" s="301"/>
      <c r="AC691" s="301"/>
      <c r="AE691" s="301"/>
      <c r="AF691" s="301"/>
      <c r="AG691" s="301"/>
    </row>
    <row r="692">
      <c r="J692" s="301"/>
      <c r="K692" s="301"/>
      <c r="L692" s="301"/>
      <c r="M692" s="301"/>
      <c r="N692" s="301"/>
      <c r="O692" s="300"/>
      <c r="P692" s="429"/>
      <c r="Q692" s="301"/>
      <c r="R692" s="2"/>
      <c r="S692" s="301"/>
      <c r="T692" s="301"/>
      <c r="X692" s="2">
        <f t="shared" si="17"/>
        <v>0</v>
      </c>
      <c r="AA692" s="301"/>
      <c r="AB692" s="301"/>
      <c r="AC692" s="301"/>
      <c r="AE692" s="301"/>
      <c r="AF692" s="301"/>
      <c r="AG692" s="301"/>
    </row>
    <row r="693">
      <c r="J693" s="301"/>
      <c r="K693" s="301"/>
      <c r="L693" s="301"/>
      <c r="M693" s="301"/>
      <c r="N693" s="301"/>
      <c r="O693" s="300"/>
      <c r="P693" s="429"/>
      <c r="Q693" s="301"/>
      <c r="R693" s="2"/>
      <c r="S693" s="301"/>
      <c r="T693" s="301"/>
      <c r="X693" s="2">
        <f t="shared" si="17"/>
        <v>0</v>
      </c>
      <c r="AA693" s="301"/>
      <c r="AB693" s="301"/>
      <c r="AC693" s="301"/>
      <c r="AE693" s="301"/>
      <c r="AF693" s="301"/>
      <c r="AG693" s="301"/>
    </row>
    <row r="694">
      <c r="J694" s="301"/>
      <c r="K694" s="301"/>
      <c r="L694" s="301"/>
      <c r="M694" s="301"/>
      <c r="N694" s="301"/>
      <c r="O694" s="300"/>
      <c r="P694" s="429"/>
      <c r="Q694" s="301"/>
      <c r="R694" s="2"/>
      <c r="S694" s="301"/>
      <c r="T694" s="301"/>
      <c r="X694" s="2">
        <f t="shared" si="17"/>
        <v>0</v>
      </c>
      <c r="AA694" s="301"/>
      <c r="AB694" s="301"/>
      <c r="AC694" s="301"/>
      <c r="AE694" s="301"/>
      <c r="AF694" s="301"/>
      <c r="AG694" s="301"/>
    </row>
    <row r="695">
      <c r="J695" s="301"/>
      <c r="K695" s="301"/>
      <c r="L695" s="301"/>
      <c r="M695" s="301"/>
      <c r="N695" s="301"/>
      <c r="O695" s="300"/>
      <c r="P695" s="429"/>
      <c r="Q695" s="301"/>
      <c r="R695" s="2"/>
      <c r="S695" s="301"/>
      <c r="T695" s="301"/>
      <c r="X695" s="2">
        <f t="shared" si="17"/>
        <v>0</v>
      </c>
      <c r="AA695" s="301"/>
      <c r="AB695" s="301"/>
      <c r="AC695" s="301"/>
      <c r="AE695" s="301"/>
      <c r="AF695" s="301"/>
      <c r="AG695" s="301"/>
    </row>
    <row r="696">
      <c r="J696" s="301"/>
      <c r="K696" s="301"/>
      <c r="L696" s="301"/>
      <c r="M696" s="301"/>
      <c r="N696" s="301"/>
      <c r="O696" s="300"/>
      <c r="P696" s="429"/>
      <c r="Q696" s="301"/>
      <c r="R696" s="2"/>
      <c r="S696" s="301"/>
      <c r="T696" s="301"/>
      <c r="X696" s="2">
        <f t="shared" si="17"/>
        <v>0</v>
      </c>
      <c r="AA696" s="301"/>
      <c r="AB696" s="301"/>
      <c r="AC696" s="301"/>
      <c r="AE696" s="301"/>
      <c r="AF696" s="301"/>
      <c r="AG696" s="301"/>
    </row>
    <row r="697">
      <c r="J697" s="301"/>
      <c r="K697" s="301"/>
      <c r="L697" s="301"/>
      <c r="M697" s="301"/>
      <c r="N697" s="301"/>
      <c r="O697" s="300"/>
      <c r="P697" s="429"/>
      <c r="Q697" s="301"/>
      <c r="R697" s="2"/>
      <c r="S697" s="301"/>
      <c r="T697" s="301"/>
      <c r="X697" s="2">
        <f t="shared" si="17"/>
        <v>0</v>
      </c>
      <c r="AA697" s="301"/>
      <c r="AB697" s="301"/>
      <c r="AC697" s="301"/>
      <c r="AE697" s="301"/>
      <c r="AF697" s="301"/>
      <c r="AG697" s="301"/>
    </row>
    <row r="698">
      <c r="J698" s="301"/>
      <c r="K698" s="301"/>
      <c r="L698" s="301"/>
      <c r="M698" s="301"/>
      <c r="N698" s="301"/>
      <c r="O698" s="300"/>
      <c r="P698" s="429"/>
      <c r="Q698" s="301"/>
      <c r="R698" s="2"/>
      <c r="S698" s="301"/>
      <c r="T698" s="301"/>
      <c r="X698" s="2">
        <f t="shared" si="17"/>
        <v>0</v>
      </c>
      <c r="AA698" s="301"/>
      <c r="AB698" s="301"/>
      <c r="AC698" s="301"/>
      <c r="AE698" s="301"/>
      <c r="AF698" s="301"/>
      <c r="AG698" s="301"/>
    </row>
    <row r="699">
      <c r="J699" s="301"/>
      <c r="K699" s="301"/>
      <c r="L699" s="301"/>
      <c r="M699" s="301"/>
      <c r="N699" s="301"/>
      <c r="O699" s="300"/>
      <c r="P699" s="429"/>
      <c r="Q699" s="301"/>
      <c r="R699" s="2"/>
      <c r="S699" s="301"/>
      <c r="T699" s="301"/>
      <c r="X699" s="2">
        <f t="shared" si="17"/>
        <v>0</v>
      </c>
      <c r="AA699" s="301"/>
      <c r="AB699" s="301"/>
      <c r="AC699" s="301"/>
      <c r="AE699" s="301"/>
      <c r="AF699" s="301"/>
      <c r="AG699" s="301"/>
    </row>
    <row r="700">
      <c r="J700" s="301"/>
      <c r="K700" s="301"/>
      <c r="L700" s="301"/>
      <c r="M700" s="301"/>
      <c r="N700" s="301"/>
      <c r="O700" s="300"/>
      <c r="P700" s="429"/>
      <c r="Q700" s="301"/>
      <c r="R700" s="2"/>
      <c r="S700" s="301"/>
      <c r="T700" s="301"/>
      <c r="X700" s="2">
        <f t="shared" si="17"/>
        <v>0</v>
      </c>
      <c r="AA700" s="301"/>
      <c r="AB700" s="301"/>
      <c r="AC700" s="301"/>
      <c r="AE700" s="301"/>
      <c r="AF700" s="301"/>
      <c r="AG700" s="301"/>
    </row>
    <row r="701">
      <c r="J701" s="301"/>
      <c r="K701" s="301"/>
      <c r="L701" s="301"/>
      <c r="M701" s="301"/>
      <c r="N701" s="301"/>
      <c r="O701" s="300"/>
      <c r="P701" s="429"/>
      <c r="Q701" s="301"/>
      <c r="R701" s="2"/>
      <c r="S701" s="301"/>
      <c r="T701" s="301"/>
      <c r="X701" s="2">
        <f t="shared" si="17"/>
        <v>0</v>
      </c>
      <c r="AA701" s="301"/>
      <c r="AB701" s="301"/>
      <c r="AC701" s="301"/>
      <c r="AE701" s="301"/>
      <c r="AF701" s="301"/>
      <c r="AG701" s="301"/>
    </row>
    <row r="702">
      <c r="J702" s="301"/>
      <c r="K702" s="301"/>
      <c r="L702" s="301"/>
      <c r="M702" s="301"/>
      <c r="N702" s="301"/>
      <c r="O702" s="300"/>
      <c r="P702" s="429"/>
      <c r="Q702" s="301"/>
      <c r="R702" s="2"/>
      <c r="S702" s="301"/>
      <c r="T702" s="301"/>
      <c r="X702" s="2">
        <f t="shared" si="17"/>
        <v>0</v>
      </c>
      <c r="AA702" s="301"/>
      <c r="AB702" s="301"/>
      <c r="AC702" s="301"/>
      <c r="AE702" s="301"/>
      <c r="AF702" s="301"/>
      <c r="AG702" s="301"/>
    </row>
    <row r="703">
      <c r="J703" s="301"/>
      <c r="K703" s="301"/>
      <c r="L703" s="301"/>
      <c r="M703" s="301"/>
      <c r="N703" s="301"/>
      <c r="O703" s="300"/>
      <c r="P703" s="429"/>
      <c r="Q703" s="301"/>
      <c r="R703" s="2"/>
      <c r="S703" s="301"/>
      <c r="T703" s="301"/>
      <c r="X703" s="2">
        <f t="shared" si="17"/>
        <v>0</v>
      </c>
      <c r="AA703" s="301"/>
      <c r="AB703" s="301"/>
      <c r="AC703" s="301"/>
      <c r="AE703" s="301"/>
      <c r="AF703" s="301"/>
      <c r="AG703" s="301"/>
    </row>
    <row r="704">
      <c r="J704" s="301"/>
      <c r="K704" s="301"/>
      <c r="L704" s="301"/>
      <c r="M704" s="301"/>
      <c r="N704" s="301"/>
      <c r="O704" s="300"/>
      <c r="P704" s="429"/>
      <c r="Q704" s="301"/>
      <c r="R704" s="2"/>
      <c r="S704" s="301"/>
      <c r="T704" s="301"/>
      <c r="X704" s="2">
        <f t="shared" si="17"/>
        <v>0</v>
      </c>
      <c r="AA704" s="301"/>
      <c r="AB704" s="301"/>
      <c r="AC704" s="301"/>
      <c r="AE704" s="301"/>
      <c r="AF704" s="301"/>
      <c r="AG704" s="301"/>
    </row>
    <row r="705">
      <c r="J705" s="301"/>
      <c r="K705" s="301"/>
      <c r="L705" s="301"/>
      <c r="M705" s="301"/>
      <c r="N705" s="301"/>
      <c r="O705" s="300"/>
      <c r="P705" s="429"/>
      <c r="Q705" s="301"/>
      <c r="R705" s="2"/>
      <c r="S705" s="301"/>
      <c r="T705" s="301"/>
      <c r="X705" s="2">
        <f t="shared" si="17"/>
        <v>0</v>
      </c>
      <c r="AA705" s="301"/>
      <c r="AB705" s="301"/>
      <c r="AC705" s="301"/>
      <c r="AE705" s="301"/>
      <c r="AF705" s="301"/>
      <c r="AG705" s="301"/>
    </row>
    <row r="706">
      <c r="J706" s="301"/>
      <c r="K706" s="301"/>
      <c r="L706" s="301"/>
      <c r="M706" s="301"/>
      <c r="N706" s="301"/>
      <c r="O706" s="300"/>
      <c r="P706" s="429"/>
      <c r="Q706" s="301"/>
      <c r="R706" s="2"/>
      <c r="S706" s="301"/>
      <c r="T706" s="301"/>
      <c r="X706" s="2">
        <f t="shared" si="17"/>
        <v>0</v>
      </c>
      <c r="AA706" s="301"/>
      <c r="AB706" s="301"/>
      <c r="AC706" s="301"/>
      <c r="AE706" s="301"/>
      <c r="AF706" s="301"/>
      <c r="AG706" s="301"/>
    </row>
    <row r="707">
      <c r="J707" s="301"/>
      <c r="K707" s="301"/>
      <c r="L707" s="301"/>
      <c r="M707" s="301"/>
      <c r="N707" s="301"/>
      <c r="O707" s="300"/>
      <c r="P707" s="429"/>
      <c r="Q707" s="301"/>
      <c r="R707" s="2"/>
      <c r="S707" s="301"/>
      <c r="T707" s="301"/>
      <c r="X707" s="2">
        <f t="shared" si="17"/>
        <v>0</v>
      </c>
      <c r="AA707" s="301"/>
      <c r="AB707" s="301"/>
      <c r="AC707" s="301"/>
      <c r="AE707" s="301"/>
      <c r="AF707" s="301"/>
      <c r="AG707" s="301"/>
    </row>
    <row r="708">
      <c r="J708" s="301"/>
      <c r="K708" s="301"/>
      <c r="L708" s="301"/>
      <c r="M708" s="301"/>
      <c r="N708" s="301"/>
      <c r="O708" s="300"/>
      <c r="P708" s="429"/>
      <c r="Q708" s="301"/>
      <c r="R708" s="2"/>
      <c r="S708" s="301"/>
      <c r="T708" s="301"/>
      <c r="X708" s="2">
        <f t="shared" si="17"/>
        <v>0</v>
      </c>
      <c r="AA708" s="301"/>
      <c r="AB708" s="301"/>
      <c r="AC708" s="301"/>
      <c r="AE708" s="301"/>
      <c r="AF708" s="301"/>
      <c r="AG708" s="301"/>
    </row>
    <row r="709">
      <c r="J709" s="301"/>
      <c r="K709" s="301"/>
      <c r="L709" s="301"/>
      <c r="M709" s="301"/>
      <c r="N709" s="301"/>
      <c r="O709" s="300"/>
      <c r="P709" s="429"/>
      <c r="Q709" s="301"/>
      <c r="R709" s="2"/>
      <c r="S709" s="301"/>
      <c r="T709" s="301"/>
      <c r="X709" s="2">
        <f t="shared" si="17"/>
        <v>0</v>
      </c>
      <c r="AA709" s="301"/>
      <c r="AB709" s="301"/>
      <c r="AC709" s="301"/>
      <c r="AE709" s="301"/>
      <c r="AF709" s="301"/>
      <c r="AG709" s="301"/>
    </row>
    <row r="710">
      <c r="J710" s="301"/>
      <c r="K710" s="301"/>
      <c r="L710" s="301"/>
      <c r="M710" s="301"/>
      <c r="N710" s="301"/>
      <c r="O710" s="300"/>
      <c r="P710" s="429"/>
      <c r="Q710" s="301"/>
      <c r="R710" s="2"/>
      <c r="S710" s="301"/>
      <c r="T710" s="301"/>
      <c r="X710" s="2">
        <f t="shared" si="17"/>
        <v>0</v>
      </c>
      <c r="AA710" s="301"/>
      <c r="AB710" s="301"/>
      <c r="AC710" s="301"/>
      <c r="AE710" s="301"/>
      <c r="AF710" s="301"/>
      <c r="AG710" s="301"/>
    </row>
    <row r="711">
      <c r="J711" s="301"/>
      <c r="K711" s="301"/>
      <c r="L711" s="301"/>
      <c r="M711" s="301"/>
      <c r="N711" s="301"/>
      <c r="O711" s="300"/>
      <c r="P711" s="429"/>
      <c r="Q711" s="301"/>
      <c r="R711" s="2"/>
      <c r="S711" s="301"/>
      <c r="T711" s="301"/>
      <c r="X711" s="2">
        <f t="shared" si="17"/>
        <v>0</v>
      </c>
      <c r="AA711" s="301"/>
      <c r="AB711" s="301"/>
      <c r="AC711" s="301"/>
      <c r="AE711" s="301"/>
      <c r="AF711" s="301"/>
      <c r="AG711" s="301"/>
    </row>
    <row r="712">
      <c r="J712" s="301"/>
      <c r="K712" s="301"/>
      <c r="L712" s="301"/>
      <c r="M712" s="301"/>
      <c r="N712" s="301"/>
      <c r="O712" s="300"/>
      <c r="P712" s="429"/>
      <c r="Q712" s="301"/>
      <c r="R712" s="2"/>
      <c r="S712" s="301"/>
      <c r="T712" s="301"/>
      <c r="X712" s="2">
        <f t="shared" si="17"/>
        <v>0</v>
      </c>
      <c r="AA712" s="301"/>
      <c r="AB712" s="301"/>
      <c r="AC712" s="301"/>
      <c r="AE712" s="301"/>
      <c r="AF712" s="301"/>
      <c r="AG712" s="301"/>
    </row>
    <row r="713">
      <c r="J713" s="301"/>
      <c r="K713" s="301"/>
      <c r="L713" s="301"/>
      <c r="M713" s="301"/>
      <c r="N713" s="301"/>
      <c r="O713" s="300"/>
      <c r="P713" s="429"/>
      <c r="Q713" s="301"/>
      <c r="R713" s="2"/>
      <c r="S713" s="301"/>
      <c r="T713" s="301"/>
      <c r="X713" s="2">
        <f t="shared" si="17"/>
        <v>0</v>
      </c>
      <c r="AA713" s="301"/>
      <c r="AB713" s="301"/>
      <c r="AC713" s="301"/>
      <c r="AE713" s="301"/>
      <c r="AF713" s="301"/>
      <c r="AG713" s="301"/>
    </row>
    <row r="714">
      <c r="J714" s="301"/>
      <c r="K714" s="301"/>
      <c r="L714" s="301"/>
      <c r="M714" s="301"/>
      <c r="N714" s="301"/>
      <c r="O714" s="300"/>
      <c r="P714" s="429"/>
      <c r="Q714" s="301"/>
      <c r="R714" s="2"/>
      <c r="S714" s="301"/>
      <c r="T714" s="301"/>
      <c r="X714" s="2">
        <f t="shared" si="17"/>
        <v>0</v>
      </c>
      <c r="AA714" s="301"/>
      <c r="AB714" s="301"/>
      <c r="AC714" s="301"/>
      <c r="AE714" s="301"/>
      <c r="AF714" s="301"/>
      <c r="AG714" s="301"/>
    </row>
    <row r="715">
      <c r="J715" s="301"/>
      <c r="K715" s="301"/>
      <c r="L715" s="301"/>
      <c r="M715" s="301"/>
      <c r="N715" s="301"/>
      <c r="O715" s="300"/>
      <c r="P715" s="429"/>
      <c r="Q715" s="301"/>
      <c r="R715" s="2"/>
      <c r="S715" s="301"/>
      <c r="T715" s="301"/>
      <c r="X715" s="2">
        <f t="shared" si="17"/>
        <v>0</v>
      </c>
      <c r="AA715" s="301"/>
      <c r="AB715" s="301"/>
      <c r="AC715" s="301"/>
      <c r="AE715" s="301"/>
      <c r="AF715" s="301"/>
      <c r="AG715" s="301"/>
    </row>
    <row r="716">
      <c r="J716" s="301"/>
      <c r="K716" s="301"/>
      <c r="L716" s="301"/>
      <c r="M716" s="301"/>
      <c r="N716" s="301"/>
      <c r="O716" s="300"/>
      <c r="P716" s="429"/>
      <c r="Q716" s="301"/>
      <c r="R716" s="2"/>
      <c r="S716" s="301"/>
      <c r="T716" s="301"/>
      <c r="X716" s="2">
        <f t="shared" si="17"/>
        <v>0</v>
      </c>
      <c r="AA716" s="301"/>
      <c r="AB716" s="301"/>
      <c r="AC716" s="301"/>
      <c r="AE716" s="301"/>
      <c r="AF716" s="301"/>
      <c r="AG716" s="301"/>
    </row>
    <row r="717">
      <c r="J717" s="301"/>
      <c r="K717" s="301"/>
      <c r="L717" s="301"/>
      <c r="M717" s="301"/>
      <c r="N717" s="301"/>
      <c r="O717" s="300"/>
      <c r="P717" s="429"/>
      <c r="Q717" s="301"/>
      <c r="R717" s="2"/>
      <c r="S717" s="301"/>
      <c r="T717" s="301"/>
      <c r="X717" s="2">
        <f t="shared" si="17"/>
        <v>0</v>
      </c>
      <c r="AA717" s="301"/>
      <c r="AB717" s="301"/>
      <c r="AC717" s="301"/>
      <c r="AE717" s="301"/>
      <c r="AF717" s="301"/>
      <c r="AG717" s="301"/>
    </row>
    <row r="718">
      <c r="J718" s="301"/>
      <c r="K718" s="301"/>
      <c r="L718" s="301"/>
      <c r="M718" s="301"/>
      <c r="N718" s="301"/>
      <c r="O718" s="300"/>
      <c r="P718" s="429"/>
      <c r="Q718" s="301"/>
      <c r="R718" s="2"/>
      <c r="S718" s="301"/>
      <c r="T718" s="301"/>
      <c r="X718" s="2">
        <f t="shared" si="17"/>
        <v>0</v>
      </c>
      <c r="AA718" s="301"/>
      <c r="AB718" s="301"/>
      <c r="AC718" s="301"/>
      <c r="AE718" s="301"/>
      <c r="AF718" s="301"/>
      <c r="AG718" s="301"/>
    </row>
    <row r="719">
      <c r="J719" s="301"/>
      <c r="K719" s="301"/>
      <c r="L719" s="301"/>
      <c r="M719" s="301"/>
      <c r="N719" s="301"/>
      <c r="O719" s="300"/>
      <c r="P719" s="429"/>
      <c r="Q719" s="301"/>
      <c r="R719" s="2"/>
      <c r="S719" s="301"/>
      <c r="T719" s="301"/>
      <c r="X719" s="2">
        <f t="shared" si="17"/>
        <v>0</v>
      </c>
      <c r="AA719" s="301"/>
      <c r="AB719" s="301"/>
      <c r="AC719" s="301"/>
      <c r="AE719" s="301"/>
      <c r="AF719" s="301"/>
      <c r="AG719" s="301"/>
    </row>
    <row r="720">
      <c r="J720" s="301"/>
      <c r="K720" s="301"/>
      <c r="L720" s="301"/>
      <c r="M720" s="301"/>
      <c r="N720" s="301"/>
      <c r="O720" s="300"/>
      <c r="P720" s="429"/>
      <c r="Q720" s="301"/>
      <c r="R720" s="2"/>
      <c r="S720" s="301"/>
      <c r="T720" s="301"/>
      <c r="X720" s="2">
        <f t="shared" si="17"/>
        <v>0</v>
      </c>
      <c r="AA720" s="301"/>
      <c r="AB720" s="301"/>
      <c r="AC720" s="301"/>
      <c r="AE720" s="301"/>
      <c r="AF720" s="301"/>
      <c r="AG720" s="301"/>
    </row>
    <row r="721">
      <c r="J721" s="301"/>
      <c r="K721" s="301"/>
      <c r="L721" s="301"/>
      <c r="M721" s="301"/>
      <c r="N721" s="301"/>
      <c r="O721" s="300"/>
      <c r="P721" s="429"/>
      <c r="Q721" s="301"/>
      <c r="R721" s="2"/>
      <c r="S721" s="301"/>
      <c r="T721" s="301"/>
      <c r="X721" s="2">
        <f t="shared" si="17"/>
        <v>0</v>
      </c>
      <c r="AA721" s="301"/>
      <c r="AB721" s="301"/>
      <c r="AC721" s="301"/>
      <c r="AE721" s="301"/>
      <c r="AF721" s="301"/>
      <c r="AG721" s="301"/>
    </row>
    <row r="722">
      <c r="J722" s="301"/>
      <c r="K722" s="301"/>
      <c r="L722" s="301"/>
      <c r="M722" s="301"/>
      <c r="N722" s="301"/>
      <c r="O722" s="300"/>
      <c r="P722" s="429"/>
      <c r="Q722" s="301"/>
      <c r="R722" s="2"/>
      <c r="S722" s="301"/>
      <c r="T722" s="301"/>
      <c r="X722" s="2">
        <f t="shared" si="17"/>
        <v>0</v>
      </c>
      <c r="AA722" s="301"/>
      <c r="AB722" s="301"/>
      <c r="AC722" s="301"/>
      <c r="AE722" s="301"/>
      <c r="AF722" s="301"/>
      <c r="AG722" s="301"/>
    </row>
    <row r="723">
      <c r="J723" s="301"/>
      <c r="K723" s="301"/>
      <c r="L723" s="301"/>
      <c r="M723" s="301"/>
      <c r="N723" s="301"/>
      <c r="O723" s="300"/>
      <c r="P723" s="429"/>
      <c r="Q723" s="301"/>
      <c r="R723" s="2"/>
      <c r="S723" s="301"/>
      <c r="T723" s="301"/>
      <c r="X723" s="2">
        <f t="shared" si="17"/>
        <v>0</v>
      </c>
      <c r="AA723" s="301"/>
      <c r="AB723" s="301"/>
      <c r="AC723" s="301"/>
      <c r="AE723" s="301"/>
      <c r="AF723" s="301"/>
      <c r="AG723" s="301"/>
    </row>
    <row r="724">
      <c r="J724" s="301"/>
      <c r="K724" s="301"/>
      <c r="L724" s="301"/>
      <c r="M724" s="301"/>
      <c r="N724" s="301"/>
      <c r="O724" s="300"/>
      <c r="P724" s="429"/>
      <c r="Q724" s="301"/>
      <c r="R724" s="2"/>
      <c r="S724" s="301"/>
      <c r="T724" s="301"/>
      <c r="X724" s="2">
        <f t="shared" si="17"/>
        <v>0</v>
      </c>
      <c r="AA724" s="301"/>
      <c r="AB724" s="301"/>
      <c r="AC724" s="301"/>
      <c r="AE724" s="301"/>
      <c r="AF724" s="301"/>
      <c r="AG724" s="301"/>
    </row>
    <row r="725">
      <c r="J725" s="301"/>
      <c r="K725" s="301"/>
      <c r="L725" s="301"/>
      <c r="M725" s="301"/>
      <c r="N725" s="301"/>
      <c r="O725" s="300"/>
      <c r="P725" s="429"/>
      <c r="Q725" s="301"/>
      <c r="R725" s="2"/>
      <c r="S725" s="301"/>
      <c r="T725" s="301"/>
      <c r="X725" s="2">
        <f t="shared" si="17"/>
        <v>0</v>
      </c>
      <c r="AA725" s="301"/>
      <c r="AB725" s="301"/>
      <c r="AC725" s="301"/>
      <c r="AE725" s="301"/>
      <c r="AF725" s="301"/>
      <c r="AG725" s="301"/>
    </row>
    <row r="726">
      <c r="J726" s="301"/>
      <c r="K726" s="301"/>
      <c r="L726" s="301"/>
      <c r="M726" s="301"/>
      <c r="N726" s="301"/>
      <c r="O726" s="300"/>
      <c r="P726" s="429"/>
      <c r="Q726" s="301"/>
      <c r="R726" s="2"/>
      <c r="S726" s="301"/>
      <c r="T726" s="301"/>
      <c r="X726" s="2">
        <f t="shared" si="17"/>
        <v>0</v>
      </c>
      <c r="AA726" s="301"/>
      <c r="AB726" s="301"/>
      <c r="AC726" s="301"/>
      <c r="AE726" s="301"/>
      <c r="AF726" s="301"/>
      <c r="AG726" s="301"/>
    </row>
    <row r="727">
      <c r="J727" s="301"/>
      <c r="K727" s="301"/>
      <c r="L727" s="301"/>
      <c r="M727" s="301"/>
      <c r="N727" s="301"/>
      <c r="O727" s="300"/>
      <c r="P727" s="429"/>
      <c r="Q727" s="301"/>
      <c r="R727" s="2"/>
      <c r="S727" s="301"/>
      <c r="T727" s="301"/>
      <c r="X727" s="2">
        <f t="shared" si="17"/>
        <v>0</v>
      </c>
      <c r="AA727" s="301"/>
      <c r="AB727" s="301"/>
      <c r="AC727" s="301"/>
      <c r="AE727" s="301"/>
      <c r="AF727" s="301"/>
      <c r="AG727" s="301"/>
    </row>
    <row r="728">
      <c r="J728" s="301"/>
      <c r="K728" s="301"/>
      <c r="L728" s="301"/>
      <c r="M728" s="301"/>
      <c r="N728" s="301"/>
      <c r="O728" s="300"/>
      <c r="P728" s="429"/>
      <c r="Q728" s="301"/>
      <c r="R728" s="2"/>
      <c r="S728" s="301"/>
      <c r="T728" s="301"/>
      <c r="X728" s="2">
        <f t="shared" si="17"/>
        <v>0</v>
      </c>
      <c r="AA728" s="301"/>
      <c r="AB728" s="301"/>
      <c r="AC728" s="301"/>
      <c r="AE728" s="301"/>
      <c r="AF728" s="301"/>
      <c r="AG728" s="301"/>
    </row>
    <row r="729">
      <c r="J729" s="301"/>
      <c r="K729" s="301"/>
      <c r="L729" s="301"/>
      <c r="M729" s="301"/>
      <c r="N729" s="301"/>
      <c r="O729" s="300"/>
      <c r="P729" s="429"/>
      <c r="Q729" s="301"/>
      <c r="R729" s="2"/>
      <c r="S729" s="301"/>
      <c r="T729" s="301"/>
      <c r="X729" s="2">
        <f t="shared" si="17"/>
        <v>0</v>
      </c>
      <c r="AA729" s="301"/>
      <c r="AB729" s="301"/>
      <c r="AC729" s="301"/>
      <c r="AE729" s="301"/>
      <c r="AF729" s="301"/>
      <c r="AG729" s="301"/>
    </row>
    <row r="730">
      <c r="J730" s="301"/>
      <c r="K730" s="301"/>
      <c r="L730" s="301"/>
      <c r="M730" s="301"/>
      <c r="N730" s="301"/>
      <c r="O730" s="300"/>
      <c r="P730" s="429"/>
      <c r="Q730" s="301"/>
      <c r="R730" s="2"/>
      <c r="S730" s="301"/>
      <c r="T730" s="301"/>
      <c r="X730" s="2">
        <f t="shared" si="17"/>
        <v>0</v>
      </c>
      <c r="AA730" s="301"/>
      <c r="AB730" s="301"/>
      <c r="AC730" s="301"/>
      <c r="AE730" s="301"/>
      <c r="AF730" s="301"/>
      <c r="AG730" s="301"/>
    </row>
    <row r="731">
      <c r="J731" s="301"/>
      <c r="K731" s="301"/>
      <c r="L731" s="301"/>
      <c r="M731" s="301"/>
      <c r="N731" s="301"/>
      <c r="O731" s="300"/>
      <c r="P731" s="429"/>
      <c r="Q731" s="301"/>
      <c r="R731" s="2"/>
      <c r="S731" s="301"/>
      <c r="T731" s="301"/>
      <c r="X731" s="2">
        <f t="shared" si="17"/>
        <v>0</v>
      </c>
      <c r="AA731" s="301"/>
      <c r="AB731" s="301"/>
      <c r="AC731" s="301"/>
      <c r="AE731" s="301"/>
      <c r="AF731" s="301"/>
      <c r="AG731" s="301"/>
    </row>
    <row r="732">
      <c r="J732" s="301"/>
      <c r="K732" s="301"/>
      <c r="L732" s="301"/>
      <c r="M732" s="301"/>
      <c r="N732" s="301"/>
      <c r="O732" s="300"/>
      <c r="P732" s="429"/>
      <c r="Q732" s="301"/>
      <c r="R732" s="2"/>
      <c r="S732" s="301"/>
      <c r="T732" s="301"/>
      <c r="X732" s="2">
        <f t="shared" si="17"/>
        <v>0</v>
      </c>
      <c r="AA732" s="301"/>
      <c r="AB732" s="301"/>
      <c r="AC732" s="301"/>
      <c r="AE732" s="301"/>
      <c r="AF732" s="301"/>
      <c r="AG732" s="301"/>
    </row>
    <row r="733">
      <c r="J733" s="301"/>
      <c r="K733" s="301"/>
      <c r="L733" s="301"/>
      <c r="M733" s="301"/>
      <c r="N733" s="301"/>
      <c r="O733" s="300"/>
      <c r="P733" s="429"/>
      <c r="Q733" s="301"/>
      <c r="R733" s="2"/>
      <c r="S733" s="301"/>
      <c r="T733" s="301"/>
      <c r="X733" s="2">
        <f t="shared" si="17"/>
        <v>0</v>
      </c>
      <c r="AA733" s="301"/>
      <c r="AB733" s="301"/>
      <c r="AC733" s="301"/>
      <c r="AE733" s="301"/>
      <c r="AF733" s="301"/>
      <c r="AG733" s="301"/>
    </row>
    <row r="734">
      <c r="J734" s="301"/>
      <c r="K734" s="301"/>
      <c r="L734" s="301"/>
      <c r="M734" s="301"/>
      <c r="N734" s="301"/>
      <c r="O734" s="300"/>
      <c r="P734" s="429"/>
      <c r="Q734" s="301"/>
      <c r="R734" s="2"/>
      <c r="S734" s="301"/>
      <c r="T734" s="301"/>
      <c r="X734" s="2">
        <f t="shared" si="17"/>
        <v>0</v>
      </c>
      <c r="AA734" s="301"/>
      <c r="AB734" s="301"/>
      <c r="AC734" s="301"/>
      <c r="AE734" s="301"/>
      <c r="AF734" s="301"/>
      <c r="AG734" s="301"/>
    </row>
    <row r="735">
      <c r="J735" s="301"/>
      <c r="K735" s="301"/>
      <c r="L735" s="301"/>
      <c r="M735" s="301"/>
      <c r="N735" s="301"/>
      <c r="O735" s="300"/>
      <c r="P735" s="429"/>
      <c r="Q735" s="301"/>
      <c r="R735" s="2"/>
      <c r="S735" s="301"/>
      <c r="T735" s="301"/>
      <c r="X735" s="2">
        <f t="shared" si="17"/>
        <v>0</v>
      </c>
      <c r="AA735" s="301"/>
      <c r="AB735" s="301"/>
      <c r="AC735" s="301"/>
      <c r="AE735" s="301"/>
      <c r="AF735" s="301"/>
      <c r="AG735" s="301"/>
    </row>
    <row r="736">
      <c r="J736" s="301"/>
      <c r="K736" s="301"/>
      <c r="L736" s="301"/>
      <c r="M736" s="301"/>
      <c r="N736" s="301"/>
      <c r="O736" s="300"/>
      <c r="P736" s="429"/>
      <c r="Q736" s="301"/>
      <c r="R736" s="2"/>
      <c r="S736" s="301"/>
      <c r="T736" s="301"/>
      <c r="X736" s="2">
        <f t="shared" si="17"/>
        <v>0</v>
      </c>
      <c r="AA736" s="301"/>
      <c r="AB736" s="301"/>
      <c r="AC736" s="301"/>
      <c r="AE736" s="301"/>
      <c r="AF736" s="301"/>
      <c r="AG736" s="301"/>
    </row>
    <row r="737">
      <c r="J737" s="301"/>
      <c r="K737" s="301"/>
      <c r="L737" s="301"/>
      <c r="M737" s="301"/>
      <c r="N737" s="301"/>
      <c r="O737" s="300"/>
      <c r="P737" s="429"/>
      <c r="Q737" s="301"/>
      <c r="R737" s="2"/>
      <c r="S737" s="301"/>
      <c r="T737" s="301"/>
      <c r="X737" s="2">
        <f t="shared" si="17"/>
        <v>0</v>
      </c>
      <c r="AA737" s="301"/>
      <c r="AB737" s="301"/>
      <c r="AC737" s="301"/>
      <c r="AE737" s="301"/>
      <c r="AF737" s="301"/>
      <c r="AG737" s="301"/>
    </row>
    <row r="738">
      <c r="J738" s="301"/>
      <c r="K738" s="301"/>
      <c r="L738" s="301"/>
      <c r="M738" s="301"/>
      <c r="N738" s="301"/>
      <c r="O738" s="300"/>
      <c r="P738" s="429"/>
      <c r="Q738" s="301"/>
      <c r="R738" s="2"/>
      <c r="S738" s="301"/>
      <c r="T738" s="301"/>
      <c r="X738" s="2">
        <f t="shared" si="17"/>
        <v>0</v>
      </c>
      <c r="AA738" s="301"/>
      <c r="AB738" s="301"/>
      <c r="AC738" s="301"/>
      <c r="AE738" s="301"/>
      <c r="AF738" s="301"/>
      <c r="AG738" s="301"/>
    </row>
    <row r="739">
      <c r="J739" s="301"/>
      <c r="K739" s="301"/>
      <c r="L739" s="301"/>
      <c r="M739" s="301"/>
      <c r="N739" s="301"/>
      <c r="O739" s="300"/>
      <c r="P739" s="429"/>
      <c r="Q739" s="301"/>
      <c r="R739" s="2"/>
      <c r="S739" s="301"/>
      <c r="T739" s="301"/>
      <c r="X739" s="2">
        <f t="shared" si="17"/>
        <v>0</v>
      </c>
      <c r="AA739" s="301"/>
      <c r="AB739" s="301"/>
      <c r="AC739" s="301"/>
      <c r="AE739" s="301"/>
      <c r="AF739" s="301"/>
      <c r="AG739" s="301"/>
    </row>
    <row r="740">
      <c r="J740" s="301"/>
      <c r="K740" s="301"/>
      <c r="L740" s="301"/>
      <c r="M740" s="301"/>
      <c r="N740" s="301"/>
      <c r="O740" s="300"/>
      <c r="P740" s="429"/>
      <c r="Q740" s="301"/>
      <c r="R740" s="2"/>
      <c r="S740" s="301"/>
      <c r="T740" s="301"/>
      <c r="X740" s="2">
        <f t="shared" si="17"/>
        <v>0</v>
      </c>
      <c r="AA740" s="301"/>
      <c r="AB740" s="301"/>
      <c r="AC740" s="301"/>
      <c r="AE740" s="301"/>
      <c r="AF740" s="301"/>
      <c r="AG740" s="301"/>
    </row>
    <row r="741">
      <c r="J741" s="301"/>
      <c r="K741" s="301"/>
      <c r="L741" s="301"/>
      <c r="M741" s="301"/>
      <c r="N741" s="301"/>
      <c r="O741" s="300"/>
      <c r="P741" s="429"/>
      <c r="Q741" s="301"/>
      <c r="R741" s="2"/>
      <c r="S741" s="301"/>
      <c r="T741" s="301"/>
      <c r="X741" s="2">
        <f t="shared" si="17"/>
        <v>0</v>
      </c>
      <c r="AA741" s="301"/>
      <c r="AB741" s="301"/>
      <c r="AC741" s="301"/>
      <c r="AE741" s="301"/>
      <c r="AF741" s="301"/>
      <c r="AG741" s="301"/>
    </row>
    <row r="742">
      <c r="J742" s="301"/>
      <c r="K742" s="301"/>
      <c r="L742" s="301"/>
      <c r="M742" s="301"/>
      <c r="N742" s="301"/>
      <c r="O742" s="300"/>
      <c r="P742" s="429"/>
      <c r="Q742" s="301"/>
      <c r="R742" s="2"/>
      <c r="S742" s="301"/>
      <c r="T742" s="301"/>
      <c r="X742" s="2">
        <f t="shared" si="17"/>
        <v>0</v>
      </c>
      <c r="AA742" s="301"/>
      <c r="AB742" s="301"/>
      <c r="AC742" s="301"/>
      <c r="AE742" s="301"/>
      <c r="AF742" s="301"/>
      <c r="AG742" s="301"/>
    </row>
    <row r="743">
      <c r="J743" s="301"/>
      <c r="K743" s="301"/>
      <c r="L743" s="301"/>
      <c r="M743" s="301"/>
      <c r="N743" s="301"/>
      <c r="O743" s="300"/>
      <c r="P743" s="429"/>
      <c r="Q743" s="301"/>
      <c r="R743" s="2"/>
      <c r="S743" s="301"/>
      <c r="T743" s="301"/>
      <c r="X743" s="2">
        <f t="shared" si="17"/>
        <v>0</v>
      </c>
      <c r="AA743" s="301"/>
      <c r="AB743" s="301"/>
      <c r="AC743" s="301"/>
      <c r="AE743" s="301"/>
      <c r="AF743" s="301"/>
      <c r="AG743" s="301"/>
    </row>
    <row r="744">
      <c r="J744" s="301"/>
      <c r="K744" s="301"/>
      <c r="L744" s="301"/>
      <c r="M744" s="301"/>
      <c r="N744" s="301"/>
      <c r="O744" s="300"/>
      <c r="P744" s="429"/>
      <c r="Q744" s="301"/>
      <c r="R744" s="2"/>
      <c r="S744" s="301"/>
      <c r="T744" s="301"/>
      <c r="X744" s="2">
        <f t="shared" si="17"/>
        <v>0</v>
      </c>
      <c r="AA744" s="301"/>
      <c r="AB744" s="301"/>
      <c r="AC744" s="301"/>
      <c r="AE744" s="301"/>
      <c r="AF744" s="301"/>
      <c r="AG744" s="301"/>
    </row>
    <row r="745">
      <c r="J745" s="301"/>
      <c r="K745" s="301"/>
      <c r="L745" s="301"/>
      <c r="M745" s="301"/>
      <c r="N745" s="301"/>
      <c r="O745" s="300"/>
      <c r="P745" s="429"/>
      <c r="Q745" s="301"/>
      <c r="R745" s="2"/>
      <c r="S745" s="301"/>
      <c r="T745" s="301"/>
      <c r="X745" s="2">
        <f t="shared" si="17"/>
        <v>0</v>
      </c>
      <c r="AA745" s="301"/>
      <c r="AB745" s="301"/>
      <c r="AC745" s="301"/>
      <c r="AE745" s="301"/>
      <c r="AF745" s="301"/>
      <c r="AG745" s="301"/>
    </row>
    <row r="746">
      <c r="J746" s="301"/>
      <c r="K746" s="301"/>
      <c r="L746" s="301"/>
      <c r="M746" s="301"/>
      <c r="N746" s="301"/>
      <c r="O746" s="300"/>
      <c r="P746" s="429"/>
      <c r="Q746" s="301"/>
      <c r="R746" s="2"/>
      <c r="S746" s="301"/>
      <c r="T746" s="301"/>
      <c r="X746" s="2">
        <f t="shared" si="17"/>
        <v>0</v>
      </c>
      <c r="AA746" s="301"/>
      <c r="AB746" s="301"/>
      <c r="AC746" s="301"/>
      <c r="AE746" s="301"/>
      <c r="AF746" s="301"/>
      <c r="AG746" s="301"/>
    </row>
    <row r="747">
      <c r="J747" s="301"/>
      <c r="K747" s="301"/>
      <c r="L747" s="301"/>
      <c r="M747" s="301"/>
      <c r="N747" s="301"/>
      <c r="O747" s="300"/>
      <c r="P747" s="429"/>
      <c r="Q747" s="301"/>
      <c r="R747" s="2"/>
      <c r="S747" s="301"/>
      <c r="T747" s="301"/>
      <c r="X747" s="2">
        <f t="shared" si="17"/>
        <v>0</v>
      </c>
      <c r="AA747" s="301"/>
      <c r="AB747" s="301"/>
      <c r="AC747" s="301"/>
      <c r="AE747" s="301"/>
      <c r="AF747" s="301"/>
      <c r="AG747" s="301"/>
    </row>
    <row r="748">
      <c r="J748" s="301"/>
      <c r="K748" s="301"/>
      <c r="L748" s="301"/>
      <c r="M748" s="301"/>
      <c r="N748" s="301"/>
      <c r="O748" s="300"/>
      <c r="P748" s="429"/>
      <c r="Q748" s="301"/>
      <c r="R748" s="2"/>
      <c r="S748" s="301"/>
      <c r="T748" s="301"/>
      <c r="X748" s="2">
        <f t="shared" si="17"/>
        <v>0</v>
      </c>
      <c r="AA748" s="301"/>
      <c r="AB748" s="301"/>
      <c r="AC748" s="301"/>
      <c r="AE748" s="301"/>
      <c r="AF748" s="301"/>
      <c r="AG748" s="301"/>
    </row>
    <row r="749">
      <c r="J749" s="301"/>
      <c r="K749" s="301"/>
      <c r="L749" s="301"/>
      <c r="M749" s="301"/>
      <c r="N749" s="301"/>
      <c r="O749" s="300"/>
      <c r="P749" s="429"/>
      <c r="Q749" s="301"/>
      <c r="R749" s="2"/>
      <c r="S749" s="301"/>
      <c r="T749" s="301"/>
      <c r="X749" s="2">
        <f t="shared" si="17"/>
        <v>0</v>
      </c>
      <c r="AA749" s="301"/>
      <c r="AB749" s="301"/>
      <c r="AC749" s="301"/>
      <c r="AE749" s="301"/>
      <c r="AF749" s="301"/>
      <c r="AG749" s="301"/>
    </row>
    <row r="750">
      <c r="J750" s="301"/>
      <c r="K750" s="301"/>
      <c r="L750" s="301"/>
      <c r="M750" s="301"/>
      <c r="N750" s="301"/>
      <c r="O750" s="300"/>
      <c r="P750" s="429"/>
      <c r="Q750" s="301"/>
      <c r="R750" s="2"/>
      <c r="S750" s="301"/>
      <c r="T750" s="301"/>
      <c r="X750" s="2">
        <f t="shared" si="17"/>
        <v>0</v>
      </c>
      <c r="AA750" s="301"/>
      <c r="AB750" s="301"/>
      <c r="AC750" s="301"/>
      <c r="AE750" s="301"/>
      <c r="AF750" s="301"/>
      <c r="AG750" s="301"/>
    </row>
    <row r="751">
      <c r="J751" s="301"/>
      <c r="K751" s="301"/>
      <c r="L751" s="301"/>
      <c r="M751" s="301"/>
      <c r="N751" s="301"/>
      <c r="O751" s="300"/>
      <c r="P751" s="429"/>
      <c r="Q751" s="301"/>
      <c r="R751" s="2"/>
      <c r="S751" s="301"/>
      <c r="T751" s="301"/>
      <c r="X751" s="2">
        <f t="shared" si="17"/>
        <v>0</v>
      </c>
      <c r="AA751" s="301"/>
      <c r="AB751" s="301"/>
      <c r="AC751" s="301"/>
      <c r="AE751" s="301"/>
      <c r="AF751" s="301"/>
      <c r="AG751" s="301"/>
    </row>
    <row r="752">
      <c r="J752" s="301"/>
      <c r="K752" s="301"/>
      <c r="L752" s="301"/>
      <c r="M752" s="301"/>
      <c r="N752" s="301"/>
      <c r="O752" s="300"/>
      <c r="P752" s="429"/>
      <c r="Q752" s="301"/>
      <c r="R752" s="2"/>
      <c r="S752" s="301"/>
      <c r="T752" s="301"/>
      <c r="X752" s="2">
        <f t="shared" si="17"/>
        <v>0</v>
      </c>
      <c r="AA752" s="301"/>
      <c r="AB752" s="301"/>
      <c r="AC752" s="301"/>
      <c r="AE752" s="301"/>
      <c r="AF752" s="301"/>
      <c r="AG752" s="301"/>
    </row>
    <row r="753">
      <c r="J753" s="301"/>
      <c r="K753" s="301"/>
      <c r="L753" s="301"/>
      <c r="M753" s="301"/>
      <c r="N753" s="301"/>
      <c r="O753" s="300"/>
      <c r="P753" s="429"/>
      <c r="Q753" s="301"/>
      <c r="R753" s="2"/>
      <c r="S753" s="301"/>
      <c r="T753" s="301"/>
      <c r="X753" s="2">
        <f t="shared" si="17"/>
        <v>0</v>
      </c>
      <c r="AA753" s="301"/>
      <c r="AB753" s="301"/>
      <c r="AC753" s="301"/>
      <c r="AE753" s="301"/>
      <c r="AF753" s="301"/>
      <c r="AG753" s="301"/>
    </row>
    <row r="754">
      <c r="J754" s="301"/>
      <c r="K754" s="301"/>
      <c r="L754" s="301"/>
      <c r="M754" s="301"/>
      <c r="N754" s="301"/>
      <c r="O754" s="300"/>
      <c r="P754" s="429"/>
      <c r="Q754" s="301"/>
      <c r="R754" s="2"/>
      <c r="S754" s="301"/>
      <c r="T754" s="301"/>
      <c r="X754" s="2">
        <f t="shared" si="17"/>
        <v>0</v>
      </c>
      <c r="AA754" s="301"/>
      <c r="AB754" s="301"/>
      <c r="AC754" s="301"/>
      <c r="AE754" s="301"/>
      <c r="AF754" s="301"/>
      <c r="AG754" s="301"/>
    </row>
    <row r="755">
      <c r="J755" s="301"/>
      <c r="K755" s="301"/>
      <c r="L755" s="301"/>
      <c r="M755" s="301"/>
      <c r="N755" s="301"/>
      <c r="O755" s="300"/>
      <c r="P755" s="429"/>
      <c r="Q755" s="301"/>
      <c r="R755" s="2"/>
      <c r="S755" s="301"/>
      <c r="T755" s="301"/>
      <c r="X755" s="2">
        <f t="shared" si="17"/>
        <v>0</v>
      </c>
      <c r="AA755" s="301"/>
      <c r="AB755" s="301"/>
      <c r="AC755" s="301"/>
      <c r="AE755" s="301"/>
      <c r="AF755" s="301"/>
      <c r="AG755" s="301"/>
    </row>
    <row r="756">
      <c r="J756" s="301"/>
      <c r="K756" s="301"/>
      <c r="L756" s="301"/>
      <c r="M756" s="301"/>
      <c r="N756" s="301"/>
      <c r="O756" s="300"/>
      <c r="P756" s="429"/>
      <c r="Q756" s="301"/>
      <c r="R756" s="2"/>
      <c r="S756" s="301"/>
      <c r="T756" s="301"/>
      <c r="X756" s="2">
        <f t="shared" si="17"/>
        <v>0</v>
      </c>
      <c r="AA756" s="301"/>
      <c r="AB756" s="301"/>
      <c r="AC756" s="301"/>
      <c r="AE756" s="301"/>
      <c r="AF756" s="301"/>
      <c r="AG756" s="301"/>
    </row>
    <row r="757">
      <c r="J757" s="301"/>
      <c r="K757" s="301"/>
      <c r="L757" s="301"/>
      <c r="M757" s="301"/>
      <c r="N757" s="301"/>
      <c r="O757" s="300"/>
      <c r="P757" s="429"/>
      <c r="Q757" s="301"/>
      <c r="R757" s="2"/>
      <c r="S757" s="301"/>
      <c r="T757" s="301"/>
      <c r="X757" s="2">
        <f t="shared" si="17"/>
        <v>0</v>
      </c>
      <c r="AA757" s="301"/>
      <c r="AB757" s="301"/>
      <c r="AC757" s="301"/>
      <c r="AE757" s="301"/>
      <c r="AF757" s="301"/>
      <c r="AG757" s="301"/>
    </row>
    <row r="758">
      <c r="J758" s="301"/>
      <c r="K758" s="301"/>
      <c r="L758" s="301"/>
      <c r="M758" s="301"/>
      <c r="N758" s="301"/>
      <c r="O758" s="300"/>
      <c r="P758" s="429"/>
      <c r="Q758" s="301"/>
      <c r="R758" s="2"/>
      <c r="S758" s="301"/>
      <c r="T758" s="301"/>
      <c r="X758" s="2">
        <f t="shared" si="17"/>
        <v>0</v>
      </c>
      <c r="AA758" s="301"/>
      <c r="AB758" s="301"/>
      <c r="AC758" s="301"/>
      <c r="AE758" s="301"/>
      <c r="AF758" s="301"/>
      <c r="AG758" s="301"/>
    </row>
    <row r="759">
      <c r="J759" s="301"/>
      <c r="K759" s="301"/>
      <c r="L759" s="301"/>
      <c r="M759" s="301"/>
      <c r="N759" s="301"/>
      <c r="O759" s="300"/>
      <c r="P759" s="429"/>
      <c r="Q759" s="301"/>
      <c r="R759" s="2"/>
      <c r="S759" s="301"/>
      <c r="T759" s="301"/>
      <c r="X759" s="2">
        <f t="shared" si="17"/>
        <v>0</v>
      </c>
      <c r="AA759" s="301"/>
      <c r="AB759" s="301"/>
      <c r="AC759" s="301"/>
      <c r="AE759" s="301"/>
      <c r="AF759" s="301"/>
      <c r="AG759" s="301"/>
    </row>
    <row r="760">
      <c r="J760" s="301"/>
      <c r="K760" s="301"/>
      <c r="L760" s="301"/>
      <c r="M760" s="301"/>
      <c r="N760" s="301"/>
      <c r="O760" s="300"/>
      <c r="P760" s="429"/>
      <c r="Q760" s="301"/>
      <c r="R760" s="2"/>
      <c r="S760" s="301"/>
      <c r="T760" s="301"/>
      <c r="X760" s="2">
        <f t="shared" si="17"/>
        <v>0</v>
      </c>
      <c r="AA760" s="301"/>
      <c r="AB760" s="301"/>
      <c r="AC760" s="301"/>
      <c r="AE760" s="301"/>
      <c r="AF760" s="301"/>
      <c r="AG760" s="301"/>
    </row>
    <row r="761">
      <c r="J761" s="301"/>
      <c r="K761" s="301"/>
      <c r="L761" s="301"/>
      <c r="M761" s="301"/>
      <c r="N761" s="301"/>
      <c r="O761" s="300"/>
      <c r="P761" s="429"/>
      <c r="Q761" s="301"/>
      <c r="R761" s="2"/>
      <c r="S761" s="301"/>
      <c r="T761" s="301"/>
      <c r="X761" s="2">
        <f t="shared" si="17"/>
        <v>0</v>
      </c>
      <c r="AA761" s="301"/>
      <c r="AB761" s="301"/>
      <c r="AC761" s="301"/>
      <c r="AE761" s="301"/>
      <c r="AF761" s="301"/>
      <c r="AG761" s="301"/>
    </row>
    <row r="762">
      <c r="J762" s="301"/>
      <c r="K762" s="301"/>
      <c r="L762" s="301"/>
      <c r="M762" s="301"/>
      <c r="N762" s="301"/>
      <c r="O762" s="300"/>
      <c r="P762" s="429"/>
      <c r="Q762" s="301"/>
      <c r="R762" s="2"/>
      <c r="S762" s="301"/>
      <c r="T762" s="301"/>
      <c r="X762" s="2">
        <f t="shared" si="17"/>
        <v>0</v>
      </c>
      <c r="AA762" s="301"/>
      <c r="AB762" s="301"/>
      <c r="AC762" s="301"/>
      <c r="AE762" s="301"/>
      <c r="AF762" s="301"/>
      <c r="AG762" s="301"/>
    </row>
    <row r="763">
      <c r="J763" s="301"/>
      <c r="K763" s="301"/>
      <c r="L763" s="301"/>
      <c r="M763" s="301"/>
      <c r="N763" s="301"/>
      <c r="O763" s="300"/>
      <c r="P763" s="429"/>
      <c r="Q763" s="301"/>
      <c r="R763" s="2"/>
      <c r="S763" s="301"/>
      <c r="T763" s="301"/>
      <c r="X763" s="2">
        <f t="shared" si="17"/>
        <v>0</v>
      </c>
      <c r="AA763" s="301"/>
      <c r="AB763" s="301"/>
      <c r="AC763" s="301"/>
      <c r="AE763" s="301"/>
      <c r="AF763" s="301"/>
      <c r="AG763" s="301"/>
    </row>
    <row r="764">
      <c r="J764" s="301"/>
      <c r="K764" s="301"/>
      <c r="L764" s="301"/>
      <c r="M764" s="301"/>
      <c r="N764" s="301"/>
      <c r="O764" s="300"/>
      <c r="P764" s="429"/>
      <c r="Q764" s="301"/>
      <c r="R764" s="2"/>
      <c r="S764" s="301"/>
      <c r="T764" s="301"/>
      <c r="X764" s="2">
        <f t="shared" si="17"/>
        <v>0</v>
      </c>
      <c r="AA764" s="301"/>
      <c r="AB764" s="301"/>
      <c r="AC764" s="301"/>
      <c r="AE764" s="301"/>
      <c r="AF764" s="301"/>
      <c r="AG764" s="301"/>
    </row>
    <row r="765">
      <c r="J765" s="301"/>
      <c r="K765" s="301"/>
      <c r="L765" s="301"/>
      <c r="M765" s="301"/>
      <c r="N765" s="301"/>
      <c r="O765" s="300"/>
      <c r="P765" s="429"/>
      <c r="Q765" s="301"/>
      <c r="R765" s="2"/>
      <c r="S765" s="301"/>
      <c r="T765" s="301"/>
      <c r="X765" s="2">
        <f t="shared" si="17"/>
        <v>0</v>
      </c>
      <c r="AA765" s="301"/>
      <c r="AB765" s="301"/>
      <c r="AC765" s="301"/>
      <c r="AE765" s="301"/>
      <c r="AF765" s="301"/>
      <c r="AG765" s="301"/>
    </row>
    <row r="766">
      <c r="J766" s="301"/>
      <c r="K766" s="301"/>
      <c r="L766" s="301"/>
      <c r="M766" s="301"/>
      <c r="N766" s="301"/>
      <c r="O766" s="300"/>
      <c r="P766" s="429"/>
      <c r="Q766" s="301"/>
      <c r="R766" s="2"/>
      <c r="S766" s="301"/>
      <c r="T766" s="301"/>
      <c r="X766" s="2">
        <f t="shared" si="17"/>
        <v>0</v>
      </c>
      <c r="AA766" s="301"/>
      <c r="AB766" s="301"/>
      <c r="AC766" s="301"/>
      <c r="AE766" s="301"/>
      <c r="AF766" s="301"/>
      <c r="AG766" s="301"/>
    </row>
    <row r="767">
      <c r="J767" s="301"/>
      <c r="K767" s="301"/>
      <c r="L767" s="301"/>
      <c r="M767" s="301"/>
      <c r="N767" s="301"/>
      <c r="O767" s="300"/>
      <c r="P767" s="429"/>
      <c r="Q767" s="301"/>
      <c r="R767" s="2"/>
      <c r="S767" s="301"/>
      <c r="T767" s="301"/>
      <c r="X767" s="2">
        <f t="shared" si="17"/>
        <v>0</v>
      </c>
      <c r="AA767" s="301"/>
      <c r="AB767" s="301"/>
      <c r="AC767" s="301"/>
      <c r="AE767" s="301"/>
      <c r="AF767" s="301"/>
      <c r="AG767" s="301"/>
    </row>
    <row r="768">
      <c r="J768" s="301"/>
      <c r="K768" s="301"/>
      <c r="L768" s="301"/>
      <c r="M768" s="301"/>
      <c r="N768" s="301"/>
      <c r="O768" s="300"/>
      <c r="P768" s="429"/>
      <c r="Q768" s="301"/>
      <c r="R768" s="2"/>
      <c r="S768" s="301"/>
      <c r="T768" s="301"/>
      <c r="X768" s="2">
        <f t="shared" si="17"/>
        <v>0</v>
      </c>
      <c r="AA768" s="301"/>
      <c r="AB768" s="301"/>
      <c r="AC768" s="301"/>
      <c r="AE768" s="301"/>
      <c r="AF768" s="301"/>
      <c r="AG768" s="301"/>
    </row>
    <row r="769">
      <c r="J769" s="301"/>
      <c r="K769" s="301"/>
      <c r="L769" s="301"/>
      <c r="M769" s="301"/>
      <c r="N769" s="301"/>
      <c r="O769" s="300"/>
      <c r="P769" s="429"/>
      <c r="Q769" s="301"/>
      <c r="R769" s="2"/>
      <c r="S769" s="301"/>
      <c r="T769" s="301"/>
      <c r="X769" s="2">
        <f t="shared" si="17"/>
        <v>0</v>
      </c>
      <c r="AA769" s="301"/>
      <c r="AB769" s="301"/>
      <c r="AC769" s="301"/>
      <c r="AE769" s="301"/>
      <c r="AF769" s="301"/>
      <c r="AG769" s="301"/>
    </row>
    <row r="770">
      <c r="J770" s="301"/>
      <c r="K770" s="301"/>
      <c r="L770" s="301"/>
      <c r="M770" s="301"/>
      <c r="N770" s="301"/>
      <c r="O770" s="300"/>
      <c r="P770" s="429"/>
      <c r="Q770" s="301"/>
      <c r="R770" s="2"/>
      <c r="S770" s="301"/>
      <c r="T770" s="301"/>
      <c r="X770" s="2">
        <f t="shared" si="17"/>
        <v>0</v>
      </c>
      <c r="AA770" s="301"/>
      <c r="AB770" s="301"/>
      <c r="AC770" s="301"/>
      <c r="AE770" s="301"/>
      <c r="AF770" s="301"/>
      <c r="AG770" s="301"/>
    </row>
    <row r="771">
      <c r="J771" s="301"/>
      <c r="K771" s="301"/>
      <c r="L771" s="301"/>
      <c r="M771" s="301"/>
      <c r="N771" s="301"/>
      <c r="O771" s="300"/>
      <c r="P771" s="429"/>
      <c r="Q771" s="301"/>
      <c r="R771" s="2"/>
      <c r="S771" s="301"/>
      <c r="T771" s="301"/>
      <c r="X771" s="2">
        <f t="shared" si="17"/>
        <v>0</v>
      </c>
      <c r="AA771" s="301"/>
      <c r="AB771" s="301"/>
      <c r="AC771" s="301"/>
      <c r="AE771" s="301"/>
      <c r="AF771" s="301"/>
      <c r="AG771" s="301"/>
    </row>
    <row r="772">
      <c r="J772" s="301"/>
      <c r="K772" s="301"/>
      <c r="L772" s="301"/>
      <c r="M772" s="301"/>
      <c r="N772" s="301"/>
      <c r="O772" s="300"/>
      <c r="P772" s="429"/>
      <c r="Q772" s="301"/>
      <c r="R772" s="2"/>
      <c r="S772" s="301"/>
      <c r="T772" s="301"/>
      <c r="X772" s="2">
        <f t="shared" si="17"/>
        <v>0</v>
      </c>
      <c r="AA772" s="301"/>
      <c r="AB772" s="301"/>
      <c r="AC772" s="301"/>
      <c r="AE772" s="301"/>
      <c r="AF772" s="301"/>
      <c r="AG772" s="301"/>
    </row>
    <row r="773">
      <c r="J773" s="301"/>
      <c r="K773" s="301"/>
      <c r="L773" s="301"/>
      <c r="M773" s="301"/>
      <c r="N773" s="301"/>
      <c r="O773" s="300"/>
      <c r="P773" s="429"/>
      <c r="Q773" s="301"/>
      <c r="R773" s="2"/>
      <c r="S773" s="301"/>
      <c r="T773" s="301"/>
      <c r="X773" s="2">
        <f t="shared" si="17"/>
        <v>0</v>
      </c>
      <c r="AA773" s="301"/>
      <c r="AB773" s="301"/>
      <c r="AC773" s="301"/>
      <c r="AE773" s="301"/>
      <c r="AF773" s="301"/>
      <c r="AG773" s="301"/>
    </row>
    <row r="774">
      <c r="J774" s="301"/>
      <c r="K774" s="301"/>
      <c r="L774" s="301"/>
      <c r="M774" s="301"/>
      <c r="N774" s="301"/>
      <c r="O774" s="300"/>
      <c r="P774" s="429"/>
      <c r="Q774" s="301"/>
      <c r="R774" s="2"/>
      <c r="S774" s="301"/>
      <c r="T774" s="301"/>
      <c r="X774" s="2">
        <f t="shared" si="17"/>
        <v>0</v>
      </c>
      <c r="AA774" s="301"/>
      <c r="AB774" s="301"/>
      <c r="AC774" s="301"/>
      <c r="AE774" s="301"/>
      <c r="AF774" s="301"/>
      <c r="AG774" s="301"/>
    </row>
    <row r="775">
      <c r="J775" s="301"/>
      <c r="K775" s="301"/>
      <c r="L775" s="301"/>
      <c r="M775" s="301"/>
      <c r="N775" s="301"/>
      <c r="O775" s="300"/>
      <c r="P775" s="429"/>
      <c r="Q775" s="301"/>
      <c r="R775" s="2"/>
      <c r="S775" s="301"/>
      <c r="T775" s="301"/>
      <c r="X775" s="2">
        <f t="shared" si="17"/>
        <v>0</v>
      </c>
      <c r="AA775" s="301"/>
      <c r="AB775" s="301"/>
      <c r="AC775" s="301"/>
      <c r="AE775" s="301"/>
      <c r="AF775" s="301"/>
      <c r="AG775" s="301"/>
    </row>
    <row r="776">
      <c r="J776" s="301"/>
      <c r="K776" s="301"/>
      <c r="L776" s="301"/>
      <c r="M776" s="301"/>
      <c r="N776" s="301"/>
      <c r="O776" s="300"/>
      <c r="P776" s="429"/>
      <c r="Q776" s="301"/>
      <c r="R776" s="2"/>
      <c r="S776" s="301"/>
      <c r="T776" s="301"/>
      <c r="X776" s="2">
        <f t="shared" si="17"/>
        <v>0</v>
      </c>
      <c r="AA776" s="301"/>
      <c r="AB776" s="301"/>
      <c r="AC776" s="301"/>
      <c r="AE776" s="301"/>
      <c r="AF776" s="301"/>
      <c r="AG776" s="301"/>
    </row>
    <row r="777">
      <c r="J777" s="301"/>
      <c r="K777" s="301"/>
      <c r="L777" s="301"/>
      <c r="M777" s="301"/>
      <c r="N777" s="301"/>
      <c r="O777" s="300"/>
      <c r="P777" s="429"/>
      <c r="Q777" s="301"/>
      <c r="R777" s="2"/>
      <c r="S777" s="301"/>
      <c r="T777" s="301"/>
      <c r="X777" s="2">
        <f t="shared" si="17"/>
        <v>0</v>
      </c>
      <c r="AA777" s="301"/>
      <c r="AB777" s="301"/>
      <c r="AC777" s="301"/>
      <c r="AE777" s="301"/>
      <c r="AF777" s="301"/>
      <c r="AG777" s="301"/>
    </row>
    <row r="778">
      <c r="J778" s="301"/>
      <c r="K778" s="301"/>
      <c r="L778" s="301"/>
      <c r="M778" s="301"/>
      <c r="N778" s="301"/>
      <c r="O778" s="300"/>
      <c r="P778" s="429"/>
      <c r="Q778" s="301"/>
      <c r="R778" s="2"/>
      <c r="S778" s="301"/>
      <c r="T778" s="301"/>
      <c r="X778" s="2">
        <f t="shared" si="17"/>
        <v>0</v>
      </c>
      <c r="AA778" s="301"/>
      <c r="AB778" s="301"/>
      <c r="AC778" s="301"/>
      <c r="AE778" s="301"/>
      <c r="AF778" s="301"/>
      <c r="AG778" s="301"/>
    </row>
    <row r="779">
      <c r="J779" s="301"/>
      <c r="K779" s="301"/>
      <c r="L779" s="301"/>
      <c r="M779" s="301"/>
      <c r="N779" s="301"/>
      <c r="O779" s="300"/>
      <c r="P779" s="429"/>
      <c r="Q779" s="301"/>
      <c r="R779" s="2"/>
      <c r="S779" s="301"/>
      <c r="T779" s="301"/>
      <c r="X779" s="2">
        <f t="shared" si="17"/>
        <v>0</v>
      </c>
      <c r="AA779" s="301"/>
      <c r="AB779" s="301"/>
      <c r="AC779" s="301"/>
      <c r="AE779" s="301"/>
      <c r="AF779" s="301"/>
      <c r="AG779" s="301"/>
    </row>
    <row r="780">
      <c r="J780" s="301"/>
      <c r="K780" s="301"/>
      <c r="L780" s="301"/>
      <c r="M780" s="301"/>
      <c r="N780" s="301"/>
      <c r="O780" s="300"/>
      <c r="P780" s="429"/>
      <c r="Q780" s="301"/>
      <c r="R780" s="2"/>
      <c r="S780" s="301"/>
      <c r="T780" s="301"/>
      <c r="X780" s="2">
        <f t="shared" si="17"/>
        <v>0</v>
      </c>
      <c r="AA780" s="301"/>
      <c r="AB780" s="301"/>
      <c r="AC780" s="301"/>
      <c r="AE780" s="301"/>
      <c r="AF780" s="301"/>
      <c r="AG780" s="301"/>
    </row>
    <row r="781">
      <c r="J781" s="301"/>
      <c r="K781" s="301"/>
      <c r="L781" s="301"/>
      <c r="M781" s="301"/>
      <c r="N781" s="301"/>
      <c r="O781" s="300"/>
      <c r="P781" s="429"/>
      <c r="Q781" s="301"/>
      <c r="R781" s="2"/>
      <c r="S781" s="301"/>
      <c r="T781" s="301"/>
      <c r="X781" s="2">
        <f t="shared" si="17"/>
        <v>0</v>
      </c>
      <c r="AA781" s="301"/>
      <c r="AB781" s="301"/>
      <c r="AC781" s="301"/>
      <c r="AE781" s="301"/>
      <c r="AF781" s="301"/>
      <c r="AG781" s="301"/>
    </row>
    <row r="782">
      <c r="J782" s="301"/>
      <c r="K782" s="301"/>
      <c r="L782" s="301"/>
      <c r="M782" s="301"/>
      <c r="N782" s="301"/>
      <c r="O782" s="300"/>
      <c r="P782" s="429"/>
      <c r="Q782" s="301"/>
      <c r="R782" s="2"/>
      <c r="S782" s="301"/>
      <c r="T782" s="301"/>
      <c r="X782" s="2">
        <f t="shared" si="17"/>
        <v>0</v>
      </c>
      <c r="AA782" s="301"/>
      <c r="AB782" s="301"/>
      <c r="AC782" s="301"/>
      <c r="AE782" s="301"/>
      <c r="AF782" s="301"/>
      <c r="AG782" s="301"/>
    </row>
    <row r="783">
      <c r="J783" s="301"/>
      <c r="K783" s="301"/>
      <c r="L783" s="301"/>
      <c r="M783" s="301"/>
      <c r="N783" s="301"/>
      <c r="O783" s="300"/>
      <c r="P783" s="429"/>
      <c r="Q783" s="301"/>
      <c r="R783" s="2"/>
      <c r="S783" s="301"/>
      <c r="T783" s="301"/>
      <c r="X783" s="2">
        <f t="shared" si="17"/>
        <v>0</v>
      </c>
      <c r="AA783" s="301"/>
      <c r="AB783" s="301"/>
      <c r="AC783" s="301"/>
      <c r="AE783" s="301"/>
      <c r="AF783" s="301"/>
      <c r="AG783" s="301"/>
    </row>
    <row r="784">
      <c r="J784" s="301"/>
      <c r="K784" s="301"/>
      <c r="L784" s="301"/>
      <c r="M784" s="301"/>
      <c r="N784" s="301"/>
      <c r="O784" s="300"/>
      <c r="P784" s="429"/>
      <c r="Q784" s="301"/>
      <c r="R784" s="2"/>
      <c r="S784" s="301"/>
      <c r="T784" s="301"/>
      <c r="X784" s="2">
        <f t="shared" si="17"/>
        <v>0</v>
      </c>
      <c r="AA784" s="301"/>
      <c r="AB784" s="301"/>
      <c r="AC784" s="301"/>
      <c r="AE784" s="301"/>
      <c r="AF784" s="301"/>
      <c r="AG784" s="301"/>
    </row>
    <row r="785">
      <c r="J785" s="301"/>
      <c r="K785" s="301"/>
      <c r="L785" s="301"/>
      <c r="M785" s="301"/>
      <c r="N785" s="301"/>
      <c r="O785" s="300"/>
      <c r="P785" s="429"/>
      <c r="Q785" s="301"/>
      <c r="R785" s="2"/>
      <c r="S785" s="301"/>
      <c r="T785" s="301"/>
      <c r="X785" s="2">
        <f t="shared" si="17"/>
        <v>0</v>
      </c>
      <c r="AA785" s="301"/>
      <c r="AB785" s="301"/>
      <c r="AC785" s="301"/>
      <c r="AE785" s="301"/>
      <c r="AF785" s="301"/>
      <c r="AG785" s="301"/>
    </row>
    <row r="786">
      <c r="J786" s="301"/>
      <c r="K786" s="301"/>
      <c r="L786" s="301"/>
      <c r="M786" s="301"/>
      <c r="N786" s="301"/>
      <c r="O786" s="300"/>
      <c r="P786" s="429"/>
      <c r="Q786" s="301"/>
      <c r="R786" s="2"/>
      <c r="S786" s="301"/>
      <c r="T786" s="301"/>
      <c r="X786" s="2">
        <f t="shared" si="17"/>
        <v>0</v>
      </c>
      <c r="AA786" s="301"/>
      <c r="AB786" s="301"/>
      <c r="AC786" s="301"/>
      <c r="AE786" s="301"/>
      <c r="AF786" s="301"/>
      <c r="AG786" s="301"/>
    </row>
    <row r="787">
      <c r="J787" s="301"/>
      <c r="K787" s="301"/>
      <c r="L787" s="301"/>
      <c r="M787" s="301"/>
      <c r="N787" s="301"/>
      <c r="O787" s="300"/>
      <c r="P787" s="429"/>
      <c r="Q787" s="301"/>
      <c r="R787" s="2"/>
      <c r="S787" s="301"/>
      <c r="T787" s="301"/>
      <c r="X787" s="2">
        <f t="shared" si="17"/>
        <v>0</v>
      </c>
      <c r="AA787" s="301"/>
      <c r="AB787" s="301"/>
      <c r="AC787" s="301"/>
      <c r="AE787" s="301"/>
      <c r="AF787" s="301"/>
      <c r="AG787" s="301"/>
    </row>
    <row r="788">
      <c r="J788" s="301"/>
      <c r="K788" s="301"/>
      <c r="L788" s="301"/>
      <c r="M788" s="301"/>
      <c r="N788" s="301"/>
      <c r="O788" s="300"/>
      <c r="P788" s="429"/>
      <c r="Q788" s="301"/>
      <c r="R788" s="2"/>
      <c r="S788" s="301"/>
      <c r="T788" s="301"/>
      <c r="X788" s="2">
        <f t="shared" si="17"/>
        <v>0</v>
      </c>
      <c r="AA788" s="301"/>
      <c r="AB788" s="301"/>
      <c r="AC788" s="301"/>
      <c r="AE788" s="301"/>
      <c r="AF788" s="301"/>
      <c r="AG788" s="301"/>
    </row>
    <row r="789">
      <c r="J789" s="301"/>
      <c r="K789" s="301"/>
      <c r="L789" s="301"/>
      <c r="M789" s="301"/>
      <c r="N789" s="301"/>
      <c r="O789" s="300"/>
      <c r="P789" s="429"/>
      <c r="Q789" s="301"/>
      <c r="R789" s="2"/>
      <c r="S789" s="301"/>
      <c r="T789" s="301"/>
      <c r="X789" s="2">
        <f t="shared" si="17"/>
        <v>0</v>
      </c>
      <c r="AA789" s="301"/>
      <c r="AB789" s="301"/>
      <c r="AC789" s="301"/>
      <c r="AE789" s="301"/>
      <c r="AF789" s="301"/>
      <c r="AG789" s="301"/>
    </row>
    <row r="790">
      <c r="J790" s="301"/>
      <c r="K790" s="301"/>
      <c r="L790" s="301"/>
      <c r="M790" s="301"/>
      <c r="N790" s="301"/>
      <c r="O790" s="300"/>
      <c r="P790" s="429"/>
      <c r="Q790" s="301"/>
      <c r="R790" s="2"/>
      <c r="S790" s="301"/>
      <c r="T790" s="301"/>
      <c r="X790" s="2">
        <f t="shared" si="17"/>
        <v>0</v>
      </c>
      <c r="AA790" s="301"/>
      <c r="AB790" s="301"/>
      <c r="AC790" s="301"/>
      <c r="AE790" s="301"/>
      <c r="AF790" s="301"/>
      <c r="AG790" s="301"/>
    </row>
    <row r="791">
      <c r="J791" s="301"/>
      <c r="K791" s="301"/>
      <c r="L791" s="301"/>
      <c r="M791" s="301"/>
      <c r="N791" s="301"/>
      <c r="O791" s="300"/>
      <c r="P791" s="429"/>
      <c r="Q791" s="301"/>
      <c r="R791" s="2"/>
      <c r="S791" s="301"/>
      <c r="T791" s="301"/>
      <c r="X791" s="2">
        <f t="shared" si="17"/>
        <v>0</v>
      </c>
      <c r="AA791" s="301"/>
      <c r="AB791" s="301"/>
      <c r="AC791" s="301"/>
      <c r="AE791" s="301"/>
      <c r="AF791" s="301"/>
      <c r="AG791" s="301"/>
    </row>
    <row r="792">
      <c r="J792" s="301"/>
      <c r="K792" s="301"/>
      <c r="L792" s="301"/>
      <c r="M792" s="301"/>
      <c r="N792" s="301"/>
      <c r="O792" s="300"/>
      <c r="P792" s="429"/>
      <c r="Q792" s="301"/>
      <c r="R792" s="2"/>
      <c r="S792" s="301"/>
      <c r="T792" s="301"/>
      <c r="X792" s="2">
        <f t="shared" si="17"/>
        <v>0</v>
      </c>
      <c r="AA792" s="301"/>
      <c r="AB792" s="301"/>
      <c r="AC792" s="301"/>
      <c r="AE792" s="301"/>
      <c r="AF792" s="301"/>
      <c r="AG792" s="301"/>
    </row>
    <row r="793">
      <c r="J793" s="301"/>
      <c r="K793" s="301"/>
      <c r="L793" s="301"/>
      <c r="M793" s="301"/>
      <c r="N793" s="301"/>
      <c r="O793" s="300"/>
      <c r="P793" s="429"/>
      <c r="Q793" s="301"/>
      <c r="R793" s="2"/>
      <c r="S793" s="301"/>
      <c r="T793" s="301"/>
      <c r="X793" s="2">
        <f t="shared" si="17"/>
        <v>0</v>
      </c>
      <c r="AA793" s="301"/>
      <c r="AB793" s="301"/>
      <c r="AC793" s="301"/>
      <c r="AE793" s="301"/>
      <c r="AF793" s="301"/>
      <c r="AG793" s="301"/>
    </row>
    <row r="794">
      <c r="J794" s="301"/>
      <c r="K794" s="301"/>
      <c r="L794" s="301"/>
      <c r="M794" s="301"/>
      <c r="N794" s="301"/>
      <c r="O794" s="300"/>
      <c r="P794" s="429"/>
      <c r="Q794" s="301"/>
      <c r="R794" s="2"/>
      <c r="S794" s="301"/>
      <c r="T794" s="301"/>
      <c r="X794" s="2">
        <f t="shared" si="17"/>
        <v>0</v>
      </c>
      <c r="AA794" s="301"/>
      <c r="AB794" s="301"/>
      <c r="AC794" s="301"/>
      <c r="AE794" s="301"/>
      <c r="AF794" s="301"/>
      <c r="AG794" s="301"/>
    </row>
    <row r="795">
      <c r="J795" s="301"/>
      <c r="K795" s="301"/>
      <c r="L795" s="301"/>
      <c r="M795" s="301"/>
      <c r="N795" s="301"/>
      <c r="O795" s="300"/>
      <c r="P795" s="429"/>
      <c r="Q795" s="301"/>
      <c r="R795" s="2"/>
      <c r="S795" s="301"/>
      <c r="T795" s="301"/>
      <c r="X795" s="2">
        <f t="shared" si="17"/>
        <v>0</v>
      </c>
      <c r="AA795" s="301"/>
      <c r="AB795" s="301"/>
      <c r="AC795" s="301"/>
      <c r="AE795" s="301"/>
      <c r="AF795" s="301"/>
      <c r="AG795" s="301"/>
    </row>
    <row r="796">
      <c r="J796" s="301"/>
      <c r="K796" s="301"/>
      <c r="L796" s="301"/>
      <c r="M796" s="301"/>
      <c r="N796" s="301"/>
      <c r="O796" s="300"/>
      <c r="P796" s="429"/>
      <c r="Q796" s="301"/>
      <c r="R796" s="2"/>
      <c r="S796" s="301"/>
      <c r="T796" s="301"/>
      <c r="X796" s="2">
        <f t="shared" si="17"/>
        <v>0</v>
      </c>
      <c r="AA796" s="301"/>
      <c r="AB796" s="301"/>
      <c r="AC796" s="301"/>
      <c r="AE796" s="301"/>
      <c r="AF796" s="301"/>
      <c r="AG796" s="301"/>
    </row>
    <row r="797">
      <c r="J797" s="301"/>
      <c r="K797" s="301"/>
      <c r="L797" s="301"/>
      <c r="M797" s="301"/>
      <c r="N797" s="301"/>
      <c r="O797" s="300"/>
      <c r="P797" s="429"/>
      <c r="Q797" s="301"/>
      <c r="R797" s="2"/>
      <c r="S797" s="301"/>
      <c r="T797" s="301"/>
      <c r="X797" s="2">
        <f t="shared" si="17"/>
        <v>0</v>
      </c>
      <c r="AA797" s="301"/>
      <c r="AB797" s="301"/>
      <c r="AC797" s="301"/>
      <c r="AE797" s="301"/>
      <c r="AF797" s="301"/>
      <c r="AG797" s="301"/>
    </row>
    <row r="798">
      <c r="J798" s="301"/>
      <c r="K798" s="301"/>
      <c r="L798" s="301"/>
      <c r="M798" s="301"/>
      <c r="N798" s="301"/>
      <c r="O798" s="300"/>
      <c r="P798" s="429"/>
      <c r="Q798" s="301"/>
      <c r="R798" s="2"/>
      <c r="S798" s="301"/>
      <c r="T798" s="301"/>
      <c r="X798" s="2">
        <f t="shared" si="17"/>
        <v>0</v>
      </c>
      <c r="AA798" s="301"/>
      <c r="AB798" s="301"/>
      <c r="AC798" s="301"/>
      <c r="AE798" s="301"/>
      <c r="AF798" s="301"/>
      <c r="AG798" s="301"/>
    </row>
    <row r="799">
      <c r="J799" s="301"/>
      <c r="K799" s="301"/>
      <c r="L799" s="301"/>
      <c r="M799" s="301"/>
      <c r="N799" s="301"/>
      <c r="O799" s="300"/>
      <c r="P799" s="429"/>
      <c r="Q799" s="301"/>
      <c r="R799" s="2"/>
      <c r="S799" s="301"/>
      <c r="T799" s="301"/>
      <c r="X799" s="2">
        <f t="shared" si="17"/>
        <v>0</v>
      </c>
      <c r="AA799" s="301"/>
      <c r="AB799" s="301"/>
      <c r="AC799" s="301"/>
      <c r="AE799" s="301"/>
      <c r="AF799" s="301"/>
      <c r="AG799" s="301"/>
    </row>
    <row r="800">
      <c r="J800" s="301"/>
      <c r="K800" s="301"/>
      <c r="L800" s="301"/>
      <c r="M800" s="301"/>
      <c r="N800" s="301"/>
      <c r="O800" s="300"/>
      <c r="P800" s="429"/>
      <c r="Q800" s="301"/>
      <c r="R800" s="2"/>
      <c r="S800" s="301"/>
      <c r="T800" s="301"/>
      <c r="X800" s="2">
        <f t="shared" si="17"/>
        <v>0</v>
      </c>
      <c r="AA800" s="301"/>
      <c r="AB800" s="301"/>
      <c r="AC800" s="301"/>
      <c r="AE800" s="301"/>
      <c r="AF800" s="301"/>
      <c r="AG800" s="301"/>
    </row>
    <row r="801">
      <c r="J801" s="301"/>
      <c r="K801" s="301"/>
      <c r="L801" s="301"/>
      <c r="M801" s="301"/>
      <c r="N801" s="301"/>
      <c r="O801" s="300"/>
      <c r="P801" s="429"/>
      <c r="Q801" s="301"/>
      <c r="R801" s="2"/>
      <c r="S801" s="301"/>
      <c r="T801" s="301"/>
      <c r="X801" s="2">
        <f t="shared" si="17"/>
        <v>0</v>
      </c>
      <c r="AA801" s="301"/>
      <c r="AB801" s="301"/>
      <c r="AC801" s="301"/>
      <c r="AE801" s="301"/>
      <c r="AF801" s="301"/>
      <c r="AG801" s="301"/>
    </row>
    <row r="802">
      <c r="J802" s="301"/>
      <c r="K802" s="301"/>
      <c r="L802" s="301"/>
      <c r="M802" s="301"/>
      <c r="N802" s="301"/>
      <c r="O802" s="300"/>
      <c r="P802" s="429"/>
      <c r="Q802" s="301"/>
      <c r="R802" s="2"/>
      <c r="S802" s="301"/>
      <c r="T802" s="301"/>
      <c r="X802" s="2">
        <f t="shared" si="17"/>
        <v>0</v>
      </c>
      <c r="AA802" s="301"/>
      <c r="AB802" s="301"/>
      <c r="AC802" s="301"/>
      <c r="AE802" s="301"/>
      <c r="AF802" s="301"/>
      <c r="AG802" s="301"/>
    </row>
    <row r="803">
      <c r="J803" s="301"/>
      <c r="K803" s="301"/>
      <c r="L803" s="301"/>
      <c r="M803" s="301"/>
      <c r="N803" s="301"/>
      <c r="O803" s="300"/>
      <c r="P803" s="429"/>
      <c r="Q803" s="301"/>
      <c r="R803" s="2"/>
      <c r="S803" s="301"/>
      <c r="T803" s="301"/>
      <c r="X803" s="2">
        <f t="shared" si="17"/>
        <v>0</v>
      </c>
      <c r="AA803" s="301"/>
      <c r="AB803" s="301"/>
      <c r="AC803" s="301"/>
      <c r="AE803" s="301"/>
      <c r="AF803" s="301"/>
      <c r="AG803" s="301"/>
    </row>
    <row r="804">
      <c r="J804" s="301"/>
      <c r="K804" s="301"/>
      <c r="L804" s="301"/>
      <c r="M804" s="301"/>
      <c r="N804" s="301"/>
      <c r="O804" s="300"/>
      <c r="P804" s="429"/>
      <c r="Q804" s="301"/>
      <c r="R804" s="2"/>
      <c r="S804" s="301"/>
      <c r="T804" s="301"/>
      <c r="X804" s="2">
        <f t="shared" si="17"/>
        <v>0</v>
      </c>
      <c r="AA804" s="301"/>
      <c r="AB804" s="301"/>
      <c r="AC804" s="301"/>
      <c r="AE804" s="301"/>
      <c r="AF804" s="301"/>
      <c r="AG804" s="301"/>
    </row>
    <row r="805">
      <c r="J805" s="301"/>
      <c r="K805" s="301"/>
      <c r="L805" s="301"/>
      <c r="M805" s="301"/>
      <c r="N805" s="301"/>
      <c r="O805" s="300"/>
      <c r="P805" s="429"/>
      <c r="Q805" s="301"/>
      <c r="R805" s="2"/>
      <c r="S805" s="301"/>
      <c r="T805" s="301"/>
      <c r="X805" s="2">
        <f t="shared" si="17"/>
        <v>0</v>
      </c>
      <c r="AA805" s="301"/>
      <c r="AB805" s="301"/>
      <c r="AC805" s="301"/>
      <c r="AE805" s="301"/>
      <c r="AF805" s="301"/>
      <c r="AG805" s="301"/>
    </row>
    <row r="806">
      <c r="J806" s="301"/>
      <c r="K806" s="301"/>
      <c r="L806" s="301"/>
      <c r="M806" s="301"/>
      <c r="N806" s="301"/>
      <c r="O806" s="300"/>
      <c r="P806" s="429"/>
      <c r="Q806" s="301"/>
      <c r="R806" s="2"/>
      <c r="S806" s="301"/>
      <c r="T806" s="301"/>
      <c r="X806" s="2">
        <f t="shared" si="17"/>
        <v>0</v>
      </c>
      <c r="AA806" s="301"/>
      <c r="AB806" s="301"/>
      <c r="AC806" s="301"/>
      <c r="AE806" s="301"/>
      <c r="AF806" s="301"/>
      <c r="AG806" s="301"/>
    </row>
    <row r="807">
      <c r="J807" s="301"/>
      <c r="K807" s="301"/>
      <c r="L807" s="301"/>
      <c r="M807" s="301"/>
      <c r="N807" s="301"/>
      <c r="O807" s="300"/>
      <c r="P807" s="429"/>
      <c r="Q807" s="301"/>
      <c r="R807" s="2"/>
      <c r="S807" s="301"/>
      <c r="T807" s="301"/>
      <c r="X807" s="2">
        <f t="shared" si="17"/>
        <v>0</v>
      </c>
      <c r="AA807" s="301"/>
      <c r="AB807" s="301"/>
      <c r="AC807" s="301"/>
      <c r="AE807" s="301"/>
      <c r="AF807" s="301"/>
      <c r="AG807" s="301"/>
    </row>
    <row r="808">
      <c r="J808" s="301"/>
      <c r="K808" s="301"/>
      <c r="L808" s="301"/>
      <c r="M808" s="301"/>
      <c r="N808" s="301"/>
      <c r="O808" s="300"/>
      <c r="P808" s="429"/>
      <c r="Q808" s="301"/>
      <c r="R808" s="2"/>
      <c r="S808" s="301"/>
      <c r="T808" s="301"/>
      <c r="X808" s="2">
        <f t="shared" si="17"/>
        <v>0</v>
      </c>
      <c r="AA808" s="301"/>
      <c r="AB808" s="301"/>
      <c r="AC808" s="301"/>
      <c r="AE808" s="301"/>
      <c r="AF808" s="301"/>
      <c r="AG808" s="301"/>
    </row>
    <row r="809">
      <c r="J809" s="301"/>
      <c r="K809" s="301"/>
      <c r="L809" s="301"/>
      <c r="M809" s="301"/>
      <c r="N809" s="301"/>
      <c r="O809" s="300"/>
      <c r="P809" s="429"/>
      <c r="Q809" s="301"/>
      <c r="R809" s="2"/>
      <c r="S809" s="301"/>
      <c r="T809" s="301"/>
      <c r="X809" s="2">
        <f t="shared" si="17"/>
        <v>0</v>
      </c>
      <c r="AA809" s="301"/>
      <c r="AB809" s="301"/>
      <c r="AC809" s="301"/>
      <c r="AE809" s="301"/>
      <c r="AF809" s="301"/>
      <c r="AG809" s="301"/>
    </row>
    <row r="810">
      <c r="J810" s="301"/>
      <c r="K810" s="301"/>
      <c r="L810" s="301"/>
      <c r="M810" s="301"/>
      <c r="N810" s="301"/>
      <c r="O810" s="300"/>
      <c r="P810" s="429"/>
      <c r="Q810" s="301"/>
      <c r="R810" s="2"/>
      <c r="S810" s="301"/>
      <c r="T810" s="301"/>
      <c r="X810" s="2">
        <f t="shared" si="17"/>
        <v>0</v>
      </c>
      <c r="AA810" s="301"/>
      <c r="AB810" s="301"/>
      <c r="AC810" s="301"/>
      <c r="AE810" s="301"/>
      <c r="AF810" s="301"/>
      <c r="AG810" s="301"/>
    </row>
    <row r="811">
      <c r="J811" s="301"/>
      <c r="K811" s="301"/>
      <c r="L811" s="301"/>
      <c r="M811" s="301"/>
      <c r="N811" s="301"/>
      <c r="O811" s="300"/>
      <c r="P811" s="429"/>
      <c r="Q811" s="301"/>
      <c r="R811" s="2"/>
      <c r="S811" s="301"/>
      <c r="T811" s="301"/>
      <c r="X811" s="2">
        <f t="shared" si="17"/>
        <v>0</v>
      </c>
      <c r="AA811" s="301"/>
      <c r="AB811" s="301"/>
      <c r="AC811" s="301"/>
      <c r="AE811" s="301"/>
      <c r="AF811" s="301"/>
      <c r="AG811" s="301"/>
    </row>
    <row r="812">
      <c r="J812" s="301"/>
      <c r="K812" s="301"/>
      <c r="L812" s="301"/>
      <c r="M812" s="301"/>
      <c r="N812" s="301"/>
      <c r="O812" s="300"/>
      <c r="P812" s="429"/>
      <c r="Q812" s="301"/>
      <c r="R812" s="2"/>
      <c r="S812" s="301"/>
      <c r="T812" s="301"/>
      <c r="X812" s="2">
        <f t="shared" si="17"/>
        <v>0</v>
      </c>
      <c r="AA812" s="301"/>
      <c r="AB812" s="301"/>
      <c r="AC812" s="301"/>
      <c r="AE812" s="301"/>
      <c r="AF812" s="301"/>
      <c r="AG812" s="301"/>
    </row>
    <row r="813">
      <c r="J813" s="301"/>
      <c r="K813" s="301"/>
      <c r="L813" s="301"/>
      <c r="M813" s="301"/>
      <c r="N813" s="301"/>
      <c r="O813" s="300"/>
      <c r="P813" s="429"/>
      <c r="Q813" s="301"/>
      <c r="R813" s="2"/>
      <c r="S813" s="301"/>
      <c r="T813" s="301"/>
      <c r="X813" s="2">
        <f t="shared" si="17"/>
        <v>0</v>
      </c>
      <c r="AA813" s="301"/>
      <c r="AB813" s="301"/>
      <c r="AC813" s="301"/>
      <c r="AE813" s="301"/>
      <c r="AF813" s="301"/>
      <c r="AG813" s="301"/>
    </row>
    <row r="814">
      <c r="J814" s="301"/>
      <c r="K814" s="301"/>
      <c r="L814" s="301"/>
      <c r="M814" s="301"/>
      <c r="N814" s="301"/>
      <c r="O814" s="300"/>
      <c r="P814" s="429"/>
      <c r="Q814" s="301"/>
      <c r="R814" s="2"/>
      <c r="S814" s="301"/>
      <c r="T814" s="301"/>
      <c r="X814" s="2">
        <f t="shared" si="17"/>
        <v>0</v>
      </c>
      <c r="AA814" s="301"/>
      <c r="AB814" s="301"/>
      <c r="AC814" s="301"/>
      <c r="AE814" s="301"/>
      <c r="AF814" s="301"/>
      <c r="AG814" s="301"/>
    </row>
    <row r="815">
      <c r="J815" s="301"/>
      <c r="K815" s="301"/>
      <c r="L815" s="301"/>
      <c r="M815" s="301"/>
      <c r="N815" s="301"/>
      <c r="O815" s="300"/>
      <c r="P815" s="429"/>
      <c r="Q815" s="301"/>
      <c r="R815" s="2"/>
      <c r="S815" s="301"/>
      <c r="T815" s="301"/>
      <c r="X815" s="2">
        <f t="shared" si="17"/>
        <v>0</v>
      </c>
      <c r="AA815" s="301"/>
      <c r="AB815" s="301"/>
      <c r="AC815" s="301"/>
      <c r="AE815" s="301"/>
      <c r="AF815" s="301"/>
      <c r="AG815" s="301"/>
    </row>
    <row r="816">
      <c r="J816" s="301"/>
      <c r="K816" s="301"/>
      <c r="L816" s="301"/>
      <c r="M816" s="301"/>
      <c r="N816" s="301"/>
      <c r="O816" s="300"/>
      <c r="P816" s="429"/>
      <c r="Q816" s="301"/>
      <c r="R816" s="2"/>
      <c r="S816" s="301"/>
      <c r="T816" s="301"/>
      <c r="X816" s="2">
        <f t="shared" si="17"/>
        <v>0</v>
      </c>
      <c r="AA816" s="301"/>
      <c r="AB816" s="301"/>
      <c r="AC816" s="301"/>
      <c r="AE816" s="301"/>
      <c r="AF816" s="301"/>
      <c r="AG816" s="301"/>
    </row>
    <row r="817">
      <c r="J817" s="301"/>
      <c r="K817" s="301"/>
      <c r="L817" s="301"/>
      <c r="M817" s="301"/>
      <c r="N817" s="301"/>
      <c r="O817" s="300"/>
      <c r="P817" s="429"/>
      <c r="Q817" s="301"/>
      <c r="R817" s="2"/>
      <c r="S817" s="301"/>
      <c r="T817" s="301"/>
      <c r="X817" s="2">
        <f t="shared" si="17"/>
        <v>0</v>
      </c>
      <c r="AA817" s="301"/>
      <c r="AB817" s="301"/>
      <c r="AC817" s="301"/>
      <c r="AE817" s="301"/>
      <c r="AF817" s="301"/>
      <c r="AG817" s="301"/>
    </row>
    <row r="818">
      <c r="J818" s="301"/>
      <c r="K818" s="301"/>
      <c r="L818" s="301"/>
      <c r="M818" s="301"/>
      <c r="N818" s="301"/>
      <c r="O818" s="300"/>
      <c r="P818" s="429"/>
      <c r="Q818" s="301"/>
      <c r="R818" s="2"/>
      <c r="S818" s="301"/>
      <c r="T818" s="301"/>
      <c r="X818" s="2">
        <f t="shared" si="17"/>
        <v>0</v>
      </c>
      <c r="AA818" s="301"/>
      <c r="AB818" s="301"/>
      <c r="AC818" s="301"/>
      <c r="AE818" s="301"/>
      <c r="AF818" s="301"/>
      <c r="AG818" s="301"/>
    </row>
    <row r="819">
      <c r="J819" s="301"/>
      <c r="K819" s="301"/>
      <c r="L819" s="301"/>
      <c r="M819" s="301"/>
      <c r="N819" s="301"/>
      <c r="O819" s="300"/>
      <c r="P819" s="429"/>
      <c r="Q819" s="301"/>
      <c r="R819" s="2"/>
      <c r="S819" s="301"/>
      <c r="T819" s="301"/>
      <c r="X819" s="2">
        <f t="shared" si="17"/>
        <v>0</v>
      </c>
      <c r="AA819" s="301"/>
      <c r="AB819" s="301"/>
      <c r="AC819" s="301"/>
      <c r="AE819" s="301"/>
      <c r="AF819" s="301"/>
      <c r="AG819" s="301"/>
    </row>
    <row r="820">
      <c r="J820" s="301"/>
      <c r="K820" s="301"/>
      <c r="L820" s="301"/>
      <c r="M820" s="301"/>
      <c r="N820" s="301"/>
      <c r="O820" s="300"/>
      <c r="P820" s="429"/>
      <c r="Q820" s="301"/>
      <c r="R820" s="2"/>
      <c r="S820" s="301"/>
      <c r="T820" s="301"/>
      <c r="X820" s="2">
        <f t="shared" si="17"/>
        <v>0</v>
      </c>
      <c r="AA820" s="301"/>
      <c r="AB820" s="301"/>
      <c r="AC820" s="301"/>
      <c r="AE820" s="301"/>
      <c r="AF820" s="301"/>
      <c r="AG820" s="301"/>
    </row>
    <row r="821">
      <c r="J821" s="301"/>
      <c r="K821" s="301"/>
      <c r="L821" s="301"/>
      <c r="M821" s="301"/>
      <c r="N821" s="301"/>
      <c r="O821" s="300"/>
      <c r="P821" s="429"/>
      <c r="Q821" s="301"/>
      <c r="R821" s="2"/>
      <c r="S821" s="301"/>
      <c r="T821" s="301"/>
      <c r="X821" s="2">
        <f t="shared" si="17"/>
        <v>0</v>
      </c>
      <c r="AA821" s="301"/>
      <c r="AB821" s="301"/>
      <c r="AC821" s="301"/>
      <c r="AE821" s="301"/>
      <c r="AF821" s="301"/>
      <c r="AG821" s="301"/>
    </row>
    <row r="822">
      <c r="J822" s="301"/>
      <c r="K822" s="301"/>
      <c r="L822" s="301"/>
      <c r="M822" s="301"/>
      <c r="N822" s="301"/>
      <c r="O822" s="300"/>
      <c r="P822" s="429"/>
      <c r="Q822" s="301"/>
      <c r="R822" s="2"/>
      <c r="S822" s="301"/>
      <c r="T822" s="301"/>
      <c r="X822" s="2">
        <f t="shared" si="17"/>
        <v>0</v>
      </c>
      <c r="AA822" s="301"/>
      <c r="AB822" s="301"/>
      <c r="AC822" s="301"/>
      <c r="AE822" s="301"/>
      <c r="AF822" s="301"/>
      <c r="AG822" s="301"/>
    </row>
    <row r="823">
      <c r="J823" s="301"/>
      <c r="K823" s="301"/>
      <c r="L823" s="301"/>
      <c r="M823" s="301"/>
      <c r="N823" s="301"/>
      <c r="O823" s="300"/>
      <c r="P823" s="429"/>
      <c r="Q823" s="301"/>
      <c r="R823" s="2"/>
      <c r="S823" s="301"/>
      <c r="T823" s="301"/>
      <c r="X823" s="2">
        <f t="shared" si="17"/>
        <v>0</v>
      </c>
      <c r="AA823" s="301"/>
      <c r="AB823" s="301"/>
      <c r="AC823" s="301"/>
      <c r="AE823" s="301"/>
      <c r="AF823" s="301"/>
      <c r="AG823" s="301"/>
    </row>
    <row r="824">
      <c r="J824" s="301"/>
      <c r="K824" s="301"/>
      <c r="L824" s="301"/>
      <c r="M824" s="301"/>
      <c r="N824" s="301"/>
      <c r="O824" s="300"/>
      <c r="P824" s="429"/>
      <c r="Q824" s="301"/>
      <c r="R824" s="2"/>
      <c r="S824" s="301"/>
      <c r="T824" s="301"/>
      <c r="X824" s="2">
        <f t="shared" si="17"/>
        <v>0</v>
      </c>
      <c r="AA824" s="301"/>
      <c r="AB824" s="301"/>
      <c r="AC824" s="301"/>
      <c r="AE824" s="301"/>
      <c r="AF824" s="301"/>
      <c r="AG824" s="301"/>
    </row>
    <row r="825">
      <c r="J825" s="301"/>
      <c r="K825" s="301"/>
      <c r="L825" s="301"/>
      <c r="M825" s="301"/>
      <c r="N825" s="301"/>
      <c r="O825" s="300"/>
      <c r="P825" s="429"/>
      <c r="Q825" s="301"/>
      <c r="R825" s="2"/>
      <c r="S825" s="301"/>
      <c r="T825" s="301"/>
      <c r="X825" s="2">
        <f t="shared" si="17"/>
        <v>0</v>
      </c>
      <c r="AA825" s="301"/>
      <c r="AB825" s="301"/>
      <c r="AC825" s="301"/>
      <c r="AE825" s="301"/>
      <c r="AF825" s="301"/>
      <c r="AG825" s="301"/>
    </row>
    <row r="826">
      <c r="J826" s="301"/>
      <c r="K826" s="301"/>
      <c r="L826" s="301"/>
      <c r="M826" s="301"/>
      <c r="N826" s="301"/>
      <c r="O826" s="300"/>
      <c r="P826" s="429"/>
      <c r="Q826" s="301"/>
      <c r="R826" s="2"/>
      <c r="S826" s="301"/>
      <c r="T826" s="301"/>
      <c r="X826" s="2">
        <f t="shared" si="17"/>
        <v>0</v>
      </c>
      <c r="AA826" s="301"/>
      <c r="AB826" s="301"/>
      <c r="AC826" s="301"/>
      <c r="AE826" s="301"/>
      <c r="AF826" s="301"/>
      <c r="AG826" s="301"/>
    </row>
    <row r="827">
      <c r="J827" s="301"/>
      <c r="K827" s="301"/>
      <c r="L827" s="301"/>
      <c r="M827" s="301"/>
      <c r="N827" s="301"/>
      <c r="O827" s="300"/>
      <c r="P827" s="429"/>
      <c r="Q827" s="301"/>
      <c r="R827" s="2"/>
      <c r="S827" s="301"/>
      <c r="T827" s="301"/>
      <c r="X827" s="2">
        <f t="shared" si="17"/>
        <v>0</v>
      </c>
      <c r="AA827" s="301"/>
      <c r="AB827" s="301"/>
      <c r="AC827" s="301"/>
      <c r="AE827" s="301"/>
      <c r="AF827" s="301"/>
      <c r="AG827" s="301"/>
    </row>
    <row r="828">
      <c r="J828" s="301"/>
      <c r="K828" s="301"/>
      <c r="L828" s="301"/>
      <c r="M828" s="301"/>
      <c r="N828" s="301"/>
      <c r="O828" s="300"/>
      <c r="P828" s="429"/>
      <c r="Q828" s="301"/>
      <c r="R828" s="2"/>
      <c r="S828" s="301"/>
      <c r="T828" s="301"/>
      <c r="X828" s="2">
        <f t="shared" si="17"/>
        <v>0</v>
      </c>
      <c r="AA828" s="301"/>
      <c r="AB828" s="301"/>
      <c r="AC828" s="301"/>
      <c r="AE828" s="301"/>
      <c r="AF828" s="301"/>
      <c r="AG828" s="301"/>
    </row>
    <row r="829">
      <c r="J829" s="301"/>
      <c r="K829" s="301"/>
      <c r="L829" s="301"/>
      <c r="M829" s="301"/>
      <c r="N829" s="301"/>
      <c r="O829" s="300"/>
      <c r="P829" s="429"/>
      <c r="Q829" s="301"/>
      <c r="R829" s="2"/>
      <c r="S829" s="301"/>
      <c r="T829" s="301"/>
      <c r="X829" s="2">
        <f t="shared" si="17"/>
        <v>0</v>
      </c>
      <c r="AA829" s="301"/>
      <c r="AB829" s="301"/>
      <c r="AC829" s="301"/>
      <c r="AE829" s="301"/>
      <c r="AF829" s="301"/>
      <c r="AG829" s="301"/>
    </row>
    <row r="830">
      <c r="J830" s="301"/>
      <c r="K830" s="301"/>
      <c r="L830" s="301"/>
      <c r="M830" s="301"/>
      <c r="N830" s="301"/>
      <c r="O830" s="300"/>
      <c r="P830" s="429"/>
      <c r="Q830" s="301"/>
      <c r="R830" s="2"/>
      <c r="S830" s="301"/>
      <c r="T830" s="301"/>
      <c r="X830" s="2">
        <f t="shared" si="17"/>
        <v>0</v>
      </c>
      <c r="AA830" s="301"/>
      <c r="AB830" s="301"/>
      <c r="AC830" s="301"/>
      <c r="AE830" s="301"/>
      <c r="AF830" s="301"/>
      <c r="AG830" s="301"/>
    </row>
    <row r="831">
      <c r="J831" s="301"/>
      <c r="K831" s="301"/>
      <c r="L831" s="301"/>
      <c r="M831" s="301"/>
      <c r="N831" s="301"/>
      <c r="O831" s="300"/>
      <c r="P831" s="429"/>
      <c r="Q831" s="301"/>
      <c r="R831" s="2"/>
      <c r="S831" s="301"/>
      <c r="T831" s="301"/>
      <c r="X831" s="2">
        <f t="shared" si="17"/>
        <v>0</v>
      </c>
      <c r="AA831" s="301"/>
      <c r="AB831" s="301"/>
      <c r="AC831" s="301"/>
      <c r="AE831" s="301"/>
      <c r="AF831" s="301"/>
      <c r="AG831" s="301"/>
    </row>
    <row r="832">
      <c r="J832" s="301"/>
      <c r="K832" s="301"/>
      <c r="L832" s="301"/>
      <c r="M832" s="301"/>
      <c r="N832" s="301"/>
      <c r="O832" s="300"/>
      <c r="P832" s="429"/>
      <c r="Q832" s="301"/>
      <c r="R832" s="2"/>
      <c r="S832" s="301"/>
      <c r="T832" s="301"/>
      <c r="X832" s="2">
        <f t="shared" si="17"/>
        <v>0</v>
      </c>
      <c r="AA832" s="301"/>
      <c r="AB832" s="301"/>
      <c r="AC832" s="301"/>
      <c r="AE832" s="301"/>
      <c r="AF832" s="301"/>
      <c r="AG832" s="301"/>
    </row>
    <row r="833">
      <c r="J833" s="301"/>
      <c r="K833" s="301"/>
      <c r="L833" s="301"/>
      <c r="M833" s="301"/>
      <c r="N833" s="301"/>
      <c r="O833" s="300"/>
      <c r="P833" s="429"/>
      <c r="Q833" s="301"/>
      <c r="R833" s="2"/>
      <c r="S833" s="301"/>
      <c r="T833" s="301"/>
      <c r="X833" s="2">
        <f t="shared" si="17"/>
        <v>0</v>
      </c>
      <c r="AA833" s="301"/>
      <c r="AB833" s="301"/>
      <c r="AC833" s="301"/>
      <c r="AE833" s="301"/>
      <c r="AF833" s="301"/>
      <c r="AG833" s="301"/>
    </row>
    <row r="834">
      <c r="J834" s="301"/>
      <c r="K834" s="301"/>
      <c r="L834" s="301"/>
      <c r="M834" s="301"/>
      <c r="N834" s="301"/>
      <c r="O834" s="300"/>
      <c r="P834" s="429"/>
      <c r="Q834" s="301"/>
      <c r="R834" s="2"/>
      <c r="S834" s="301"/>
      <c r="T834" s="301"/>
      <c r="X834" s="2">
        <f t="shared" si="17"/>
        <v>0</v>
      </c>
      <c r="AA834" s="301"/>
      <c r="AB834" s="301"/>
      <c r="AC834" s="301"/>
      <c r="AE834" s="301"/>
      <c r="AF834" s="301"/>
      <c r="AG834" s="301"/>
    </row>
    <row r="835">
      <c r="J835" s="301"/>
      <c r="K835" s="301"/>
      <c r="L835" s="301"/>
      <c r="M835" s="301"/>
      <c r="N835" s="301"/>
      <c r="O835" s="300"/>
      <c r="P835" s="429"/>
      <c r="Q835" s="301"/>
      <c r="R835" s="2"/>
      <c r="S835" s="301"/>
      <c r="T835" s="301"/>
      <c r="X835" s="2">
        <f t="shared" si="17"/>
        <v>0</v>
      </c>
      <c r="AA835" s="301"/>
      <c r="AB835" s="301"/>
      <c r="AC835" s="301"/>
      <c r="AE835" s="301"/>
      <c r="AF835" s="301"/>
      <c r="AG835" s="301"/>
    </row>
    <row r="836">
      <c r="J836" s="301"/>
      <c r="K836" s="301"/>
      <c r="L836" s="301"/>
      <c r="M836" s="301"/>
      <c r="N836" s="301"/>
      <c r="O836" s="300"/>
      <c r="P836" s="429"/>
      <c r="Q836" s="301"/>
      <c r="R836" s="2"/>
      <c r="S836" s="301"/>
      <c r="T836" s="301"/>
      <c r="X836" s="2">
        <f t="shared" si="17"/>
        <v>0</v>
      </c>
      <c r="AA836" s="301"/>
      <c r="AB836" s="301"/>
      <c r="AC836" s="301"/>
      <c r="AE836" s="301"/>
      <c r="AF836" s="301"/>
      <c r="AG836" s="301"/>
    </row>
    <row r="837">
      <c r="J837" s="301"/>
      <c r="K837" s="301"/>
      <c r="L837" s="301"/>
      <c r="M837" s="301"/>
      <c r="N837" s="301"/>
      <c r="O837" s="300"/>
      <c r="P837" s="429"/>
      <c r="Q837" s="301"/>
      <c r="R837" s="2"/>
      <c r="S837" s="301"/>
      <c r="T837" s="301"/>
      <c r="X837" s="2">
        <f t="shared" si="17"/>
        <v>0</v>
      </c>
      <c r="AA837" s="301"/>
      <c r="AB837" s="301"/>
      <c r="AC837" s="301"/>
      <c r="AE837" s="301"/>
      <c r="AF837" s="301"/>
      <c r="AG837" s="301"/>
    </row>
    <row r="838">
      <c r="J838" s="301"/>
      <c r="K838" s="301"/>
      <c r="L838" s="301"/>
      <c r="M838" s="301"/>
      <c r="N838" s="301"/>
      <c r="O838" s="300"/>
      <c r="P838" s="429"/>
      <c r="Q838" s="301"/>
      <c r="R838" s="2"/>
      <c r="S838" s="301"/>
      <c r="T838" s="301"/>
      <c r="X838" s="2">
        <f t="shared" si="17"/>
        <v>0</v>
      </c>
      <c r="AA838" s="301"/>
      <c r="AB838" s="301"/>
      <c r="AC838" s="301"/>
      <c r="AE838" s="301"/>
      <c r="AF838" s="301"/>
      <c r="AG838" s="301"/>
    </row>
    <row r="839">
      <c r="J839" s="301"/>
      <c r="K839" s="301"/>
      <c r="L839" s="301"/>
      <c r="M839" s="301"/>
      <c r="N839" s="301"/>
      <c r="O839" s="300"/>
      <c r="P839" s="429"/>
      <c r="Q839" s="301"/>
      <c r="R839" s="2"/>
      <c r="S839" s="301"/>
      <c r="T839" s="301"/>
      <c r="X839" s="2">
        <f t="shared" si="17"/>
        <v>0</v>
      </c>
      <c r="AA839" s="301"/>
      <c r="AB839" s="301"/>
      <c r="AC839" s="301"/>
      <c r="AE839" s="301"/>
      <c r="AF839" s="301"/>
      <c r="AG839" s="301"/>
    </row>
    <row r="840">
      <c r="J840" s="301"/>
      <c r="K840" s="301"/>
      <c r="L840" s="301"/>
      <c r="M840" s="301"/>
      <c r="N840" s="301"/>
      <c r="O840" s="300"/>
      <c r="P840" s="429"/>
      <c r="Q840" s="301"/>
      <c r="R840" s="2"/>
      <c r="S840" s="301"/>
      <c r="T840" s="301"/>
      <c r="X840" s="2">
        <f t="shared" si="17"/>
        <v>0</v>
      </c>
      <c r="AA840" s="301"/>
      <c r="AB840" s="301"/>
      <c r="AC840" s="301"/>
      <c r="AE840" s="301"/>
      <c r="AF840" s="301"/>
      <c r="AG840" s="301"/>
    </row>
    <row r="841">
      <c r="J841" s="301"/>
      <c r="K841" s="301"/>
      <c r="L841" s="301"/>
      <c r="M841" s="301"/>
      <c r="N841" s="301"/>
      <c r="O841" s="300"/>
      <c r="P841" s="429"/>
      <c r="Q841" s="301"/>
      <c r="R841" s="2"/>
      <c r="S841" s="301"/>
      <c r="T841" s="301"/>
      <c r="X841" s="2">
        <f t="shared" si="17"/>
        <v>0</v>
      </c>
      <c r="AA841" s="301"/>
      <c r="AB841" s="301"/>
      <c r="AC841" s="301"/>
      <c r="AE841" s="301"/>
      <c r="AF841" s="301"/>
      <c r="AG841" s="301"/>
    </row>
    <row r="842">
      <c r="J842" s="301"/>
      <c r="K842" s="301"/>
      <c r="L842" s="301"/>
      <c r="M842" s="301"/>
      <c r="N842" s="301"/>
      <c r="O842" s="300"/>
      <c r="P842" s="429"/>
      <c r="Q842" s="301"/>
      <c r="R842" s="2"/>
      <c r="S842" s="301"/>
      <c r="T842" s="301"/>
      <c r="X842" s="2">
        <f t="shared" si="17"/>
        <v>0</v>
      </c>
      <c r="AA842" s="301"/>
      <c r="AB842" s="301"/>
      <c r="AC842" s="301"/>
      <c r="AE842" s="301"/>
      <c r="AF842" s="301"/>
      <c r="AG842" s="301"/>
    </row>
    <row r="843">
      <c r="J843" s="301"/>
      <c r="K843" s="301"/>
      <c r="L843" s="301"/>
      <c r="M843" s="301"/>
      <c r="N843" s="301"/>
      <c r="O843" s="300"/>
      <c r="P843" s="429"/>
      <c r="Q843" s="301"/>
      <c r="R843" s="2"/>
      <c r="S843" s="301"/>
      <c r="T843" s="301"/>
      <c r="X843" s="2">
        <f t="shared" si="17"/>
        <v>0</v>
      </c>
      <c r="AA843" s="301"/>
      <c r="AB843" s="301"/>
      <c r="AC843" s="301"/>
      <c r="AE843" s="301"/>
      <c r="AF843" s="301"/>
      <c r="AG843" s="301"/>
    </row>
    <row r="844">
      <c r="J844" s="301"/>
      <c r="K844" s="301"/>
      <c r="L844" s="301"/>
      <c r="M844" s="301"/>
      <c r="N844" s="301"/>
      <c r="O844" s="300"/>
      <c r="P844" s="429"/>
      <c r="Q844" s="301"/>
      <c r="R844" s="2"/>
      <c r="S844" s="301"/>
      <c r="T844" s="301"/>
      <c r="X844" s="2">
        <f t="shared" si="17"/>
        <v>0</v>
      </c>
      <c r="AA844" s="301"/>
      <c r="AB844" s="301"/>
      <c r="AC844" s="301"/>
      <c r="AE844" s="301"/>
      <c r="AF844" s="301"/>
      <c r="AG844" s="301"/>
    </row>
    <row r="845">
      <c r="J845" s="301"/>
      <c r="K845" s="301"/>
      <c r="L845" s="301"/>
      <c r="M845" s="301"/>
      <c r="N845" s="301"/>
      <c r="O845" s="300"/>
      <c r="P845" s="429"/>
      <c r="Q845" s="301"/>
      <c r="R845" s="2"/>
      <c r="S845" s="301"/>
      <c r="T845" s="301"/>
      <c r="X845" s="2">
        <f t="shared" si="17"/>
        <v>0</v>
      </c>
      <c r="AA845" s="301"/>
      <c r="AB845" s="301"/>
      <c r="AC845" s="301"/>
      <c r="AE845" s="301"/>
      <c r="AF845" s="301"/>
      <c r="AG845" s="301"/>
    </row>
    <row r="846">
      <c r="J846" s="301"/>
      <c r="K846" s="301"/>
      <c r="L846" s="301"/>
      <c r="M846" s="301"/>
      <c r="N846" s="301"/>
      <c r="O846" s="300"/>
      <c r="P846" s="429"/>
      <c r="Q846" s="301"/>
      <c r="R846" s="2"/>
      <c r="S846" s="301"/>
      <c r="T846" s="301"/>
      <c r="X846" s="2">
        <f t="shared" si="17"/>
        <v>0</v>
      </c>
      <c r="AA846" s="301"/>
      <c r="AB846" s="301"/>
      <c r="AC846" s="301"/>
      <c r="AE846" s="301"/>
      <c r="AF846" s="301"/>
      <c r="AG846" s="301"/>
    </row>
    <row r="847">
      <c r="J847" s="301"/>
      <c r="K847" s="301"/>
      <c r="L847" s="301"/>
      <c r="M847" s="301"/>
      <c r="N847" s="301"/>
      <c r="O847" s="300"/>
      <c r="P847" s="429"/>
      <c r="Q847" s="301"/>
      <c r="R847" s="2"/>
      <c r="S847" s="301"/>
      <c r="T847" s="301"/>
      <c r="X847" s="2">
        <f t="shared" si="17"/>
        <v>0</v>
      </c>
      <c r="AA847" s="301"/>
      <c r="AB847" s="301"/>
      <c r="AC847" s="301"/>
      <c r="AE847" s="301"/>
      <c r="AF847" s="301"/>
      <c r="AG847" s="301"/>
    </row>
    <row r="848">
      <c r="J848" s="301"/>
      <c r="K848" s="301"/>
      <c r="L848" s="301"/>
      <c r="M848" s="301"/>
      <c r="N848" s="301"/>
      <c r="O848" s="300"/>
      <c r="P848" s="429"/>
      <c r="Q848" s="301"/>
      <c r="R848" s="2"/>
      <c r="S848" s="301"/>
      <c r="T848" s="301"/>
      <c r="X848" s="2">
        <f t="shared" si="17"/>
        <v>0</v>
      </c>
      <c r="AA848" s="301"/>
      <c r="AB848" s="301"/>
      <c r="AC848" s="301"/>
      <c r="AE848" s="301"/>
      <c r="AF848" s="301"/>
      <c r="AG848" s="301"/>
    </row>
    <row r="849">
      <c r="J849" s="301"/>
      <c r="K849" s="301"/>
      <c r="L849" s="301"/>
      <c r="M849" s="301"/>
      <c r="N849" s="301"/>
      <c r="O849" s="300"/>
      <c r="P849" s="429"/>
      <c r="Q849" s="301"/>
      <c r="R849" s="2"/>
      <c r="S849" s="301"/>
      <c r="T849" s="301"/>
      <c r="X849" s="2">
        <f t="shared" si="17"/>
        <v>0</v>
      </c>
      <c r="AA849" s="301"/>
      <c r="AB849" s="301"/>
      <c r="AC849" s="301"/>
      <c r="AE849" s="301"/>
      <c r="AF849" s="301"/>
      <c r="AG849" s="301"/>
    </row>
    <row r="850">
      <c r="J850" s="301"/>
      <c r="K850" s="301"/>
      <c r="L850" s="301"/>
      <c r="M850" s="301"/>
      <c r="N850" s="301"/>
      <c r="O850" s="300"/>
      <c r="P850" s="429"/>
      <c r="Q850" s="301"/>
      <c r="R850" s="2"/>
      <c r="S850" s="301"/>
      <c r="T850" s="301"/>
      <c r="X850" s="2">
        <f t="shared" si="17"/>
        <v>0</v>
      </c>
      <c r="AA850" s="301"/>
      <c r="AB850" s="301"/>
      <c r="AC850" s="301"/>
      <c r="AE850" s="301"/>
      <c r="AF850" s="301"/>
      <c r="AG850" s="301"/>
    </row>
    <row r="851">
      <c r="J851" s="301"/>
      <c r="K851" s="301"/>
      <c r="L851" s="301"/>
      <c r="M851" s="301"/>
      <c r="N851" s="301"/>
      <c r="O851" s="300"/>
      <c r="P851" s="429"/>
      <c r="Q851" s="301"/>
      <c r="R851" s="2"/>
      <c r="S851" s="301"/>
      <c r="T851" s="301"/>
      <c r="X851" s="2">
        <f t="shared" si="17"/>
        <v>0</v>
      </c>
      <c r="AA851" s="301"/>
      <c r="AB851" s="301"/>
      <c r="AC851" s="301"/>
      <c r="AE851" s="301"/>
      <c r="AF851" s="301"/>
      <c r="AG851" s="301"/>
    </row>
    <row r="852">
      <c r="J852" s="301"/>
      <c r="K852" s="301"/>
      <c r="L852" s="301"/>
      <c r="M852" s="301"/>
      <c r="N852" s="301"/>
      <c r="O852" s="300"/>
      <c r="P852" s="429"/>
      <c r="Q852" s="301"/>
      <c r="R852" s="2"/>
      <c r="S852" s="301"/>
      <c r="T852" s="301"/>
      <c r="X852" s="2">
        <f t="shared" si="17"/>
        <v>0</v>
      </c>
      <c r="AA852" s="301"/>
      <c r="AB852" s="301"/>
      <c r="AC852" s="301"/>
      <c r="AE852" s="301"/>
      <c r="AF852" s="301"/>
      <c r="AG852" s="301"/>
    </row>
    <row r="853">
      <c r="J853" s="301"/>
      <c r="K853" s="301"/>
      <c r="L853" s="301"/>
      <c r="M853" s="301"/>
      <c r="N853" s="301"/>
      <c r="O853" s="300"/>
      <c r="P853" s="429"/>
      <c r="Q853" s="301"/>
      <c r="R853" s="2"/>
      <c r="S853" s="301"/>
      <c r="T853" s="301"/>
      <c r="X853" s="2">
        <f t="shared" si="17"/>
        <v>0</v>
      </c>
      <c r="AA853" s="301"/>
      <c r="AB853" s="301"/>
      <c r="AC853" s="301"/>
      <c r="AE853" s="301"/>
      <c r="AF853" s="301"/>
      <c r="AG853" s="301"/>
    </row>
    <row r="854">
      <c r="J854" s="301"/>
      <c r="K854" s="301"/>
      <c r="L854" s="301"/>
      <c r="M854" s="301"/>
      <c r="N854" s="301"/>
      <c r="O854" s="300"/>
      <c r="P854" s="429"/>
      <c r="Q854" s="301"/>
      <c r="R854" s="2"/>
      <c r="S854" s="301"/>
      <c r="T854" s="301"/>
      <c r="X854" s="2">
        <f t="shared" si="17"/>
        <v>0</v>
      </c>
      <c r="AA854" s="301"/>
      <c r="AB854" s="301"/>
      <c r="AC854" s="301"/>
      <c r="AE854" s="301"/>
      <c r="AF854" s="301"/>
      <c r="AG854" s="301"/>
    </row>
    <row r="855">
      <c r="J855" s="301"/>
      <c r="K855" s="301"/>
      <c r="L855" s="301"/>
      <c r="M855" s="301"/>
      <c r="N855" s="301"/>
      <c r="O855" s="300"/>
      <c r="P855" s="429"/>
      <c r="Q855" s="301"/>
      <c r="R855" s="2"/>
      <c r="S855" s="301"/>
      <c r="T855" s="301"/>
      <c r="X855" s="2">
        <f t="shared" si="17"/>
        <v>0</v>
      </c>
      <c r="AA855" s="301"/>
      <c r="AB855" s="301"/>
      <c r="AC855" s="301"/>
      <c r="AE855" s="301"/>
      <c r="AF855" s="301"/>
      <c r="AG855" s="301"/>
    </row>
    <row r="856">
      <c r="J856" s="301"/>
      <c r="K856" s="301"/>
      <c r="L856" s="301"/>
      <c r="M856" s="301"/>
      <c r="N856" s="301"/>
      <c r="O856" s="300"/>
      <c r="P856" s="429"/>
      <c r="Q856" s="301"/>
      <c r="R856" s="2"/>
      <c r="S856" s="301"/>
      <c r="T856" s="301"/>
      <c r="X856" s="2">
        <f t="shared" si="17"/>
        <v>0</v>
      </c>
      <c r="AA856" s="301"/>
      <c r="AB856" s="301"/>
      <c r="AC856" s="301"/>
      <c r="AE856" s="301"/>
      <c r="AF856" s="301"/>
      <c r="AG856" s="301"/>
    </row>
    <row r="857">
      <c r="J857" s="301"/>
      <c r="K857" s="301"/>
      <c r="L857" s="301"/>
      <c r="M857" s="301"/>
      <c r="N857" s="301"/>
      <c r="O857" s="300"/>
      <c r="P857" s="429"/>
      <c r="Q857" s="301"/>
      <c r="R857" s="2"/>
      <c r="S857" s="301"/>
      <c r="T857" s="301"/>
      <c r="X857" s="2">
        <f t="shared" si="17"/>
        <v>0</v>
      </c>
      <c r="AA857" s="301"/>
      <c r="AB857" s="301"/>
      <c r="AC857" s="301"/>
      <c r="AE857" s="301"/>
      <c r="AF857" s="301"/>
      <c r="AG857" s="301"/>
    </row>
    <row r="858">
      <c r="J858" s="301"/>
      <c r="K858" s="301"/>
      <c r="L858" s="301"/>
      <c r="M858" s="301"/>
      <c r="N858" s="301"/>
      <c r="O858" s="300"/>
      <c r="P858" s="429"/>
      <c r="Q858" s="301"/>
      <c r="R858" s="2"/>
      <c r="S858" s="301"/>
      <c r="T858" s="301"/>
      <c r="X858" s="2">
        <f t="shared" si="17"/>
        <v>0</v>
      </c>
      <c r="AA858" s="301"/>
      <c r="AB858" s="301"/>
      <c r="AC858" s="301"/>
      <c r="AE858" s="301"/>
      <c r="AF858" s="301"/>
      <c r="AG858" s="301"/>
    </row>
    <row r="859">
      <c r="J859" s="301"/>
      <c r="K859" s="301"/>
      <c r="L859" s="301"/>
      <c r="M859" s="301"/>
      <c r="N859" s="301"/>
      <c r="O859" s="300"/>
      <c r="P859" s="429"/>
      <c r="Q859" s="301"/>
      <c r="R859" s="2"/>
      <c r="S859" s="301"/>
      <c r="T859" s="301"/>
      <c r="X859" s="2">
        <f t="shared" si="17"/>
        <v>0</v>
      </c>
      <c r="AA859" s="301"/>
      <c r="AB859" s="301"/>
      <c r="AC859" s="301"/>
      <c r="AE859" s="301"/>
      <c r="AF859" s="301"/>
      <c r="AG859" s="301"/>
    </row>
    <row r="860">
      <c r="J860" s="301"/>
      <c r="K860" s="301"/>
      <c r="L860" s="301"/>
      <c r="M860" s="301"/>
      <c r="N860" s="301"/>
      <c r="O860" s="300"/>
      <c r="P860" s="429"/>
      <c r="Q860" s="301"/>
      <c r="R860" s="2"/>
      <c r="S860" s="301"/>
      <c r="T860" s="301"/>
      <c r="X860" s="2">
        <f t="shared" si="17"/>
        <v>0</v>
      </c>
      <c r="AA860" s="301"/>
      <c r="AB860" s="301"/>
      <c r="AC860" s="301"/>
      <c r="AE860" s="301"/>
      <c r="AF860" s="301"/>
      <c r="AG860" s="301"/>
    </row>
    <row r="861">
      <c r="J861" s="301"/>
      <c r="K861" s="301"/>
      <c r="L861" s="301"/>
      <c r="M861" s="301"/>
      <c r="N861" s="301"/>
      <c r="O861" s="300"/>
      <c r="P861" s="429"/>
      <c r="Q861" s="301"/>
      <c r="R861" s="2"/>
      <c r="S861" s="301"/>
      <c r="T861" s="301"/>
      <c r="X861" s="2">
        <f t="shared" si="17"/>
        <v>0</v>
      </c>
      <c r="AA861" s="301"/>
      <c r="AB861" s="301"/>
      <c r="AC861" s="301"/>
      <c r="AE861" s="301"/>
      <c r="AF861" s="301"/>
      <c r="AG861" s="301"/>
    </row>
    <row r="862">
      <c r="J862" s="301"/>
      <c r="K862" s="301"/>
      <c r="L862" s="301"/>
      <c r="M862" s="301"/>
      <c r="N862" s="301"/>
      <c r="O862" s="300"/>
      <c r="P862" s="429"/>
      <c r="Q862" s="301"/>
      <c r="R862" s="2"/>
      <c r="S862" s="301"/>
      <c r="T862" s="301"/>
      <c r="X862" s="2">
        <f t="shared" si="17"/>
        <v>0</v>
      </c>
      <c r="AA862" s="301"/>
      <c r="AB862" s="301"/>
      <c r="AC862" s="301"/>
      <c r="AE862" s="301"/>
      <c r="AF862" s="301"/>
      <c r="AG862" s="301"/>
    </row>
    <row r="863">
      <c r="J863" s="301"/>
      <c r="K863" s="301"/>
      <c r="L863" s="301"/>
      <c r="M863" s="301"/>
      <c r="N863" s="301"/>
      <c r="O863" s="300"/>
      <c r="P863" s="429"/>
      <c r="Q863" s="301"/>
      <c r="R863" s="2"/>
      <c r="S863" s="301"/>
      <c r="T863" s="301"/>
      <c r="X863" s="2">
        <f t="shared" si="17"/>
        <v>0</v>
      </c>
      <c r="AA863" s="301"/>
      <c r="AB863" s="301"/>
      <c r="AC863" s="301"/>
      <c r="AE863" s="301"/>
      <c r="AF863" s="301"/>
      <c r="AG863" s="301"/>
    </row>
    <row r="864">
      <c r="J864" s="301"/>
      <c r="K864" s="301"/>
      <c r="L864" s="301"/>
      <c r="M864" s="301"/>
      <c r="N864" s="301"/>
      <c r="O864" s="300"/>
      <c r="P864" s="429"/>
      <c r="Q864" s="301"/>
      <c r="R864" s="2"/>
      <c r="S864" s="301"/>
      <c r="T864" s="301"/>
      <c r="X864" s="2">
        <f t="shared" si="17"/>
        <v>0</v>
      </c>
      <c r="AA864" s="301"/>
      <c r="AB864" s="301"/>
      <c r="AC864" s="301"/>
      <c r="AE864" s="301"/>
      <c r="AF864" s="301"/>
      <c r="AG864" s="301"/>
    </row>
    <row r="865">
      <c r="J865" s="301"/>
      <c r="K865" s="301"/>
      <c r="L865" s="301"/>
      <c r="M865" s="301"/>
      <c r="N865" s="301"/>
      <c r="O865" s="300"/>
      <c r="P865" s="429"/>
      <c r="Q865" s="301"/>
      <c r="R865" s="2"/>
      <c r="S865" s="301"/>
      <c r="T865" s="301"/>
      <c r="X865" s="2">
        <f t="shared" si="17"/>
        <v>0</v>
      </c>
      <c r="AA865" s="301"/>
      <c r="AB865" s="301"/>
      <c r="AC865" s="301"/>
      <c r="AE865" s="301"/>
      <c r="AF865" s="301"/>
      <c r="AG865" s="301"/>
    </row>
    <row r="866">
      <c r="J866" s="301"/>
      <c r="K866" s="301"/>
      <c r="L866" s="301"/>
      <c r="M866" s="301"/>
      <c r="N866" s="301"/>
      <c r="O866" s="300"/>
      <c r="P866" s="429"/>
      <c r="Q866" s="301"/>
      <c r="R866" s="2"/>
      <c r="S866" s="301"/>
      <c r="T866" s="301"/>
      <c r="X866" s="2">
        <f t="shared" si="17"/>
        <v>0</v>
      </c>
      <c r="AA866" s="301"/>
      <c r="AB866" s="301"/>
      <c r="AC866" s="301"/>
      <c r="AE866" s="301"/>
      <c r="AF866" s="301"/>
      <c r="AG866" s="301"/>
    </row>
    <row r="867">
      <c r="J867" s="301"/>
      <c r="K867" s="301"/>
      <c r="L867" s="301"/>
      <c r="M867" s="301"/>
      <c r="N867" s="301"/>
      <c r="O867" s="300"/>
      <c r="P867" s="429"/>
      <c r="Q867" s="301"/>
      <c r="R867" s="2"/>
      <c r="S867" s="301"/>
      <c r="T867" s="301"/>
      <c r="X867" s="2">
        <f t="shared" si="17"/>
        <v>0</v>
      </c>
      <c r="AA867" s="301"/>
      <c r="AB867" s="301"/>
      <c r="AC867" s="301"/>
      <c r="AE867" s="301"/>
      <c r="AF867" s="301"/>
      <c r="AG867" s="301"/>
    </row>
    <row r="868">
      <c r="J868" s="301"/>
      <c r="K868" s="301"/>
      <c r="L868" s="301"/>
      <c r="M868" s="301"/>
      <c r="N868" s="301"/>
      <c r="O868" s="300"/>
      <c r="P868" s="429"/>
      <c r="Q868" s="301"/>
      <c r="R868" s="2"/>
      <c r="S868" s="301"/>
      <c r="T868" s="301"/>
      <c r="X868" s="2">
        <f t="shared" si="17"/>
        <v>0</v>
      </c>
      <c r="AA868" s="301"/>
      <c r="AB868" s="301"/>
      <c r="AC868" s="301"/>
      <c r="AE868" s="301"/>
      <c r="AF868" s="301"/>
      <c r="AG868" s="301"/>
    </row>
    <row r="869">
      <c r="J869" s="301"/>
      <c r="K869" s="301"/>
      <c r="L869" s="301"/>
      <c r="M869" s="301"/>
      <c r="N869" s="301"/>
      <c r="O869" s="300"/>
      <c r="P869" s="429"/>
      <c r="Q869" s="301"/>
      <c r="R869" s="2"/>
      <c r="S869" s="301"/>
      <c r="T869" s="301"/>
      <c r="X869" s="2">
        <f t="shared" si="17"/>
        <v>0</v>
      </c>
      <c r="AA869" s="301"/>
      <c r="AB869" s="301"/>
      <c r="AC869" s="301"/>
      <c r="AE869" s="301"/>
      <c r="AF869" s="301"/>
      <c r="AG869" s="301"/>
    </row>
    <row r="870">
      <c r="J870" s="301"/>
      <c r="K870" s="301"/>
      <c r="L870" s="301"/>
      <c r="M870" s="301"/>
      <c r="N870" s="301"/>
      <c r="O870" s="300"/>
      <c r="P870" s="429"/>
      <c r="Q870" s="301"/>
      <c r="R870" s="2"/>
      <c r="S870" s="301"/>
      <c r="T870" s="301"/>
      <c r="X870" s="2">
        <f t="shared" si="17"/>
        <v>0</v>
      </c>
      <c r="AA870" s="301"/>
      <c r="AB870" s="301"/>
      <c r="AC870" s="301"/>
      <c r="AE870" s="301"/>
      <c r="AF870" s="301"/>
      <c r="AG870" s="301"/>
    </row>
    <row r="871">
      <c r="J871" s="301"/>
      <c r="K871" s="301"/>
      <c r="L871" s="301"/>
      <c r="M871" s="301"/>
      <c r="N871" s="301"/>
      <c r="O871" s="300"/>
      <c r="P871" s="429"/>
      <c r="Q871" s="301"/>
      <c r="R871" s="2"/>
      <c r="S871" s="301"/>
      <c r="T871" s="301"/>
      <c r="X871" s="2">
        <f t="shared" si="17"/>
        <v>0</v>
      </c>
      <c r="AA871" s="301"/>
      <c r="AB871" s="301"/>
      <c r="AC871" s="301"/>
      <c r="AE871" s="301"/>
      <c r="AF871" s="301"/>
      <c r="AG871" s="301"/>
    </row>
    <row r="872">
      <c r="J872" s="301"/>
      <c r="K872" s="301"/>
      <c r="L872" s="301"/>
      <c r="M872" s="301"/>
      <c r="N872" s="301"/>
      <c r="O872" s="300"/>
      <c r="P872" s="429"/>
      <c r="Q872" s="301"/>
      <c r="R872" s="2"/>
      <c r="S872" s="301"/>
      <c r="T872" s="301"/>
      <c r="X872" s="2">
        <f t="shared" si="17"/>
        <v>0</v>
      </c>
      <c r="AA872" s="301"/>
      <c r="AB872" s="301"/>
      <c r="AC872" s="301"/>
      <c r="AE872" s="301"/>
      <c r="AF872" s="301"/>
      <c r="AG872" s="301"/>
    </row>
    <row r="873">
      <c r="J873" s="301"/>
      <c r="K873" s="301"/>
      <c r="L873" s="301"/>
      <c r="M873" s="301"/>
      <c r="N873" s="301"/>
      <c r="O873" s="300"/>
      <c r="P873" s="429"/>
      <c r="Q873" s="301"/>
      <c r="R873" s="2"/>
      <c r="S873" s="301"/>
      <c r="T873" s="301"/>
      <c r="X873" s="2">
        <f t="shared" si="17"/>
        <v>0</v>
      </c>
      <c r="AA873" s="301"/>
      <c r="AB873" s="301"/>
      <c r="AC873" s="301"/>
      <c r="AE873" s="301"/>
      <c r="AF873" s="301"/>
      <c r="AG873" s="301"/>
    </row>
    <row r="874">
      <c r="J874" s="301"/>
      <c r="K874" s="301"/>
      <c r="L874" s="301"/>
      <c r="M874" s="301"/>
      <c r="N874" s="301"/>
      <c r="O874" s="300"/>
      <c r="P874" s="429"/>
      <c r="Q874" s="301"/>
      <c r="R874" s="2"/>
      <c r="S874" s="301"/>
      <c r="T874" s="301"/>
      <c r="X874" s="2">
        <f t="shared" si="17"/>
        <v>0</v>
      </c>
      <c r="AA874" s="301"/>
      <c r="AB874" s="301"/>
      <c r="AC874" s="301"/>
      <c r="AE874" s="301"/>
      <c r="AF874" s="301"/>
      <c r="AG874" s="301"/>
    </row>
    <row r="875">
      <c r="J875" s="301"/>
      <c r="K875" s="301"/>
      <c r="L875" s="301"/>
      <c r="M875" s="301"/>
      <c r="N875" s="301"/>
      <c r="O875" s="300"/>
      <c r="P875" s="429"/>
      <c r="Q875" s="301"/>
      <c r="R875" s="2"/>
      <c r="S875" s="301"/>
      <c r="T875" s="301"/>
      <c r="X875" s="2">
        <f t="shared" si="17"/>
        <v>0</v>
      </c>
      <c r="AA875" s="301"/>
      <c r="AB875" s="301"/>
      <c r="AC875" s="301"/>
      <c r="AE875" s="301"/>
      <c r="AF875" s="301"/>
      <c r="AG875" s="301"/>
    </row>
    <row r="876">
      <c r="J876" s="301"/>
      <c r="K876" s="301"/>
      <c r="L876" s="301"/>
      <c r="M876" s="301"/>
      <c r="N876" s="301"/>
      <c r="O876" s="300"/>
      <c r="P876" s="429"/>
      <c r="Q876" s="301"/>
      <c r="R876" s="2"/>
      <c r="S876" s="301"/>
      <c r="T876" s="301"/>
      <c r="X876" s="2">
        <f t="shared" si="17"/>
        <v>0</v>
      </c>
      <c r="AA876" s="301"/>
      <c r="AB876" s="301"/>
      <c r="AC876" s="301"/>
      <c r="AE876" s="301"/>
      <c r="AF876" s="301"/>
      <c r="AG876" s="301"/>
    </row>
    <row r="877">
      <c r="J877" s="301"/>
      <c r="K877" s="301"/>
      <c r="L877" s="301"/>
      <c r="M877" s="301"/>
      <c r="N877" s="301"/>
      <c r="O877" s="300"/>
      <c r="P877" s="429"/>
      <c r="Q877" s="301"/>
      <c r="R877" s="2"/>
      <c r="S877" s="301"/>
      <c r="T877" s="301"/>
      <c r="X877" s="2">
        <f t="shared" si="17"/>
        <v>0</v>
      </c>
      <c r="AA877" s="301"/>
      <c r="AB877" s="301"/>
      <c r="AC877" s="301"/>
      <c r="AE877" s="301"/>
      <c r="AF877" s="301"/>
      <c r="AG877" s="301"/>
    </row>
    <row r="878">
      <c r="J878" s="301"/>
      <c r="K878" s="301"/>
      <c r="L878" s="301"/>
      <c r="M878" s="301"/>
      <c r="N878" s="301"/>
      <c r="O878" s="300"/>
      <c r="P878" s="429"/>
      <c r="Q878" s="301"/>
      <c r="R878" s="2"/>
      <c r="S878" s="301"/>
      <c r="T878" s="301"/>
      <c r="X878" s="2">
        <f t="shared" si="17"/>
        <v>0</v>
      </c>
      <c r="AA878" s="301"/>
      <c r="AB878" s="301"/>
      <c r="AC878" s="301"/>
      <c r="AE878" s="301"/>
      <c r="AF878" s="301"/>
      <c r="AG878" s="301"/>
    </row>
    <row r="879">
      <c r="J879" s="301"/>
      <c r="K879" s="301"/>
      <c r="L879" s="301"/>
      <c r="M879" s="301"/>
      <c r="N879" s="301"/>
      <c r="O879" s="300"/>
      <c r="P879" s="429"/>
      <c r="Q879" s="301"/>
      <c r="R879" s="2"/>
      <c r="S879" s="301"/>
      <c r="T879" s="301"/>
      <c r="X879" s="2">
        <f t="shared" si="17"/>
        <v>0</v>
      </c>
      <c r="AA879" s="301"/>
      <c r="AB879" s="301"/>
      <c r="AC879" s="301"/>
      <c r="AE879" s="301"/>
      <c r="AF879" s="301"/>
      <c r="AG879" s="301"/>
    </row>
    <row r="880">
      <c r="J880" s="301"/>
      <c r="K880" s="301"/>
      <c r="L880" s="301"/>
      <c r="M880" s="301"/>
      <c r="N880" s="301"/>
      <c r="O880" s="300"/>
      <c r="P880" s="429"/>
      <c r="Q880" s="301"/>
      <c r="R880" s="2"/>
      <c r="S880" s="301"/>
      <c r="T880" s="301"/>
      <c r="X880" s="2">
        <f t="shared" si="17"/>
        <v>0</v>
      </c>
      <c r="AA880" s="301"/>
      <c r="AB880" s="301"/>
      <c r="AC880" s="301"/>
      <c r="AE880" s="301"/>
      <c r="AF880" s="301"/>
      <c r="AG880" s="301"/>
    </row>
    <row r="881">
      <c r="J881" s="301"/>
      <c r="K881" s="301"/>
      <c r="L881" s="301"/>
      <c r="M881" s="301"/>
      <c r="N881" s="301"/>
      <c r="O881" s="300"/>
      <c r="P881" s="429"/>
      <c r="Q881" s="301"/>
      <c r="R881" s="2"/>
      <c r="S881" s="301"/>
      <c r="T881" s="301"/>
      <c r="X881" s="2">
        <f t="shared" si="17"/>
        <v>0</v>
      </c>
      <c r="AA881" s="301"/>
      <c r="AB881" s="301"/>
      <c r="AC881" s="301"/>
      <c r="AE881" s="301"/>
      <c r="AF881" s="301"/>
      <c r="AG881" s="301"/>
    </row>
    <row r="882">
      <c r="J882" s="301"/>
      <c r="K882" s="301"/>
      <c r="L882" s="301"/>
      <c r="M882" s="301"/>
      <c r="N882" s="301"/>
      <c r="O882" s="300"/>
      <c r="P882" s="429"/>
      <c r="Q882" s="301"/>
      <c r="R882" s="2"/>
      <c r="S882" s="301"/>
      <c r="T882" s="301"/>
      <c r="X882" s="2">
        <f t="shared" si="17"/>
        <v>0</v>
      </c>
      <c r="AA882" s="301"/>
      <c r="AB882" s="301"/>
      <c r="AC882" s="301"/>
      <c r="AE882" s="301"/>
      <c r="AF882" s="301"/>
      <c r="AG882" s="301"/>
    </row>
    <row r="883">
      <c r="J883" s="301"/>
      <c r="K883" s="301"/>
      <c r="L883" s="301"/>
      <c r="M883" s="301"/>
      <c r="N883" s="301"/>
      <c r="O883" s="300"/>
      <c r="P883" s="429"/>
      <c r="Q883" s="301"/>
      <c r="R883" s="2"/>
      <c r="S883" s="301"/>
      <c r="T883" s="301"/>
      <c r="X883" s="2">
        <f t="shared" si="17"/>
        <v>0</v>
      </c>
      <c r="AA883" s="301"/>
      <c r="AB883" s="301"/>
      <c r="AC883" s="301"/>
      <c r="AE883" s="301"/>
      <c r="AF883" s="301"/>
      <c r="AG883" s="301"/>
    </row>
    <row r="884">
      <c r="J884" s="301"/>
      <c r="K884" s="301"/>
      <c r="L884" s="301"/>
      <c r="M884" s="301"/>
      <c r="N884" s="301"/>
      <c r="O884" s="300"/>
      <c r="P884" s="429"/>
      <c r="Q884" s="301"/>
      <c r="R884" s="2"/>
      <c r="S884" s="301"/>
      <c r="T884" s="301"/>
      <c r="X884" s="2">
        <f t="shared" si="17"/>
        <v>0</v>
      </c>
      <c r="AA884" s="301"/>
      <c r="AB884" s="301"/>
      <c r="AC884" s="301"/>
      <c r="AE884" s="301"/>
      <c r="AF884" s="301"/>
      <c r="AG884" s="301"/>
    </row>
    <row r="885">
      <c r="J885" s="301"/>
      <c r="K885" s="301"/>
      <c r="L885" s="301"/>
      <c r="M885" s="301"/>
      <c r="N885" s="301"/>
      <c r="O885" s="300"/>
      <c r="P885" s="429"/>
      <c r="Q885" s="301"/>
      <c r="R885" s="2"/>
      <c r="S885" s="301"/>
      <c r="T885" s="301"/>
      <c r="X885" s="2">
        <f t="shared" si="17"/>
        <v>0</v>
      </c>
      <c r="AA885" s="301"/>
      <c r="AB885" s="301"/>
      <c r="AC885" s="301"/>
      <c r="AE885" s="301"/>
      <c r="AF885" s="301"/>
      <c r="AG885" s="301"/>
    </row>
    <row r="886">
      <c r="J886" s="301"/>
      <c r="K886" s="301"/>
      <c r="L886" s="301"/>
      <c r="M886" s="301"/>
      <c r="N886" s="301"/>
      <c r="O886" s="300"/>
      <c r="P886" s="429"/>
      <c r="Q886" s="301"/>
      <c r="R886" s="2"/>
      <c r="S886" s="301"/>
      <c r="T886" s="301"/>
      <c r="X886" s="2">
        <f t="shared" si="17"/>
        <v>0</v>
      </c>
      <c r="AA886" s="301"/>
      <c r="AB886" s="301"/>
      <c r="AC886" s="301"/>
      <c r="AE886" s="301"/>
      <c r="AF886" s="301"/>
      <c r="AG886" s="301"/>
    </row>
    <row r="887">
      <c r="J887" s="301"/>
      <c r="K887" s="301"/>
      <c r="L887" s="301"/>
      <c r="M887" s="301"/>
      <c r="N887" s="301"/>
      <c r="O887" s="300"/>
      <c r="P887" s="429"/>
      <c r="Q887" s="301"/>
      <c r="R887" s="2"/>
      <c r="S887" s="301"/>
      <c r="T887" s="301"/>
      <c r="X887" s="2">
        <f t="shared" si="17"/>
        <v>0</v>
      </c>
      <c r="AA887" s="301"/>
      <c r="AB887" s="301"/>
      <c r="AC887" s="301"/>
      <c r="AE887" s="301"/>
      <c r="AF887" s="301"/>
      <c r="AG887" s="301"/>
    </row>
    <row r="888">
      <c r="J888" s="301"/>
      <c r="K888" s="301"/>
      <c r="L888" s="301"/>
      <c r="M888" s="301"/>
      <c r="N888" s="301"/>
      <c r="O888" s="300"/>
      <c r="P888" s="429"/>
      <c r="Q888" s="301"/>
      <c r="R888" s="2"/>
      <c r="S888" s="301"/>
      <c r="T888" s="301"/>
      <c r="X888" s="2">
        <f t="shared" si="17"/>
        <v>0</v>
      </c>
      <c r="AA888" s="301"/>
      <c r="AB888" s="301"/>
      <c r="AC888" s="301"/>
      <c r="AE888" s="301"/>
      <c r="AF888" s="301"/>
      <c r="AG888" s="301"/>
    </row>
    <row r="889">
      <c r="J889" s="301"/>
      <c r="K889" s="301"/>
      <c r="L889" s="301"/>
      <c r="M889" s="301"/>
      <c r="N889" s="301"/>
      <c r="O889" s="300"/>
      <c r="P889" s="429"/>
      <c r="Q889" s="301"/>
      <c r="R889" s="2"/>
      <c r="S889" s="301"/>
      <c r="T889" s="301"/>
      <c r="X889" s="2">
        <f t="shared" si="17"/>
        <v>0</v>
      </c>
      <c r="AA889" s="301"/>
      <c r="AB889" s="301"/>
      <c r="AC889" s="301"/>
      <c r="AE889" s="301"/>
      <c r="AF889" s="301"/>
      <c r="AG889" s="301"/>
    </row>
    <row r="890">
      <c r="J890" s="301"/>
      <c r="K890" s="301"/>
      <c r="L890" s="301"/>
      <c r="M890" s="301"/>
      <c r="N890" s="301"/>
      <c r="O890" s="300"/>
      <c r="P890" s="429"/>
      <c r="Q890" s="301"/>
      <c r="R890" s="2"/>
      <c r="S890" s="301"/>
      <c r="T890" s="301"/>
      <c r="X890" s="2">
        <f t="shared" si="17"/>
        <v>0</v>
      </c>
      <c r="AA890" s="301"/>
      <c r="AB890" s="301"/>
      <c r="AC890" s="301"/>
      <c r="AE890" s="301"/>
      <c r="AF890" s="301"/>
      <c r="AG890" s="301"/>
    </row>
    <row r="891">
      <c r="J891" s="301"/>
      <c r="K891" s="301"/>
      <c r="L891" s="301"/>
      <c r="M891" s="301"/>
      <c r="N891" s="301"/>
      <c r="O891" s="300"/>
      <c r="P891" s="429"/>
      <c r="Q891" s="301"/>
      <c r="R891" s="2"/>
      <c r="S891" s="301"/>
      <c r="T891" s="301"/>
      <c r="X891" s="2">
        <f t="shared" si="17"/>
        <v>0</v>
      </c>
      <c r="AA891" s="301"/>
      <c r="AB891" s="301"/>
      <c r="AC891" s="301"/>
      <c r="AE891" s="301"/>
      <c r="AF891" s="301"/>
      <c r="AG891" s="301"/>
    </row>
    <row r="892">
      <c r="J892" s="301"/>
      <c r="K892" s="301"/>
      <c r="L892" s="301"/>
      <c r="M892" s="301"/>
      <c r="N892" s="301"/>
      <c r="O892" s="300"/>
      <c r="P892" s="429"/>
      <c r="Q892" s="301"/>
      <c r="R892" s="2"/>
      <c r="S892" s="301"/>
      <c r="T892" s="301"/>
      <c r="X892" s="2">
        <f t="shared" si="17"/>
        <v>0</v>
      </c>
      <c r="AA892" s="301"/>
      <c r="AB892" s="301"/>
      <c r="AC892" s="301"/>
      <c r="AE892" s="301"/>
      <c r="AF892" s="301"/>
      <c r="AG892" s="301"/>
    </row>
    <row r="893">
      <c r="J893" s="301"/>
      <c r="K893" s="301"/>
      <c r="L893" s="301"/>
      <c r="M893" s="301"/>
      <c r="N893" s="301"/>
      <c r="O893" s="300"/>
      <c r="P893" s="429"/>
      <c r="Q893" s="301"/>
      <c r="R893" s="2"/>
      <c r="S893" s="301"/>
      <c r="T893" s="301"/>
      <c r="X893" s="2">
        <f t="shared" si="17"/>
        <v>0</v>
      </c>
      <c r="AA893" s="301"/>
      <c r="AB893" s="301"/>
      <c r="AC893" s="301"/>
      <c r="AE893" s="301"/>
      <c r="AF893" s="301"/>
      <c r="AG893" s="301"/>
    </row>
    <row r="894">
      <c r="J894" s="301"/>
      <c r="K894" s="301"/>
      <c r="L894" s="301"/>
      <c r="M894" s="301"/>
      <c r="N894" s="301"/>
      <c r="O894" s="300"/>
      <c r="P894" s="429"/>
      <c r="Q894" s="301"/>
      <c r="R894" s="2"/>
      <c r="S894" s="301"/>
      <c r="T894" s="301"/>
      <c r="X894" s="2">
        <f t="shared" si="17"/>
        <v>0</v>
      </c>
      <c r="AA894" s="301"/>
      <c r="AB894" s="301"/>
      <c r="AC894" s="301"/>
      <c r="AE894" s="301"/>
      <c r="AF894" s="301"/>
      <c r="AG894" s="301"/>
    </row>
    <row r="895">
      <c r="J895" s="301"/>
      <c r="K895" s="301"/>
      <c r="L895" s="301"/>
      <c r="M895" s="301"/>
      <c r="N895" s="301"/>
      <c r="O895" s="300"/>
      <c r="P895" s="429"/>
      <c r="Q895" s="301"/>
      <c r="R895" s="2"/>
      <c r="S895" s="301"/>
      <c r="T895" s="301"/>
      <c r="X895" s="2">
        <f t="shared" si="17"/>
        <v>0</v>
      </c>
      <c r="AA895" s="301"/>
      <c r="AB895" s="301"/>
      <c r="AC895" s="301"/>
      <c r="AE895" s="301"/>
      <c r="AF895" s="301"/>
      <c r="AG895" s="301"/>
    </row>
    <row r="896">
      <c r="J896" s="301"/>
      <c r="K896" s="301"/>
      <c r="L896" s="301"/>
      <c r="M896" s="301"/>
      <c r="N896" s="301"/>
      <c r="O896" s="300"/>
      <c r="P896" s="429"/>
      <c r="Q896" s="301"/>
      <c r="R896" s="2"/>
      <c r="S896" s="301"/>
      <c r="T896" s="301"/>
      <c r="X896" s="2">
        <f t="shared" si="17"/>
        <v>0</v>
      </c>
      <c r="AA896" s="301"/>
      <c r="AB896" s="301"/>
      <c r="AC896" s="301"/>
      <c r="AE896" s="301"/>
      <c r="AF896" s="301"/>
      <c r="AG896" s="301"/>
    </row>
    <row r="897">
      <c r="J897" s="301"/>
      <c r="K897" s="301"/>
      <c r="L897" s="301"/>
      <c r="M897" s="301"/>
      <c r="N897" s="301"/>
      <c r="O897" s="300"/>
      <c r="P897" s="429"/>
      <c r="Q897" s="301"/>
      <c r="R897" s="2"/>
      <c r="S897" s="301"/>
      <c r="T897" s="301"/>
      <c r="X897" s="2">
        <f t="shared" si="17"/>
        <v>0</v>
      </c>
      <c r="AA897" s="301"/>
      <c r="AB897" s="301"/>
      <c r="AC897" s="301"/>
      <c r="AE897" s="301"/>
      <c r="AF897" s="301"/>
      <c r="AG897" s="301"/>
    </row>
    <row r="898">
      <c r="J898" s="301"/>
      <c r="K898" s="301"/>
      <c r="L898" s="301"/>
      <c r="M898" s="301"/>
      <c r="N898" s="301"/>
      <c r="O898" s="300"/>
      <c r="P898" s="429"/>
      <c r="Q898" s="301"/>
      <c r="R898" s="2"/>
      <c r="S898" s="301"/>
      <c r="T898" s="301"/>
      <c r="X898" s="2">
        <f t="shared" si="17"/>
        <v>0</v>
      </c>
      <c r="AA898" s="301"/>
      <c r="AB898" s="301"/>
      <c r="AC898" s="301"/>
      <c r="AE898" s="301"/>
      <c r="AF898" s="301"/>
      <c r="AG898" s="301"/>
    </row>
    <row r="899">
      <c r="J899" s="301"/>
      <c r="K899" s="301"/>
      <c r="L899" s="301"/>
      <c r="M899" s="301"/>
      <c r="N899" s="301"/>
      <c r="O899" s="300"/>
      <c r="P899" s="429"/>
      <c r="Q899" s="301"/>
      <c r="R899" s="2"/>
      <c r="S899" s="301"/>
      <c r="T899" s="301"/>
      <c r="X899" s="2">
        <f t="shared" si="17"/>
        <v>0</v>
      </c>
      <c r="AA899" s="301"/>
      <c r="AB899" s="301"/>
      <c r="AC899" s="301"/>
      <c r="AE899" s="301"/>
      <c r="AF899" s="301"/>
      <c r="AG899" s="301"/>
    </row>
    <row r="900">
      <c r="J900" s="301"/>
      <c r="K900" s="301"/>
      <c r="L900" s="301"/>
      <c r="M900" s="301"/>
      <c r="N900" s="301"/>
      <c r="O900" s="300"/>
      <c r="P900" s="429"/>
      <c r="Q900" s="301"/>
      <c r="R900" s="2"/>
      <c r="S900" s="301"/>
      <c r="T900" s="301"/>
      <c r="X900" s="2">
        <f t="shared" si="17"/>
        <v>0</v>
      </c>
      <c r="AA900" s="301"/>
      <c r="AB900" s="301"/>
      <c r="AC900" s="301"/>
      <c r="AE900" s="301"/>
      <c r="AF900" s="301"/>
      <c r="AG900" s="301"/>
    </row>
    <row r="901">
      <c r="J901" s="301"/>
      <c r="K901" s="301"/>
      <c r="L901" s="301"/>
      <c r="M901" s="301"/>
      <c r="N901" s="301"/>
      <c r="O901" s="300"/>
      <c r="P901" s="429"/>
      <c r="Q901" s="301"/>
      <c r="R901" s="2"/>
      <c r="S901" s="301"/>
      <c r="T901" s="301"/>
      <c r="X901" s="2">
        <f t="shared" si="17"/>
        <v>0</v>
      </c>
      <c r="AA901" s="301"/>
      <c r="AB901" s="301"/>
      <c r="AC901" s="301"/>
      <c r="AE901" s="301"/>
      <c r="AF901" s="301"/>
      <c r="AG901" s="301"/>
    </row>
    <row r="902">
      <c r="J902" s="301"/>
      <c r="K902" s="301"/>
      <c r="L902" s="301"/>
      <c r="M902" s="301"/>
      <c r="N902" s="301"/>
      <c r="O902" s="300"/>
      <c r="P902" s="429"/>
      <c r="Q902" s="301"/>
      <c r="R902" s="2"/>
      <c r="S902" s="301"/>
      <c r="T902" s="301"/>
      <c r="X902" s="2">
        <f t="shared" si="17"/>
        <v>0</v>
      </c>
      <c r="AA902" s="301"/>
      <c r="AB902" s="301"/>
      <c r="AC902" s="301"/>
      <c r="AE902" s="301"/>
      <c r="AF902" s="301"/>
      <c r="AG902" s="301"/>
    </row>
    <row r="903">
      <c r="J903" s="301"/>
      <c r="K903" s="301"/>
      <c r="L903" s="301"/>
      <c r="M903" s="301"/>
      <c r="N903" s="301"/>
      <c r="O903" s="300"/>
      <c r="P903" s="429"/>
      <c r="Q903" s="301"/>
      <c r="R903" s="2"/>
      <c r="S903" s="301"/>
      <c r="T903" s="301"/>
      <c r="X903" s="2">
        <f t="shared" si="17"/>
        <v>0</v>
      </c>
      <c r="AA903" s="301"/>
      <c r="AB903" s="301"/>
      <c r="AC903" s="301"/>
      <c r="AE903" s="301"/>
      <c r="AF903" s="301"/>
      <c r="AG903" s="301"/>
    </row>
    <row r="904">
      <c r="J904" s="301"/>
      <c r="K904" s="301"/>
      <c r="L904" s="301"/>
      <c r="M904" s="301"/>
      <c r="N904" s="301"/>
      <c r="O904" s="300"/>
      <c r="P904" s="429"/>
      <c r="Q904" s="301"/>
      <c r="R904" s="2"/>
      <c r="S904" s="301"/>
      <c r="T904" s="301"/>
      <c r="X904" s="2">
        <f t="shared" si="17"/>
        <v>0</v>
      </c>
      <c r="AA904" s="301"/>
      <c r="AB904" s="301"/>
      <c r="AC904" s="301"/>
      <c r="AE904" s="301"/>
      <c r="AF904" s="301"/>
      <c r="AG904" s="301"/>
    </row>
    <row r="905">
      <c r="J905" s="301"/>
      <c r="K905" s="301"/>
      <c r="L905" s="301"/>
      <c r="M905" s="301"/>
      <c r="N905" s="301"/>
      <c r="O905" s="300"/>
      <c r="P905" s="429"/>
      <c r="Q905" s="301"/>
      <c r="R905" s="2"/>
      <c r="S905" s="301"/>
      <c r="T905" s="301"/>
      <c r="X905" s="2">
        <f t="shared" si="17"/>
        <v>0</v>
      </c>
      <c r="AA905" s="301"/>
      <c r="AB905" s="301"/>
      <c r="AC905" s="301"/>
      <c r="AE905" s="301"/>
      <c r="AF905" s="301"/>
      <c r="AG905" s="301"/>
    </row>
    <row r="906">
      <c r="J906" s="301"/>
      <c r="K906" s="301"/>
      <c r="L906" s="301"/>
      <c r="M906" s="301"/>
      <c r="N906" s="301"/>
      <c r="O906" s="300"/>
      <c r="P906" s="429"/>
      <c r="Q906" s="301"/>
      <c r="R906" s="2"/>
      <c r="S906" s="301"/>
      <c r="T906" s="301"/>
      <c r="X906" s="2">
        <f t="shared" si="17"/>
        <v>0</v>
      </c>
      <c r="AA906" s="301"/>
      <c r="AB906" s="301"/>
      <c r="AC906" s="301"/>
      <c r="AE906" s="301"/>
      <c r="AF906" s="301"/>
      <c r="AG906" s="301"/>
    </row>
    <row r="907">
      <c r="J907" s="301"/>
      <c r="K907" s="301"/>
      <c r="L907" s="301"/>
      <c r="M907" s="301"/>
      <c r="N907" s="301"/>
      <c r="O907" s="300"/>
      <c r="P907" s="429"/>
      <c r="Q907" s="301"/>
      <c r="R907" s="2"/>
      <c r="S907" s="301"/>
      <c r="T907" s="301"/>
      <c r="X907" s="2">
        <f t="shared" si="17"/>
        <v>0</v>
      </c>
      <c r="AA907" s="301"/>
      <c r="AB907" s="301"/>
      <c r="AC907" s="301"/>
      <c r="AE907" s="301"/>
      <c r="AF907" s="301"/>
      <c r="AG907" s="301"/>
    </row>
    <row r="908">
      <c r="J908" s="301"/>
      <c r="K908" s="301"/>
      <c r="L908" s="301"/>
      <c r="M908" s="301"/>
      <c r="N908" s="301"/>
      <c r="O908" s="300"/>
      <c r="P908" s="429"/>
      <c r="Q908" s="301"/>
      <c r="R908" s="2"/>
      <c r="S908" s="301"/>
      <c r="T908" s="301"/>
      <c r="X908" s="2">
        <f t="shared" si="17"/>
        <v>0</v>
      </c>
      <c r="AA908" s="301"/>
      <c r="AB908" s="301"/>
      <c r="AC908" s="301"/>
      <c r="AE908" s="301"/>
      <c r="AF908" s="301"/>
      <c r="AG908" s="301"/>
    </row>
    <row r="909">
      <c r="J909" s="301"/>
      <c r="K909" s="301"/>
      <c r="L909" s="301"/>
      <c r="M909" s="301"/>
      <c r="N909" s="301"/>
      <c r="O909" s="300"/>
      <c r="P909" s="429"/>
      <c r="Q909" s="301"/>
      <c r="R909" s="2"/>
      <c r="S909" s="301"/>
      <c r="T909" s="301"/>
      <c r="X909" s="2">
        <f t="shared" si="17"/>
        <v>0</v>
      </c>
      <c r="AA909" s="301"/>
      <c r="AB909" s="301"/>
      <c r="AC909" s="301"/>
      <c r="AE909" s="301"/>
      <c r="AF909" s="301"/>
      <c r="AG909" s="301"/>
    </row>
    <row r="910">
      <c r="J910" s="301"/>
      <c r="K910" s="301"/>
      <c r="L910" s="301"/>
      <c r="M910" s="301"/>
      <c r="N910" s="301"/>
      <c r="O910" s="300"/>
      <c r="P910" s="429"/>
      <c r="Q910" s="301"/>
      <c r="R910" s="2"/>
      <c r="S910" s="301"/>
      <c r="T910" s="301"/>
      <c r="X910" s="2">
        <f t="shared" si="17"/>
        <v>0</v>
      </c>
      <c r="AA910" s="301"/>
      <c r="AB910" s="301"/>
      <c r="AC910" s="301"/>
      <c r="AE910" s="301"/>
      <c r="AF910" s="301"/>
      <c r="AG910" s="301"/>
    </row>
    <row r="911">
      <c r="J911" s="301"/>
      <c r="K911" s="301"/>
      <c r="L911" s="301"/>
      <c r="M911" s="301"/>
      <c r="N911" s="301"/>
      <c r="O911" s="300"/>
      <c r="P911" s="429"/>
      <c r="Q911" s="301"/>
      <c r="R911" s="2"/>
      <c r="S911" s="301"/>
      <c r="T911" s="301"/>
      <c r="X911" s="2">
        <f t="shared" si="17"/>
        <v>0</v>
      </c>
      <c r="AA911" s="301"/>
      <c r="AB911" s="301"/>
      <c r="AC911" s="301"/>
      <c r="AE911" s="301"/>
      <c r="AF911" s="301"/>
      <c r="AG911" s="301"/>
    </row>
    <row r="912">
      <c r="J912" s="301"/>
      <c r="K912" s="301"/>
      <c r="L912" s="301"/>
      <c r="M912" s="301"/>
      <c r="N912" s="301"/>
      <c r="O912" s="300"/>
      <c r="P912" s="429"/>
      <c r="Q912" s="301"/>
      <c r="R912" s="2"/>
      <c r="S912" s="301"/>
      <c r="T912" s="301"/>
      <c r="X912" s="2">
        <f t="shared" si="17"/>
        <v>0</v>
      </c>
      <c r="AA912" s="301"/>
      <c r="AB912" s="301"/>
      <c r="AC912" s="301"/>
      <c r="AE912" s="301"/>
      <c r="AF912" s="301"/>
      <c r="AG912" s="301"/>
    </row>
    <row r="913">
      <c r="J913" s="301"/>
      <c r="K913" s="301"/>
      <c r="L913" s="301"/>
      <c r="M913" s="301"/>
      <c r="N913" s="301"/>
      <c r="O913" s="300"/>
      <c r="P913" s="429"/>
      <c r="Q913" s="301"/>
      <c r="R913" s="2"/>
      <c r="S913" s="301"/>
      <c r="T913" s="301"/>
      <c r="X913" s="2">
        <f t="shared" si="17"/>
        <v>0</v>
      </c>
      <c r="AA913" s="301"/>
      <c r="AB913" s="301"/>
      <c r="AC913" s="301"/>
      <c r="AE913" s="301"/>
      <c r="AF913" s="301"/>
      <c r="AG913" s="301"/>
    </row>
    <row r="914">
      <c r="J914" s="301"/>
      <c r="K914" s="301"/>
      <c r="L914" s="301"/>
      <c r="M914" s="301"/>
      <c r="N914" s="301"/>
      <c r="O914" s="300"/>
      <c r="P914" s="429"/>
      <c r="Q914" s="301"/>
      <c r="R914" s="2"/>
      <c r="S914" s="301"/>
      <c r="T914" s="301"/>
      <c r="X914" s="2">
        <f t="shared" si="17"/>
        <v>0</v>
      </c>
      <c r="AA914" s="301"/>
      <c r="AB914" s="301"/>
      <c r="AC914" s="301"/>
      <c r="AE914" s="301"/>
      <c r="AF914" s="301"/>
      <c r="AG914" s="301"/>
    </row>
    <row r="915">
      <c r="J915" s="301"/>
      <c r="K915" s="301"/>
      <c r="L915" s="301"/>
      <c r="M915" s="301"/>
      <c r="N915" s="301"/>
      <c r="O915" s="300"/>
      <c r="P915" s="429"/>
      <c r="Q915" s="301"/>
      <c r="R915" s="2"/>
      <c r="S915" s="301"/>
      <c r="T915" s="301"/>
      <c r="X915" s="2">
        <f t="shared" si="17"/>
        <v>0</v>
      </c>
      <c r="AA915" s="301"/>
      <c r="AB915" s="301"/>
      <c r="AC915" s="301"/>
      <c r="AE915" s="301"/>
      <c r="AF915" s="301"/>
      <c r="AG915" s="301"/>
    </row>
    <row r="916">
      <c r="J916" s="301"/>
      <c r="K916" s="301"/>
      <c r="L916" s="301"/>
      <c r="M916" s="301"/>
      <c r="N916" s="301"/>
      <c r="O916" s="300"/>
      <c r="P916" s="429"/>
      <c r="Q916" s="301"/>
      <c r="R916" s="2"/>
      <c r="S916" s="301"/>
      <c r="T916" s="301"/>
      <c r="X916" s="2">
        <f t="shared" si="17"/>
        <v>0</v>
      </c>
      <c r="AA916" s="301"/>
      <c r="AB916" s="301"/>
      <c r="AC916" s="301"/>
      <c r="AE916" s="301"/>
      <c r="AF916" s="301"/>
      <c r="AG916" s="301"/>
    </row>
    <row r="917">
      <c r="J917" s="301"/>
      <c r="K917" s="301"/>
      <c r="L917" s="301"/>
      <c r="M917" s="301"/>
      <c r="N917" s="301"/>
      <c r="O917" s="300"/>
      <c r="P917" s="429"/>
      <c r="Q917" s="301"/>
      <c r="R917" s="2"/>
      <c r="S917" s="301"/>
      <c r="T917" s="301"/>
      <c r="X917" s="2">
        <f t="shared" si="17"/>
        <v>0</v>
      </c>
      <c r="AA917" s="301"/>
      <c r="AB917" s="301"/>
      <c r="AC917" s="301"/>
      <c r="AE917" s="301"/>
      <c r="AF917" s="301"/>
      <c r="AG917" s="301"/>
    </row>
    <row r="918">
      <c r="J918" s="301"/>
      <c r="K918" s="301"/>
      <c r="L918" s="301"/>
      <c r="M918" s="301"/>
      <c r="N918" s="301"/>
      <c r="O918" s="300"/>
      <c r="P918" s="429"/>
      <c r="Q918" s="301"/>
      <c r="R918" s="2"/>
      <c r="S918" s="301"/>
      <c r="T918" s="301"/>
      <c r="X918" s="2">
        <f t="shared" si="17"/>
        <v>0</v>
      </c>
      <c r="AA918" s="301"/>
      <c r="AB918" s="301"/>
      <c r="AC918" s="301"/>
      <c r="AE918" s="301"/>
      <c r="AF918" s="301"/>
      <c r="AG918" s="301"/>
    </row>
    <row r="919">
      <c r="J919" s="301"/>
      <c r="K919" s="301"/>
      <c r="L919" s="301"/>
      <c r="M919" s="301"/>
      <c r="N919" s="301"/>
      <c r="O919" s="300"/>
      <c r="P919" s="429"/>
      <c r="Q919" s="301"/>
      <c r="R919" s="2"/>
      <c r="S919" s="301"/>
      <c r="T919" s="301"/>
      <c r="X919" s="2">
        <f t="shared" si="17"/>
        <v>0</v>
      </c>
      <c r="AA919" s="301"/>
      <c r="AB919" s="301"/>
      <c r="AC919" s="301"/>
      <c r="AE919" s="301"/>
      <c r="AF919" s="301"/>
      <c r="AG919" s="301"/>
    </row>
    <row r="920">
      <c r="J920" s="301"/>
      <c r="K920" s="301"/>
      <c r="L920" s="301"/>
      <c r="M920" s="301"/>
      <c r="N920" s="301"/>
      <c r="O920" s="300"/>
      <c r="P920" s="429"/>
      <c r="Q920" s="301"/>
      <c r="R920" s="2"/>
      <c r="S920" s="301"/>
      <c r="T920" s="301"/>
      <c r="X920" s="2">
        <f t="shared" si="17"/>
        <v>0</v>
      </c>
      <c r="AA920" s="301"/>
      <c r="AB920" s="301"/>
      <c r="AC920" s="301"/>
      <c r="AE920" s="301"/>
      <c r="AF920" s="301"/>
      <c r="AG920" s="301"/>
    </row>
    <row r="921">
      <c r="J921" s="301"/>
      <c r="K921" s="301"/>
      <c r="L921" s="301"/>
      <c r="M921" s="301"/>
      <c r="N921" s="301"/>
      <c r="O921" s="300"/>
      <c r="P921" s="429"/>
      <c r="Q921" s="301"/>
      <c r="R921" s="2"/>
      <c r="S921" s="301"/>
      <c r="T921" s="301"/>
      <c r="X921" s="2">
        <f t="shared" si="17"/>
        <v>0</v>
      </c>
      <c r="AA921" s="301"/>
      <c r="AB921" s="301"/>
      <c r="AC921" s="301"/>
      <c r="AE921" s="301"/>
      <c r="AF921" s="301"/>
      <c r="AG921" s="301"/>
    </row>
    <row r="922">
      <c r="J922" s="301"/>
      <c r="K922" s="301"/>
      <c r="L922" s="301"/>
      <c r="M922" s="301"/>
      <c r="N922" s="301"/>
      <c r="O922" s="300"/>
      <c r="P922" s="429"/>
      <c r="Q922" s="301"/>
      <c r="R922" s="2"/>
      <c r="S922" s="301"/>
      <c r="T922" s="301"/>
      <c r="X922" s="2">
        <f t="shared" si="17"/>
        <v>0</v>
      </c>
      <c r="AA922" s="301"/>
      <c r="AB922" s="301"/>
      <c r="AC922" s="301"/>
      <c r="AE922" s="301"/>
      <c r="AF922" s="301"/>
      <c r="AG922" s="301"/>
    </row>
    <row r="923">
      <c r="J923" s="301"/>
      <c r="K923" s="301"/>
      <c r="L923" s="301"/>
      <c r="M923" s="301"/>
      <c r="N923" s="301"/>
      <c r="O923" s="300"/>
      <c r="P923" s="429"/>
      <c r="Q923" s="301"/>
      <c r="R923" s="2"/>
      <c r="S923" s="301"/>
      <c r="T923" s="301"/>
      <c r="X923" s="2">
        <f t="shared" si="17"/>
        <v>0</v>
      </c>
      <c r="AA923" s="301"/>
      <c r="AB923" s="301"/>
      <c r="AC923" s="301"/>
      <c r="AE923" s="301"/>
      <c r="AF923" s="301"/>
      <c r="AG923" s="301"/>
    </row>
    <row r="924">
      <c r="J924" s="301"/>
      <c r="K924" s="301"/>
      <c r="L924" s="301"/>
      <c r="M924" s="301"/>
      <c r="N924" s="301"/>
      <c r="O924" s="300"/>
      <c r="P924" s="429"/>
      <c r="Q924" s="301"/>
      <c r="R924" s="2"/>
      <c r="S924" s="301"/>
      <c r="T924" s="301"/>
      <c r="X924" s="2">
        <f t="shared" si="17"/>
        <v>0</v>
      </c>
      <c r="AA924" s="301"/>
      <c r="AB924" s="301"/>
      <c r="AC924" s="301"/>
      <c r="AE924" s="301"/>
      <c r="AF924" s="301"/>
      <c r="AG924" s="301"/>
    </row>
    <row r="925">
      <c r="J925" s="301"/>
      <c r="K925" s="301"/>
      <c r="L925" s="301"/>
      <c r="M925" s="301"/>
      <c r="N925" s="301"/>
      <c r="O925" s="300"/>
      <c r="P925" s="429"/>
      <c r="Q925" s="301"/>
      <c r="R925" s="2"/>
      <c r="S925" s="301"/>
      <c r="T925" s="301"/>
      <c r="X925" s="2">
        <f t="shared" si="17"/>
        <v>0</v>
      </c>
      <c r="AA925" s="301"/>
      <c r="AB925" s="301"/>
      <c r="AC925" s="301"/>
      <c r="AE925" s="301"/>
      <c r="AF925" s="301"/>
      <c r="AG925" s="301"/>
    </row>
    <row r="926">
      <c r="J926" s="301"/>
      <c r="K926" s="301"/>
      <c r="L926" s="301"/>
      <c r="M926" s="301"/>
      <c r="N926" s="301"/>
      <c r="O926" s="300"/>
      <c r="P926" s="429"/>
      <c r="Q926" s="301"/>
      <c r="R926" s="2"/>
      <c r="S926" s="301"/>
      <c r="T926" s="301"/>
      <c r="X926" s="2">
        <f t="shared" si="17"/>
        <v>0</v>
      </c>
      <c r="AA926" s="301"/>
      <c r="AB926" s="301"/>
      <c r="AC926" s="301"/>
      <c r="AE926" s="301"/>
      <c r="AF926" s="301"/>
      <c r="AG926" s="301"/>
    </row>
    <row r="927">
      <c r="J927" s="301"/>
      <c r="K927" s="301"/>
      <c r="L927" s="301"/>
      <c r="M927" s="301"/>
      <c r="N927" s="301"/>
      <c r="O927" s="300"/>
      <c r="P927" s="429"/>
      <c r="Q927" s="301"/>
      <c r="R927" s="2"/>
      <c r="S927" s="301"/>
      <c r="T927" s="301"/>
      <c r="X927" s="2">
        <f t="shared" si="17"/>
        <v>0</v>
      </c>
      <c r="AA927" s="301"/>
      <c r="AB927" s="301"/>
      <c r="AC927" s="301"/>
      <c r="AE927" s="301"/>
      <c r="AF927" s="301"/>
      <c r="AG927" s="301"/>
    </row>
    <row r="928">
      <c r="J928" s="301"/>
      <c r="K928" s="301"/>
      <c r="L928" s="301"/>
      <c r="M928" s="301"/>
      <c r="N928" s="301"/>
      <c r="O928" s="300"/>
      <c r="P928" s="429"/>
      <c r="Q928" s="301"/>
      <c r="R928" s="2"/>
      <c r="S928" s="301"/>
      <c r="T928" s="301"/>
      <c r="X928" s="2">
        <f t="shared" si="17"/>
        <v>0</v>
      </c>
      <c r="AA928" s="301"/>
      <c r="AB928" s="301"/>
      <c r="AC928" s="301"/>
      <c r="AE928" s="301"/>
      <c r="AF928" s="301"/>
      <c r="AG928" s="301"/>
    </row>
    <row r="929">
      <c r="J929" s="301"/>
      <c r="K929" s="301"/>
      <c r="L929" s="301"/>
      <c r="M929" s="301"/>
      <c r="N929" s="301"/>
      <c r="O929" s="300"/>
      <c r="P929" s="429"/>
      <c r="Q929" s="301"/>
      <c r="R929" s="2"/>
      <c r="S929" s="301"/>
      <c r="T929" s="301"/>
      <c r="X929" s="2">
        <f t="shared" si="17"/>
        <v>0</v>
      </c>
      <c r="AA929" s="301"/>
      <c r="AB929" s="301"/>
      <c r="AC929" s="301"/>
      <c r="AE929" s="301"/>
      <c r="AF929" s="301"/>
      <c r="AG929" s="301"/>
    </row>
    <row r="930">
      <c r="J930" s="301"/>
      <c r="K930" s="301"/>
      <c r="L930" s="301"/>
      <c r="M930" s="301"/>
      <c r="N930" s="301"/>
      <c r="O930" s="300"/>
      <c r="P930" s="429"/>
      <c r="Q930" s="301"/>
      <c r="R930" s="2"/>
      <c r="S930" s="301"/>
      <c r="T930" s="301"/>
      <c r="X930" s="2">
        <f t="shared" si="17"/>
        <v>0</v>
      </c>
      <c r="AA930" s="301"/>
      <c r="AB930" s="301"/>
      <c r="AC930" s="301"/>
      <c r="AE930" s="301"/>
      <c r="AF930" s="301"/>
      <c r="AG930" s="301"/>
    </row>
    <row r="931">
      <c r="J931" s="301"/>
      <c r="K931" s="301"/>
      <c r="L931" s="301"/>
      <c r="M931" s="301"/>
      <c r="N931" s="301"/>
      <c r="O931" s="300"/>
      <c r="P931" s="429"/>
      <c r="Q931" s="301"/>
      <c r="R931" s="2"/>
      <c r="S931" s="301"/>
      <c r="T931" s="301"/>
      <c r="X931" s="2">
        <f t="shared" si="17"/>
        <v>0</v>
      </c>
      <c r="AA931" s="301"/>
      <c r="AB931" s="301"/>
      <c r="AC931" s="301"/>
      <c r="AE931" s="301"/>
      <c r="AF931" s="301"/>
      <c r="AG931" s="301"/>
    </row>
    <row r="932">
      <c r="J932" s="301"/>
      <c r="K932" s="301"/>
      <c r="L932" s="301"/>
      <c r="M932" s="301"/>
      <c r="N932" s="301"/>
      <c r="O932" s="300"/>
      <c r="P932" s="429"/>
      <c r="Q932" s="301"/>
      <c r="R932" s="2"/>
      <c r="S932" s="301"/>
      <c r="T932" s="301"/>
      <c r="X932" s="2">
        <f t="shared" si="17"/>
        <v>0</v>
      </c>
      <c r="AA932" s="301"/>
      <c r="AB932" s="301"/>
      <c r="AC932" s="301"/>
      <c r="AE932" s="301"/>
      <c r="AF932" s="301"/>
      <c r="AG932" s="301"/>
    </row>
    <row r="933">
      <c r="J933" s="301"/>
      <c r="K933" s="301"/>
      <c r="L933" s="301"/>
      <c r="M933" s="301"/>
      <c r="N933" s="301"/>
      <c r="O933" s="300"/>
      <c r="P933" s="429"/>
      <c r="Q933" s="301"/>
      <c r="R933" s="2"/>
      <c r="S933" s="301"/>
      <c r="T933" s="301"/>
      <c r="X933" s="2">
        <f t="shared" si="17"/>
        <v>0</v>
      </c>
      <c r="AA933" s="301"/>
      <c r="AB933" s="301"/>
      <c r="AC933" s="301"/>
      <c r="AE933" s="301"/>
      <c r="AF933" s="301"/>
      <c r="AG933" s="301"/>
    </row>
    <row r="934">
      <c r="J934" s="301"/>
      <c r="K934" s="301"/>
      <c r="L934" s="301"/>
      <c r="M934" s="301"/>
      <c r="N934" s="301"/>
      <c r="O934" s="300"/>
      <c r="P934" s="429"/>
      <c r="Q934" s="301"/>
      <c r="R934" s="2"/>
      <c r="S934" s="301"/>
      <c r="T934" s="301"/>
      <c r="X934" s="2">
        <f t="shared" si="17"/>
        <v>0</v>
      </c>
      <c r="AA934" s="301"/>
      <c r="AB934" s="301"/>
      <c r="AC934" s="301"/>
      <c r="AE934" s="301"/>
      <c r="AF934" s="301"/>
      <c r="AG934" s="301"/>
    </row>
    <row r="935">
      <c r="J935" s="301"/>
      <c r="K935" s="301"/>
      <c r="L935" s="301"/>
      <c r="M935" s="301"/>
      <c r="N935" s="301"/>
      <c r="O935" s="300"/>
      <c r="P935" s="429"/>
      <c r="Q935" s="301"/>
      <c r="R935" s="2"/>
      <c r="S935" s="301"/>
      <c r="T935" s="301"/>
      <c r="X935" s="2">
        <f t="shared" si="17"/>
        <v>0</v>
      </c>
      <c r="AA935" s="301"/>
      <c r="AB935" s="301"/>
      <c r="AC935" s="301"/>
      <c r="AE935" s="301"/>
      <c r="AF935" s="301"/>
      <c r="AG935" s="301"/>
    </row>
    <row r="936">
      <c r="J936" s="301"/>
      <c r="K936" s="301"/>
      <c r="L936" s="301"/>
      <c r="M936" s="301"/>
      <c r="N936" s="301"/>
      <c r="O936" s="300"/>
      <c r="P936" s="429"/>
      <c r="Q936" s="301"/>
      <c r="R936" s="2"/>
      <c r="S936" s="301"/>
      <c r="T936" s="301"/>
      <c r="X936" s="2">
        <f t="shared" si="17"/>
        <v>0</v>
      </c>
      <c r="AA936" s="301"/>
      <c r="AB936" s="301"/>
      <c r="AC936" s="301"/>
      <c r="AE936" s="301"/>
      <c r="AF936" s="301"/>
      <c r="AG936" s="301"/>
    </row>
    <row r="937">
      <c r="J937" s="301"/>
      <c r="K937" s="301"/>
      <c r="L937" s="301"/>
      <c r="M937" s="301"/>
      <c r="N937" s="301"/>
      <c r="O937" s="300"/>
      <c r="P937" s="429"/>
      <c r="Q937" s="301"/>
      <c r="R937" s="2"/>
      <c r="S937" s="301"/>
      <c r="T937" s="301"/>
      <c r="X937" s="2">
        <f t="shared" si="17"/>
        <v>0</v>
      </c>
      <c r="AA937" s="301"/>
      <c r="AB937" s="301"/>
      <c r="AC937" s="301"/>
      <c r="AE937" s="301"/>
      <c r="AF937" s="301"/>
      <c r="AG937" s="301"/>
    </row>
    <row r="938">
      <c r="J938" s="301"/>
      <c r="K938" s="301"/>
      <c r="L938" s="301"/>
      <c r="M938" s="301"/>
      <c r="N938" s="301"/>
      <c r="O938" s="300"/>
      <c r="P938" s="429"/>
      <c r="Q938" s="301"/>
      <c r="R938" s="2"/>
      <c r="S938" s="301"/>
      <c r="T938" s="301"/>
      <c r="X938" s="2">
        <f t="shared" si="17"/>
        <v>0</v>
      </c>
      <c r="AA938" s="301"/>
      <c r="AB938" s="301"/>
      <c r="AC938" s="301"/>
      <c r="AE938" s="301"/>
      <c r="AF938" s="301"/>
      <c r="AG938" s="301"/>
    </row>
    <row r="939">
      <c r="J939" s="301"/>
      <c r="K939" s="301"/>
      <c r="L939" s="301"/>
      <c r="M939" s="301"/>
      <c r="N939" s="301"/>
      <c r="O939" s="300"/>
      <c r="P939" s="429"/>
      <c r="Q939" s="301"/>
      <c r="R939" s="2"/>
      <c r="S939" s="301"/>
      <c r="T939" s="301"/>
      <c r="X939" s="2">
        <f t="shared" si="17"/>
        <v>0</v>
      </c>
      <c r="AA939" s="301"/>
      <c r="AB939" s="301"/>
      <c r="AC939" s="301"/>
      <c r="AE939" s="301"/>
      <c r="AF939" s="301"/>
      <c r="AG939" s="301"/>
    </row>
    <row r="940">
      <c r="J940" s="301"/>
      <c r="K940" s="301"/>
      <c r="L940" s="301"/>
      <c r="M940" s="301"/>
      <c r="N940" s="301"/>
      <c r="O940" s="300"/>
      <c r="P940" s="429"/>
      <c r="Q940" s="301"/>
      <c r="R940" s="2"/>
      <c r="S940" s="301"/>
      <c r="T940" s="301"/>
      <c r="X940" s="2">
        <f t="shared" si="17"/>
        <v>0</v>
      </c>
      <c r="AA940" s="301"/>
      <c r="AB940" s="301"/>
      <c r="AC940" s="301"/>
      <c r="AE940" s="301"/>
      <c r="AF940" s="301"/>
      <c r="AG940" s="301"/>
    </row>
    <row r="941">
      <c r="J941" s="301"/>
      <c r="K941" s="301"/>
      <c r="L941" s="301"/>
      <c r="M941" s="301"/>
      <c r="N941" s="301"/>
      <c r="O941" s="300"/>
      <c r="P941" s="429"/>
      <c r="Q941" s="301"/>
      <c r="R941" s="2"/>
      <c r="S941" s="301"/>
      <c r="T941" s="301"/>
      <c r="X941" s="2">
        <f t="shared" si="17"/>
        <v>0</v>
      </c>
      <c r="AA941" s="301"/>
      <c r="AB941" s="301"/>
      <c r="AC941" s="301"/>
      <c r="AE941" s="301"/>
      <c r="AF941" s="301"/>
      <c r="AG941" s="301"/>
    </row>
    <row r="942">
      <c r="J942" s="301"/>
      <c r="K942" s="301"/>
      <c r="L942" s="301"/>
      <c r="M942" s="301"/>
      <c r="N942" s="301"/>
      <c r="O942" s="300"/>
      <c r="P942" s="429"/>
      <c r="Q942" s="301"/>
      <c r="R942" s="2"/>
      <c r="S942" s="301"/>
      <c r="T942" s="301"/>
      <c r="X942" s="2">
        <f t="shared" si="17"/>
        <v>0</v>
      </c>
      <c r="AA942" s="301"/>
      <c r="AB942" s="301"/>
      <c r="AC942" s="301"/>
      <c r="AE942" s="301"/>
      <c r="AF942" s="301"/>
      <c r="AG942" s="301"/>
    </row>
    <row r="943">
      <c r="J943" s="301"/>
      <c r="K943" s="301"/>
      <c r="L943" s="301"/>
      <c r="M943" s="301"/>
      <c r="N943" s="301"/>
      <c r="O943" s="300"/>
      <c r="P943" s="429"/>
      <c r="Q943" s="301"/>
      <c r="R943" s="2"/>
      <c r="S943" s="301"/>
      <c r="T943" s="301"/>
      <c r="X943" s="2">
        <f t="shared" si="17"/>
        <v>0</v>
      </c>
      <c r="AA943" s="301"/>
      <c r="AB943" s="301"/>
      <c r="AC943" s="301"/>
      <c r="AE943" s="301"/>
      <c r="AF943" s="301"/>
      <c r="AG943" s="301"/>
    </row>
    <row r="944">
      <c r="J944" s="301"/>
      <c r="K944" s="301"/>
      <c r="L944" s="301"/>
      <c r="M944" s="301"/>
      <c r="N944" s="301"/>
      <c r="O944" s="300"/>
      <c r="P944" s="429"/>
      <c r="Q944" s="301"/>
      <c r="R944" s="2"/>
      <c r="S944" s="301"/>
      <c r="T944" s="301"/>
      <c r="X944" s="2">
        <f t="shared" si="17"/>
        <v>0</v>
      </c>
      <c r="AA944" s="301"/>
      <c r="AB944" s="301"/>
      <c r="AC944" s="301"/>
      <c r="AE944" s="301"/>
      <c r="AF944" s="301"/>
      <c r="AG944" s="301"/>
    </row>
    <row r="945">
      <c r="J945" s="301"/>
      <c r="K945" s="301"/>
      <c r="L945" s="301"/>
      <c r="M945" s="301"/>
      <c r="N945" s="301"/>
      <c r="O945" s="300"/>
      <c r="P945" s="429"/>
      <c r="Q945" s="301"/>
      <c r="R945" s="2"/>
      <c r="S945" s="301"/>
      <c r="T945" s="301"/>
      <c r="X945" s="2">
        <f t="shared" si="17"/>
        <v>0</v>
      </c>
      <c r="AA945" s="301"/>
      <c r="AB945" s="301"/>
      <c r="AC945" s="301"/>
      <c r="AE945" s="301"/>
      <c r="AF945" s="301"/>
      <c r="AG945" s="301"/>
    </row>
    <row r="946">
      <c r="J946" s="301"/>
      <c r="K946" s="301"/>
      <c r="L946" s="301"/>
      <c r="M946" s="301"/>
      <c r="N946" s="301"/>
      <c r="O946" s="300"/>
      <c r="P946" s="429"/>
      <c r="Q946" s="301"/>
      <c r="R946" s="2"/>
      <c r="S946" s="301"/>
      <c r="T946" s="301"/>
      <c r="X946" s="2">
        <f t="shared" si="17"/>
        <v>0</v>
      </c>
      <c r="AA946" s="301"/>
      <c r="AB946" s="301"/>
      <c r="AC946" s="301"/>
      <c r="AE946" s="301"/>
      <c r="AF946" s="301"/>
      <c r="AG946" s="301"/>
    </row>
    <row r="947">
      <c r="J947" s="301"/>
      <c r="K947" s="301"/>
      <c r="L947" s="301"/>
      <c r="M947" s="301"/>
      <c r="N947" s="301"/>
      <c r="O947" s="300"/>
      <c r="P947" s="429"/>
      <c r="Q947" s="301"/>
      <c r="R947" s="2"/>
      <c r="S947" s="301"/>
      <c r="T947" s="301"/>
      <c r="X947" s="2">
        <f t="shared" si="17"/>
        <v>0</v>
      </c>
      <c r="AA947" s="301"/>
      <c r="AB947" s="301"/>
      <c r="AC947" s="301"/>
      <c r="AE947" s="301"/>
      <c r="AF947" s="301"/>
      <c r="AG947" s="301"/>
    </row>
    <row r="948">
      <c r="J948" s="301"/>
      <c r="K948" s="301"/>
      <c r="L948" s="301"/>
      <c r="M948" s="301"/>
      <c r="N948" s="301"/>
      <c r="O948" s="300"/>
      <c r="P948" s="429"/>
      <c r="Q948" s="301"/>
      <c r="R948" s="2"/>
      <c r="S948" s="301"/>
      <c r="T948" s="301"/>
      <c r="X948" s="2">
        <f t="shared" si="17"/>
        <v>0</v>
      </c>
      <c r="AA948" s="301"/>
      <c r="AB948" s="301"/>
      <c r="AC948" s="301"/>
      <c r="AE948" s="301"/>
      <c r="AF948" s="301"/>
      <c r="AG948" s="301"/>
    </row>
    <row r="949">
      <c r="J949" s="301"/>
      <c r="K949" s="301"/>
      <c r="L949" s="301"/>
      <c r="M949" s="301"/>
      <c r="N949" s="301"/>
      <c r="O949" s="300"/>
      <c r="P949" s="429"/>
      <c r="Q949" s="301"/>
      <c r="R949" s="2"/>
      <c r="S949" s="301"/>
      <c r="T949" s="301"/>
      <c r="X949" s="2">
        <f t="shared" si="17"/>
        <v>0</v>
      </c>
      <c r="AA949" s="301"/>
      <c r="AB949" s="301"/>
      <c r="AC949" s="301"/>
      <c r="AE949" s="301"/>
      <c r="AF949" s="301"/>
      <c r="AG949" s="301"/>
    </row>
    <row r="950">
      <c r="J950" s="301"/>
      <c r="K950" s="301"/>
      <c r="L950" s="301"/>
      <c r="M950" s="301"/>
      <c r="N950" s="301"/>
      <c r="O950" s="300"/>
      <c r="P950" s="429"/>
      <c r="Q950" s="301"/>
      <c r="R950" s="2"/>
      <c r="S950" s="301"/>
      <c r="T950" s="301"/>
      <c r="X950" s="2">
        <f t="shared" si="17"/>
        <v>0</v>
      </c>
      <c r="AA950" s="301"/>
      <c r="AB950" s="301"/>
      <c r="AC950" s="301"/>
      <c r="AE950" s="301"/>
      <c r="AF950" s="301"/>
      <c r="AG950" s="301"/>
    </row>
    <row r="951">
      <c r="J951" s="301"/>
      <c r="K951" s="301"/>
      <c r="L951" s="301"/>
      <c r="M951" s="301"/>
      <c r="N951" s="301"/>
      <c r="O951" s="300"/>
      <c r="P951" s="429"/>
      <c r="Q951" s="301"/>
      <c r="R951" s="2"/>
      <c r="S951" s="301"/>
      <c r="T951" s="301"/>
      <c r="X951" s="2">
        <f t="shared" si="17"/>
        <v>0</v>
      </c>
      <c r="AA951" s="301"/>
      <c r="AB951" s="301"/>
      <c r="AC951" s="301"/>
      <c r="AE951" s="301"/>
      <c r="AF951" s="301"/>
      <c r="AG951" s="301"/>
    </row>
    <row r="952">
      <c r="J952" s="301"/>
      <c r="K952" s="301"/>
      <c r="L952" s="301"/>
      <c r="M952" s="301"/>
      <c r="N952" s="301"/>
      <c r="O952" s="300"/>
      <c r="P952" s="429"/>
      <c r="Q952" s="301"/>
      <c r="R952" s="2"/>
      <c r="S952" s="301"/>
      <c r="T952" s="301"/>
      <c r="X952" s="2">
        <f t="shared" si="17"/>
        <v>0</v>
      </c>
      <c r="AA952" s="301"/>
      <c r="AB952" s="301"/>
      <c r="AC952" s="301"/>
      <c r="AE952" s="301"/>
      <c r="AF952" s="301"/>
      <c r="AG952" s="301"/>
    </row>
    <row r="953">
      <c r="J953" s="301"/>
      <c r="K953" s="301"/>
      <c r="L953" s="301"/>
      <c r="M953" s="301"/>
      <c r="N953" s="301"/>
      <c r="O953" s="300"/>
      <c r="P953" s="429"/>
      <c r="Q953" s="301"/>
      <c r="R953" s="2"/>
      <c r="S953" s="301"/>
      <c r="T953" s="301"/>
      <c r="X953" s="2">
        <f t="shared" si="17"/>
        <v>0</v>
      </c>
      <c r="AA953" s="301"/>
      <c r="AB953" s="301"/>
      <c r="AC953" s="301"/>
      <c r="AE953" s="301"/>
      <c r="AF953" s="301"/>
      <c r="AG953" s="301"/>
    </row>
    <row r="954">
      <c r="J954" s="301"/>
      <c r="K954" s="301"/>
      <c r="L954" s="301"/>
      <c r="M954" s="301"/>
      <c r="N954" s="301"/>
      <c r="O954" s="300"/>
      <c r="P954" s="429"/>
      <c r="Q954" s="301"/>
      <c r="R954" s="2"/>
      <c r="S954" s="301"/>
      <c r="T954" s="301"/>
      <c r="X954" s="2">
        <f t="shared" si="17"/>
        <v>0</v>
      </c>
      <c r="AA954" s="301"/>
      <c r="AB954" s="301"/>
      <c r="AC954" s="301"/>
      <c r="AE954" s="301"/>
      <c r="AF954" s="301"/>
      <c r="AG954" s="301"/>
    </row>
    <row r="955">
      <c r="J955" s="301"/>
      <c r="K955" s="301"/>
      <c r="L955" s="301"/>
      <c r="M955" s="301"/>
      <c r="N955" s="301"/>
      <c r="O955" s="300"/>
      <c r="P955" s="429"/>
      <c r="Q955" s="301"/>
      <c r="R955" s="2"/>
      <c r="S955" s="301"/>
      <c r="T955" s="301"/>
      <c r="X955" s="2">
        <f t="shared" si="17"/>
        <v>0</v>
      </c>
      <c r="AA955" s="301"/>
      <c r="AB955" s="301"/>
      <c r="AC955" s="301"/>
      <c r="AE955" s="301"/>
      <c r="AF955" s="301"/>
      <c r="AG955" s="301"/>
    </row>
    <row r="956">
      <c r="J956" s="301"/>
      <c r="K956" s="301"/>
      <c r="L956" s="301"/>
      <c r="M956" s="301"/>
      <c r="N956" s="301"/>
      <c r="O956" s="300"/>
      <c r="P956" s="429"/>
      <c r="Q956" s="301"/>
      <c r="R956" s="2"/>
      <c r="S956" s="301"/>
      <c r="T956" s="301"/>
      <c r="X956" s="2">
        <f t="shared" si="17"/>
        <v>0</v>
      </c>
      <c r="AA956" s="301"/>
      <c r="AB956" s="301"/>
      <c r="AC956" s="301"/>
      <c r="AE956" s="301"/>
      <c r="AF956" s="301"/>
      <c r="AG956" s="301"/>
    </row>
    <row r="957">
      <c r="J957" s="301"/>
      <c r="K957" s="301"/>
      <c r="L957" s="301"/>
      <c r="M957" s="301"/>
      <c r="N957" s="301"/>
      <c r="O957" s="300"/>
      <c r="P957" s="429"/>
      <c r="Q957" s="301"/>
      <c r="R957" s="2"/>
      <c r="S957" s="301"/>
      <c r="T957" s="301"/>
      <c r="X957" s="2">
        <f t="shared" si="17"/>
        <v>0</v>
      </c>
      <c r="AA957" s="301"/>
      <c r="AB957" s="301"/>
      <c r="AC957" s="301"/>
      <c r="AE957" s="301"/>
      <c r="AF957" s="301"/>
      <c r="AG957" s="301"/>
    </row>
    <row r="958">
      <c r="J958" s="301"/>
      <c r="K958" s="301"/>
      <c r="L958" s="301"/>
      <c r="M958" s="301"/>
      <c r="N958" s="301"/>
      <c r="O958" s="300"/>
      <c r="P958" s="429"/>
      <c r="Q958" s="301"/>
      <c r="R958" s="2"/>
      <c r="S958" s="301"/>
      <c r="T958" s="301"/>
      <c r="X958" s="2">
        <f t="shared" si="17"/>
        <v>0</v>
      </c>
      <c r="AA958" s="301"/>
      <c r="AB958" s="301"/>
      <c r="AC958" s="301"/>
      <c r="AE958" s="301"/>
      <c r="AF958" s="301"/>
      <c r="AG958" s="301"/>
    </row>
    <row r="959">
      <c r="J959" s="301"/>
      <c r="K959" s="301"/>
      <c r="L959" s="301"/>
      <c r="M959" s="301"/>
      <c r="N959" s="301"/>
      <c r="O959" s="300"/>
      <c r="P959" s="429"/>
      <c r="Q959" s="301"/>
      <c r="R959" s="2"/>
      <c r="S959" s="301"/>
      <c r="T959" s="301"/>
      <c r="X959" s="2">
        <f t="shared" si="17"/>
        <v>0</v>
      </c>
      <c r="AA959" s="301"/>
      <c r="AB959" s="301"/>
      <c r="AC959" s="301"/>
      <c r="AE959" s="301"/>
      <c r="AF959" s="301"/>
      <c r="AG959" s="301"/>
    </row>
    <row r="960">
      <c r="J960" s="301"/>
      <c r="K960" s="301"/>
      <c r="L960" s="301"/>
      <c r="M960" s="301"/>
      <c r="N960" s="301"/>
      <c r="O960" s="300"/>
      <c r="P960" s="429"/>
      <c r="Q960" s="301"/>
      <c r="R960" s="2"/>
      <c r="S960" s="301"/>
      <c r="T960" s="301"/>
      <c r="X960" s="2">
        <f t="shared" si="17"/>
        <v>0</v>
      </c>
      <c r="AA960" s="301"/>
      <c r="AB960" s="301"/>
      <c r="AC960" s="301"/>
      <c r="AE960" s="301"/>
      <c r="AF960" s="301"/>
      <c r="AG960" s="301"/>
    </row>
    <row r="961">
      <c r="J961" s="301"/>
      <c r="K961" s="301"/>
      <c r="L961" s="301"/>
      <c r="M961" s="301"/>
      <c r="N961" s="301"/>
      <c r="O961" s="300"/>
      <c r="P961" s="429"/>
      <c r="Q961" s="301"/>
      <c r="R961" s="2"/>
      <c r="S961" s="301"/>
      <c r="T961" s="301"/>
      <c r="X961" s="2">
        <f t="shared" si="17"/>
        <v>0</v>
      </c>
      <c r="AA961" s="301"/>
      <c r="AB961" s="301"/>
      <c r="AC961" s="301"/>
      <c r="AE961" s="301"/>
      <c r="AF961" s="301"/>
      <c r="AG961" s="301"/>
    </row>
    <row r="962">
      <c r="J962" s="301"/>
      <c r="K962" s="301"/>
      <c r="L962" s="301"/>
      <c r="M962" s="301"/>
      <c r="N962" s="301"/>
      <c r="O962" s="300"/>
      <c r="P962" s="429"/>
      <c r="Q962" s="301"/>
      <c r="R962" s="2"/>
      <c r="S962" s="301"/>
      <c r="T962" s="301"/>
      <c r="X962" s="2">
        <f t="shared" si="17"/>
        <v>0</v>
      </c>
      <c r="AA962" s="301"/>
      <c r="AB962" s="301"/>
      <c r="AC962" s="301"/>
      <c r="AE962" s="301"/>
      <c r="AF962" s="301"/>
      <c r="AG962" s="301"/>
    </row>
    <row r="963">
      <c r="J963" s="301"/>
      <c r="K963" s="301"/>
      <c r="L963" s="301"/>
      <c r="M963" s="301"/>
      <c r="N963" s="301"/>
      <c r="O963" s="300"/>
      <c r="P963" s="429"/>
      <c r="Q963" s="301"/>
      <c r="R963" s="2"/>
      <c r="S963" s="301"/>
      <c r="T963" s="301"/>
      <c r="X963" s="2">
        <f t="shared" si="17"/>
        <v>0</v>
      </c>
      <c r="AA963" s="301"/>
      <c r="AB963" s="301"/>
      <c r="AC963" s="301"/>
      <c r="AE963" s="301"/>
      <c r="AF963" s="301"/>
      <c r="AG963" s="301"/>
    </row>
    <row r="964">
      <c r="J964" s="301"/>
      <c r="K964" s="301"/>
      <c r="L964" s="301"/>
      <c r="M964" s="301"/>
      <c r="N964" s="301"/>
      <c r="O964" s="300"/>
      <c r="P964" s="429"/>
      <c r="Q964" s="301"/>
      <c r="R964" s="2"/>
      <c r="S964" s="301"/>
      <c r="T964" s="301"/>
      <c r="X964" s="2">
        <f t="shared" si="17"/>
        <v>0</v>
      </c>
      <c r="AA964" s="301"/>
      <c r="AB964" s="301"/>
      <c r="AC964" s="301"/>
      <c r="AE964" s="301"/>
      <c r="AF964" s="301"/>
      <c r="AG964" s="301"/>
    </row>
    <row r="965">
      <c r="J965" s="301"/>
      <c r="K965" s="301"/>
      <c r="L965" s="301"/>
      <c r="M965" s="301"/>
      <c r="N965" s="301"/>
      <c r="O965" s="300"/>
      <c r="P965" s="429"/>
      <c r="Q965" s="301"/>
      <c r="R965" s="2"/>
      <c r="S965" s="301"/>
      <c r="T965" s="301"/>
      <c r="X965" s="2">
        <f t="shared" si="17"/>
        <v>0</v>
      </c>
      <c r="AA965" s="301"/>
      <c r="AB965" s="301"/>
      <c r="AC965" s="301"/>
      <c r="AE965" s="301"/>
      <c r="AF965" s="301"/>
      <c r="AG965" s="301"/>
    </row>
    <row r="966">
      <c r="J966" s="301"/>
      <c r="K966" s="301"/>
      <c r="L966" s="301"/>
      <c r="M966" s="301"/>
      <c r="N966" s="301"/>
      <c r="O966" s="300"/>
      <c r="P966" s="429"/>
      <c r="Q966" s="301"/>
      <c r="R966" s="2"/>
      <c r="S966" s="301"/>
      <c r="T966" s="301"/>
      <c r="X966" s="2">
        <f t="shared" si="17"/>
        <v>0</v>
      </c>
      <c r="AA966" s="301"/>
      <c r="AB966" s="301"/>
      <c r="AC966" s="301"/>
      <c r="AE966" s="301"/>
      <c r="AF966" s="301"/>
      <c r="AG966" s="301"/>
    </row>
    <row r="967">
      <c r="J967" s="301"/>
      <c r="K967" s="301"/>
      <c r="L967" s="301"/>
      <c r="M967" s="301"/>
      <c r="N967" s="301"/>
      <c r="O967" s="300"/>
      <c r="P967" s="429"/>
      <c r="Q967" s="301"/>
      <c r="R967" s="2"/>
      <c r="S967" s="301"/>
      <c r="T967" s="301"/>
      <c r="X967" s="2">
        <f t="shared" si="17"/>
        <v>0</v>
      </c>
      <c r="AA967" s="301"/>
      <c r="AB967" s="301"/>
      <c r="AC967" s="301"/>
      <c r="AE967" s="301"/>
      <c r="AF967" s="301"/>
      <c r="AG967" s="301"/>
    </row>
    <row r="968">
      <c r="J968" s="301"/>
      <c r="K968" s="301"/>
      <c r="L968" s="301"/>
      <c r="M968" s="301"/>
      <c r="N968" s="301"/>
      <c r="O968" s="300"/>
      <c r="P968" s="429"/>
      <c r="Q968" s="301"/>
      <c r="R968" s="2"/>
      <c r="S968" s="301"/>
      <c r="T968" s="301"/>
      <c r="X968" s="2">
        <f t="shared" si="17"/>
        <v>0</v>
      </c>
      <c r="AA968" s="301"/>
      <c r="AB968" s="301"/>
      <c r="AC968" s="301"/>
      <c r="AE968" s="301"/>
      <c r="AF968" s="301"/>
      <c r="AG968" s="301"/>
    </row>
    <row r="969">
      <c r="J969" s="301"/>
      <c r="K969" s="301"/>
      <c r="L969" s="301"/>
      <c r="M969" s="301"/>
      <c r="N969" s="301"/>
      <c r="O969" s="300"/>
      <c r="P969" s="429"/>
      <c r="Q969" s="301"/>
      <c r="R969" s="2"/>
      <c r="S969" s="301"/>
      <c r="T969" s="301"/>
      <c r="X969" s="2">
        <f t="shared" si="17"/>
        <v>0</v>
      </c>
      <c r="AA969" s="301"/>
      <c r="AB969" s="301"/>
      <c r="AC969" s="301"/>
      <c r="AE969" s="301"/>
      <c r="AF969" s="301"/>
      <c r="AG969" s="301"/>
    </row>
    <row r="970">
      <c r="J970" s="301"/>
      <c r="K970" s="301"/>
      <c r="L970" s="301"/>
      <c r="M970" s="301"/>
      <c r="N970" s="301"/>
      <c r="O970" s="300"/>
      <c r="P970" s="429"/>
      <c r="Q970" s="301"/>
      <c r="R970" s="2"/>
      <c r="S970" s="301"/>
      <c r="T970" s="301"/>
      <c r="X970" s="2">
        <f t="shared" si="17"/>
        <v>0</v>
      </c>
      <c r="AA970" s="301"/>
      <c r="AB970" s="301"/>
      <c r="AC970" s="301"/>
      <c r="AE970" s="301"/>
      <c r="AF970" s="301"/>
      <c r="AG970" s="301"/>
    </row>
    <row r="971">
      <c r="J971" s="301"/>
      <c r="K971" s="301"/>
      <c r="L971" s="301"/>
      <c r="M971" s="301"/>
      <c r="N971" s="301"/>
      <c r="O971" s="300"/>
      <c r="P971" s="429"/>
      <c r="Q971" s="301"/>
      <c r="R971" s="2"/>
      <c r="S971" s="301"/>
      <c r="T971" s="301"/>
      <c r="X971" s="2">
        <f t="shared" si="17"/>
        <v>0</v>
      </c>
      <c r="AA971" s="301"/>
      <c r="AB971" s="301"/>
      <c r="AC971" s="301"/>
      <c r="AE971" s="301"/>
      <c r="AF971" s="301"/>
      <c r="AG971" s="301"/>
    </row>
    <row r="972">
      <c r="J972" s="301"/>
      <c r="K972" s="301"/>
      <c r="L972" s="301"/>
      <c r="M972" s="301"/>
      <c r="N972" s="301"/>
      <c r="O972" s="300"/>
      <c r="P972" s="429"/>
      <c r="Q972" s="301"/>
      <c r="R972" s="2"/>
      <c r="S972" s="301"/>
      <c r="T972" s="301"/>
      <c r="X972" s="2">
        <f t="shared" si="17"/>
        <v>0</v>
      </c>
      <c r="AA972" s="301"/>
      <c r="AB972" s="301"/>
      <c r="AC972" s="301"/>
      <c r="AE972" s="301"/>
      <c r="AF972" s="301"/>
      <c r="AG972" s="301"/>
    </row>
    <row r="973">
      <c r="J973" s="301"/>
      <c r="K973" s="301"/>
      <c r="L973" s="301"/>
      <c r="M973" s="301"/>
      <c r="N973" s="301"/>
      <c r="O973" s="300"/>
      <c r="P973" s="429"/>
      <c r="Q973" s="301"/>
      <c r="R973" s="2"/>
      <c r="S973" s="301"/>
      <c r="T973" s="301"/>
      <c r="X973" s="2">
        <f t="shared" si="17"/>
        <v>0</v>
      </c>
      <c r="AA973" s="301"/>
      <c r="AB973" s="301"/>
      <c r="AC973" s="301"/>
      <c r="AE973" s="301"/>
      <c r="AF973" s="301"/>
      <c r="AG973" s="301"/>
    </row>
    <row r="974">
      <c r="J974" s="301"/>
      <c r="K974" s="301"/>
      <c r="L974" s="301"/>
      <c r="M974" s="301"/>
      <c r="N974" s="301"/>
      <c r="O974" s="300"/>
      <c r="P974" s="429"/>
      <c r="Q974" s="301"/>
      <c r="R974" s="2"/>
      <c r="S974" s="301"/>
      <c r="T974" s="301"/>
      <c r="X974" s="2">
        <f t="shared" si="17"/>
        <v>0</v>
      </c>
      <c r="AA974" s="301"/>
      <c r="AB974" s="301"/>
      <c r="AC974" s="301"/>
      <c r="AE974" s="301"/>
      <c r="AF974" s="301"/>
      <c r="AG974" s="301"/>
    </row>
    <row r="975">
      <c r="J975" s="301"/>
      <c r="K975" s="301"/>
      <c r="L975" s="301"/>
      <c r="M975" s="301"/>
      <c r="N975" s="301"/>
      <c r="O975" s="300"/>
      <c r="P975" s="429"/>
      <c r="Q975" s="301"/>
      <c r="R975" s="2"/>
      <c r="S975" s="301"/>
      <c r="T975" s="301"/>
      <c r="X975" s="2">
        <f t="shared" si="17"/>
        <v>0</v>
      </c>
      <c r="AA975" s="301"/>
      <c r="AB975" s="301"/>
      <c r="AC975" s="301"/>
      <c r="AE975" s="301"/>
      <c r="AF975" s="301"/>
      <c r="AG975" s="301"/>
    </row>
    <row r="976">
      <c r="J976" s="301"/>
      <c r="K976" s="301"/>
      <c r="L976" s="301"/>
      <c r="M976" s="301"/>
      <c r="N976" s="301"/>
      <c r="O976" s="300"/>
      <c r="P976" s="429"/>
      <c r="Q976" s="301"/>
      <c r="R976" s="2"/>
      <c r="S976" s="301"/>
      <c r="T976" s="301"/>
      <c r="X976" s="2">
        <f t="shared" si="17"/>
        <v>0</v>
      </c>
      <c r="AA976" s="301"/>
      <c r="AB976" s="301"/>
      <c r="AC976" s="301"/>
      <c r="AE976" s="301"/>
      <c r="AF976" s="301"/>
      <c r="AG976" s="301"/>
    </row>
    <row r="977">
      <c r="J977" s="301"/>
      <c r="K977" s="301"/>
      <c r="L977" s="301"/>
      <c r="M977" s="301"/>
      <c r="N977" s="301"/>
      <c r="O977" s="300"/>
      <c r="P977" s="429"/>
      <c r="Q977" s="301"/>
      <c r="R977" s="2"/>
      <c r="S977" s="301"/>
      <c r="T977" s="301"/>
      <c r="X977" s="2">
        <f t="shared" si="17"/>
        <v>0</v>
      </c>
      <c r="AA977" s="301"/>
      <c r="AB977" s="301"/>
      <c r="AC977" s="301"/>
      <c r="AE977" s="301"/>
      <c r="AF977" s="301"/>
      <c r="AG977" s="301"/>
    </row>
    <row r="978">
      <c r="J978" s="301"/>
      <c r="K978" s="301"/>
      <c r="L978" s="301"/>
      <c r="M978" s="301"/>
      <c r="N978" s="301"/>
      <c r="O978" s="300"/>
      <c r="P978" s="429"/>
      <c r="Q978" s="301"/>
      <c r="R978" s="2"/>
      <c r="S978" s="301"/>
      <c r="T978" s="301"/>
      <c r="X978" s="2">
        <f t="shared" si="17"/>
        <v>0</v>
      </c>
      <c r="AA978" s="301"/>
      <c r="AB978" s="301"/>
      <c r="AC978" s="301"/>
      <c r="AE978" s="301"/>
      <c r="AF978" s="301"/>
      <c r="AG978" s="301"/>
    </row>
    <row r="979">
      <c r="J979" s="301"/>
      <c r="K979" s="301"/>
      <c r="L979" s="301"/>
      <c r="M979" s="301"/>
      <c r="N979" s="301"/>
      <c r="O979" s="300"/>
      <c r="P979" s="429"/>
      <c r="Q979" s="301"/>
      <c r="R979" s="2"/>
      <c r="S979" s="301"/>
      <c r="T979" s="301"/>
      <c r="X979" s="2">
        <f t="shared" si="17"/>
        <v>0</v>
      </c>
      <c r="AA979" s="301"/>
      <c r="AB979" s="301"/>
      <c r="AC979" s="301"/>
      <c r="AE979" s="301"/>
      <c r="AF979" s="301"/>
      <c r="AG979" s="301"/>
    </row>
    <row r="980">
      <c r="J980" s="301"/>
      <c r="K980" s="301"/>
      <c r="L980" s="301"/>
      <c r="M980" s="301"/>
      <c r="N980" s="301"/>
      <c r="O980" s="300"/>
      <c r="P980" s="429"/>
      <c r="Q980" s="301"/>
      <c r="R980" s="2"/>
      <c r="S980" s="301"/>
      <c r="T980" s="301"/>
      <c r="X980" s="2">
        <f t="shared" si="17"/>
        <v>0</v>
      </c>
      <c r="AA980" s="301"/>
      <c r="AB980" s="301"/>
      <c r="AC980" s="301"/>
      <c r="AE980" s="301"/>
      <c r="AF980" s="301"/>
      <c r="AG980" s="301"/>
    </row>
    <row r="981">
      <c r="J981" s="301"/>
      <c r="K981" s="301"/>
      <c r="L981" s="301"/>
      <c r="M981" s="301"/>
      <c r="N981" s="301"/>
      <c r="O981" s="300"/>
      <c r="P981" s="429"/>
      <c r="Q981" s="301"/>
      <c r="R981" s="2"/>
      <c r="S981" s="301"/>
      <c r="T981" s="301"/>
      <c r="X981" s="2">
        <f t="shared" si="17"/>
        <v>0</v>
      </c>
      <c r="AA981" s="301"/>
      <c r="AB981" s="301"/>
      <c r="AC981" s="301"/>
      <c r="AE981" s="301"/>
      <c r="AF981" s="301"/>
      <c r="AG981" s="301"/>
    </row>
    <row r="982">
      <c r="J982" s="301"/>
      <c r="K982" s="301"/>
      <c r="L982" s="301"/>
      <c r="M982" s="301"/>
      <c r="N982" s="301"/>
      <c r="O982" s="300"/>
      <c r="P982" s="429"/>
      <c r="Q982" s="301"/>
      <c r="R982" s="2"/>
      <c r="S982" s="301"/>
      <c r="T982" s="301"/>
      <c r="X982" s="2">
        <f t="shared" si="17"/>
        <v>0</v>
      </c>
      <c r="AA982" s="301"/>
      <c r="AB982" s="301"/>
      <c r="AC982" s="301"/>
      <c r="AE982" s="301"/>
      <c r="AF982" s="301"/>
      <c r="AG982" s="301"/>
    </row>
    <row r="983">
      <c r="J983" s="301"/>
      <c r="K983" s="301"/>
      <c r="L983" s="301"/>
      <c r="M983" s="301"/>
      <c r="N983" s="301"/>
      <c r="O983" s="300"/>
      <c r="P983" s="429"/>
      <c r="Q983" s="301"/>
      <c r="R983" s="2"/>
      <c r="S983" s="301"/>
      <c r="T983" s="301"/>
      <c r="X983" s="2">
        <f t="shared" si="17"/>
        <v>0</v>
      </c>
      <c r="AA983" s="301"/>
      <c r="AB983" s="301"/>
      <c r="AC983" s="301"/>
      <c r="AE983" s="301"/>
      <c r="AF983" s="301"/>
      <c r="AG983" s="301"/>
    </row>
    <row r="984">
      <c r="J984" s="301"/>
      <c r="K984" s="301"/>
      <c r="L984" s="301"/>
      <c r="M984" s="301"/>
      <c r="N984" s="301"/>
      <c r="O984" s="300"/>
      <c r="P984" s="429"/>
      <c r="Q984" s="301"/>
      <c r="R984" s="2"/>
      <c r="S984" s="301"/>
      <c r="T984" s="301"/>
      <c r="X984" s="2">
        <f t="shared" si="17"/>
        <v>0</v>
      </c>
      <c r="AA984" s="301"/>
      <c r="AB984" s="301"/>
      <c r="AC984" s="301"/>
      <c r="AE984" s="301"/>
      <c r="AF984" s="301"/>
      <c r="AG984" s="301"/>
    </row>
    <row r="985">
      <c r="J985" s="301"/>
      <c r="K985" s="301"/>
      <c r="L985" s="301"/>
      <c r="M985" s="301"/>
      <c r="N985" s="301"/>
      <c r="O985" s="300"/>
      <c r="P985" s="429"/>
      <c r="Q985" s="301"/>
      <c r="R985" s="2"/>
      <c r="S985" s="301"/>
      <c r="T985" s="301"/>
      <c r="X985" s="2">
        <f t="shared" si="17"/>
        <v>0</v>
      </c>
      <c r="AA985" s="301"/>
      <c r="AB985" s="301"/>
      <c r="AC985" s="301"/>
      <c r="AE985" s="301"/>
      <c r="AF985" s="301"/>
      <c r="AG985" s="301"/>
    </row>
    <row r="986">
      <c r="J986" s="301"/>
      <c r="K986" s="301"/>
      <c r="L986" s="301"/>
      <c r="M986" s="301"/>
      <c r="N986" s="301"/>
      <c r="O986" s="300"/>
      <c r="P986" s="429"/>
      <c r="Q986" s="301"/>
      <c r="R986" s="2"/>
      <c r="S986" s="301"/>
      <c r="T986" s="301"/>
      <c r="X986" s="2">
        <f t="shared" si="17"/>
        <v>0</v>
      </c>
      <c r="AA986" s="301"/>
      <c r="AB986" s="301"/>
      <c r="AC986" s="301"/>
      <c r="AE986" s="301"/>
      <c r="AF986" s="301"/>
      <c r="AG986" s="301"/>
    </row>
    <row r="987">
      <c r="J987" s="301"/>
      <c r="K987" s="301"/>
      <c r="L987" s="301"/>
      <c r="M987" s="301"/>
      <c r="N987" s="301"/>
      <c r="O987" s="300"/>
      <c r="P987" s="429"/>
      <c r="Q987" s="301"/>
      <c r="R987" s="2"/>
      <c r="S987" s="301"/>
      <c r="T987" s="301"/>
      <c r="X987" s="2">
        <f t="shared" si="17"/>
        <v>0</v>
      </c>
      <c r="AA987" s="301"/>
      <c r="AB987" s="301"/>
      <c r="AC987" s="301"/>
      <c r="AE987" s="301"/>
      <c r="AF987" s="301"/>
      <c r="AG987" s="301"/>
    </row>
    <row r="988">
      <c r="J988" s="301"/>
      <c r="K988" s="301"/>
      <c r="L988" s="301"/>
      <c r="M988" s="301"/>
      <c r="N988" s="301"/>
      <c r="O988" s="300"/>
      <c r="P988" s="429"/>
      <c r="Q988" s="301"/>
      <c r="R988" s="2"/>
      <c r="S988" s="301"/>
      <c r="T988" s="301"/>
      <c r="X988" s="2">
        <f t="shared" si="17"/>
        <v>0</v>
      </c>
      <c r="AA988" s="301"/>
      <c r="AB988" s="301"/>
      <c r="AC988" s="301"/>
      <c r="AE988" s="301"/>
      <c r="AF988" s="301"/>
      <c r="AG988" s="301"/>
    </row>
    <row r="989">
      <c r="J989" s="301"/>
      <c r="K989" s="301"/>
      <c r="L989" s="301"/>
      <c r="M989" s="301"/>
      <c r="N989" s="301"/>
      <c r="O989" s="300"/>
      <c r="P989" s="429"/>
      <c r="Q989" s="301"/>
      <c r="R989" s="2"/>
      <c r="S989" s="301"/>
      <c r="T989" s="301"/>
      <c r="X989" s="2">
        <f t="shared" si="17"/>
        <v>0</v>
      </c>
      <c r="AA989" s="301"/>
      <c r="AB989" s="301"/>
      <c r="AC989" s="301"/>
      <c r="AE989" s="301"/>
      <c r="AF989" s="301"/>
      <c r="AG989" s="301"/>
    </row>
    <row r="990">
      <c r="J990" s="301"/>
      <c r="K990" s="301"/>
      <c r="L990" s="301"/>
      <c r="M990" s="301"/>
      <c r="N990" s="301"/>
      <c r="O990" s="300"/>
      <c r="P990" s="429"/>
      <c r="Q990" s="301"/>
      <c r="R990" s="2"/>
      <c r="S990" s="301"/>
      <c r="T990" s="301"/>
      <c r="X990" s="2">
        <f t="shared" si="17"/>
        <v>0</v>
      </c>
      <c r="AA990" s="301"/>
      <c r="AB990" s="301"/>
      <c r="AC990" s="301"/>
      <c r="AE990" s="301"/>
      <c r="AF990" s="301"/>
      <c r="AG990" s="301"/>
    </row>
    <row r="991">
      <c r="J991" s="301"/>
      <c r="K991" s="301"/>
      <c r="L991" s="301"/>
      <c r="M991" s="301"/>
      <c r="N991" s="301"/>
      <c r="O991" s="300"/>
      <c r="P991" s="429"/>
      <c r="Q991" s="301"/>
      <c r="R991" s="2"/>
      <c r="S991" s="301"/>
      <c r="T991" s="301"/>
      <c r="X991" s="2">
        <f t="shared" si="17"/>
        <v>0</v>
      </c>
      <c r="AA991" s="301"/>
      <c r="AB991" s="301"/>
      <c r="AC991" s="301"/>
      <c r="AE991" s="301"/>
      <c r="AF991" s="301"/>
      <c r="AG991" s="301"/>
    </row>
    <row r="992">
      <c r="J992" s="301"/>
      <c r="K992" s="301"/>
      <c r="L992" s="301"/>
      <c r="M992" s="301"/>
      <c r="N992" s="301"/>
      <c r="O992" s="300"/>
      <c r="P992" s="429"/>
      <c r="Q992" s="301"/>
      <c r="R992" s="2"/>
      <c r="S992" s="301"/>
      <c r="T992" s="301"/>
      <c r="X992" s="2">
        <f t="shared" si="17"/>
        <v>0</v>
      </c>
      <c r="AA992" s="301"/>
      <c r="AB992" s="301"/>
      <c r="AC992" s="301"/>
      <c r="AE992" s="301"/>
      <c r="AF992" s="301"/>
      <c r="AG992" s="301"/>
    </row>
    <row r="993">
      <c r="J993" s="301"/>
      <c r="K993" s="301"/>
      <c r="L993" s="301"/>
      <c r="M993" s="301"/>
      <c r="N993" s="301"/>
      <c r="O993" s="300"/>
      <c r="P993" s="429"/>
      <c r="Q993" s="301"/>
      <c r="R993" s="2"/>
      <c r="S993" s="301"/>
      <c r="T993" s="301"/>
      <c r="X993" s="2">
        <f t="shared" si="17"/>
        <v>0</v>
      </c>
      <c r="AA993" s="301"/>
      <c r="AB993" s="301"/>
      <c r="AC993" s="301"/>
      <c r="AE993" s="301"/>
      <c r="AF993" s="301"/>
      <c r="AG993" s="301"/>
    </row>
    <row r="994">
      <c r="J994" s="301"/>
      <c r="K994" s="301"/>
      <c r="L994" s="301"/>
      <c r="M994" s="301"/>
      <c r="N994" s="301"/>
      <c r="O994" s="300"/>
      <c r="P994" s="429"/>
      <c r="Q994" s="301"/>
      <c r="R994" s="2"/>
      <c r="S994" s="301"/>
      <c r="T994" s="301"/>
      <c r="X994" s="2">
        <f t="shared" si="17"/>
        <v>0</v>
      </c>
      <c r="AA994" s="301"/>
      <c r="AB994" s="301"/>
      <c r="AC994" s="301"/>
      <c r="AE994" s="301"/>
      <c r="AF994" s="301"/>
      <c r="AG994" s="301"/>
    </row>
    <row r="995">
      <c r="J995" s="301"/>
      <c r="K995" s="301"/>
      <c r="L995" s="301"/>
      <c r="M995" s="301"/>
      <c r="N995" s="301"/>
      <c r="O995" s="300"/>
      <c r="P995" s="429"/>
      <c r="Q995" s="301"/>
      <c r="R995" s="2"/>
      <c r="S995" s="301"/>
      <c r="T995" s="301"/>
      <c r="X995" s="2">
        <f t="shared" si="17"/>
        <v>0</v>
      </c>
      <c r="AA995" s="301"/>
      <c r="AB995" s="301"/>
      <c r="AC995" s="301"/>
      <c r="AE995" s="301"/>
      <c r="AF995" s="301"/>
      <c r="AG995" s="301"/>
    </row>
    <row r="996">
      <c r="J996" s="301"/>
      <c r="K996" s="301"/>
      <c r="L996" s="301"/>
      <c r="M996" s="301"/>
      <c r="N996" s="301"/>
      <c r="O996" s="300"/>
      <c r="P996" s="429"/>
      <c r="Q996" s="301"/>
      <c r="R996" s="2"/>
      <c r="S996" s="301"/>
      <c r="T996" s="301"/>
      <c r="X996" s="2">
        <f t="shared" si="17"/>
        <v>0</v>
      </c>
      <c r="AA996" s="301"/>
      <c r="AB996" s="301"/>
      <c r="AC996" s="301"/>
      <c r="AE996" s="301"/>
      <c r="AF996" s="301"/>
      <c r="AG996" s="301"/>
    </row>
    <row r="997">
      <c r="J997" s="301"/>
      <c r="K997" s="301"/>
      <c r="L997" s="301"/>
      <c r="M997" s="301"/>
      <c r="N997" s="301"/>
      <c r="O997" s="300"/>
      <c r="P997" s="429"/>
      <c r="Q997" s="301"/>
      <c r="R997" s="2"/>
      <c r="S997" s="301"/>
      <c r="T997" s="301"/>
      <c r="X997" s="2">
        <f t="shared" si="17"/>
        <v>0</v>
      </c>
      <c r="AA997" s="301"/>
      <c r="AB997" s="301"/>
      <c r="AC997" s="301"/>
      <c r="AE997" s="301"/>
      <c r="AF997" s="301"/>
      <c r="AG997" s="301"/>
    </row>
    <row r="998">
      <c r="J998" s="301"/>
      <c r="K998" s="301"/>
      <c r="L998" s="301"/>
      <c r="M998" s="301"/>
      <c r="N998" s="301"/>
      <c r="O998" s="300"/>
      <c r="P998" s="429"/>
      <c r="Q998" s="301"/>
      <c r="R998" s="2"/>
      <c r="S998" s="301"/>
      <c r="T998" s="301"/>
      <c r="X998" s="2">
        <f t="shared" si="17"/>
        <v>0</v>
      </c>
      <c r="AA998" s="301"/>
      <c r="AB998" s="301"/>
      <c r="AC998" s="301"/>
      <c r="AE998" s="301"/>
      <c r="AF998" s="301"/>
      <c r="AG998" s="301"/>
    </row>
    <row r="999">
      <c r="J999" s="301"/>
      <c r="K999" s="301"/>
      <c r="L999" s="301"/>
      <c r="M999" s="301"/>
      <c r="N999" s="301"/>
      <c r="O999" s="300"/>
      <c r="P999" s="429"/>
      <c r="Q999" s="301"/>
      <c r="R999" s="2"/>
      <c r="S999" s="301"/>
      <c r="T999" s="301"/>
      <c r="X999" s="2">
        <f t="shared" si="17"/>
        <v>0</v>
      </c>
      <c r="AA999" s="301"/>
      <c r="AB999" s="301"/>
      <c r="AC999" s="301"/>
      <c r="AE999" s="301"/>
      <c r="AF999" s="301"/>
      <c r="AG999" s="301"/>
    </row>
    <row r="1000">
      <c r="J1000" s="301"/>
      <c r="K1000" s="301"/>
      <c r="L1000" s="301"/>
      <c r="M1000" s="301"/>
      <c r="N1000" s="301"/>
      <c r="O1000" s="300"/>
      <c r="P1000" s="429"/>
      <c r="Q1000" s="301"/>
      <c r="R1000" s="2"/>
      <c r="S1000" s="301"/>
      <c r="T1000" s="301"/>
      <c r="X1000" s="2">
        <f t="shared" si="17"/>
        <v>0</v>
      </c>
      <c r="AA1000" s="301"/>
      <c r="AB1000" s="301"/>
      <c r="AC1000" s="301"/>
      <c r="AE1000" s="301"/>
      <c r="AF1000" s="301"/>
      <c r="AG1000" s="301"/>
    </row>
    <row r="1001">
      <c r="J1001" s="301"/>
      <c r="K1001" s="301"/>
      <c r="L1001" s="301"/>
      <c r="M1001" s="301"/>
      <c r="N1001" s="301"/>
      <c r="O1001" s="300"/>
      <c r="P1001" s="429"/>
      <c r="Q1001" s="301"/>
      <c r="R1001" s="2"/>
      <c r="S1001" s="301"/>
      <c r="T1001" s="301"/>
      <c r="X1001" s="2">
        <f t="shared" si="17"/>
        <v>0</v>
      </c>
      <c r="AA1001" s="301"/>
      <c r="AB1001" s="301"/>
      <c r="AC1001" s="301"/>
      <c r="AE1001" s="301"/>
      <c r="AF1001" s="301"/>
      <c r="AG1001" s="301"/>
    </row>
    <row r="1002">
      <c r="J1002" s="301"/>
      <c r="K1002" s="301"/>
      <c r="L1002" s="301"/>
      <c r="M1002" s="301"/>
      <c r="N1002" s="301"/>
      <c r="O1002" s="300"/>
      <c r="P1002" s="429"/>
      <c r="Q1002" s="301"/>
      <c r="R1002" s="2"/>
      <c r="S1002" s="301"/>
      <c r="T1002" s="301"/>
      <c r="X1002" s="2">
        <f t="shared" si="17"/>
        <v>0</v>
      </c>
      <c r="AA1002" s="301"/>
      <c r="AB1002" s="301"/>
      <c r="AC1002" s="301"/>
      <c r="AE1002" s="301"/>
      <c r="AF1002" s="301"/>
      <c r="AG1002" s="301"/>
    </row>
    <row r="1003">
      <c r="J1003" s="301"/>
      <c r="K1003" s="301"/>
      <c r="L1003" s="301"/>
      <c r="M1003" s="301"/>
      <c r="N1003" s="301"/>
      <c r="O1003" s="300"/>
      <c r="P1003" s="429"/>
      <c r="Q1003" s="301"/>
      <c r="R1003" s="2"/>
      <c r="S1003" s="301"/>
      <c r="T1003" s="301"/>
      <c r="X1003" s="2">
        <f t="shared" si="17"/>
        <v>0</v>
      </c>
      <c r="AA1003" s="301"/>
      <c r="AB1003" s="301"/>
      <c r="AC1003" s="301"/>
      <c r="AE1003" s="301"/>
      <c r="AF1003" s="301"/>
      <c r="AG1003" s="301"/>
    </row>
    <row r="1004">
      <c r="J1004" s="301"/>
      <c r="K1004" s="301"/>
      <c r="L1004" s="301"/>
      <c r="M1004" s="301"/>
      <c r="N1004" s="301"/>
      <c r="O1004" s="300"/>
      <c r="P1004" s="429"/>
      <c r="Q1004" s="301"/>
      <c r="R1004" s="2"/>
      <c r="S1004" s="301"/>
      <c r="T1004" s="301"/>
      <c r="X1004" s="2">
        <f t="shared" si="17"/>
        <v>0</v>
      </c>
      <c r="AA1004" s="301"/>
      <c r="AB1004" s="301"/>
      <c r="AC1004" s="301"/>
      <c r="AE1004" s="301"/>
      <c r="AF1004" s="301"/>
      <c r="AG1004" s="301"/>
    </row>
    <row r="1005">
      <c r="J1005" s="301"/>
      <c r="K1005" s="301"/>
      <c r="L1005" s="301"/>
      <c r="M1005" s="301"/>
      <c r="N1005" s="301"/>
      <c r="O1005" s="300"/>
      <c r="P1005" s="429"/>
      <c r="Q1005" s="301"/>
      <c r="R1005" s="2"/>
      <c r="S1005" s="301"/>
      <c r="T1005" s="301"/>
      <c r="X1005" s="2">
        <f t="shared" si="17"/>
        <v>0</v>
      </c>
      <c r="AA1005" s="301"/>
      <c r="AB1005" s="301"/>
      <c r="AC1005" s="301"/>
      <c r="AE1005" s="301"/>
      <c r="AF1005" s="301"/>
      <c r="AG1005" s="301"/>
    </row>
    <row r="1006">
      <c r="J1006" s="301"/>
      <c r="K1006" s="301"/>
      <c r="L1006" s="301"/>
      <c r="M1006" s="301"/>
      <c r="N1006" s="301"/>
      <c r="O1006" s="300"/>
      <c r="P1006" s="429"/>
      <c r="Q1006" s="301"/>
      <c r="R1006" s="2"/>
      <c r="S1006" s="301"/>
      <c r="T1006" s="301"/>
      <c r="X1006" s="2">
        <f t="shared" si="17"/>
        <v>0</v>
      </c>
      <c r="AA1006" s="301"/>
      <c r="AB1006" s="301"/>
      <c r="AC1006" s="301"/>
      <c r="AE1006" s="301"/>
      <c r="AF1006" s="301"/>
      <c r="AG1006" s="301"/>
    </row>
    <row r="1007">
      <c r="J1007" s="301"/>
      <c r="K1007" s="301"/>
      <c r="L1007" s="301"/>
      <c r="M1007" s="301"/>
      <c r="N1007" s="301"/>
      <c r="O1007" s="300"/>
      <c r="P1007" s="429"/>
      <c r="Q1007" s="301"/>
      <c r="R1007" s="2"/>
      <c r="S1007" s="301"/>
      <c r="T1007" s="301"/>
      <c r="X1007" s="2">
        <f t="shared" si="17"/>
        <v>0</v>
      </c>
      <c r="AA1007" s="301"/>
      <c r="AB1007" s="301"/>
      <c r="AC1007" s="301"/>
      <c r="AE1007" s="301"/>
      <c r="AF1007" s="301"/>
      <c r="AG1007" s="301"/>
    </row>
    <row r="1008">
      <c r="J1008" s="301"/>
      <c r="K1008" s="301"/>
      <c r="L1008" s="301"/>
      <c r="M1008" s="301"/>
      <c r="N1008" s="301"/>
      <c r="O1008" s="300"/>
      <c r="P1008" s="429"/>
      <c r="Q1008" s="301"/>
      <c r="R1008" s="2"/>
      <c r="S1008" s="301"/>
      <c r="T1008" s="301"/>
      <c r="X1008" s="2">
        <f t="shared" si="17"/>
        <v>0</v>
      </c>
      <c r="AA1008" s="301"/>
      <c r="AB1008" s="301"/>
      <c r="AC1008" s="301"/>
      <c r="AE1008" s="301"/>
      <c r="AF1008" s="301"/>
      <c r="AG1008" s="301"/>
    </row>
    <row r="1009">
      <c r="J1009" s="301"/>
      <c r="K1009" s="301"/>
      <c r="L1009" s="301"/>
      <c r="M1009" s="301"/>
      <c r="N1009" s="301"/>
      <c r="O1009" s="300"/>
      <c r="P1009" s="429"/>
      <c r="Q1009" s="301"/>
      <c r="R1009" s="2"/>
      <c r="S1009" s="301"/>
      <c r="T1009" s="301"/>
      <c r="X1009" s="2">
        <f t="shared" si="17"/>
        <v>0</v>
      </c>
      <c r="AA1009" s="301"/>
      <c r="AB1009" s="301"/>
      <c r="AC1009" s="301"/>
      <c r="AE1009" s="301"/>
      <c r="AF1009" s="301"/>
      <c r="AG1009" s="301"/>
    </row>
    <row r="1010">
      <c r="J1010" s="301"/>
      <c r="K1010" s="301"/>
      <c r="L1010" s="301"/>
      <c r="M1010" s="301"/>
      <c r="N1010" s="301"/>
      <c r="O1010" s="300"/>
      <c r="P1010" s="429"/>
      <c r="Q1010" s="301"/>
      <c r="R1010" s="2"/>
      <c r="S1010" s="301"/>
      <c r="T1010" s="301"/>
      <c r="X1010" s="2">
        <f t="shared" si="17"/>
        <v>0</v>
      </c>
      <c r="AA1010" s="301"/>
      <c r="AB1010" s="301"/>
      <c r="AC1010" s="301"/>
      <c r="AE1010" s="301"/>
      <c r="AF1010" s="301"/>
      <c r="AG1010" s="301"/>
    </row>
    <row r="1011">
      <c r="J1011" s="301"/>
      <c r="K1011" s="301"/>
      <c r="L1011" s="301"/>
      <c r="M1011" s="301"/>
      <c r="N1011" s="301"/>
      <c r="O1011" s="300"/>
      <c r="P1011" s="429"/>
      <c r="Q1011" s="301"/>
      <c r="R1011" s="2"/>
      <c r="S1011" s="301"/>
      <c r="T1011" s="301"/>
      <c r="X1011" s="2">
        <f t="shared" si="17"/>
        <v>0</v>
      </c>
      <c r="AA1011" s="301"/>
      <c r="AB1011" s="301"/>
      <c r="AC1011" s="301"/>
      <c r="AE1011" s="301"/>
      <c r="AF1011" s="301"/>
      <c r="AG1011" s="301"/>
    </row>
    <row r="1012">
      <c r="J1012" s="301"/>
      <c r="K1012" s="301"/>
      <c r="L1012" s="301"/>
      <c r="M1012" s="301"/>
      <c r="N1012" s="301"/>
      <c r="O1012" s="300"/>
      <c r="P1012" s="429"/>
      <c r="Q1012" s="301"/>
      <c r="R1012" s="2"/>
      <c r="S1012" s="301"/>
      <c r="T1012" s="301"/>
      <c r="X1012" s="2">
        <f t="shared" si="17"/>
        <v>0</v>
      </c>
      <c r="AA1012" s="301"/>
      <c r="AB1012" s="301"/>
      <c r="AC1012" s="301"/>
      <c r="AE1012" s="301"/>
      <c r="AF1012" s="301"/>
      <c r="AG1012" s="301"/>
    </row>
    <row r="1013">
      <c r="J1013" s="301"/>
      <c r="K1013" s="301"/>
      <c r="L1013" s="301"/>
      <c r="M1013" s="301"/>
      <c r="N1013" s="301"/>
      <c r="O1013" s="300"/>
      <c r="P1013" s="429"/>
      <c r="Q1013" s="301"/>
      <c r="R1013" s="2"/>
      <c r="S1013" s="301"/>
      <c r="T1013" s="301"/>
      <c r="X1013" s="2">
        <f t="shared" si="17"/>
        <v>0</v>
      </c>
      <c r="AA1013" s="303"/>
      <c r="AB1013" s="303"/>
      <c r="AC1013" s="303"/>
      <c r="AE1013" s="303"/>
      <c r="AF1013" s="303"/>
      <c r="AG1013" s="303"/>
    </row>
  </sheetData>
  <conditionalFormatting sqref="A1:K1013 L1:L8 M1:AC1013 AE1:AG1013 AJ7:AJ8 L10:L1013">
    <cfRule type="cellIs" dxfId="23" priority="1" operator="equal">
      <formula>"Food"</formula>
    </cfRule>
  </conditionalFormatting>
  <conditionalFormatting sqref="A1:K1013 L1:L8 M1:AC1013 AE1:AG1013 AJ7:AJ8 L10:L1013">
    <cfRule type="cellIs" dxfId="24" priority="2" operator="equal">
      <formula>"Alcohol"</formula>
    </cfRule>
  </conditionalFormatting>
  <conditionalFormatting sqref="A1:K1013 L1:L8 M1:AC1013 AE1:AG1013 AJ7:AJ8 L10:L1013">
    <cfRule type="cellIs" dxfId="25" priority="3" operator="equal">
      <formula>"Cigarette"</formula>
    </cfRule>
  </conditionalFormatting>
  <conditionalFormatting sqref="A1:K1013 L1:L8 M1:AC1013 AE1:AG1013 AJ7:AJ8 L10:L1013">
    <cfRule type="cellIs" dxfId="26" priority="4" operator="equal">
      <formula>"Travel"</formula>
    </cfRule>
  </conditionalFormatting>
  <conditionalFormatting sqref="A1:K1013 L1:L8 M1:AC1013 AE1:AG1013 AJ7:AJ8 L10:L1013">
    <cfRule type="cellIs" dxfId="22" priority="5" operator="equal">
      <formula>"Clothes"</formula>
    </cfRule>
  </conditionalFormatting>
  <conditionalFormatting sqref="A1:K1013 L1:L8 M1:AC1013 AE1:AG1013 AJ7:AJ8 L10:L1013">
    <cfRule type="cellIs" dxfId="27" priority="6" operator="equal">
      <formula>"Entertainment"</formula>
    </cfRule>
  </conditionalFormatting>
  <conditionalFormatting sqref="A1:K1013 L1:L8 M1:AC1013 AE1:AG1013 AJ7:AJ8 L10:L1013">
    <cfRule type="cellIs" dxfId="28" priority="7" operator="equal">
      <formula>"Shelter"</formula>
    </cfRule>
  </conditionalFormatting>
  <conditionalFormatting sqref="A1:K1013 L1:L8 M1:AC1013 AE1:AG1013 AJ7:AJ8 L10:L1013">
    <cfRule type="cellIs" dxfId="29" priority="8" operator="equal">
      <formula>"Profession"</formula>
    </cfRule>
  </conditionalFormatting>
  <conditionalFormatting sqref="A1:K1013 L1:L8 M1:AC1013 AE1:AG1013 AJ7:AJ8 L10:L1013">
    <cfRule type="cellIs" dxfId="30" priority="9" operator="equal">
      <formula>"Well Being"</formula>
    </cfRule>
  </conditionalFormatting>
  <conditionalFormatting sqref="A1:K1013 L1:L8 M1:AC1013 AE1:AG1013 AJ7:AJ8 L10:L1013">
    <cfRule type="cellIs" dxfId="31" priority="10" operator="equal">
      <formula>"Information Storage"</formula>
    </cfRule>
  </conditionalFormatting>
  <conditionalFormatting sqref="A1:K1013 L1:L8 M1:AC1013 AE1:AG1013 AJ7:AJ8 L10:L1013">
    <cfRule type="cellIs" dxfId="32" priority="11" operator="equal">
      <formula>"Social Connect"</formula>
    </cfRule>
  </conditionalFormatting>
  <dataValidations>
    <dataValidation type="list" allowBlank="1" showErrorMessage="1" sqref="I4:I8 R16:R1013">
      <formula1>"Axis 7221,ICICI 3945,Axis 2009,ICICI CC 7018,Cash,ICICI 0010"</formula1>
    </dataValidation>
    <dataValidation type="list" allowBlank="1" showErrorMessage="1" sqref="C4:C14 L16:L1013">
      <formula1>"Food,Cigarette,Alcohol,Clothes,Travel,Entertainment,Shelter,Profession,Well Being,Responsibility,Social Connect"</formula1>
    </dataValidation>
    <dataValidation type="list" allowBlank="1" showErrorMessage="1" sqref="O16:O1013">
      <formula1>"Litre,Kilograms,Units,Grams,Millilitres,GB,Days,Months"</formula1>
    </dataValidation>
    <dataValidation type="list" allowBlank="1" showErrorMessage="1" sqref="T16:T1013">
      <formula1>"Settled,Unsettled,NA"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75.25"/>
    <col customWidth="1" min="3" max="3" width="10.0"/>
    <col customWidth="1" min="4" max="4" width="17.38"/>
    <col customWidth="1" min="5" max="5" width="14.38"/>
    <col customWidth="1" min="6" max="6" width="20.5"/>
  </cols>
  <sheetData>
    <row r="3">
      <c r="A3" s="6">
        <v>1.0</v>
      </c>
      <c r="B3" s="6" t="s">
        <v>1244</v>
      </c>
    </row>
    <row r="4">
      <c r="B4" s="6" t="s">
        <v>1245</v>
      </c>
    </row>
    <row r="5">
      <c r="B5" s="6" t="s">
        <v>1246</v>
      </c>
    </row>
    <row r="6">
      <c r="B6" s="6" t="s">
        <v>1247</v>
      </c>
    </row>
    <row r="12">
      <c r="B12" s="6" t="s">
        <v>1248</v>
      </c>
    </row>
    <row r="13">
      <c r="G13" s="6" t="s">
        <v>1249</v>
      </c>
    </row>
    <row r="14">
      <c r="B14" s="6" t="s">
        <v>1250</v>
      </c>
      <c r="C14" s="6" t="s">
        <v>1251</v>
      </c>
      <c r="D14" s="6" t="s">
        <v>1252</v>
      </c>
      <c r="E14" s="6" t="s">
        <v>1253</v>
      </c>
      <c r="F14" s="6" t="s">
        <v>1254</v>
      </c>
      <c r="G14" s="6" t="s">
        <v>1255</v>
      </c>
    </row>
    <row r="15">
      <c r="B15" s="6" t="s">
        <v>1256</v>
      </c>
      <c r="C15" s="6" t="s">
        <v>1257</v>
      </c>
    </row>
    <row r="16">
      <c r="B16" s="6" t="s">
        <v>1258</v>
      </c>
      <c r="D16" s="6" t="s">
        <v>1259</v>
      </c>
      <c r="G16" s="6" t="s">
        <v>299</v>
      </c>
    </row>
    <row r="17">
      <c r="B17" s="6" t="s">
        <v>1260</v>
      </c>
      <c r="D17" s="6" t="s">
        <v>1261</v>
      </c>
    </row>
    <row r="18">
      <c r="B18" s="6" t="s">
        <v>1262</v>
      </c>
      <c r="E18" s="6" t="s">
        <v>554</v>
      </c>
      <c r="G18" s="6" t="s">
        <v>1263</v>
      </c>
    </row>
    <row r="19">
      <c r="B19" s="6" t="s">
        <v>1264</v>
      </c>
      <c r="E19" s="6" t="s">
        <v>543</v>
      </c>
      <c r="G19" s="6" t="s">
        <v>1263</v>
      </c>
    </row>
    <row r="20">
      <c r="B20" s="6" t="s">
        <v>1265</v>
      </c>
      <c r="D20" s="6" t="s">
        <v>270</v>
      </c>
    </row>
    <row r="21">
      <c r="C21" s="6"/>
      <c r="E21" s="6" t="s">
        <v>1266</v>
      </c>
      <c r="G21" s="6" t="s">
        <v>1263</v>
      </c>
    </row>
    <row r="22">
      <c r="C22" s="6"/>
      <c r="D22" s="6" t="s">
        <v>114</v>
      </c>
    </row>
    <row r="23">
      <c r="C23" s="6"/>
      <c r="E23" s="6" t="s">
        <v>337</v>
      </c>
      <c r="G23" s="6" t="s">
        <v>1263</v>
      </c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B29" s="6" t="s">
        <v>1267</v>
      </c>
      <c r="C29" s="6"/>
    </row>
    <row r="30">
      <c r="B30" s="6" t="s">
        <v>1268</v>
      </c>
      <c r="C30" s="6"/>
    </row>
    <row r="31">
      <c r="B31" s="6" t="s">
        <v>1269</v>
      </c>
      <c r="C31" s="6" t="s">
        <v>1270</v>
      </c>
    </row>
    <row r="32">
      <c r="B32" s="6" t="s">
        <v>1271</v>
      </c>
      <c r="D32" s="6" t="s">
        <v>112</v>
      </c>
    </row>
    <row r="33">
      <c r="B33" s="6" t="s">
        <v>1272</v>
      </c>
      <c r="E33" s="6" t="s">
        <v>505</v>
      </c>
      <c r="G33" s="6" t="s">
        <v>1263</v>
      </c>
    </row>
    <row r="34">
      <c r="B34" s="6" t="s">
        <v>1273</v>
      </c>
      <c r="E34" s="6" t="s">
        <v>645</v>
      </c>
      <c r="G34" s="6" t="s">
        <v>1263</v>
      </c>
    </row>
    <row r="35">
      <c r="B35" s="6" t="s">
        <v>1274</v>
      </c>
      <c r="D35" s="6" t="s">
        <v>1275</v>
      </c>
    </row>
    <row r="36">
      <c r="B36" s="6" t="s">
        <v>1276</v>
      </c>
      <c r="E36" s="6" t="s">
        <v>86</v>
      </c>
      <c r="G36" s="6" t="s">
        <v>1263</v>
      </c>
    </row>
    <row r="37">
      <c r="B37" s="6" t="s">
        <v>1277</v>
      </c>
      <c r="E37" s="6" t="s">
        <v>87</v>
      </c>
      <c r="G37" s="6" t="s">
        <v>1263</v>
      </c>
    </row>
    <row r="38">
      <c r="E38" s="6" t="s">
        <v>154</v>
      </c>
      <c r="G38" s="6" t="s">
        <v>1263</v>
      </c>
    </row>
    <row r="39">
      <c r="E39" s="6" t="s">
        <v>261</v>
      </c>
      <c r="G39" s="6" t="s">
        <v>299</v>
      </c>
    </row>
    <row r="40">
      <c r="E40" s="6" t="s">
        <v>1278</v>
      </c>
      <c r="G40" s="6" t="s">
        <v>299</v>
      </c>
    </row>
    <row r="41">
      <c r="D41" s="6" t="s">
        <v>111</v>
      </c>
    </row>
    <row r="42">
      <c r="E42" s="6" t="s">
        <v>89</v>
      </c>
      <c r="G42" s="6" t="s">
        <v>299</v>
      </c>
    </row>
    <row r="43">
      <c r="E43" s="6" t="s">
        <v>302</v>
      </c>
      <c r="G43" s="6" t="s">
        <v>299</v>
      </c>
    </row>
    <row r="44">
      <c r="E44" s="6" t="s">
        <v>1279</v>
      </c>
      <c r="G44" s="6" t="s">
        <v>299</v>
      </c>
    </row>
    <row r="45">
      <c r="E45" s="6" t="s">
        <v>1280</v>
      </c>
      <c r="G45" s="6" t="s">
        <v>299</v>
      </c>
    </row>
    <row r="46">
      <c r="E46" s="6" t="s">
        <v>312</v>
      </c>
      <c r="G46" s="6" t="s">
        <v>299</v>
      </c>
    </row>
    <row r="47">
      <c r="E47" s="6"/>
      <c r="G47" s="6" t="s">
        <v>1263</v>
      </c>
    </row>
    <row r="48">
      <c r="E48" s="6"/>
      <c r="G48" s="6" t="s">
        <v>1263</v>
      </c>
    </row>
    <row r="49">
      <c r="B49" s="6" t="s">
        <v>1281</v>
      </c>
      <c r="E49" s="6" t="s">
        <v>1282</v>
      </c>
      <c r="G49" s="6" t="s">
        <v>1263</v>
      </c>
    </row>
    <row r="50">
      <c r="B50" s="6" t="s">
        <v>1283</v>
      </c>
      <c r="D50" s="6" t="s">
        <v>1284</v>
      </c>
    </row>
    <row r="51">
      <c r="B51" s="6" t="s">
        <v>1285</v>
      </c>
      <c r="E51" s="6" t="s">
        <v>1286</v>
      </c>
    </row>
    <row r="52">
      <c r="B52" s="6" t="s">
        <v>1287</v>
      </c>
      <c r="F52" s="6" t="s">
        <v>1288</v>
      </c>
    </row>
    <row r="53">
      <c r="B53" s="6" t="s">
        <v>1289</v>
      </c>
      <c r="E53" s="6" t="s">
        <v>1290</v>
      </c>
    </row>
    <row r="54">
      <c r="B54" s="6" t="s">
        <v>1291</v>
      </c>
      <c r="F54" s="6" t="s">
        <v>1292</v>
      </c>
    </row>
    <row r="55">
      <c r="B55" s="6" t="s">
        <v>1293</v>
      </c>
      <c r="F55" s="6" t="s">
        <v>1294</v>
      </c>
    </row>
    <row r="56">
      <c r="B56" s="6" t="s">
        <v>1295</v>
      </c>
      <c r="F56" s="6" t="s">
        <v>157</v>
      </c>
    </row>
    <row r="57">
      <c r="B57" s="6" t="s">
        <v>1296</v>
      </c>
      <c r="F57" s="6" t="s">
        <v>155</v>
      </c>
    </row>
    <row r="58">
      <c r="B58" s="6" t="s">
        <v>1297</v>
      </c>
      <c r="F58" s="6" t="s">
        <v>285</v>
      </c>
    </row>
    <row r="59">
      <c r="B59" s="6" t="s">
        <v>1298</v>
      </c>
      <c r="F59" s="6" t="s">
        <v>157</v>
      </c>
    </row>
    <row r="60">
      <c r="B60" s="6" t="s">
        <v>1299</v>
      </c>
      <c r="F60" s="6" t="s">
        <v>155</v>
      </c>
    </row>
    <row r="61">
      <c r="B61" s="6" t="s">
        <v>1300</v>
      </c>
      <c r="F61" s="6" t="s">
        <v>285</v>
      </c>
    </row>
    <row r="62">
      <c r="B62" s="6" t="s">
        <v>1301</v>
      </c>
      <c r="D62" s="6"/>
      <c r="F62" s="6" t="s">
        <v>1302</v>
      </c>
    </row>
    <row r="63">
      <c r="D63" s="6" t="s">
        <v>1303</v>
      </c>
    </row>
    <row r="64">
      <c r="B64" s="6" t="s">
        <v>1304</v>
      </c>
      <c r="E64" s="6" t="s">
        <v>1305</v>
      </c>
    </row>
    <row r="65">
      <c r="B65" s="6" t="s">
        <v>1306</v>
      </c>
      <c r="E65" s="6" t="s">
        <v>1070</v>
      </c>
    </row>
    <row r="66">
      <c r="B66" s="6" t="s">
        <v>1307</v>
      </c>
      <c r="E66" s="6" t="s">
        <v>1193</v>
      </c>
    </row>
    <row r="67">
      <c r="E67" s="6" t="s">
        <v>1308</v>
      </c>
    </row>
    <row r="68">
      <c r="E68" s="6" t="s">
        <v>1309</v>
      </c>
    </row>
    <row r="69">
      <c r="D69" s="6" t="s">
        <v>1310</v>
      </c>
    </row>
    <row r="70">
      <c r="E70" s="6" t="s">
        <v>1311</v>
      </c>
    </row>
    <row r="71">
      <c r="D71" s="6" t="s">
        <v>73</v>
      </c>
    </row>
    <row r="72">
      <c r="E72" s="6" t="s">
        <v>345</v>
      </c>
    </row>
    <row r="73">
      <c r="E73" s="6" t="s">
        <v>1312</v>
      </c>
    </row>
    <row r="74">
      <c r="D74" s="6" t="s">
        <v>122</v>
      </c>
    </row>
    <row r="75">
      <c r="E75" s="6" t="s">
        <v>74</v>
      </c>
    </row>
    <row r="76">
      <c r="F76" s="6" t="s">
        <v>1313</v>
      </c>
    </row>
    <row r="77">
      <c r="F77" s="6" t="s">
        <v>1314</v>
      </c>
    </row>
    <row r="78">
      <c r="E78" s="6" t="s">
        <v>1315</v>
      </c>
    </row>
    <row r="79">
      <c r="F79" s="6" t="s">
        <v>574</v>
      </c>
    </row>
    <row r="80">
      <c r="D80" s="6" t="s">
        <v>1280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38"/>
    <col customWidth="1" min="2" max="2" width="20.88"/>
    <col customWidth="1" min="3" max="3" width="9.5"/>
    <col customWidth="1" min="4" max="7" width="9.38"/>
    <col customWidth="1" min="8" max="8" width="10.5"/>
    <col customWidth="1" min="9" max="9" width="6.75"/>
    <col customWidth="1" min="10" max="10" width="17.0"/>
    <col customWidth="1" min="11" max="11" width="12.25"/>
    <col customWidth="1" min="12" max="12" width="32.13"/>
    <col customWidth="1" min="13" max="14" width="9.38"/>
    <col customWidth="1" min="15" max="15" width="9.13"/>
    <col customWidth="1" min="16" max="16" width="6.75"/>
    <col customWidth="1" min="17" max="17" width="13.38"/>
    <col customWidth="1" min="18" max="18" width="12.25"/>
    <col customWidth="1" min="19" max="19" width="8.63"/>
    <col customWidth="1" min="20" max="20" width="9.38"/>
    <col customWidth="1" min="21" max="21" width="63.75"/>
    <col customWidth="1" min="22" max="28" width="9.38"/>
    <col customWidth="1" min="29" max="29" width="1.88"/>
    <col customWidth="1" min="30" max="30" width="13.38"/>
    <col customWidth="1" min="31" max="31" width="15.13"/>
    <col customWidth="1" min="32" max="32" width="13.0"/>
    <col customWidth="1" min="33" max="34" width="6.88"/>
    <col customWidth="1" min="35" max="35" width="9.38"/>
    <col customWidth="1" min="36" max="36" width="1.88"/>
    <col customWidth="1" min="37" max="37" width="84.5"/>
    <col customWidth="1" min="38" max="38" width="6.13"/>
    <col customWidth="1" min="39" max="39" width="14.25"/>
    <col customWidth="1" min="40" max="40" width="5.75"/>
    <col customWidth="1" min="41" max="41" width="9.13"/>
    <col customWidth="1" min="42" max="42" width="14.38"/>
    <col customWidth="1" min="43" max="43" width="12.0"/>
    <col customWidth="1" min="44" max="44" width="9.38"/>
    <col customWidth="1" min="45" max="45" width="10.75"/>
    <col customWidth="1" min="46" max="46" width="14.63"/>
    <col customWidth="1" min="47" max="57" width="9.38"/>
  </cols>
  <sheetData>
    <row r="3">
      <c r="C3" s="6"/>
      <c r="D3" s="6"/>
      <c r="E3" s="6"/>
      <c r="F3" s="6"/>
      <c r="G3" s="6"/>
      <c r="H3" s="6" t="s">
        <v>129</v>
      </c>
      <c r="I3" s="6" t="s">
        <v>593</v>
      </c>
      <c r="J3" s="6" t="s">
        <v>369</v>
      </c>
      <c r="K3" s="6" t="s">
        <v>1316</v>
      </c>
      <c r="L3" s="6" t="s">
        <v>370</v>
      </c>
      <c r="O3" s="6" t="s">
        <v>129</v>
      </c>
      <c r="P3" s="6" t="s">
        <v>593</v>
      </c>
      <c r="Q3" s="6" t="s">
        <v>680</v>
      </c>
      <c r="R3" s="6" t="s">
        <v>1317</v>
      </c>
      <c r="S3" s="6" t="s">
        <v>1318</v>
      </c>
      <c r="AP3" s="2">
        <f t="shared" ref="AP3:AQ3" si="1">sum(AP5:AP7)</f>
        <v>100</v>
      </c>
      <c r="AQ3" s="2">
        <f t="shared" si="1"/>
        <v>100</v>
      </c>
      <c r="AS3" s="2">
        <f t="shared" ref="AS3:AT3" si="2">sum(AS5:AS7)</f>
        <v>100</v>
      </c>
      <c r="AT3" s="2">
        <f t="shared" si="2"/>
        <v>100</v>
      </c>
    </row>
    <row r="4">
      <c r="C4" s="441"/>
      <c r="D4" s="441"/>
      <c r="E4" s="441"/>
      <c r="F4" s="441"/>
      <c r="G4" s="441"/>
      <c r="H4" s="441">
        <v>45568.0</v>
      </c>
      <c r="I4" s="6">
        <v>11000.0</v>
      </c>
      <c r="J4" s="6" t="s">
        <v>1319</v>
      </c>
      <c r="K4" s="6" t="s">
        <v>386</v>
      </c>
      <c r="O4" s="206">
        <v>45568.0</v>
      </c>
      <c r="P4" s="6">
        <v>50000.0</v>
      </c>
      <c r="Q4" s="6" t="s">
        <v>1320</v>
      </c>
      <c r="R4" s="6" t="s">
        <v>337</v>
      </c>
      <c r="S4" s="6" t="s">
        <v>1321</v>
      </c>
      <c r="U4" s="6" t="s">
        <v>1322</v>
      </c>
      <c r="AM4" s="6" t="s">
        <v>1323</v>
      </c>
      <c r="AN4" s="6" t="s">
        <v>1324</v>
      </c>
      <c r="AO4" s="6" t="s">
        <v>65</v>
      </c>
      <c r="AP4" s="6" t="s">
        <v>1325</v>
      </c>
      <c r="AQ4" s="6" t="s">
        <v>1326</v>
      </c>
      <c r="AR4" s="6" t="s">
        <v>1327</v>
      </c>
      <c r="AS4" s="6" t="s">
        <v>1328</v>
      </c>
      <c r="AT4" s="6" t="s">
        <v>1329</v>
      </c>
    </row>
    <row r="5">
      <c r="B5" s="206"/>
      <c r="C5" s="206"/>
      <c r="D5" s="206"/>
      <c r="E5" s="206"/>
      <c r="F5" s="206"/>
      <c r="G5" s="206"/>
      <c r="H5" s="206">
        <v>45571.0</v>
      </c>
      <c r="I5" s="6">
        <v>1.0</v>
      </c>
      <c r="J5" s="6" t="s">
        <v>1330</v>
      </c>
      <c r="K5" s="6" t="s">
        <v>1331</v>
      </c>
      <c r="L5" s="6" t="s">
        <v>1332</v>
      </c>
      <c r="O5" s="206">
        <v>45568.0</v>
      </c>
      <c r="P5" s="6">
        <v>100000.0</v>
      </c>
      <c r="Q5" s="6" t="s">
        <v>1320</v>
      </c>
      <c r="R5" s="6" t="s">
        <v>337</v>
      </c>
      <c r="S5" s="6" t="s">
        <v>105</v>
      </c>
      <c r="AF5" s="2">
        <f t="shared" ref="AF5:AH5" si="3">sum(AF13:AF1000)</f>
        <v>165000</v>
      </c>
      <c r="AG5" s="2">
        <f t="shared" si="3"/>
        <v>0</v>
      </c>
      <c r="AH5" s="2">
        <f t="shared" si="3"/>
        <v>165000</v>
      </c>
      <c r="AL5" s="6" t="s">
        <v>386</v>
      </c>
      <c r="AM5" s="6">
        <v>0.0</v>
      </c>
      <c r="AN5" s="6">
        <f>(400000-sum(AM5:AM7))/2</f>
        <v>0</v>
      </c>
      <c r="AO5" s="6">
        <f t="shared" ref="AO5:AO7" si="4">sum(AM5:AN5)</f>
        <v>0</v>
      </c>
      <c r="AP5" s="2">
        <f t="shared" ref="AP5:AP7" si="5">AO5/sum(AO$5:AO$7)*100</f>
        <v>0</v>
      </c>
      <c r="AQ5" s="6">
        <v>100.0</v>
      </c>
      <c r="AR5" s="6">
        <f t="shared" ref="AR5:AR7" si="6">AVERAGE(AP5:AQ5)</f>
        <v>50</v>
      </c>
      <c r="AS5" s="6">
        <f>100/3</f>
        <v>33.33333333</v>
      </c>
      <c r="AT5" s="6">
        <v>50.0</v>
      </c>
    </row>
    <row r="6">
      <c r="B6" s="206"/>
      <c r="C6" s="206">
        <f>DATE(year(today()),month(today()),1)</f>
        <v>45962</v>
      </c>
      <c r="D6" s="206"/>
      <c r="E6" s="206"/>
      <c r="F6" s="206"/>
      <c r="G6" s="206"/>
      <c r="H6" s="206">
        <v>45575.0</v>
      </c>
      <c r="I6" s="6">
        <v>188999.0</v>
      </c>
      <c r="J6" s="6" t="s">
        <v>1330</v>
      </c>
      <c r="K6" s="6" t="s">
        <v>1331</v>
      </c>
      <c r="L6" s="6" t="s">
        <v>1333</v>
      </c>
      <c r="O6" s="206">
        <v>45569.0</v>
      </c>
      <c r="P6" s="6">
        <v>50000.0</v>
      </c>
      <c r="Q6" s="6" t="s">
        <v>1320</v>
      </c>
      <c r="R6" s="6" t="s">
        <v>337</v>
      </c>
      <c r="S6" s="6" t="s">
        <v>1321</v>
      </c>
      <c r="AL6" s="6" t="s">
        <v>125</v>
      </c>
      <c r="AM6" s="6">
        <v>100000.0</v>
      </c>
      <c r="AN6" s="6">
        <f>(400000-sum(AM5:AM7))/2</f>
        <v>0</v>
      </c>
      <c r="AO6" s="6">
        <f t="shared" si="4"/>
        <v>100000</v>
      </c>
      <c r="AP6" s="2">
        <f t="shared" si="5"/>
        <v>25</v>
      </c>
      <c r="AQ6" s="6">
        <v>0.0</v>
      </c>
      <c r="AR6" s="6">
        <f t="shared" si="6"/>
        <v>12.5</v>
      </c>
      <c r="AS6" s="6">
        <f t="shared" ref="AS6:AS7" si="7">AP6*2/3</f>
        <v>16.66666667</v>
      </c>
      <c r="AT6" s="2">
        <f>sum(AS5:AS6)-AT5</f>
        <v>0</v>
      </c>
    </row>
    <row r="7">
      <c r="B7" s="6" t="s">
        <v>1334</v>
      </c>
      <c r="C7" s="6">
        <f>sum(AD34:AD36)</f>
        <v>350000</v>
      </c>
      <c r="D7" s="206"/>
      <c r="E7" s="206"/>
      <c r="F7" s="206"/>
      <c r="G7" s="206"/>
      <c r="H7" s="206">
        <v>45575.0</v>
      </c>
      <c r="I7" s="6">
        <v>15000.0</v>
      </c>
      <c r="J7" s="6" t="s">
        <v>128</v>
      </c>
      <c r="K7" s="6" t="s">
        <v>386</v>
      </c>
      <c r="L7" s="6" t="s">
        <v>1335</v>
      </c>
      <c r="AF7" s="6" t="s">
        <v>386</v>
      </c>
      <c r="AG7" s="6" t="s">
        <v>125</v>
      </c>
      <c r="AH7" s="6" t="s">
        <v>337</v>
      </c>
      <c r="AL7" s="6" t="s">
        <v>337</v>
      </c>
      <c r="AM7" s="6">
        <v>300000.0</v>
      </c>
      <c r="AN7" s="6">
        <v>0.0</v>
      </c>
      <c r="AO7" s="6">
        <f t="shared" si="4"/>
        <v>300000</v>
      </c>
      <c r="AP7" s="2">
        <f t="shared" si="5"/>
        <v>75</v>
      </c>
      <c r="AQ7" s="6">
        <v>0.0</v>
      </c>
      <c r="AR7" s="6">
        <f t="shared" si="6"/>
        <v>37.5</v>
      </c>
      <c r="AS7" s="6">
        <f t="shared" si="7"/>
        <v>50</v>
      </c>
      <c r="AT7" s="2">
        <f>AS7</f>
        <v>50</v>
      </c>
    </row>
    <row r="8">
      <c r="B8" s="6" t="s">
        <v>1336</v>
      </c>
      <c r="C8" s="2">
        <f>sum(I:I)</f>
        <v>272370</v>
      </c>
      <c r="H8" s="206">
        <v>45580.0</v>
      </c>
      <c r="I8" s="6">
        <v>50000.0</v>
      </c>
      <c r="J8" s="6" t="s">
        <v>1337</v>
      </c>
      <c r="K8" s="6" t="s">
        <v>386</v>
      </c>
      <c r="L8" s="6" t="s">
        <v>1337</v>
      </c>
      <c r="AF8" s="6" t="s">
        <v>1338</v>
      </c>
      <c r="AG8" s="6" t="s">
        <v>1339</v>
      </c>
      <c r="AH8" s="6" t="s">
        <v>1339</v>
      </c>
    </row>
    <row r="9">
      <c r="B9" s="6" t="s">
        <v>1340</v>
      </c>
      <c r="C9" s="6">
        <v>0.0</v>
      </c>
      <c r="H9" s="206">
        <v>45613.0</v>
      </c>
      <c r="I9" s="6">
        <v>15000.0</v>
      </c>
      <c r="J9" s="6" t="s">
        <v>1341</v>
      </c>
      <c r="K9" s="6" t="s">
        <v>386</v>
      </c>
      <c r="L9" s="6" t="s">
        <v>1341</v>
      </c>
      <c r="AE9" s="2">
        <f>sum(AF9:AH9)</f>
        <v>400000</v>
      </c>
      <c r="AF9" s="6">
        <v>0.0</v>
      </c>
      <c r="AG9" s="6">
        <v>200000.0</v>
      </c>
      <c r="AH9" s="6">
        <v>200000.0</v>
      </c>
    </row>
    <row r="10">
      <c r="H10" s="206">
        <v>45618.0</v>
      </c>
      <c r="I10" s="6">
        <v>-7630.0</v>
      </c>
      <c r="J10" s="6" t="s">
        <v>1342</v>
      </c>
      <c r="K10" s="6" t="s">
        <v>125</v>
      </c>
      <c r="L10" s="6" t="s">
        <v>1343</v>
      </c>
    </row>
    <row r="11">
      <c r="B11" s="6" t="s">
        <v>1344</v>
      </c>
      <c r="C11" s="1">
        <f>'Planned Expenses'!A305</f>
        <v>12282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D11" s="6" t="s">
        <v>1345</v>
      </c>
      <c r="AE11" s="2">
        <f>sum(AF11:AH11)</f>
        <v>100</v>
      </c>
      <c r="AF11" s="2">
        <f>AT5</f>
        <v>50</v>
      </c>
      <c r="AG11" s="2">
        <f>AT6</f>
        <v>0</v>
      </c>
      <c r="AH11" s="2">
        <f>AT7</f>
        <v>50</v>
      </c>
    </row>
    <row r="12">
      <c r="B12" s="6" t="s">
        <v>1346</v>
      </c>
      <c r="C12" s="1">
        <f>C11-C9</f>
        <v>12282</v>
      </c>
    </row>
    <row r="13"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D13" s="187">
        <v>45597.0</v>
      </c>
      <c r="AE13" s="6">
        <v>5000.0</v>
      </c>
      <c r="AF13" s="2">
        <f t="shared" ref="AF13:AH13" si="8">ceiling(AF$11*$AE13/100,1)</f>
        <v>2500</v>
      </c>
      <c r="AG13" s="2">
        <f t="shared" si="8"/>
        <v>0</v>
      </c>
      <c r="AH13" s="2">
        <f t="shared" si="8"/>
        <v>2500</v>
      </c>
    </row>
    <row r="14"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D14" s="187">
        <v>45627.0</v>
      </c>
      <c r="AE14" s="6">
        <f t="shared" ref="AE14:AE23" si="10">AE13+5000</f>
        <v>10000</v>
      </c>
      <c r="AF14" s="2">
        <f t="shared" ref="AF14:AH14" si="9">ceiling(AF$11*$AE14/100,1)</f>
        <v>5000</v>
      </c>
      <c r="AG14" s="2">
        <f t="shared" si="9"/>
        <v>0</v>
      </c>
      <c r="AH14" s="2">
        <f t="shared" si="9"/>
        <v>5000</v>
      </c>
    </row>
    <row r="15"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D15" s="187">
        <v>45658.0</v>
      </c>
      <c r="AE15" s="6">
        <f t="shared" si="10"/>
        <v>15000</v>
      </c>
      <c r="AF15" s="2">
        <f t="shared" ref="AF15:AH15" si="11">ceiling(AF$11*$AE15/100,1)</f>
        <v>7500</v>
      </c>
      <c r="AG15" s="2">
        <f t="shared" si="11"/>
        <v>0</v>
      </c>
      <c r="AH15" s="2">
        <f t="shared" si="11"/>
        <v>7500</v>
      </c>
    </row>
    <row r="16"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D16" s="187">
        <v>45689.0</v>
      </c>
      <c r="AE16" s="6">
        <f t="shared" si="10"/>
        <v>20000</v>
      </c>
      <c r="AF16" s="2">
        <f t="shared" ref="AF16:AH16" si="12">ceiling(AF$11*$AE16/100,1)</f>
        <v>10000</v>
      </c>
      <c r="AG16" s="2">
        <f t="shared" si="12"/>
        <v>0</v>
      </c>
      <c r="AH16" s="2">
        <f t="shared" si="12"/>
        <v>10000</v>
      </c>
    </row>
    <row r="17"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D17" s="187">
        <v>45717.0</v>
      </c>
      <c r="AE17" s="6">
        <f t="shared" si="10"/>
        <v>25000</v>
      </c>
      <c r="AF17" s="2">
        <f t="shared" ref="AF17:AH17" si="13">ceiling(AF$11*$AE17/100,1)</f>
        <v>12500</v>
      </c>
      <c r="AG17" s="2">
        <f t="shared" si="13"/>
        <v>0</v>
      </c>
      <c r="AH17" s="2">
        <f t="shared" si="13"/>
        <v>12500</v>
      </c>
    </row>
    <row r="18"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D18" s="187">
        <v>45748.0</v>
      </c>
      <c r="AE18" s="6">
        <f t="shared" si="10"/>
        <v>30000</v>
      </c>
      <c r="AF18" s="2">
        <f t="shared" ref="AF18:AH18" si="14">ceiling(AF$11*$AE18/100,1)</f>
        <v>15000</v>
      </c>
      <c r="AG18" s="2">
        <f t="shared" si="14"/>
        <v>0</v>
      </c>
      <c r="AH18" s="2">
        <f t="shared" si="14"/>
        <v>15000</v>
      </c>
    </row>
    <row r="19"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D19" s="187">
        <v>45778.0</v>
      </c>
      <c r="AE19" s="6">
        <f t="shared" si="10"/>
        <v>35000</v>
      </c>
      <c r="AF19" s="2">
        <f t="shared" ref="AF19:AH19" si="15">ceiling(AF$11*$AE19/100,1)</f>
        <v>17500</v>
      </c>
      <c r="AG19" s="2">
        <f t="shared" si="15"/>
        <v>0</v>
      </c>
      <c r="AH19" s="2">
        <f t="shared" si="15"/>
        <v>17500</v>
      </c>
    </row>
    <row r="20"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D20" s="187">
        <v>45809.0</v>
      </c>
      <c r="AE20" s="6">
        <f t="shared" si="10"/>
        <v>40000</v>
      </c>
      <c r="AF20" s="2">
        <f t="shared" ref="AF20:AH20" si="16">ceiling(AF$11*$AE20/100,1)</f>
        <v>20000</v>
      </c>
      <c r="AG20" s="2">
        <f t="shared" si="16"/>
        <v>0</v>
      </c>
      <c r="AH20" s="2">
        <f t="shared" si="16"/>
        <v>20000</v>
      </c>
    </row>
    <row r="21"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D21" s="187">
        <v>45839.0</v>
      </c>
      <c r="AE21" s="6">
        <f t="shared" si="10"/>
        <v>45000</v>
      </c>
      <c r="AF21" s="2">
        <f t="shared" ref="AF21:AH21" si="17">ceiling(AF$11*$AE21/100,1)</f>
        <v>22500</v>
      </c>
      <c r="AG21" s="2">
        <f t="shared" si="17"/>
        <v>0</v>
      </c>
      <c r="AH21" s="2">
        <f t="shared" si="17"/>
        <v>22500</v>
      </c>
    </row>
    <row r="22"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D22" s="187">
        <v>45870.0</v>
      </c>
      <c r="AE22" s="6">
        <f t="shared" si="10"/>
        <v>50000</v>
      </c>
      <c r="AF22" s="2">
        <f t="shared" ref="AF22:AH22" si="18">ceiling(AF$11*$AE22/100,1)</f>
        <v>25000</v>
      </c>
      <c r="AG22" s="2">
        <f t="shared" si="18"/>
        <v>0</v>
      </c>
      <c r="AH22" s="2">
        <f t="shared" si="18"/>
        <v>25000</v>
      </c>
    </row>
    <row r="23"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D23" s="187">
        <v>45901.0</v>
      </c>
      <c r="AE23" s="6">
        <f t="shared" si="10"/>
        <v>55000</v>
      </c>
      <c r="AF23" s="2">
        <f t="shared" ref="AF23:AH23" si="19">ceiling(AF$11*$AE23/100,1)</f>
        <v>27500</v>
      </c>
      <c r="AG23" s="2">
        <f t="shared" si="19"/>
        <v>0</v>
      </c>
      <c r="AH23" s="2">
        <f t="shared" si="19"/>
        <v>27500</v>
      </c>
    </row>
    <row r="29"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</row>
    <row r="30"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</row>
    <row r="31">
      <c r="AB31" s="442"/>
      <c r="AC31" s="442"/>
      <c r="AD31" s="442"/>
      <c r="AE31" s="442"/>
      <c r="AF31" s="442"/>
      <c r="AG31" s="442"/>
      <c r="AH31" s="442"/>
      <c r="AI31" s="442"/>
      <c r="AJ31" s="442"/>
      <c r="AK31" s="443" t="s">
        <v>1347</v>
      </c>
      <c r="AL31" s="442"/>
    </row>
    <row r="32"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</row>
    <row r="33">
      <c r="AB33" s="442"/>
      <c r="AC33" s="442"/>
      <c r="AD33" s="442"/>
      <c r="AE33" s="442"/>
      <c r="AF33" s="442"/>
      <c r="AG33" s="442"/>
      <c r="AH33" s="442"/>
      <c r="AI33" s="442"/>
      <c r="AJ33" s="443">
        <v>1.0</v>
      </c>
      <c r="AK33" s="443" t="s">
        <v>1348</v>
      </c>
      <c r="AL33" s="442"/>
    </row>
    <row r="34"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443"/>
      <c r="AC34" s="443">
        <v>1.0</v>
      </c>
      <c r="AD34" s="443">
        <v>200000.0</v>
      </c>
      <c r="AE34" s="443" t="s">
        <v>1349</v>
      </c>
      <c r="AF34" s="443" t="s">
        <v>125</v>
      </c>
      <c r="AG34" s="442"/>
      <c r="AH34" s="442"/>
      <c r="AI34" s="442"/>
      <c r="AJ34" s="443">
        <v>2.0</v>
      </c>
      <c r="AK34" s="443" t="s">
        <v>1350</v>
      </c>
      <c r="AL34" s="442"/>
    </row>
    <row r="35"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443"/>
      <c r="AC35" s="443">
        <v>2.0</v>
      </c>
      <c r="AD35" s="443">
        <v>100000.0</v>
      </c>
      <c r="AE35" s="443" t="s">
        <v>1351</v>
      </c>
      <c r="AF35" s="443" t="s">
        <v>125</v>
      </c>
      <c r="AG35" s="442"/>
      <c r="AH35" s="442"/>
      <c r="AI35" s="442"/>
      <c r="AJ35" s="443">
        <v>3.0</v>
      </c>
      <c r="AK35" s="443" t="s">
        <v>1352</v>
      </c>
      <c r="AL35" s="442"/>
    </row>
    <row r="36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443"/>
      <c r="AC36" s="443">
        <v>3.0</v>
      </c>
      <c r="AD36" s="443">
        <v>50000.0</v>
      </c>
      <c r="AE36" s="443" t="s">
        <v>1353</v>
      </c>
      <c r="AF36" s="443" t="s">
        <v>125</v>
      </c>
      <c r="AG36" s="442"/>
      <c r="AH36" s="442"/>
      <c r="AI36" s="442"/>
      <c r="AJ36" s="443">
        <v>4.0</v>
      </c>
      <c r="AK36" s="443" t="s">
        <v>1354</v>
      </c>
      <c r="AL36" s="442"/>
    </row>
    <row r="37">
      <c r="AB37" s="442"/>
      <c r="AC37" s="442"/>
      <c r="AD37" s="442"/>
      <c r="AE37" s="442"/>
      <c r="AF37" s="442"/>
      <c r="AG37" s="442"/>
      <c r="AH37" s="442"/>
      <c r="AI37" s="442"/>
      <c r="AJ37" s="443">
        <v>5.0</v>
      </c>
      <c r="AK37" s="443" t="s">
        <v>1355</v>
      </c>
      <c r="AL37" s="442"/>
    </row>
    <row r="38">
      <c r="AB38" s="442"/>
      <c r="AC38" s="442"/>
      <c r="AD38" s="442"/>
      <c r="AE38" s="442"/>
      <c r="AF38" s="442"/>
      <c r="AG38" s="442"/>
      <c r="AH38" s="442"/>
      <c r="AI38" s="442"/>
      <c r="AJ38" s="443">
        <v>6.0</v>
      </c>
      <c r="AK38" s="443" t="s">
        <v>1356</v>
      </c>
      <c r="AL38" s="442"/>
    </row>
    <row r="39">
      <c r="AB39" s="442"/>
      <c r="AC39" s="442"/>
      <c r="AD39" s="442"/>
      <c r="AE39" s="442"/>
      <c r="AF39" s="442"/>
      <c r="AG39" s="442"/>
      <c r="AH39" s="442"/>
      <c r="AI39" s="442"/>
      <c r="AJ39" s="443">
        <v>7.0</v>
      </c>
      <c r="AK39" s="443" t="s">
        <v>1357</v>
      </c>
      <c r="AL39" s="442"/>
    </row>
    <row r="40">
      <c r="AB40" s="442"/>
      <c r="AC40" s="442"/>
      <c r="AD40" s="442"/>
      <c r="AE40" s="442"/>
      <c r="AF40" s="442"/>
      <c r="AG40" s="442"/>
      <c r="AH40" s="442"/>
      <c r="AI40" s="442"/>
      <c r="AJ40" s="443">
        <v>8.0</v>
      </c>
      <c r="AK40" s="443" t="s">
        <v>1358</v>
      </c>
      <c r="AL40" s="442"/>
    </row>
    <row r="41">
      <c r="AB41" s="442"/>
      <c r="AC41" s="442"/>
      <c r="AD41" s="442"/>
      <c r="AE41" s="442"/>
      <c r="AF41" s="442"/>
      <c r="AG41" s="442"/>
      <c r="AH41" s="442"/>
      <c r="AI41" s="442"/>
      <c r="AJ41" s="443">
        <v>9.0</v>
      </c>
      <c r="AK41" s="443" t="s">
        <v>1359</v>
      </c>
      <c r="AL41" s="442"/>
    </row>
    <row r="42"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</row>
  </sheetData>
  <drawing r:id="rId1"/>
</worksheet>
</file>